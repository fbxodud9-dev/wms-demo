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35\공유폴더\상온및냉동\5. E24냉동(4시 이후)\냉동)이마트_삼진\"/>
    </mc:Choice>
  </mc:AlternateContent>
  <xr:revisionPtr revIDLastSave="0" documentId="13_ncr:1_{CCFE423E-287B-4E09-91BF-F8F8B4F5BE88}" xr6:coauthVersionLast="47" xr6:coauthVersionMax="47" xr10:uidLastSave="{00000000-0000-0000-0000-000000000000}"/>
  <bookViews>
    <workbookView xWindow="34200" yWindow="0" windowWidth="22755" windowHeight="15420" tabRatio="909" xr2:uid="{2913C414-48E5-4A65-A8D0-A23DA8165592}"/>
  </bookViews>
  <sheets>
    <sheet name="삼진피벗" sheetId="1" r:id="rId1"/>
    <sheet name="양지 (현장)" sheetId="12" r:id="rId2"/>
    <sheet name="원주 (20)" sheetId="2" r:id="rId3"/>
    <sheet name="김해 (DB)_영남" sheetId="3" r:id="rId4"/>
    <sheet name="양산 (DB)_영남" sheetId="4" r:id="rId5"/>
    <sheet name="세종 (22)" sheetId="5" r:id="rId6"/>
    <sheet name="장성 (DB)_호남" sheetId="6" r:id="rId7"/>
    <sheet name="김천 " sheetId="13" r:id="rId8"/>
    <sheet name="경산 (DB)_호남" sheetId="7" r:id="rId9"/>
    <sheet name="화성 (20)" sheetId="8" r:id="rId10"/>
    <sheet name="청라 (20)" sheetId="9" r:id="rId11"/>
    <sheet name="평택 (20)" sheetId="10" r:id="rId12"/>
    <sheet name="포천(20)" sheetId="11" r:id="rId13"/>
  </sheets>
  <definedNames>
    <definedName name="_xlnm.Print_Area" localSheetId="2">'원주 (20)'!$A$1:$AI$48</definedName>
    <definedName name="_xlnm.Print_Area" localSheetId="6">'장성 (DB)_호남'!$A$1:$AI$48</definedName>
    <definedName name="_xlnm.Print_Area">#REF!</definedName>
    <definedName name="정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3" l="1"/>
  <c r="B13" i="4"/>
  <c r="B13" i="5"/>
  <c r="B13" i="6"/>
  <c r="B13" i="13"/>
  <c r="B13" i="7"/>
  <c r="B13" i="8"/>
  <c r="B13" i="9"/>
  <c r="B13" i="10"/>
  <c r="B13" i="11"/>
  <c r="B13" i="2"/>
  <c r="AA38" i="6"/>
  <c r="Q14" i="2"/>
  <c r="Q14" i="3"/>
  <c r="Q14" i="4"/>
  <c r="Q14" i="5"/>
  <c r="Q14" i="6"/>
  <c r="Q14" i="13"/>
  <c r="Q14" i="7"/>
  <c r="Q14" i="8"/>
  <c r="Q14" i="9"/>
  <c r="Q14" i="10"/>
  <c r="Q14" i="11"/>
  <c r="Q14" i="12"/>
  <c r="Q13" i="2"/>
  <c r="Q13" i="3"/>
  <c r="Q13" i="4"/>
  <c r="Q13" i="5"/>
  <c r="Q13" i="6"/>
  <c r="Q13" i="13"/>
  <c r="Q13" i="7"/>
  <c r="Q13" i="8"/>
  <c r="Q13" i="9"/>
  <c r="Q13" i="10"/>
  <c r="Q13" i="11"/>
  <c r="Q13" i="12"/>
  <c r="T13" i="3" l="1"/>
  <c r="AA39" i="2"/>
  <c r="AA39" i="3"/>
  <c r="AA39" i="4"/>
  <c r="AA39" i="5"/>
  <c r="AA39" i="6"/>
  <c r="AA39" i="13"/>
  <c r="AA39" i="7"/>
  <c r="AA39" i="8"/>
  <c r="AA39" i="9"/>
  <c r="AA39" i="10"/>
  <c r="AA39" i="11"/>
  <c r="AA39" i="12"/>
  <c r="AA38" i="2"/>
  <c r="AA38" i="3"/>
  <c r="AA38" i="4"/>
  <c r="AA38" i="5"/>
  <c r="AA38" i="13"/>
  <c r="AA38" i="7"/>
  <c r="AA38" i="8"/>
  <c r="AA38" i="9"/>
  <c r="AA38" i="10"/>
  <c r="AA38" i="11"/>
  <c r="AA38" i="12"/>
  <c r="B38" i="6" l="1"/>
  <c r="B38" i="13"/>
  <c r="B38" i="10"/>
  <c r="B38" i="7"/>
  <c r="B38" i="11"/>
  <c r="B38" i="5"/>
  <c r="B38" i="3"/>
  <c r="T14" i="13"/>
  <c r="T39" i="13" s="1"/>
  <c r="Q39" i="2"/>
  <c r="Q39" i="3"/>
  <c r="Q39" i="4"/>
  <c r="T14" i="6"/>
  <c r="Q39" i="7"/>
  <c r="T14" i="8"/>
  <c r="T39" i="8" s="1"/>
  <c r="Q39" i="9"/>
  <c r="T14" i="10"/>
  <c r="Q39" i="11"/>
  <c r="T13" i="2"/>
  <c r="T13" i="5"/>
  <c r="T13" i="7"/>
  <c r="T13" i="9"/>
  <c r="Q38" i="11"/>
  <c r="T13" i="12"/>
  <c r="B38" i="2"/>
  <c r="B38" i="4"/>
  <c r="B38" i="8"/>
  <c r="B38" i="9"/>
  <c r="B47" i="13"/>
  <c r="B46" i="13"/>
  <c r="M39" i="13"/>
  <c r="E39" i="13"/>
  <c r="M38" i="13"/>
  <c r="E38" i="13"/>
  <c r="AD35" i="13"/>
  <c r="V35" i="13"/>
  <c r="V33" i="13"/>
  <c r="G33" i="13"/>
  <c r="AD31" i="13"/>
  <c r="V31" i="13"/>
  <c r="L31" i="13"/>
  <c r="G31" i="13"/>
  <c r="C31" i="13"/>
  <c r="V29" i="13"/>
  <c r="C29" i="13"/>
  <c r="W23" i="13"/>
  <c r="W47" i="13" s="1"/>
  <c r="W47" i="12"/>
  <c r="B47" i="12"/>
  <c r="B46" i="12"/>
  <c r="M39" i="12"/>
  <c r="E39" i="12"/>
  <c r="M38" i="12"/>
  <c r="E38" i="12"/>
  <c r="B38" i="12"/>
  <c r="AD35" i="12"/>
  <c r="V35" i="12"/>
  <c r="V33" i="12"/>
  <c r="G33" i="12"/>
  <c r="AD31" i="12"/>
  <c r="V31" i="12"/>
  <c r="L31" i="12"/>
  <c r="G31" i="12"/>
  <c r="C31" i="12"/>
  <c r="V29" i="12"/>
  <c r="C29" i="12"/>
  <c r="W47" i="11"/>
  <c r="B47" i="11"/>
  <c r="B46" i="11"/>
  <c r="M39" i="11"/>
  <c r="E39" i="11"/>
  <c r="M38" i="11"/>
  <c r="E38" i="11"/>
  <c r="AD35" i="11"/>
  <c r="V35" i="11"/>
  <c r="V33" i="11"/>
  <c r="G33" i="11"/>
  <c r="AD31" i="11"/>
  <c r="V31" i="11"/>
  <c r="L31" i="11"/>
  <c r="G31" i="11"/>
  <c r="C31" i="11"/>
  <c r="V29" i="11"/>
  <c r="C29" i="11"/>
  <c r="W47" i="10"/>
  <c r="B47" i="10"/>
  <c r="B46" i="10"/>
  <c r="M39" i="10"/>
  <c r="E39" i="10"/>
  <c r="M38" i="10"/>
  <c r="E38" i="10"/>
  <c r="AD35" i="10"/>
  <c r="V35" i="10"/>
  <c r="V33" i="10"/>
  <c r="G33" i="10"/>
  <c r="AD31" i="10"/>
  <c r="V31" i="10"/>
  <c r="L31" i="10"/>
  <c r="G31" i="10"/>
  <c r="C31" i="10"/>
  <c r="V29" i="10"/>
  <c r="C29" i="10"/>
  <c r="W47" i="9"/>
  <c r="B47" i="9"/>
  <c r="B46" i="9"/>
  <c r="M39" i="9"/>
  <c r="E39" i="9"/>
  <c r="M38" i="9"/>
  <c r="E38" i="9"/>
  <c r="AD35" i="9"/>
  <c r="V35" i="9"/>
  <c r="V33" i="9"/>
  <c r="G33" i="9"/>
  <c r="AD31" i="9"/>
  <c r="V31" i="9"/>
  <c r="L31" i="9"/>
  <c r="G31" i="9"/>
  <c r="C31" i="9"/>
  <c r="V29" i="9"/>
  <c r="C29" i="9"/>
  <c r="W47" i="8"/>
  <c r="B47" i="8"/>
  <c r="B46" i="8"/>
  <c r="M39" i="8"/>
  <c r="E39" i="8"/>
  <c r="M38" i="8"/>
  <c r="E38" i="8"/>
  <c r="AD35" i="8"/>
  <c r="V35" i="8"/>
  <c r="V33" i="8"/>
  <c r="G33" i="8"/>
  <c r="AD31" i="8"/>
  <c r="V31" i="8"/>
  <c r="L31" i="8"/>
  <c r="G31" i="8"/>
  <c r="C31" i="8"/>
  <c r="V29" i="8"/>
  <c r="C29" i="8"/>
  <c r="B47" i="7"/>
  <c r="B46" i="7"/>
  <c r="M39" i="7"/>
  <c r="E39" i="7"/>
  <c r="M38" i="7"/>
  <c r="E38" i="7"/>
  <c r="AD35" i="7"/>
  <c r="V35" i="7"/>
  <c r="V33" i="7"/>
  <c r="G33" i="7"/>
  <c r="AD31" i="7"/>
  <c r="V31" i="7"/>
  <c r="L31" i="7"/>
  <c r="G31" i="7"/>
  <c r="C31" i="7"/>
  <c r="V29" i="7"/>
  <c r="C29" i="7"/>
  <c r="W23" i="7"/>
  <c r="W47" i="7" s="1"/>
  <c r="W47" i="6"/>
  <c r="B47" i="6"/>
  <c r="B46" i="6"/>
  <c r="M39" i="6"/>
  <c r="E39" i="6"/>
  <c r="M38" i="6"/>
  <c r="E38" i="6"/>
  <c r="AD35" i="6"/>
  <c r="V35" i="6"/>
  <c r="V33" i="6"/>
  <c r="G33" i="6"/>
  <c r="AD31" i="6"/>
  <c r="V31" i="6"/>
  <c r="L31" i="6"/>
  <c r="G31" i="6"/>
  <c r="C31" i="6"/>
  <c r="V29" i="6"/>
  <c r="C29" i="6"/>
  <c r="W23" i="6"/>
  <c r="W47" i="5"/>
  <c r="B47" i="5"/>
  <c r="B46" i="5"/>
  <c r="M39" i="5"/>
  <c r="E39" i="5"/>
  <c r="M38" i="5"/>
  <c r="E38" i="5"/>
  <c r="AD35" i="5"/>
  <c r="V35" i="5"/>
  <c r="V33" i="5"/>
  <c r="G33" i="5"/>
  <c r="AD31" i="5"/>
  <c r="V31" i="5"/>
  <c r="L31" i="5"/>
  <c r="G31" i="5"/>
  <c r="C31" i="5"/>
  <c r="V29" i="5"/>
  <c r="C29" i="5"/>
  <c r="W47" i="4"/>
  <c r="B47" i="4"/>
  <c r="B46" i="4"/>
  <c r="M39" i="4"/>
  <c r="E39" i="4"/>
  <c r="M38" i="4"/>
  <c r="E38" i="4"/>
  <c r="AD35" i="4"/>
  <c r="V35" i="4"/>
  <c r="V33" i="4"/>
  <c r="G33" i="4"/>
  <c r="AD31" i="4"/>
  <c r="V31" i="4"/>
  <c r="L31" i="4"/>
  <c r="G31" i="4"/>
  <c r="C31" i="4"/>
  <c r="V29" i="4"/>
  <c r="C29" i="4"/>
  <c r="W23" i="4"/>
  <c r="W47" i="3"/>
  <c r="B47" i="3"/>
  <c r="B46" i="3"/>
  <c r="M39" i="3"/>
  <c r="E39" i="3"/>
  <c r="M38" i="3"/>
  <c r="E38" i="3"/>
  <c r="AD35" i="3"/>
  <c r="V35" i="3"/>
  <c r="V33" i="3"/>
  <c r="G33" i="3"/>
  <c r="AD31" i="3"/>
  <c r="V31" i="3"/>
  <c r="L31" i="3"/>
  <c r="G31" i="3"/>
  <c r="C31" i="3"/>
  <c r="V29" i="3"/>
  <c r="C29" i="3"/>
  <c r="W47" i="2"/>
  <c r="B47" i="2"/>
  <c r="B46" i="2"/>
  <c r="M39" i="2"/>
  <c r="E39" i="2"/>
  <c r="M38" i="2"/>
  <c r="E38" i="2"/>
  <c r="AD35" i="2"/>
  <c r="V35" i="2"/>
  <c r="V33" i="2"/>
  <c r="G33" i="2"/>
  <c r="AD31" i="2"/>
  <c r="V31" i="2"/>
  <c r="L31" i="2"/>
  <c r="G31" i="2"/>
  <c r="C31" i="2"/>
  <c r="V29" i="2"/>
  <c r="C29" i="2"/>
  <c r="W23" i="2"/>
  <c r="T38" i="9" l="1"/>
  <c r="T38" i="7"/>
  <c r="T38" i="2"/>
  <c r="W13" i="12"/>
  <c r="W38" i="12" s="1"/>
  <c r="Q39" i="13"/>
  <c r="T14" i="7"/>
  <c r="T39" i="7" s="1"/>
  <c r="Q38" i="12"/>
  <c r="M22" i="6"/>
  <c r="M46" i="6" s="1"/>
  <c r="M22" i="5"/>
  <c r="M46" i="5" s="1"/>
  <c r="Q39" i="6"/>
  <c r="Q38" i="7"/>
  <c r="Q39" i="10"/>
  <c r="T39" i="10"/>
  <c r="W14" i="10"/>
  <c r="W39" i="10" s="1"/>
  <c r="T13" i="6"/>
  <c r="M22" i="10"/>
  <c r="M46" i="10" s="1"/>
  <c r="T14" i="2"/>
  <c r="T39" i="2" s="1"/>
  <c r="Q38" i="2"/>
  <c r="M22" i="4"/>
  <c r="M46" i="4" s="1"/>
  <c r="Q38" i="6"/>
  <c r="T13" i="11"/>
  <c r="T38" i="12"/>
  <c r="W14" i="13"/>
  <c r="W39" i="13" s="1"/>
  <c r="M22" i="12"/>
  <c r="M46" i="12" s="1"/>
  <c r="T14" i="12"/>
  <c r="T39" i="12" s="1"/>
  <c r="T13" i="13"/>
  <c r="Q38" i="13"/>
  <c r="Q39" i="12"/>
  <c r="M22" i="13"/>
  <c r="M46" i="13" s="1"/>
  <c r="W13" i="5"/>
  <c r="W38" i="5" s="1"/>
  <c r="T38" i="5"/>
  <c r="T39" i="6"/>
  <c r="W14" i="6"/>
  <c r="W39" i="6" s="1"/>
  <c r="M22" i="3"/>
  <c r="M46" i="3" s="1"/>
  <c r="M22" i="8"/>
  <c r="M46" i="8" s="1"/>
  <c r="T14" i="3"/>
  <c r="T13" i="4"/>
  <c r="Q38" i="4"/>
  <c r="M22" i="2"/>
  <c r="M46" i="2" s="1"/>
  <c r="T14" i="5"/>
  <c r="T39" i="5" s="1"/>
  <c r="M22" i="7"/>
  <c r="M46" i="7" s="1"/>
  <c r="W14" i="8"/>
  <c r="W39" i="8" s="1"/>
  <c r="W13" i="9"/>
  <c r="W38" i="9" s="1"/>
  <c r="W13" i="2"/>
  <c r="W38" i="2" s="1"/>
  <c r="Q38" i="3"/>
  <c r="Q38" i="8"/>
  <c r="Q39" i="8"/>
  <c r="M22" i="9"/>
  <c r="M46" i="9" s="1"/>
  <c r="Q38" i="10"/>
  <c r="M22" i="11"/>
  <c r="M46" i="11" s="1"/>
  <c r="T38" i="3"/>
  <c r="T14" i="4"/>
  <c r="T39" i="4" s="1"/>
  <c r="Q38" i="5"/>
  <c r="Q39" i="5"/>
  <c r="T13" i="8"/>
  <c r="T14" i="9"/>
  <c r="T39" i="9" s="1"/>
  <c r="T13" i="10"/>
  <c r="T14" i="11"/>
  <c r="T39" i="11" s="1"/>
  <c r="Q38" i="9"/>
  <c r="W13" i="7"/>
  <c r="W38" i="7" s="1"/>
  <c r="W22" i="12" l="1"/>
  <c r="W46" i="12" s="1"/>
  <c r="W22" i="7"/>
  <c r="W46" i="7" s="1"/>
  <c r="T38" i="10"/>
  <c r="W22" i="10"/>
  <c r="W46" i="10" s="1"/>
  <c r="T38" i="13"/>
  <c r="W22" i="13"/>
  <c r="W46" i="13" s="1"/>
  <c r="W22" i="11"/>
  <c r="W46" i="11" s="1"/>
  <c r="T38" i="6"/>
  <c r="W22" i="6"/>
  <c r="W46" i="6" s="1"/>
  <c r="W22" i="9"/>
  <c r="W46" i="9" s="1"/>
  <c r="T38" i="8"/>
  <c r="W22" i="8"/>
  <c r="W46" i="8" s="1"/>
  <c r="W22" i="2"/>
  <c r="W46" i="2" s="1"/>
  <c r="T38" i="4"/>
  <c r="W22" i="4"/>
  <c r="W46" i="4" s="1"/>
  <c r="W22" i="5"/>
  <c r="W46" i="5" s="1"/>
  <c r="T39" i="3"/>
  <c r="W22" i="3"/>
  <c r="W46" i="3" s="1"/>
  <c r="W14" i="12"/>
  <c r="W39" i="12" s="1"/>
  <c r="W14" i="7"/>
  <c r="W39" i="7" s="1"/>
  <c r="W14" i="3"/>
  <c r="W39" i="3" s="1"/>
  <c r="W14" i="11"/>
  <c r="W39" i="11" s="1"/>
  <c r="W14" i="2"/>
  <c r="W39" i="2" s="1"/>
  <c r="W13" i="4"/>
  <c r="W38" i="4" s="1"/>
  <c r="W13" i="6"/>
  <c r="W38" i="6" s="1"/>
  <c r="T38" i="11"/>
  <c r="W13" i="11"/>
  <c r="W38" i="11" s="1"/>
  <c r="W13" i="10"/>
  <c r="W38" i="10" s="1"/>
  <c r="W13" i="3"/>
  <c r="W38" i="3" s="1"/>
  <c r="W13" i="13"/>
  <c r="W38" i="13" s="1"/>
  <c r="W13" i="8"/>
  <c r="W38" i="8" s="1"/>
  <c r="W14" i="9"/>
  <c r="W39" i="9" s="1"/>
  <c r="W14" i="4"/>
  <c r="W39" i="4" s="1"/>
  <c r="W14" i="5"/>
  <c r="W3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3" authorId="0" shapeId="0" xr:uid="{2D222BC6-BA14-4065-B4C0-CEC4D5F1FC3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양지만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3" authorId="0" shapeId="0" xr:uid="{280FFD67-91DD-491C-ADFC-9C05323ADB9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원주만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날짜변경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당일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<sst xmlns="http://schemas.openxmlformats.org/spreadsheetml/2006/main" count="797" uniqueCount="89">
  <si>
    <t>양지2(저온)</t>
  </si>
  <si>
    <t>원주2(저온)</t>
    <phoneticPr fontId="9" type="noConversion"/>
  </si>
  <si>
    <r>
      <t>거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래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명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세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표</t>
    </r>
    <r>
      <rPr>
        <b/>
        <sz val="9"/>
        <color indexed="12"/>
        <rFont val="굴림체"/>
        <family val="3"/>
        <charset val="129"/>
      </rPr>
      <t xml:space="preserve"> </t>
    </r>
    <r>
      <rPr>
        <sz val="10"/>
        <color indexed="12"/>
        <rFont val="굴림체"/>
        <family val="3"/>
        <charset val="129"/>
      </rPr>
      <t>(공급받는자 보관용)</t>
    </r>
    <phoneticPr fontId="9" type="noConversion"/>
  </si>
  <si>
    <t>공
급
받
는
자</t>
    <phoneticPr fontId="9" type="noConversion"/>
  </si>
  <si>
    <t>등록번호</t>
    <phoneticPr fontId="9" type="noConversion"/>
  </si>
  <si>
    <t>공
급
자</t>
    <phoneticPr fontId="9" type="noConversion"/>
  </si>
  <si>
    <t>상 호
(법인명)</t>
    <phoneticPr fontId="9" type="noConversion"/>
  </si>
  <si>
    <t>(이마트24)</t>
    <phoneticPr fontId="9" type="noConversion"/>
  </si>
  <si>
    <t>원주센터(저온)</t>
    <phoneticPr fontId="9" type="noConversion"/>
  </si>
  <si>
    <t>상  호
(법인명)</t>
    <phoneticPr fontId="9" type="noConversion"/>
  </si>
  <si>
    <t>성명</t>
    <phoneticPr fontId="9" type="noConversion"/>
  </si>
  <si>
    <t>사업장
주  소</t>
    <phoneticPr fontId="9" type="noConversion"/>
  </si>
  <si>
    <t>강원특별자치도 원주시 호저면 주산리 298,1층</t>
    <phoneticPr fontId="9" type="noConversion"/>
  </si>
  <si>
    <t>합계금액
(VAT포함)</t>
    <phoneticPr fontId="9" type="noConversion"/>
  </si>
  <si>
    <t>업 태</t>
    <phoneticPr fontId="9" type="noConversion"/>
  </si>
  <si>
    <t>종목</t>
    <phoneticPr fontId="9" type="noConversion"/>
  </si>
  <si>
    <t>년</t>
    <phoneticPr fontId="9" type="noConversion"/>
  </si>
  <si>
    <t>월</t>
    <phoneticPr fontId="9" type="noConversion"/>
  </si>
  <si>
    <t>일</t>
    <phoneticPr fontId="9" type="noConversion"/>
  </si>
  <si>
    <t>품               목</t>
    <phoneticPr fontId="9" type="noConversion"/>
  </si>
  <si>
    <t>입수</t>
    <phoneticPr fontId="9" type="noConversion"/>
  </si>
  <si>
    <t>총수량</t>
    <phoneticPr fontId="9" type="noConversion"/>
  </si>
  <si>
    <t>박스</t>
    <phoneticPr fontId="9" type="noConversion"/>
  </si>
  <si>
    <t>낱개수량</t>
  </si>
  <si>
    <t>비고</t>
    <phoneticPr fontId="9" type="noConversion"/>
  </si>
  <si>
    <t xml:space="preserve"> </t>
    <phoneticPr fontId="9" type="noConversion"/>
  </si>
  <si>
    <t>3자물류 (더원물류)
담당자 박병선이사  010-4448-1456</t>
    <phoneticPr fontId="9" type="noConversion"/>
  </si>
  <si>
    <r>
      <t>거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래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명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세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표</t>
    </r>
    <r>
      <rPr>
        <b/>
        <sz val="9"/>
        <color indexed="10"/>
        <rFont val="굴림체"/>
        <family val="3"/>
        <charset val="129"/>
      </rPr>
      <t xml:space="preserve"> </t>
    </r>
    <r>
      <rPr>
        <sz val="10"/>
        <color indexed="10"/>
        <rFont val="굴림체"/>
        <family val="3"/>
        <charset val="129"/>
      </rPr>
      <t>(공급자 보관용)</t>
    </r>
    <phoneticPr fontId="9" type="noConversion"/>
  </si>
  <si>
    <t>성 명</t>
    <phoneticPr fontId="9" type="noConversion"/>
  </si>
  <si>
    <t>종 목</t>
    <phoneticPr fontId="9" type="noConversion"/>
  </si>
  <si>
    <t>김해2(저온)</t>
    <phoneticPr fontId="9" type="noConversion"/>
  </si>
  <si>
    <t>김해센터(저온)</t>
    <phoneticPr fontId="9" type="noConversion"/>
  </si>
  <si>
    <t>경상남도 김해시 진례면 
테크노밸리로 193-28</t>
    <phoneticPr fontId="9" type="noConversion"/>
  </si>
  <si>
    <t>경상남도 김해시 진례면 
테크노밸리로 193-28
TEL 070-4398-2825</t>
    <phoneticPr fontId="9" type="noConversion"/>
  </si>
  <si>
    <t>양산2(저온)</t>
    <phoneticPr fontId="9" type="noConversion"/>
  </si>
  <si>
    <t>양산센터(저온)</t>
    <phoneticPr fontId="9" type="noConversion"/>
  </si>
  <si>
    <t>경상남도 양산시 산막공단북3길 25(산막동 313-4)</t>
    <phoneticPr fontId="9" type="noConversion"/>
  </si>
  <si>
    <t>세종2(저온)</t>
    <phoneticPr fontId="9" type="noConversion"/>
  </si>
  <si>
    <t>세종센터(저온)</t>
    <phoneticPr fontId="9" type="noConversion"/>
  </si>
  <si>
    <t>세종특별자치시 연동면
응암리 925 E동</t>
    <phoneticPr fontId="9" type="noConversion"/>
  </si>
  <si>
    <t>세종특별자치시 연동면
응암리 925 E동
허승현 대리 044-862-4400</t>
    <phoneticPr fontId="9" type="noConversion"/>
  </si>
  <si>
    <t>장성2(저온)</t>
    <phoneticPr fontId="9" type="noConversion"/>
  </si>
  <si>
    <t>장성센터(저온)</t>
    <phoneticPr fontId="9" type="noConversion"/>
  </si>
  <si>
    <t>전라남도 장성군 황룡면 황룡리 44-2 2층</t>
    <phoneticPr fontId="9" type="noConversion"/>
  </si>
  <si>
    <t>경산2(저온)</t>
    <phoneticPr fontId="9" type="noConversion"/>
  </si>
  <si>
    <t>경산센터(저온)</t>
    <phoneticPr fontId="9" type="noConversion"/>
  </si>
  <si>
    <t>경상북도 경산시 압량읍 가야로 20</t>
    <phoneticPr fontId="9" type="noConversion"/>
  </si>
  <si>
    <t>화성2(저온)</t>
    <phoneticPr fontId="9" type="noConversion"/>
  </si>
  <si>
    <t>화성센터(저온)</t>
    <phoneticPr fontId="9" type="noConversion"/>
  </si>
  <si>
    <t>경기 화성시 초록로 103</t>
    <phoneticPr fontId="9" type="noConversion"/>
  </si>
  <si>
    <t>경기 화성시 초록로 103
오민수 대리 031-8077-2407</t>
    <phoneticPr fontId="9" type="noConversion"/>
  </si>
  <si>
    <t>청라2(저온)</t>
    <phoneticPr fontId="9" type="noConversion"/>
  </si>
  <si>
    <t>청라센터(저온)</t>
    <phoneticPr fontId="9" type="noConversion"/>
  </si>
  <si>
    <t>인천광역시 서구 북항로120번길 55,
청라로지스틱스센터3, 9층</t>
    <phoneticPr fontId="9" type="noConversion"/>
  </si>
  <si>
    <t>인천광역시 서구 북항로120번길 55,
청라로지스틱스센터3, 9층
02)437-0500</t>
    <phoneticPr fontId="9" type="noConversion"/>
  </si>
  <si>
    <t>평택2(저온)</t>
    <phoneticPr fontId="9" type="noConversion"/>
  </si>
  <si>
    <t>평택센터(저온)</t>
    <phoneticPr fontId="9" type="noConversion"/>
  </si>
  <si>
    <t>경기도 평택시 진위면 마산8로10,
진위물류센터 창고동 1층</t>
    <phoneticPr fontId="9" type="noConversion"/>
  </si>
  <si>
    <t>경기도 평택시 진위면 마산8로10,
진위물류센터 창고동 1층
강민구 대리 031-663-9260</t>
    <phoneticPr fontId="9" type="noConversion"/>
  </si>
  <si>
    <t>포천2(저온)</t>
    <phoneticPr fontId="9" type="noConversion"/>
  </si>
  <si>
    <t>포천센터(저온)</t>
    <phoneticPr fontId="9" type="noConversion"/>
  </si>
  <si>
    <t>경기도 포천시 설운동 477,B2F</t>
    <phoneticPr fontId="9" type="noConversion"/>
  </si>
  <si>
    <t>경기도 포천시 설운동 477,B2F
031-543-2486</t>
    <phoneticPr fontId="9" type="noConversion"/>
  </si>
  <si>
    <t>양지센터(저온)</t>
    <phoneticPr fontId="9" type="noConversion"/>
  </si>
  <si>
    <t>경기도 용인시 처인구 양지면
제일리 453-7</t>
    <phoneticPr fontId="9" type="noConversion"/>
  </si>
  <si>
    <t>경기도 용인시 처인구 양지면
제일리 453-7
박영범 주임 031-8027-2080</t>
    <phoneticPr fontId="9" type="noConversion"/>
  </si>
  <si>
    <t>김천2(저온)</t>
    <phoneticPr fontId="9" type="noConversion"/>
  </si>
  <si>
    <t>김천센터(저온)</t>
    <phoneticPr fontId="9" type="noConversion"/>
  </si>
  <si>
    <t>경상북도 김천시 어모면 옥율리 212</t>
    <phoneticPr fontId="9" type="noConversion"/>
  </si>
  <si>
    <t>열 레이블</t>
  </si>
  <si>
    <t>총합계</t>
  </si>
  <si>
    <t>360-86-002047</t>
    <phoneticPr fontId="9" type="noConversion"/>
  </si>
  <si>
    <t>삼진식품㈜</t>
    <phoneticPr fontId="9" type="noConversion"/>
  </si>
  <si>
    <t>박용준</t>
    <phoneticPr fontId="9" type="noConversion"/>
  </si>
  <si>
    <t>부산광역시 영동구 태종로 99전길 36,3</t>
    <phoneticPr fontId="9" type="noConversion"/>
  </si>
  <si>
    <t>제조</t>
    <phoneticPr fontId="9" type="noConversion"/>
  </si>
  <si>
    <t>어묵 및 유사제품</t>
    <phoneticPr fontId="9" type="noConversion"/>
  </si>
  <si>
    <t>삼진)미니땡초봉꼬치320g</t>
    <phoneticPr fontId="9" type="noConversion"/>
  </si>
  <si>
    <t>삼진)미니어묵꼬치290g</t>
    <phoneticPr fontId="9" type="noConversion"/>
  </si>
  <si>
    <t>27.11.24</t>
    <phoneticPr fontId="9" type="noConversion"/>
  </si>
  <si>
    <t>삼진)미니땡초봉꼬치320g</t>
  </si>
  <si>
    <t>27.09.01</t>
    <phoneticPr fontId="9" type="noConversion"/>
  </si>
  <si>
    <t>삼진)미니어묵꼬치290g</t>
  </si>
  <si>
    <t>청라2(저온)</t>
  </si>
  <si>
    <t>10/14</t>
  </si>
  <si>
    <t>10/15 납품</t>
  </si>
  <si>
    <t>김해2(저온)</t>
  </si>
  <si>
    <t>장성2(저온)</t>
  </si>
  <si>
    <t>화성2(저온)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</si>
</sst>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_ "/>
  </numFmts>
  <fonts count="3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15"/>
      <name val="돋움"/>
      <family val="3"/>
      <charset val="129"/>
    </font>
    <font>
      <sz val="8"/>
      <name val="맑은 고딕"/>
      <family val="2"/>
      <charset val="129"/>
      <scheme val="minor"/>
    </font>
    <font>
      <sz val="12"/>
      <name val="돋움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5"/>
      <color rgb="FF000000"/>
      <name val="돋움"/>
      <family val="3"/>
      <charset val="129"/>
    </font>
    <font>
      <sz val="10"/>
      <color theme="0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  <font>
      <b/>
      <sz val="20"/>
      <color indexed="12"/>
      <name val="굴림체"/>
      <family val="3"/>
      <charset val="129"/>
    </font>
    <font>
      <b/>
      <sz val="9"/>
      <color indexed="12"/>
      <name val="굴림체"/>
      <family val="3"/>
      <charset val="129"/>
    </font>
    <font>
      <sz val="10"/>
      <color indexed="12"/>
      <name val="굴림체"/>
      <family val="3"/>
      <charset val="129"/>
    </font>
    <font>
      <sz val="9"/>
      <color indexed="12"/>
      <name val="굴림체"/>
      <family val="3"/>
      <charset val="129"/>
    </font>
    <font>
      <b/>
      <sz val="12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sz val="8"/>
      <color indexed="8"/>
      <name val="굴림체"/>
      <family val="3"/>
      <charset val="129"/>
    </font>
    <font>
      <sz val="9"/>
      <name val="굴림체"/>
      <family val="3"/>
      <charset val="129"/>
    </font>
    <font>
      <sz val="12"/>
      <color rgb="FF000000"/>
      <name val="돋움"/>
      <family val="3"/>
      <charset val="129"/>
    </font>
    <font>
      <b/>
      <sz val="9"/>
      <name val="굴림체"/>
      <family val="3"/>
      <charset val="129"/>
    </font>
    <font>
      <b/>
      <sz val="20"/>
      <color indexed="10"/>
      <name val="굴림체"/>
      <family val="3"/>
      <charset val="129"/>
    </font>
    <font>
      <b/>
      <sz val="9"/>
      <color indexed="10"/>
      <name val="굴림체"/>
      <family val="3"/>
      <charset val="129"/>
    </font>
    <font>
      <sz val="10"/>
      <color indexed="10"/>
      <name val="굴림체"/>
      <family val="3"/>
      <charset val="129"/>
    </font>
    <font>
      <sz val="11"/>
      <color indexed="10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0000"/>
      <name val="굴림체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6"/>
      <name val="돋움"/>
      <family val="3"/>
      <charset val="129"/>
    </font>
    <font>
      <sz val="16"/>
      <color rgb="FF000000"/>
      <name val="맑은 고딕"/>
      <family val="3"/>
      <charset val="129"/>
    </font>
    <font>
      <b/>
      <sz val="16"/>
      <name val="돋움"/>
      <family val="3"/>
      <charset val="129"/>
    </font>
    <font>
      <sz val="12"/>
      <name val="굴림체"/>
      <family val="3"/>
      <charset val="129"/>
    </font>
    <font>
      <sz val="13"/>
      <name val="돋움"/>
      <family val="3"/>
      <charset val="129"/>
    </font>
    <font>
      <sz val="13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2">
    <border>
      <left/>
      <right/>
      <top/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 style="medium">
        <color indexed="12"/>
      </top>
      <bottom/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medium">
        <color indexed="12"/>
      </right>
      <top style="thin">
        <color indexed="12"/>
      </top>
      <bottom/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/>
      <right/>
      <top style="hair">
        <color indexed="8"/>
      </top>
      <bottom/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rgb="FFFF0000"/>
      </left>
      <right/>
      <top style="thin">
        <color rgb="FFFF0000"/>
      </top>
      <bottom style="thin">
        <color indexed="10"/>
      </bottom>
      <diagonal/>
    </border>
    <border>
      <left/>
      <right/>
      <top style="thin">
        <color rgb="FFFF0000"/>
      </top>
      <bottom style="thin">
        <color indexed="10"/>
      </bottom>
      <diagonal/>
    </border>
    <border>
      <left/>
      <right style="medium">
        <color indexed="10"/>
      </right>
      <top style="thin">
        <color rgb="FFFF0000"/>
      </top>
      <bottom style="thin">
        <color indexed="10"/>
      </bottom>
      <diagonal/>
    </border>
    <border>
      <left style="medium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indexed="10"/>
      </left>
      <right/>
      <top style="thin">
        <color rgb="FFFF0000"/>
      </top>
      <bottom style="thin">
        <color indexed="10"/>
      </bottom>
      <diagonal/>
    </border>
    <border>
      <left/>
      <right style="thin">
        <color rgb="FFFF0000"/>
      </right>
      <top style="thin">
        <color rgb="FFFF0000"/>
      </top>
      <bottom style="thin">
        <color indexed="1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  <border>
      <left style="thin">
        <color indexed="10"/>
      </left>
      <right style="thin">
        <color rgb="FFFF0000"/>
      </right>
      <top style="thin">
        <color indexed="10"/>
      </top>
      <bottom style="thin">
        <color indexed="10"/>
      </bottom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0000FF"/>
      </top>
      <bottom style="medium">
        <color indexed="12"/>
      </bottom>
      <diagonal/>
    </border>
    <border>
      <left/>
      <right style="thin">
        <color indexed="64"/>
      </right>
      <top style="thin">
        <color rgb="FF0000FF"/>
      </top>
      <bottom style="medium">
        <color indexed="12"/>
      </bottom>
      <diagonal/>
    </border>
    <border>
      <left style="thin">
        <color rgb="FF0000FF"/>
      </left>
      <right/>
      <top style="thin">
        <color rgb="FF0000FF"/>
      </top>
      <bottom style="medium">
        <color indexed="12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/>
  </cellStyleXfs>
  <cellXfs count="249">
    <xf numFmtId="0" fontId="0" fillId="0" borderId="0" xfId="0">
      <alignment vertical="center"/>
    </xf>
    <xf numFmtId="41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2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8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14" fillId="2" borderId="7" xfId="4" applyFont="1" applyFill="1" applyBorder="1" applyAlignment="1" applyProtection="1">
      <alignment horizontal="center" vertical="center"/>
      <protection locked="0"/>
    </xf>
    <xf numFmtId="0" fontId="14" fillId="2" borderId="26" xfId="4" applyFont="1" applyFill="1" applyBorder="1" applyAlignment="1" applyProtection="1">
      <alignment horizontal="center" vertical="center"/>
      <protection locked="0"/>
    </xf>
    <xf numFmtId="0" fontId="14" fillId="2" borderId="8" xfId="4" applyFont="1" applyFill="1" applyBorder="1" applyAlignment="1" applyProtection="1">
      <alignment horizontal="center" vertical="center"/>
      <protection locked="0"/>
    </xf>
    <xf numFmtId="0" fontId="14" fillId="2" borderId="27" xfId="4" applyFont="1" applyFill="1" applyBorder="1" applyAlignment="1" applyProtection="1">
      <alignment vertical="center"/>
      <protection locked="0"/>
    </xf>
    <xf numFmtId="0" fontId="14" fillId="2" borderId="28" xfId="4" applyFont="1" applyFill="1" applyBorder="1" applyAlignment="1" applyProtection="1">
      <alignment vertical="center"/>
      <protection locked="0"/>
    </xf>
    <xf numFmtId="0" fontId="14" fillId="2" borderId="26" xfId="4" applyFont="1" applyFill="1" applyBorder="1" applyAlignment="1" applyProtection="1">
      <alignment vertical="center"/>
      <protection locked="0"/>
    </xf>
    <xf numFmtId="0" fontId="20" fillId="0" borderId="0" xfId="2" applyFont="1">
      <alignment vertical="center"/>
    </xf>
    <xf numFmtId="0" fontId="19" fillId="2" borderId="38" xfId="4" applyFont="1" applyFill="1" applyBorder="1" applyAlignment="1" applyProtection="1">
      <alignment vertical="center" shrinkToFit="1"/>
      <protection locked="0"/>
    </xf>
    <xf numFmtId="0" fontId="19" fillId="2" borderId="39" xfId="4" applyFont="1" applyFill="1" applyBorder="1" applyAlignment="1" applyProtection="1">
      <alignment vertical="center" shrinkToFit="1"/>
      <protection locked="0"/>
    </xf>
    <xf numFmtId="0" fontId="20" fillId="0" borderId="0" xfId="0" applyFont="1">
      <alignment vertical="center"/>
    </xf>
    <xf numFmtId="0" fontId="19" fillId="2" borderId="10" xfId="4" applyFont="1" applyFill="1" applyBorder="1" applyAlignment="1" applyProtection="1">
      <alignment horizontal="center" vertical="center" shrinkToFit="1"/>
      <protection locked="0"/>
    </xf>
    <xf numFmtId="0" fontId="19" fillId="2" borderId="33" xfId="4" applyFont="1" applyFill="1" applyBorder="1" applyAlignment="1" applyProtection="1">
      <alignment horizontal="center" vertical="center" shrinkToFit="1"/>
      <protection locked="0"/>
    </xf>
    <xf numFmtId="0" fontId="19" fillId="2" borderId="11" xfId="4" applyFont="1" applyFill="1" applyBorder="1" applyAlignment="1" applyProtection="1">
      <alignment horizontal="center" vertical="center" shrinkToFit="1"/>
      <protection locked="0"/>
    </xf>
    <xf numFmtId="0" fontId="16" fillId="2" borderId="0" xfId="4" applyFont="1" applyFill="1" applyAlignment="1" applyProtection="1">
      <alignment horizontal="center" vertical="center"/>
      <protection locked="0"/>
    </xf>
    <xf numFmtId="0" fontId="1" fillId="2" borderId="0" xfId="4" applyFill="1" applyAlignment="1" applyProtection="1">
      <alignment horizontal="center" vertical="center"/>
      <protection locked="0"/>
    </xf>
    <xf numFmtId="0" fontId="17" fillId="2" borderId="46" xfId="4" applyFont="1" applyFill="1" applyBorder="1" applyAlignment="1" applyProtection="1">
      <alignment horizontal="center" vertical="center"/>
      <protection locked="0"/>
    </xf>
    <xf numFmtId="0" fontId="26" fillId="2" borderId="51" xfId="4" applyFont="1" applyFill="1" applyBorder="1" applyAlignment="1" applyProtection="1">
      <alignment horizontal="center" vertical="center"/>
      <protection locked="0"/>
    </xf>
    <xf numFmtId="0" fontId="26" fillId="2" borderId="52" xfId="4" applyFont="1" applyFill="1" applyBorder="1" applyAlignment="1" applyProtection="1">
      <alignment horizontal="center" vertical="center"/>
      <protection locked="0"/>
    </xf>
    <xf numFmtId="0" fontId="26" fillId="2" borderId="53" xfId="4" applyFont="1" applyFill="1" applyBorder="1" applyAlignment="1" applyProtection="1">
      <alignment horizontal="center" vertical="center"/>
      <protection locked="0"/>
    </xf>
    <xf numFmtId="0" fontId="19" fillId="2" borderId="51" xfId="4" applyFont="1" applyFill="1" applyBorder="1" applyAlignment="1" applyProtection="1">
      <alignment horizontal="center" vertical="center" shrinkToFit="1"/>
      <protection locked="0"/>
    </xf>
    <xf numFmtId="0" fontId="19" fillId="2" borderId="52" xfId="4" applyFont="1" applyFill="1" applyBorder="1" applyAlignment="1">
      <alignment horizontal="center" vertical="center" shrinkToFit="1"/>
    </xf>
    <xf numFmtId="0" fontId="19" fillId="2" borderId="53" xfId="4" applyFont="1" applyFill="1" applyBorder="1" applyAlignment="1" applyProtection="1">
      <alignment horizontal="center" vertical="center" shrinkToFit="1"/>
      <protection locked="0"/>
    </xf>
    <xf numFmtId="0" fontId="32" fillId="0" borderId="0" xfId="0" applyFont="1">
      <alignment vertical="center"/>
    </xf>
    <xf numFmtId="0" fontId="6" fillId="0" borderId="0" xfId="2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20" fillId="0" borderId="0" xfId="3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9" fillId="2" borderId="63" xfId="4" applyFont="1" applyFill="1" applyBorder="1" applyAlignment="1" applyProtection="1">
      <alignment horizontal="center" vertical="center" shrinkToFit="1"/>
      <protection locked="0"/>
    </xf>
    <xf numFmtId="0" fontId="19" fillId="2" borderId="86" xfId="4" applyFont="1" applyFill="1" applyBorder="1" applyAlignment="1" applyProtection="1">
      <alignment horizontal="center" vertical="center" shrinkToFit="1"/>
      <protection locked="0"/>
    </xf>
    <xf numFmtId="12" fontId="37" fillId="0" borderId="0" xfId="1" quotePrefix="1" applyNumberFormat="1" applyFont="1" applyAlignment="1">
      <alignment horizontal="center" vertical="center"/>
    </xf>
    <xf numFmtId="41" fontId="37" fillId="0" borderId="0" xfId="1" applyFont="1" applyAlignment="1">
      <alignment horizontal="center" vertical="center"/>
    </xf>
    <xf numFmtId="0" fontId="38" fillId="0" borderId="0" xfId="2" applyFont="1" applyAlignment="1">
      <alignment horizontal="center" vertical="center"/>
    </xf>
    <xf numFmtId="0" fontId="38" fillId="0" borderId="0" xfId="3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21" fillId="2" borderId="67" xfId="4" applyFont="1" applyFill="1" applyBorder="1" applyAlignment="1" applyProtection="1">
      <alignment horizontal="center" vertical="center" shrinkToFit="1"/>
      <protection locked="0"/>
    </xf>
    <xf numFmtId="0" fontId="21" fillId="2" borderId="68" xfId="4" applyFont="1" applyFill="1" applyBorder="1" applyAlignment="1" applyProtection="1">
      <alignment horizontal="center" vertical="center" shrinkToFit="1"/>
      <protection locked="0"/>
    </xf>
    <xf numFmtId="0" fontId="21" fillId="2" borderId="52" xfId="4" applyFont="1" applyFill="1" applyBorder="1" applyAlignment="1" applyProtection="1">
      <alignment horizontal="center" vertical="center" shrinkToFit="1"/>
      <protection locked="0"/>
    </xf>
    <xf numFmtId="0" fontId="19" fillId="2" borderId="55" xfId="4" applyFont="1" applyFill="1" applyBorder="1" applyAlignment="1" applyProtection="1">
      <alignment horizontal="center" vertical="center" shrinkToFit="1"/>
      <protection locked="0"/>
    </xf>
    <xf numFmtId="0" fontId="19" fillId="2" borderId="56" xfId="4" applyFont="1" applyFill="1" applyBorder="1" applyAlignment="1" applyProtection="1">
      <alignment horizontal="center" vertical="center" shrinkToFit="1"/>
      <protection locked="0"/>
    </xf>
    <xf numFmtId="41" fontId="21" fillId="0" borderId="69" xfId="0" applyNumberFormat="1" applyFont="1" applyBorder="1" applyAlignment="1" applyProtection="1">
      <alignment horizontal="center" vertical="center" shrinkToFit="1"/>
      <protection locked="0"/>
    </xf>
    <xf numFmtId="41" fontId="21" fillId="0" borderId="70" xfId="0" applyNumberFormat="1" applyFont="1" applyBorder="1" applyAlignment="1" applyProtection="1">
      <alignment horizontal="center" vertical="center" shrinkToFit="1"/>
      <protection locked="0"/>
    </xf>
    <xf numFmtId="41" fontId="21" fillId="0" borderId="71" xfId="0" applyNumberFormat="1" applyFont="1" applyBorder="1" applyAlignment="1" applyProtection="1">
      <alignment horizontal="center" vertical="center" shrinkToFit="1"/>
      <protection locked="0"/>
    </xf>
    <xf numFmtId="0" fontId="26" fillId="2" borderId="72" xfId="4" applyFont="1" applyFill="1" applyBorder="1" applyAlignment="1" applyProtection="1">
      <alignment horizontal="center" vertical="center" wrapText="1"/>
      <protection locked="0"/>
    </xf>
    <xf numFmtId="0" fontId="26" fillId="2" borderId="56" xfId="4" applyFont="1" applyFill="1" applyBorder="1" applyAlignment="1" applyProtection="1">
      <alignment horizontal="center" vertical="center"/>
      <protection locked="0"/>
    </xf>
    <xf numFmtId="0" fontId="26" fillId="2" borderId="0" xfId="4" applyFont="1" applyFill="1" applyAlignment="1" applyProtection="1">
      <alignment horizontal="center" vertical="center"/>
      <protection locked="0"/>
    </xf>
    <xf numFmtId="0" fontId="26" fillId="2" borderId="73" xfId="4" applyFont="1" applyFill="1" applyBorder="1" applyAlignment="1" applyProtection="1">
      <alignment horizontal="center" vertical="center"/>
      <protection locked="0"/>
    </xf>
    <xf numFmtId="0" fontId="26" fillId="2" borderId="76" xfId="4" applyFont="1" applyFill="1" applyBorder="1" applyAlignment="1" applyProtection="1">
      <alignment horizontal="center" vertical="center"/>
      <protection locked="0"/>
    </xf>
    <xf numFmtId="0" fontId="26" fillId="2" borderId="77" xfId="4" applyFont="1" applyFill="1" applyBorder="1" applyAlignment="1" applyProtection="1">
      <alignment horizontal="center" vertical="center"/>
      <protection locked="0"/>
    </xf>
    <xf numFmtId="0" fontId="26" fillId="2" borderId="78" xfId="4" applyFont="1" applyFill="1" applyBorder="1" applyAlignment="1" applyProtection="1">
      <alignment horizontal="center" vertical="center"/>
      <protection locked="0"/>
    </xf>
    <xf numFmtId="0" fontId="26" fillId="2" borderId="74" xfId="4" applyFont="1" applyFill="1" applyBorder="1" applyAlignment="1" applyProtection="1">
      <alignment horizontal="center" vertical="center" wrapText="1"/>
      <protection locked="0"/>
    </xf>
    <xf numFmtId="0" fontId="26" fillId="2" borderId="0" xfId="4" applyFont="1" applyFill="1" applyAlignment="1" applyProtection="1">
      <alignment horizontal="center" vertical="center" wrapText="1"/>
      <protection locked="0"/>
    </xf>
    <xf numFmtId="0" fontId="26" fillId="2" borderId="56" xfId="4" applyFont="1" applyFill="1" applyBorder="1" applyAlignment="1" applyProtection="1">
      <alignment horizontal="center" vertical="center" wrapText="1"/>
      <protection locked="0"/>
    </xf>
    <xf numFmtId="0" fontId="26" fillId="2" borderId="75" xfId="4" applyFont="1" applyFill="1" applyBorder="1" applyAlignment="1" applyProtection="1">
      <alignment horizontal="center" vertical="center" wrapText="1"/>
      <protection locked="0"/>
    </xf>
    <xf numFmtId="0" fontId="26" fillId="2" borderId="79" xfId="4" applyFont="1" applyFill="1" applyBorder="1" applyAlignment="1" applyProtection="1">
      <alignment horizontal="center" vertical="center" wrapText="1"/>
      <protection locked="0"/>
    </xf>
    <xf numFmtId="0" fontId="26" fillId="2" borderId="77" xfId="4" applyFont="1" applyFill="1" applyBorder="1" applyAlignment="1" applyProtection="1">
      <alignment horizontal="center" vertical="center" wrapText="1"/>
      <protection locked="0"/>
    </xf>
    <xf numFmtId="0" fontId="26" fillId="2" borderId="80" xfId="4" applyFont="1" applyFill="1" applyBorder="1" applyAlignment="1" applyProtection="1">
      <alignment horizontal="center" vertical="center" wrapText="1"/>
      <protection locked="0"/>
    </xf>
    <xf numFmtId="0" fontId="19" fillId="2" borderId="55" xfId="4" applyFont="1" applyFill="1" applyBorder="1" applyAlignment="1" applyProtection="1">
      <alignment horizontal="center" vertical="center" wrapText="1" shrinkToFit="1"/>
      <protection locked="0"/>
    </xf>
    <xf numFmtId="0" fontId="19" fillId="2" borderId="56" xfId="4" applyFont="1" applyFill="1" applyBorder="1" applyAlignment="1" applyProtection="1">
      <alignment horizontal="center" vertical="center" wrapText="1" shrinkToFit="1"/>
      <protection locked="0"/>
    </xf>
    <xf numFmtId="0" fontId="19" fillId="2" borderId="64" xfId="4" applyFont="1" applyFill="1" applyBorder="1" applyAlignment="1" applyProtection="1">
      <alignment horizontal="center" vertical="center" shrinkToFit="1"/>
      <protection locked="0"/>
    </xf>
    <xf numFmtId="41" fontId="19" fillId="0" borderId="64" xfId="0" applyNumberFormat="1" applyFont="1" applyBorder="1" applyAlignment="1" applyProtection="1">
      <alignment horizontal="center" vertical="center" shrinkToFit="1"/>
      <protection locked="0"/>
    </xf>
    <xf numFmtId="41" fontId="19" fillId="2" borderId="64" xfId="4" applyNumberFormat="1" applyFont="1" applyFill="1" applyBorder="1" applyAlignment="1" applyProtection="1">
      <alignment horizontal="center" vertical="center" shrinkToFit="1"/>
      <protection locked="0"/>
    </xf>
    <xf numFmtId="0" fontId="19" fillId="2" borderId="64" xfId="4" applyFont="1" applyFill="1" applyBorder="1" applyAlignment="1" applyProtection="1">
      <alignment horizontal="center" vertical="center"/>
      <protection locked="0"/>
    </xf>
    <xf numFmtId="14" fontId="19" fillId="2" borderId="65" xfId="4" applyNumberFormat="1" applyFont="1" applyFill="1" applyBorder="1" applyAlignment="1" applyProtection="1">
      <alignment horizontal="center" vertical="center" shrinkToFit="1"/>
      <protection locked="0"/>
    </xf>
    <xf numFmtId="0" fontId="19" fillId="2" borderId="66" xfId="4" applyFont="1" applyFill="1" applyBorder="1" applyAlignment="1" applyProtection="1">
      <alignment horizontal="center" vertical="center" shrinkToFit="1"/>
      <protection locked="0"/>
    </xf>
    <xf numFmtId="41" fontId="21" fillId="0" borderId="83" xfId="0" applyNumberFormat="1" applyFont="1" applyBorder="1" applyAlignment="1" applyProtection="1">
      <alignment horizontal="center" vertical="center" shrinkToFit="1"/>
      <protection locked="0"/>
    </xf>
    <xf numFmtId="41" fontId="21" fillId="0" borderId="84" xfId="0" applyNumberFormat="1" applyFont="1" applyBorder="1" applyAlignment="1" applyProtection="1">
      <alignment horizontal="center" vertical="center" shrinkToFit="1"/>
      <protection locked="0"/>
    </xf>
    <xf numFmtId="41" fontId="21" fillId="0" borderId="65" xfId="0" applyNumberFormat="1" applyFont="1" applyBorder="1" applyAlignment="1" applyProtection="1">
      <alignment horizontal="center" vertical="center" shrinkToFit="1"/>
      <protection locked="0"/>
    </xf>
    <xf numFmtId="0" fontId="19" fillId="2" borderId="21" xfId="4" applyFont="1" applyFill="1" applyBorder="1" applyAlignment="1" applyProtection="1">
      <alignment horizontal="center" vertical="center" shrinkToFit="1"/>
      <protection locked="0"/>
    </xf>
    <xf numFmtId="0" fontId="19" fillId="2" borderId="32" xfId="4" applyFont="1" applyFill="1" applyBorder="1" applyAlignment="1" applyProtection="1">
      <alignment horizontal="center" vertical="center" shrinkToFit="1"/>
      <protection locked="0"/>
    </xf>
    <xf numFmtId="0" fontId="19" fillId="2" borderId="33" xfId="4" applyFont="1" applyFill="1" applyBorder="1" applyAlignment="1" applyProtection="1">
      <alignment horizontal="center" vertical="center" shrinkToFit="1"/>
      <protection locked="0"/>
    </xf>
    <xf numFmtId="14" fontId="19" fillId="2" borderId="67" xfId="4" applyNumberFormat="1" applyFont="1" applyFill="1" applyBorder="1" applyAlignment="1" applyProtection="1">
      <alignment horizontal="center" vertical="center" shrinkToFit="1"/>
      <protection locked="0"/>
    </xf>
    <xf numFmtId="0" fontId="19" fillId="2" borderId="68" xfId="4" applyFont="1" applyFill="1" applyBorder="1" applyAlignment="1" applyProtection="1">
      <alignment horizontal="center" vertical="center" shrinkToFit="1"/>
      <protection locked="0"/>
    </xf>
    <xf numFmtId="0" fontId="19" fillId="2" borderId="65" xfId="4" applyFont="1" applyFill="1" applyBorder="1" applyAlignment="1" applyProtection="1">
      <alignment horizontal="center" vertical="center" shrinkToFit="1"/>
      <protection locked="0"/>
    </xf>
    <xf numFmtId="0" fontId="26" fillId="2" borderId="53" xfId="4" applyFont="1" applyFill="1" applyBorder="1" applyAlignment="1" applyProtection="1">
      <alignment horizontal="center" vertical="center"/>
      <protection locked="0"/>
    </xf>
    <xf numFmtId="0" fontId="26" fillId="0" borderId="53" xfId="0" applyFont="1" applyBorder="1" applyAlignment="1" applyProtection="1">
      <alignment horizontal="center" vertical="center"/>
      <protection locked="0"/>
    </xf>
    <xf numFmtId="0" fontId="26" fillId="0" borderId="63" xfId="0" applyFont="1" applyBorder="1" applyAlignment="1" applyProtection="1">
      <alignment horizontal="center" vertical="center"/>
      <protection locked="0"/>
    </xf>
    <xf numFmtId="0" fontId="28" fillId="2" borderId="64" xfId="4" applyFont="1" applyFill="1" applyBorder="1" applyAlignment="1" applyProtection="1">
      <alignment horizontal="center" vertical="center"/>
      <protection locked="0"/>
    </xf>
    <xf numFmtId="0" fontId="28" fillId="0" borderId="64" xfId="0" applyFont="1" applyBorder="1" applyAlignment="1" applyProtection="1">
      <alignment horizontal="center" vertical="center"/>
      <protection locked="0"/>
    </xf>
    <xf numFmtId="0" fontId="28" fillId="2" borderId="65" xfId="4" applyFont="1" applyFill="1" applyBorder="1" applyAlignment="1" applyProtection="1">
      <alignment horizontal="center" vertical="center"/>
      <protection locked="0"/>
    </xf>
    <xf numFmtId="0" fontId="28" fillId="2" borderId="66" xfId="4" applyFont="1" applyFill="1" applyBorder="1" applyAlignment="1" applyProtection="1">
      <alignment horizontal="center" vertical="center"/>
      <protection locked="0"/>
    </xf>
    <xf numFmtId="0" fontId="26" fillId="2" borderId="53" xfId="4" applyFont="1" applyFill="1" applyBorder="1" applyAlignment="1" applyProtection="1">
      <alignment horizontal="center" vertical="center" wrapText="1"/>
      <protection locked="0"/>
    </xf>
    <xf numFmtId="176" fontId="27" fillId="2" borderId="53" xfId="4" applyNumberFormat="1" applyFont="1" applyFill="1" applyBorder="1" applyAlignment="1" applyProtection="1">
      <alignment horizontal="right" vertical="center" wrapText="1"/>
      <protection locked="0"/>
    </xf>
    <xf numFmtId="177" fontId="27" fillId="2" borderId="53" xfId="4" applyNumberFormat="1" applyFont="1" applyFill="1" applyBorder="1" applyAlignment="1" applyProtection="1">
      <alignment horizontal="right" vertical="center" wrapText="1"/>
      <protection locked="0"/>
    </xf>
    <xf numFmtId="177" fontId="27" fillId="2" borderId="61" xfId="4" applyNumberFormat="1" applyFont="1" applyFill="1" applyBorder="1" applyAlignment="1" applyProtection="1">
      <alignment horizontal="right" vertical="center" wrapText="1"/>
      <protection locked="0"/>
    </xf>
    <xf numFmtId="0" fontId="26" fillId="2" borderId="61" xfId="4" applyFont="1" applyFill="1" applyBorder="1" applyAlignment="1" applyProtection="1">
      <alignment horizontal="center" vertical="center"/>
      <protection locked="0"/>
    </xf>
    <xf numFmtId="0" fontId="17" fillId="2" borderId="53" xfId="4" applyFont="1" applyFill="1" applyBorder="1" applyAlignment="1" applyProtection="1">
      <alignment horizontal="center" vertical="center" wrapText="1" shrinkToFit="1"/>
      <protection locked="0"/>
    </xf>
    <xf numFmtId="0" fontId="17" fillId="2" borderId="53" xfId="4" applyFont="1" applyFill="1" applyBorder="1" applyAlignment="1" applyProtection="1">
      <alignment horizontal="center" vertical="center" shrinkToFit="1"/>
      <protection locked="0"/>
    </xf>
    <xf numFmtId="0" fontId="17" fillId="2" borderId="61" xfId="4" applyFont="1" applyFill="1" applyBorder="1" applyAlignment="1" applyProtection="1">
      <alignment horizontal="center" vertical="center" shrinkToFit="1"/>
      <protection locked="0"/>
    </xf>
    <xf numFmtId="0" fontId="17" fillId="2" borderId="54" xfId="4" applyFont="1" applyFill="1" applyBorder="1" applyAlignment="1" applyProtection="1">
      <alignment horizontal="center" vertical="center" shrinkToFit="1"/>
      <protection locked="0"/>
    </xf>
    <xf numFmtId="0" fontId="17" fillId="2" borderId="62" xfId="4" applyFont="1" applyFill="1" applyBorder="1" applyAlignment="1" applyProtection="1">
      <alignment horizontal="center" vertical="center" shrinkToFit="1"/>
      <protection locked="0"/>
    </xf>
    <xf numFmtId="0" fontId="18" fillId="2" borderId="53" xfId="4" applyFont="1" applyFill="1" applyBorder="1" applyAlignment="1" applyProtection="1">
      <alignment horizontal="center" vertical="center" wrapText="1" shrinkToFit="1"/>
      <protection locked="0"/>
    </xf>
    <xf numFmtId="0" fontId="18" fillId="2" borderId="53" xfId="4" applyFont="1" applyFill="1" applyBorder="1" applyAlignment="1" applyProtection="1">
      <alignment horizontal="left" vertical="center" wrapText="1"/>
      <protection locked="0"/>
    </xf>
    <xf numFmtId="0" fontId="18" fillId="2" borderId="54" xfId="4" applyFont="1" applyFill="1" applyBorder="1" applyAlignment="1" applyProtection="1">
      <alignment horizontal="left" vertical="center" wrapText="1"/>
      <protection locked="0"/>
    </xf>
    <xf numFmtId="0" fontId="22" fillId="2" borderId="47" xfId="4" applyFont="1" applyFill="1" applyBorder="1" applyAlignment="1" applyProtection="1">
      <alignment horizontal="center" vertical="center"/>
      <protection locked="0"/>
    </xf>
    <xf numFmtId="0" fontId="22" fillId="2" borderId="48" xfId="4" applyFont="1" applyFill="1" applyBorder="1" applyAlignment="1" applyProtection="1">
      <alignment horizontal="center" vertical="center"/>
      <protection locked="0"/>
    </xf>
    <xf numFmtId="0" fontId="25" fillId="0" borderId="49" xfId="0" applyFont="1" applyBorder="1" applyAlignment="1" applyProtection="1">
      <alignment horizontal="center" vertical="center"/>
      <protection locked="0"/>
    </xf>
    <xf numFmtId="0" fontId="25" fillId="0" borderId="50" xfId="0" applyFont="1" applyBorder="1" applyAlignment="1" applyProtection="1">
      <alignment horizontal="center" vertical="center"/>
      <protection locked="0"/>
    </xf>
    <xf numFmtId="0" fontId="25" fillId="0" borderId="51" xfId="0" applyFont="1" applyBorder="1" applyAlignment="1" applyProtection="1">
      <alignment horizontal="center" vertical="center"/>
      <protection locked="0"/>
    </xf>
    <xf numFmtId="0" fontId="25" fillId="0" borderId="52" xfId="0" applyFont="1" applyBorder="1" applyAlignment="1" applyProtection="1">
      <alignment horizontal="center" vertical="center"/>
      <protection locked="0"/>
    </xf>
    <xf numFmtId="0" fontId="25" fillId="0" borderId="53" xfId="0" applyFont="1" applyBorder="1" applyAlignment="1" applyProtection="1">
      <alignment horizontal="center" vertical="center"/>
      <protection locked="0"/>
    </xf>
    <xf numFmtId="0" fontId="25" fillId="0" borderId="54" xfId="0" applyFont="1" applyBorder="1" applyAlignment="1" applyProtection="1">
      <alignment horizontal="center" vertical="center"/>
      <protection locked="0"/>
    </xf>
    <xf numFmtId="0" fontId="26" fillId="2" borderId="51" xfId="4" applyFont="1" applyFill="1" applyBorder="1" applyAlignment="1" applyProtection="1">
      <alignment horizontal="center" vertical="center" wrapText="1"/>
      <protection locked="0"/>
    </xf>
    <xf numFmtId="0" fontId="15" fillId="2" borderId="53" xfId="4" applyFont="1" applyFill="1" applyBorder="1" applyAlignment="1" applyProtection="1">
      <alignment horizontal="center" vertical="center" shrinkToFit="1"/>
      <protection locked="0"/>
    </xf>
    <xf numFmtId="0" fontId="26" fillId="2" borderId="61" xfId="4" applyFont="1" applyFill="1" applyBorder="1" applyAlignment="1" applyProtection="1">
      <alignment horizontal="center" vertical="center" wrapText="1"/>
      <protection locked="0"/>
    </xf>
    <xf numFmtId="0" fontId="15" fillId="2" borderId="53" xfId="4" applyFont="1" applyFill="1" applyBorder="1" applyAlignment="1" applyProtection="1">
      <alignment horizontal="center" vertical="center"/>
      <protection locked="0"/>
    </xf>
    <xf numFmtId="0" fontId="15" fillId="2" borderId="54" xfId="4" applyFont="1" applyFill="1" applyBorder="1" applyAlignment="1" applyProtection="1">
      <alignment horizontal="center" vertical="center"/>
      <protection locked="0"/>
    </xf>
    <xf numFmtId="0" fontId="16" fillId="2" borderId="55" xfId="4" applyFont="1" applyFill="1" applyBorder="1" applyAlignment="1" applyProtection="1">
      <alignment horizontal="center" vertical="center" wrapText="1"/>
      <protection locked="0"/>
    </xf>
    <xf numFmtId="0" fontId="16" fillId="2" borderId="56" xfId="4" applyFont="1" applyFill="1" applyBorder="1" applyAlignment="1" applyProtection="1">
      <alignment horizontal="center" vertical="center" wrapText="1"/>
      <protection locked="0"/>
    </xf>
    <xf numFmtId="0" fontId="16" fillId="2" borderId="57" xfId="4" applyFont="1" applyFill="1" applyBorder="1" applyAlignment="1" applyProtection="1">
      <alignment horizontal="center" vertical="center" wrapText="1"/>
      <protection locked="0"/>
    </xf>
    <xf numFmtId="0" fontId="16" fillId="2" borderId="58" xfId="4" applyFont="1" applyFill="1" applyBorder="1" applyAlignment="1" applyProtection="1">
      <alignment horizontal="center" vertical="center" wrapText="1"/>
      <protection locked="0"/>
    </xf>
    <xf numFmtId="0" fontId="16" fillId="2" borderId="59" xfId="4" applyFont="1" applyFill="1" applyBorder="1" applyAlignment="1" applyProtection="1">
      <alignment horizontal="center" vertical="center" wrapText="1"/>
      <protection locked="0"/>
    </xf>
    <xf numFmtId="0" fontId="16" fillId="2" borderId="60" xfId="4" applyFont="1" applyFill="1" applyBorder="1" applyAlignment="1" applyProtection="1">
      <alignment horizontal="center" vertical="center" wrapText="1"/>
      <protection locked="0"/>
    </xf>
    <xf numFmtId="0" fontId="21" fillId="2" borderId="40" xfId="4" applyFont="1" applyFill="1" applyBorder="1" applyAlignment="1" applyProtection="1">
      <alignment horizontal="center" vertical="center" shrinkToFit="1"/>
      <protection locked="0"/>
    </xf>
    <xf numFmtId="0" fontId="21" fillId="2" borderId="41" xfId="4" applyFont="1" applyFill="1" applyBorder="1" applyAlignment="1" applyProtection="1">
      <alignment horizontal="center" vertical="center" shrinkToFit="1"/>
      <protection locked="0"/>
    </xf>
    <xf numFmtId="0" fontId="21" fillId="2" borderId="42" xfId="4" applyFont="1" applyFill="1" applyBorder="1" applyAlignment="1" applyProtection="1">
      <alignment horizontal="center" vertical="center" shrinkToFit="1"/>
      <protection locked="0"/>
    </xf>
    <xf numFmtId="0" fontId="19" fillId="2" borderId="11" xfId="4" applyFont="1" applyFill="1" applyBorder="1" applyAlignment="1" applyProtection="1">
      <alignment horizontal="left" vertical="center" shrinkToFit="1"/>
      <protection locked="0"/>
    </xf>
    <xf numFmtId="0" fontId="19" fillId="0" borderId="11" xfId="0" applyFont="1" applyBorder="1" applyAlignment="1" applyProtection="1">
      <alignment horizontal="left" vertical="center" shrinkToFit="1"/>
      <protection locked="0"/>
    </xf>
    <xf numFmtId="41" fontId="21" fillId="0" borderId="41" xfId="0" applyNumberFormat="1" applyFont="1" applyBorder="1" applyAlignment="1" applyProtection="1">
      <alignment horizontal="center" vertical="center" shrinkToFit="1"/>
      <protection locked="0"/>
    </xf>
    <xf numFmtId="41" fontId="21" fillId="0" borderId="44" xfId="0" applyNumberFormat="1" applyFont="1" applyBorder="1" applyAlignment="1" applyProtection="1">
      <alignment horizontal="center" vertical="center" shrinkToFit="1"/>
      <protection locked="0"/>
    </xf>
    <xf numFmtId="0" fontId="14" fillId="2" borderId="1" xfId="4" applyFont="1" applyFill="1" applyBorder="1" applyAlignment="1" applyProtection="1">
      <alignment horizontal="center" vertical="center" wrapText="1"/>
      <protection locked="0"/>
    </xf>
    <xf numFmtId="0" fontId="0" fillId="0" borderId="2" xfId="0" applyBorder="1">
      <alignment vertical="center"/>
    </xf>
    <xf numFmtId="0" fontId="0" fillId="0" borderId="29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45" xfId="0" applyBorder="1">
      <alignment vertical="center"/>
    </xf>
    <xf numFmtId="0" fontId="14" fillId="2" borderId="9" xfId="4" applyFont="1" applyFill="1" applyBorder="1" applyAlignment="1" applyProtection="1">
      <alignment horizontal="center" vertical="center" wrapText="1" shrinkToFit="1"/>
      <protection locked="0"/>
    </xf>
    <xf numFmtId="0" fontId="14" fillId="2" borderId="2" xfId="4" applyFont="1" applyFill="1" applyBorder="1" applyAlignment="1" applyProtection="1">
      <alignment horizontal="center" vertical="center" wrapText="1" shrinkToFit="1"/>
      <protection locked="0"/>
    </xf>
    <xf numFmtId="0" fontId="14" fillId="2" borderId="3" xfId="4" applyFont="1" applyFill="1" applyBorder="1" applyAlignment="1" applyProtection="1">
      <alignment horizontal="center" vertical="center" wrapText="1" shrinkToFit="1"/>
      <protection locked="0"/>
    </xf>
    <xf numFmtId="0" fontId="14" fillId="2" borderId="43" xfId="4" applyFont="1" applyFill="1" applyBorder="1" applyAlignment="1" applyProtection="1">
      <alignment horizontal="center" vertical="center" wrapText="1" shrinkToFit="1"/>
      <protection locked="0"/>
    </xf>
    <xf numFmtId="0" fontId="14" fillId="2" borderId="5" xfId="4" applyFont="1" applyFill="1" applyBorder="1" applyAlignment="1" applyProtection="1">
      <alignment horizontal="center" vertical="center" wrapText="1" shrinkToFit="1"/>
      <protection locked="0"/>
    </xf>
    <xf numFmtId="0" fontId="14" fillId="2" borderId="6" xfId="4" applyFont="1" applyFill="1" applyBorder="1" applyAlignment="1" applyProtection="1">
      <alignment horizontal="center" vertical="center" wrapText="1" shrinkToFit="1"/>
      <protection locked="0"/>
    </xf>
    <xf numFmtId="0" fontId="19" fillId="2" borderId="15" xfId="4" applyFont="1" applyFill="1" applyBorder="1" applyAlignment="1" applyProtection="1">
      <alignment horizontal="center" vertical="center" wrapText="1"/>
      <protection locked="0"/>
    </xf>
    <xf numFmtId="0" fontId="19" fillId="2" borderId="16" xfId="4" applyFont="1" applyFill="1" applyBorder="1" applyAlignment="1" applyProtection="1">
      <alignment horizontal="center" vertical="center" wrapText="1"/>
      <protection locked="0"/>
    </xf>
    <xf numFmtId="0" fontId="19" fillId="2" borderId="17" xfId="4" applyFont="1" applyFill="1" applyBorder="1" applyAlignment="1" applyProtection="1">
      <alignment horizontal="center" vertical="center" wrapText="1"/>
      <protection locked="0"/>
    </xf>
    <xf numFmtId="41" fontId="19" fillId="0" borderId="21" xfId="0" applyNumberFormat="1" applyFont="1" applyBorder="1" applyAlignment="1" applyProtection="1">
      <alignment horizontal="center" vertical="center" shrinkToFit="1"/>
      <protection locked="0"/>
    </xf>
    <xf numFmtId="41" fontId="19" fillId="0" borderId="32" xfId="0" applyNumberFormat="1" applyFont="1" applyBorder="1" applyAlignment="1" applyProtection="1">
      <alignment horizontal="center" vertical="center" shrinkToFit="1"/>
      <protection locked="0"/>
    </xf>
    <xf numFmtId="41" fontId="19" fillId="0" borderId="33" xfId="0" applyNumberFormat="1" applyFont="1" applyBorder="1" applyAlignment="1" applyProtection="1">
      <alignment horizontal="center" vertical="center" shrinkToFit="1"/>
      <protection locked="0"/>
    </xf>
    <xf numFmtId="41" fontId="19" fillId="2" borderId="21" xfId="4" applyNumberFormat="1" applyFont="1" applyFill="1" applyBorder="1" applyAlignment="1" applyProtection="1">
      <alignment horizontal="center" vertical="center" shrinkToFit="1"/>
      <protection locked="0"/>
    </xf>
    <xf numFmtId="41" fontId="19" fillId="2" borderId="32" xfId="4" applyNumberFormat="1" applyFont="1" applyFill="1" applyBorder="1" applyAlignment="1" applyProtection="1">
      <alignment horizontal="center" vertical="center" shrinkToFit="1"/>
      <protection locked="0"/>
    </xf>
    <xf numFmtId="0" fontId="19" fillId="2" borderId="34" xfId="4" applyFont="1" applyFill="1" applyBorder="1" applyAlignment="1" applyProtection="1">
      <alignment horizontal="center" vertical="center"/>
      <protection locked="0"/>
    </xf>
    <xf numFmtId="0" fontId="19" fillId="2" borderId="35" xfId="4" applyFont="1" applyFill="1" applyBorder="1" applyAlignment="1" applyProtection="1">
      <alignment horizontal="center" vertical="center"/>
      <protection locked="0"/>
    </xf>
    <xf numFmtId="0" fontId="19" fillId="2" borderId="36" xfId="4" applyFont="1" applyFill="1" applyBorder="1" applyAlignment="1" applyProtection="1">
      <alignment horizontal="center" vertical="center"/>
      <protection locked="0"/>
    </xf>
    <xf numFmtId="14" fontId="19" fillId="2" borderId="32" xfId="4" applyNumberFormat="1" applyFont="1" applyFill="1" applyBorder="1" applyAlignment="1" applyProtection="1">
      <alignment horizontal="center" vertical="center" shrinkToFit="1"/>
      <protection locked="0"/>
    </xf>
    <xf numFmtId="41" fontId="19" fillId="2" borderId="37" xfId="4" applyNumberFormat="1" applyFont="1" applyFill="1" applyBorder="1" applyAlignment="1" applyProtection="1">
      <alignment horizontal="center" vertical="center" shrinkToFit="1"/>
      <protection locked="0"/>
    </xf>
    <xf numFmtId="41" fontId="21" fillId="0" borderId="24" xfId="0" applyNumberFormat="1" applyFont="1" applyBorder="1" applyAlignment="1" applyProtection="1">
      <alignment horizontal="center" vertical="center" shrinkToFit="1"/>
      <protection locked="0"/>
    </xf>
    <xf numFmtId="41" fontId="21" fillId="0" borderId="91" xfId="0" applyNumberFormat="1" applyFont="1" applyBorder="1" applyAlignment="1" applyProtection="1">
      <alignment horizontal="center" vertical="center" shrinkToFit="1"/>
      <protection locked="0"/>
    </xf>
    <xf numFmtId="41" fontId="21" fillId="0" borderId="89" xfId="0" applyNumberFormat="1" applyFont="1" applyBorder="1" applyAlignment="1" applyProtection="1">
      <alignment horizontal="center" vertical="center" shrinkToFit="1"/>
      <protection locked="0"/>
    </xf>
    <xf numFmtId="41" fontId="21" fillId="0" borderId="90" xfId="0" applyNumberFormat="1" applyFont="1" applyBorder="1" applyAlignment="1" applyProtection="1">
      <alignment horizontal="center" vertical="center" shrinkToFit="1"/>
      <protection locked="0"/>
    </xf>
    <xf numFmtId="0" fontId="19" fillId="2" borderId="15" xfId="4" applyFont="1" applyFill="1" applyBorder="1" applyAlignment="1" applyProtection="1">
      <alignment horizontal="center" vertical="center" shrinkToFit="1"/>
      <protection locked="0"/>
    </xf>
    <xf numFmtId="0" fontId="19" fillId="2" borderId="16" xfId="4" applyFont="1" applyFill="1" applyBorder="1" applyAlignment="1" applyProtection="1">
      <alignment horizontal="center" vertical="center" shrinkToFit="1"/>
      <protection locked="0"/>
    </xf>
    <xf numFmtId="0" fontId="19" fillId="2" borderId="17" xfId="4" applyFont="1" applyFill="1" applyBorder="1" applyAlignment="1" applyProtection="1">
      <alignment horizontal="center" vertical="center" shrinkToFit="1"/>
      <protection locked="0"/>
    </xf>
    <xf numFmtId="14" fontId="19" fillId="0" borderId="32" xfId="4" applyNumberFormat="1" applyFont="1" applyBorder="1" applyAlignment="1" applyProtection="1">
      <alignment horizontal="center" vertical="center" shrinkToFit="1"/>
      <protection locked="0"/>
    </xf>
    <xf numFmtId="41" fontId="19" fillId="0" borderId="32" xfId="4" applyNumberFormat="1" applyFont="1" applyBorder="1" applyAlignment="1" applyProtection="1">
      <alignment horizontal="center" vertical="center" shrinkToFit="1"/>
      <protection locked="0"/>
    </xf>
    <xf numFmtId="41" fontId="19" fillId="0" borderId="37" xfId="4" applyNumberFormat="1" applyFont="1" applyBorder="1" applyAlignment="1" applyProtection="1">
      <alignment horizontal="center" vertical="center" shrinkToFit="1"/>
      <protection locked="0"/>
    </xf>
    <xf numFmtId="0" fontId="14" fillId="2" borderId="8" xfId="4" applyFont="1" applyFill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27" xfId="0" applyFont="1" applyBorder="1" applyAlignment="1" applyProtection="1">
      <alignment horizontal="center" vertical="center"/>
      <protection locked="0"/>
    </xf>
    <xf numFmtId="0" fontId="14" fillId="0" borderId="28" xfId="0" applyFont="1" applyBorder="1" applyAlignment="1" applyProtection="1">
      <alignment horizontal="center" vertical="center"/>
      <protection locked="0"/>
    </xf>
    <xf numFmtId="0" fontId="14" fillId="0" borderId="26" xfId="0" applyFont="1" applyBorder="1" applyAlignment="1" applyProtection="1">
      <alignment horizontal="center" vertical="center"/>
      <protection locked="0"/>
    </xf>
    <xf numFmtId="0" fontId="14" fillId="2" borderId="2" xfId="4" applyFont="1" applyFill="1" applyBorder="1" applyAlignment="1" applyProtection="1">
      <alignment horizontal="center" vertical="center"/>
      <protection locked="0"/>
    </xf>
    <xf numFmtId="0" fontId="14" fillId="2" borderId="29" xfId="4" applyFont="1" applyFill="1" applyBorder="1" applyAlignment="1" applyProtection="1">
      <alignment horizontal="center" vertical="center"/>
      <protection locked="0"/>
    </xf>
    <xf numFmtId="0" fontId="14" fillId="2" borderId="27" xfId="4" applyFont="1" applyFill="1" applyBorder="1" applyAlignment="1" applyProtection="1">
      <alignment horizontal="center" vertical="center"/>
      <protection locked="0"/>
    </xf>
    <xf numFmtId="0" fontId="14" fillId="2" borderId="28" xfId="4" applyFont="1" applyFill="1" applyBorder="1" applyAlignment="1" applyProtection="1">
      <alignment horizontal="center" vertical="center"/>
      <protection locked="0"/>
    </xf>
    <xf numFmtId="0" fontId="14" fillId="2" borderId="30" xfId="4" applyFont="1" applyFill="1" applyBorder="1" applyAlignment="1" applyProtection="1">
      <alignment horizontal="center" vertical="center"/>
      <protection locked="0"/>
    </xf>
    <xf numFmtId="14" fontId="19" fillId="2" borderId="31" xfId="4" applyNumberFormat="1" applyFont="1" applyFill="1" applyBorder="1" applyAlignment="1" applyProtection="1">
      <alignment horizontal="center" vertical="center" shrinkToFit="1"/>
      <protection locked="0"/>
    </xf>
    <xf numFmtId="14" fontId="19" fillId="2" borderId="33" xfId="4" applyNumberFormat="1" applyFont="1" applyFill="1" applyBorder="1" applyAlignment="1" applyProtection="1">
      <alignment horizontal="center" vertical="center" shrinkToFit="1"/>
      <protection locked="0"/>
    </xf>
    <xf numFmtId="0" fontId="14" fillId="2" borderId="11" xfId="4" applyFont="1" applyFill="1" applyBorder="1" applyAlignment="1" applyProtection="1">
      <alignment horizontal="center" vertical="center" wrapText="1"/>
      <protection locked="0"/>
    </xf>
    <xf numFmtId="0" fontId="14" fillId="2" borderId="23" xfId="4" applyFont="1" applyFill="1" applyBorder="1" applyAlignment="1" applyProtection="1">
      <alignment horizontal="center" vertical="center" wrapText="1"/>
      <protection locked="0"/>
    </xf>
    <xf numFmtId="176" fontId="15" fillId="2" borderId="11" xfId="4" applyNumberFormat="1" applyFont="1" applyFill="1" applyBorder="1" applyAlignment="1" applyProtection="1">
      <alignment horizontal="right" vertical="center"/>
      <protection locked="0"/>
    </xf>
    <xf numFmtId="177" fontId="15" fillId="2" borderId="11" xfId="4" applyNumberFormat="1" applyFont="1" applyFill="1" applyBorder="1" applyAlignment="1" applyProtection="1">
      <alignment horizontal="right" vertical="center"/>
      <protection locked="0"/>
    </xf>
    <xf numFmtId="177" fontId="15" fillId="2" borderId="21" xfId="4" applyNumberFormat="1" applyFont="1" applyFill="1" applyBorder="1" applyAlignment="1" applyProtection="1">
      <alignment horizontal="right" vertical="center"/>
      <protection locked="0"/>
    </xf>
    <xf numFmtId="177" fontId="15" fillId="2" borderId="23" xfId="4" applyNumberFormat="1" applyFont="1" applyFill="1" applyBorder="1" applyAlignment="1" applyProtection="1">
      <alignment horizontal="right" vertical="center"/>
      <protection locked="0"/>
    </xf>
    <xf numFmtId="177" fontId="15" fillId="2" borderId="24" xfId="4" applyNumberFormat="1" applyFont="1" applyFill="1" applyBorder="1" applyAlignment="1" applyProtection="1">
      <alignment horizontal="right" vertical="center"/>
      <protection locked="0"/>
    </xf>
    <xf numFmtId="0" fontId="14" fillId="2" borderId="11" xfId="4" applyFont="1" applyFill="1" applyBorder="1" applyAlignment="1" applyProtection="1">
      <alignment horizontal="center" vertical="center"/>
      <protection locked="0"/>
    </xf>
    <xf numFmtId="0" fontId="14" fillId="2" borderId="23" xfId="4" applyFont="1" applyFill="1" applyBorder="1" applyAlignment="1" applyProtection="1">
      <alignment horizontal="center" vertical="center"/>
      <protection locked="0"/>
    </xf>
    <xf numFmtId="0" fontId="16" fillId="2" borderId="11" xfId="4" applyFont="1" applyFill="1" applyBorder="1" applyAlignment="1" applyProtection="1">
      <alignment horizontal="center" vertical="center" wrapText="1" shrinkToFit="1"/>
      <protection locked="0"/>
    </xf>
    <xf numFmtId="0" fontId="16" fillId="2" borderId="11" xfId="4" applyFont="1" applyFill="1" applyBorder="1" applyAlignment="1" applyProtection="1">
      <alignment horizontal="center" vertical="center" shrinkToFit="1"/>
      <protection locked="0"/>
    </xf>
    <xf numFmtId="0" fontId="16" fillId="2" borderId="23" xfId="4" applyFont="1" applyFill="1" applyBorder="1" applyAlignment="1" applyProtection="1">
      <alignment horizontal="center" vertical="center" shrinkToFit="1"/>
      <protection locked="0"/>
    </xf>
    <xf numFmtId="0" fontId="11" fillId="2" borderId="1" xfId="4" applyFont="1" applyFill="1" applyBorder="1" applyAlignment="1" applyProtection="1">
      <alignment horizontal="center" vertical="center"/>
      <protection locked="0"/>
    </xf>
    <xf numFmtId="0" fontId="11" fillId="2" borderId="2" xfId="4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14" fillId="2" borderId="7" xfId="4" applyFont="1" applyFill="1" applyBorder="1" applyAlignment="1" applyProtection="1">
      <alignment horizontal="center" vertical="center" wrapText="1"/>
      <protection locked="0"/>
    </xf>
    <xf numFmtId="0" fontId="14" fillId="2" borderId="10" xfId="4" applyFont="1" applyFill="1" applyBorder="1" applyAlignment="1" applyProtection="1">
      <alignment horizontal="center" vertical="center" wrapText="1"/>
      <protection locked="0"/>
    </xf>
    <xf numFmtId="0" fontId="14" fillId="2" borderId="22" xfId="4" applyFont="1" applyFill="1" applyBorder="1" applyAlignment="1" applyProtection="1">
      <alignment horizontal="center" vertical="center" wrapText="1"/>
      <protection locked="0"/>
    </xf>
    <xf numFmtId="0" fontId="14" fillId="2" borderId="8" xfId="4" applyFont="1" applyFill="1" applyBorder="1" applyAlignment="1" applyProtection="1">
      <alignment horizontal="center" vertical="center" wrapText="1"/>
      <protection locked="0"/>
    </xf>
    <xf numFmtId="0" fontId="15" fillId="2" borderId="9" xfId="4" applyFont="1" applyFill="1" applyBorder="1" applyAlignment="1" applyProtection="1">
      <alignment horizontal="center" vertical="center" shrinkToFit="1"/>
      <protection locked="0"/>
    </xf>
    <xf numFmtId="0" fontId="15" fillId="2" borderId="2" xfId="4" applyFont="1" applyFill="1" applyBorder="1" applyAlignment="1" applyProtection="1">
      <alignment horizontal="center" vertical="center" shrinkToFit="1"/>
      <protection locked="0"/>
    </xf>
    <xf numFmtId="0" fontId="15" fillId="2" borderId="3" xfId="4" applyFont="1" applyFill="1" applyBorder="1" applyAlignment="1" applyProtection="1">
      <alignment horizontal="center" vertical="center" shrinkToFit="1"/>
      <protection locked="0"/>
    </xf>
    <xf numFmtId="0" fontId="15" fillId="2" borderId="12" xfId="4" applyFont="1" applyFill="1" applyBorder="1" applyAlignment="1" applyProtection="1">
      <alignment horizontal="center" vertical="center" shrinkToFit="1"/>
      <protection locked="0"/>
    </xf>
    <xf numFmtId="0" fontId="15" fillId="2" borderId="13" xfId="4" applyFont="1" applyFill="1" applyBorder="1" applyAlignment="1" applyProtection="1">
      <alignment horizontal="center" vertical="center" shrinkToFit="1"/>
      <protection locked="0"/>
    </xf>
    <xf numFmtId="0" fontId="15" fillId="2" borderId="14" xfId="4" applyFont="1" applyFill="1" applyBorder="1" applyAlignment="1" applyProtection="1">
      <alignment horizontal="center" vertical="center" shrinkToFit="1"/>
      <protection locked="0"/>
    </xf>
    <xf numFmtId="0" fontId="15" fillId="2" borderId="9" xfId="4" applyFont="1" applyFill="1" applyBorder="1" applyAlignment="1" applyProtection="1">
      <alignment horizontal="center" vertical="center"/>
      <protection locked="0"/>
    </xf>
    <xf numFmtId="0" fontId="15" fillId="2" borderId="2" xfId="4" applyFont="1" applyFill="1" applyBorder="1" applyAlignment="1" applyProtection="1">
      <alignment horizontal="center" vertical="center"/>
      <protection locked="0"/>
    </xf>
    <xf numFmtId="0" fontId="15" fillId="2" borderId="3" xfId="4" applyFont="1" applyFill="1" applyBorder="1" applyAlignment="1" applyProtection="1">
      <alignment horizontal="center" vertical="center"/>
      <protection locked="0"/>
    </xf>
    <xf numFmtId="0" fontId="15" fillId="2" borderId="12" xfId="4" applyFont="1" applyFill="1" applyBorder="1" applyAlignment="1" applyProtection="1">
      <alignment horizontal="center" vertical="center"/>
      <protection locked="0"/>
    </xf>
    <xf numFmtId="0" fontId="15" fillId="2" borderId="13" xfId="4" applyFont="1" applyFill="1" applyBorder="1" applyAlignment="1" applyProtection="1">
      <alignment horizontal="center" vertical="center"/>
      <protection locked="0"/>
    </xf>
    <xf numFmtId="0" fontId="15" fillId="2" borderId="14" xfId="4" applyFont="1" applyFill="1" applyBorder="1" applyAlignment="1" applyProtection="1">
      <alignment horizontal="center" vertical="center"/>
      <protection locked="0"/>
    </xf>
    <xf numFmtId="0" fontId="16" fillId="2" borderId="15" xfId="4" applyFont="1" applyFill="1" applyBorder="1" applyAlignment="1" applyProtection="1">
      <alignment horizontal="center" vertical="center" wrapText="1"/>
      <protection locked="0"/>
    </xf>
    <xf numFmtId="0" fontId="16" fillId="2" borderId="16" xfId="4" applyFont="1" applyFill="1" applyBorder="1" applyAlignment="1" applyProtection="1">
      <alignment horizontal="center" vertical="center" wrapText="1"/>
      <protection locked="0"/>
    </xf>
    <xf numFmtId="0" fontId="16" fillId="2" borderId="17" xfId="4" applyFont="1" applyFill="1" applyBorder="1" applyAlignment="1" applyProtection="1">
      <alignment horizontal="center" vertical="center" wrapText="1"/>
      <protection locked="0"/>
    </xf>
    <xf numFmtId="0" fontId="16" fillId="2" borderId="12" xfId="4" applyFont="1" applyFill="1" applyBorder="1" applyAlignment="1" applyProtection="1">
      <alignment horizontal="center" vertical="center" wrapText="1"/>
      <protection locked="0"/>
    </xf>
    <xf numFmtId="0" fontId="16" fillId="2" borderId="13" xfId="4" applyFont="1" applyFill="1" applyBorder="1" applyAlignment="1" applyProtection="1">
      <alignment horizontal="center" vertical="center" wrapText="1"/>
      <protection locked="0"/>
    </xf>
    <xf numFmtId="0" fontId="16" fillId="2" borderId="20" xfId="4" applyFont="1" applyFill="1" applyBorder="1" applyAlignment="1" applyProtection="1">
      <alignment horizontal="center" vertical="center" wrapText="1"/>
      <protection locked="0"/>
    </xf>
    <xf numFmtId="0" fontId="16" fillId="2" borderId="18" xfId="4" applyFont="1" applyFill="1" applyBorder="1" applyAlignment="1" applyProtection="1">
      <alignment horizontal="center" vertical="center" wrapText="1"/>
      <protection locked="0"/>
    </xf>
    <xf numFmtId="0" fontId="16" fillId="2" borderId="14" xfId="4" applyFont="1" applyFill="1" applyBorder="1" applyAlignment="1" applyProtection="1">
      <alignment horizontal="center" vertical="center" wrapText="1"/>
      <protection locked="0"/>
    </xf>
    <xf numFmtId="0" fontId="17" fillId="2" borderId="11" xfId="4" applyFont="1" applyFill="1" applyBorder="1" applyAlignment="1" applyProtection="1">
      <alignment horizontal="center" vertical="center" shrinkToFit="1"/>
      <protection locked="0"/>
    </xf>
    <xf numFmtId="0" fontId="17" fillId="2" borderId="19" xfId="4" applyFont="1" applyFill="1" applyBorder="1" applyAlignment="1" applyProtection="1">
      <alignment horizontal="center" vertical="center" shrinkToFit="1"/>
      <protection locked="0"/>
    </xf>
    <xf numFmtId="0" fontId="17" fillId="2" borderId="23" xfId="4" applyFont="1" applyFill="1" applyBorder="1" applyAlignment="1" applyProtection="1">
      <alignment horizontal="center" vertical="center" shrinkToFit="1"/>
      <protection locked="0"/>
    </xf>
    <xf numFmtId="0" fontId="17" fillId="2" borderId="25" xfId="4" applyFont="1" applyFill="1" applyBorder="1" applyAlignment="1" applyProtection="1">
      <alignment horizontal="center" vertical="center" shrinkToFit="1"/>
      <protection locked="0"/>
    </xf>
    <xf numFmtId="0" fontId="18" fillId="2" borderId="15" xfId="4" applyFont="1" applyFill="1" applyBorder="1" applyAlignment="1" applyProtection="1">
      <alignment horizontal="center" vertical="center" wrapText="1" shrinkToFit="1"/>
      <protection locked="0"/>
    </xf>
    <xf numFmtId="0" fontId="18" fillId="2" borderId="16" xfId="4" applyFont="1" applyFill="1" applyBorder="1" applyAlignment="1" applyProtection="1">
      <alignment horizontal="center" vertical="center" wrapText="1" shrinkToFit="1"/>
      <protection locked="0"/>
    </xf>
    <xf numFmtId="0" fontId="18" fillId="2" borderId="12" xfId="4" applyFont="1" applyFill="1" applyBorder="1" applyAlignment="1" applyProtection="1">
      <alignment horizontal="center" vertical="center" wrapText="1" shrinkToFit="1"/>
      <protection locked="0"/>
    </xf>
    <xf numFmtId="0" fontId="18" fillId="2" borderId="13" xfId="4" applyFont="1" applyFill="1" applyBorder="1" applyAlignment="1" applyProtection="1">
      <alignment horizontal="center" vertical="center" wrapText="1" shrinkToFit="1"/>
      <protection locked="0"/>
    </xf>
    <xf numFmtId="0" fontId="18" fillId="2" borderId="11" xfId="4" applyFont="1" applyFill="1" applyBorder="1" applyAlignment="1" applyProtection="1">
      <alignment horizontal="center" vertical="center" wrapText="1"/>
      <protection locked="0"/>
    </xf>
    <xf numFmtId="0" fontId="18" fillId="2" borderId="19" xfId="4" applyFont="1" applyFill="1" applyBorder="1" applyAlignment="1" applyProtection="1">
      <alignment horizontal="center" vertical="center" wrapText="1"/>
      <protection locked="0"/>
    </xf>
    <xf numFmtId="0" fontId="19" fillId="2" borderId="81" xfId="4" applyFont="1" applyFill="1" applyBorder="1" applyAlignment="1" applyProtection="1">
      <alignment horizontal="center" vertical="center" shrinkToFit="1"/>
      <protection locked="0"/>
    </xf>
    <xf numFmtId="0" fontId="19" fillId="2" borderId="70" xfId="4" applyFont="1" applyFill="1" applyBorder="1" applyAlignment="1" applyProtection="1">
      <alignment horizontal="center" vertical="center" shrinkToFit="1"/>
      <protection locked="0"/>
    </xf>
    <xf numFmtId="0" fontId="19" fillId="2" borderId="82" xfId="4" applyFont="1" applyFill="1" applyBorder="1" applyAlignment="1" applyProtection="1">
      <alignment horizontal="center" vertical="center" shrinkToFit="1"/>
      <protection locked="0"/>
    </xf>
    <xf numFmtId="0" fontId="19" fillId="2" borderId="87" xfId="4" applyFont="1" applyFill="1" applyBorder="1" applyAlignment="1" applyProtection="1">
      <alignment horizontal="center" vertical="center" shrinkToFit="1"/>
      <protection locked="0"/>
    </xf>
    <xf numFmtId="0" fontId="19" fillId="2" borderId="85" xfId="4" applyFont="1" applyFill="1" applyBorder="1" applyAlignment="1" applyProtection="1">
      <alignment horizontal="center" vertical="center" shrinkToFit="1"/>
      <protection locked="0"/>
    </xf>
    <xf numFmtId="0" fontId="19" fillId="2" borderId="88" xfId="4" applyFont="1" applyFill="1" applyBorder="1" applyAlignment="1" applyProtection="1">
      <alignment horizontal="center" vertical="center" shrinkToFit="1"/>
      <protection locked="0"/>
    </xf>
    <xf numFmtId="0" fontId="16" fillId="2" borderId="53" xfId="4" applyFont="1" applyFill="1" applyBorder="1" applyAlignment="1" applyProtection="1">
      <alignment horizontal="center" vertical="center" wrapText="1" shrinkToFit="1"/>
      <protection locked="0"/>
    </xf>
    <xf numFmtId="0" fontId="36" fillId="2" borderId="21" xfId="4" applyFont="1" applyFill="1" applyBorder="1" applyAlignment="1" applyProtection="1">
      <alignment horizontal="center" vertical="center" shrinkToFit="1"/>
      <protection locked="0"/>
    </xf>
    <xf numFmtId="0" fontId="36" fillId="2" borderId="32" xfId="4" applyFont="1" applyFill="1" applyBorder="1" applyAlignment="1" applyProtection="1">
      <alignment horizontal="center" vertical="center" shrinkToFit="1"/>
      <protection locked="0"/>
    </xf>
    <xf numFmtId="0" fontId="36" fillId="2" borderId="33" xfId="4" applyFont="1" applyFill="1" applyBorder="1" applyAlignment="1" applyProtection="1">
      <alignment horizontal="center" vertical="center" shrinkToFit="1"/>
      <protection locked="0"/>
    </xf>
    <xf numFmtId="0" fontId="16" fillId="2" borderId="15" xfId="4" applyFont="1" applyFill="1" applyBorder="1" applyAlignment="1" applyProtection="1">
      <alignment horizontal="center" vertical="center" wrapText="1" shrinkToFit="1"/>
      <protection locked="0"/>
    </xf>
    <xf numFmtId="0" fontId="16" fillId="2" borderId="16" xfId="4" applyFont="1" applyFill="1" applyBorder="1" applyAlignment="1" applyProtection="1">
      <alignment horizontal="center" vertical="center" wrapText="1" shrinkToFit="1"/>
      <protection locked="0"/>
    </xf>
    <xf numFmtId="0" fontId="16" fillId="2" borderId="12" xfId="4" applyFont="1" applyFill="1" applyBorder="1" applyAlignment="1" applyProtection="1">
      <alignment horizontal="center" vertical="center" wrapText="1" shrinkToFit="1"/>
      <protection locked="0"/>
    </xf>
    <xf numFmtId="0" fontId="16" fillId="2" borderId="13" xfId="4" applyFont="1" applyFill="1" applyBorder="1" applyAlignment="1" applyProtection="1">
      <alignment horizontal="center" vertical="center" wrapText="1" shrinkToFit="1"/>
      <protection locked="0"/>
    </xf>
    <xf numFmtId="0" fontId="19" fillId="2" borderId="74" xfId="4" applyFont="1" applyFill="1" applyBorder="1" applyAlignment="1" applyProtection="1">
      <alignment horizontal="center" vertical="center" shrinkToFit="1"/>
      <protection locked="0"/>
    </xf>
    <xf numFmtId="0" fontId="19" fillId="2" borderId="0" xfId="4" applyFont="1" applyFill="1" applyAlignment="1" applyProtection="1">
      <alignment horizontal="center" vertical="center" shrinkToFit="1"/>
      <protection locked="0"/>
    </xf>
    <xf numFmtId="0" fontId="19" fillId="2" borderId="83" xfId="4" applyFont="1" applyFill="1" applyBorder="1" applyAlignment="1" applyProtection="1">
      <alignment horizontal="center" vertical="center" shrinkToFit="1"/>
      <protection locked="0"/>
    </xf>
    <xf numFmtId="0" fontId="19" fillId="2" borderId="84" xfId="4" applyFont="1" applyFill="1" applyBorder="1" applyAlignment="1" applyProtection="1">
      <alignment horizontal="center" vertical="center" shrinkToFit="1"/>
      <protection locked="0"/>
    </xf>
  </cellXfs>
  <cellStyles count="5">
    <cellStyle name="쉼표 [0]" xfId="1" builtinId="6"/>
    <cellStyle name="표준" xfId="0" builtinId="0"/>
    <cellStyle name="표준 2" xfId="3" xr:uid="{3A2697D8-AB50-4157-B070-4793C2279896}"/>
    <cellStyle name="표준 40" xfId="2" xr:uid="{49EADEE9-F8BF-4E5B-868D-524B5F387D49}"/>
    <cellStyle name="표준_거래명세서(부가세포함넓은양식)" xfId="4" xr:uid="{96C490BC-0578-443A-B035-0457C8170C7B}"/>
  </cellStyles>
  <dxfs count="59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58D8-D5CC-4F5A-858D-F0CDA8A42F34}">
  <sheetPr>
    <tabColor theme="5" tint="0.59999389629810485"/>
  </sheetPr>
  <dimension ref="A1:J10"/>
  <sheetViews>
    <sheetView tabSelected="1" zoomScale="55" zoomScaleNormal="55" workbookViewId="0">
      <selection activeCell="C41" sqref="C41"/>
    </sheetView>
  </sheetViews>
  <sheetFormatPr defaultRowHeight="20.25" x14ac:dyDescent="0.15"/>
  <cols>
    <col min="1" max="1" width="17.88671875" style="36" bestFit="1" customWidth="1"/>
    <col min="2" max="2" width="28.77734375" style="36" bestFit="1" customWidth="1"/>
    <col min="3" max="3" width="28.5546875" style="36" bestFit="1" customWidth="1"/>
    <col min="4" max="4" width="26" style="36" bestFit="1" customWidth="1"/>
    <col min="5" max="7" width="26" style="36" customWidth="1"/>
    <col min="8" max="8" width="9" style="38" bestFit="1" customWidth="1"/>
    <col min="9" max="9" width="8.88671875" style="37"/>
    <col min="10" max="10" width="8.88671875" style="36"/>
    <col min="11" max="11" width="9.44140625" style="36" bestFit="1" customWidth="1"/>
    <col min="12" max="16384" width="8.88671875" style="36"/>
  </cols>
  <sheetData>
    <row r="1" spans="1:10" ht="24.95" customHeight="1" x14ac:dyDescent="0.25">
      <c r="A1" s="41" t="s" ph="1">
        <v>84</v>
      </c>
      <c r="B1" s="41" t="s" ph="1">
        <v>69</v>
      </c>
      <c r="C1" s="41" ph="1"/>
      <c r="D1" s="42" ph="1"/>
      <c r="E1" s="1" ph="1"/>
      <c r="F1" s="1" ph="1"/>
      <c r="G1" s="1" ph="1"/>
      <c r="H1" s="2"/>
      <c r="I1" s="2"/>
      <c r="J1" s="2"/>
    </row>
    <row r="2" spans="1:10" ht="24.95" customHeight="1" x14ac:dyDescent="0.15">
      <c r="A2" s="43" t="s">
        <v>85</v>
      </c>
      <c r="B2" s="43" t="s">
        <v>80</v>
      </c>
      <c r="C2" s="43" t="s">
        <v>82</v>
      </c>
      <c r="D2" s="43" t="s">
        <v>70</v>
      </c>
      <c r="E2" s="4"/>
      <c r="F2" s="4"/>
      <c r="G2" s="4"/>
      <c r="H2" s="2"/>
      <c r="I2" s="2"/>
      <c r="J2" s="2"/>
    </row>
    <row r="3" spans="1:10" ht="24.95" customHeight="1" x14ac:dyDescent="0.15">
      <c r="A3" s="43" t="s">
        <v>86</v>
      </c>
      <c r="B3" s="43">
        <v>20</v>
      </c>
      <c r="C3" s="43"/>
      <c r="D3" s="43">
        <v>20</v>
      </c>
      <c r="E3" s="4"/>
      <c r="F3" s="4"/>
      <c r="G3" s="4"/>
      <c r="H3" s="2"/>
      <c r="I3" s="2"/>
      <c r="J3" s="2"/>
    </row>
    <row r="4" spans="1:10" ht="24.95" customHeight="1" x14ac:dyDescent="0.15">
      <c r="A4" s="43" t="s">
        <v>87</v>
      </c>
      <c r="B4" s="43">
        <v>20</v>
      </c>
      <c r="C4" s="43"/>
      <c r="D4" s="43">
        <v>20</v>
      </c>
      <c r="E4" s="4"/>
      <c r="F4" s="4"/>
      <c r="G4" s="4"/>
      <c r="H4" s="2"/>
      <c r="I4" s="2"/>
      <c r="J4" s="2"/>
    </row>
    <row r="5" spans="1:10" ht="24.95" customHeight="1" x14ac:dyDescent="0.15">
      <c r="A5" s="44" t="s">
        <v>88</v>
      </c>
      <c r="B5" s="44">
        <v>20</v>
      </c>
      <c r="C5" s="44">
        <v>96</v>
      </c>
      <c r="D5" s="44">
        <v>116</v>
      </c>
      <c r="E5" s="5"/>
      <c r="F5" s="5"/>
      <c r="G5" s="5"/>
      <c r="H5" s="2"/>
      <c r="I5" s="2"/>
      <c r="J5" s="2"/>
    </row>
    <row r="6" spans="1:10" ht="24.95" customHeight="1" x14ac:dyDescent="0.15">
      <c r="A6" s="45" t="s">
        <v>83</v>
      </c>
      <c r="B6" s="45">
        <v>60</v>
      </c>
      <c r="C6" s="45">
        <v>16</v>
      </c>
      <c r="D6" s="44">
        <v>76</v>
      </c>
      <c r="E6" s="5"/>
      <c r="F6" s="5"/>
      <c r="G6" s="5"/>
      <c r="H6" s="2"/>
      <c r="I6" s="2"/>
      <c r="J6" s="2"/>
    </row>
    <row r="7" spans="1:10" ht="24.95" customHeight="1" x14ac:dyDescent="0.15">
      <c r="A7" s="44" t="s">
        <v>70</v>
      </c>
      <c r="B7" s="44">
        <v>120</v>
      </c>
      <c r="C7" s="44">
        <v>112</v>
      </c>
      <c r="D7" s="44">
        <v>232</v>
      </c>
      <c r="E7" s="5"/>
      <c r="F7" s="5"/>
      <c r="G7" s="5"/>
      <c r="H7" s="2"/>
      <c r="I7" s="2"/>
      <c r="J7" s="2"/>
    </row>
    <row r="8" spans="1:10" ht="24.95" customHeight="1" x14ac:dyDescent="0.15">
      <c r="A8" s="44"/>
      <c r="B8" s="44"/>
      <c r="C8" s="44"/>
      <c r="D8" s="44"/>
      <c r="E8" s="5"/>
      <c r="F8" s="5"/>
      <c r="G8" s="5"/>
      <c r="H8" s="2"/>
      <c r="I8" s="2"/>
      <c r="J8" s="2"/>
    </row>
    <row r="9" spans="1:10" ht="24.95" customHeight="1" x14ac:dyDescent="0.15">
      <c r="A9" s="43"/>
      <c r="B9" s="43"/>
      <c r="C9" s="43"/>
      <c r="D9" s="43"/>
      <c r="E9" s="4"/>
      <c r="F9" s="4"/>
      <c r="G9" s="4"/>
      <c r="H9" s="2"/>
      <c r="I9" s="2"/>
      <c r="J9" s="2"/>
    </row>
    <row r="10" spans="1:10" ht="24.95" customHeight="1" x14ac:dyDescent="0.15">
      <c r="A10" s="44"/>
      <c r="B10" s="44"/>
      <c r="C10" s="44"/>
      <c r="D10" s="44"/>
      <c r="E10" s="5"/>
      <c r="F10" s="5"/>
      <c r="G10" s="5"/>
      <c r="H10" s="2"/>
      <c r="I10" s="2"/>
      <c r="J10" s="2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3B02-A222-4E79-9EEA-13D622449D57}">
  <sheetPr>
    <tabColor theme="9" tint="-0.249977111117893"/>
    <pageSetUpPr fitToPage="1"/>
  </sheetPr>
  <dimension ref="B1:AP49"/>
  <sheetViews>
    <sheetView zoomScaleNormal="100" workbookViewId="0">
      <selection activeCell="E19" sqref="E19:L19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35" width="2.33203125" style="8"/>
    <col min="36" max="36" width="2.33203125" style="8" customWidth="1"/>
    <col min="37" max="40" width="2.33203125" style="8"/>
    <col min="41" max="41" width="11.5546875" style="8" customWidth="1"/>
    <col min="42" max="42" width="3.33203125" style="8" bestFit="1" customWidth="1"/>
    <col min="43" max="16384" width="2.33203125" style="8"/>
  </cols>
  <sheetData>
    <row r="1" spans="2:42" ht="14.25" thickBot="1" x14ac:dyDescent="0.2">
      <c r="B1" s="6" t="s">
        <v>0</v>
      </c>
    </row>
    <row r="2" spans="2:42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42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42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42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42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63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42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42" ht="16.5" customHeight="1" x14ac:dyDescent="0.15">
      <c r="B8" s="198"/>
      <c r="C8" s="178" t="s">
        <v>11</v>
      </c>
      <c r="D8" s="185"/>
      <c r="E8" s="185"/>
      <c r="F8" s="185"/>
      <c r="G8" s="241" t="s">
        <v>64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42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42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42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42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42" ht="21.95" customHeight="1" x14ac:dyDescent="0.15">
      <c r="B13" s="176"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J13" s="35"/>
      <c r="AO13" s="35"/>
      <c r="AP13" s="32"/>
    </row>
    <row r="14" spans="2:42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J14" s="35"/>
      <c r="AO14" s="35"/>
      <c r="AP14" s="32"/>
    </row>
    <row r="15" spans="2:42" ht="21.95" customHeight="1" x14ac:dyDescent="0.15">
      <c r="B15" s="16"/>
      <c r="C15" s="17" t="s">
        <v>25</v>
      </c>
      <c r="D15" s="17" t="s">
        <v>25</v>
      </c>
      <c r="E15" s="238"/>
      <c r="F15" s="239"/>
      <c r="G15" s="239"/>
      <c r="H15" s="239"/>
      <c r="I15" s="239"/>
      <c r="J15" s="239"/>
      <c r="K15" s="239"/>
      <c r="L15" s="240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J15" s="3"/>
      <c r="AO15" s="3"/>
      <c r="AP15" s="33"/>
    </row>
    <row r="16" spans="2:42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J16" s="3"/>
      <c r="AO16" s="3"/>
      <c r="AP16" s="33"/>
    </row>
    <row r="17" spans="2:42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J17" s="3"/>
      <c r="AO17" s="3"/>
      <c r="AP17" s="34"/>
    </row>
    <row r="18" spans="2:42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J18" s="3"/>
      <c r="AO18" s="3"/>
      <c r="AP18" s="34"/>
    </row>
    <row r="19" spans="2:42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42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42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42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42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65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42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42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42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42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42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42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42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42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양지센터(저온)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42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경기도 용인시 처인구 양지면
제일리 453-7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40"/>
      <c r="E41" s="234"/>
      <c r="F41" s="235"/>
      <c r="G41" s="235"/>
      <c r="H41" s="235"/>
      <c r="I41" s="235"/>
      <c r="J41" s="235"/>
      <c r="K41" s="235"/>
      <c r="L41" s="236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231"/>
      <c r="F42" s="232"/>
      <c r="G42" s="232"/>
      <c r="H42" s="232"/>
      <c r="I42" s="232"/>
      <c r="J42" s="232"/>
      <c r="K42" s="232"/>
      <c r="L42" s="233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경기도 용인시 처인구 양지면
제일리 453-7
박영범 주임 031-8027-2080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">
    <cfRule type="expression" dxfId="58" priority="1">
      <formula>Q13:S19=0</formula>
    </cfRule>
  </conditionalFormatting>
  <conditionalFormatting sqref="AA17:AH18">
    <cfRule type="expression" dxfId="57" priority="2">
      <formula>Q17:S22=0</formula>
    </cfRule>
  </conditionalFormatting>
  <conditionalFormatting sqref="AA19:AH21">
    <cfRule type="expression" dxfId="56" priority="4">
      <formula>Q19:S25=0</formula>
    </cfRule>
  </conditionalFormatting>
  <conditionalFormatting sqref="AA38:AH44">
    <cfRule type="expression" dxfId="55" priority="5">
      <formula>Q13:S21=0</formula>
    </cfRule>
  </conditionalFormatting>
  <conditionalFormatting sqref="AA45:AH45">
    <cfRule type="expression" dxfId="54" priority="3">
      <formula>Q19:S27=0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Q13:Q21 T13:T21 E37:E46 M33:M46 C39:D45 M8:M21 B12:B23 T38:T45 C14:E21 AA37:AA45 Q38:Q45 AA12:AA21" xr:uid="{7578EA18-4ABF-4E10-B4BD-202396ACAB06}"/>
  </dataValidations>
  <printOptions horizontalCentered="1"/>
  <pageMargins left="0" right="0" top="0.11811023622047245" bottom="0" header="0" footer="0"/>
  <pageSetup paperSize="9" scale="96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0B2-B951-4895-B0C1-349541AD8B01}">
  <sheetPr>
    <tabColor theme="5" tint="0.59999389629810485"/>
    <pageSetUpPr fitToPage="1"/>
  </sheetPr>
  <dimension ref="B1:AK49"/>
  <sheetViews>
    <sheetView topLeftCell="A6" zoomScaleNormal="100" workbookViewId="0">
      <selection activeCell="AQ13" sqref="AQ13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35" width="2.33203125" style="8"/>
    <col min="36" max="36" width="12.33203125" style="8" customWidth="1"/>
    <col min="37" max="37" width="3.5546875" style="8" bestFit="1" customWidth="1"/>
    <col min="38" max="40" width="2.33203125" style="8"/>
    <col min="41" max="41" width="5.5546875" style="8" bestFit="1" customWidth="1"/>
    <col min="42" max="16384" width="2.33203125" style="8"/>
  </cols>
  <sheetData>
    <row r="1" spans="2:37" ht="14.25" thickBot="1" x14ac:dyDescent="0.2">
      <c r="B1" s="6" t="s">
        <v>1</v>
      </c>
      <c r="C1" s="7"/>
    </row>
    <row r="2" spans="2:37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7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7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7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7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8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7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7" ht="16.5" customHeight="1" x14ac:dyDescent="0.15">
      <c r="B8" s="198"/>
      <c r="C8" s="178" t="s">
        <v>11</v>
      </c>
      <c r="D8" s="185"/>
      <c r="E8" s="185"/>
      <c r="F8" s="185"/>
      <c r="G8" s="241" t="s">
        <v>12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7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7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7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7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7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J13" s="15"/>
      <c r="AK13" s="15"/>
    </row>
    <row r="14" spans="2:37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J14" s="15"/>
      <c r="AK14" s="15"/>
    </row>
    <row r="15" spans="2:37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J15" s="3"/>
      <c r="AK15" s="3"/>
    </row>
    <row r="16" spans="2:37" ht="21.95" customHeight="1" x14ac:dyDescent="0.15">
      <c r="B16" s="16"/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J16" s="3"/>
      <c r="AK16" s="3"/>
    </row>
    <row r="17" spans="2:37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J17" s="3"/>
      <c r="AK17" s="18"/>
    </row>
    <row r="18" spans="2:37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J18" s="3"/>
      <c r="AK18" s="18"/>
    </row>
    <row r="19" spans="2:37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  <c r="AJ19" s="3"/>
      <c r="AK19"/>
    </row>
    <row r="20" spans="2:37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  <c r="AJ20" s="3"/>
      <c r="AK20"/>
    </row>
    <row r="21" spans="2:37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  <c r="AJ21" s="3"/>
      <c r="AK21"/>
    </row>
    <row r="22" spans="2:37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37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tr">
        <f>G8</f>
        <v>강원특별자치도 원주시 호저면 주산리 298,1층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37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7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37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37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37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37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37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37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원주센터(저온)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37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강원특별자치도 원주시 호저면 주산리 298,1층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40"/>
      <c r="E41" s="234"/>
      <c r="F41" s="235"/>
      <c r="G41" s="235"/>
      <c r="H41" s="235"/>
      <c r="I41" s="235"/>
      <c r="J41" s="235"/>
      <c r="K41" s="235"/>
      <c r="L41" s="236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231"/>
      <c r="F42" s="232"/>
      <c r="G42" s="232"/>
      <c r="H42" s="232"/>
      <c r="I42" s="232"/>
      <c r="J42" s="232"/>
      <c r="K42" s="232"/>
      <c r="L42" s="233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강원특별자치도 원주시 호저면 주산리 298,1층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 AA19:AH21">
    <cfRule type="expression" dxfId="53" priority="3">
      <formula>Q13:S19=0</formula>
    </cfRule>
  </conditionalFormatting>
  <conditionalFormatting sqref="AA17:AH18">
    <cfRule type="expression" dxfId="52" priority="1">
      <formula>Q17:S22=0</formula>
    </cfRule>
  </conditionalFormatting>
  <conditionalFormatting sqref="AA38:AH44">
    <cfRule type="expression" dxfId="51" priority="4">
      <formula>Q13:S21=0</formula>
    </cfRule>
  </conditionalFormatting>
  <conditionalFormatting sqref="AA45:AH45">
    <cfRule type="expression" dxfId="50" priority="2">
      <formula>Q19:S27=0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T38:T45 E37:E46 M33:M46 C39:D45 AA37:AA45 Q38:Q45 Q13:Q21 B12:B23 C14:E21 T13:T21 M8:M21 AA12:AA21" xr:uid="{DFF90537-E459-480F-8ABE-16B45789D062}"/>
  </dataValidations>
  <printOptions horizontalCentered="1"/>
  <pageMargins left="0" right="0" top="0.11811023622047245" bottom="0" header="0" footer="0"/>
  <pageSetup paperSize="9" scale="9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C6B6-1E48-4F8E-BE38-CA648013C563}">
  <sheetPr>
    <tabColor theme="7" tint="0.59999389629810485"/>
    <pageSetUpPr fitToPage="1"/>
  </sheetPr>
  <dimension ref="B1:AH49"/>
  <sheetViews>
    <sheetView topLeftCell="A5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5.5546875" style="8" bestFit="1" customWidth="1"/>
    <col min="42" max="16384" width="2.33203125" style="8"/>
  </cols>
  <sheetData>
    <row r="1" spans="2:34" ht="14.25" thickBot="1" x14ac:dyDescent="0.2">
      <c r="B1" s="6" t="s">
        <v>30</v>
      </c>
    </row>
    <row r="2" spans="2:34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4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4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4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4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31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4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4" ht="16.5" customHeight="1" x14ac:dyDescent="0.15">
      <c r="B8" s="198"/>
      <c r="C8" s="178" t="s">
        <v>11</v>
      </c>
      <c r="D8" s="185"/>
      <c r="E8" s="185"/>
      <c r="F8" s="185"/>
      <c r="G8" s="241" t="s">
        <v>32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4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4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4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4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4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20</v>
      </c>
      <c r="R13" s="147"/>
      <c r="S13" s="148"/>
      <c r="T13" s="149">
        <f>IFERROR(ROUNDDOWN(Q13/M13,0),"")</f>
        <v>1</v>
      </c>
      <c r="U13" s="150"/>
      <c r="V13" s="150"/>
      <c r="W13" s="151">
        <f t="shared" ref="W13:W14" si="0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</row>
    <row r="14" spans="2:34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ref="T14" si="1">IFERROR(ROUNDDOWN(Q14/M14,0),"")</f>
        <v>0</v>
      </c>
      <c r="U14" s="150"/>
      <c r="V14" s="150"/>
      <c r="W14" s="151">
        <f t="shared" si="0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</row>
    <row r="15" spans="2:34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</row>
    <row r="16" spans="2:34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</row>
    <row r="17" spans="2:34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</row>
    <row r="18" spans="2:34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</row>
    <row r="19" spans="2:34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34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34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34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20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1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34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33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34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4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34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34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34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34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34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34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김해센터(저온)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34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경상남도 김해시 진례면 
테크노밸리로 193-28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20</v>
      </c>
      <c r="R38" s="71"/>
      <c r="S38" s="71"/>
      <c r="T38" s="72">
        <f>T13</f>
        <v>1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49"/>
      <c r="F41" s="50"/>
      <c r="G41" s="50"/>
      <c r="H41" s="50"/>
      <c r="I41" s="50"/>
      <c r="J41" s="50"/>
      <c r="K41" s="50"/>
      <c r="L41" s="50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20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1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경상남도 김해시 진례면 
테크노밸리로 193-28
TEL 070-4398-2825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 AA19:AH21">
    <cfRule type="expression" dxfId="49" priority="3">
      <formula>Q13:S19=0</formula>
    </cfRule>
  </conditionalFormatting>
  <conditionalFormatting sqref="AA17:AH18">
    <cfRule type="expression" dxfId="48" priority="1">
      <formula>Q17:S22=0</formula>
    </cfRule>
  </conditionalFormatting>
  <conditionalFormatting sqref="AA38:AH44">
    <cfRule type="expression" dxfId="47" priority="4">
      <formula>Q13:S21=0</formula>
    </cfRule>
  </conditionalFormatting>
  <conditionalFormatting sqref="AA45:AH45">
    <cfRule type="expression" dxfId="46" priority="2">
      <formula>Q19:S27=0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AA12:AA21 T13:T21 E37:E46 M33:M46 C39:D45 M8:M21 AA37:AA45 T38:T45 C14:E21 B12:B23 Q38:Q45 Q13:Q21" xr:uid="{5E7F4ECD-4A8E-413A-956B-A91C5E440343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E0B0-BF94-4DD8-8080-9EFC41F94028}">
  <sheetPr>
    <tabColor theme="7" tint="0.59999389629810485"/>
    <pageSetUpPr fitToPage="1"/>
  </sheetPr>
  <dimension ref="B1:AO49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5.5546875" style="8" bestFit="1" customWidth="1"/>
    <col min="42" max="16384" width="2.33203125" style="8"/>
  </cols>
  <sheetData>
    <row r="1" spans="2:41" ht="14.25" thickBot="1" x14ac:dyDescent="0.2">
      <c r="B1" s="6" t="s">
        <v>34</v>
      </c>
    </row>
    <row r="2" spans="2:41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41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41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41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41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35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41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41" ht="16.5" customHeight="1" x14ac:dyDescent="0.15">
      <c r="B8" s="198"/>
      <c r="C8" s="178" t="s">
        <v>11</v>
      </c>
      <c r="D8" s="185"/>
      <c r="E8" s="185"/>
      <c r="F8" s="185"/>
      <c r="G8" s="241" t="s">
        <v>36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41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41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41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41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41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O13" s="3"/>
    </row>
    <row r="14" spans="2:41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O14" s="3"/>
    </row>
    <row r="15" spans="2:41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O15" s="3"/>
    </row>
    <row r="16" spans="2:41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O16" s="3"/>
    </row>
    <row r="17" spans="2:41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O17" s="31"/>
    </row>
    <row r="18" spans="2:41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O18" s="31"/>
    </row>
    <row r="19" spans="2:41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  <c r="AO19" s="3"/>
    </row>
    <row r="20" spans="2:41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  <c r="AO20" s="3"/>
    </row>
    <row r="21" spans="2:41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  <c r="AO21" s="3"/>
    </row>
    <row r="22" spans="2:41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41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tr">
        <f>G8</f>
        <v>경상남도 양산시 산막공단북3길 25(산막동 313-4)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41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41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41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41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41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41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41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41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양산센터(저온)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41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경상남도 양산시 산막공단북3길 25(산막동 313-4)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49"/>
      <c r="F41" s="50"/>
      <c r="G41" s="50"/>
      <c r="H41" s="50"/>
      <c r="I41" s="50"/>
      <c r="J41" s="50"/>
      <c r="K41" s="50"/>
      <c r="L41" s="50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경상남도 양산시 산막공단북3길 25(산막동 313-4)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 AA19:AH21">
    <cfRule type="expression" dxfId="45" priority="3">
      <formula>Q13:S19=0</formula>
    </cfRule>
  </conditionalFormatting>
  <conditionalFormatting sqref="AA17:AH18">
    <cfRule type="expression" dxfId="44" priority="1">
      <formula>Q17:S22=0</formula>
    </cfRule>
  </conditionalFormatting>
  <conditionalFormatting sqref="AA38:AH44">
    <cfRule type="expression" dxfId="43" priority="4">
      <formula>Q13:S21=0</formula>
    </cfRule>
  </conditionalFormatting>
  <conditionalFormatting sqref="AA45:AH45">
    <cfRule type="expression" dxfId="42" priority="2">
      <formula>Q19:S27=0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Q13:Q21 T13:T21 E37:E46 M33:M46 C39:D45 M8:M21 AA37:AA45 T38:T45 C14:E21 B12:B23 Q38:Q45 AA12:AA21" xr:uid="{5BC8A4AC-A0BB-463F-994E-8DFB3831F957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F430-7C78-4F2A-80FC-03A46D3BF8A5}">
  <sheetPr>
    <tabColor theme="5" tint="0.59999389629810485"/>
    <pageSetUpPr fitToPage="1"/>
  </sheetPr>
  <dimension ref="B1:AP49"/>
  <sheetViews>
    <sheetView topLeftCell="A4" zoomScaleNormal="100" workbookViewId="0">
      <selection activeCell="AQ13" sqref="AQ13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52.6640625" style="8" bestFit="1" customWidth="1"/>
    <col min="42" max="16384" width="2.33203125" style="8"/>
  </cols>
  <sheetData>
    <row r="1" spans="2:42" ht="14.25" thickBot="1" x14ac:dyDescent="0.2">
      <c r="B1" s="6" t="s">
        <v>37</v>
      </c>
    </row>
    <row r="2" spans="2:42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42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42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42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42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38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42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42" ht="16.5" customHeight="1" x14ac:dyDescent="0.15">
      <c r="B8" s="198"/>
      <c r="C8" s="178" t="s">
        <v>11</v>
      </c>
      <c r="D8" s="185"/>
      <c r="E8" s="185"/>
      <c r="F8" s="185"/>
      <c r="G8" s="241" t="s">
        <v>39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42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42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42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42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42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O13" s="15"/>
      <c r="AP13" s="32"/>
    </row>
    <row r="14" spans="2:42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O14" s="15"/>
      <c r="AP14" s="32"/>
    </row>
    <row r="15" spans="2:42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O15" s="3"/>
      <c r="AP15" s="33"/>
    </row>
    <row r="16" spans="2:42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O16" s="3"/>
      <c r="AP16" s="33"/>
    </row>
    <row r="17" spans="2:42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O17" s="18"/>
      <c r="AP17" s="34"/>
    </row>
    <row r="18" spans="2:42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O18" s="3"/>
      <c r="AP18" s="34"/>
    </row>
    <row r="19" spans="2:42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42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42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42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42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40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42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42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42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42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42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42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42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42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세종센터(저온)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42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세종특별자치시 연동면
응암리 925 E동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9"/>
      <c r="E41" s="247"/>
      <c r="F41" s="248"/>
      <c r="G41" s="248"/>
      <c r="H41" s="248"/>
      <c r="I41" s="248"/>
      <c r="J41" s="248"/>
      <c r="K41" s="248"/>
      <c r="L41" s="84"/>
      <c r="M41" s="84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245"/>
      <c r="F42" s="246"/>
      <c r="G42" s="246"/>
      <c r="H42" s="246"/>
      <c r="I42" s="246"/>
      <c r="J42" s="246"/>
      <c r="K42" s="246"/>
      <c r="L42" s="246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세종특별자치시 연동면
응암리 925 E동
허승현 대리 044-862-4400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W38:Z44">
    <cfRule type="expression" dxfId="41" priority="3">
      <formula>Q38:S45=0</formula>
    </cfRule>
  </conditionalFormatting>
  <conditionalFormatting sqref="W45:Z45">
    <cfRule type="expression" dxfId="40" priority="4">
      <formula>Q45:S51=0</formula>
    </cfRule>
  </conditionalFormatting>
  <conditionalFormatting sqref="AA13:AH16">
    <cfRule type="expression" dxfId="39" priority="2">
      <formula>Q13:S19=0</formula>
    </cfRule>
  </conditionalFormatting>
  <conditionalFormatting sqref="AA38:AH40">
    <cfRule type="expression" dxfId="38" priority="1">
      <formula>Q13:S21=0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3 W47 B2:B4 C35 C2:F3 C6 C10 C4 C31 D25:F28 B25:C29 W23 Q2:AH11 C37:D37 G8:L11 N8:P11 H2:K5 G2:G6 M2:P5 L2:L6 G33:L36 N33:P36 H25:K30 G25:G31 Q25:AH36 M25:P30 L25:L31 F22:M22 B37:B47 Q13:Q21 T13:T21 E37:E46 M33:M46 C39:D45 M8:M21 E13:E22 T38:T45 C14:D21 B12:B23 AA37:AA45 Q38:Q45 AA12:AA21" xr:uid="{709B8D8B-9A48-4445-8254-0422587768AB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C1E2-E26B-484D-86FD-194EC38D7D9F}">
  <sheetPr>
    <tabColor theme="5" tint="-0.249977111117893"/>
    <pageSetUpPr fitToPage="1"/>
  </sheetPr>
  <dimension ref="B1:AM49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37" width="2.33203125" style="8"/>
    <col min="38" max="38" width="38" style="8" bestFit="1" customWidth="1"/>
    <col min="39" max="39" width="2.21875" style="8" bestFit="1" customWidth="1"/>
    <col min="40" max="40" width="2.33203125" style="8"/>
    <col min="41" max="41" width="5.5546875" style="8" bestFit="1" customWidth="1"/>
    <col min="42" max="16384" width="2.33203125" style="8"/>
  </cols>
  <sheetData>
    <row r="1" spans="2:39" ht="14.25" thickBot="1" x14ac:dyDescent="0.2">
      <c r="B1" s="6" t="s">
        <v>41</v>
      </c>
      <c r="C1" s="7"/>
    </row>
    <row r="2" spans="2:39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9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9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9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9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42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9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9" ht="16.5" customHeight="1" x14ac:dyDescent="0.15">
      <c r="B8" s="198"/>
      <c r="C8" s="178" t="s">
        <v>11</v>
      </c>
      <c r="D8" s="185"/>
      <c r="E8" s="185"/>
      <c r="F8" s="185"/>
      <c r="G8" s="241" t="s">
        <v>43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9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9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9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9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9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20</v>
      </c>
      <c r="R13" s="147"/>
      <c r="S13" s="148"/>
      <c r="T13" s="149">
        <f t="shared" ref="T13:T14" si="0">IFERROR(ROUNDDOWN(Q13/M13,0),"")</f>
        <v>1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L13" s="15"/>
      <c r="AM13" s="15"/>
    </row>
    <row r="14" spans="2:39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L14" s="15"/>
      <c r="AM14" s="15"/>
    </row>
    <row r="15" spans="2:39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L15" s="3"/>
      <c r="AM15" s="3"/>
    </row>
    <row r="16" spans="2:39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L16" s="3"/>
      <c r="AM16" s="3"/>
    </row>
    <row r="17" spans="2:39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L17" s="3"/>
      <c r="AM17" s="18"/>
    </row>
    <row r="18" spans="2:39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L18" s="3"/>
      <c r="AM18" s="18"/>
    </row>
    <row r="19" spans="2:39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39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39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39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20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1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39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tr">
        <f>G8</f>
        <v>전라남도 장성군 황룡면 황룡리 44-2 2층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39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9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39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39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39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39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39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39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장성센터(저온)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39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전라남도 장성군 황룡면 황룡리 44-2 2층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20</v>
      </c>
      <c r="R38" s="71"/>
      <c r="S38" s="71"/>
      <c r="T38" s="72">
        <f>T13</f>
        <v>1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49"/>
      <c r="F41" s="50"/>
      <c r="G41" s="50"/>
      <c r="H41" s="50"/>
      <c r="I41" s="50"/>
      <c r="J41" s="50"/>
      <c r="K41" s="50"/>
      <c r="L41" s="50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20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1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전라남도 장성군 황룡면 황룡리 44-2 2층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">
    <cfRule type="expression" dxfId="37" priority="2">
      <formula>Q13:S19=0</formula>
    </cfRule>
  </conditionalFormatting>
  <conditionalFormatting sqref="AA17:AH18">
    <cfRule type="expression" dxfId="36" priority="1">
      <formula>Q17:S22=0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AA37:AA45 T13:T21 E37:E46 M33:M46 C39:D45 M8:M21 Q13:Q21 T38:T45 C14:E21 B12:B23 Q38:Q45 AA12:AA21" xr:uid="{9C2E4206-DD03-452B-8B5A-6A01AACD23A7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5BEF-C08C-4703-AC8D-40BB1DBD71A3}">
  <sheetPr>
    <tabColor theme="7" tint="0.59999389629810485"/>
    <pageSetUpPr fitToPage="1"/>
  </sheetPr>
  <dimension ref="B1:AH49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16384" width="2.33203125" style="8"/>
  </cols>
  <sheetData>
    <row r="1" spans="2:34" ht="14.25" thickBot="1" x14ac:dyDescent="0.2">
      <c r="B1" s="6" t="s">
        <v>66</v>
      </c>
    </row>
    <row r="2" spans="2:34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4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4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4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4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67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4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4" ht="16.5" customHeight="1" x14ac:dyDescent="0.15">
      <c r="B8" s="198"/>
      <c r="C8" s="178" t="s">
        <v>11</v>
      </c>
      <c r="D8" s="185"/>
      <c r="E8" s="185"/>
      <c r="F8" s="185"/>
      <c r="G8" s="241" t="s">
        <v>68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4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4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4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4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4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</row>
    <row r="14" spans="2:34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</row>
    <row r="15" spans="2:34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</row>
    <row r="16" spans="2:34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</row>
    <row r="17" spans="2:34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</row>
    <row r="18" spans="2:34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</row>
    <row r="19" spans="2:34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34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34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34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34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tr">
        <f>G8</f>
        <v>경상북도 김천시 어모면 옥율리 212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34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4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34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34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34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34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34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34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김천센터(저온)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34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경상북도 김천시 어모면 옥율리 212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79"/>
      <c r="F41" s="80"/>
      <c r="G41" s="80"/>
      <c r="H41" s="80"/>
      <c r="I41" s="80"/>
      <c r="J41" s="80"/>
      <c r="K41" s="80"/>
      <c r="L41" s="81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경상북도 김천시 어모면 옥율리 212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W13:Z16">
    <cfRule type="expression" dxfId="35" priority="6">
      <formula>Q13:S21=0</formula>
    </cfRule>
  </conditionalFormatting>
  <conditionalFormatting sqref="W17:Z18">
    <cfRule type="expression" dxfId="34" priority="3">
      <formula>Q17:S24=0</formula>
    </cfRule>
  </conditionalFormatting>
  <conditionalFormatting sqref="W19:Z21">
    <cfRule type="expression" dxfId="33" priority="4">
      <formula>Q19:S25=0</formula>
    </cfRule>
  </conditionalFormatting>
  <conditionalFormatting sqref="W38:Z44">
    <cfRule type="expression" dxfId="32" priority="7">
      <formula>Q13:S21=0</formula>
    </cfRule>
  </conditionalFormatting>
  <conditionalFormatting sqref="W45:Z45">
    <cfRule type="expression" dxfId="31" priority="5">
      <formula>Q19:S27=0</formula>
    </cfRule>
  </conditionalFormatting>
  <conditionalFormatting sqref="AA13:AH16">
    <cfRule type="expression" dxfId="30" priority="2">
      <formula>Q13:S19=0</formula>
    </cfRule>
  </conditionalFormatting>
  <conditionalFormatting sqref="AA38:AH40">
    <cfRule type="expression" dxfId="29" priority="1">
      <formula>Q13:S21=0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Q13:Q21 T13:T21 E37:E46 M33:M46 C39:D45 M8:M21 C14:E21 T38:T45 AA37:AA45 B12:B23 Q38:Q45 AA12:AA21" xr:uid="{8282D1F4-6845-45E7-AAD3-2440223BEFA3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54ADF-B6F2-44F9-A0BA-69F097515A74}">
  <sheetPr>
    <tabColor theme="5" tint="-0.249977111117893"/>
    <pageSetUpPr fitToPage="1"/>
  </sheetPr>
  <dimension ref="B1:AO49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5.5546875" style="8" bestFit="1" customWidth="1"/>
    <col min="42" max="16384" width="2.33203125" style="8"/>
  </cols>
  <sheetData>
    <row r="1" spans="2:41" ht="14.25" thickBot="1" x14ac:dyDescent="0.2">
      <c r="B1" s="6" t="s">
        <v>44</v>
      </c>
    </row>
    <row r="2" spans="2:41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41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41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41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41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45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41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41" ht="16.5" customHeight="1" x14ac:dyDescent="0.15">
      <c r="B8" s="198"/>
      <c r="C8" s="178" t="s">
        <v>11</v>
      </c>
      <c r="D8" s="185"/>
      <c r="E8" s="185"/>
      <c r="F8" s="185"/>
      <c r="G8" s="241" t="s">
        <v>46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41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41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41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41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41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O13" s="3"/>
    </row>
    <row r="14" spans="2:41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O14" s="3"/>
    </row>
    <row r="15" spans="2:41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O15" s="3"/>
    </row>
    <row r="16" spans="2:41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O16" s="3"/>
    </row>
    <row r="17" spans="2:41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O17" s="31"/>
    </row>
    <row r="18" spans="2:41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O18" s="31"/>
    </row>
    <row r="19" spans="2:41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  <c r="AO19" s="3"/>
    </row>
    <row r="20" spans="2:41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  <c r="AO20" s="3"/>
    </row>
    <row r="21" spans="2:41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  <c r="AO21" s="3"/>
    </row>
    <row r="22" spans="2:41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41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tr">
        <f>G8</f>
        <v>경상북도 경산시 압량읍 가야로 20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41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41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41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41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41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41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41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41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경산센터(저온)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41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경상북도 경산시 압량읍 가야로 20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49"/>
      <c r="F41" s="50"/>
      <c r="G41" s="50"/>
      <c r="H41" s="50"/>
      <c r="I41" s="50"/>
      <c r="J41" s="50"/>
      <c r="K41" s="50"/>
      <c r="L41" s="50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경상북도 경산시 압량읍 가야로 20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 AA19:AH21">
    <cfRule type="expression" dxfId="28" priority="3">
      <formula>Q13:S19=0</formula>
    </cfRule>
  </conditionalFormatting>
  <conditionalFormatting sqref="AA17:AH18">
    <cfRule type="expression" dxfId="27" priority="1">
      <formula>Q17:S22=0</formula>
    </cfRule>
  </conditionalFormatting>
  <conditionalFormatting sqref="AA38:AH44">
    <cfRule type="expression" dxfId="26" priority="4">
      <formula>Q13:S21=0</formula>
    </cfRule>
  </conditionalFormatting>
  <conditionalFormatting sqref="AA45:AH45">
    <cfRule type="expression" dxfId="25" priority="2">
      <formula>Q19:S27=0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Q13:Q21 T13:T21 E37:E46 M33:M46 C39:D45 M8:M21 AA37:AA45 T38:T45 C14:E21 B12:B23 Q38:Q45 AA12:AA21" xr:uid="{FDE07FA5-8B7F-4611-9D57-0ACBF4FC3082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BC490-4FE8-4F23-B49C-698B6ABC0FAB}">
  <sheetPr>
    <tabColor theme="5" tint="0.59999389629810485"/>
    <pageSetUpPr fitToPage="1"/>
  </sheetPr>
  <dimension ref="B1:AH49"/>
  <sheetViews>
    <sheetView zoomScaleNormal="100" workbookViewId="0">
      <selection activeCell="AI14" sqref="AI14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5.5546875" style="8" bestFit="1" customWidth="1"/>
    <col min="42" max="16384" width="2.33203125" style="8"/>
  </cols>
  <sheetData>
    <row r="1" spans="2:34" ht="14.25" thickBot="1" x14ac:dyDescent="0.2">
      <c r="B1" s="6" t="s">
        <v>47</v>
      </c>
    </row>
    <row r="2" spans="2:34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4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4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4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4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48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4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4" ht="16.5" customHeight="1" x14ac:dyDescent="0.15">
      <c r="B8" s="198"/>
      <c r="C8" s="178" t="s">
        <v>11</v>
      </c>
      <c r="D8" s="185"/>
      <c r="E8" s="185"/>
      <c r="F8" s="185"/>
      <c r="G8" s="241" t="s">
        <v>49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4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4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4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4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4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20</v>
      </c>
      <c r="R13" s="147"/>
      <c r="S13" s="148"/>
      <c r="T13" s="149">
        <f t="shared" ref="T13:T14" si="0">IFERROR(ROUNDDOWN(Q13/M13,0),"")</f>
        <v>1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</row>
    <row r="14" spans="2:34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96</v>
      </c>
      <c r="R14" s="147"/>
      <c r="S14" s="148"/>
      <c r="T14" s="149">
        <f t="shared" si="0"/>
        <v>6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</row>
    <row r="15" spans="2:34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</row>
    <row r="16" spans="2:34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</row>
    <row r="17" spans="2:34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</row>
    <row r="18" spans="2:34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</row>
    <row r="19" spans="2:34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34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34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34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116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7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34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50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34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4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34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34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34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34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34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34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화성센터(저온)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34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경기 화성시 초록로 103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20</v>
      </c>
      <c r="R38" s="71"/>
      <c r="S38" s="71"/>
      <c r="T38" s="72">
        <f>T13</f>
        <v>1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96</v>
      </c>
      <c r="R39" s="71"/>
      <c r="S39" s="71"/>
      <c r="T39" s="72">
        <f t="shared" ref="T39" si="5">T14</f>
        <v>6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79"/>
      <c r="F41" s="80"/>
      <c r="G41" s="80"/>
      <c r="H41" s="80"/>
      <c r="I41" s="80"/>
      <c r="J41" s="80"/>
      <c r="K41" s="80"/>
      <c r="L41" s="81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116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7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경기 화성시 초록로 103
오민수 대리 031-8077-2407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W13:Z16">
    <cfRule type="expression" dxfId="24" priority="6">
      <formula>Q13:S21=0</formula>
    </cfRule>
  </conditionalFormatting>
  <conditionalFormatting sqref="W17:Z18">
    <cfRule type="expression" dxfId="23" priority="3">
      <formula>Q17:S24=0</formula>
    </cfRule>
  </conditionalFormatting>
  <conditionalFormatting sqref="W19:Z21">
    <cfRule type="expression" dxfId="22" priority="4">
      <formula>Q19:S25=0</formula>
    </cfRule>
  </conditionalFormatting>
  <conditionalFormatting sqref="W38:Z44">
    <cfRule type="expression" dxfId="21" priority="7">
      <formula>Q13:S21=0</formula>
    </cfRule>
  </conditionalFormatting>
  <conditionalFormatting sqref="W45:Z45">
    <cfRule type="expression" dxfId="20" priority="5">
      <formula>Q19:S27=0</formula>
    </cfRule>
  </conditionalFormatting>
  <conditionalFormatting sqref="AA13:AH16">
    <cfRule type="expression" dxfId="19" priority="2">
      <formula>Q13:S19=0</formula>
    </cfRule>
  </conditionalFormatting>
  <conditionalFormatting sqref="AA38:AH40">
    <cfRule type="expression" dxfId="18" priority="1">
      <formula>Q13:S21=0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W23 Q2:AH11 C37:D37 G8:L11 N8:P11 H2:K5 G2:G6 M2:P5 L2:L6 G33:L36 N33:P36 H25:K30 G25:G31 Q25:AH36 M25:P30 L25:L31 C12:E12 F22:M22 B37:B47 Q13:Q21 T13:T21 E37:E46 M33:M46 C39:D45 M8:M21 E13:E22 T38:T45 C14:D21 B12:B23 AA37:AA45 Q38:Q45 AA12:AA21" xr:uid="{829364FE-20B4-46D0-9EAC-3039BB64E7DF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1CAE-1172-407D-8B01-253B1579B6BF}">
  <sheetPr>
    <tabColor theme="5" tint="0.59999389629810485"/>
    <pageSetUpPr fitToPage="1"/>
  </sheetPr>
  <dimension ref="B1:AO49"/>
  <sheetViews>
    <sheetView topLeftCell="A6" zoomScaleNormal="100" workbookViewId="0">
      <selection activeCell="E19" sqref="E19:L19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26.21875" style="8" bestFit="1" customWidth="1"/>
    <col min="42" max="42" width="4" style="8" bestFit="1" customWidth="1"/>
    <col min="43" max="43" width="2.33203125" style="8"/>
    <col min="44" max="44" width="5.6640625" style="8" bestFit="1" customWidth="1"/>
    <col min="45" max="46" width="2.33203125" style="8"/>
    <col min="47" max="47" width="5.6640625" style="8" bestFit="1" customWidth="1"/>
    <col min="48" max="16384" width="2.33203125" style="8"/>
  </cols>
  <sheetData>
    <row r="1" spans="2:34" ht="14.25" thickBot="1" x14ac:dyDescent="0.2">
      <c r="B1" s="6" t="s">
        <v>51</v>
      </c>
    </row>
    <row r="2" spans="2:34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4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4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4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4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52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4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4" ht="16.5" customHeight="1" x14ac:dyDescent="0.15">
      <c r="B8" s="198"/>
      <c r="C8" s="178" t="s">
        <v>11</v>
      </c>
      <c r="D8" s="185"/>
      <c r="E8" s="185"/>
      <c r="F8" s="185"/>
      <c r="G8" s="225" t="s">
        <v>53</v>
      </c>
      <c r="H8" s="226"/>
      <c r="I8" s="226"/>
      <c r="J8" s="226"/>
      <c r="K8" s="226"/>
      <c r="L8" s="226"/>
      <c r="M8" s="226"/>
      <c r="N8" s="226"/>
      <c r="O8" s="226"/>
      <c r="P8" s="226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4" ht="14.25" customHeight="1" x14ac:dyDescent="0.15">
      <c r="B9" s="198"/>
      <c r="C9" s="185"/>
      <c r="D9" s="185"/>
      <c r="E9" s="185"/>
      <c r="F9" s="185"/>
      <c r="G9" s="227"/>
      <c r="H9" s="228"/>
      <c r="I9" s="228"/>
      <c r="J9" s="228"/>
      <c r="K9" s="228"/>
      <c r="L9" s="228"/>
      <c r="M9" s="228"/>
      <c r="N9" s="228"/>
      <c r="O9" s="228"/>
      <c r="P9" s="228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4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4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4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4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60</v>
      </c>
      <c r="R13" s="147"/>
      <c r="S13" s="148"/>
      <c r="T13" s="149">
        <f t="shared" ref="T13:T14" si="0">IFERROR(ROUNDDOWN(Q13/M13,0),"")</f>
        <v>3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</row>
    <row r="14" spans="2:34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16</v>
      </c>
      <c r="R14" s="147"/>
      <c r="S14" s="148"/>
      <c r="T14" s="149">
        <f t="shared" si="0"/>
        <v>1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</row>
    <row r="15" spans="2:34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</row>
    <row r="16" spans="2:34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</row>
    <row r="17" spans="2:41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</row>
    <row r="18" spans="2:41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O18" s="3"/>
    </row>
    <row r="19" spans="2:41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  <c r="AO19" s="3"/>
    </row>
    <row r="20" spans="2:41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  <c r="AO20" s="3"/>
    </row>
    <row r="21" spans="2:41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  <c r="AO21" s="3"/>
    </row>
    <row r="22" spans="2:41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76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4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41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54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41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41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41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41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41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41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41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41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청라센터(저온)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41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102" t="str">
        <f>G8</f>
        <v>인천광역시 서구 북항로120번길 55,
청라로지스틱스센터3, 9층</v>
      </c>
      <c r="H33" s="102"/>
      <c r="I33" s="102"/>
      <c r="J33" s="102"/>
      <c r="K33" s="102"/>
      <c r="L33" s="102"/>
      <c r="M33" s="102"/>
      <c r="N33" s="102"/>
      <c r="O33" s="102"/>
      <c r="P33" s="102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60</v>
      </c>
      <c r="R38" s="71"/>
      <c r="S38" s="71"/>
      <c r="T38" s="72">
        <f>T13</f>
        <v>3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16</v>
      </c>
      <c r="R39" s="71"/>
      <c r="S39" s="71"/>
      <c r="T39" s="72">
        <f t="shared" ref="T39" si="5">T14</f>
        <v>1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79"/>
      <c r="F41" s="80"/>
      <c r="G41" s="80"/>
      <c r="H41" s="80"/>
      <c r="I41" s="80"/>
      <c r="J41" s="80"/>
      <c r="K41" s="80"/>
      <c r="L41" s="81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76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4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인천광역시 서구 북항로120번길 55,
청라로지스틱스센터3, 9층
02)437-0500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W13:Z16">
    <cfRule type="expression" dxfId="17" priority="6">
      <formula>Q13:S21=0</formula>
    </cfRule>
  </conditionalFormatting>
  <conditionalFormatting sqref="W17:Z18">
    <cfRule type="expression" dxfId="16" priority="3">
      <formula>Q17:S24=0</formula>
    </cfRule>
  </conditionalFormatting>
  <conditionalFormatting sqref="W19:Z21">
    <cfRule type="expression" dxfId="15" priority="4">
      <formula>Q19:S25=0</formula>
    </cfRule>
  </conditionalFormatting>
  <conditionalFormatting sqref="W38:Z44">
    <cfRule type="expression" dxfId="14" priority="7">
      <formula>Q13:S21=0</formula>
    </cfRule>
  </conditionalFormatting>
  <conditionalFormatting sqref="W45:Z45">
    <cfRule type="expression" dxfId="13" priority="5">
      <formula>Q19:S27=0</formula>
    </cfRule>
  </conditionalFormatting>
  <conditionalFormatting sqref="AA13:AH16">
    <cfRule type="expression" dxfId="12" priority="2">
      <formula>Q13:S19=0</formula>
    </cfRule>
  </conditionalFormatting>
  <conditionalFormatting sqref="AA38:AH40">
    <cfRule type="expression" dxfId="11" priority="1">
      <formula>Q13:S21=0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G8:L11 N8:P11 H2:K5 G2:G6 M2:P5 L2:L6 C12:E12 Q2:AH11 G33:L36 N33:P36 H25:K30 G25:G31 Q25:AH36 M25:P30 L25:L31 E22:M22 W23 E13 B37:B47 T13:T21 E37:E46 Q13:Q21 M33:M46 C39:D45 M8:M21 C14:E21 T38:T45 AA37:AA45 B12:B23 Q38:Q45 AA12:AA21" xr:uid="{18349D69-69DC-4C30-91BD-37FAB02430A0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AB12-783B-46E6-B231-6574FB9A5BB9}">
  <sheetPr>
    <tabColor theme="5" tint="0.59999389629810485"/>
    <pageSetUpPr fitToPage="1"/>
  </sheetPr>
  <dimension ref="B1:AO49"/>
  <sheetViews>
    <sheetView topLeftCell="A11" zoomScaleNormal="100" workbookViewId="0">
      <selection activeCell="AQ13" sqref="AQ13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40" width="2.33203125" style="8"/>
    <col min="41" max="41" width="5.5546875" style="8" bestFit="1" customWidth="1"/>
    <col min="42" max="16384" width="2.33203125" style="8"/>
  </cols>
  <sheetData>
    <row r="1" spans="2:41" ht="14.25" thickBot="1" x14ac:dyDescent="0.2">
      <c r="B1" s="6" t="s">
        <v>55</v>
      </c>
    </row>
    <row r="2" spans="2:41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41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41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41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41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56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41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41" ht="16.5" customHeight="1" x14ac:dyDescent="0.15">
      <c r="B8" s="198"/>
      <c r="C8" s="178" t="s">
        <v>11</v>
      </c>
      <c r="D8" s="185"/>
      <c r="E8" s="185"/>
      <c r="F8" s="185"/>
      <c r="G8" s="241" t="s">
        <v>57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41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41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41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41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41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  <c r="AO13" s="3"/>
    </row>
    <row r="14" spans="2:41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  <c r="AO14" s="3"/>
    </row>
    <row r="15" spans="2:41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  <c r="AO15" s="3"/>
    </row>
    <row r="16" spans="2:41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  <c r="AO16" s="3"/>
    </row>
    <row r="17" spans="2:41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  <c r="AO17" s="31"/>
    </row>
    <row r="18" spans="2:41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  <c r="AO18" s="31"/>
    </row>
    <row r="19" spans="2:41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  <c r="AO19" s="3"/>
    </row>
    <row r="20" spans="2:41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  <c r="AO20" s="3"/>
    </row>
    <row r="21" spans="2:41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  <c r="AO21" s="3"/>
    </row>
    <row r="22" spans="2:41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41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58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41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41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41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41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41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41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41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41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평택센터(저온)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41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경기도 평택시 진위면 마산8로10,
진위물류센터 창고동 1층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9"/>
      <c r="E41" s="247"/>
      <c r="F41" s="248"/>
      <c r="G41" s="248"/>
      <c r="H41" s="248"/>
      <c r="I41" s="248"/>
      <c r="J41" s="248"/>
      <c r="K41" s="248"/>
      <c r="L41" s="84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231"/>
      <c r="F42" s="232"/>
      <c r="G42" s="232"/>
      <c r="H42" s="232"/>
      <c r="I42" s="232"/>
      <c r="J42" s="232"/>
      <c r="K42" s="232"/>
      <c r="L42" s="233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경기도 평택시 진위면 마산8로10,
진위물류센터 창고동 1층
강민구 대리 031-663-9260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W13:Z16">
    <cfRule type="expression" dxfId="10" priority="6">
      <formula>Q13:S21=0</formula>
    </cfRule>
  </conditionalFormatting>
  <conditionalFormatting sqref="W17:Z18">
    <cfRule type="expression" dxfId="9" priority="3">
      <formula>Q17:S24=0</formula>
    </cfRule>
  </conditionalFormatting>
  <conditionalFormatting sqref="W19:Z21">
    <cfRule type="expression" dxfId="8" priority="4">
      <formula>Q19:S25=0</formula>
    </cfRule>
  </conditionalFormatting>
  <conditionalFormatting sqref="W38:Z44">
    <cfRule type="expression" dxfId="7" priority="7">
      <formula>Q13:S21=0</formula>
    </cfRule>
  </conditionalFormatting>
  <conditionalFormatting sqref="W45:Z45">
    <cfRule type="expression" dxfId="6" priority="5">
      <formula>Q19:S27=0</formula>
    </cfRule>
  </conditionalFormatting>
  <conditionalFormatting sqref="AA13:AH16">
    <cfRule type="expression" dxfId="5" priority="2">
      <formula>Q13:S19=0</formula>
    </cfRule>
  </conditionalFormatting>
  <conditionalFormatting sqref="AA38:AH40">
    <cfRule type="expression" dxfId="4" priority="1">
      <formula>Q13:S21=0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W23 G8:L11 N8:P11 H2:K5 G2:G6 M2:P5 L2:L6 C12:E12 Q2:AH11 G33:L36 N33:P36 H25:K30 G25:G31 Q25:AH36 M25:P30 L25:L31 E22:M22 E13 B37:B47 Q13:Q21 T13:T21 E37:E46 M33:M46 C39:D45 M8:M21 C14:E21 T38:T45 AA37:AA45 B12:B23 Q38:Q45 AA12:AA21" xr:uid="{5CB028D4-217A-423A-9A51-A3939B557EDD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8A03A-6631-40FE-BE0C-B6F7A750A652}">
  <sheetPr>
    <tabColor theme="5" tint="0.59999389629810485"/>
    <pageSetUpPr fitToPage="1"/>
  </sheetPr>
  <dimension ref="B1:AH49"/>
  <sheetViews>
    <sheetView zoomScaleNormal="100" workbookViewId="0">
      <selection activeCell="AQ13" sqref="AQ13"/>
    </sheetView>
  </sheetViews>
  <sheetFormatPr defaultColWidth="2.33203125" defaultRowHeight="13.5" x14ac:dyDescent="0.15"/>
  <cols>
    <col min="1" max="1" width="2.33203125" style="8"/>
    <col min="2" max="4" width="3" style="8" customWidth="1"/>
    <col min="5" max="11" width="2.33203125" style="8"/>
    <col min="12" max="12" width="5.77734375" style="8" customWidth="1"/>
    <col min="13" max="16" width="1.44140625" style="8" customWidth="1"/>
    <col min="17" max="21" width="2.33203125" style="8"/>
    <col min="22" max="25" width="1.6640625" style="8" customWidth="1"/>
    <col min="26" max="16384" width="2.33203125" style="8"/>
  </cols>
  <sheetData>
    <row r="1" spans="2:34" ht="14.25" thickBot="1" x14ac:dyDescent="0.2">
      <c r="B1" s="6" t="s">
        <v>59</v>
      </c>
    </row>
    <row r="2" spans="2:34" ht="20.100000000000001" customHeight="1" x14ac:dyDescent="0.15">
      <c r="B2" s="190" t="s">
        <v>2</v>
      </c>
      <c r="C2" s="191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3"/>
    </row>
    <row r="3" spans="2:34" ht="20.100000000000001" customHeight="1" thickBot="1" x14ac:dyDescent="0.2">
      <c r="B3" s="194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6"/>
    </row>
    <row r="4" spans="2:34" ht="13.5" customHeight="1" x14ac:dyDescent="0.15">
      <c r="B4" s="197" t="s">
        <v>3</v>
      </c>
      <c r="C4" s="200" t="s">
        <v>4</v>
      </c>
      <c r="D4" s="200"/>
      <c r="E4" s="200"/>
      <c r="F4" s="200"/>
      <c r="G4" s="201"/>
      <c r="H4" s="202"/>
      <c r="I4" s="202"/>
      <c r="J4" s="202"/>
      <c r="K4" s="202"/>
      <c r="L4" s="202"/>
      <c r="M4" s="202"/>
      <c r="N4" s="202"/>
      <c r="O4" s="202"/>
      <c r="P4" s="203"/>
      <c r="Q4" s="197" t="s">
        <v>5</v>
      </c>
      <c r="R4" s="166" t="s">
        <v>4</v>
      </c>
      <c r="S4" s="166"/>
      <c r="T4" s="166"/>
      <c r="U4" s="166"/>
      <c r="V4" s="207" t="s">
        <v>71</v>
      </c>
      <c r="W4" s="208"/>
      <c r="X4" s="208"/>
      <c r="Y4" s="208"/>
      <c r="Z4" s="208"/>
      <c r="AA4" s="208"/>
      <c r="AB4" s="208"/>
      <c r="AC4" s="208"/>
      <c r="AD4" s="208"/>
      <c r="AE4" s="208"/>
      <c r="AF4" s="208"/>
      <c r="AG4" s="208"/>
      <c r="AH4" s="209"/>
    </row>
    <row r="5" spans="2:34" x14ac:dyDescent="0.15">
      <c r="B5" s="198"/>
      <c r="C5" s="178"/>
      <c r="D5" s="178"/>
      <c r="E5" s="178"/>
      <c r="F5" s="178"/>
      <c r="G5" s="204"/>
      <c r="H5" s="205"/>
      <c r="I5" s="205"/>
      <c r="J5" s="205"/>
      <c r="K5" s="205"/>
      <c r="L5" s="205"/>
      <c r="M5" s="205"/>
      <c r="N5" s="205"/>
      <c r="O5" s="205"/>
      <c r="P5" s="206"/>
      <c r="Q5" s="198"/>
      <c r="R5" s="185"/>
      <c r="S5" s="185"/>
      <c r="T5" s="185"/>
      <c r="U5" s="185"/>
      <c r="V5" s="210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2"/>
    </row>
    <row r="6" spans="2:34" ht="13.5" customHeight="1" x14ac:dyDescent="0.15">
      <c r="B6" s="198"/>
      <c r="C6" s="178" t="s">
        <v>6</v>
      </c>
      <c r="D6" s="178"/>
      <c r="E6" s="178"/>
      <c r="F6" s="178"/>
      <c r="G6" s="213" t="s">
        <v>7</v>
      </c>
      <c r="H6" s="214"/>
      <c r="I6" s="214"/>
      <c r="J6" s="214"/>
      <c r="K6" s="215"/>
      <c r="L6" s="213" t="s">
        <v>60</v>
      </c>
      <c r="M6" s="214"/>
      <c r="N6" s="214"/>
      <c r="O6" s="214"/>
      <c r="P6" s="219"/>
      <c r="Q6" s="198"/>
      <c r="R6" s="178" t="s">
        <v>9</v>
      </c>
      <c r="S6" s="178"/>
      <c r="T6" s="178"/>
      <c r="U6" s="178"/>
      <c r="V6" s="221" t="s">
        <v>72</v>
      </c>
      <c r="W6" s="221"/>
      <c r="X6" s="221"/>
      <c r="Y6" s="221"/>
      <c r="Z6" s="221"/>
      <c r="AA6" s="221"/>
      <c r="AB6" s="185" t="s">
        <v>10</v>
      </c>
      <c r="AC6" s="185"/>
      <c r="AD6" s="221" t="s">
        <v>73</v>
      </c>
      <c r="AE6" s="221"/>
      <c r="AF6" s="221"/>
      <c r="AG6" s="221"/>
      <c r="AH6" s="222"/>
    </row>
    <row r="7" spans="2:34" x14ac:dyDescent="0.15">
      <c r="B7" s="198"/>
      <c r="C7" s="178"/>
      <c r="D7" s="178"/>
      <c r="E7" s="178"/>
      <c r="F7" s="178"/>
      <c r="G7" s="216"/>
      <c r="H7" s="217"/>
      <c r="I7" s="217"/>
      <c r="J7" s="217"/>
      <c r="K7" s="218"/>
      <c r="L7" s="216"/>
      <c r="M7" s="217"/>
      <c r="N7" s="217"/>
      <c r="O7" s="217"/>
      <c r="P7" s="220"/>
      <c r="Q7" s="198"/>
      <c r="R7" s="178"/>
      <c r="S7" s="178"/>
      <c r="T7" s="178"/>
      <c r="U7" s="178"/>
      <c r="V7" s="221"/>
      <c r="W7" s="221"/>
      <c r="X7" s="221"/>
      <c r="Y7" s="221"/>
      <c r="Z7" s="221"/>
      <c r="AA7" s="221"/>
      <c r="AB7" s="185"/>
      <c r="AC7" s="185"/>
      <c r="AD7" s="221"/>
      <c r="AE7" s="221"/>
      <c r="AF7" s="221"/>
      <c r="AG7" s="221"/>
      <c r="AH7" s="222"/>
    </row>
    <row r="8" spans="2:34" ht="16.5" customHeight="1" x14ac:dyDescent="0.15">
      <c r="B8" s="198"/>
      <c r="C8" s="178" t="s">
        <v>11</v>
      </c>
      <c r="D8" s="185"/>
      <c r="E8" s="185"/>
      <c r="F8" s="185"/>
      <c r="G8" s="241" t="s">
        <v>61</v>
      </c>
      <c r="H8" s="242"/>
      <c r="I8" s="242"/>
      <c r="J8" s="242"/>
      <c r="K8" s="242"/>
      <c r="L8" s="242"/>
      <c r="M8" s="242"/>
      <c r="N8" s="242"/>
      <c r="O8" s="242"/>
      <c r="P8" s="242"/>
      <c r="Q8" s="198"/>
      <c r="R8" s="178" t="s">
        <v>11</v>
      </c>
      <c r="S8" s="178"/>
      <c r="T8" s="178"/>
      <c r="U8" s="178"/>
      <c r="V8" s="229" t="s">
        <v>74</v>
      </c>
      <c r="W8" s="229"/>
      <c r="X8" s="229"/>
      <c r="Y8" s="229"/>
      <c r="Z8" s="229"/>
      <c r="AA8" s="229"/>
      <c r="AB8" s="229"/>
      <c r="AC8" s="229"/>
      <c r="AD8" s="229"/>
      <c r="AE8" s="229"/>
      <c r="AF8" s="229"/>
      <c r="AG8" s="229"/>
      <c r="AH8" s="230"/>
    </row>
    <row r="9" spans="2:34" ht="14.25" customHeight="1" x14ac:dyDescent="0.15">
      <c r="B9" s="198"/>
      <c r="C9" s="185"/>
      <c r="D9" s="185"/>
      <c r="E9" s="185"/>
      <c r="F9" s="185"/>
      <c r="G9" s="243"/>
      <c r="H9" s="244"/>
      <c r="I9" s="244"/>
      <c r="J9" s="244"/>
      <c r="K9" s="244"/>
      <c r="L9" s="244"/>
      <c r="M9" s="244"/>
      <c r="N9" s="244"/>
      <c r="O9" s="244"/>
      <c r="P9" s="244"/>
      <c r="Q9" s="198"/>
      <c r="R9" s="178"/>
      <c r="S9" s="178"/>
      <c r="T9" s="178"/>
      <c r="U9" s="178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30"/>
    </row>
    <row r="10" spans="2:34" ht="13.5" customHeight="1" x14ac:dyDescent="0.15">
      <c r="B10" s="198"/>
      <c r="C10" s="178" t="s">
        <v>13</v>
      </c>
      <c r="D10" s="178"/>
      <c r="E10" s="178"/>
      <c r="F10" s="178"/>
      <c r="G10" s="180"/>
      <c r="H10" s="181"/>
      <c r="I10" s="181"/>
      <c r="J10" s="181"/>
      <c r="K10" s="181"/>
      <c r="L10" s="181"/>
      <c r="M10" s="181"/>
      <c r="N10" s="181"/>
      <c r="O10" s="181"/>
      <c r="P10" s="182"/>
      <c r="Q10" s="198"/>
      <c r="R10" s="185" t="s">
        <v>14</v>
      </c>
      <c r="S10" s="185"/>
      <c r="T10" s="185"/>
      <c r="U10" s="185"/>
      <c r="V10" s="187" t="s">
        <v>75</v>
      </c>
      <c r="W10" s="188"/>
      <c r="X10" s="188"/>
      <c r="Y10" s="188"/>
      <c r="Z10" s="188"/>
      <c r="AA10" s="188"/>
      <c r="AB10" s="185" t="s">
        <v>15</v>
      </c>
      <c r="AC10" s="185"/>
      <c r="AD10" s="221" t="s">
        <v>76</v>
      </c>
      <c r="AE10" s="221"/>
      <c r="AF10" s="221"/>
      <c r="AG10" s="221"/>
      <c r="AH10" s="222"/>
    </row>
    <row r="11" spans="2:34" ht="14.25" thickBot="1" x14ac:dyDescent="0.2">
      <c r="B11" s="199"/>
      <c r="C11" s="179"/>
      <c r="D11" s="179"/>
      <c r="E11" s="179"/>
      <c r="F11" s="179"/>
      <c r="G11" s="183"/>
      <c r="H11" s="183"/>
      <c r="I11" s="183"/>
      <c r="J11" s="183"/>
      <c r="K11" s="183"/>
      <c r="L11" s="183"/>
      <c r="M11" s="183"/>
      <c r="N11" s="183"/>
      <c r="O11" s="183"/>
      <c r="P11" s="184"/>
      <c r="Q11" s="199"/>
      <c r="R11" s="186"/>
      <c r="S11" s="186"/>
      <c r="T11" s="186"/>
      <c r="U11" s="186"/>
      <c r="V11" s="189"/>
      <c r="W11" s="189"/>
      <c r="X11" s="189"/>
      <c r="Y11" s="189"/>
      <c r="Z11" s="189"/>
      <c r="AA11" s="189"/>
      <c r="AB11" s="186"/>
      <c r="AC11" s="186"/>
      <c r="AD11" s="223"/>
      <c r="AE11" s="223"/>
      <c r="AF11" s="223"/>
      <c r="AG11" s="223"/>
      <c r="AH11" s="224"/>
    </row>
    <row r="12" spans="2:34" ht="20.100000000000001" customHeight="1" x14ac:dyDescent="0.15">
      <c r="B12" s="9" t="s">
        <v>16</v>
      </c>
      <c r="C12" s="10" t="s">
        <v>17</v>
      </c>
      <c r="D12" s="11" t="s">
        <v>18</v>
      </c>
      <c r="E12" s="166" t="s">
        <v>19</v>
      </c>
      <c r="F12" s="167"/>
      <c r="G12" s="167"/>
      <c r="H12" s="167"/>
      <c r="I12" s="167"/>
      <c r="J12" s="167"/>
      <c r="K12" s="167"/>
      <c r="L12" s="167"/>
      <c r="M12" s="12" t="s">
        <v>20</v>
      </c>
      <c r="N12" s="13"/>
      <c r="O12" s="13"/>
      <c r="P12" s="14"/>
      <c r="Q12" s="168" t="s">
        <v>21</v>
      </c>
      <c r="R12" s="169"/>
      <c r="S12" s="170"/>
      <c r="T12" s="168" t="s">
        <v>22</v>
      </c>
      <c r="U12" s="169"/>
      <c r="V12" s="170"/>
      <c r="W12" s="171" t="s">
        <v>23</v>
      </c>
      <c r="X12" s="171"/>
      <c r="Y12" s="171"/>
      <c r="Z12" s="172"/>
      <c r="AA12" s="173" t="s">
        <v>24</v>
      </c>
      <c r="AB12" s="174"/>
      <c r="AC12" s="174"/>
      <c r="AD12" s="174"/>
      <c r="AE12" s="174"/>
      <c r="AF12" s="174"/>
      <c r="AG12" s="174"/>
      <c r="AH12" s="175"/>
    </row>
    <row r="13" spans="2:34" ht="21.95" customHeight="1" x14ac:dyDescent="0.15">
      <c r="B13" s="176">
        <f>'양지 (현장)'!$B$13</f>
        <v>46310</v>
      </c>
      <c r="C13" s="154"/>
      <c r="D13" s="177"/>
      <c r="E13" s="79" t="s">
        <v>77</v>
      </c>
      <c r="F13" s="80"/>
      <c r="G13" s="80"/>
      <c r="H13" s="80"/>
      <c r="I13" s="80"/>
      <c r="J13" s="80"/>
      <c r="K13" s="80"/>
      <c r="L13" s="81"/>
      <c r="M13" s="79">
        <v>20</v>
      </c>
      <c r="N13" s="80"/>
      <c r="O13" s="80"/>
      <c r="P13" s="81"/>
      <c r="Q13" s="146">
        <f>IFERROR(VLOOKUP($B$1,삼진피벗!A1:L14,2,FALSE),0)</f>
        <v>0</v>
      </c>
      <c r="R13" s="147"/>
      <c r="S13" s="148"/>
      <c r="T13" s="149">
        <f t="shared" ref="T13:T14" si="0">IFERROR(ROUNDDOWN(Q13/M13,0),"")</f>
        <v>0</v>
      </c>
      <c r="U13" s="150"/>
      <c r="V13" s="150"/>
      <c r="W13" s="151">
        <f t="shared" ref="W13:W14" si="1">IFERROR(Q13-(T13*M13),"")</f>
        <v>0</v>
      </c>
      <c r="X13" s="152"/>
      <c r="Y13" s="152"/>
      <c r="Z13" s="153"/>
      <c r="AA13" s="154" t="s">
        <v>81</v>
      </c>
      <c r="AB13" s="150"/>
      <c r="AC13" s="150"/>
      <c r="AD13" s="150"/>
      <c r="AE13" s="150"/>
      <c r="AF13" s="150"/>
      <c r="AG13" s="150"/>
      <c r="AH13" s="155"/>
    </row>
    <row r="14" spans="2:34" ht="21.95" customHeight="1" x14ac:dyDescent="0.15">
      <c r="B14" s="16"/>
      <c r="C14" s="17" t="s">
        <v>25</v>
      </c>
      <c r="D14" s="17" t="s">
        <v>25</v>
      </c>
      <c r="E14" s="79" t="s">
        <v>78</v>
      </c>
      <c r="F14" s="80"/>
      <c r="G14" s="80"/>
      <c r="H14" s="80"/>
      <c r="I14" s="80"/>
      <c r="J14" s="80"/>
      <c r="K14" s="80"/>
      <c r="L14" s="81"/>
      <c r="M14" s="79">
        <v>16</v>
      </c>
      <c r="N14" s="80"/>
      <c r="O14" s="80"/>
      <c r="P14" s="81"/>
      <c r="Q14" s="146">
        <f>IFERROR(VLOOKUP($B$1,삼진피벗!A1:L14,3,FALSE),0)</f>
        <v>0</v>
      </c>
      <c r="R14" s="147"/>
      <c r="S14" s="148"/>
      <c r="T14" s="149">
        <f t="shared" si="0"/>
        <v>0</v>
      </c>
      <c r="U14" s="150"/>
      <c r="V14" s="150"/>
      <c r="W14" s="151">
        <f t="shared" si="1"/>
        <v>0</v>
      </c>
      <c r="X14" s="152"/>
      <c r="Y14" s="152"/>
      <c r="Z14" s="153"/>
      <c r="AA14" s="163" t="s">
        <v>79</v>
      </c>
      <c r="AB14" s="164"/>
      <c r="AC14" s="164"/>
      <c r="AD14" s="164"/>
      <c r="AE14" s="164"/>
      <c r="AF14" s="164"/>
      <c r="AG14" s="164"/>
      <c r="AH14" s="165"/>
    </row>
    <row r="15" spans="2:34" ht="21.95" customHeight="1" x14ac:dyDescent="0.15">
      <c r="B15" s="16"/>
      <c r="C15" s="17" t="s">
        <v>25</v>
      </c>
      <c r="D15" s="17" t="s">
        <v>25</v>
      </c>
      <c r="E15" s="79"/>
      <c r="F15" s="80"/>
      <c r="G15" s="80"/>
      <c r="H15" s="80"/>
      <c r="I15" s="80"/>
      <c r="J15" s="80"/>
      <c r="K15" s="80"/>
      <c r="L15" s="81"/>
      <c r="M15" s="79"/>
      <c r="N15" s="80"/>
      <c r="O15" s="80"/>
      <c r="P15" s="81"/>
      <c r="Q15" s="146"/>
      <c r="R15" s="147"/>
      <c r="S15" s="148"/>
      <c r="T15" s="149"/>
      <c r="U15" s="150"/>
      <c r="V15" s="150"/>
      <c r="W15" s="151"/>
      <c r="X15" s="152"/>
      <c r="Y15" s="152"/>
      <c r="Z15" s="153"/>
      <c r="AA15" s="163"/>
      <c r="AB15" s="164"/>
      <c r="AC15" s="164"/>
      <c r="AD15" s="164"/>
      <c r="AE15" s="164"/>
      <c r="AF15" s="164"/>
      <c r="AG15" s="164"/>
      <c r="AH15" s="165"/>
    </row>
    <row r="16" spans="2:34" ht="21.95" customHeight="1" x14ac:dyDescent="0.15">
      <c r="B16" s="16" t="s">
        <v>25</v>
      </c>
      <c r="C16" s="17" t="s">
        <v>25</v>
      </c>
      <c r="D16" s="17" t="s">
        <v>25</v>
      </c>
      <c r="E16" s="79"/>
      <c r="F16" s="80"/>
      <c r="G16" s="80"/>
      <c r="H16" s="80"/>
      <c r="I16" s="80"/>
      <c r="J16" s="80"/>
      <c r="K16" s="80"/>
      <c r="L16" s="81"/>
      <c r="M16" s="79"/>
      <c r="N16" s="80"/>
      <c r="O16" s="80"/>
      <c r="P16" s="81"/>
      <c r="Q16" s="146"/>
      <c r="R16" s="147"/>
      <c r="S16" s="148"/>
      <c r="T16" s="149"/>
      <c r="U16" s="150"/>
      <c r="V16" s="150"/>
      <c r="W16" s="151"/>
      <c r="X16" s="152"/>
      <c r="Y16" s="152"/>
      <c r="Z16" s="153"/>
      <c r="AA16" s="163"/>
      <c r="AB16" s="164"/>
      <c r="AC16" s="164"/>
      <c r="AD16" s="164"/>
      <c r="AE16" s="164"/>
      <c r="AF16" s="164"/>
      <c r="AG16" s="164"/>
      <c r="AH16" s="165"/>
    </row>
    <row r="17" spans="2:34" ht="21.95" customHeight="1" x14ac:dyDescent="0.15">
      <c r="B17" s="16"/>
      <c r="C17" s="17"/>
      <c r="D17" s="17"/>
      <c r="E17" s="79"/>
      <c r="F17" s="80"/>
      <c r="G17" s="80"/>
      <c r="H17" s="80"/>
      <c r="I17" s="80"/>
      <c r="J17" s="80"/>
      <c r="K17" s="80"/>
      <c r="L17" s="81"/>
      <c r="M17" s="79"/>
      <c r="N17" s="80"/>
      <c r="O17" s="80"/>
      <c r="P17" s="81"/>
      <c r="Q17" s="146"/>
      <c r="R17" s="147"/>
      <c r="S17" s="148"/>
      <c r="T17" s="149"/>
      <c r="U17" s="150"/>
      <c r="V17" s="150"/>
      <c r="W17" s="151"/>
      <c r="X17" s="152"/>
      <c r="Y17" s="152"/>
      <c r="Z17" s="153"/>
      <c r="AA17" s="163"/>
      <c r="AB17" s="164"/>
      <c r="AC17" s="164"/>
      <c r="AD17" s="164"/>
      <c r="AE17" s="164"/>
      <c r="AF17" s="164"/>
      <c r="AG17" s="164"/>
      <c r="AH17" s="165"/>
    </row>
    <row r="18" spans="2:34" ht="21.95" customHeight="1" x14ac:dyDescent="0.15">
      <c r="B18" s="16"/>
      <c r="C18" s="17"/>
      <c r="D18" s="17"/>
      <c r="E18" s="79"/>
      <c r="F18" s="80"/>
      <c r="G18" s="80"/>
      <c r="H18" s="80"/>
      <c r="I18" s="80"/>
      <c r="J18" s="80"/>
      <c r="K18" s="80"/>
      <c r="L18" s="81"/>
      <c r="M18" s="79"/>
      <c r="N18" s="80"/>
      <c r="O18" s="80"/>
      <c r="P18" s="81"/>
      <c r="Q18" s="146"/>
      <c r="R18" s="147"/>
      <c r="S18" s="148"/>
      <c r="T18" s="149"/>
      <c r="U18" s="150"/>
      <c r="V18" s="150"/>
      <c r="W18" s="151"/>
      <c r="X18" s="152"/>
      <c r="Y18" s="152"/>
      <c r="Z18" s="153"/>
      <c r="AA18" s="163"/>
      <c r="AB18" s="164"/>
      <c r="AC18" s="164"/>
      <c r="AD18" s="164"/>
      <c r="AE18" s="164"/>
      <c r="AF18" s="164"/>
      <c r="AG18" s="164"/>
      <c r="AH18" s="165"/>
    </row>
    <row r="19" spans="2:34" ht="21.95" customHeight="1" x14ac:dyDescent="0.15">
      <c r="B19" s="16"/>
      <c r="C19" s="17"/>
      <c r="D19" s="17"/>
      <c r="E19" s="79"/>
      <c r="F19" s="80"/>
      <c r="G19" s="80"/>
      <c r="H19" s="80"/>
      <c r="I19" s="80"/>
      <c r="J19" s="80"/>
      <c r="K19" s="80"/>
      <c r="L19" s="81"/>
      <c r="M19" s="79"/>
      <c r="N19" s="80"/>
      <c r="O19" s="80"/>
      <c r="P19" s="81"/>
      <c r="Q19" s="146"/>
      <c r="R19" s="147"/>
      <c r="S19" s="148"/>
      <c r="T19" s="149"/>
      <c r="U19" s="150"/>
      <c r="V19" s="150"/>
      <c r="W19" s="151"/>
      <c r="X19" s="152"/>
      <c r="Y19" s="152"/>
      <c r="Z19" s="153"/>
      <c r="AA19" s="154"/>
      <c r="AB19" s="150"/>
      <c r="AC19" s="150"/>
      <c r="AD19" s="150"/>
      <c r="AE19" s="150"/>
      <c r="AF19" s="150"/>
      <c r="AG19" s="150"/>
      <c r="AH19" s="155"/>
    </row>
    <row r="20" spans="2:34" ht="21.95" customHeight="1" x14ac:dyDescent="0.15">
      <c r="B20" s="19"/>
      <c r="C20" s="20"/>
      <c r="D20" s="21"/>
      <c r="E20" s="160"/>
      <c r="F20" s="161"/>
      <c r="G20" s="161"/>
      <c r="H20" s="161"/>
      <c r="I20" s="161"/>
      <c r="J20" s="161"/>
      <c r="K20" s="161"/>
      <c r="L20" s="162"/>
      <c r="M20" s="79"/>
      <c r="N20" s="80"/>
      <c r="O20" s="80"/>
      <c r="P20" s="81"/>
      <c r="Q20" s="146"/>
      <c r="R20" s="147"/>
      <c r="S20" s="148"/>
      <c r="T20" s="149"/>
      <c r="U20" s="150"/>
      <c r="V20" s="150"/>
      <c r="W20" s="151"/>
      <c r="X20" s="152"/>
      <c r="Y20" s="152"/>
      <c r="Z20" s="153"/>
      <c r="AA20" s="154"/>
      <c r="AB20" s="150"/>
      <c r="AC20" s="150"/>
      <c r="AD20" s="150"/>
      <c r="AE20" s="150"/>
      <c r="AF20" s="150"/>
      <c r="AG20" s="150"/>
      <c r="AH20" s="155"/>
    </row>
    <row r="21" spans="2:34" ht="21.95" customHeight="1" x14ac:dyDescent="0.15">
      <c r="B21" s="19"/>
      <c r="C21" s="20"/>
      <c r="D21" s="21"/>
      <c r="E21" s="143"/>
      <c r="F21" s="144"/>
      <c r="G21" s="144"/>
      <c r="H21" s="144"/>
      <c r="I21" s="144"/>
      <c r="J21" s="144"/>
      <c r="K21" s="144"/>
      <c r="L21" s="145"/>
      <c r="M21" s="79"/>
      <c r="N21" s="80"/>
      <c r="O21" s="80"/>
      <c r="P21" s="81"/>
      <c r="Q21" s="146"/>
      <c r="R21" s="147"/>
      <c r="S21" s="148"/>
      <c r="T21" s="149"/>
      <c r="U21" s="150"/>
      <c r="V21" s="150"/>
      <c r="W21" s="151"/>
      <c r="X21" s="152"/>
      <c r="Y21" s="152"/>
      <c r="Z21" s="153"/>
      <c r="AA21" s="154"/>
      <c r="AB21" s="150"/>
      <c r="AC21" s="150"/>
      <c r="AD21" s="150"/>
      <c r="AE21" s="150"/>
      <c r="AF21" s="150"/>
      <c r="AG21" s="150"/>
      <c r="AH21" s="155"/>
    </row>
    <row r="22" spans="2:34" ht="16.5" customHeight="1" thickBot="1" x14ac:dyDescent="0.2">
      <c r="B22" s="124" t="s">
        <v>21</v>
      </c>
      <c r="C22" s="125"/>
      <c r="D22" s="126"/>
      <c r="E22" s="127"/>
      <c r="F22" s="128"/>
      <c r="G22" s="128"/>
      <c r="H22" s="128"/>
      <c r="I22" s="128"/>
      <c r="J22" s="128"/>
      <c r="K22" s="128"/>
      <c r="L22" s="128"/>
      <c r="M22" s="156">
        <f>SUM(Q13:S21)</f>
        <v>0</v>
      </c>
      <c r="N22" s="129"/>
      <c r="O22" s="129"/>
      <c r="P22" s="129"/>
      <c r="Q22" s="129"/>
      <c r="R22" s="129"/>
      <c r="S22" s="129"/>
      <c r="T22" s="129"/>
      <c r="U22" s="129"/>
      <c r="V22" s="129"/>
      <c r="W22" s="157">
        <f>SUM(T13:V21)</f>
        <v>0</v>
      </c>
      <c r="X22" s="158"/>
      <c r="Y22" s="158"/>
      <c r="Z22" s="159"/>
      <c r="AA22" s="129"/>
      <c r="AB22" s="129"/>
      <c r="AC22" s="129"/>
      <c r="AD22" s="129"/>
      <c r="AE22" s="129"/>
      <c r="AF22" s="129"/>
      <c r="AG22" s="129"/>
      <c r="AH22" s="130"/>
    </row>
    <row r="23" spans="2:34" ht="17.100000000000001" customHeight="1" x14ac:dyDescent="0.15">
      <c r="B23" s="131" t="s">
        <v>26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37" t="s">
        <v>62</v>
      </c>
      <c r="X23" s="138"/>
      <c r="Y23" s="138"/>
      <c r="Z23" s="138"/>
      <c r="AA23" s="138"/>
      <c r="AB23" s="138"/>
      <c r="AC23" s="138"/>
      <c r="AD23" s="138"/>
      <c r="AE23" s="138"/>
      <c r="AF23" s="138"/>
      <c r="AG23" s="138"/>
      <c r="AH23" s="139"/>
    </row>
    <row r="24" spans="2:34" ht="17.100000000000001" customHeight="1" thickBot="1" x14ac:dyDescent="0.2">
      <c r="B24" s="134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6"/>
      <c r="W24" s="140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2"/>
    </row>
    <row r="25" spans="2:34" ht="9.9499999999999993" customHeight="1" x14ac:dyDescent="0.15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3"/>
      <c r="AC25" s="23"/>
      <c r="AD25" s="23"/>
      <c r="AE25" s="23"/>
      <c r="AF25" s="23"/>
      <c r="AG25" s="23"/>
      <c r="AH25" s="23"/>
    </row>
    <row r="26" spans="2:34" ht="9.9499999999999993" customHeight="1" thickBot="1" x14ac:dyDescent="0.2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2:34" ht="15" customHeight="1" x14ac:dyDescent="0.15">
      <c r="B27" s="105" t="s">
        <v>27</v>
      </c>
      <c r="C27" s="106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8"/>
    </row>
    <row r="28" spans="2:34" ht="20.100000000000001" customHeight="1" x14ac:dyDescent="0.15">
      <c r="B28" s="109"/>
      <c r="C28" s="110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2"/>
    </row>
    <row r="29" spans="2:34" x14ac:dyDescent="0.15">
      <c r="B29" s="113" t="s">
        <v>3</v>
      </c>
      <c r="C29" s="92" t="str">
        <f>C4</f>
        <v>등록번호</v>
      </c>
      <c r="D29" s="92"/>
      <c r="E29" s="92"/>
      <c r="F29" s="92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92" t="s">
        <v>5</v>
      </c>
      <c r="R29" s="85" t="s">
        <v>4</v>
      </c>
      <c r="S29" s="85"/>
      <c r="T29" s="85"/>
      <c r="U29" s="85"/>
      <c r="V29" s="116" t="str">
        <f>V4</f>
        <v>360-86-002047</v>
      </c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7"/>
    </row>
    <row r="30" spans="2:34" x14ac:dyDescent="0.15">
      <c r="B30" s="113"/>
      <c r="C30" s="92"/>
      <c r="D30" s="92"/>
      <c r="E30" s="92"/>
      <c r="F30" s="92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92"/>
      <c r="R30" s="85"/>
      <c r="S30" s="85"/>
      <c r="T30" s="85"/>
      <c r="U30" s="85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7"/>
    </row>
    <row r="31" spans="2:34" ht="13.5" customHeight="1" x14ac:dyDescent="0.15">
      <c r="B31" s="113"/>
      <c r="C31" s="92" t="str">
        <f>C6</f>
        <v>상 호
(법인명)</v>
      </c>
      <c r="D31" s="92"/>
      <c r="E31" s="92"/>
      <c r="F31" s="92"/>
      <c r="G31" s="118" t="str">
        <f>G6</f>
        <v>(이마트24)</v>
      </c>
      <c r="H31" s="119"/>
      <c r="I31" s="119"/>
      <c r="J31" s="119"/>
      <c r="K31" s="120"/>
      <c r="L31" s="118" t="str">
        <f>L6</f>
        <v>포천센터(저온)</v>
      </c>
      <c r="M31" s="119"/>
      <c r="N31" s="119"/>
      <c r="O31" s="119"/>
      <c r="P31" s="120"/>
      <c r="Q31" s="92"/>
      <c r="R31" s="92" t="s">
        <v>9</v>
      </c>
      <c r="S31" s="92"/>
      <c r="T31" s="92"/>
      <c r="U31" s="92"/>
      <c r="V31" s="98" t="str">
        <f>V6</f>
        <v>삼진식품㈜</v>
      </c>
      <c r="W31" s="98"/>
      <c r="X31" s="98"/>
      <c r="Y31" s="98"/>
      <c r="Z31" s="98"/>
      <c r="AA31" s="98"/>
      <c r="AB31" s="85" t="s">
        <v>28</v>
      </c>
      <c r="AC31" s="85"/>
      <c r="AD31" s="98" t="str">
        <f>AD6</f>
        <v>박용준</v>
      </c>
      <c r="AE31" s="98"/>
      <c r="AF31" s="98"/>
      <c r="AG31" s="98"/>
      <c r="AH31" s="100"/>
    </row>
    <row r="32" spans="2:34" x14ac:dyDescent="0.15">
      <c r="B32" s="113"/>
      <c r="C32" s="92"/>
      <c r="D32" s="92"/>
      <c r="E32" s="92"/>
      <c r="F32" s="92"/>
      <c r="G32" s="121"/>
      <c r="H32" s="122"/>
      <c r="I32" s="122"/>
      <c r="J32" s="122"/>
      <c r="K32" s="123"/>
      <c r="L32" s="121"/>
      <c r="M32" s="122"/>
      <c r="N32" s="122"/>
      <c r="O32" s="122"/>
      <c r="P32" s="123"/>
      <c r="Q32" s="92"/>
      <c r="R32" s="92"/>
      <c r="S32" s="92"/>
      <c r="T32" s="92"/>
      <c r="U32" s="92"/>
      <c r="V32" s="98"/>
      <c r="W32" s="98"/>
      <c r="X32" s="98"/>
      <c r="Y32" s="98"/>
      <c r="Z32" s="98"/>
      <c r="AA32" s="98"/>
      <c r="AB32" s="85"/>
      <c r="AC32" s="85"/>
      <c r="AD32" s="98"/>
      <c r="AE32" s="98"/>
      <c r="AF32" s="98"/>
      <c r="AG32" s="98"/>
      <c r="AH32" s="100"/>
    </row>
    <row r="33" spans="2:34" x14ac:dyDescent="0.15">
      <c r="B33" s="113"/>
      <c r="C33" s="92" t="s">
        <v>11</v>
      </c>
      <c r="D33" s="85"/>
      <c r="E33" s="85"/>
      <c r="F33" s="85"/>
      <c r="G33" s="237" t="str">
        <f>G8</f>
        <v>경기도 포천시 설운동 477,B2F</v>
      </c>
      <c r="H33" s="237"/>
      <c r="I33" s="237"/>
      <c r="J33" s="237"/>
      <c r="K33" s="237"/>
      <c r="L33" s="237"/>
      <c r="M33" s="237"/>
      <c r="N33" s="237"/>
      <c r="O33" s="237"/>
      <c r="P33" s="237"/>
      <c r="Q33" s="92"/>
      <c r="R33" s="92" t="s">
        <v>11</v>
      </c>
      <c r="S33" s="92"/>
      <c r="T33" s="92"/>
      <c r="U33" s="92"/>
      <c r="V33" s="103" t="str">
        <f>V8</f>
        <v>부산광역시 영동구 태종로 99전길 36,3</v>
      </c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4"/>
    </row>
    <row r="34" spans="2:34" x14ac:dyDescent="0.15">
      <c r="B34" s="113"/>
      <c r="C34" s="85"/>
      <c r="D34" s="85"/>
      <c r="E34" s="85"/>
      <c r="F34" s="85"/>
      <c r="G34" s="237"/>
      <c r="H34" s="237"/>
      <c r="I34" s="237"/>
      <c r="J34" s="237"/>
      <c r="K34" s="237"/>
      <c r="L34" s="237"/>
      <c r="M34" s="237"/>
      <c r="N34" s="237"/>
      <c r="O34" s="237"/>
      <c r="P34" s="237"/>
      <c r="Q34" s="92"/>
      <c r="R34" s="92"/>
      <c r="S34" s="92"/>
      <c r="T34" s="92"/>
      <c r="U34" s="92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4"/>
    </row>
    <row r="35" spans="2:34" ht="13.5" customHeight="1" x14ac:dyDescent="0.15">
      <c r="B35" s="113"/>
      <c r="C35" s="92" t="s">
        <v>13</v>
      </c>
      <c r="D35" s="92"/>
      <c r="E35" s="92"/>
      <c r="F35" s="92"/>
      <c r="G35" s="93"/>
      <c r="H35" s="94"/>
      <c r="I35" s="94"/>
      <c r="J35" s="94"/>
      <c r="K35" s="94"/>
      <c r="L35" s="94"/>
      <c r="M35" s="94"/>
      <c r="N35" s="94"/>
      <c r="O35" s="94"/>
      <c r="P35" s="94"/>
      <c r="Q35" s="92"/>
      <c r="R35" s="85" t="s">
        <v>14</v>
      </c>
      <c r="S35" s="85"/>
      <c r="T35" s="85"/>
      <c r="U35" s="85"/>
      <c r="V35" s="97" t="str">
        <f>V10</f>
        <v>제조</v>
      </c>
      <c r="W35" s="98"/>
      <c r="X35" s="98"/>
      <c r="Y35" s="98"/>
      <c r="Z35" s="98"/>
      <c r="AA35" s="98"/>
      <c r="AB35" s="85" t="s">
        <v>29</v>
      </c>
      <c r="AC35" s="85"/>
      <c r="AD35" s="98" t="str">
        <f>AD10</f>
        <v>어묵 및 유사제품</v>
      </c>
      <c r="AE35" s="98"/>
      <c r="AF35" s="98"/>
      <c r="AG35" s="98"/>
      <c r="AH35" s="100"/>
    </row>
    <row r="36" spans="2:34" x14ac:dyDescent="0.15">
      <c r="B36" s="113"/>
      <c r="C36" s="92"/>
      <c r="D36" s="92"/>
      <c r="E36" s="92"/>
      <c r="F36" s="92"/>
      <c r="G36" s="94"/>
      <c r="H36" s="94"/>
      <c r="I36" s="94"/>
      <c r="J36" s="94"/>
      <c r="K36" s="94"/>
      <c r="L36" s="94"/>
      <c r="M36" s="95"/>
      <c r="N36" s="95"/>
      <c r="O36" s="95"/>
      <c r="P36" s="95"/>
      <c r="Q36" s="115"/>
      <c r="R36" s="96"/>
      <c r="S36" s="96"/>
      <c r="T36" s="96"/>
      <c r="U36" s="96"/>
      <c r="V36" s="99"/>
      <c r="W36" s="99"/>
      <c r="X36" s="99"/>
      <c r="Y36" s="99"/>
      <c r="Z36" s="99"/>
      <c r="AA36" s="99"/>
      <c r="AB36" s="96"/>
      <c r="AC36" s="96"/>
      <c r="AD36" s="99"/>
      <c r="AE36" s="99"/>
      <c r="AF36" s="99"/>
      <c r="AG36" s="99"/>
      <c r="AH36" s="101"/>
    </row>
    <row r="37" spans="2:34" ht="20.100000000000001" customHeight="1" x14ac:dyDescent="0.15">
      <c r="B37" s="25" t="s">
        <v>16</v>
      </c>
      <c r="C37" s="26" t="s">
        <v>17</v>
      </c>
      <c r="D37" s="27" t="s">
        <v>18</v>
      </c>
      <c r="E37" s="85" t="s">
        <v>19</v>
      </c>
      <c r="F37" s="86"/>
      <c r="G37" s="86"/>
      <c r="H37" s="86"/>
      <c r="I37" s="86"/>
      <c r="J37" s="86"/>
      <c r="K37" s="86"/>
      <c r="L37" s="87"/>
      <c r="M37" s="88" t="s">
        <v>20</v>
      </c>
      <c r="N37" s="88"/>
      <c r="O37" s="88"/>
      <c r="P37" s="88"/>
      <c r="Q37" s="89" t="s">
        <v>21</v>
      </c>
      <c r="R37" s="89"/>
      <c r="S37" s="89"/>
      <c r="T37" s="89" t="s">
        <v>22</v>
      </c>
      <c r="U37" s="89"/>
      <c r="V37" s="89"/>
      <c r="W37" s="88" t="s">
        <v>23</v>
      </c>
      <c r="X37" s="88"/>
      <c r="Y37" s="88"/>
      <c r="Z37" s="88"/>
      <c r="AA37" s="90" t="s">
        <v>24</v>
      </c>
      <c r="AB37" s="88"/>
      <c r="AC37" s="88"/>
      <c r="AD37" s="88"/>
      <c r="AE37" s="88"/>
      <c r="AF37" s="88"/>
      <c r="AG37" s="88"/>
      <c r="AH37" s="91"/>
    </row>
    <row r="38" spans="2:34" ht="21.95" customHeight="1" x14ac:dyDescent="0.15">
      <c r="B38" s="82">
        <f>B13</f>
        <v>46310</v>
      </c>
      <c r="C38" s="83"/>
      <c r="D38" s="84"/>
      <c r="E38" s="49" t="str">
        <f>E13</f>
        <v>삼진)미니땡초봉꼬치320g</v>
      </c>
      <c r="F38" s="50"/>
      <c r="G38" s="50"/>
      <c r="H38" s="50"/>
      <c r="I38" s="50"/>
      <c r="J38" s="50"/>
      <c r="K38" s="50"/>
      <c r="L38" s="50"/>
      <c r="M38" s="70">
        <f>M13</f>
        <v>20</v>
      </c>
      <c r="N38" s="70"/>
      <c r="O38" s="70"/>
      <c r="P38" s="70"/>
      <c r="Q38" s="71">
        <f>Q13</f>
        <v>0</v>
      </c>
      <c r="R38" s="71"/>
      <c r="S38" s="71"/>
      <c r="T38" s="72">
        <f>T13</f>
        <v>0</v>
      </c>
      <c r="U38" s="72"/>
      <c r="V38" s="72"/>
      <c r="W38" s="73">
        <f>W13</f>
        <v>0</v>
      </c>
      <c r="X38" s="73"/>
      <c r="Y38" s="73"/>
      <c r="Z38" s="73"/>
      <c r="AA38" s="74" t="str">
        <f>AA13</f>
        <v>27.09.01</v>
      </c>
      <c r="AB38" s="70"/>
      <c r="AC38" s="70"/>
      <c r="AD38" s="70"/>
      <c r="AE38" s="70"/>
      <c r="AF38" s="70"/>
      <c r="AG38" s="70"/>
      <c r="AH38" s="75"/>
    </row>
    <row r="39" spans="2:34" ht="21.95" customHeight="1" x14ac:dyDescent="0.15">
      <c r="B39" s="28"/>
      <c r="C39" s="29"/>
      <c r="D39" s="30"/>
      <c r="E39" s="49" t="str">
        <f t="shared" ref="E39" si="2">E14</f>
        <v>삼진)미니어묵꼬치290g</v>
      </c>
      <c r="F39" s="50"/>
      <c r="G39" s="50"/>
      <c r="H39" s="50"/>
      <c r="I39" s="50"/>
      <c r="J39" s="50"/>
      <c r="K39" s="50"/>
      <c r="L39" s="50"/>
      <c r="M39" s="70">
        <f t="shared" ref="M39" si="3">M14</f>
        <v>16</v>
      </c>
      <c r="N39" s="70"/>
      <c r="O39" s="70"/>
      <c r="P39" s="70"/>
      <c r="Q39" s="71">
        <f t="shared" ref="Q39" si="4">Q14</f>
        <v>0</v>
      </c>
      <c r="R39" s="71"/>
      <c r="S39" s="71"/>
      <c r="T39" s="72">
        <f t="shared" ref="T39" si="5">T14</f>
        <v>0</v>
      </c>
      <c r="U39" s="72"/>
      <c r="V39" s="72"/>
      <c r="W39" s="73">
        <f t="shared" ref="W39" si="6">W14</f>
        <v>0</v>
      </c>
      <c r="X39" s="73"/>
      <c r="Y39" s="73"/>
      <c r="Z39" s="73"/>
      <c r="AA39" s="74" t="str">
        <f>AA14</f>
        <v>27.11.24</v>
      </c>
      <c r="AB39" s="70"/>
      <c r="AC39" s="70"/>
      <c r="AD39" s="70"/>
      <c r="AE39" s="70"/>
      <c r="AF39" s="70"/>
      <c r="AG39" s="70"/>
      <c r="AH39" s="75"/>
    </row>
    <row r="40" spans="2:34" ht="21.95" customHeight="1" x14ac:dyDescent="0.15">
      <c r="B40" s="28"/>
      <c r="C40" s="29"/>
      <c r="D40" s="30"/>
      <c r="E40" s="49"/>
      <c r="F40" s="50"/>
      <c r="G40" s="50"/>
      <c r="H40" s="50"/>
      <c r="I40" s="50"/>
      <c r="J40" s="50"/>
      <c r="K40" s="50"/>
      <c r="L40" s="50"/>
      <c r="M40" s="70"/>
      <c r="N40" s="70"/>
      <c r="O40" s="70"/>
      <c r="P40" s="70"/>
      <c r="Q40" s="71"/>
      <c r="R40" s="71"/>
      <c r="S40" s="71"/>
      <c r="T40" s="72"/>
      <c r="U40" s="72"/>
      <c r="V40" s="72"/>
      <c r="W40" s="73"/>
      <c r="X40" s="73"/>
      <c r="Y40" s="73"/>
      <c r="Z40" s="73"/>
      <c r="AA40" s="74"/>
      <c r="AB40" s="70"/>
      <c r="AC40" s="70"/>
      <c r="AD40" s="70"/>
      <c r="AE40" s="70"/>
      <c r="AF40" s="70"/>
      <c r="AG40" s="70"/>
      <c r="AH40" s="75"/>
    </row>
    <row r="41" spans="2:34" ht="21.95" customHeight="1" x14ac:dyDescent="0.15">
      <c r="B41" s="28"/>
      <c r="C41" s="29"/>
      <c r="D41" s="30"/>
      <c r="E41" s="79"/>
      <c r="F41" s="80"/>
      <c r="G41" s="80"/>
      <c r="H41" s="80"/>
      <c r="I41" s="80"/>
      <c r="J41" s="80"/>
      <c r="K41" s="80"/>
      <c r="L41" s="81"/>
      <c r="M41" s="70"/>
      <c r="N41" s="70"/>
      <c r="O41" s="70"/>
      <c r="P41" s="70"/>
      <c r="Q41" s="71"/>
      <c r="R41" s="71"/>
      <c r="S41" s="71"/>
      <c r="T41" s="72"/>
      <c r="U41" s="72"/>
      <c r="V41" s="72"/>
      <c r="W41" s="73"/>
      <c r="X41" s="73"/>
      <c r="Y41" s="73"/>
      <c r="Z41" s="73"/>
      <c r="AA41" s="74"/>
      <c r="AB41" s="70"/>
      <c r="AC41" s="70"/>
      <c r="AD41" s="70"/>
      <c r="AE41" s="70"/>
      <c r="AF41" s="70"/>
      <c r="AG41" s="70"/>
      <c r="AH41" s="75"/>
    </row>
    <row r="42" spans="2:34" ht="21.95" customHeight="1" x14ac:dyDescent="0.15">
      <c r="B42" s="28"/>
      <c r="C42" s="29"/>
      <c r="D42" s="30"/>
      <c r="E42" s="49"/>
      <c r="F42" s="50"/>
      <c r="G42" s="50"/>
      <c r="H42" s="50"/>
      <c r="I42" s="50"/>
      <c r="J42" s="50"/>
      <c r="K42" s="50"/>
      <c r="L42" s="50"/>
      <c r="M42" s="70"/>
      <c r="N42" s="70"/>
      <c r="O42" s="70"/>
      <c r="P42" s="70"/>
      <c r="Q42" s="71"/>
      <c r="R42" s="71"/>
      <c r="S42" s="71"/>
      <c r="T42" s="72"/>
      <c r="U42" s="72"/>
      <c r="V42" s="72"/>
      <c r="W42" s="73"/>
      <c r="X42" s="73"/>
      <c r="Y42" s="73"/>
      <c r="Z42" s="73"/>
      <c r="AA42" s="74"/>
      <c r="AB42" s="70"/>
      <c r="AC42" s="70"/>
      <c r="AD42" s="70"/>
      <c r="AE42" s="70"/>
      <c r="AF42" s="70"/>
      <c r="AG42" s="70"/>
      <c r="AH42" s="75"/>
    </row>
    <row r="43" spans="2:34" ht="21.95" customHeight="1" x14ac:dyDescent="0.15">
      <c r="B43" s="28"/>
      <c r="C43" s="29"/>
      <c r="D43" s="30"/>
      <c r="E43" s="49"/>
      <c r="F43" s="50"/>
      <c r="G43" s="50"/>
      <c r="H43" s="50"/>
      <c r="I43" s="50"/>
      <c r="J43" s="50"/>
      <c r="K43" s="50"/>
      <c r="L43" s="50"/>
      <c r="M43" s="70"/>
      <c r="N43" s="70"/>
      <c r="O43" s="70"/>
      <c r="P43" s="70"/>
      <c r="Q43" s="71"/>
      <c r="R43" s="71"/>
      <c r="S43" s="71"/>
      <c r="T43" s="72"/>
      <c r="U43" s="72"/>
      <c r="V43" s="72"/>
      <c r="W43" s="73"/>
      <c r="X43" s="73"/>
      <c r="Y43" s="73"/>
      <c r="Z43" s="73"/>
      <c r="AA43" s="74"/>
      <c r="AB43" s="70"/>
      <c r="AC43" s="70"/>
      <c r="AD43" s="70"/>
      <c r="AE43" s="70"/>
      <c r="AF43" s="70"/>
      <c r="AG43" s="70"/>
      <c r="AH43" s="75"/>
    </row>
    <row r="44" spans="2:34" ht="21.95" customHeight="1" x14ac:dyDescent="0.15">
      <c r="B44" s="28"/>
      <c r="C44" s="29"/>
      <c r="D44" s="30"/>
      <c r="E44" s="49"/>
      <c r="F44" s="50"/>
      <c r="G44" s="50"/>
      <c r="H44" s="50"/>
      <c r="I44" s="50"/>
      <c r="J44" s="50"/>
      <c r="K44" s="50"/>
      <c r="L44" s="50"/>
      <c r="M44" s="70"/>
      <c r="N44" s="70"/>
      <c r="O44" s="70"/>
      <c r="P44" s="70"/>
      <c r="Q44" s="71"/>
      <c r="R44" s="71"/>
      <c r="S44" s="71"/>
      <c r="T44" s="72"/>
      <c r="U44" s="72"/>
      <c r="V44" s="72"/>
      <c r="W44" s="73"/>
      <c r="X44" s="73"/>
      <c r="Y44" s="73"/>
      <c r="Z44" s="73"/>
      <c r="AA44" s="74"/>
      <c r="AB44" s="70"/>
      <c r="AC44" s="70"/>
      <c r="AD44" s="70"/>
      <c r="AE44" s="70"/>
      <c r="AF44" s="70"/>
      <c r="AG44" s="70"/>
      <c r="AH44" s="75"/>
    </row>
    <row r="45" spans="2:34" ht="21.95" customHeight="1" x14ac:dyDescent="0.15">
      <c r="B45" s="28"/>
      <c r="C45" s="29"/>
      <c r="D45" s="30"/>
      <c r="E45" s="68"/>
      <c r="F45" s="69"/>
      <c r="G45" s="69"/>
      <c r="H45" s="69"/>
      <c r="I45" s="69"/>
      <c r="J45" s="69"/>
      <c r="K45" s="69"/>
      <c r="L45" s="69"/>
      <c r="M45" s="70"/>
      <c r="N45" s="70"/>
      <c r="O45" s="70"/>
      <c r="P45" s="70"/>
      <c r="Q45" s="71"/>
      <c r="R45" s="71"/>
      <c r="S45" s="71"/>
      <c r="T45" s="72"/>
      <c r="U45" s="72"/>
      <c r="V45" s="72"/>
      <c r="W45" s="73"/>
      <c r="X45" s="73"/>
      <c r="Y45" s="73"/>
      <c r="Z45" s="73"/>
      <c r="AA45" s="74"/>
      <c r="AB45" s="70"/>
      <c r="AC45" s="70"/>
      <c r="AD45" s="70"/>
      <c r="AE45" s="70"/>
      <c r="AF45" s="70"/>
      <c r="AG45" s="70"/>
      <c r="AH45" s="75"/>
    </row>
    <row r="46" spans="2:34" ht="16.5" customHeight="1" x14ac:dyDescent="0.15">
      <c r="B46" s="46" t="str">
        <f>B22</f>
        <v>총수량</v>
      </c>
      <c r="C46" s="47"/>
      <c r="D46" s="48"/>
      <c r="E46" s="49"/>
      <c r="F46" s="50"/>
      <c r="G46" s="50"/>
      <c r="H46" s="50"/>
      <c r="I46" s="50"/>
      <c r="J46" s="50"/>
      <c r="K46" s="50"/>
      <c r="L46" s="50"/>
      <c r="M46" s="76">
        <f>M22</f>
        <v>0</v>
      </c>
      <c r="N46" s="77"/>
      <c r="O46" s="77"/>
      <c r="P46" s="77"/>
      <c r="Q46" s="77"/>
      <c r="R46" s="77"/>
      <c r="S46" s="77"/>
      <c r="T46" s="77"/>
      <c r="U46" s="77"/>
      <c r="V46" s="78"/>
      <c r="W46" s="76">
        <f>W22</f>
        <v>0</v>
      </c>
      <c r="X46" s="77"/>
      <c r="Y46" s="77"/>
      <c r="Z46" s="78"/>
      <c r="AA46" s="51"/>
      <c r="AB46" s="52"/>
      <c r="AC46" s="52"/>
      <c r="AD46" s="52"/>
      <c r="AE46" s="52"/>
      <c r="AF46" s="52"/>
      <c r="AG46" s="52"/>
      <c r="AH46" s="53"/>
    </row>
    <row r="47" spans="2:34" ht="17.100000000000001" customHeight="1" x14ac:dyDescent="0.15">
      <c r="B47" s="54" t="str">
        <f>B23</f>
        <v>3자물류 (더원물류)
담당자 박병선이사  010-4448-1456</v>
      </c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1" t="str">
        <f>W23</f>
        <v>경기도 포천시 설운동 477,B2F
031-543-2486</v>
      </c>
      <c r="X47" s="62"/>
      <c r="Y47" s="62"/>
      <c r="Z47" s="62"/>
      <c r="AA47" s="63"/>
      <c r="AB47" s="63"/>
      <c r="AC47" s="63"/>
      <c r="AD47" s="63"/>
      <c r="AE47" s="63"/>
      <c r="AF47" s="63"/>
      <c r="AG47" s="63"/>
      <c r="AH47" s="64"/>
    </row>
    <row r="48" spans="2:34" ht="17.100000000000001" customHeight="1" thickBot="1" x14ac:dyDescent="0.2">
      <c r="B48" s="58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60"/>
      <c r="W48" s="65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7"/>
    </row>
    <row r="49" ht="15" customHeight="1" x14ac:dyDescent="0.15"/>
  </sheetData>
  <mergeCells count="17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20:L20"/>
    <mergeCell ref="M20:P20"/>
    <mergeCell ref="Q20:S20"/>
    <mergeCell ref="T20:V20"/>
    <mergeCell ref="W20:Z20"/>
    <mergeCell ref="AA20:AH20"/>
    <mergeCell ref="E19:L19"/>
    <mergeCell ref="M19:P19"/>
    <mergeCell ref="Q19:S19"/>
    <mergeCell ref="T19:V19"/>
    <mergeCell ref="W19:Z19"/>
    <mergeCell ref="AA19:AH19"/>
    <mergeCell ref="B22:D22"/>
    <mergeCell ref="E22:L22"/>
    <mergeCell ref="AA22:AH22"/>
    <mergeCell ref="B23:V24"/>
    <mergeCell ref="W23:AH24"/>
    <mergeCell ref="E21:L21"/>
    <mergeCell ref="M21:P21"/>
    <mergeCell ref="Q21:S21"/>
    <mergeCell ref="T21:V21"/>
    <mergeCell ref="W21:Z21"/>
    <mergeCell ref="AA21:AH21"/>
    <mergeCell ref="M22:V22"/>
    <mergeCell ref="W22:Z22"/>
    <mergeCell ref="B27:AH28"/>
    <mergeCell ref="B29:B36"/>
    <mergeCell ref="C29:F30"/>
    <mergeCell ref="G29:P30"/>
    <mergeCell ref="Q29:Q36"/>
    <mergeCell ref="R29:U30"/>
    <mergeCell ref="V29:AH30"/>
    <mergeCell ref="C31:F32"/>
    <mergeCell ref="G31:K32"/>
    <mergeCell ref="L31:P32"/>
    <mergeCell ref="AA37:AH37"/>
    <mergeCell ref="C35:F36"/>
    <mergeCell ref="G35:P36"/>
    <mergeCell ref="R35:U36"/>
    <mergeCell ref="V35:AA36"/>
    <mergeCell ref="AB35:AC36"/>
    <mergeCell ref="AD35:AH36"/>
    <mergeCell ref="R31:U32"/>
    <mergeCell ref="V31:AA32"/>
    <mergeCell ref="AB31:AC32"/>
    <mergeCell ref="AD31:AH32"/>
    <mergeCell ref="C33:F34"/>
    <mergeCell ref="G33:P34"/>
    <mergeCell ref="R33:U34"/>
    <mergeCell ref="V33:AH34"/>
    <mergeCell ref="B38:D38"/>
    <mergeCell ref="E38:L38"/>
    <mergeCell ref="M38:P38"/>
    <mergeCell ref="Q38:S38"/>
    <mergeCell ref="T38:V38"/>
    <mergeCell ref="W38:Z38"/>
    <mergeCell ref="E37:L37"/>
    <mergeCell ref="M37:P37"/>
    <mergeCell ref="Q37:S37"/>
    <mergeCell ref="T37:V37"/>
    <mergeCell ref="W37:Z37"/>
    <mergeCell ref="E40:L40"/>
    <mergeCell ref="M40:P40"/>
    <mergeCell ref="Q40:S40"/>
    <mergeCell ref="T40:V40"/>
    <mergeCell ref="W40:Z40"/>
    <mergeCell ref="AA40:AH40"/>
    <mergeCell ref="AA38:AH38"/>
    <mergeCell ref="E39:L39"/>
    <mergeCell ref="M39:P39"/>
    <mergeCell ref="Q39:S39"/>
    <mergeCell ref="T39:V39"/>
    <mergeCell ref="W39:Z39"/>
    <mergeCell ref="AA39:AH39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B46:D46"/>
    <mergeCell ref="E46:L46"/>
    <mergeCell ref="AA46:AH46"/>
    <mergeCell ref="B47:V48"/>
    <mergeCell ref="W47:AH48"/>
    <mergeCell ref="E45:L45"/>
    <mergeCell ref="M45:P45"/>
    <mergeCell ref="Q45:S45"/>
    <mergeCell ref="T45:V45"/>
    <mergeCell ref="W45:Z45"/>
    <mergeCell ref="AA45:AH45"/>
    <mergeCell ref="M46:V46"/>
    <mergeCell ref="W46:Z46"/>
  </mergeCells>
  <phoneticPr fontId="9" type="noConversion"/>
  <conditionalFormatting sqref="AA13:AH16 AA19:AH21">
    <cfRule type="expression" dxfId="3" priority="3">
      <formula>Q13:S19=0</formula>
    </cfRule>
  </conditionalFormatting>
  <conditionalFormatting sqref="AA17:AH18">
    <cfRule type="expression" dxfId="2" priority="1">
      <formula>Q17:S22=0</formula>
    </cfRule>
  </conditionalFormatting>
  <conditionalFormatting sqref="AA38:AH44">
    <cfRule type="expression" dxfId="1" priority="4">
      <formula>Q13:S21=0</formula>
    </cfRule>
  </conditionalFormatting>
  <conditionalFormatting sqref="AA45:AH45">
    <cfRule type="expression" dxfId="0" priority="2">
      <formula>Q19:S27=0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7 B2:B4 C35 C2:F3 C6 C10 C4 C31 D25:F28 B25:C29 C37:D37 G8:L11 N8:P11 H2:K5 G2:G6 M2:P5 L2:L6 C12:E12 Q2:AH11 G33:L36 N33:P36 H25:K30 G25:G31 Q25:AH36 M25:P30 L25:L31 E22:M22 W23 E13 B37:B47 T13:T21 E37:E46 Q13:Q21 M33:M46 C39:D45 M8:M21 AA37:AA45 T38:T45 C14:E21 B12:B23 Q38:Q45 AA12:AA21" xr:uid="{D3603C6E-D021-4DF8-ACB6-25EB385372FB}"/>
  </dataValidations>
  <printOptions horizontalCentered="1"/>
  <pageMargins left="0" right="0" top="0.11811023622047245" bottom="0" header="0" footer="0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삼진피벗</vt:lpstr>
      <vt:lpstr>양지 (현장)</vt:lpstr>
      <vt:lpstr>원주 (20)</vt:lpstr>
      <vt:lpstr>김해 (DB)_영남</vt:lpstr>
      <vt:lpstr>양산 (DB)_영남</vt:lpstr>
      <vt:lpstr>세종 (22)</vt:lpstr>
      <vt:lpstr>장성 (DB)_호남</vt:lpstr>
      <vt:lpstr>김천 </vt:lpstr>
      <vt:lpstr>경산 (DB)_호남</vt:lpstr>
      <vt:lpstr>화성 (20)</vt:lpstr>
      <vt:lpstr>청라 (20)</vt:lpstr>
      <vt:lpstr>평택 (20)</vt:lpstr>
      <vt:lpstr>포천(20)</vt:lpstr>
      <vt:lpstr>'원주 (20)'!Print_Area</vt:lpstr>
      <vt:lpstr>'장성 (DB)_호남'!Print_Area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oem</cp:lastModifiedBy>
  <cp:lastPrinted>2026-10-14T07:28:57Z</cp:lastPrinted>
  <dcterms:created xsi:type="dcterms:W3CDTF">2025-11-21T06:05:41Z</dcterms:created>
  <dcterms:modified xsi:type="dcterms:W3CDTF">2026-10-14T07:29:04Z</dcterms:modified>
</cp:coreProperties>
</file>