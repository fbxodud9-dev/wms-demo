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192.168.0.35\공유폴더\▶▶BGF, 세븐,코레일 발주+명세서\2.BGF 거래명세서\7. 대신\"/>
    </mc:Choice>
  </mc:AlternateContent>
  <xr:revisionPtr revIDLastSave="0" documentId="13_ncr:1_{7AAE5517-B71E-4C3A-AB42-A41F120372B0}" xr6:coauthVersionLast="47" xr6:coauthVersionMax="47" xr10:uidLastSave="{00000000-0000-0000-0000-000000000000}"/>
  <bookViews>
    <workbookView xWindow="28680" yWindow="-120" windowWidth="29040" windowHeight="15720" tabRatio="925" firstSheet="0" activeTab="0" xr2:uid="{00000000-000D-0000-FFFF-FFFF00000000}"/>
  </bookViews>
  <sheets>
    <sheet name="대신피벗발주량1편" sheetId="369" r:id="rId1"/>
    <sheet name="BGF로지스_강릉_(더원)1편" sheetId="370" r:id="rId2"/>
    <sheet name="BGF로지스_서귀포_(더원)1편" sheetId="402" r:id="rId3"/>
    <sheet name="BGF로지스_제주_(더원)1편" sheetId="401" r:id="rId4"/>
    <sheet name="하이로지스(호남) 날짜번경★" sheetId="249" r:id="rId5"/>
    <sheet name="BGF로지스나주(호남)" sheetId="252" r:id="rId6"/>
    <sheet name="씨제이김제(호남)" sheetId="310" r:id="rId7"/>
    <sheet name="BGF로지스대구(영남)" sheetId="301" r:id="rId8"/>
    <sheet name="극동로지스(영남)" sheetId="251" r:id="rId9"/>
    <sheet name="BGF로지스진주(영남)" sheetId="253" r:id="rId10"/>
    <sheet name="엑소후레쉬양산(영남)" sheetId="255" r:id="rId11"/>
    <sheet name="김해물류(영남)" sheetId="297" r:id="rId12"/>
    <sheet name="BGF로지스부산(영남)" sheetId="406" r:id="rId13"/>
    <sheet name="씨제이경산(영남)" sheetId="298" r:id="rId14"/>
    <sheet name="BGF로지스양주" sheetId="247" r:id="rId15"/>
    <sheet name="BGF로지스화성" sheetId="312" r:id="rId16"/>
    <sheet name="동부로지스" sheetId="409" r:id="rId17"/>
    <sheet name="아신" sheetId="256" r:id="rId18"/>
    <sheet name="화인로지텍" sheetId="303" r:id="rId19"/>
    <sheet name="BGF로지스안성" sheetId="248" r:id="rId20"/>
    <sheet name="BGF로지스서인천1" sheetId="299" r:id="rId21"/>
    <sheet name="BGF로지스서인천2" sheetId="300" r:id="rId22"/>
    <sheet name="BGF로지스진천" sheetId="404" r:id="rId23"/>
    <sheet name="BGF로지스광주" sheetId="304" r:id="rId24"/>
    <sheet name="BGF로지스아산" sheetId="306" r:id="rId25"/>
    <sheet name="씨제이군포" sheetId="307" r:id="rId26"/>
    <sheet name="씨제이오산" sheetId="308" r:id="rId27"/>
    <sheet name="BGF로지스검단" sheetId="309" r:id="rId28"/>
    <sheet name="대신피벗발주량2편" sheetId="246" r:id="rId29"/>
    <sheet name="대신 사전예약피벗발주량2편" sheetId="408" r:id="rId30"/>
    <sheet name="BGF로지스제주(더원) 날짜변경★" sheetId="400" r:id="rId31"/>
    <sheet name="BGF로지스서귀포(더원) " sheetId="399" r:id="rId32"/>
    <sheet name="BGF로지스강릉(더원)2편 " sheetId="374" r:id="rId33"/>
    <sheet name="하이로지스(호남)" sheetId="375" r:id="rId34"/>
    <sheet name="BGF로지스나주(호남) (2)" sheetId="376" r:id="rId35"/>
    <sheet name="씨제이김제(호남) (2)" sheetId="377" r:id="rId36"/>
    <sheet name="BGF로지스대구(영남) (2)" sheetId="378" r:id="rId37"/>
    <sheet name="극동로지스(영남) (2)" sheetId="379" r:id="rId38"/>
    <sheet name="BGF로지스진주(영남) (2)" sheetId="380" r:id="rId39"/>
    <sheet name="엑소후레쉬양산(영남) (2)" sheetId="381" r:id="rId40"/>
    <sheet name="김해물류(영남) (2)" sheetId="382" r:id="rId41"/>
    <sheet name="BGF로지스부산(영남) (2)" sheetId="407" r:id="rId42"/>
    <sheet name="씨제이경산(영남) (2)" sheetId="383" r:id="rId43"/>
    <sheet name="BGF로지스양주 (4)" sheetId="385" r:id="rId44"/>
    <sheet name="BGF로지스화성 (4)" sheetId="386" r:id="rId45"/>
    <sheet name="동부로지스 (4)" sheetId="387" r:id="rId46"/>
    <sheet name="아신 (4)" sheetId="388" r:id="rId47"/>
    <sheet name="화인로지텍 (4)" sheetId="389" r:id="rId48"/>
    <sheet name="BGF로지스안성 (4)" sheetId="390" r:id="rId49"/>
    <sheet name="BGF로지스서인천1 (4)" sheetId="392" r:id="rId50"/>
    <sheet name="BGF로지스서인천2 (4)" sheetId="393" r:id="rId51"/>
    <sheet name="BGF로지스진천 (4)" sheetId="405" r:id="rId52"/>
    <sheet name="BGF로지스광주 (4)" sheetId="394" r:id="rId53"/>
    <sheet name="BGF로지스아산 (4)" sheetId="395" r:id="rId54"/>
    <sheet name="씨제이군포 (4)" sheetId="396" r:id="rId55"/>
    <sheet name="씨제이오산 (4)" sheetId="397" r:id="rId56"/>
    <sheet name="BGF로지스검단 (4)" sheetId="398" r:id="rId57"/>
  </sheets>
  <definedNames>
    <definedName name="_xlnm.Print_Area" localSheetId="12">'BGF로지스부산(영남)'!$A$1:$AH$55</definedName>
    <definedName name="_xlnm.Print_Area" localSheetId="41">'BGF로지스부산(영남) (2)'!$A$1:$AH$54</definedName>
    <definedName name="_xlnm.Print_Area" localSheetId="14">BGF로지스양주!$A$1:$AH$55</definedName>
    <definedName name="_xlnm.Print_Area" localSheetId="43">'BGF로지스양주 (4)'!$A$1:$AH$54</definedName>
    <definedName name="_xlnm.Print_Area" localSheetId="11">'김해물류(영남)'!$A$1:$AH$55</definedName>
    <definedName name="_xlnm.Print_Area" localSheetId="40">'김해물류(영남) (2)'!$A$1:$AH$54</definedName>
    <definedName name="_xlnm.Print_Area" localSheetId="45">'동부로지스 (4)'!$A$1:$AI$55</definedName>
    <definedName name="_xlnm.Print_Area" localSheetId="25">씨제이군포!$A$1:$AH$55</definedName>
    <definedName name="_xlnm.Print_Area" localSheetId="54">'씨제이군포 (4)'!$A$1:$AH$54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oem</author>
  </authors>
  <commentList>
    <comment ref="B13" authorId="0" shapeId="0" xr:uid="{F38F0C5F-9DEC-4112-AE20-7E568636762D}">
      <text>
        <r>
          <rPr>
            <b/>
            <sz val="9"/>
            <color indexed="81"/>
            <rFont val="Tahoma"/>
            <family val="2"/>
          </rPr>
          <t>oem: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익일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oem</author>
  </authors>
  <commentList>
    <comment ref="B13" authorId="0" shapeId="0" xr:uid="{F6761F2F-C883-40B3-BB5D-B764C2BB5432}">
      <text>
        <r>
          <rPr>
            <b/>
            <sz val="9"/>
            <color indexed="81"/>
            <rFont val="Tahoma"/>
            <family val="2"/>
          </rPr>
          <t>oem: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익일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oem</author>
  </authors>
  <commentList>
    <comment ref="B13" authorId="0" shapeId="0" xr:uid="{C000D3C9-B384-4FD2-87CC-6887D71A664F}">
      <text>
        <r>
          <rPr>
            <b/>
            <sz val="9"/>
            <color indexed="81"/>
            <rFont val="Tahoma"/>
            <family val="2"/>
          </rPr>
          <t>oem: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익일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3" authorId="0" shapeId="0" xr:uid="{93BC834A-6DE3-40D7-B62D-009172B71D7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당일</t>
        </r>
      </text>
    </comment>
  </commentList>
</comments>
</file>

<file path=xl/sharedStrings.xml><?xml version="1.0" encoding="utf-8"?>
<sst xmlns="http://schemas.openxmlformats.org/spreadsheetml/2006/main" count="3595" uniqueCount="184">
  <si>
    <t>공
급
받
는
자</t>
    <phoneticPr fontId="2" type="noConversion"/>
  </si>
  <si>
    <t>상  호
(법인명)</t>
    <phoneticPr fontId="2" type="noConversion"/>
  </si>
  <si>
    <t>공
급
자</t>
    <phoneticPr fontId="2" type="noConversion"/>
  </si>
  <si>
    <t>등록번호</t>
    <phoneticPr fontId="2" type="noConversion"/>
  </si>
  <si>
    <t>사업장
주  소</t>
    <phoneticPr fontId="2" type="noConversion"/>
  </si>
  <si>
    <t>성 명</t>
    <phoneticPr fontId="2" type="noConversion"/>
  </si>
  <si>
    <t>합계금액
(VAT포함)</t>
    <phoneticPr fontId="2" type="noConversion"/>
  </si>
  <si>
    <t>월</t>
    <phoneticPr fontId="2" type="noConversion"/>
  </si>
  <si>
    <t>일</t>
    <phoneticPr fontId="2" type="noConversion"/>
  </si>
  <si>
    <t>품               목</t>
    <phoneticPr fontId="2" type="noConversion"/>
  </si>
  <si>
    <t>년</t>
    <phoneticPr fontId="2" type="noConversion"/>
  </si>
  <si>
    <t>업 태</t>
    <phoneticPr fontId="2" type="noConversion"/>
  </si>
  <si>
    <t>종 목</t>
    <phoneticPr fontId="2" type="noConversion"/>
  </si>
  <si>
    <t>상 호
(법인명)</t>
    <phoneticPr fontId="2" type="noConversion"/>
  </si>
  <si>
    <t>입수</t>
    <phoneticPr fontId="2" type="noConversion"/>
  </si>
  <si>
    <t>3자물류 (더원물류)
담당자 박병선이사  010-4448-1456</t>
    <phoneticPr fontId="2" type="noConversion"/>
  </si>
  <si>
    <t>비고</t>
    <phoneticPr fontId="2" type="noConversion"/>
  </si>
  <si>
    <t>총수량</t>
    <phoneticPr fontId="2" type="noConversion"/>
  </si>
  <si>
    <t>박스</t>
    <phoneticPr fontId="2" type="noConversion"/>
  </si>
  <si>
    <t>낱개수량</t>
  </si>
  <si>
    <t>CU (BGF)</t>
    <phoneticPr fontId="2" type="noConversion"/>
  </si>
  <si>
    <r>
      <t>거</t>
    </r>
    <r>
      <rPr>
        <b/>
        <sz val="9"/>
        <color indexed="12"/>
        <rFont val="맑은 고딕"/>
        <family val="3"/>
        <charset val="129"/>
        <scheme val="major"/>
      </rPr>
      <t xml:space="preserve"> </t>
    </r>
    <r>
      <rPr>
        <b/>
        <sz val="20"/>
        <color indexed="12"/>
        <rFont val="맑은 고딕"/>
        <family val="3"/>
        <charset val="129"/>
        <scheme val="major"/>
      </rPr>
      <t>래</t>
    </r>
    <r>
      <rPr>
        <b/>
        <sz val="9"/>
        <color indexed="12"/>
        <rFont val="맑은 고딕"/>
        <family val="3"/>
        <charset val="129"/>
        <scheme val="major"/>
      </rPr>
      <t xml:space="preserve"> </t>
    </r>
    <r>
      <rPr>
        <b/>
        <sz val="20"/>
        <color indexed="12"/>
        <rFont val="맑은 고딕"/>
        <family val="3"/>
        <charset val="129"/>
        <scheme val="major"/>
      </rPr>
      <t>명</t>
    </r>
    <r>
      <rPr>
        <b/>
        <sz val="9"/>
        <color indexed="12"/>
        <rFont val="맑은 고딕"/>
        <family val="3"/>
        <charset val="129"/>
        <scheme val="major"/>
      </rPr>
      <t xml:space="preserve"> </t>
    </r>
    <r>
      <rPr>
        <b/>
        <sz val="20"/>
        <color indexed="12"/>
        <rFont val="맑은 고딕"/>
        <family val="3"/>
        <charset val="129"/>
        <scheme val="major"/>
      </rPr>
      <t>세</t>
    </r>
    <r>
      <rPr>
        <b/>
        <sz val="9"/>
        <color indexed="12"/>
        <rFont val="맑은 고딕"/>
        <family val="3"/>
        <charset val="129"/>
        <scheme val="major"/>
      </rPr>
      <t xml:space="preserve"> </t>
    </r>
    <r>
      <rPr>
        <b/>
        <sz val="20"/>
        <color indexed="12"/>
        <rFont val="맑은 고딕"/>
        <family val="3"/>
        <charset val="129"/>
        <scheme val="major"/>
      </rPr>
      <t>표</t>
    </r>
    <r>
      <rPr>
        <b/>
        <sz val="9"/>
        <color indexed="12"/>
        <rFont val="맑은 고딕"/>
        <family val="3"/>
        <charset val="129"/>
        <scheme val="major"/>
      </rPr>
      <t xml:space="preserve"> </t>
    </r>
    <r>
      <rPr>
        <sz val="10"/>
        <color indexed="12"/>
        <rFont val="맑은 고딕"/>
        <family val="3"/>
        <charset val="129"/>
        <scheme val="major"/>
      </rPr>
      <t>(공급받는자 보관용)</t>
    </r>
    <phoneticPr fontId="2" type="noConversion"/>
  </si>
  <si>
    <r>
      <t>거</t>
    </r>
    <r>
      <rPr>
        <b/>
        <sz val="9"/>
        <color indexed="10"/>
        <rFont val="맑은 고딕"/>
        <family val="3"/>
        <charset val="129"/>
        <scheme val="major"/>
      </rPr>
      <t xml:space="preserve"> </t>
    </r>
    <r>
      <rPr>
        <b/>
        <sz val="20"/>
        <color indexed="10"/>
        <rFont val="맑은 고딕"/>
        <family val="3"/>
        <charset val="129"/>
        <scheme val="major"/>
      </rPr>
      <t>래</t>
    </r>
    <r>
      <rPr>
        <b/>
        <sz val="9"/>
        <color indexed="10"/>
        <rFont val="맑은 고딕"/>
        <family val="3"/>
        <charset val="129"/>
        <scheme val="major"/>
      </rPr>
      <t xml:space="preserve"> </t>
    </r>
    <r>
      <rPr>
        <b/>
        <sz val="20"/>
        <color indexed="10"/>
        <rFont val="맑은 고딕"/>
        <family val="3"/>
        <charset val="129"/>
        <scheme val="major"/>
      </rPr>
      <t>명</t>
    </r>
    <r>
      <rPr>
        <b/>
        <sz val="9"/>
        <color indexed="10"/>
        <rFont val="맑은 고딕"/>
        <family val="3"/>
        <charset val="129"/>
        <scheme val="major"/>
      </rPr>
      <t xml:space="preserve"> </t>
    </r>
    <r>
      <rPr>
        <b/>
        <sz val="20"/>
        <color indexed="10"/>
        <rFont val="맑은 고딕"/>
        <family val="3"/>
        <charset val="129"/>
        <scheme val="major"/>
      </rPr>
      <t>세</t>
    </r>
    <r>
      <rPr>
        <b/>
        <sz val="9"/>
        <color indexed="10"/>
        <rFont val="맑은 고딕"/>
        <family val="3"/>
        <charset val="129"/>
        <scheme val="major"/>
      </rPr>
      <t xml:space="preserve"> </t>
    </r>
    <r>
      <rPr>
        <b/>
        <sz val="20"/>
        <color indexed="10"/>
        <rFont val="맑은 고딕"/>
        <family val="3"/>
        <charset val="129"/>
        <scheme val="major"/>
      </rPr>
      <t>표</t>
    </r>
    <r>
      <rPr>
        <b/>
        <sz val="9"/>
        <color indexed="10"/>
        <rFont val="맑은 고딕"/>
        <family val="3"/>
        <charset val="129"/>
        <scheme val="major"/>
      </rPr>
      <t xml:space="preserve"> </t>
    </r>
    <r>
      <rPr>
        <sz val="10"/>
        <color indexed="10"/>
        <rFont val="맑은 고딕"/>
        <family val="3"/>
        <charset val="129"/>
        <scheme val="major"/>
      </rPr>
      <t>(공급자 보관용)</t>
    </r>
    <phoneticPr fontId="2" type="noConversion"/>
  </si>
  <si>
    <t>BGF로지스양주</t>
    <phoneticPr fontId="2" type="noConversion"/>
  </si>
  <si>
    <t xml:space="preserve">경기도 양주시 백석읍 양주산성로 572  </t>
    <phoneticPr fontId="2" type="noConversion"/>
  </si>
  <si>
    <t>경기도 양주시 백석읍 양주산성로 572
031)826-1262</t>
    <phoneticPr fontId="2" type="noConversion"/>
  </si>
  <si>
    <t>하이로지스</t>
    <phoneticPr fontId="2" type="noConversion"/>
  </si>
  <si>
    <t xml:space="preserve">전라북도 완주군 봉동읍 
완주산단2로 282-21 </t>
    <phoneticPr fontId="2" type="noConversion"/>
  </si>
  <si>
    <t>전라북도 완주군 봉동읍 
완주산단2로282-21
063)262-8443</t>
    <phoneticPr fontId="2" type="noConversion"/>
  </si>
  <si>
    <t>BGF로지스대구</t>
    <phoneticPr fontId="2" type="noConversion"/>
  </si>
  <si>
    <t xml:space="preserve">경상북도 칠곡군 석적읍 호국로 608    </t>
    <phoneticPr fontId="2" type="noConversion"/>
  </si>
  <si>
    <t>경상북도 칠곡군 석적읍 호국로 608 
054)974-7443</t>
    <phoneticPr fontId="2" type="noConversion"/>
  </si>
  <si>
    <t>BGF로지스화성</t>
    <phoneticPr fontId="2" type="noConversion"/>
  </si>
  <si>
    <t>경기도 화성시 팔탄면 
시청로721번길 25</t>
    <phoneticPr fontId="2" type="noConversion"/>
  </si>
  <si>
    <t>경기도 화성시 팔탄면 시청로721번길 25
031)352-4535</t>
    <phoneticPr fontId="2" type="noConversion"/>
  </si>
  <si>
    <t>동부로지스</t>
    <phoneticPr fontId="2" type="noConversion"/>
  </si>
  <si>
    <t xml:space="preserve">강원도 원주시 문막읍 원문로 2057  </t>
    <phoneticPr fontId="2" type="noConversion"/>
  </si>
  <si>
    <t xml:space="preserve">강원도 원주시 문막읍 원문로 2057
033)731-1878  </t>
    <phoneticPr fontId="2" type="noConversion"/>
  </si>
  <si>
    <t>극동로지스</t>
    <phoneticPr fontId="2" type="noConversion"/>
  </si>
  <si>
    <t>경남 김해시 생림면 인제로 661</t>
    <phoneticPr fontId="2" type="noConversion"/>
  </si>
  <si>
    <t>경남 김해시 생림면 인제로 661
055)325-4064</t>
    <phoneticPr fontId="2" type="noConversion"/>
  </si>
  <si>
    <t>아신</t>
    <phoneticPr fontId="2" type="noConversion"/>
  </si>
  <si>
    <t xml:space="preserve">경기도 용인시 기흥구 
하갈로15번길 34 (보라동) </t>
    <phoneticPr fontId="2" type="noConversion"/>
  </si>
  <si>
    <t>경기도 용인시 기흥구 
하갈로15번길 34 (보라동) 
031)260-1660</t>
    <phoneticPr fontId="2" type="noConversion"/>
  </si>
  <si>
    <t>화인로지텍</t>
    <phoneticPr fontId="2" type="noConversion"/>
  </si>
  <si>
    <t xml:space="preserve">경기도 남양주시 수동면 비룡로 958  </t>
    <phoneticPr fontId="2" type="noConversion"/>
  </si>
  <si>
    <t xml:space="preserve">경기도 남양주시 수동면 비룡로 958 
031)594-7533 </t>
    <phoneticPr fontId="2" type="noConversion"/>
  </si>
  <si>
    <t>BGF로지스안성</t>
    <phoneticPr fontId="2" type="noConversion"/>
  </si>
  <si>
    <t xml:space="preserve">경기도 안성시 대덕면 서동대로 4672-32  </t>
    <phoneticPr fontId="2" type="noConversion"/>
  </si>
  <si>
    <t>경기도 안성시 대덕면 서동대로 4672-32
 031)676-8311</t>
    <phoneticPr fontId="2" type="noConversion"/>
  </si>
  <si>
    <t>BGF로지스나주</t>
    <phoneticPr fontId="2" type="noConversion"/>
  </si>
  <si>
    <t>전남 나주시 동수농공단지길 
62-237 (운곡동)</t>
    <phoneticPr fontId="2" type="noConversion"/>
  </si>
  <si>
    <t>전남 나주시 동수농공단지길 
62-237 (운곡동)
061)334-3007</t>
    <phoneticPr fontId="2" type="noConversion"/>
  </si>
  <si>
    <t>BGF로지스진주</t>
    <phoneticPr fontId="2" type="noConversion"/>
  </si>
  <si>
    <t xml:space="preserve">경남 진주시 정촌면 화개천로 50 </t>
    <phoneticPr fontId="2" type="noConversion"/>
  </si>
  <si>
    <t xml:space="preserve">경남 진주시 정촌면 화개천로 50
055)795-2500 </t>
    <phoneticPr fontId="2" type="noConversion"/>
  </si>
  <si>
    <t>BGF로지스강릉</t>
    <phoneticPr fontId="2" type="noConversion"/>
  </si>
  <si>
    <t xml:space="preserve">강원도 강릉시 사천면 과학단지로 137-49  </t>
    <phoneticPr fontId="2" type="noConversion"/>
  </si>
  <si>
    <t>엑소후레쉬양산</t>
    <phoneticPr fontId="2" type="noConversion"/>
  </si>
  <si>
    <t>울산광역시 울주군 삼동면 조일리 1341-6번지</t>
    <phoneticPr fontId="2" type="noConversion"/>
  </si>
  <si>
    <t>울산광역시 울주군 삼동면 조일리 
1341-6번지
070)7119-5178</t>
    <phoneticPr fontId="2" type="noConversion"/>
  </si>
  <si>
    <t xml:space="preserve">김해시 테크노밸리길 196  </t>
    <phoneticPr fontId="2" type="noConversion"/>
  </si>
  <si>
    <t>김해물류</t>
    <phoneticPr fontId="2" type="noConversion"/>
  </si>
  <si>
    <t>김해시 테크노밸리길 196  
055)724-2130</t>
    <phoneticPr fontId="2" type="noConversion"/>
  </si>
  <si>
    <t>씨제이경산</t>
    <phoneticPr fontId="2" type="noConversion"/>
  </si>
  <si>
    <t xml:space="preserve">경상북도 하양읍 지식산업2로1길 63 </t>
    <phoneticPr fontId="2" type="noConversion"/>
  </si>
  <si>
    <t xml:space="preserve">경상북도 하양읍 지식산업2로1길 63
053)211-1333 </t>
    <phoneticPr fontId="2" type="noConversion"/>
  </si>
  <si>
    <t>BGF로지스진천</t>
    <phoneticPr fontId="2" type="noConversion"/>
  </si>
  <si>
    <t xml:space="preserve">충청북도 진천군 덕산면 
산수산단3로 66 </t>
    <phoneticPr fontId="2" type="noConversion"/>
  </si>
  <si>
    <t>BGF로지스광주</t>
    <phoneticPr fontId="2" type="noConversion"/>
  </si>
  <si>
    <t>경기도 광주시 초월읍 경충대로 1337-21</t>
    <phoneticPr fontId="2" type="noConversion"/>
  </si>
  <si>
    <t>경기도 광주시 초월읍 경충대로 1337-21
031)8027-4510</t>
    <phoneticPr fontId="2" type="noConversion"/>
  </si>
  <si>
    <t>BGF로지스아산</t>
    <phoneticPr fontId="2" type="noConversion"/>
  </si>
  <si>
    <t>충청북도 아산시 염치읍 아산로 624</t>
    <phoneticPr fontId="2" type="noConversion"/>
  </si>
  <si>
    <t>충청북도 아산시 염치읍 아산로 624
041)428-9470</t>
    <phoneticPr fontId="2" type="noConversion"/>
  </si>
  <si>
    <t>씨제이군포</t>
    <phoneticPr fontId="2" type="noConversion"/>
  </si>
  <si>
    <t xml:space="preserve">경기도 군포시 번영로 82
 한국복합물류 P동 </t>
    <phoneticPr fontId="2" type="noConversion"/>
  </si>
  <si>
    <t xml:space="preserve">경기도 군포시 번영로 82 한국복합물류P동
031)460-2208 </t>
    <phoneticPr fontId="2" type="noConversion"/>
  </si>
  <si>
    <t>경기도 오산시 가수동 379</t>
    <phoneticPr fontId="2" type="noConversion"/>
  </si>
  <si>
    <t>씨제이오산</t>
    <phoneticPr fontId="2" type="noConversion"/>
  </si>
  <si>
    <t>경기도 오산시 가수동 379
031)620-7440</t>
    <phoneticPr fontId="2" type="noConversion"/>
  </si>
  <si>
    <t>BGF로지스검단</t>
    <phoneticPr fontId="2" type="noConversion"/>
  </si>
  <si>
    <t>인천광역시 서구 드림로 700
 (당하동 457-1)</t>
    <phoneticPr fontId="2" type="noConversion"/>
  </si>
  <si>
    <t>인천광역시 서구 드림로 700 
(당하동 457-1)
032-713-4050</t>
    <phoneticPr fontId="2" type="noConversion"/>
  </si>
  <si>
    <t>씨제이김제</t>
    <phoneticPr fontId="2" type="noConversion"/>
  </si>
  <si>
    <t>전북 김제시 금산면 금평로 313</t>
    <phoneticPr fontId="2" type="noConversion"/>
  </si>
  <si>
    <t>전북 김제시 금산면 금평로 313
063-472-1651</t>
    <phoneticPr fontId="2" type="noConversion"/>
  </si>
  <si>
    <t>총합계</t>
  </si>
  <si>
    <t>BGF로지스검단</t>
  </si>
  <si>
    <t>BGF로지스광주</t>
  </si>
  <si>
    <t>극동로지스</t>
  </si>
  <si>
    <t>씨제이군포</t>
  </si>
  <si>
    <t>씨제이오산</t>
  </si>
  <si>
    <t>아신</t>
  </si>
  <si>
    <t>엑소후레쉬양산</t>
  </si>
  <si>
    <t>BGF로지스서귀포</t>
  </si>
  <si>
    <t>BGF로지스제주</t>
  </si>
  <si>
    <t>BGF로지스제주</t>
    <phoneticPr fontId="2" type="noConversion"/>
  </si>
  <si>
    <t>BGF로지스서귀포</t>
    <phoneticPr fontId="2" type="noConversion"/>
  </si>
  <si>
    <t xml:space="preserve"> 제주특별자치도 제주시 우정로8길 16</t>
    <phoneticPr fontId="2" type="noConversion"/>
  </si>
  <si>
    <t>제주특별자치도 서귀포시 토평공단로155번길 45</t>
    <phoneticPr fontId="2" type="noConversion"/>
  </si>
  <si>
    <t>열 레이블</t>
  </si>
  <si>
    <t>씨제이경산</t>
  </si>
  <si>
    <t>BGF로지스안성</t>
  </si>
  <si>
    <t>씨제이김제</t>
  </si>
  <si>
    <t>동부로지스</t>
  </si>
  <si>
    <t>하이로지스</t>
  </si>
  <si>
    <t>BGF로지스아산</t>
  </si>
  <si>
    <t>화인로지텍</t>
  </si>
  <si>
    <t>BGF로지스강릉</t>
  </si>
  <si>
    <t>행 레이블</t>
  </si>
  <si>
    <t>BGF로지스양주</t>
  </si>
  <si>
    <t>BGF로지스화성</t>
  </si>
  <si>
    <t>397-85-00686</t>
    <phoneticPr fontId="2" type="noConversion"/>
  </si>
  <si>
    <t>㈜대신에프에스</t>
    <phoneticPr fontId="2" type="noConversion"/>
  </si>
  <si>
    <t>신판철</t>
    <phoneticPr fontId="2" type="noConversion"/>
  </si>
  <si>
    <t>전라북도 부안군 행안면 옥여길 32-76</t>
    <phoneticPr fontId="2" type="noConversion"/>
  </si>
  <si>
    <t>도매및 소매업</t>
    <phoneticPr fontId="2" type="noConversion"/>
  </si>
  <si>
    <t xml:space="preserve">빵 과자류 </t>
    <phoneticPr fontId="2" type="noConversion"/>
  </si>
  <si>
    <t>도)리얼모짜치즈돈까스1</t>
    <phoneticPr fontId="2" type="noConversion"/>
  </si>
  <si>
    <t>도)리얼모짜치즈돈까스2</t>
  </si>
  <si>
    <t>도)리얼모짜치즈돈까스2</t>
    <phoneticPr fontId="2" type="noConversion"/>
  </si>
  <si>
    <r>
      <t xml:space="preserve">거 래 명 세 표 </t>
    </r>
    <r>
      <rPr>
        <b/>
        <sz val="10"/>
        <color rgb="FFFF0000"/>
        <rFont val="맑은 고딕"/>
        <family val="3"/>
        <charset val="129"/>
      </rPr>
      <t>(공급자 보관용)</t>
    </r>
    <phoneticPr fontId="2" type="noConversion"/>
  </si>
  <si>
    <t>종목</t>
    <phoneticPr fontId="2" type="noConversion"/>
  </si>
  <si>
    <t>BGF로지스대구</t>
  </si>
  <si>
    <t>BGF로지스서인천1</t>
  </si>
  <si>
    <t>BGF로지스서인천1</t>
    <phoneticPr fontId="2" type="noConversion"/>
  </si>
  <si>
    <t>인천광역시 서구 원창동 488</t>
    <phoneticPr fontId="2" type="noConversion"/>
  </si>
  <si>
    <t>BGF로지스서인천2</t>
    <phoneticPr fontId="2" type="noConversion"/>
  </si>
  <si>
    <t>인천 서구 원창동 488, 1층 서인천2센터
032-724-9051</t>
    <phoneticPr fontId="2" type="noConversion"/>
  </si>
  <si>
    <t>도)윙봉칠리탕수득템1</t>
  </si>
  <si>
    <t>도)윙봉칠리탕수득템1</t>
    <phoneticPr fontId="2" type="noConversion"/>
  </si>
  <si>
    <t>도)윙봉칠리탕수득템2</t>
  </si>
  <si>
    <t>도)윙봉칠리탕수득템2</t>
    <phoneticPr fontId="2" type="noConversion"/>
  </si>
  <si>
    <t>BGF로지스나주</t>
  </si>
  <si>
    <t>BGF로지스진주</t>
  </si>
  <si>
    <t>BGF로지스진천</t>
  </si>
  <si>
    <t>제주특별자치도 제주시 우정로8길 16</t>
    <phoneticPr fontId="2" type="noConversion"/>
  </si>
  <si>
    <t>도)리얼모짜치즈돈까스1</t>
  </si>
  <si>
    <t>BGF로지스서인천2</t>
  </si>
  <si>
    <t>인천 서구 원창동 488, 1층 서인천2센터</t>
    <phoneticPr fontId="2" type="noConversion"/>
  </si>
  <si>
    <t>도)찍먹윙봉2</t>
  </si>
  <si>
    <t>도)찍먹탕수육2</t>
  </si>
  <si>
    <t>도)찍먹윙봉2</t>
    <phoneticPr fontId="2" type="noConversion"/>
  </si>
  <si>
    <t>도)찍먹탕수육2</t>
    <phoneticPr fontId="2" type="noConversion"/>
  </si>
  <si>
    <t>도)찍먹윙봉1</t>
  </si>
  <si>
    <t>도)찍먹윙봉1</t>
    <phoneticPr fontId="2" type="noConversion"/>
  </si>
  <si>
    <t>도)찍먹탕수육1</t>
  </si>
  <si>
    <t>도)찍먹탕수육1</t>
    <phoneticPr fontId="2" type="noConversion"/>
  </si>
  <si>
    <t>도)깐풍기&amp;표고탕수1</t>
  </si>
  <si>
    <t>도)깐풍기&amp;표고탕수1</t>
    <phoneticPr fontId="2" type="noConversion"/>
  </si>
  <si>
    <t>도)깐풍기&amp;표고탕수2</t>
    <phoneticPr fontId="2" type="noConversion"/>
  </si>
  <si>
    <t>도)깐풍기&amp;표고탕수2</t>
  </si>
  <si>
    <t>BGF로지스부산</t>
  </si>
  <si>
    <t>BGF로지스부산</t>
    <phoneticPr fontId="2" type="noConversion"/>
  </si>
  <si>
    <t>부산광역시 강서구 송정국제1로 69</t>
    <phoneticPr fontId="2" type="noConversion"/>
  </si>
  <si>
    <t xml:space="preserve">부산광역시 강서구 송정국제1로 69
</t>
    <phoneticPr fontId="2" type="noConversion"/>
  </si>
  <si>
    <t>도)치맥아보트러플치킨1</t>
  </si>
  <si>
    <t>도)치맥아보트러플치킨1</t>
    <phoneticPr fontId="2" type="noConversion"/>
  </si>
  <si>
    <t>도)치맥아보트러플치킨2</t>
  </si>
  <si>
    <t>도)치맥아보트러플치킨2</t>
    <phoneticPr fontId="2" type="noConversion"/>
  </si>
  <si>
    <t>APP)치맥아보트러플치킨2</t>
    <phoneticPr fontId="2" type="noConversion"/>
  </si>
  <si>
    <t>APP)치맥아보트러플치킨2</t>
  </si>
  <si>
    <t>도)쿵야반반닭강정팩1</t>
  </si>
  <si>
    <t>도)쿵야반반닭강정팩1</t>
    <phoneticPr fontId="2" type="noConversion"/>
  </si>
  <si>
    <t>도)쿵야반반닭강정팩2</t>
  </si>
  <si>
    <t>도)쿵야반반닭강정팩2</t>
    <phoneticPr fontId="2" type="noConversion"/>
  </si>
  <si>
    <t>도)치즈청양간장닭강정1</t>
  </si>
  <si>
    <t>도)치즈청양간장닭강정1</t>
    <phoneticPr fontId="2" type="noConversion"/>
  </si>
  <si>
    <t>도)치즈청양간장닭강정2</t>
  </si>
  <si>
    <t>도)치즈청양간장닭강정2</t>
    <phoneticPr fontId="2" type="noConversion"/>
  </si>
  <si>
    <t>도)리얼치즈고구마돈까스1</t>
  </si>
  <si>
    <t>도)리얼치즈고구마돈까스1</t>
    <phoneticPr fontId="2" type="noConversion"/>
  </si>
  <si>
    <t>도)리얼치즈고구마돈까스2</t>
  </si>
  <si>
    <t>도)리얼치즈고구마돈까스2</t>
    <phoneticPr fontId="2" type="noConversion"/>
  </si>
  <si>
    <t>도)치즈매콤닭강정감자1</t>
  </si>
  <si>
    <t>도)치즈매콤닭강정감자1</t>
    <phoneticPr fontId="2" type="noConversion"/>
  </si>
  <si>
    <t>도)치즈매콤닭강정감자2</t>
  </si>
  <si>
    <t>도)치즈매콤닭강정감자2</t>
    <phoneticPr fontId="2" type="noConversion"/>
  </si>
  <si>
    <t>10/17</t>
  </si>
  <si>
    <t>10/20</t>
  </si>
  <si>
    <t>도)딥핑치즈맵닭강정1</t>
  </si>
  <si>
    <t>도)딥핑치즈맵닭강정2</t>
  </si>
  <si>
    <t>도)딥핑치즈맵닭강정1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</si>
</sst>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;[Red]\-#,##0\ "/>
    <numFmt numFmtId="177" formatCode="#,##0_ "/>
    <numFmt numFmtId="178" formatCode="mm&quot;월&quot;\ dd&quot;일&quot;"/>
  </numFmts>
  <fonts count="3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돋움"/>
      <family val="3"/>
      <charset val="129"/>
    </font>
    <font>
      <sz val="10"/>
      <color theme="0"/>
      <name val="돋움"/>
      <family val="3"/>
      <charset val="129"/>
    </font>
    <font>
      <b/>
      <sz val="20"/>
      <color indexed="12"/>
      <name val="맑은 고딕"/>
      <family val="3"/>
      <charset val="129"/>
      <scheme val="major"/>
    </font>
    <font>
      <b/>
      <sz val="9"/>
      <color indexed="12"/>
      <name val="맑은 고딕"/>
      <family val="3"/>
      <charset val="129"/>
      <scheme val="major"/>
    </font>
    <font>
      <sz val="10"/>
      <color indexed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color indexed="12"/>
      <name val="맑은 고딕"/>
      <family val="3"/>
      <charset val="129"/>
      <scheme val="major"/>
    </font>
    <font>
      <b/>
      <sz val="12"/>
      <color indexed="8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20"/>
      <color indexed="10"/>
      <name val="맑은 고딕"/>
      <family val="3"/>
      <charset val="129"/>
      <scheme val="major"/>
    </font>
    <font>
      <b/>
      <sz val="9"/>
      <color indexed="10"/>
      <name val="맑은 고딕"/>
      <family val="3"/>
      <charset val="129"/>
      <scheme val="major"/>
    </font>
    <font>
      <sz val="10"/>
      <color indexed="10"/>
      <name val="맑은 고딕"/>
      <family val="3"/>
      <charset val="129"/>
      <scheme val="major"/>
    </font>
    <font>
      <sz val="11"/>
      <color indexed="10"/>
      <name val="맑은 고딕"/>
      <family val="3"/>
      <charset val="129"/>
      <scheme val="major"/>
    </font>
    <font>
      <sz val="9"/>
      <color indexed="10"/>
      <name val="맑은 고딕"/>
      <family val="3"/>
      <charset val="129"/>
      <scheme val="major"/>
    </font>
    <font>
      <b/>
      <sz val="9"/>
      <color indexed="8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8"/>
      <color indexed="8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0070C0"/>
      <name val="돋움"/>
      <family val="3"/>
      <charset val="129"/>
    </font>
    <font>
      <b/>
      <sz val="9"/>
      <color rgb="FF0070C0"/>
      <name val="맑은 고딕"/>
      <family val="3"/>
      <charset val="129"/>
      <scheme val="major"/>
    </font>
    <font>
      <b/>
      <sz val="2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  <scheme val="major"/>
    </font>
    <font>
      <sz val="11"/>
      <color rgb="FFFF0000"/>
      <name val="돋움"/>
      <family val="3"/>
      <charset val="129"/>
    </font>
    <font>
      <b/>
      <sz val="9"/>
      <color rgb="FFFF000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theme="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3">
    <border>
      <left/>
      <right/>
      <top/>
      <bottom/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hair">
        <color indexed="8"/>
      </top>
      <bottom/>
      <diagonal/>
    </border>
    <border>
      <left style="medium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/>
      <right/>
      <top style="medium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medium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/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medium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/>
      <right style="thin">
        <color indexed="10"/>
      </right>
      <top/>
      <bottom style="medium">
        <color indexed="10"/>
      </bottom>
      <diagonal/>
    </border>
    <border>
      <left style="thin">
        <color indexed="10"/>
      </left>
      <right/>
      <top/>
      <bottom/>
      <diagonal/>
    </border>
    <border>
      <left/>
      <right style="medium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medium">
        <color indexed="12"/>
      </bottom>
      <diagonal/>
    </border>
    <border>
      <left/>
      <right/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/>
      <bottom style="medium">
        <color indexed="12"/>
      </bottom>
      <diagonal/>
    </border>
    <border>
      <left/>
      <right style="thin">
        <color indexed="12"/>
      </right>
      <top/>
      <bottom style="medium">
        <color indexed="12"/>
      </bottom>
      <diagonal/>
    </border>
    <border>
      <left/>
      <right style="thin">
        <color indexed="64"/>
      </right>
      <top/>
      <bottom style="medium">
        <color indexed="12"/>
      </bottom>
      <diagonal/>
    </border>
    <border>
      <left/>
      <right/>
      <top style="thin">
        <color indexed="12"/>
      </top>
      <bottom style="medium">
        <color indexed="12"/>
      </bottom>
      <diagonal/>
    </border>
    <border>
      <left/>
      <right style="medium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/>
      <right style="thin">
        <color indexed="12"/>
      </right>
      <top style="thin">
        <color indexed="12"/>
      </top>
      <bottom style="medium">
        <color indexed="12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medium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 style="medium">
        <color indexed="12"/>
      </right>
      <top style="thin">
        <color indexed="12"/>
      </top>
      <bottom/>
      <diagonal/>
    </border>
    <border>
      <left/>
      <right style="medium">
        <color indexed="12"/>
      </right>
      <top/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medium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indexed="10"/>
      </bottom>
      <diagonal/>
    </border>
    <border>
      <left/>
      <right/>
      <top style="thin">
        <color rgb="FFFF0000"/>
      </top>
      <bottom style="thin">
        <color indexed="10"/>
      </bottom>
      <diagonal/>
    </border>
    <border>
      <left/>
      <right style="medium">
        <color indexed="10"/>
      </right>
      <top style="thin">
        <color rgb="FFFF0000"/>
      </top>
      <bottom style="thin">
        <color indexed="10"/>
      </bottom>
      <diagonal/>
    </border>
    <border>
      <left style="thin">
        <color rgb="FF0000FF"/>
      </left>
      <right style="thin">
        <color indexed="64"/>
      </right>
      <top style="thin">
        <color rgb="FF0000FF"/>
      </top>
      <bottom style="thin">
        <color rgb="FF0000FF"/>
      </bottom>
      <diagonal/>
    </border>
    <border>
      <left style="thin">
        <color indexed="64"/>
      </left>
      <right style="thin">
        <color indexed="64"/>
      </right>
      <top style="thin">
        <color rgb="FF0000FF"/>
      </top>
      <bottom style="thin">
        <color rgb="FF0000FF"/>
      </bottom>
      <diagonal/>
    </border>
    <border>
      <left style="thin">
        <color indexed="64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indexed="12"/>
      </top>
      <bottom style="thin">
        <color indexed="12"/>
      </bottom>
      <diagonal/>
    </border>
    <border>
      <left/>
      <right style="thin">
        <color rgb="FFFF0000"/>
      </right>
      <top style="thin">
        <color indexed="10"/>
      </top>
      <bottom style="thin">
        <color indexed="10"/>
      </bottom>
      <diagonal/>
    </border>
    <border>
      <left style="thin">
        <color rgb="FFFF0000"/>
      </left>
      <right/>
      <top style="thin">
        <color indexed="10"/>
      </top>
      <bottom style="thin">
        <color indexed="1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1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medium">
        <color indexed="10"/>
      </right>
      <top/>
      <bottom style="thin">
        <color rgb="FFFF0000"/>
      </bottom>
      <diagonal/>
    </border>
    <border>
      <left/>
      <right style="thin">
        <color indexed="10"/>
      </right>
      <top/>
      <bottom style="thin">
        <color rgb="FFFF0000"/>
      </bottom>
      <diagonal/>
    </border>
    <border>
      <left/>
      <right style="medium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rgb="FFFF0000"/>
      </bottom>
      <diagonal/>
    </border>
    <border>
      <left style="medium">
        <color indexed="10"/>
      </left>
      <right style="thin">
        <color indexed="10"/>
      </right>
      <top/>
      <bottom/>
      <diagonal/>
    </border>
    <border>
      <left style="medium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rgb="FFFF0000"/>
      </left>
      <right/>
      <top style="thin">
        <color indexed="10"/>
      </top>
      <bottom style="thin">
        <color indexed="10"/>
      </bottom>
      <diagonal/>
    </border>
    <border>
      <left style="medium">
        <color rgb="FFFF000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rgb="FFFF0000"/>
      </left>
      <right style="thin">
        <color indexed="10"/>
      </right>
      <top style="thin">
        <color indexed="10"/>
      </top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 style="medium">
        <color indexed="12"/>
      </bottom>
      <diagonal/>
    </border>
    <border>
      <left/>
      <right style="medium">
        <color rgb="FF0070C0"/>
      </right>
      <top/>
      <bottom style="medium">
        <color indexed="12"/>
      </bottom>
      <diagonal/>
    </border>
    <border>
      <left style="medium">
        <color rgb="FF0070C0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/>
      <right style="medium">
        <color rgb="FF0070C0"/>
      </right>
      <top style="medium">
        <color indexed="12"/>
      </top>
      <bottom/>
      <diagonal/>
    </border>
    <border>
      <left style="medium">
        <color rgb="FF0070C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medium">
        <color rgb="FF0070C0"/>
      </right>
      <top/>
      <bottom style="thin">
        <color indexed="12"/>
      </bottom>
      <diagonal/>
    </border>
    <border>
      <left style="thin">
        <color indexed="12"/>
      </left>
      <right style="medium">
        <color rgb="FF0070C0"/>
      </right>
      <top style="thin">
        <color indexed="12"/>
      </top>
      <bottom style="thin">
        <color indexed="12"/>
      </bottom>
      <diagonal/>
    </border>
    <border>
      <left style="medium">
        <color rgb="FF0070C0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medium">
        <color rgb="FF0070C0"/>
      </right>
      <top style="thin">
        <color indexed="12"/>
      </top>
      <bottom style="medium">
        <color indexed="12"/>
      </bottom>
      <diagonal/>
    </border>
    <border>
      <left/>
      <right style="medium">
        <color rgb="FF0070C0"/>
      </right>
      <top style="medium">
        <color indexed="12"/>
      </top>
      <bottom style="thin">
        <color indexed="12"/>
      </bottom>
      <diagonal/>
    </border>
    <border>
      <left style="medium">
        <color rgb="FF0070C0"/>
      </left>
      <right/>
      <top style="thin">
        <color indexed="12"/>
      </top>
      <bottom style="thin">
        <color indexed="12"/>
      </bottom>
      <diagonal/>
    </border>
    <border>
      <left/>
      <right style="medium">
        <color rgb="FF0070C0"/>
      </right>
      <top style="thin">
        <color indexed="12"/>
      </top>
      <bottom style="thin">
        <color indexed="12"/>
      </bottom>
      <diagonal/>
    </border>
    <border>
      <left style="medium">
        <color rgb="FF0070C0"/>
      </left>
      <right style="thin">
        <color indexed="12"/>
      </right>
      <top style="thin">
        <color indexed="12"/>
      </top>
      <bottom/>
      <diagonal/>
    </border>
    <border>
      <left style="medium">
        <color rgb="FF0070C0"/>
      </left>
      <right/>
      <top style="thin">
        <color indexed="12"/>
      </top>
      <bottom style="medium">
        <color rgb="FF0070C0"/>
      </bottom>
      <diagonal/>
    </border>
    <border>
      <left/>
      <right/>
      <top style="thin">
        <color indexed="12"/>
      </top>
      <bottom style="medium">
        <color rgb="FF0070C0"/>
      </bottom>
      <diagonal/>
    </border>
    <border>
      <left/>
      <right style="thin">
        <color indexed="12"/>
      </right>
      <top style="thin">
        <color indexed="12"/>
      </top>
      <bottom style="medium">
        <color rgb="FF0070C0"/>
      </bottom>
      <diagonal/>
    </border>
    <border>
      <left style="thin">
        <color indexed="12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thin">
        <color indexed="64"/>
      </right>
      <top/>
      <bottom style="medium">
        <color rgb="FF0070C0"/>
      </bottom>
      <diagonal/>
    </border>
    <border>
      <left/>
      <right style="medium">
        <color rgb="FF0070C0"/>
      </right>
      <top style="thin">
        <color indexed="12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FF0000"/>
      </left>
      <right style="thin">
        <color indexed="10"/>
      </right>
      <top/>
      <bottom/>
      <diagonal/>
    </border>
    <border>
      <left/>
      <right style="medium">
        <color rgb="FFFF0000"/>
      </right>
      <top/>
      <bottom style="thin">
        <color indexed="10"/>
      </bottom>
      <diagonal/>
    </border>
    <border>
      <left/>
      <right style="medium">
        <color rgb="FFFF0000"/>
      </right>
      <top style="thin">
        <color indexed="10"/>
      </top>
      <bottom/>
      <diagonal/>
    </border>
    <border>
      <left/>
      <right style="medium">
        <color rgb="FFFF0000"/>
      </right>
      <top/>
      <bottom style="thin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thin">
        <color rgb="FFFF0000"/>
      </bottom>
      <diagonal/>
    </border>
    <border>
      <left/>
      <right/>
      <top style="medium">
        <color rgb="FFFF0000"/>
      </top>
      <bottom style="thin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/>
      <right/>
      <top/>
      <bottom style="dashed">
        <color indexed="64"/>
      </bottom>
      <diagonal/>
    </border>
    <border>
      <left style="thin">
        <color indexed="1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medium">
        <color rgb="FFFF0000"/>
      </right>
      <top style="thin">
        <color rgb="FFFF0000"/>
      </top>
      <bottom/>
      <diagonal/>
    </border>
    <border>
      <left/>
      <right style="thin">
        <color indexed="10"/>
      </right>
      <top style="thin">
        <color rgb="FFFF0000"/>
      </top>
      <bottom/>
      <diagonal/>
    </border>
    <border>
      <left style="thin">
        <color indexed="10"/>
      </left>
      <right style="thin">
        <color indexed="10"/>
      </right>
      <top style="thin">
        <color rgb="FFFF0000"/>
      </top>
      <bottom/>
      <diagonal/>
    </border>
    <border>
      <left style="medium">
        <color rgb="FFFF0000"/>
      </left>
      <right style="thin">
        <color indexed="10"/>
      </right>
      <top style="thin">
        <color rgb="FFFF0000"/>
      </top>
      <bottom/>
      <diagonal/>
    </border>
    <border>
      <left style="medium">
        <color rgb="FFFF0000"/>
      </left>
      <right style="thin">
        <color indexed="10"/>
      </right>
      <top/>
      <bottom style="thin">
        <color indexed="1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 style="thin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indexed="10"/>
      </right>
      <top style="thin">
        <color indexed="10"/>
      </top>
      <bottom style="thin">
        <color rgb="FFFF0000"/>
      </bottom>
      <diagonal/>
    </border>
    <border>
      <left/>
      <right style="thin">
        <color indexed="10"/>
      </right>
      <top style="thin">
        <color indexed="10"/>
      </top>
      <bottom style="thin">
        <color rgb="FFFF0000"/>
      </bottom>
      <diagonal/>
    </border>
    <border>
      <left style="thin">
        <color indexed="10"/>
      </left>
      <right style="thin">
        <color rgb="FFFF0000"/>
      </right>
      <top style="thin">
        <color indexed="10"/>
      </top>
      <bottom style="thin">
        <color rgb="FFFF0000"/>
      </bottom>
      <diagonal/>
    </border>
    <border>
      <left style="medium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</cellStyleXfs>
  <cellXfs count="424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4" fillId="0" borderId="0" xfId="0" applyFont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0" fontId="10" fillId="2" borderId="1" xfId="2" applyFont="1" applyFill="1" applyBorder="1" applyAlignment="1" applyProtection="1">
      <alignment horizontal="center" vertical="center"/>
      <protection locked="0"/>
    </xf>
    <xf numFmtId="0" fontId="10" fillId="2" borderId="2" xfId="2" applyFont="1" applyFill="1" applyBorder="1" applyAlignment="1" applyProtection="1">
      <alignment horizontal="center" vertical="center"/>
      <protection locked="0"/>
    </xf>
    <xf numFmtId="0" fontId="10" fillId="2" borderId="9" xfId="2" applyFont="1" applyFill="1" applyBorder="1" applyAlignment="1" applyProtection="1">
      <alignment horizontal="center" vertical="center"/>
      <protection locked="0"/>
    </xf>
    <xf numFmtId="0" fontId="14" fillId="2" borderId="4" xfId="2" applyFont="1" applyFill="1" applyBorder="1" applyAlignment="1" applyProtection="1">
      <alignment horizontal="center" vertical="center" shrinkToFit="1"/>
      <protection locked="0"/>
    </xf>
    <xf numFmtId="0" fontId="14" fillId="2" borderId="10" xfId="2" applyFont="1" applyFill="1" applyBorder="1" applyAlignment="1" applyProtection="1">
      <alignment horizontal="center" vertical="center" shrinkToFit="1"/>
      <protection locked="0"/>
    </xf>
    <xf numFmtId="0" fontId="14" fillId="2" borderId="11" xfId="2" applyFont="1" applyFill="1" applyBorder="1" applyAlignment="1" applyProtection="1">
      <alignment vertical="center" shrinkToFit="1"/>
      <protection locked="0"/>
    </xf>
    <xf numFmtId="0" fontId="14" fillId="2" borderId="12" xfId="2" applyFont="1" applyFill="1" applyBorder="1" applyAlignment="1" applyProtection="1">
      <alignment vertical="center" shrinkToFit="1"/>
      <protection locked="0"/>
    </xf>
    <xf numFmtId="0" fontId="14" fillId="2" borderId="3" xfId="2" applyFont="1" applyFill="1" applyBorder="1" applyAlignment="1" applyProtection="1">
      <alignment horizontal="center" vertical="center" shrinkToFit="1"/>
      <protection locked="0"/>
    </xf>
    <xf numFmtId="0" fontId="12" fillId="2" borderId="0" xfId="2" applyFont="1" applyFill="1" applyAlignment="1" applyProtection="1">
      <alignment horizontal="center" vertical="center"/>
      <protection locked="0"/>
    </xf>
    <xf numFmtId="0" fontId="9" fillId="2" borderId="0" xfId="2" applyFont="1" applyFill="1" applyAlignment="1" applyProtection="1">
      <alignment horizontal="center" vertical="center"/>
      <protection locked="0"/>
    </xf>
    <xf numFmtId="0" fontId="13" fillId="2" borderId="5" xfId="2" applyFont="1" applyFill="1" applyBorder="1" applyAlignment="1" applyProtection="1">
      <alignment horizontal="center" vertical="center"/>
      <protection locked="0"/>
    </xf>
    <xf numFmtId="0" fontId="20" fillId="2" borderId="7" xfId="2" applyFont="1" applyFill="1" applyBorder="1" applyAlignment="1" applyProtection="1">
      <alignment horizontal="center" vertical="center"/>
      <protection locked="0"/>
    </xf>
    <xf numFmtId="0" fontId="20" fillId="2" borderId="6" xfId="2" applyFont="1" applyFill="1" applyBorder="1" applyAlignment="1" applyProtection="1">
      <alignment horizontal="center" vertical="center"/>
      <protection locked="0"/>
    </xf>
    <xf numFmtId="0" fontId="20" fillId="2" borderId="8" xfId="2" applyFont="1" applyFill="1" applyBorder="1" applyAlignment="1" applyProtection="1">
      <alignment horizontal="center" vertical="center"/>
      <protection locked="0"/>
    </xf>
    <xf numFmtId="0" fontId="14" fillId="2" borderId="14" xfId="2" applyFont="1" applyFill="1" applyBorder="1" applyAlignment="1">
      <alignment vertical="center" shrinkToFit="1"/>
    </xf>
    <xf numFmtId="0" fontId="14" fillId="2" borderId="14" xfId="2" applyFont="1" applyFill="1" applyBorder="1" applyAlignment="1" applyProtection="1">
      <alignment vertical="center" shrinkToFit="1"/>
      <protection locked="0"/>
    </xf>
    <xf numFmtId="0" fontId="14" fillId="2" borderId="6" xfId="2" applyFont="1" applyFill="1" applyBorder="1" applyAlignment="1" applyProtection="1">
      <alignment horizontal="center" vertical="center" shrinkToFit="1"/>
      <protection locked="0"/>
    </xf>
    <xf numFmtId="0" fontId="14" fillId="2" borderId="8" xfId="2" applyFont="1" applyFill="1" applyBorder="1" applyAlignment="1">
      <alignment horizontal="center" vertical="center" shrinkToFit="1"/>
    </xf>
    <xf numFmtId="0" fontId="14" fillId="2" borderId="7" xfId="2" applyFont="1" applyFill="1" applyBorder="1" applyAlignment="1" applyProtection="1">
      <alignment horizontal="center" vertical="center" shrinkToFit="1"/>
      <protection locked="0"/>
    </xf>
    <xf numFmtId="0" fontId="24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14" fillId="2" borderId="13" xfId="2" applyFont="1" applyFill="1" applyBorder="1" applyAlignment="1" applyProtection="1">
      <alignment horizontal="center" vertical="center" shrinkToFit="1"/>
      <protection locked="0"/>
    </xf>
    <xf numFmtId="0" fontId="14" fillId="2" borderId="56" xfId="2" applyFont="1" applyFill="1" applyBorder="1" applyAlignment="1">
      <alignment horizontal="center" vertical="center" shrinkToFit="1"/>
    </xf>
    <xf numFmtId="0" fontId="14" fillId="2" borderId="14" xfId="2" applyFont="1" applyFill="1" applyBorder="1" applyAlignment="1" applyProtection="1">
      <alignment horizontal="center" vertical="center" shrinkToFit="1"/>
      <protection locked="0"/>
    </xf>
    <xf numFmtId="0" fontId="14" fillId="2" borderId="99" xfId="2" applyFont="1" applyFill="1" applyBorder="1" applyAlignment="1" applyProtection="1">
      <alignment horizontal="center" vertical="center" shrinkToFit="1"/>
      <protection locked="0"/>
    </xf>
    <xf numFmtId="0" fontId="14" fillId="2" borderId="100" xfId="2" applyFont="1" applyFill="1" applyBorder="1" applyAlignment="1" applyProtection="1">
      <alignment vertical="center" shrinkToFit="1"/>
      <protection locked="0"/>
    </xf>
    <xf numFmtId="0" fontId="10" fillId="2" borderId="106" xfId="2" applyFont="1" applyFill="1" applyBorder="1" applyAlignment="1" applyProtection="1">
      <alignment horizontal="center" vertical="center"/>
      <protection locked="0"/>
    </xf>
    <xf numFmtId="0" fontId="14" fillId="2" borderId="108" xfId="2" applyFont="1" applyFill="1" applyBorder="1" applyAlignment="1" applyProtection="1">
      <alignment horizontal="center" vertical="center" shrinkToFit="1"/>
      <protection locked="0"/>
    </xf>
    <xf numFmtId="0" fontId="14" fillId="2" borderId="116" xfId="2" applyFont="1" applyFill="1" applyBorder="1" applyAlignment="1" applyProtection="1">
      <alignment vertical="center" shrinkToFit="1"/>
      <protection locked="0"/>
    </xf>
    <xf numFmtId="0" fontId="28" fillId="0" borderId="0" xfId="0" applyFont="1" applyAlignment="1" applyProtection="1">
      <alignment horizontal="center" vertical="center" wrapText="1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20" fillId="2" borderId="99" xfId="2" applyFont="1" applyFill="1" applyBorder="1" applyAlignment="1" applyProtection="1">
      <alignment horizontal="center" vertical="center"/>
      <protection locked="0"/>
    </xf>
    <xf numFmtId="41" fontId="29" fillId="0" borderId="131" xfId="0" applyNumberFormat="1" applyFont="1" applyBorder="1" applyAlignment="1" applyProtection="1">
      <alignment horizontal="center" vertical="center" wrapText="1" shrinkToFit="1"/>
      <protection locked="0"/>
    </xf>
    <xf numFmtId="41" fontId="29" fillId="0" borderId="131" xfId="0" applyNumberFormat="1" applyFont="1" applyBorder="1" applyAlignment="1" applyProtection="1">
      <alignment horizontal="center" vertical="center" shrinkToFit="1"/>
      <protection locked="0"/>
    </xf>
    <xf numFmtId="0" fontId="28" fillId="0" borderId="135" xfId="0" applyFont="1" applyBorder="1" applyAlignment="1" applyProtection="1">
      <alignment horizontal="center" vertical="center"/>
      <protection locked="0"/>
    </xf>
    <xf numFmtId="41" fontId="29" fillId="0" borderId="135" xfId="0" applyNumberFormat="1" applyFont="1" applyBorder="1" applyAlignment="1" applyProtection="1">
      <alignment horizontal="center" vertical="center" wrapText="1" shrinkToFit="1"/>
      <protection locked="0"/>
    </xf>
    <xf numFmtId="41" fontId="29" fillId="0" borderId="135" xfId="0" applyNumberFormat="1" applyFont="1" applyBorder="1" applyAlignment="1" applyProtection="1">
      <alignment horizontal="center" vertical="center" shrinkToFit="1"/>
      <protection locked="0"/>
    </xf>
    <xf numFmtId="0" fontId="28" fillId="0" borderId="135" xfId="0" applyFont="1" applyBorder="1" applyAlignment="1" applyProtection="1">
      <alignment horizontal="center" vertical="center" wrapText="1"/>
      <protection locked="0"/>
    </xf>
    <xf numFmtId="178" fontId="0" fillId="0" borderId="0" xfId="0" quotePrefix="1" applyNumberFormat="1" applyAlignment="1">
      <alignment horizontal="center" vertical="center"/>
    </xf>
    <xf numFmtId="0" fontId="0" fillId="3" borderId="0" xfId="0" applyFill="1">
      <alignment vertical="center"/>
    </xf>
    <xf numFmtId="0" fontId="35" fillId="0" borderId="0" xfId="0" applyFont="1">
      <alignment vertical="center"/>
    </xf>
    <xf numFmtId="0" fontId="36" fillId="3" borderId="0" xfId="0" applyFont="1" applyFill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7" fillId="3" borderId="0" xfId="0" applyFont="1" applyFill="1">
      <alignment vertical="center"/>
    </xf>
    <xf numFmtId="14" fontId="3" fillId="0" borderId="0" xfId="1" applyNumberFormat="1">
      <alignment vertical="center"/>
    </xf>
    <xf numFmtId="0" fontId="3" fillId="0" borderId="0" xfId="1">
      <alignment vertical="center"/>
    </xf>
    <xf numFmtId="0" fontId="0" fillId="3" borderId="0" xfId="0" applyFill="1" applyAlignment="1">
      <alignment vertical="center" wrapText="1"/>
    </xf>
    <xf numFmtId="41" fontId="28" fillId="0" borderId="135" xfId="0" applyNumberFormat="1" applyFont="1" applyBorder="1" applyAlignment="1" applyProtection="1">
      <alignment horizontal="center" vertical="center"/>
      <protection locked="0"/>
    </xf>
    <xf numFmtId="0" fontId="15" fillId="2" borderId="118" xfId="2" applyFont="1" applyFill="1" applyBorder="1" applyAlignment="1" applyProtection="1">
      <alignment vertical="center" shrinkToFit="1"/>
      <protection locked="0"/>
    </xf>
    <xf numFmtId="0" fontId="15" fillId="2" borderId="119" xfId="2" applyFont="1" applyFill="1" applyBorder="1" applyAlignment="1" applyProtection="1">
      <alignment vertical="center" shrinkToFit="1"/>
      <protection locked="0"/>
    </xf>
    <xf numFmtId="0" fontId="14" fillId="2" borderId="100" xfId="2" applyFont="1" applyFill="1" applyBorder="1" applyAlignment="1" applyProtection="1">
      <alignment horizontal="center" vertical="center" shrinkToFit="1"/>
      <protection locked="0"/>
    </xf>
    <xf numFmtId="41" fontId="28" fillId="0" borderId="0" xfId="0" applyNumberFormat="1" applyFont="1" applyAlignment="1" applyProtection="1">
      <alignment horizontal="center" vertical="center"/>
      <protection locked="0"/>
    </xf>
    <xf numFmtId="41" fontId="29" fillId="0" borderId="0" xfId="0" applyNumberFormat="1" applyFont="1" applyAlignment="1" applyProtection="1">
      <alignment horizontal="center" vertical="center" wrapText="1" shrinkToFit="1"/>
      <protection locked="0"/>
    </xf>
    <xf numFmtId="41" fontId="29" fillId="0" borderId="0" xfId="0" applyNumberFormat="1" applyFont="1" applyAlignment="1" applyProtection="1">
      <alignment horizontal="center" vertical="center" shrinkToFit="1"/>
      <protection locked="0"/>
    </xf>
    <xf numFmtId="0" fontId="14" fillId="2" borderId="147" xfId="2" applyFont="1" applyFill="1" applyBorder="1" applyAlignment="1" applyProtection="1">
      <alignment horizontal="center" vertical="center" shrinkToFit="1"/>
      <protection locked="0"/>
    </xf>
    <xf numFmtId="0" fontId="14" fillId="2" borderId="148" xfId="2" applyFont="1" applyFill="1" applyBorder="1" applyAlignment="1">
      <alignment horizontal="center" vertical="center" shrinkToFit="1"/>
    </xf>
    <xf numFmtId="0" fontId="14" fillId="2" borderId="149" xfId="2" applyFont="1" applyFill="1" applyBorder="1" applyAlignment="1" applyProtection="1">
      <alignment horizontal="center" vertical="center" shrinkToFit="1"/>
      <protection locked="0"/>
    </xf>
    <xf numFmtId="14" fontId="1" fillId="0" borderId="152" xfId="3" applyNumberFormat="1" applyBorder="1">
      <alignment vertical="center"/>
    </xf>
    <xf numFmtId="14" fontId="1" fillId="0" borderId="152" xfId="3" applyNumberFormat="1" applyFill="1" applyBorder="1">
      <alignment vertical="center"/>
    </xf>
    <xf numFmtId="14" fontId="1" fillId="4" borderId="152" xfId="3" applyNumberFormat="1" applyFill="1" applyBorder="1">
      <alignment vertical="center"/>
    </xf>
    <xf numFmtId="14" fontId="3" fillId="0" borderId="152" xfId="1" applyNumberFormat="1" applyBorder="1">
      <alignment vertical="center"/>
    </xf>
    <xf numFmtId="14" fontId="3" fillId="4" borderId="152" xfId="1" applyNumberFormat="1" applyFill="1" applyBorder="1">
      <alignment vertical="center"/>
    </xf>
    <xf numFmtId="0" fontId="3" fillId="0" borderId="152" xfId="1" applyBorder="1">
      <alignment vertical="center"/>
    </xf>
    <xf numFmtId="0" fontId="3" fillId="4" borderId="152" xfId="1" applyFill="1" applyBorder="1">
      <alignment vertical="center"/>
    </xf>
    <xf numFmtId="14" fontId="3" fillId="5" borderId="152" xfId="1" applyNumberFormat="1" applyFill="1" applyBorder="1">
      <alignment vertical="center"/>
    </xf>
    <xf numFmtId="14" fontId="3" fillId="0" borderId="152" xfId="1" applyNumberFormat="1" applyFill="1" applyBorder="1">
      <alignment vertical="center"/>
    </xf>
    <xf numFmtId="0" fontId="14" fillId="2" borderId="10" xfId="2" applyFont="1" applyFill="1" applyBorder="1" applyAlignment="1" applyProtection="1">
      <alignment horizontal="center" vertical="center" shrinkToFit="1"/>
      <protection locked="0"/>
    </xf>
    <xf numFmtId="14" fontId="14" fillId="2" borderId="83" xfId="2" applyNumberFormat="1" applyFont="1" applyFill="1" applyBorder="1" applyAlignment="1" applyProtection="1">
      <alignment horizontal="center" vertical="center" wrapText="1" shrinkToFit="1"/>
      <protection locked="0"/>
    </xf>
    <xf numFmtId="14" fontId="14" fillId="2" borderId="17" xfId="2" applyNumberFormat="1" applyFont="1" applyFill="1" applyBorder="1" applyAlignment="1" applyProtection="1">
      <alignment horizontal="center" vertical="center" wrapText="1" shrinkToFit="1"/>
      <protection locked="0"/>
    </xf>
    <xf numFmtId="14" fontId="14" fillId="2" borderId="18" xfId="2" applyNumberFormat="1" applyFont="1" applyFill="1" applyBorder="1" applyAlignment="1" applyProtection="1">
      <alignment horizontal="center" vertical="center" wrapText="1" shrinkToFit="1"/>
      <protection locked="0"/>
    </xf>
    <xf numFmtId="0" fontId="20" fillId="2" borderId="7" xfId="2" applyFont="1" applyFill="1" applyBorder="1" applyAlignment="1" applyProtection="1">
      <alignment horizontal="center" vertical="center" wrapText="1"/>
      <protection locked="0"/>
    </xf>
    <xf numFmtId="0" fontId="12" fillId="2" borderId="7" xfId="2" applyFont="1" applyFill="1" applyBorder="1" applyAlignment="1" applyProtection="1">
      <alignment horizontal="center" vertical="center" wrapText="1"/>
      <protection locked="0"/>
    </xf>
    <xf numFmtId="0" fontId="12" fillId="2" borderId="23" xfId="2" applyFont="1" applyFill="1" applyBorder="1" applyAlignment="1" applyProtection="1">
      <alignment horizontal="center" vertical="center" wrapText="1"/>
      <protection locked="0"/>
    </xf>
    <xf numFmtId="14" fontId="14" fillId="2" borderId="86" xfId="2" applyNumberFormat="1" applyFont="1" applyFill="1" applyBorder="1" applyAlignment="1" applyProtection="1">
      <alignment horizontal="center" vertical="center" wrapText="1" shrinkToFit="1"/>
      <protection locked="0"/>
    </xf>
    <xf numFmtId="14" fontId="14" fillId="2" borderId="87" xfId="2" applyNumberFormat="1" applyFont="1" applyFill="1" applyBorder="1" applyAlignment="1" applyProtection="1">
      <alignment horizontal="center" vertical="center" wrapText="1" shrinkToFit="1"/>
      <protection locked="0"/>
    </xf>
    <xf numFmtId="14" fontId="14" fillId="2" borderId="88" xfId="2" applyNumberFormat="1" applyFont="1" applyFill="1" applyBorder="1" applyAlignment="1" applyProtection="1">
      <alignment horizontal="center" vertical="center" wrapText="1" shrinkToFit="1"/>
      <protection locked="0"/>
    </xf>
    <xf numFmtId="0" fontId="14" fillId="2" borderId="26" xfId="2" applyFont="1" applyFill="1" applyBorder="1" applyAlignment="1" applyProtection="1">
      <alignment horizontal="center" vertical="center" shrinkToFit="1"/>
      <protection locked="0"/>
    </xf>
    <xf numFmtId="0" fontId="14" fillId="2" borderId="27" xfId="2" applyFont="1" applyFill="1" applyBorder="1" applyAlignment="1" applyProtection="1">
      <alignment horizontal="center" vertical="center" shrinkToFit="1"/>
      <protection locked="0"/>
    </xf>
    <xf numFmtId="0" fontId="14" fillId="2" borderId="74" xfId="2" applyFont="1" applyFill="1" applyBorder="1" applyAlignment="1" applyProtection="1">
      <alignment horizontal="center" vertical="center" shrinkToFit="1"/>
      <protection locked="0"/>
    </xf>
    <xf numFmtId="41" fontId="14" fillId="2" borderId="17" xfId="2" applyNumberFormat="1" applyFont="1" applyFill="1" applyBorder="1" applyAlignment="1" applyProtection="1">
      <alignment horizontal="center" vertical="center" shrinkToFit="1"/>
      <protection locked="0"/>
    </xf>
    <xf numFmtId="41" fontId="14" fillId="2" borderId="18" xfId="2" applyNumberFormat="1" applyFont="1" applyFill="1" applyBorder="1" applyAlignment="1" applyProtection="1">
      <alignment horizontal="center" vertical="center" shrinkToFit="1"/>
      <protection locked="0"/>
    </xf>
    <xf numFmtId="0" fontId="10" fillId="2" borderId="15" xfId="2" applyFont="1" applyFill="1" applyBorder="1" applyAlignment="1" applyProtection="1">
      <alignment horizontal="center" vertical="center"/>
      <protection locked="0"/>
    </xf>
    <xf numFmtId="0" fontId="10" fillId="2" borderId="16" xfId="2" applyFont="1" applyFill="1" applyBorder="1" applyAlignment="1" applyProtection="1">
      <alignment horizontal="center" vertical="center"/>
      <protection locked="0"/>
    </xf>
    <xf numFmtId="0" fontId="10" fillId="2" borderId="61" xfId="2" applyFont="1" applyFill="1" applyBorder="1" applyAlignment="1" applyProtection="1">
      <alignment horizontal="center" vertical="center"/>
      <protection locked="0"/>
    </xf>
    <xf numFmtId="0" fontId="14" fillId="2" borderId="60" xfId="2" applyFont="1" applyFill="1" applyBorder="1" applyAlignment="1" applyProtection="1">
      <alignment horizontal="center" vertical="center"/>
      <protection locked="0"/>
    </xf>
    <xf numFmtId="0" fontId="14" fillId="2" borderId="17" xfId="2" applyFont="1" applyFill="1" applyBorder="1" applyAlignment="1" applyProtection="1">
      <alignment horizontal="center" vertical="center"/>
      <protection locked="0"/>
    </xf>
    <xf numFmtId="0" fontId="14" fillId="2" borderId="10" xfId="2" applyFont="1" applyFill="1" applyBorder="1" applyAlignment="1" applyProtection="1">
      <alignment horizontal="center" vertical="center"/>
      <protection locked="0"/>
    </xf>
    <xf numFmtId="0" fontId="14" fillId="2" borderId="60" xfId="2" applyFont="1" applyFill="1" applyBorder="1" applyAlignment="1" applyProtection="1">
      <alignment horizontal="center" vertical="center" shrinkToFit="1"/>
      <protection locked="0"/>
    </xf>
    <xf numFmtId="0" fontId="14" fillId="2" borderId="17" xfId="2" applyFont="1" applyFill="1" applyBorder="1" applyAlignment="1" applyProtection="1">
      <alignment horizontal="center" vertical="center" shrinkToFit="1"/>
      <protection locked="0"/>
    </xf>
    <xf numFmtId="0" fontId="14" fillId="2" borderId="10" xfId="2" applyFont="1" applyFill="1" applyBorder="1" applyAlignment="1" applyProtection="1">
      <alignment horizontal="center" vertical="center" shrinkToFit="1"/>
      <protection locked="0"/>
    </xf>
    <xf numFmtId="41" fontId="14" fillId="0" borderId="60" xfId="0" applyNumberFormat="1" applyFont="1" applyBorder="1" applyAlignment="1" applyProtection="1">
      <alignment horizontal="center" vertical="center" shrinkToFit="1"/>
      <protection locked="0"/>
    </xf>
    <xf numFmtId="41" fontId="14" fillId="0" borderId="17" xfId="0" applyNumberFormat="1" applyFont="1" applyBorder="1" applyAlignment="1" applyProtection="1">
      <alignment horizontal="center" vertical="center" shrinkToFit="1"/>
      <protection locked="0"/>
    </xf>
    <xf numFmtId="41" fontId="14" fillId="0" borderId="10" xfId="0" applyNumberFormat="1" applyFont="1" applyBorder="1" applyAlignment="1" applyProtection="1">
      <alignment horizontal="center" vertical="center" shrinkToFit="1"/>
      <protection locked="0"/>
    </xf>
    <xf numFmtId="41" fontId="14" fillId="2" borderId="60" xfId="2" applyNumberFormat="1" applyFont="1" applyFill="1" applyBorder="1" applyAlignment="1" applyProtection="1">
      <alignment horizontal="center" vertical="center" shrinkToFit="1"/>
      <protection locked="0"/>
    </xf>
    <xf numFmtId="0" fontId="14" fillId="2" borderId="80" xfId="2" applyFont="1" applyFill="1" applyBorder="1" applyAlignment="1" applyProtection="1">
      <alignment horizontal="center" vertical="center"/>
      <protection locked="0"/>
    </xf>
    <xf numFmtId="0" fontId="14" fillId="2" borderId="81" xfId="2" applyFont="1" applyFill="1" applyBorder="1" applyAlignment="1" applyProtection="1">
      <alignment horizontal="center" vertical="center"/>
      <protection locked="0"/>
    </xf>
    <xf numFmtId="0" fontId="14" fillId="2" borderId="82" xfId="2" applyFont="1" applyFill="1" applyBorder="1" applyAlignment="1" applyProtection="1">
      <alignment horizontal="center" vertical="center"/>
      <protection locked="0"/>
    </xf>
    <xf numFmtId="0" fontId="6" fillId="2" borderId="47" xfId="2" applyFont="1" applyFill="1" applyBorder="1" applyAlignment="1" applyProtection="1">
      <alignment horizontal="center" vertical="center"/>
      <protection locked="0"/>
    </xf>
    <xf numFmtId="0" fontId="6" fillId="2" borderId="38" xfId="2" applyFont="1" applyFill="1" applyBorder="1" applyAlignment="1" applyProtection="1">
      <alignment horizontal="center" vertical="center"/>
      <protection locked="0"/>
    </xf>
    <xf numFmtId="0" fontId="9" fillId="0" borderId="38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0" fontId="9" fillId="0" borderId="49" xfId="0" applyFont="1" applyBorder="1" applyAlignment="1" applyProtection="1">
      <alignment horizontal="center" vertical="center"/>
      <protection locked="0"/>
    </xf>
    <xf numFmtId="0" fontId="9" fillId="0" borderId="41" xfId="0" applyFont="1" applyBorder="1" applyAlignment="1" applyProtection="1">
      <alignment horizontal="center" vertical="center"/>
      <protection locked="0"/>
    </xf>
    <xf numFmtId="0" fontId="9" fillId="0" borderId="42" xfId="0" applyFont="1" applyBorder="1" applyAlignment="1" applyProtection="1">
      <alignment horizontal="center" vertical="center"/>
      <protection locked="0"/>
    </xf>
    <xf numFmtId="0" fontId="10" fillId="2" borderId="2" xfId="2" applyFont="1" applyFill="1" applyBorder="1" applyAlignment="1" applyProtection="1">
      <alignment horizontal="center" vertical="center" wrapText="1"/>
      <protection locked="0"/>
    </xf>
    <xf numFmtId="0" fontId="10" fillId="2" borderId="3" xfId="2" applyFont="1" applyFill="1" applyBorder="1" applyAlignment="1" applyProtection="1">
      <alignment horizontal="center" vertical="center" wrapText="1"/>
      <protection locked="0"/>
    </xf>
    <xf numFmtId="0" fontId="10" fillId="2" borderId="71" xfId="2" applyFont="1" applyFill="1" applyBorder="1" applyAlignment="1" applyProtection="1">
      <alignment horizontal="center" vertical="center" wrapText="1"/>
      <protection locked="0"/>
    </xf>
    <xf numFmtId="0" fontId="10" fillId="2" borderId="1" xfId="2" applyFont="1" applyFill="1" applyBorder="1" applyAlignment="1" applyProtection="1">
      <alignment horizontal="center" vertical="center" wrapText="1"/>
      <protection locked="0"/>
    </xf>
    <xf numFmtId="0" fontId="10" fillId="2" borderId="4" xfId="2" applyFont="1" applyFill="1" applyBorder="1" applyAlignment="1" applyProtection="1">
      <alignment horizontal="center" vertical="center" wrapText="1"/>
      <protection locked="0"/>
    </xf>
    <xf numFmtId="0" fontId="11" fillId="2" borderId="37" xfId="2" applyFont="1" applyFill="1" applyBorder="1" applyAlignment="1" applyProtection="1">
      <alignment horizontal="center" vertical="center" shrinkToFit="1"/>
      <protection locked="0"/>
    </xf>
    <xf numFmtId="0" fontId="11" fillId="2" borderId="38" xfId="2" applyFont="1" applyFill="1" applyBorder="1" applyAlignment="1" applyProtection="1">
      <alignment horizontal="center" vertical="center" shrinkToFit="1"/>
      <protection locked="0"/>
    </xf>
    <xf numFmtId="0" fontId="11" fillId="2" borderId="39" xfId="2" applyFont="1" applyFill="1" applyBorder="1" applyAlignment="1" applyProtection="1">
      <alignment horizontal="center" vertical="center" shrinkToFit="1"/>
      <protection locked="0"/>
    </xf>
    <xf numFmtId="0" fontId="11" fillId="2" borderId="66" xfId="2" applyFont="1" applyFill="1" applyBorder="1" applyAlignment="1" applyProtection="1">
      <alignment horizontal="center" vertical="center" shrinkToFit="1"/>
      <protection locked="0"/>
    </xf>
    <xf numFmtId="0" fontId="11" fillId="2" borderId="67" xfId="2" applyFont="1" applyFill="1" applyBorder="1" applyAlignment="1" applyProtection="1">
      <alignment horizontal="center" vertical="center" shrinkToFit="1"/>
      <protection locked="0"/>
    </xf>
    <xf numFmtId="0" fontId="11" fillId="2" borderId="70" xfId="2" applyFont="1" applyFill="1" applyBorder="1" applyAlignment="1" applyProtection="1">
      <alignment horizontal="center" vertical="center" shrinkToFit="1"/>
      <protection locked="0"/>
    </xf>
    <xf numFmtId="0" fontId="10" fillId="2" borderId="1" xfId="2" applyFont="1" applyFill="1" applyBorder="1" applyAlignment="1" applyProtection="1">
      <alignment horizontal="center" vertical="center"/>
      <protection locked="0"/>
    </xf>
    <xf numFmtId="0" fontId="10" fillId="2" borderId="4" xfId="2" applyFont="1" applyFill="1" applyBorder="1" applyAlignment="1" applyProtection="1">
      <alignment horizontal="center" vertical="center"/>
      <protection locked="0"/>
    </xf>
    <xf numFmtId="0" fontId="11" fillId="2" borderId="37" xfId="2" applyFont="1" applyFill="1" applyBorder="1" applyAlignment="1" applyProtection="1">
      <alignment horizontal="center" vertical="center"/>
      <protection locked="0"/>
    </xf>
    <xf numFmtId="0" fontId="11" fillId="2" borderId="38" xfId="2" applyFont="1" applyFill="1" applyBorder="1" applyAlignment="1" applyProtection="1">
      <alignment horizontal="center" vertical="center"/>
      <protection locked="0"/>
    </xf>
    <xf numFmtId="0" fontId="11" fillId="2" borderId="39" xfId="2" applyFont="1" applyFill="1" applyBorder="1" applyAlignment="1" applyProtection="1">
      <alignment horizontal="center" vertical="center"/>
      <protection locked="0"/>
    </xf>
    <xf numFmtId="0" fontId="11" fillId="2" borderId="66" xfId="2" applyFont="1" applyFill="1" applyBorder="1" applyAlignment="1" applyProtection="1">
      <alignment horizontal="center" vertical="center"/>
      <protection locked="0"/>
    </xf>
    <xf numFmtId="0" fontId="11" fillId="2" borderId="67" xfId="2" applyFont="1" applyFill="1" applyBorder="1" applyAlignment="1" applyProtection="1">
      <alignment horizontal="center" vertical="center"/>
      <protection locked="0"/>
    </xf>
    <xf numFmtId="0" fontId="11" fillId="2" borderId="70" xfId="2" applyFont="1" applyFill="1" applyBorder="1" applyAlignment="1" applyProtection="1">
      <alignment horizontal="center" vertical="center"/>
      <protection locked="0"/>
    </xf>
    <xf numFmtId="0" fontId="12" fillId="2" borderId="44" xfId="2" applyFont="1" applyFill="1" applyBorder="1" applyAlignment="1" applyProtection="1">
      <alignment horizontal="center" vertical="center" wrapText="1"/>
      <protection locked="0"/>
    </xf>
    <xf numFmtId="0" fontId="12" fillId="2" borderId="45" xfId="2" applyFont="1" applyFill="1" applyBorder="1" applyAlignment="1" applyProtection="1">
      <alignment horizontal="center" vertical="center" wrapText="1"/>
      <protection locked="0"/>
    </xf>
    <xf numFmtId="0" fontId="12" fillId="2" borderId="46" xfId="2" applyFont="1" applyFill="1" applyBorder="1" applyAlignment="1" applyProtection="1">
      <alignment horizontal="center" vertical="center" wrapText="1"/>
      <protection locked="0"/>
    </xf>
    <xf numFmtId="0" fontId="12" fillId="2" borderId="66" xfId="2" applyFont="1" applyFill="1" applyBorder="1" applyAlignment="1" applyProtection="1">
      <alignment horizontal="center" vertical="center" wrapText="1"/>
      <protection locked="0"/>
    </xf>
    <xf numFmtId="0" fontId="12" fillId="2" borderId="67" xfId="2" applyFont="1" applyFill="1" applyBorder="1" applyAlignment="1" applyProtection="1">
      <alignment horizontal="center" vertical="center" wrapText="1"/>
      <protection locked="0"/>
    </xf>
    <xf numFmtId="0" fontId="12" fillId="2" borderId="68" xfId="2" applyFont="1" applyFill="1" applyBorder="1" applyAlignment="1" applyProtection="1">
      <alignment horizontal="center" vertical="center" wrapText="1"/>
      <protection locked="0"/>
    </xf>
    <xf numFmtId="0" fontId="12" fillId="2" borderId="69" xfId="2" applyFont="1" applyFill="1" applyBorder="1" applyAlignment="1" applyProtection="1">
      <alignment horizontal="center" vertical="center" wrapText="1"/>
      <protection locked="0"/>
    </xf>
    <xf numFmtId="0" fontId="12" fillId="2" borderId="70" xfId="2" applyFont="1" applyFill="1" applyBorder="1" applyAlignment="1" applyProtection="1">
      <alignment horizontal="center" vertical="center" wrapText="1"/>
      <protection locked="0"/>
    </xf>
    <xf numFmtId="0" fontId="10" fillId="2" borderId="62" xfId="2" applyFont="1" applyFill="1" applyBorder="1" applyAlignment="1" applyProtection="1">
      <alignment horizontal="center" vertical="center" wrapText="1"/>
      <protection locked="0"/>
    </xf>
    <xf numFmtId="176" fontId="11" fillId="2" borderId="4" xfId="2" applyNumberFormat="1" applyFont="1" applyFill="1" applyBorder="1" applyAlignment="1" applyProtection="1">
      <alignment horizontal="right" vertical="center"/>
      <protection locked="0"/>
    </xf>
    <xf numFmtId="177" fontId="11" fillId="2" borderId="4" xfId="2" applyNumberFormat="1" applyFont="1" applyFill="1" applyBorder="1" applyAlignment="1" applyProtection="1">
      <alignment horizontal="right" vertical="center"/>
      <protection locked="0"/>
    </xf>
    <xf numFmtId="177" fontId="11" fillId="2" borderId="60" xfId="2" applyNumberFormat="1" applyFont="1" applyFill="1" applyBorder="1" applyAlignment="1" applyProtection="1">
      <alignment horizontal="right" vertical="center"/>
      <protection locked="0"/>
    </xf>
    <xf numFmtId="177" fontId="11" fillId="2" borderId="62" xfId="2" applyNumberFormat="1" applyFont="1" applyFill="1" applyBorder="1" applyAlignment="1" applyProtection="1">
      <alignment horizontal="right" vertical="center"/>
      <protection locked="0"/>
    </xf>
    <xf numFmtId="177" fontId="11" fillId="2" borderId="63" xfId="2" applyNumberFormat="1" applyFont="1" applyFill="1" applyBorder="1" applyAlignment="1" applyProtection="1">
      <alignment horizontal="right" vertical="center"/>
      <protection locked="0"/>
    </xf>
    <xf numFmtId="0" fontId="10" fillId="2" borderId="62" xfId="2" applyFont="1" applyFill="1" applyBorder="1" applyAlignment="1" applyProtection="1">
      <alignment horizontal="center" vertical="center"/>
      <protection locked="0"/>
    </xf>
    <xf numFmtId="0" fontId="13" fillId="2" borderId="4" xfId="2" applyFont="1" applyFill="1" applyBorder="1" applyAlignment="1" applyProtection="1">
      <alignment horizontal="center" vertical="center" wrapText="1" shrinkToFit="1"/>
      <protection locked="0"/>
    </xf>
    <xf numFmtId="0" fontId="13" fillId="2" borderId="4" xfId="2" applyFont="1" applyFill="1" applyBorder="1" applyAlignment="1" applyProtection="1">
      <alignment horizontal="center" vertical="center" shrinkToFit="1"/>
      <protection locked="0"/>
    </xf>
    <xf numFmtId="0" fontId="13" fillId="2" borderId="62" xfId="2" applyFont="1" applyFill="1" applyBorder="1" applyAlignment="1" applyProtection="1">
      <alignment horizontal="center" vertical="center" shrinkToFit="1"/>
      <protection locked="0"/>
    </xf>
    <xf numFmtId="0" fontId="13" fillId="2" borderId="64" xfId="2" applyFont="1" applyFill="1" applyBorder="1" applyAlignment="1" applyProtection="1">
      <alignment horizontal="center" vertical="center" shrinkToFit="1"/>
      <protection locked="0"/>
    </xf>
    <xf numFmtId="0" fontId="13" fillId="2" borderId="65" xfId="2" applyFont="1" applyFill="1" applyBorder="1" applyAlignment="1" applyProtection="1">
      <alignment horizontal="center" vertical="center" shrinkToFit="1"/>
      <protection locked="0"/>
    </xf>
    <xf numFmtId="0" fontId="12" fillId="2" borderId="44" xfId="2" applyFont="1" applyFill="1" applyBorder="1" applyAlignment="1" applyProtection="1">
      <alignment horizontal="center" vertical="center" wrapText="1" shrinkToFit="1"/>
      <protection locked="0"/>
    </xf>
    <xf numFmtId="0" fontId="12" fillId="2" borderId="45" xfId="2" applyFont="1" applyFill="1" applyBorder="1" applyAlignment="1" applyProtection="1">
      <alignment horizontal="center" vertical="center" wrapText="1" shrinkToFit="1"/>
      <protection locked="0"/>
    </xf>
    <xf numFmtId="0" fontId="12" fillId="2" borderId="66" xfId="2" applyFont="1" applyFill="1" applyBorder="1" applyAlignment="1" applyProtection="1">
      <alignment horizontal="center" vertical="center" wrapText="1" shrinkToFit="1"/>
      <protection locked="0"/>
    </xf>
    <xf numFmtId="0" fontId="12" fillId="2" borderId="67" xfId="2" applyFont="1" applyFill="1" applyBorder="1" applyAlignment="1" applyProtection="1">
      <alignment horizontal="center" vertical="center" wrapText="1" shrinkToFit="1"/>
      <protection locked="0"/>
    </xf>
    <xf numFmtId="14" fontId="14" fillId="2" borderId="72" xfId="2" applyNumberFormat="1" applyFont="1" applyFill="1" applyBorder="1" applyAlignment="1" applyProtection="1">
      <alignment horizontal="center" vertical="center" shrinkToFit="1"/>
      <protection locked="0"/>
    </xf>
    <xf numFmtId="14" fontId="14" fillId="2" borderId="17" xfId="2" applyNumberFormat="1" applyFont="1" applyFill="1" applyBorder="1" applyAlignment="1" applyProtection="1">
      <alignment horizontal="center" vertical="center" shrinkToFit="1"/>
      <protection locked="0"/>
    </xf>
    <xf numFmtId="14" fontId="14" fillId="2" borderId="10" xfId="2" applyNumberFormat="1" applyFont="1" applyFill="1" applyBorder="1" applyAlignment="1" applyProtection="1">
      <alignment horizontal="center" vertical="center" shrinkToFit="1"/>
      <protection locked="0"/>
    </xf>
    <xf numFmtId="0" fontId="12" fillId="2" borderId="4" xfId="2" applyFont="1" applyFill="1" applyBorder="1" applyAlignment="1" applyProtection="1">
      <alignment horizontal="center" vertical="center" wrapText="1"/>
      <protection locked="0"/>
    </xf>
    <xf numFmtId="0" fontId="12" fillId="2" borderId="64" xfId="2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2" borderId="9" xfId="2" applyFont="1" applyFill="1" applyBorder="1" applyAlignment="1" applyProtection="1">
      <alignment horizontal="center" vertical="center"/>
      <protection locked="0"/>
    </xf>
    <xf numFmtId="0" fontId="10" fillId="0" borderId="15" xfId="0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2" borderId="38" xfId="2" applyFont="1" applyFill="1" applyBorder="1" applyAlignment="1" applyProtection="1">
      <alignment horizontal="center" vertical="center"/>
      <protection locked="0"/>
    </xf>
    <xf numFmtId="0" fontId="10" fillId="2" borderId="48" xfId="2" applyFont="1" applyFill="1" applyBorder="1" applyAlignment="1" applyProtection="1">
      <alignment horizontal="center" vertical="center"/>
      <protection locked="0"/>
    </xf>
    <xf numFmtId="0" fontId="15" fillId="2" borderId="54" xfId="2" applyFont="1" applyFill="1" applyBorder="1" applyAlignment="1" applyProtection="1">
      <alignment horizontal="center" vertical="center" shrinkToFit="1"/>
      <protection locked="0"/>
    </xf>
    <xf numFmtId="0" fontId="15" fillId="2" borderId="52" xfId="2" applyFont="1" applyFill="1" applyBorder="1" applyAlignment="1" applyProtection="1">
      <alignment horizontal="center" vertical="center" shrinkToFit="1"/>
      <protection locked="0"/>
    </xf>
    <xf numFmtId="0" fontId="15" fillId="2" borderId="55" xfId="2" applyFont="1" applyFill="1" applyBorder="1" applyAlignment="1" applyProtection="1">
      <alignment horizontal="center" vertical="center" shrinkToFit="1"/>
      <protection locked="0"/>
    </xf>
    <xf numFmtId="0" fontId="14" fillId="2" borderId="4" xfId="2" applyFont="1" applyFill="1" applyBorder="1" applyAlignment="1" applyProtection="1">
      <alignment horizontal="left" vertical="center" shrinkToFit="1"/>
      <protection locked="0"/>
    </xf>
    <xf numFmtId="0" fontId="14" fillId="0" borderId="4" xfId="0" applyFont="1" applyBorder="1" applyAlignment="1" applyProtection="1">
      <alignment horizontal="left" vertical="center" shrinkToFit="1"/>
      <protection locked="0"/>
    </xf>
    <xf numFmtId="41" fontId="15" fillId="0" borderId="40" xfId="0" applyNumberFormat="1" applyFont="1" applyBorder="1" applyAlignment="1" applyProtection="1">
      <alignment horizontal="center" vertical="center" shrinkToFit="1"/>
      <protection locked="0"/>
    </xf>
    <xf numFmtId="41" fontId="15" fillId="0" borderId="41" xfId="0" applyNumberFormat="1" applyFont="1" applyBorder="1" applyAlignment="1" applyProtection="1">
      <alignment horizontal="center" vertical="center" shrinkToFit="1"/>
      <protection locked="0"/>
    </xf>
    <xf numFmtId="41" fontId="15" fillId="0" borderId="51" xfId="0" applyNumberFormat="1" applyFont="1" applyBorder="1" applyAlignment="1" applyProtection="1">
      <alignment horizontal="center" vertical="center" shrinkToFit="1"/>
      <protection locked="0"/>
    </xf>
    <xf numFmtId="41" fontId="15" fillId="0" borderId="52" xfId="0" applyNumberFormat="1" applyFont="1" applyBorder="1" applyAlignment="1" applyProtection="1">
      <alignment horizontal="center" vertical="center" shrinkToFit="1"/>
      <protection locked="0"/>
    </xf>
    <xf numFmtId="41" fontId="15" fillId="0" borderId="53" xfId="0" applyNumberFormat="1" applyFont="1" applyBorder="1" applyAlignment="1" applyProtection="1">
      <alignment horizontal="center" vertical="center" shrinkToFit="1"/>
      <protection locked="0"/>
    </xf>
    <xf numFmtId="0" fontId="10" fillId="2" borderId="47" xfId="2" applyFont="1" applyFill="1" applyBorder="1" applyAlignment="1" applyProtection="1">
      <alignment horizontal="center" vertical="center" wrapText="1"/>
      <protection locked="0"/>
    </xf>
    <xf numFmtId="0" fontId="9" fillId="0" borderId="38" xfId="0" applyFont="1" applyBorder="1">
      <alignment vertical="center"/>
    </xf>
    <xf numFmtId="0" fontId="9" fillId="0" borderId="48" xfId="0" applyFont="1" applyBorder="1">
      <alignment vertical="center"/>
    </xf>
    <xf numFmtId="0" fontId="9" fillId="0" borderId="49" xfId="0" applyFont="1" applyBorder="1">
      <alignment vertical="center"/>
    </xf>
    <xf numFmtId="0" fontId="9" fillId="0" borderId="41" xfId="0" applyFont="1" applyBorder="1">
      <alignment vertical="center"/>
    </xf>
    <xf numFmtId="0" fontId="9" fillId="0" borderId="50" xfId="0" applyFont="1" applyBorder="1">
      <alignment vertical="center"/>
    </xf>
    <xf numFmtId="0" fontId="10" fillId="2" borderId="37" xfId="2" applyFont="1" applyFill="1" applyBorder="1" applyAlignment="1" applyProtection="1">
      <alignment horizontal="center" vertical="center" wrapText="1" shrinkToFit="1"/>
      <protection locked="0"/>
    </xf>
    <xf numFmtId="0" fontId="10" fillId="2" borderId="38" xfId="2" applyFont="1" applyFill="1" applyBorder="1" applyAlignment="1" applyProtection="1">
      <alignment horizontal="center" vertical="center" wrapText="1" shrinkToFit="1"/>
      <protection locked="0"/>
    </xf>
    <xf numFmtId="0" fontId="10" fillId="2" borderId="39" xfId="2" applyFont="1" applyFill="1" applyBorder="1" applyAlignment="1" applyProtection="1">
      <alignment horizontal="center" vertical="center" wrapText="1" shrinkToFit="1"/>
      <protection locked="0"/>
    </xf>
    <xf numFmtId="0" fontId="10" fillId="2" borderId="40" xfId="2" applyFont="1" applyFill="1" applyBorder="1" applyAlignment="1" applyProtection="1">
      <alignment horizontal="center" vertical="center" wrapText="1" shrinkToFit="1"/>
      <protection locked="0"/>
    </xf>
    <xf numFmtId="0" fontId="10" fillId="2" borderId="41" xfId="2" applyFont="1" applyFill="1" applyBorder="1" applyAlignment="1" applyProtection="1">
      <alignment horizontal="center" vertical="center" wrapText="1" shrinkToFit="1"/>
      <protection locked="0"/>
    </xf>
    <xf numFmtId="0" fontId="10" fillId="2" borderId="42" xfId="2" applyFont="1" applyFill="1" applyBorder="1" applyAlignment="1" applyProtection="1">
      <alignment horizontal="center" vertical="center" wrapText="1" shrinkToFit="1"/>
      <protection locked="0"/>
    </xf>
    <xf numFmtId="0" fontId="20" fillId="2" borderId="7" xfId="2" applyFont="1" applyFill="1" applyBorder="1" applyAlignment="1" applyProtection="1">
      <alignment horizontal="center" vertical="center"/>
      <protection locked="0"/>
    </xf>
    <xf numFmtId="0" fontId="11" fillId="2" borderId="7" xfId="2" applyFont="1" applyFill="1" applyBorder="1" applyAlignment="1" applyProtection="1">
      <alignment horizontal="center" vertical="center"/>
      <protection locked="0"/>
    </xf>
    <xf numFmtId="0" fontId="11" fillId="2" borderId="23" xfId="2" applyFont="1" applyFill="1" applyBorder="1" applyAlignment="1" applyProtection="1">
      <alignment horizontal="center" vertical="center"/>
      <protection locked="0"/>
    </xf>
    <xf numFmtId="0" fontId="12" fillId="2" borderId="26" xfId="2" applyFont="1" applyFill="1" applyBorder="1" applyAlignment="1" applyProtection="1">
      <alignment horizontal="center" vertical="center" wrapText="1"/>
      <protection locked="0"/>
    </xf>
    <xf numFmtId="0" fontId="12" fillId="2" borderId="27" xfId="2" applyFont="1" applyFill="1" applyBorder="1" applyAlignment="1" applyProtection="1">
      <alignment horizontal="center" vertical="center" wrapText="1"/>
      <protection locked="0"/>
    </xf>
    <xf numFmtId="0" fontId="12" fillId="2" borderId="56" xfId="2" applyFont="1" applyFill="1" applyBorder="1" applyAlignment="1" applyProtection="1">
      <alignment horizontal="center" vertical="center" wrapText="1"/>
      <protection locked="0"/>
    </xf>
    <xf numFmtId="0" fontId="12" fillId="2" borderId="57" xfId="2" applyFont="1" applyFill="1" applyBorder="1" applyAlignment="1" applyProtection="1">
      <alignment horizontal="center" vertical="center" wrapText="1"/>
      <protection locked="0"/>
    </xf>
    <xf numFmtId="0" fontId="12" fillId="2" borderId="58" xfId="2" applyFont="1" applyFill="1" applyBorder="1" applyAlignment="1" applyProtection="1">
      <alignment horizontal="center" vertical="center" wrapText="1"/>
      <protection locked="0"/>
    </xf>
    <xf numFmtId="0" fontId="12" fillId="2" borderId="59" xfId="2" applyFont="1" applyFill="1" applyBorder="1" applyAlignment="1" applyProtection="1">
      <alignment horizontal="center" vertical="center" wrapText="1"/>
      <protection locked="0"/>
    </xf>
    <xf numFmtId="0" fontId="16" fillId="2" borderId="19" xfId="2" applyFont="1" applyFill="1" applyBorder="1" applyAlignment="1" applyProtection="1">
      <alignment horizontal="center" vertical="center"/>
      <protection locked="0"/>
    </xf>
    <xf numFmtId="0" fontId="16" fillId="2" borderId="20" xfId="2" applyFont="1" applyFill="1" applyBorder="1" applyAlignment="1" applyProtection="1">
      <alignment horizontal="center" vertical="center"/>
      <protection locked="0"/>
    </xf>
    <xf numFmtId="0" fontId="19" fillId="0" borderId="21" xfId="0" applyFont="1" applyBorder="1" applyAlignment="1" applyProtection="1">
      <alignment horizontal="center" vertical="center"/>
      <protection locked="0"/>
    </xf>
    <xf numFmtId="0" fontId="19" fillId="0" borderId="22" xfId="0" applyFont="1" applyBorder="1" applyAlignment="1" applyProtection="1">
      <alignment horizontal="center" vertical="center"/>
      <protection locked="0"/>
    </xf>
    <xf numFmtId="0" fontId="19" fillId="0" borderId="6" xfId="0" applyFont="1" applyBorder="1" applyAlignment="1" applyProtection="1">
      <alignment horizontal="center" vertical="center"/>
      <protection locked="0"/>
    </xf>
    <xf numFmtId="0" fontId="19" fillId="0" borderId="8" xfId="0" applyFont="1" applyBorder="1" applyAlignment="1" applyProtection="1">
      <alignment horizontal="center" vertical="center"/>
      <protection locked="0"/>
    </xf>
    <xf numFmtId="0" fontId="19" fillId="0" borderId="7" xfId="0" applyFont="1" applyBorder="1" applyAlignment="1" applyProtection="1">
      <alignment horizontal="center" vertical="center"/>
      <protection locked="0"/>
    </xf>
    <xf numFmtId="0" fontId="19" fillId="0" borderId="23" xfId="0" applyFont="1" applyBorder="1" applyAlignment="1" applyProtection="1">
      <alignment horizontal="center" vertical="center"/>
      <protection locked="0"/>
    </xf>
    <xf numFmtId="0" fontId="20" fillId="2" borderId="6" xfId="2" applyFont="1" applyFill="1" applyBorder="1" applyAlignment="1" applyProtection="1">
      <alignment horizontal="center" vertical="center" wrapText="1"/>
      <protection locked="0"/>
    </xf>
    <xf numFmtId="0" fontId="11" fillId="2" borderId="7" xfId="2" applyFont="1" applyFill="1" applyBorder="1" applyAlignment="1" applyProtection="1">
      <alignment horizontal="center" vertical="center" shrinkToFit="1"/>
      <protection locked="0"/>
    </xf>
    <xf numFmtId="0" fontId="20" fillId="2" borderId="14" xfId="2" applyFont="1" applyFill="1" applyBorder="1" applyAlignment="1" applyProtection="1">
      <alignment horizontal="center" vertical="center" wrapText="1"/>
      <protection locked="0"/>
    </xf>
    <xf numFmtId="0" fontId="12" fillId="2" borderId="7" xfId="2" applyFont="1" applyFill="1" applyBorder="1" applyAlignment="1" applyProtection="1">
      <alignment horizontal="center" vertical="center" wrapText="1" shrinkToFit="1"/>
      <protection locked="0"/>
    </xf>
    <xf numFmtId="176" fontId="21" fillId="2" borderId="7" xfId="2" applyNumberFormat="1" applyFont="1" applyFill="1" applyBorder="1" applyAlignment="1" applyProtection="1">
      <alignment horizontal="right" vertical="center" wrapText="1"/>
      <protection locked="0"/>
    </xf>
    <xf numFmtId="177" fontId="21" fillId="2" borderId="7" xfId="2" applyNumberFormat="1" applyFont="1" applyFill="1" applyBorder="1" applyAlignment="1" applyProtection="1">
      <alignment horizontal="right" vertical="center" wrapText="1"/>
      <protection locked="0"/>
    </xf>
    <xf numFmtId="177" fontId="21" fillId="2" borderId="14" xfId="2" applyNumberFormat="1" applyFont="1" applyFill="1" applyBorder="1" applyAlignment="1" applyProtection="1">
      <alignment horizontal="right" vertical="center" wrapText="1"/>
      <protection locked="0"/>
    </xf>
    <xf numFmtId="0" fontId="20" fillId="2" borderId="14" xfId="2" applyFont="1" applyFill="1" applyBorder="1" applyAlignment="1" applyProtection="1">
      <alignment horizontal="center" vertical="center"/>
      <protection locked="0"/>
    </xf>
    <xf numFmtId="0" fontId="13" fillId="2" borderId="7" xfId="2" applyFont="1" applyFill="1" applyBorder="1" applyAlignment="1" applyProtection="1">
      <alignment horizontal="center" vertical="center" wrapText="1" shrinkToFit="1"/>
      <protection locked="0"/>
    </xf>
    <xf numFmtId="0" fontId="13" fillId="2" borderId="7" xfId="2" applyFont="1" applyFill="1" applyBorder="1" applyAlignment="1" applyProtection="1">
      <alignment horizontal="center" vertical="center" shrinkToFit="1"/>
      <protection locked="0"/>
    </xf>
    <xf numFmtId="0" fontId="13" fillId="2" borderId="14" xfId="2" applyFont="1" applyFill="1" applyBorder="1" applyAlignment="1" applyProtection="1">
      <alignment horizontal="center" vertical="center" shrinkToFit="1"/>
      <protection locked="0"/>
    </xf>
    <xf numFmtId="0" fontId="13" fillId="2" borderId="23" xfId="2" applyFont="1" applyFill="1" applyBorder="1" applyAlignment="1" applyProtection="1">
      <alignment horizontal="center" vertical="center" shrinkToFit="1"/>
      <protection locked="0"/>
    </xf>
    <xf numFmtId="0" fontId="13" fillId="2" borderId="24" xfId="2" applyFont="1" applyFill="1" applyBorder="1" applyAlignment="1" applyProtection="1">
      <alignment horizontal="center" vertical="center" shrinkToFit="1"/>
      <protection locked="0"/>
    </xf>
    <xf numFmtId="41" fontId="14" fillId="0" borderId="74" xfId="0" applyNumberFormat="1" applyFont="1" applyBorder="1" applyAlignment="1" applyProtection="1">
      <alignment horizontal="center" vertical="center" shrinkToFit="1"/>
      <protection locked="0"/>
    </xf>
    <xf numFmtId="41" fontId="14" fillId="2" borderId="74" xfId="2" applyNumberFormat="1" applyFont="1" applyFill="1" applyBorder="1" applyAlignment="1" applyProtection="1">
      <alignment horizontal="center" vertical="center" shrinkToFit="1"/>
      <protection locked="0"/>
    </xf>
    <xf numFmtId="0" fontId="14" fillId="2" borderId="74" xfId="2" applyFont="1" applyFill="1" applyBorder="1" applyAlignment="1" applyProtection="1">
      <alignment horizontal="center" vertical="center"/>
      <protection locked="0"/>
    </xf>
    <xf numFmtId="0" fontId="22" fillId="2" borderId="75" xfId="2" applyFont="1" applyFill="1" applyBorder="1" applyAlignment="1" applyProtection="1">
      <alignment horizontal="center" vertical="center"/>
      <protection locked="0"/>
    </xf>
    <xf numFmtId="0" fontId="22" fillId="2" borderId="74" xfId="2" applyFont="1" applyFill="1" applyBorder="1" applyAlignment="1" applyProtection="1">
      <alignment horizontal="center" vertical="center"/>
      <protection locked="0"/>
    </xf>
    <xf numFmtId="0" fontId="22" fillId="2" borderId="76" xfId="2" applyFont="1" applyFill="1" applyBorder="1" applyAlignment="1" applyProtection="1">
      <alignment horizontal="center" vertical="center"/>
      <protection locked="0"/>
    </xf>
    <xf numFmtId="14" fontId="14" fillId="2" borderId="73" xfId="2" applyNumberFormat="1" applyFont="1" applyFill="1" applyBorder="1" applyAlignment="1" applyProtection="1">
      <alignment horizontal="center" vertical="center" shrinkToFit="1"/>
      <protection locked="0"/>
    </xf>
    <xf numFmtId="0" fontId="14" fillId="2" borderId="43" xfId="2" applyFont="1" applyFill="1" applyBorder="1" applyAlignment="1" applyProtection="1">
      <alignment horizontal="center" vertical="center" shrinkToFit="1"/>
      <protection locked="0"/>
    </xf>
    <xf numFmtId="0" fontId="14" fillId="2" borderId="75" xfId="2" applyFont="1" applyFill="1" applyBorder="1" applyAlignment="1" applyProtection="1">
      <alignment horizontal="center" vertical="center" shrinkToFit="1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0" fontId="20" fillId="0" borderId="25" xfId="0" applyFont="1" applyBorder="1" applyAlignment="1" applyProtection="1">
      <alignment horizontal="center" vertical="center"/>
      <protection locked="0"/>
    </xf>
    <xf numFmtId="0" fontId="22" fillId="0" borderId="74" xfId="0" applyFont="1" applyBorder="1" applyAlignment="1" applyProtection="1">
      <alignment horizontal="center" vertical="center"/>
      <protection locked="0"/>
    </xf>
    <xf numFmtId="0" fontId="20" fillId="2" borderId="28" xfId="2" applyFont="1" applyFill="1" applyBorder="1" applyAlignment="1" applyProtection="1">
      <alignment horizontal="center" vertical="center" wrapText="1"/>
      <protection locked="0"/>
    </xf>
    <xf numFmtId="0" fontId="20" fillId="2" borderId="27" xfId="2" applyFont="1" applyFill="1" applyBorder="1" applyAlignment="1" applyProtection="1">
      <alignment horizontal="center" vertical="center"/>
      <protection locked="0"/>
    </xf>
    <xf numFmtId="0" fontId="20" fillId="2" borderId="0" xfId="2" applyFont="1" applyFill="1" applyAlignment="1" applyProtection="1">
      <alignment horizontal="center" vertical="center"/>
      <protection locked="0"/>
    </xf>
    <xf numFmtId="0" fontId="20" fillId="2" borderId="29" xfId="2" applyFont="1" applyFill="1" applyBorder="1" applyAlignment="1" applyProtection="1">
      <alignment horizontal="center" vertical="center"/>
      <protection locked="0"/>
    </xf>
    <xf numFmtId="0" fontId="20" fillId="2" borderId="30" xfId="2" applyFont="1" applyFill="1" applyBorder="1" applyAlignment="1" applyProtection="1">
      <alignment horizontal="center" vertical="center"/>
      <protection locked="0"/>
    </xf>
    <xf numFmtId="0" fontId="20" fillId="2" borderId="31" xfId="2" applyFont="1" applyFill="1" applyBorder="1" applyAlignment="1" applyProtection="1">
      <alignment horizontal="center" vertical="center"/>
      <protection locked="0"/>
    </xf>
    <xf numFmtId="0" fontId="20" fillId="2" borderId="32" xfId="2" applyFont="1" applyFill="1" applyBorder="1" applyAlignment="1" applyProtection="1">
      <alignment horizontal="center" vertical="center"/>
      <protection locked="0"/>
    </xf>
    <xf numFmtId="0" fontId="20" fillId="2" borderId="33" xfId="2" applyFont="1" applyFill="1" applyBorder="1" applyAlignment="1" applyProtection="1">
      <alignment horizontal="center" vertical="center" wrapText="1"/>
      <protection locked="0"/>
    </xf>
    <xf numFmtId="0" fontId="20" fillId="2" borderId="0" xfId="2" applyFont="1" applyFill="1" applyAlignment="1" applyProtection="1">
      <alignment horizontal="center" vertical="center" wrapText="1"/>
      <protection locked="0"/>
    </xf>
    <xf numFmtId="0" fontId="20" fillId="2" borderId="27" xfId="2" applyFont="1" applyFill="1" applyBorder="1" applyAlignment="1" applyProtection="1">
      <alignment horizontal="center" vertical="center" wrapText="1"/>
      <protection locked="0"/>
    </xf>
    <xf numFmtId="0" fontId="20" fillId="2" borderId="34" xfId="2" applyFont="1" applyFill="1" applyBorder="1" applyAlignment="1" applyProtection="1">
      <alignment horizontal="center" vertical="center" wrapText="1"/>
      <protection locked="0"/>
    </xf>
    <xf numFmtId="0" fontId="20" fillId="2" borderId="35" xfId="2" applyFont="1" applyFill="1" applyBorder="1" applyAlignment="1" applyProtection="1">
      <alignment horizontal="center" vertical="center" wrapText="1"/>
      <protection locked="0"/>
    </xf>
    <xf numFmtId="0" fontId="20" fillId="2" borderId="31" xfId="2" applyFont="1" applyFill="1" applyBorder="1" applyAlignment="1" applyProtection="1">
      <alignment horizontal="center" vertical="center" wrapText="1"/>
      <protection locked="0"/>
    </xf>
    <xf numFmtId="0" fontId="20" fillId="2" borderId="36" xfId="2" applyFont="1" applyFill="1" applyBorder="1" applyAlignment="1" applyProtection="1">
      <alignment horizontal="center" vertical="center" wrapText="1"/>
      <protection locked="0"/>
    </xf>
    <xf numFmtId="41" fontId="14" fillId="2" borderId="75" xfId="2" applyNumberFormat="1" applyFont="1" applyFill="1" applyBorder="1" applyAlignment="1" applyProtection="1">
      <alignment horizontal="center" vertical="center" shrinkToFit="1"/>
      <protection locked="0"/>
    </xf>
    <xf numFmtId="41" fontId="14" fillId="2" borderId="76" xfId="2" applyNumberFormat="1" applyFont="1" applyFill="1" applyBorder="1" applyAlignment="1" applyProtection="1">
      <alignment horizontal="center" vertical="center" shrinkToFit="1"/>
      <protection locked="0"/>
    </xf>
    <xf numFmtId="0" fontId="15" fillId="2" borderId="73" xfId="2" applyFont="1" applyFill="1" applyBorder="1" applyAlignment="1" applyProtection="1">
      <alignment horizontal="center" vertical="center" shrinkToFit="1"/>
      <protection locked="0"/>
    </xf>
    <xf numFmtId="0" fontId="15" fillId="2" borderId="43" xfId="2" applyFont="1" applyFill="1" applyBorder="1" applyAlignment="1" applyProtection="1">
      <alignment horizontal="center" vertical="center" shrinkToFit="1"/>
      <protection locked="0"/>
    </xf>
    <xf numFmtId="0" fontId="15" fillId="2" borderId="8" xfId="2" applyFont="1" applyFill="1" applyBorder="1" applyAlignment="1" applyProtection="1">
      <alignment horizontal="center" vertical="center" shrinkToFit="1"/>
      <protection locked="0"/>
    </xf>
    <xf numFmtId="41" fontId="15" fillId="0" borderId="74" xfId="0" applyNumberFormat="1" applyFont="1" applyBorder="1" applyAlignment="1" applyProtection="1">
      <alignment horizontal="center" vertical="center" shrinkToFit="1"/>
      <protection locked="0"/>
    </xf>
    <xf numFmtId="41" fontId="15" fillId="0" borderId="77" xfId="0" applyNumberFormat="1" applyFont="1" applyBorder="1" applyAlignment="1" applyProtection="1">
      <alignment horizontal="center" vertical="center" shrinkToFit="1"/>
      <protection locked="0"/>
    </xf>
    <xf numFmtId="41" fontId="15" fillId="0" borderId="78" xfId="0" applyNumberFormat="1" applyFont="1" applyBorder="1" applyAlignment="1" applyProtection="1">
      <alignment horizontal="center" vertical="center" shrinkToFit="1"/>
      <protection locked="0"/>
    </xf>
    <xf numFmtId="41" fontId="15" fillId="0" borderId="79" xfId="0" applyNumberFormat="1" applyFont="1" applyBorder="1" applyAlignment="1" applyProtection="1">
      <alignment horizontal="center" vertical="center" shrinkToFit="1"/>
      <protection locked="0"/>
    </xf>
    <xf numFmtId="14" fontId="14" fillId="2" borderId="83" xfId="2" applyNumberFormat="1" applyFont="1" applyFill="1" applyBorder="1" applyAlignment="1" applyProtection="1">
      <alignment horizontal="center" vertical="center" shrinkToFit="1"/>
      <protection locked="0"/>
    </xf>
    <xf numFmtId="14" fontId="14" fillId="2" borderId="18" xfId="2" applyNumberFormat="1" applyFont="1" applyFill="1" applyBorder="1" applyAlignment="1" applyProtection="1">
      <alignment horizontal="center" vertical="center" shrinkToFit="1"/>
      <protection locked="0"/>
    </xf>
    <xf numFmtId="14" fontId="14" fillId="2" borderId="75" xfId="2" applyNumberFormat="1" applyFont="1" applyFill="1" applyBorder="1" applyAlignment="1" applyProtection="1">
      <alignment horizontal="center" vertical="center" shrinkToFit="1"/>
      <protection locked="0"/>
    </xf>
    <xf numFmtId="0" fontId="14" fillId="2" borderId="86" xfId="2" applyFont="1" applyFill="1" applyBorder="1" applyAlignment="1" applyProtection="1">
      <alignment horizontal="center" vertical="center" shrinkToFit="1"/>
      <protection locked="0"/>
    </xf>
    <xf numFmtId="0" fontId="14" fillId="2" borderId="87" xfId="2" applyFont="1" applyFill="1" applyBorder="1" applyAlignment="1" applyProtection="1">
      <alignment horizontal="center" vertical="center" shrinkToFit="1"/>
      <protection locked="0"/>
    </xf>
    <xf numFmtId="41" fontId="14" fillId="0" borderId="86" xfId="0" applyNumberFormat="1" applyFont="1" applyBorder="1" applyAlignment="1" applyProtection="1">
      <alignment horizontal="center" vertical="center" shrinkToFit="1"/>
      <protection locked="0"/>
    </xf>
    <xf numFmtId="41" fontId="14" fillId="0" borderId="87" xfId="0" applyNumberFormat="1" applyFont="1" applyBorder="1" applyAlignment="1" applyProtection="1">
      <alignment horizontal="center" vertical="center" shrinkToFit="1"/>
      <protection locked="0"/>
    </xf>
    <xf numFmtId="41" fontId="14" fillId="0" borderId="75" xfId="0" applyNumberFormat="1" applyFont="1" applyBorder="1" applyAlignment="1" applyProtection="1">
      <alignment horizontal="center" vertical="center" shrinkToFit="1"/>
      <protection locked="0"/>
    </xf>
    <xf numFmtId="41" fontId="14" fillId="2" borderId="86" xfId="2" applyNumberFormat="1" applyFont="1" applyFill="1" applyBorder="1" applyAlignment="1" applyProtection="1">
      <alignment horizontal="center" vertical="center" shrinkToFit="1"/>
      <protection locked="0"/>
    </xf>
    <xf numFmtId="41" fontId="14" fillId="2" borderId="87" xfId="2" applyNumberFormat="1" applyFont="1" applyFill="1" applyBorder="1" applyAlignment="1" applyProtection="1">
      <alignment horizontal="center" vertical="center" shrinkToFit="1"/>
      <protection locked="0"/>
    </xf>
    <xf numFmtId="0" fontId="14" fillId="2" borderId="86" xfId="2" applyFont="1" applyFill="1" applyBorder="1" applyAlignment="1" applyProtection="1">
      <alignment horizontal="center" vertical="center"/>
      <protection locked="0"/>
    </xf>
    <xf numFmtId="0" fontId="14" fillId="2" borderId="87" xfId="2" applyFont="1" applyFill="1" applyBorder="1" applyAlignment="1" applyProtection="1">
      <alignment horizontal="center" vertical="center"/>
      <protection locked="0"/>
    </xf>
    <xf numFmtId="0" fontId="14" fillId="2" borderId="75" xfId="2" applyFont="1" applyFill="1" applyBorder="1" applyAlignment="1" applyProtection="1">
      <alignment horizontal="center" vertical="center"/>
      <protection locked="0"/>
    </xf>
    <xf numFmtId="0" fontId="23" fillId="2" borderId="44" xfId="2" applyFont="1" applyFill="1" applyBorder="1" applyAlignment="1" applyProtection="1">
      <alignment horizontal="center" vertical="center" wrapText="1" shrinkToFit="1"/>
      <protection locked="0"/>
    </xf>
    <xf numFmtId="0" fontId="23" fillId="2" borderId="45" xfId="2" applyFont="1" applyFill="1" applyBorder="1" applyAlignment="1" applyProtection="1">
      <alignment horizontal="center" vertical="center" wrapText="1" shrinkToFit="1"/>
      <protection locked="0"/>
    </xf>
    <xf numFmtId="0" fontId="23" fillId="2" borderId="66" xfId="2" applyFont="1" applyFill="1" applyBorder="1" applyAlignment="1" applyProtection="1">
      <alignment horizontal="center" vertical="center" wrapText="1" shrinkToFit="1"/>
      <protection locked="0"/>
    </xf>
    <xf numFmtId="0" fontId="23" fillId="2" borderId="67" xfId="2" applyFont="1" applyFill="1" applyBorder="1" applyAlignment="1" applyProtection="1">
      <alignment horizontal="center" vertical="center" wrapText="1" shrinkToFit="1"/>
      <protection locked="0"/>
    </xf>
    <xf numFmtId="14" fontId="14" fillId="2" borderId="86" xfId="2" applyNumberFormat="1" applyFont="1" applyFill="1" applyBorder="1" applyAlignment="1" applyProtection="1">
      <alignment horizontal="center" vertical="center" shrinkToFit="1"/>
      <protection locked="0"/>
    </xf>
    <xf numFmtId="41" fontId="14" fillId="2" borderId="88" xfId="2" applyNumberFormat="1" applyFont="1" applyFill="1" applyBorder="1" applyAlignment="1" applyProtection="1">
      <alignment horizontal="center" vertical="center" shrinkToFit="1"/>
      <protection locked="0"/>
    </xf>
    <xf numFmtId="14" fontId="14" fillId="2" borderId="43" xfId="2" applyNumberFormat="1" applyFont="1" applyFill="1" applyBorder="1" applyAlignment="1" applyProtection="1">
      <alignment horizontal="center" vertical="center" shrinkToFit="1"/>
      <protection locked="0"/>
    </xf>
    <xf numFmtId="14" fontId="14" fillId="2" borderId="84" xfId="2" applyNumberFormat="1" applyFont="1" applyFill="1" applyBorder="1" applyAlignment="1" applyProtection="1">
      <alignment horizontal="center" vertical="center" shrinkToFit="1"/>
      <protection locked="0"/>
    </xf>
    <xf numFmtId="0" fontId="20" fillId="2" borderId="26" xfId="2" applyFont="1" applyFill="1" applyBorder="1" applyAlignment="1" applyProtection="1">
      <alignment horizontal="center" vertical="center" wrapText="1"/>
      <protection locked="0"/>
    </xf>
    <xf numFmtId="0" fontId="20" fillId="2" borderId="56" xfId="2" applyFont="1" applyFill="1" applyBorder="1" applyAlignment="1" applyProtection="1">
      <alignment horizontal="center" vertical="center" wrapText="1"/>
      <protection locked="0"/>
    </xf>
    <xf numFmtId="0" fontId="20" fillId="2" borderId="57" xfId="2" applyFont="1" applyFill="1" applyBorder="1" applyAlignment="1" applyProtection="1">
      <alignment horizontal="center" vertical="center" wrapText="1"/>
      <protection locked="0"/>
    </xf>
    <xf numFmtId="0" fontId="20" fillId="2" borderId="58" xfId="2" applyFont="1" applyFill="1" applyBorder="1" applyAlignment="1" applyProtection="1">
      <alignment horizontal="center" vertical="center" wrapText="1"/>
      <protection locked="0"/>
    </xf>
    <xf numFmtId="0" fontId="20" fillId="2" borderId="59" xfId="2" applyFont="1" applyFill="1" applyBorder="1" applyAlignment="1" applyProtection="1">
      <alignment horizontal="center" vertical="center" wrapText="1"/>
      <protection locked="0"/>
    </xf>
    <xf numFmtId="0" fontId="12" fillId="2" borderId="34" xfId="2" applyFont="1" applyFill="1" applyBorder="1" applyAlignment="1" applyProtection="1">
      <alignment horizontal="center" vertical="center" wrapText="1"/>
      <protection locked="0"/>
    </xf>
    <xf numFmtId="0" fontId="12" fillId="2" borderId="93" xfId="2" applyFont="1" applyFill="1" applyBorder="1" applyAlignment="1" applyProtection="1">
      <alignment horizontal="center" vertical="center" wrapText="1"/>
      <protection locked="0"/>
    </xf>
    <xf numFmtId="0" fontId="20" fillId="2" borderId="94" xfId="2" applyFont="1" applyFill="1" applyBorder="1" applyAlignment="1" applyProtection="1">
      <alignment horizontal="center" vertical="center" wrapText="1"/>
      <protection locked="0"/>
    </xf>
    <xf numFmtId="0" fontId="20" fillId="2" borderId="95" xfId="2" applyFont="1" applyFill="1" applyBorder="1" applyAlignment="1" applyProtection="1">
      <alignment horizontal="center" vertical="center" wrapText="1"/>
      <protection locked="0"/>
    </xf>
    <xf numFmtId="0" fontId="20" fillId="2" borderId="26" xfId="2" applyFont="1" applyFill="1" applyBorder="1" applyAlignment="1" applyProtection="1">
      <alignment horizontal="center" vertical="center"/>
      <protection locked="0"/>
    </xf>
    <xf numFmtId="0" fontId="20" fillId="2" borderId="56" xfId="2" applyFont="1" applyFill="1" applyBorder="1" applyAlignment="1" applyProtection="1">
      <alignment horizontal="center" vertical="center"/>
      <protection locked="0"/>
    </xf>
    <xf numFmtId="0" fontId="20" fillId="2" borderId="57" xfId="2" applyFont="1" applyFill="1" applyBorder="1" applyAlignment="1" applyProtection="1">
      <alignment horizontal="center" vertical="center"/>
      <protection locked="0"/>
    </xf>
    <xf numFmtId="0" fontId="20" fillId="2" borderId="58" xfId="2" applyFont="1" applyFill="1" applyBorder="1" applyAlignment="1" applyProtection="1">
      <alignment horizontal="center" vertical="center"/>
      <protection locked="0"/>
    </xf>
    <xf numFmtId="0" fontId="20" fillId="2" borderId="59" xfId="2" applyFont="1" applyFill="1" applyBorder="1" applyAlignment="1" applyProtection="1">
      <alignment horizontal="center" vertical="center"/>
      <protection locked="0"/>
    </xf>
    <xf numFmtId="0" fontId="11" fillId="2" borderId="26" xfId="2" applyFont="1" applyFill="1" applyBorder="1" applyAlignment="1" applyProtection="1">
      <alignment horizontal="center" vertical="center"/>
      <protection locked="0"/>
    </xf>
    <xf numFmtId="0" fontId="11" fillId="2" borderId="27" xfId="2" applyFont="1" applyFill="1" applyBorder="1" applyAlignment="1" applyProtection="1">
      <alignment horizontal="center" vertical="center"/>
      <protection locked="0"/>
    </xf>
    <xf numFmtId="0" fontId="11" fillId="2" borderId="34" xfId="2" applyFont="1" applyFill="1" applyBorder="1" applyAlignment="1" applyProtection="1">
      <alignment horizontal="center" vertical="center"/>
      <protection locked="0"/>
    </xf>
    <xf numFmtId="0" fontId="11" fillId="2" borderId="57" xfId="2" applyFont="1" applyFill="1" applyBorder="1" applyAlignment="1" applyProtection="1">
      <alignment horizontal="center" vertical="center"/>
      <protection locked="0"/>
    </xf>
    <xf numFmtId="0" fontId="11" fillId="2" borderId="58" xfId="2" applyFont="1" applyFill="1" applyBorder="1" applyAlignment="1" applyProtection="1">
      <alignment horizontal="center" vertical="center"/>
      <protection locked="0"/>
    </xf>
    <xf numFmtId="0" fontId="11" fillId="2" borderId="93" xfId="2" applyFont="1" applyFill="1" applyBorder="1" applyAlignment="1" applyProtection="1">
      <alignment horizontal="center" vertical="center"/>
      <protection locked="0"/>
    </xf>
    <xf numFmtId="0" fontId="22" fillId="0" borderId="86" xfId="0" applyFont="1" applyBorder="1" applyAlignment="1" applyProtection="1">
      <alignment horizontal="center" vertical="center"/>
      <protection locked="0"/>
    </xf>
    <xf numFmtId="0" fontId="22" fillId="0" borderId="87" xfId="0" applyFont="1" applyBorder="1" applyAlignment="1" applyProtection="1">
      <alignment horizontal="center" vertical="center"/>
      <protection locked="0"/>
    </xf>
    <xf numFmtId="0" fontId="22" fillId="0" borderId="75" xfId="0" applyFont="1" applyBorder="1" applyAlignment="1" applyProtection="1">
      <alignment horizontal="center" vertical="center"/>
      <protection locked="0"/>
    </xf>
    <xf numFmtId="0" fontId="14" fillId="2" borderId="85" xfId="2" applyFont="1" applyFill="1" applyBorder="1" applyAlignment="1" applyProtection="1">
      <alignment horizontal="center" vertical="center" shrinkToFit="1"/>
      <protection locked="0"/>
    </xf>
    <xf numFmtId="0" fontId="14" fillId="2" borderId="84" xfId="2" applyFont="1" applyFill="1" applyBorder="1" applyAlignment="1" applyProtection="1">
      <alignment horizontal="center" vertical="center" shrinkToFit="1"/>
      <protection locked="0"/>
    </xf>
    <xf numFmtId="0" fontId="13" fillId="2" borderId="26" xfId="2" applyFont="1" applyFill="1" applyBorder="1" applyAlignment="1" applyProtection="1">
      <alignment horizontal="center" vertical="center" shrinkToFit="1"/>
      <protection locked="0"/>
    </xf>
    <xf numFmtId="0" fontId="13" fillId="2" borderId="27" xfId="2" applyFont="1" applyFill="1" applyBorder="1" applyAlignment="1" applyProtection="1">
      <alignment horizontal="center" vertical="center" shrinkToFit="1"/>
      <protection locked="0"/>
    </xf>
    <xf numFmtId="0" fontId="13" fillId="2" borderId="56" xfId="2" applyFont="1" applyFill="1" applyBorder="1" applyAlignment="1" applyProtection="1">
      <alignment horizontal="center" vertical="center" shrinkToFit="1"/>
      <protection locked="0"/>
    </xf>
    <xf numFmtId="0" fontId="13" fillId="2" borderId="57" xfId="2" applyFont="1" applyFill="1" applyBorder="1" applyAlignment="1" applyProtection="1">
      <alignment horizontal="center" vertical="center" shrinkToFit="1"/>
      <protection locked="0"/>
    </xf>
    <xf numFmtId="0" fontId="13" fillId="2" borderId="58" xfId="2" applyFont="1" applyFill="1" applyBorder="1" applyAlignment="1" applyProtection="1">
      <alignment horizontal="center" vertical="center" shrinkToFit="1"/>
      <protection locked="0"/>
    </xf>
    <xf numFmtId="0" fontId="13" fillId="2" borderId="59" xfId="2" applyFont="1" applyFill="1" applyBorder="1" applyAlignment="1" applyProtection="1">
      <alignment horizontal="center" vertical="center" shrinkToFit="1"/>
      <protection locked="0"/>
    </xf>
    <xf numFmtId="0" fontId="13" fillId="2" borderId="34" xfId="2" applyFont="1" applyFill="1" applyBorder="1" applyAlignment="1" applyProtection="1">
      <alignment horizontal="center" vertical="center" shrinkToFit="1"/>
      <protection locked="0"/>
    </xf>
    <xf numFmtId="0" fontId="13" fillId="2" borderId="93" xfId="2" applyFont="1" applyFill="1" applyBorder="1" applyAlignment="1" applyProtection="1">
      <alignment horizontal="center" vertical="center" shrinkToFit="1"/>
      <protection locked="0"/>
    </xf>
    <xf numFmtId="0" fontId="20" fillId="2" borderId="25" xfId="2" applyFont="1" applyFill="1" applyBorder="1" applyAlignment="1" applyProtection="1">
      <alignment horizontal="center" vertical="center"/>
      <protection locked="0"/>
    </xf>
    <xf numFmtId="0" fontId="20" fillId="2" borderId="43" xfId="2" applyFont="1" applyFill="1" applyBorder="1" applyAlignment="1" applyProtection="1">
      <alignment horizontal="center" vertical="center"/>
      <protection locked="0"/>
    </xf>
    <xf numFmtId="0" fontId="20" fillId="2" borderId="84" xfId="2" applyFont="1" applyFill="1" applyBorder="1" applyAlignment="1" applyProtection="1">
      <alignment horizontal="center" vertical="center"/>
      <protection locked="0"/>
    </xf>
    <xf numFmtId="0" fontId="22" fillId="2" borderId="86" xfId="2" applyFont="1" applyFill="1" applyBorder="1" applyAlignment="1" applyProtection="1">
      <alignment horizontal="center" vertical="center"/>
      <protection locked="0"/>
    </xf>
    <xf numFmtId="0" fontId="22" fillId="2" borderId="87" xfId="2" applyFont="1" applyFill="1" applyBorder="1" applyAlignment="1" applyProtection="1">
      <alignment horizontal="center" vertical="center"/>
      <protection locked="0"/>
    </xf>
    <xf numFmtId="0" fontId="20" fillId="2" borderId="89" xfId="2" applyFont="1" applyFill="1" applyBorder="1" applyAlignment="1" applyProtection="1">
      <alignment horizontal="center" vertical="center"/>
      <protection locked="0"/>
    </xf>
    <xf numFmtId="0" fontId="20" fillId="2" borderId="92" xfId="2" applyFont="1" applyFill="1" applyBorder="1" applyAlignment="1" applyProtection="1">
      <alignment horizontal="center" vertical="center"/>
      <protection locked="0"/>
    </xf>
    <xf numFmtId="0" fontId="13" fillId="2" borderId="26" xfId="2" applyFont="1" applyFill="1" applyBorder="1" applyAlignment="1" applyProtection="1">
      <alignment horizontal="center" vertical="center" wrapText="1" shrinkToFit="1"/>
      <protection locked="0"/>
    </xf>
    <xf numFmtId="0" fontId="13" fillId="2" borderId="27" xfId="2" applyFont="1" applyFill="1" applyBorder="1" applyAlignment="1" applyProtection="1">
      <alignment horizontal="center" vertical="center" wrapText="1" shrinkToFit="1"/>
      <protection locked="0"/>
    </xf>
    <xf numFmtId="0" fontId="13" fillId="2" borderId="34" xfId="2" applyFont="1" applyFill="1" applyBorder="1" applyAlignment="1" applyProtection="1">
      <alignment horizontal="center" vertical="center" wrapText="1" shrinkToFit="1"/>
      <protection locked="0"/>
    </xf>
    <xf numFmtId="0" fontId="13" fillId="2" borderId="89" xfId="2" applyFont="1" applyFill="1" applyBorder="1" applyAlignment="1" applyProtection="1">
      <alignment horizontal="center" vertical="center" wrapText="1" shrinkToFit="1"/>
      <protection locked="0"/>
    </xf>
    <xf numFmtId="0" fontId="13" fillId="2" borderId="90" xfId="2" applyFont="1" applyFill="1" applyBorder="1" applyAlignment="1" applyProtection="1">
      <alignment horizontal="center" vertical="center" wrapText="1" shrinkToFit="1"/>
      <protection locked="0"/>
    </xf>
    <xf numFmtId="0" fontId="13" fillId="2" borderId="91" xfId="2" applyFont="1" applyFill="1" applyBorder="1" applyAlignment="1" applyProtection="1">
      <alignment horizontal="center" vertical="center" wrapText="1" shrinkToFit="1"/>
      <protection locked="0"/>
    </xf>
    <xf numFmtId="0" fontId="22" fillId="2" borderId="88" xfId="2" applyFont="1" applyFill="1" applyBorder="1" applyAlignment="1" applyProtection="1">
      <alignment horizontal="center" vertical="center"/>
      <protection locked="0"/>
    </xf>
    <xf numFmtId="0" fontId="20" fillId="2" borderId="13" xfId="2" applyFont="1" applyFill="1" applyBorder="1" applyAlignment="1" applyProtection="1">
      <alignment horizontal="center" vertical="center" wrapText="1"/>
      <protection locked="0"/>
    </xf>
    <xf numFmtId="0" fontId="20" fillId="2" borderId="96" xfId="2" applyFont="1" applyFill="1" applyBorder="1" applyAlignment="1" applyProtection="1">
      <alignment horizontal="center" vertical="center" wrapText="1"/>
      <protection locked="0"/>
    </xf>
    <xf numFmtId="0" fontId="20" fillId="2" borderId="97" xfId="2" applyFont="1" applyFill="1" applyBorder="1" applyAlignment="1" applyProtection="1">
      <alignment horizontal="center" vertical="center" wrapText="1"/>
      <protection locked="0"/>
    </xf>
    <xf numFmtId="0" fontId="11" fillId="2" borderId="26" xfId="2" applyFont="1" applyFill="1" applyBorder="1" applyAlignment="1" applyProtection="1">
      <alignment horizontal="center" vertical="center" shrinkToFit="1"/>
      <protection locked="0"/>
    </xf>
    <xf numFmtId="0" fontId="11" fillId="2" borderId="27" xfId="2" applyFont="1" applyFill="1" applyBorder="1" applyAlignment="1" applyProtection="1">
      <alignment horizontal="center" vertical="center" shrinkToFit="1"/>
      <protection locked="0"/>
    </xf>
    <xf numFmtId="0" fontId="11" fillId="2" borderId="56" xfId="2" applyFont="1" applyFill="1" applyBorder="1" applyAlignment="1" applyProtection="1">
      <alignment horizontal="center" vertical="center" shrinkToFit="1"/>
      <protection locked="0"/>
    </xf>
    <xf numFmtId="0" fontId="11" fillId="2" borderId="57" xfId="2" applyFont="1" applyFill="1" applyBorder="1" applyAlignment="1" applyProtection="1">
      <alignment horizontal="center" vertical="center" shrinkToFit="1"/>
      <protection locked="0"/>
    </xf>
    <xf numFmtId="0" fontId="11" fillId="2" borderId="58" xfId="2" applyFont="1" applyFill="1" applyBorder="1" applyAlignment="1" applyProtection="1">
      <alignment horizontal="center" vertical="center" shrinkToFit="1"/>
      <protection locked="0"/>
    </xf>
    <xf numFmtId="0" fontId="11" fillId="2" borderId="59" xfId="2" applyFont="1" applyFill="1" applyBorder="1" applyAlignment="1" applyProtection="1">
      <alignment horizontal="center" vertical="center" shrinkToFit="1"/>
      <protection locked="0"/>
    </xf>
    <xf numFmtId="176" fontId="21" fillId="2" borderId="26" xfId="2" applyNumberFormat="1" applyFont="1" applyFill="1" applyBorder="1" applyAlignment="1" applyProtection="1">
      <alignment horizontal="right" vertical="center" wrapText="1"/>
      <protection locked="0"/>
    </xf>
    <xf numFmtId="176" fontId="21" fillId="2" borderId="27" xfId="2" applyNumberFormat="1" applyFont="1" applyFill="1" applyBorder="1" applyAlignment="1" applyProtection="1">
      <alignment horizontal="right" vertical="center" wrapText="1"/>
      <protection locked="0"/>
    </xf>
    <xf numFmtId="176" fontId="21" fillId="2" borderId="56" xfId="2" applyNumberFormat="1" applyFont="1" applyFill="1" applyBorder="1" applyAlignment="1" applyProtection="1">
      <alignment horizontal="right" vertical="center" wrapText="1"/>
      <protection locked="0"/>
    </xf>
    <xf numFmtId="176" fontId="21" fillId="2" borderId="33" xfId="2" applyNumberFormat="1" applyFont="1" applyFill="1" applyBorder="1" applyAlignment="1" applyProtection="1">
      <alignment horizontal="right" vertical="center" wrapText="1"/>
      <protection locked="0"/>
    </xf>
    <xf numFmtId="176" fontId="21" fillId="2" borderId="0" xfId="2" applyNumberFormat="1" applyFont="1" applyFill="1" applyAlignment="1" applyProtection="1">
      <alignment horizontal="right" vertical="center" wrapText="1"/>
      <protection locked="0"/>
    </xf>
    <xf numFmtId="176" fontId="21" fillId="2" borderId="29" xfId="2" applyNumberFormat="1" applyFont="1" applyFill="1" applyBorder="1" applyAlignment="1" applyProtection="1">
      <alignment horizontal="right" vertical="center" wrapText="1"/>
      <protection locked="0"/>
    </xf>
    <xf numFmtId="0" fontId="20" fillId="2" borderId="90" xfId="2" applyFont="1" applyFill="1" applyBorder="1" applyAlignment="1" applyProtection="1">
      <alignment horizontal="center" vertical="center"/>
      <protection locked="0"/>
    </xf>
    <xf numFmtId="0" fontId="13" fillId="2" borderId="56" xfId="2" applyFont="1" applyFill="1" applyBorder="1" applyAlignment="1" applyProtection="1">
      <alignment horizontal="center" vertical="center" wrapText="1" shrinkToFit="1"/>
      <protection locked="0"/>
    </xf>
    <xf numFmtId="0" fontId="13" fillId="2" borderId="92" xfId="2" applyFont="1" applyFill="1" applyBorder="1" applyAlignment="1" applyProtection="1">
      <alignment horizontal="center" vertical="center" wrapText="1" shrinkToFit="1"/>
      <protection locked="0"/>
    </xf>
    <xf numFmtId="0" fontId="12" fillId="2" borderId="26" xfId="2" applyFont="1" applyFill="1" applyBorder="1" applyAlignment="1" applyProtection="1">
      <alignment horizontal="center" vertical="center" wrapText="1" shrinkToFit="1"/>
      <protection locked="0"/>
    </xf>
    <xf numFmtId="0" fontId="12" fillId="2" borderId="27" xfId="2" applyFont="1" applyFill="1" applyBorder="1" applyAlignment="1" applyProtection="1">
      <alignment horizontal="center" vertical="center" wrapText="1" shrinkToFit="1"/>
      <protection locked="0"/>
    </xf>
    <xf numFmtId="0" fontId="12" fillId="2" borderId="56" xfId="2" applyFont="1" applyFill="1" applyBorder="1" applyAlignment="1" applyProtection="1">
      <alignment horizontal="center" vertical="center" wrapText="1" shrinkToFit="1"/>
      <protection locked="0"/>
    </xf>
    <xf numFmtId="0" fontId="12" fillId="2" borderId="57" xfId="2" applyFont="1" applyFill="1" applyBorder="1" applyAlignment="1" applyProtection="1">
      <alignment horizontal="center" vertical="center" wrapText="1" shrinkToFit="1"/>
      <protection locked="0"/>
    </xf>
    <xf numFmtId="0" fontId="12" fillId="2" borderId="58" xfId="2" applyFont="1" applyFill="1" applyBorder="1" applyAlignment="1" applyProtection="1">
      <alignment horizontal="center" vertical="center" wrapText="1" shrinkToFit="1"/>
      <protection locked="0"/>
    </xf>
    <xf numFmtId="0" fontId="12" fillId="2" borderId="59" xfId="2" applyFont="1" applyFill="1" applyBorder="1" applyAlignment="1" applyProtection="1">
      <alignment horizontal="center" vertical="center" wrapText="1" shrinkToFit="1"/>
      <protection locked="0"/>
    </xf>
    <xf numFmtId="14" fontId="38" fillId="2" borderId="75" xfId="2" applyNumberFormat="1" applyFont="1" applyFill="1" applyBorder="1" applyAlignment="1" applyProtection="1">
      <alignment horizontal="center" vertical="center" shrinkToFit="1"/>
      <protection locked="0"/>
    </xf>
    <xf numFmtId="41" fontId="38" fillId="2" borderId="74" xfId="2" applyNumberFormat="1" applyFont="1" applyFill="1" applyBorder="1" applyAlignment="1" applyProtection="1">
      <alignment horizontal="center" vertical="center" shrinkToFit="1"/>
      <protection locked="0"/>
    </xf>
    <xf numFmtId="41" fontId="38" fillId="2" borderId="76" xfId="2" applyNumberFormat="1" applyFont="1" applyFill="1" applyBorder="1" applyAlignment="1" applyProtection="1">
      <alignment horizontal="center" vertical="center" shrinkToFit="1"/>
      <protection locked="0"/>
    </xf>
    <xf numFmtId="14" fontId="38" fillId="2" borderId="83" xfId="2" applyNumberFormat="1" applyFont="1" applyFill="1" applyBorder="1" applyAlignment="1" applyProtection="1">
      <alignment horizontal="center" vertical="center" shrinkToFit="1"/>
      <protection locked="0"/>
    </xf>
    <xf numFmtId="14" fontId="38" fillId="2" borderId="17" xfId="2" applyNumberFormat="1" applyFont="1" applyFill="1" applyBorder="1" applyAlignment="1" applyProtection="1">
      <alignment horizontal="center" vertical="center" shrinkToFit="1"/>
      <protection locked="0"/>
    </xf>
    <xf numFmtId="14" fontId="38" fillId="2" borderId="18" xfId="2" applyNumberFormat="1" applyFont="1" applyFill="1" applyBorder="1" applyAlignment="1" applyProtection="1">
      <alignment horizontal="center" vertical="center" shrinkToFit="1"/>
      <protection locked="0"/>
    </xf>
    <xf numFmtId="41" fontId="38" fillId="2" borderId="17" xfId="2" applyNumberFormat="1" applyFont="1" applyFill="1" applyBorder="1" applyAlignment="1" applyProtection="1">
      <alignment horizontal="center" vertical="center" shrinkToFit="1"/>
      <protection locked="0"/>
    </xf>
    <xf numFmtId="41" fontId="38" fillId="2" borderId="18" xfId="2" applyNumberFormat="1" applyFont="1" applyFill="1" applyBorder="1" applyAlignment="1" applyProtection="1">
      <alignment horizontal="center" vertical="center" shrinkToFit="1"/>
      <protection locked="0"/>
    </xf>
    <xf numFmtId="0" fontId="14" fillId="2" borderId="25" xfId="2" applyFont="1" applyFill="1" applyBorder="1" applyAlignment="1" applyProtection="1">
      <alignment horizontal="center" vertical="center" shrinkToFit="1"/>
      <protection locked="0"/>
    </xf>
    <xf numFmtId="14" fontId="14" fillId="2" borderId="87" xfId="2" applyNumberFormat="1" applyFont="1" applyFill="1" applyBorder="1" applyAlignment="1" applyProtection="1">
      <alignment horizontal="center" vertical="center" shrinkToFit="1"/>
      <protection locked="0"/>
    </xf>
    <xf numFmtId="14" fontId="14" fillId="2" borderId="88" xfId="2" applyNumberFormat="1" applyFont="1" applyFill="1" applyBorder="1" applyAlignment="1" applyProtection="1">
      <alignment horizontal="center" vertical="center" shrinkToFit="1"/>
      <protection locked="0"/>
    </xf>
    <xf numFmtId="0" fontId="11" fillId="2" borderId="136" xfId="2" applyFont="1" applyFill="1" applyBorder="1" applyAlignment="1" applyProtection="1">
      <alignment horizontal="center" vertical="center"/>
      <protection locked="0"/>
    </xf>
    <xf numFmtId="0" fontId="11" fillId="2" borderId="137" xfId="2" applyFont="1" applyFill="1" applyBorder="1" applyAlignment="1" applyProtection="1">
      <alignment horizontal="center" vertical="center"/>
      <protection locked="0"/>
    </xf>
    <xf numFmtId="0" fontId="11" fillId="2" borderId="138" xfId="2" applyFont="1" applyFill="1" applyBorder="1" applyAlignment="1" applyProtection="1">
      <alignment horizontal="center" vertical="center"/>
      <protection locked="0"/>
    </xf>
    <xf numFmtId="0" fontId="11" fillId="2" borderId="128" xfId="2" applyFont="1" applyFill="1" applyBorder="1" applyAlignment="1" applyProtection="1">
      <alignment horizontal="center" vertical="center"/>
      <protection locked="0"/>
    </xf>
    <xf numFmtId="0" fontId="14" fillId="2" borderId="150" xfId="2" applyFont="1" applyFill="1" applyBorder="1" applyAlignment="1" applyProtection="1">
      <alignment horizontal="left" vertical="center" shrinkToFit="1"/>
      <protection locked="0"/>
    </xf>
    <xf numFmtId="0" fontId="14" fillId="2" borderId="90" xfId="2" applyFont="1" applyFill="1" applyBorder="1" applyAlignment="1" applyProtection="1">
      <alignment horizontal="left" vertical="center" shrinkToFit="1"/>
      <protection locked="0"/>
    </xf>
    <xf numFmtId="0" fontId="14" fillId="2" borderId="151" xfId="2" applyFont="1" applyFill="1" applyBorder="1" applyAlignment="1" applyProtection="1">
      <alignment horizontal="left" vertical="center" shrinkToFit="1"/>
      <protection locked="0"/>
    </xf>
    <xf numFmtId="41" fontId="14" fillId="2" borderId="115" xfId="2" applyNumberFormat="1" applyFont="1" applyFill="1" applyBorder="1" applyAlignment="1" applyProtection="1">
      <alignment horizontal="center" vertical="center" shrinkToFit="1"/>
      <protection locked="0"/>
    </xf>
    <xf numFmtId="0" fontId="20" fillId="2" borderId="136" xfId="2" applyFont="1" applyFill="1" applyBorder="1" applyAlignment="1" applyProtection="1">
      <alignment horizontal="center" vertical="center"/>
      <protection locked="0"/>
    </xf>
    <xf numFmtId="0" fontId="20" fillId="2" borderId="137" xfId="2" applyFont="1" applyFill="1" applyBorder="1" applyAlignment="1" applyProtection="1">
      <alignment horizontal="center" vertical="center"/>
      <protection locked="0"/>
    </xf>
    <xf numFmtId="0" fontId="20" fillId="2" borderId="139" xfId="2" applyFont="1" applyFill="1" applyBorder="1" applyAlignment="1" applyProtection="1">
      <alignment horizontal="center" vertical="center"/>
      <protection locked="0"/>
    </xf>
    <xf numFmtId="0" fontId="30" fillId="0" borderId="132" xfId="0" applyFont="1" applyBorder="1" applyAlignment="1" applyProtection="1">
      <alignment horizontal="center" vertical="center" wrapText="1"/>
      <protection locked="0"/>
    </xf>
    <xf numFmtId="0" fontId="30" fillId="0" borderId="133" xfId="0" applyFont="1" applyBorder="1" applyAlignment="1" applyProtection="1">
      <alignment horizontal="center" vertical="center" wrapText="1"/>
      <protection locked="0"/>
    </xf>
    <xf numFmtId="0" fontId="30" fillId="0" borderId="134" xfId="0" applyFont="1" applyBorder="1" applyAlignment="1" applyProtection="1">
      <alignment horizontal="center" vertical="center" wrapText="1"/>
      <protection locked="0"/>
    </xf>
    <xf numFmtId="0" fontId="13" fillId="2" borderId="129" xfId="2" applyFont="1" applyFill="1" applyBorder="1" applyAlignment="1" applyProtection="1">
      <alignment horizontal="center" vertical="center" shrinkToFit="1"/>
      <protection locked="0"/>
    </xf>
    <xf numFmtId="0" fontId="13" fillId="2" borderId="128" xfId="2" applyFont="1" applyFill="1" applyBorder="1" applyAlignment="1" applyProtection="1">
      <alignment horizontal="center" vertical="center" shrinkToFit="1"/>
      <protection locked="0"/>
    </xf>
    <xf numFmtId="0" fontId="13" fillId="2" borderId="129" xfId="2" applyFont="1" applyFill="1" applyBorder="1" applyAlignment="1" applyProtection="1">
      <alignment horizontal="center" vertical="center" wrapText="1" shrinkToFit="1"/>
      <protection locked="0"/>
    </xf>
    <xf numFmtId="0" fontId="13" fillId="2" borderId="130" xfId="2" applyFont="1" applyFill="1" applyBorder="1" applyAlignment="1" applyProtection="1">
      <alignment horizontal="center" vertical="center" wrapText="1" shrinkToFit="1"/>
      <protection locked="0"/>
    </xf>
    <xf numFmtId="0" fontId="33" fillId="0" borderId="143" xfId="0" applyFont="1" applyBorder="1" applyAlignment="1" applyProtection="1">
      <alignment horizontal="center" vertical="center" wrapText="1"/>
      <protection locked="0"/>
    </xf>
    <xf numFmtId="0" fontId="33" fillId="0" borderId="131" xfId="0" applyFont="1" applyBorder="1" applyAlignment="1" applyProtection="1">
      <alignment horizontal="center" vertical="center" wrapText="1"/>
      <protection locked="0"/>
    </xf>
    <xf numFmtId="0" fontId="33" fillId="0" borderId="144" xfId="0" applyFont="1" applyBorder="1" applyAlignment="1" applyProtection="1">
      <alignment horizontal="center" vertical="center" wrapText="1"/>
      <protection locked="0"/>
    </xf>
    <xf numFmtId="41" fontId="34" fillId="0" borderId="145" xfId="0" applyNumberFormat="1" applyFont="1" applyBorder="1" applyAlignment="1" applyProtection="1">
      <alignment horizontal="center" vertical="center" wrapText="1" shrinkToFit="1"/>
      <protection locked="0"/>
    </xf>
    <xf numFmtId="41" fontId="34" fillId="0" borderId="131" xfId="0" applyNumberFormat="1" applyFont="1" applyBorder="1" applyAlignment="1" applyProtection="1">
      <alignment horizontal="center" vertical="center" wrapText="1" shrinkToFit="1"/>
      <protection locked="0"/>
    </xf>
    <xf numFmtId="41" fontId="34" fillId="0" borderId="146" xfId="0" applyNumberFormat="1" applyFont="1" applyBorder="1" applyAlignment="1" applyProtection="1">
      <alignment horizontal="center" vertical="center" wrapText="1" shrinkToFit="1"/>
      <protection locked="0"/>
    </xf>
    <xf numFmtId="0" fontId="10" fillId="2" borderId="113" xfId="2" applyFont="1" applyFill="1" applyBorder="1" applyAlignment="1" applyProtection="1">
      <alignment horizontal="center" vertical="center"/>
      <protection locked="0"/>
    </xf>
    <xf numFmtId="14" fontId="14" fillId="2" borderId="114" xfId="2" applyNumberFormat="1" applyFont="1" applyFill="1" applyBorder="1" applyAlignment="1" applyProtection="1">
      <alignment horizontal="center" vertical="center" shrinkToFit="1"/>
      <protection locked="0"/>
    </xf>
    <xf numFmtId="0" fontId="6" fillId="2" borderId="101" xfId="2" applyFont="1" applyFill="1" applyBorder="1" applyAlignment="1" applyProtection="1">
      <alignment horizontal="center" vertical="center"/>
      <protection locked="0"/>
    </xf>
    <xf numFmtId="0" fontId="6" fillId="2" borderId="102" xfId="2" applyFont="1" applyFill="1" applyBorder="1" applyAlignment="1" applyProtection="1">
      <alignment horizontal="center" vertical="center"/>
      <protection locked="0"/>
    </xf>
    <xf numFmtId="0" fontId="9" fillId="0" borderId="102" xfId="0" applyFont="1" applyBorder="1" applyAlignment="1" applyProtection="1">
      <alignment horizontal="center" vertical="center"/>
      <protection locked="0"/>
    </xf>
    <xf numFmtId="0" fontId="9" fillId="0" borderId="103" xfId="0" applyFont="1" applyBorder="1" applyAlignment="1" applyProtection="1">
      <alignment horizontal="center" vertical="center"/>
      <protection locked="0"/>
    </xf>
    <xf numFmtId="0" fontId="9" fillId="0" borderId="104" xfId="0" applyFont="1" applyBorder="1" applyAlignment="1" applyProtection="1">
      <alignment horizontal="center" vertical="center"/>
      <protection locked="0"/>
    </xf>
    <xf numFmtId="0" fontId="9" fillId="0" borderId="105" xfId="0" applyFont="1" applyBorder="1" applyAlignment="1" applyProtection="1">
      <alignment horizontal="center" vertical="center"/>
      <protection locked="0"/>
    </xf>
    <xf numFmtId="0" fontId="10" fillId="2" borderId="106" xfId="2" applyFont="1" applyFill="1" applyBorder="1" applyAlignment="1" applyProtection="1">
      <alignment horizontal="center" vertical="center" wrapText="1"/>
      <protection locked="0"/>
    </xf>
    <xf numFmtId="0" fontId="10" fillId="2" borderId="108" xfId="2" applyFont="1" applyFill="1" applyBorder="1" applyAlignment="1" applyProtection="1">
      <alignment horizontal="center" vertical="center" wrapText="1"/>
      <protection locked="0"/>
    </xf>
    <xf numFmtId="0" fontId="10" fillId="2" borderId="111" xfId="2" applyFont="1" applyFill="1" applyBorder="1" applyAlignment="1" applyProtection="1">
      <alignment horizontal="center" vertical="center" wrapText="1"/>
      <protection locked="0"/>
    </xf>
    <xf numFmtId="0" fontId="11" fillId="2" borderId="107" xfId="2" applyFont="1" applyFill="1" applyBorder="1" applyAlignment="1" applyProtection="1">
      <alignment horizontal="center" vertical="center"/>
      <protection locked="0"/>
    </xf>
    <xf numFmtId="0" fontId="11" fillId="2" borderId="109" xfId="2" applyFont="1" applyFill="1" applyBorder="1" applyAlignment="1" applyProtection="1">
      <alignment horizontal="center" vertical="center"/>
      <protection locked="0"/>
    </xf>
    <xf numFmtId="0" fontId="13" fillId="2" borderId="110" xfId="2" applyFont="1" applyFill="1" applyBorder="1" applyAlignment="1" applyProtection="1">
      <alignment horizontal="center" vertical="center" shrinkToFit="1"/>
      <protection locked="0"/>
    </xf>
    <xf numFmtId="0" fontId="13" fillId="2" borderId="112" xfId="2" applyFont="1" applyFill="1" applyBorder="1" applyAlignment="1" applyProtection="1">
      <alignment horizontal="center" vertical="center" shrinkToFit="1"/>
      <protection locked="0"/>
    </xf>
    <xf numFmtId="0" fontId="12" fillId="2" borderId="110" xfId="2" applyFont="1" applyFill="1" applyBorder="1" applyAlignment="1" applyProtection="1">
      <alignment horizontal="center" vertical="center" wrapText="1"/>
      <protection locked="0"/>
    </xf>
    <xf numFmtId="0" fontId="12" fillId="2" borderId="129" xfId="2" applyFont="1" applyFill="1" applyBorder="1" applyAlignment="1" applyProtection="1">
      <alignment horizontal="center" vertical="center" wrapText="1"/>
      <protection locked="0"/>
    </xf>
    <xf numFmtId="0" fontId="12" fillId="2" borderId="128" xfId="2" applyFont="1" applyFill="1" applyBorder="1" applyAlignment="1" applyProtection="1">
      <alignment horizontal="center" vertical="center" wrapText="1"/>
      <protection locked="0"/>
    </xf>
    <xf numFmtId="0" fontId="15" fillId="2" borderId="117" xfId="2" applyFont="1" applyFill="1" applyBorder="1" applyAlignment="1" applyProtection="1">
      <alignment horizontal="center" vertical="center" shrinkToFit="1"/>
      <protection locked="0"/>
    </xf>
    <xf numFmtId="0" fontId="15" fillId="2" borderId="118" xfId="2" applyFont="1" applyFill="1" applyBorder="1" applyAlignment="1" applyProtection="1">
      <alignment horizontal="center" vertical="center" shrinkToFit="1"/>
      <protection locked="0"/>
    </xf>
    <xf numFmtId="0" fontId="14" fillId="2" borderId="66" xfId="2" applyFont="1" applyFill="1" applyBorder="1" applyAlignment="1" applyProtection="1">
      <alignment horizontal="center" vertical="center"/>
      <protection locked="0"/>
    </xf>
    <xf numFmtId="0" fontId="14" fillId="2" borderId="67" xfId="2" applyFont="1" applyFill="1" applyBorder="1" applyAlignment="1" applyProtection="1">
      <alignment horizontal="center" vertical="center"/>
      <protection locked="0"/>
    </xf>
    <xf numFmtId="0" fontId="14" fillId="2" borderId="68" xfId="2" applyFont="1" applyFill="1" applyBorder="1" applyAlignment="1" applyProtection="1">
      <alignment horizontal="center" vertical="center"/>
      <protection locked="0"/>
    </xf>
    <xf numFmtId="41" fontId="15" fillId="0" borderId="120" xfId="0" applyNumberFormat="1" applyFont="1" applyBorder="1" applyAlignment="1" applyProtection="1">
      <alignment horizontal="center" vertical="center" shrinkToFit="1"/>
      <protection locked="0"/>
    </xf>
    <xf numFmtId="41" fontId="15" fillId="0" borderId="121" xfId="0" applyNumberFormat="1" applyFont="1" applyBorder="1" applyAlignment="1" applyProtection="1">
      <alignment horizontal="center" vertical="center" shrinkToFit="1"/>
      <protection locked="0"/>
    </xf>
    <xf numFmtId="41" fontId="15" fillId="0" borderId="122" xfId="0" applyNumberFormat="1" applyFont="1" applyBorder="1" applyAlignment="1" applyProtection="1">
      <alignment horizontal="center" vertical="center" shrinkToFit="1"/>
      <protection locked="0"/>
    </xf>
    <xf numFmtId="41" fontId="15" fillId="0" borderId="118" xfId="0" applyNumberFormat="1" applyFont="1" applyBorder="1" applyAlignment="1" applyProtection="1">
      <alignment horizontal="center" vertical="center" shrinkToFit="1"/>
      <protection locked="0"/>
    </xf>
    <xf numFmtId="41" fontId="15" fillId="0" borderId="123" xfId="0" applyNumberFormat="1" applyFont="1" applyBorder="1" applyAlignment="1" applyProtection="1">
      <alignment horizontal="center" vertical="center" shrinkToFit="1"/>
      <protection locked="0"/>
    </xf>
    <xf numFmtId="0" fontId="28" fillId="0" borderId="124" xfId="0" applyFont="1" applyBorder="1" applyAlignment="1" applyProtection="1">
      <alignment horizontal="center" vertical="center" wrapText="1"/>
      <protection locked="0"/>
    </xf>
    <xf numFmtId="0" fontId="28" fillId="0" borderId="125" xfId="0" applyFont="1" applyBorder="1" applyAlignment="1" applyProtection="1">
      <alignment horizontal="center" vertical="center"/>
      <protection locked="0"/>
    </xf>
    <xf numFmtId="0" fontId="28" fillId="0" borderId="126" xfId="0" applyFont="1" applyBorder="1" applyAlignment="1" applyProtection="1">
      <alignment horizontal="center" vertical="center"/>
      <protection locked="0"/>
    </xf>
    <xf numFmtId="41" fontId="29" fillId="0" borderId="124" xfId="0" applyNumberFormat="1" applyFont="1" applyBorder="1" applyAlignment="1" applyProtection="1">
      <alignment horizontal="center" vertical="center" wrapText="1" shrinkToFit="1"/>
      <protection locked="0"/>
    </xf>
    <xf numFmtId="41" fontId="29" fillId="0" borderId="125" xfId="0" applyNumberFormat="1" applyFont="1" applyBorder="1" applyAlignment="1" applyProtection="1">
      <alignment horizontal="center" vertical="center" shrinkToFit="1"/>
      <protection locked="0"/>
    </xf>
    <xf numFmtId="41" fontId="29" fillId="0" borderId="126" xfId="0" applyNumberFormat="1" applyFont="1" applyBorder="1" applyAlignment="1" applyProtection="1">
      <alignment horizontal="center" vertical="center" shrinkToFit="1"/>
      <protection locked="0"/>
    </xf>
    <xf numFmtId="14" fontId="14" fillId="2" borderId="98" xfId="2" applyNumberFormat="1" applyFont="1" applyFill="1" applyBorder="1" applyAlignment="1" applyProtection="1">
      <alignment horizontal="center" vertical="center" shrinkToFit="1"/>
      <protection locked="0"/>
    </xf>
    <xf numFmtId="0" fontId="20" fillId="2" borderId="141" xfId="2" applyFont="1" applyFill="1" applyBorder="1" applyAlignment="1" applyProtection="1">
      <alignment horizontal="center" vertical="center" wrapText="1"/>
      <protection locked="0"/>
    </xf>
    <xf numFmtId="0" fontId="20" fillId="2" borderId="127" xfId="2" applyFont="1" applyFill="1" applyBorder="1" applyAlignment="1" applyProtection="1">
      <alignment horizontal="center" vertical="center" wrapText="1"/>
      <protection locked="0"/>
    </xf>
    <xf numFmtId="0" fontId="20" fillId="2" borderId="142" xfId="2" applyFont="1" applyFill="1" applyBorder="1" applyAlignment="1" applyProtection="1">
      <alignment horizontal="center" vertical="center" wrapText="1"/>
      <protection locked="0"/>
    </xf>
    <xf numFmtId="0" fontId="20" fillId="2" borderId="136" xfId="2" applyFont="1" applyFill="1" applyBorder="1" applyAlignment="1" applyProtection="1">
      <alignment horizontal="center" vertical="center" wrapText="1"/>
      <protection locked="0"/>
    </xf>
    <xf numFmtId="0" fontId="20" fillId="2" borderId="137" xfId="2" applyFont="1" applyFill="1" applyBorder="1" applyAlignment="1" applyProtection="1">
      <alignment horizontal="center" vertical="center" wrapText="1"/>
      <protection locked="0"/>
    </xf>
    <xf numFmtId="0" fontId="20" fillId="2" borderId="139" xfId="2" applyFont="1" applyFill="1" applyBorder="1" applyAlignment="1" applyProtection="1">
      <alignment horizontal="center" vertical="center" wrapText="1"/>
      <protection locked="0"/>
    </xf>
    <xf numFmtId="0" fontId="11" fillId="2" borderId="136" xfId="2" applyFont="1" applyFill="1" applyBorder="1" applyAlignment="1" applyProtection="1">
      <alignment horizontal="center" vertical="center" shrinkToFit="1"/>
      <protection locked="0"/>
    </xf>
    <xf numFmtId="0" fontId="11" fillId="2" borderId="137" xfId="2" applyFont="1" applyFill="1" applyBorder="1" applyAlignment="1" applyProtection="1">
      <alignment horizontal="center" vertical="center" shrinkToFit="1"/>
      <protection locked="0"/>
    </xf>
    <xf numFmtId="0" fontId="11" fillId="2" borderId="139" xfId="2" applyFont="1" applyFill="1" applyBorder="1" applyAlignment="1" applyProtection="1">
      <alignment horizontal="center" vertical="center" shrinkToFit="1"/>
      <protection locked="0"/>
    </xf>
    <xf numFmtId="0" fontId="20" fillId="2" borderId="140" xfId="2" applyFont="1" applyFill="1" applyBorder="1" applyAlignment="1" applyProtection="1">
      <alignment horizontal="center" vertical="center" wrapText="1"/>
      <protection locked="0"/>
    </xf>
    <xf numFmtId="0" fontId="32" fillId="2" borderId="44" xfId="2" applyFont="1" applyFill="1" applyBorder="1" applyAlignment="1" applyProtection="1">
      <alignment horizontal="center" vertical="center" wrapText="1"/>
      <protection locked="0"/>
    </xf>
  </cellXfs>
  <cellStyles count="4">
    <cellStyle name="쉼표 [0]" xfId="3" builtinId="6"/>
    <cellStyle name="표준" xfId="0" builtinId="0"/>
    <cellStyle name="표준 2" xfId="1" xr:uid="{00000000-0005-0000-0000-000001000000}"/>
    <cellStyle name="표준_거래명세서(부가세포함넓은양식)" xfId="2" xr:uid="{00000000-0005-0000-0000-000002000000}"/>
  </cellStyles>
  <dxfs count="46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AC75D5"/>
      <color rgb="FF9BE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F205-5DB3-49C6-9D91-9D8C80D27D2B}">
  <sheetPr>
    <tabColor rgb="FFFF0000"/>
  </sheetPr>
  <dimension ref="A1:M31"/>
  <sheetViews>
    <sheetView tabSelected="1" zoomScale="70" zoomScaleNormal="70" workbookViewId="0">
      <selection activeCell="F41" sqref="F41"/>
    </sheetView>
  </sheetViews>
  <sheetFormatPr defaultRowHeight="13.5" x14ac:dyDescent="0.15"/>
  <cols>
    <col min="1" max="1" width="16.44140625" bestFit="1" customWidth="1"/>
    <col min="2" max="12" width="17.88671875" customWidth="1"/>
    <col min="13" max="13" width="16.33203125" customWidth="1"/>
  </cols>
  <sheetData>
    <row r="1" spans="1:13" x14ac:dyDescent="0.15">
      <c r="A1" s="62" t="s">
        <v>180</v>
      </c>
      <c r="B1" s="62" t="s">
        <v>101</v>
      </c>
      <c r="C1" s="63"/>
      <c r="D1" s="62"/>
      <c r="E1" s="62"/>
      <c r="F1" s="62"/>
      <c r="G1" s="62"/>
      <c r="H1" s="62"/>
      <c r="I1" s="62"/>
      <c r="J1" s="64"/>
      <c r="K1" s="64"/>
      <c r="L1" s="64"/>
    </row>
    <row r="2" spans="1:13" ht="16.5" x14ac:dyDescent="0.15">
      <c r="A2" s="65" t="s">
        <v>110</v>
      </c>
      <c r="B2" s="65" t="s">
        <v>149</v>
      </c>
      <c r="C2" s="69" t="s">
        <v>181</v>
      </c>
      <c r="D2" s="70" t="s">
        <v>138</v>
      </c>
      <c r="E2" s="65" t="s">
        <v>171</v>
      </c>
      <c r="F2" s="65" t="s">
        <v>130</v>
      </c>
      <c r="G2" s="65" t="s">
        <v>145</v>
      </c>
      <c r="H2" s="65" t="s">
        <v>147</v>
      </c>
      <c r="I2" s="65" t="s">
        <v>157</v>
      </c>
      <c r="J2" s="66" t="s">
        <v>175</v>
      </c>
      <c r="K2" s="66" t="s">
        <v>167</v>
      </c>
      <c r="L2" s="66" t="s">
        <v>163</v>
      </c>
    </row>
    <row r="3" spans="1:13" ht="16.5" x14ac:dyDescent="0.15">
      <c r="A3" s="67" t="s">
        <v>109</v>
      </c>
      <c r="B3" s="67">
        <v>3</v>
      </c>
      <c r="C3" s="67">
        <v>37</v>
      </c>
      <c r="D3" s="67">
        <v>4</v>
      </c>
      <c r="E3" s="67">
        <v>6</v>
      </c>
      <c r="F3" s="67">
        <v>1</v>
      </c>
      <c r="G3" s="67">
        <v>1</v>
      </c>
      <c r="H3" s="67"/>
      <c r="I3" s="67"/>
      <c r="J3" s="68">
        <v>6</v>
      </c>
      <c r="K3" s="68">
        <v>6</v>
      </c>
      <c r="L3" s="68">
        <v>3</v>
      </c>
      <c r="M3">
        <f>SUM(B3:L3)</f>
        <v>67</v>
      </c>
    </row>
    <row r="4" spans="1:13" ht="16.5" x14ac:dyDescent="0.15">
      <c r="A4" s="67" t="s">
        <v>88</v>
      </c>
      <c r="B4" s="67">
        <v>12</v>
      </c>
      <c r="C4" s="67">
        <v>212</v>
      </c>
      <c r="D4" s="67">
        <v>28</v>
      </c>
      <c r="E4" s="67">
        <v>36</v>
      </c>
      <c r="F4" s="67">
        <v>4</v>
      </c>
      <c r="G4" s="67">
        <v>4</v>
      </c>
      <c r="H4" s="67">
        <v>8</v>
      </c>
      <c r="I4" s="67">
        <v>5</v>
      </c>
      <c r="J4" s="68">
        <v>30</v>
      </c>
      <c r="K4" s="68">
        <v>13</v>
      </c>
      <c r="L4" s="68">
        <v>13</v>
      </c>
      <c r="M4">
        <f t="shared" ref="M4:M29" si="0">SUM(B4:L4)</f>
        <v>365</v>
      </c>
    </row>
    <row r="5" spans="1:13" ht="16.5" x14ac:dyDescent="0.15">
      <c r="A5" s="67" t="s">
        <v>89</v>
      </c>
      <c r="B5" s="67">
        <v>7</v>
      </c>
      <c r="C5" s="67">
        <v>127</v>
      </c>
      <c r="D5" s="67">
        <v>10</v>
      </c>
      <c r="E5" s="67">
        <v>25</v>
      </c>
      <c r="F5" s="67">
        <v>3</v>
      </c>
      <c r="G5" s="67">
        <v>5</v>
      </c>
      <c r="H5" s="67">
        <v>3</v>
      </c>
      <c r="I5" s="67">
        <v>4</v>
      </c>
      <c r="J5" s="68">
        <v>17</v>
      </c>
      <c r="K5" s="68">
        <v>5</v>
      </c>
      <c r="L5" s="68">
        <v>13</v>
      </c>
      <c r="M5">
        <f t="shared" si="0"/>
        <v>219</v>
      </c>
    </row>
    <row r="6" spans="1:13" ht="16.5" x14ac:dyDescent="0.15">
      <c r="A6" s="67" t="s">
        <v>134</v>
      </c>
      <c r="B6" s="67">
        <v>2</v>
      </c>
      <c r="C6" s="67">
        <v>79</v>
      </c>
      <c r="D6" s="67">
        <v>14</v>
      </c>
      <c r="E6" s="67">
        <v>18</v>
      </c>
      <c r="F6" s="67">
        <v>3</v>
      </c>
      <c r="G6" s="67"/>
      <c r="H6" s="67">
        <v>2</v>
      </c>
      <c r="I6" s="67"/>
      <c r="J6" s="68">
        <v>11</v>
      </c>
      <c r="K6" s="68">
        <v>4</v>
      </c>
      <c r="L6" s="68">
        <v>15</v>
      </c>
      <c r="M6">
        <f t="shared" si="0"/>
        <v>148</v>
      </c>
    </row>
    <row r="7" spans="1:13" ht="16.5" x14ac:dyDescent="0.15">
      <c r="A7" s="67" t="s">
        <v>124</v>
      </c>
      <c r="B7" s="67">
        <v>5</v>
      </c>
      <c r="C7" s="67">
        <v>107</v>
      </c>
      <c r="D7" s="67">
        <v>11</v>
      </c>
      <c r="E7" s="67">
        <v>27</v>
      </c>
      <c r="F7" s="67">
        <v>2</v>
      </c>
      <c r="G7" s="67">
        <v>3</v>
      </c>
      <c r="H7" s="67">
        <v>6</v>
      </c>
      <c r="I7" s="67">
        <v>2</v>
      </c>
      <c r="J7" s="68">
        <v>21</v>
      </c>
      <c r="K7" s="68">
        <v>7</v>
      </c>
      <c r="L7" s="68">
        <v>8</v>
      </c>
      <c r="M7">
        <f t="shared" si="0"/>
        <v>199</v>
      </c>
    </row>
    <row r="8" spans="1:13" ht="13.5" customHeight="1" x14ac:dyDescent="0.15">
      <c r="A8" s="67" t="s">
        <v>153</v>
      </c>
      <c r="B8" s="67">
        <v>4</v>
      </c>
      <c r="C8" s="67">
        <v>105</v>
      </c>
      <c r="D8" s="67">
        <v>7</v>
      </c>
      <c r="E8" s="67">
        <v>10</v>
      </c>
      <c r="F8" s="67">
        <v>2</v>
      </c>
      <c r="G8" s="67">
        <v>2</v>
      </c>
      <c r="H8" s="67">
        <v>2</v>
      </c>
      <c r="I8" s="67">
        <v>1</v>
      </c>
      <c r="J8" s="68">
        <v>9</v>
      </c>
      <c r="K8" s="68">
        <v>7</v>
      </c>
      <c r="L8" s="68">
        <v>12</v>
      </c>
      <c r="M8">
        <f t="shared" si="0"/>
        <v>161</v>
      </c>
    </row>
    <row r="9" spans="1:13" ht="13.5" customHeight="1" x14ac:dyDescent="0.15">
      <c r="A9" s="67" t="s">
        <v>95</v>
      </c>
      <c r="B9" s="67">
        <v>1</v>
      </c>
      <c r="C9" s="67">
        <v>64</v>
      </c>
      <c r="D9" s="67">
        <v>15</v>
      </c>
      <c r="E9" s="67">
        <v>21</v>
      </c>
      <c r="F9" s="67">
        <v>1</v>
      </c>
      <c r="G9" s="67">
        <v>1</v>
      </c>
      <c r="H9" s="67">
        <v>3</v>
      </c>
      <c r="I9" s="67">
        <v>1</v>
      </c>
      <c r="J9" s="68">
        <v>13</v>
      </c>
      <c r="K9" s="68">
        <v>3</v>
      </c>
      <c r="L9" s="68">
        <v>6</v>
      </c>
      <c r="M9">
        <f t="shared" si="0"/>
        <v>129</v>
      </c>
    </row>
    <row r="10" spans="1:13" ht="13.5" customHeight="1" x14ac:dyDescent="0.15">
      <c r="A10" s="67" t="s">
        <v>125</v>
      </c>
      <c r="B10" s="67">
        <v>6</v>
      </c>
      <c r="C10" s="67">
        <v>115</v>
      </c>
      <c r="D10" s="67">
        <v>16</v>
      </c>
      <c r="E10" s="67">
        <v>21</v>
      </c>
      <c r="F10" s="67">
        <v>2</v>
      </c>
      <c r="G10" s="67">
        <v>5</v>
      </c>
      <c r="H10" s="67">
        <v>9</v>
      </c>
      <c r="I10" s="67">
        <v>3</v>
      </c>
      <c r="J10" s="68">
        <v>19</v>
      </c>
      <c r="K10" s="68">
        <v>6</v>
      </c>
      <c r="L10" s="68">
        <v>12</v>
      </c>
      <c r="M10">
        <f t="shared" si="0"/>
        <v>214</v>
      </c>
    </row>
    <row r="11" spans="1:13" ht="13.5" customHeight="1" x14ac:dyDescent="0.15">
      <c r="A11" s="67" t="s">
        <v>139</v>
      </c>
      <c r="B11" s="67">
        <v>5</v>
      </c>
      <c r="C11" s="67">
        <v>138</v>
      </c>
      <c r="D11" s="67">
        <v>8</v>
      </c>
      <c r="E11" s="67">
        <v>27</v>
      </c>
      <c r="F11" s="67">
        <v>2</v>
      </c>
      <c r="G11" s="67">
        <v>1</v>
      </c>
      <c r="H11" s="67">
        <v>10</v>
      </c>
      <c r="I11" s="67">
        <v>2</v>
      </c>
      <c r="J11" s="68">
        <v>23</v>
      </c>
      <c r="K11" s="68">
        <v>11</v>
      </c>
      <c r="L11" s="68">
        <v>7</v>
      </c>
      <c r="M11">
        <f t="shared" si="0"/>
        <v>234</v>
      </c>
    </row>
    <row r="12" spans="1:13" ht="13.5" customHeight="1" x14ac:dyDescent="0.15">
      <c r="A12" s="67" t="s">
        <v>107</v>
      </c>
      <c r="B12" s="67">
        <v>2</v>
      </c>
      <c r="C12" s="67">
        <v>74</v>
      </c>
      <c r="D12" s="67">
        <v>10</v>
      </c>
      <c r="E12" s="67">
        <v>18</v>
      </c>
      <c r="F12" s="67">
        <v>2</v>
      </c>
      <c r="G12" s="67">
        <v>1</v>
      </c>
      <c r="H12" s="67">
        <v>4</v>
      </c>
      <c r="I12" s="67">
        <v>2</v>
      </c>
      <c r="J12" s="68">
        <v>6</v>
      </c>
      <c r="K12" s="68">
        <v>3</v>
      </c>
      <c r="L12" s="68">
        <v>4</v>
      </c>
      <c r="M12">
        <f t="shared" si="0"/>
        <v>126</v>
      </c>
    </row>
    <row r="13" spans="1:13" ht="14.25" customHeight="1" x14ac:dyDescent="0.15">
      <c r="A13" s="67" t="s">
        <v>103</v>
      </c>
      <c r="B13" s="67">
        <v>3</v>
      </c>
      <c r="C13" s="67">
        <v>92</v>
      </c>
      <c r="D13" s="67">
        <v>6</v>
      </c>
      <c r="E13" s="67">
        <v>15</v>
      </c>
      <c r="F13" s="67">
        <v>3</v>
      </c>
      <c r="G13" s="67">
        <v>2</v>
      </c>
      <c r="H13" s="67">
        <v>2</v>
      </c>
      <c r="I13" s="67">
        <v>1</v>
      </c>
      <c r="J13" s="68">
        <v>9</v>
      </c>
      <c r="K13" s="68">
        <v>6</v>
      </c>
      <c r="L13" s="68">
        <v>3</v>
      </c>
      <c r="M13">
        <f t="shared" si="0"/>
        <v>142</v>
      </c>
    </row>
    <row r="14" spans="1:13" ht="16.5" x14ac:dyDescent="0.15">
      <c r="A14" s="67" t="s">
        <v>111</v>
      </c>
      <c r="B14" s="67">
        <v>1</v>
      </c>
      <c r="C14" s="67">
        <v>85</v>
      </c>
      <c r="D14" s="67">
        <v>7</v>
      </c>
      <c r="E14" s="67">
        <v>10</v>
      </c>
      <c r="F14" s="67">
        <v>1</v>
      </c>
      <c r="G14" s="67">
        <v>1</v>
      </c>
      <c r="H14" s="67">
        <v>4</v>
      </c>
      <c r="I14" s="67">
        <v>1</v>
      </c>
      <c r="J14" s="68">
        <v>9</v>
      </c>
      <c r="K14" s="68">
        <v>4</v>
      </c>
      <c r="L14" s="68">
        <v>2</v>
      </c>
      <c r="M14">
        <f t="shared" si="0"/>
        <v>125</v>
      </c>
    </row>
    <row r="15" spans="1:13" ht="16.5" x14ac:dyDescent="0.15">
      <c r="A15" s="67" t="s">
        <v>96</v>
      </c>
      <c r="B15" s="67">
        <v>1</v>
      </c>
      <c r="C15" s="67">
        <v>74</v>
      </c>
      <c r="D15" s="67">
        <v>8</v>
      </c>
      <c r="E15" s="67">
        <v>23</v>
      </c>
      <c r="F15" s="67"/>
      <c r="G15" s="67">
        <v>2</v>
      </c>
      <c r="H15" s="67"/>
      <c r="I15" s="67">
        <v>2</v>
      </c>
      <c r="J15" s="68">
        <v>12</v>
      </c>
      <c r="K15" s="68">
        <v>7</v>
      </c>
      <c r="L15" s="68">
        <v>4</v>
      </c>
      <c r="M15">
        <f t="shared" si="0"/>
        <v>133</v>
      </c>
    </row>
    <row r="16" spans="1:13" ht="16.5" x14ac:dyDescent="0.15">
      <c r="A16" s="67" t="s">
        <v>135</v>
      </c>
      <c r="B16" s="67">
        <v>2</v>
      </c>
      <c r="C16" s="67">
        <v>80</v>
      </c>
      <c r="D16" s="67">
        <v>6</v>
      </c>
      <c r="E16" s="67">
        <v>15</v>
      </c>
      <c r="F16" s="67"/>
      <c r="G16" s="67">
        <v>4</v>
      </c>
      <c r="H16" s="67">
        <v>4</v>
      </c>
      <c r="I16" s="67">
        <v>1</v>
      </c>
      <c r="J16" s="68">
        <v>14</v>
      </c>
      <c r="K16" s="68">
        <v>4</v>
      </c>
      <c r="L16" s="68">
        <v>9</v>
      </c>
      <c r="M16">
        <f t="shared" si="0"/>
        <v>139</v>
      </c>
    </row>
    <row r="17" spans="1:13" ht="16.5" x14ac:dyDescent="0.15">
      <c r="A17" s="67" t="s">
        <v>136</v>
      </c>
      <c r="B17" s="67"/>
      <c r="C17" s="67">
        <v>103</v>
      </c>
      <c r="D17" s="67">
        <v>9</v>
      </c>
      <c r="E17" s="67">
        <v>12</v>
      </c>
      <c r="F17" s="67">
        <v>2</v>
      </c>
      <c r="G17" s="67"/>
      <c r="H17" s="67">
        <v>3</v>
      </c>
      <c r="I17" s="67"/>
      <c r="J17" s="68">
        <v>14</v>
      </c>
      <c r="K17" s="68">
        <v>1</v>
      </c>
      <c r="L17" s="68">
        <v>6</v>
      </c>
      <c r="M17">
        <f t="shared" si="0"/>
        <v>150</v>
      </c>
    </row>
    <row r="18" spans="1:13" ht="16.5" x14ac:dyDescent="0.15">
      <c r="A18" s="67" t="s">
        <v>112</v>
      </c>
      <c r="B18" s="67">
        <v>1</v>
      </c>
      <c r="C18" s="67">
        <v>76</v>
      </c>
      <c r="D18" s="67">
        <v>3</v>
      </c>
      <c r="E18" s="67">
        <v>12</v>
      </c>
      <c r="F18" s="67">
        <v>3</v>
      </c>
      <c r="G18" s="67">
        <v>2</v>
      </c>
      <c r="H18" s="67">
        <v>3</v>
      </c>
      <c r="I18" s="67">
        <v>2</v>
      </c>
      <c r="J18" s="68">
        <v>12</v>
      </c>
      <c r="K18" s="68">
        <v>3</v>
      </c>
      <c r="L18" s="68">
        <v>6</v>
      </c>
      <c r="M18">
        <f t="shared" si="0"/>
        <v>123</v>
      </c>
    </row>
    <row r="19" spans="1:13" ht="16.5" x14ac:dyDescent="0.15">
      <c r="A19" s="67" t="s">
        <v>90</v>
      </c>
      <c r="B19" s="67"/>
      <c r="C19" s="67">
        <v>88</v>
      </c>
      <c r="D19" s="67">
        <v>6</v>
      </c>
      <c r="E19" s="67">
        <v>12</v>
      </c>
      <c r="F19" s="67">
        <v>1</v>
      </c>
      <c r="G19" s="67">
        <v>2</v>
      </c>
      <c r="H19" s="67"/>
      <c r="I19" s="67">
        <v>1</v>
      </c>
      <c r="J19" s="68">
        <v>16</v>
      </c>
      <c r="K19" s="68">
        <v>3</v>
      </c>
      <c r="L19" s="68">
        <v>1</v>
      </c>
      <c r="M19">
        <f t="shared" si="0"/>
        <v>130</v>
      </c>
    </row>
    <row r="20" spans="1:13" ht="16.5" x14ac:dyDescent="0.15">
      <c r="A20" s="67" t="s">
        <v>105</v>
      </c>
      <c r="B20" s="67">
        <v>1</v>
      </c>
      <c r="C20" s="67">
        <v>84</v>
      </c>
      <c r="D20" s="67">
        <v>10</v>
      </c>
      <c r="E20" s="67">
        <v>10</v>
      </c>
      <c r="F20" s="67">
        <v>2</v>
      </c>
      <c r="G20" s="67">
        <v>3</v>
      </c>
      <c r="H20" s="67">
        <v>3</v>
      </c>
      <c r="I20" s="67">
        <v>2</v>
      </c>
      <c r="J20" s="68">
        <v>14</v>
      </c>
      <c r="K20" s="68">
        <v>7</v>
      </c>
      <c r="L20" s="68">
        <v>9</v>
      </c>
      <c r="M20">
        <f t="shared" si="0"/>
        <v>145</v>
      </c>
    </row>
    <row r="21" spans="1:13" ht="16.5" x14ac:dyDescent="0.15">
      <c r="A21" s="67" t="s">
        <v>102</v>
      </c>
      <c r="B21" s="67">
        <v>2</v>
      </c>
      <c r="C21" s="67">
        <v>137</v>
      </c>
      <c r="D21" s="67">
        <v>11</v>
      </c>
      <c r="E21" s="67">
        <v>15</v>
      </c>
      <c r="F21" s="67"/>
      <c r="G21" s="67">
        <v>1</v>
      </c>
      <c r="H21" s="67">
        <v>1</v>
      </c>
      <c r="I21" s="67">
        <v>2</v>
      </c>
      <c r="J21" s="68">
        <v>16</v>
      </c>
      <c r="K21" s="68">
        <v>5</v>
      </c>
      <c r="L21" s="68">
        <v>6</v>
      </c>
      <c r="M21">
        <f t="shared" si="0"/>
        <v>196</v>
      </c>
    </row>
    <row r="22" spans="1:13" ht="16.5" x14ac:dyDescent="0.15">
      <c r="A22" s="67" t="s">
        <v>91</v>
      </c>
      <c r="B22" s="67">
        <v>6</v>
      </c>
      <c r="C22" s="67">
        <v>110</v>
      </c>
      <c r="D22" s="67">
        <v>7</v>
      </c>
      <c r="E22" s="67">
        <v>19</v>
      </c>
      <c r="F22" s="67">
        <v>4</v>
      </c>
      <c r="G22" s="67">
        <v>5</v>
      </c>
      <c r="H22" s="67">
        <v>5</v>
      </c>
      <c r="I22" s="67">
        <v>2</v>
      </c>
      <c r="J22" s="68">
        <v>22</v>
      </c>
      <c r="K22" s="68">
        <v>8</v>
      </c>
      <c r="L22" s="68">
        <v>15</v>
      </c>
      <c r="M22">
        <f t="shared" si="0"/>
        <v>203</v>
      </c>
    </row>
    <row r="23" spans="1:13" ht="16.5" x14ac:dyDescent="0.15">
      <c r="A23" s="67" t="s">
        <v>104</v>
      </c>
      <c r="B23" s="67">
        <v>4</v>
      </c>
      <c r="C23" s="67">
        <v>69</v>
      </c>
      <c r="D23" s="67">
        <v>10</v>
      </c>
      <c r="E23" s="67">
        <v>14</v>
      </c>
      <c r="F23" s="67">
        <v>1</v>
      </c>
      <c r="G23" s="67"/>
      <c r="H23" s="67">
        <v>1</v>
      </c>
      <c r="I23" s="67">
        <v>2</v>
      </c>
      <c r="J23" s="68">
        <v>15</v>
      </c>
      <c r="K23" s="68">
        <v>3</v>
      </c>
      <c r="L23" s="68">
        <v>16</v>
      </c>
      <c r="M23">
        <f t="shared" si="0"/>
        <v>135</v>
      </c>
    </row>
    <row r="24" spans="1:13" ht="16.5" x14ac:dyDescent="0.15">
      <c r="A24" s="67" t="s">
        <v>92</v>
      </c>
      <c r="B24" s="67">
        <v>5</v>
      </c>
      <c r="C24" s="67">
        <v>128</v>
      </c>
      <c r="D24" s="67">
        <v>16</v>
      </c>
      <c r="E24" s="67">
        <v>23</v>
      </c>
      <c r="F24" s="67">
        <v>7</v>
      </c>
      <c r="G24" s="67">
        <v>5</v>
      </c>
      <c r="H24" s="67">
        <v>7</v>
      </c>
      <c r="I24" s="67">
        <v>1</v>
      </c>
      <c r="J24" s="68">
        <v>25</v>
      </c>
      <c r="K24" s="68">
        <v>6</v>
      </c>
      <c r="L24" s="68">
        <v>12</v>
      </c>
      <c r="M24">
        <f t="shared" si="0"/>
        <v>235</v>
      </c>
    </row>
    <row r="25" spans="1:13" ht="16.5" x14ac:dyDescent="0.15">
      <c r="A25" s="67" t="s">
        <v>93</v>
      </c>
      <c r="B25" s="67">
        <v>6</v>
      </c>
      <c r="C25" s="67">
        <v>116</v>
      </c>
      <c r="D25" s="67">
        <v>9</v>
      </c>
      <c r="E25" s="67">
        <v>15</v>
      </c>
      <c r="F25" s="67">
        <v>5</v>
      </c>
      <c r="G25" s="67">
        <v>4</v>
      </c>
      <c r="H25" s="67">
        <v>6</v>
      </c>
      <c r="I25" s="67">
        <v>1</v>
      </c>
      <c r="J25" s="68">
        <v>18</v>
      </c>
      <c r="K25" s="68">
        <v>8</v>
      </c>
      <c r="L25" s="68">
        <v>7</v>
      </c>
      <c r="M25">
        <f t="shared" si="0"/>
        <v>195</v>
      </c>
    </row>
    <row r="26" spans="1:13" ht="16.5" x14ac:dyDescent="0.15">
      <c r="A26" s="67" t="s">
        <v>94</v>
      </c>
      <c r="B26" s="67">
        <v>5</v>
      </c>
      <c r="C26" s="67">
        <v>152</v>
      </c>
      <c r="D26" s="67">
        <v>16</v>
      </c>
      <c r="E26" s="67">
        <v>14</v>
      </c>
      <c r="F26" s="67">
        <v>3</v>
      </c>
      <c r="G26" s="67">
        <v>1</v>
      </c>
      <c r="H26" s="67">
        <v>8</v>
      </c>
      <c r="I26" s="67">
        <v>2</v>
      </c>
      <c r="J26" s="68">
        <v>15</v>
      </c>
      <c r="K26" s="68">
        <v>3</v>
      </c>
      <c r="L26" s="68">
        <v>4</v>
      </c>
      <c r="M26">
        <f t="shared" si="0"/>
        <v>223</v>
      </c>
    </row>
    <row r="27" spans="1:13" ht="16.5" x14ac:dyDescent="0.15">
      <c r="A27" s="67" t="s">
        <v>106</v>
      </c>
      <c r="B27" s="67">
        <v>2</v>
      </c>
      <c r="C27" s="67">
        <v>69</v>
      </c>
      <c r="D27" s="67">
        <v>5</v>
      </c>
      <c r="E27" s="67">
        <v>8</v>
      </c>
      <c r="F27" s="67"/>
      <c r="G27" s="67">
        <v>1</v>
      </c>
      <c r="H27" s="67"/>
      <c r="I27" s="67"/>
      <c r="J27" s="68">
        <v>8</v>
      </c>
      <c r="K27" s="68">
        <v>2</v>
      </c>
      <c r="L27" s="68">
        <v>4</v>
      </c>
      <c r="M27">
        <f t="shared" si="0"/>
        <v>99</v>
      </c>
    </row>
    <row r="28" spans="1:13" ht="16.5" x14ac:dyDescent="0.15">
      <c r="A28" s="67" t="s">
        <v>108</v>
      </c>
      <c r="B28" s="67">
        <v>3</v>
      </c>
      <c r="C28" s="67">
        <v>64</v>
      </c>
      <c r="D28" s="67">
        <v>11</v>
      </c>
      <c r="E28" s="67">
        <v>9</v>
      </c>
      <c r="F28" s="67">
        <v>1</v>
      </c>
      <c r="G28" s="67"/>
      <c r="H28" s="67">
        <v>1</v>
      </c>
      <c r="I28" s="67">
        <v>1</v>
      </c>
      <c r="J28" s="68">
        <v>7</v>
      </c>
      <c r="K28" s="68">
        <v>6</v>
      </c>
      <c r="L28" s="68">
        <v>8</v>
      </c>
      <c r="M28">
        <f t="shared" si="0"/>
        <v>111</v>
      </c>
    </row>
    <row r="29" spans="1:13" ht="16.5" x14ac:dyDescent="0.15">
      <c r="A29" s="67" t="s">
        <v>87</v>
      </c>
      <c r="B29" s="67">
        <v>89</v>
      </c>
      <c r="C29" s="67">
        <v>2585</v>
      </c>
      <c r="D29" s="67">
        <v>263</v>
      </c>
      <c r="E29" s="67">
        <v>435</v>
      </c>
      <c r="F29" s="67">
        <v>55</v>
      </c>
      <c r="G29" s="67">
        <v>56</v>
      </c>
      <c r="H29" s="67">
        <v>95</v>
      </c>
      <c r="I29" s="67">
        <v>41</v>
      </c>
      <c r="J29" s="68">
        <v>381</v>
      </c>
      <c r="K29" s="68">
        <v>141</v>
      </c>
      <c r="L29" s="68">
        <v>205</v>
      </c>
      <c r="M29">
        <f t="shared" si="0"/>
        <v>4346</v>
      </c>
    </row>
    <row r="31" spans="1:13" ht="16.5" x14ac:dyDescent="0.15">
      <c r="C31" s="44"/>
      <c r="D31" s="44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0E9F-1840-4C0D-946E-5DA9F914C0D8}">
  <sheetPr>
    <tabColor rgb="FFAC75D5"/>
    <pageSetUpPr fitToPage="1"/>
  </sheetPr>
  <dimension ref="B1:AN55"/>
  <sheetViews>
    <sheetView zoomScale="70" zoomScaleNormal="70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33" width="2.33203125" style="1"/>
    <col min="34" max="34" width="2.33203125" style="1" customWidth="1"/>
    <col min="35" max="16384" width="2.33203125" style="1"/>
  </cols>
  <sheetData>
    <row r="1" spans="2:40" ht="14.25" thickBot="1" x14ac:dyDescent="0.2">
      <c r="B1" s="3" t="s">
        <v>56</v>
      </c>
    </row>
    <row r="2" spans="2:40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40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40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40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40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56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40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40" x14ac:dyDescent="0.15">
      <c r="B8" s="110"/>
      <c r="C8" s="113" t="s">
        <v>4</v>
      </c>
      <c r="D8" s="121"/>
      <c r="E8" s="121"/>
      <c r="F8" s="121"/>
      <c r="G8" s="148" t="s">
        <v>57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40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  <c r="AN9"/>
    </row>
    <row r="10" spans="2:40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40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40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40" ht="21" customHeight="1" x14ac:dyDescent="0.15">
      <c r="B13" s="152">
        <f>'하이로지스(호남) 날짜번경★'!B13+1</f>
        <v>46316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3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3</v>
      </c>
      <c r="X13" s="100"/>
      <c r="Y13" s="100"/>
      <c r="Z13" s="101"/>
      <c r="AA13" s="73">
        <f>B13+6-1</f>
        <v>46321</v>
      </c>
      <c r="AB13" s="84"/>
      <c r="AC13" s="84"/>
      <c r="AD13" s="84"/>
      <c r="AE13" s="84"/>
      <c r="AF13" s="84"/>
      <c r="AG13" s="84"/>
      <c r="AH13" s="85"/>
    </row>
    <row r="14" spans="2:40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3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73" t="e">
        <f>B12+5-1</f>
        <v>#VALUE!</v>
      </c>
      <c r="AB14" s="84"/>
      <c r="AC14" s="84"/>
      <c r="AD14" s="84"/>
      <c r="AE14" s="84"/>
      <c r="AF14" s="84"/>
      <c r="AG14" s="84"/>
      <c r="AH14" s="85"/>
    </row>
    <row r="15" spans="2:40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37</v>
      </c>
      <c r="R15" s="96"/>
      <c r="S15" s="97"/>
      <c r="T15" s="98">
        <f t="shared" si="0"/>
        <v>1</v>
      </c>
      <c r="U15" s="84"/>
      <c r="V15" s="84"/>
      <c r="W15" s="99">
        <f t="shared" si="1"/>
        <v>7</v>
      </c>
      <c r="X15" s="100"/>
      <c r="Y15" s="100"/>
      <c r="Z15" s="101"/>
      <c r="AA15" s="73">
        <f>B13+5-1</f>
        <v>46320</v>
      </c>
      <c r="AB15" s="84"/>
      <c r="AC15" s="84"/>
      <c r="AD15" s="84"/>
      <c r="AE15" s="84"/>
      <c r="AF15" s="84"/>
      <c r="AG15" s="84"/>
      <c r="AH15" s="85"/>
    </row>
    <row r="16" spans="2:40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4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4</v>
      </c>
      <c r="X16" s="100"/>
      <c r="Y16" s="100"/>
      <c r="Z16" s="101"/>
      <c r="AA16" s="73">
        <f>B13+5-1</f>
        <v>46320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6</v>
      </c>
      <c r="R17" s="96"/>
      <c r="S17" s="97"/>
      <c r="T17" s="98">
        <f t="shared" si="0"/>
        <v>0</v>
      </c>
      <c r="U17" s="84"/>
      <c r="V17" s="84"/>
      <c r="W17" s="99">
        <f t="shared" si="1"/>
        <v>6</v>
      </c>
      <c r="X17" s="100"/>
      <c r="Y17" s="100"/>
      <c r="Z17" s="101"/>
      <c r="AA17" s="73">
        <f>B13+5-1</f>
        <v>46320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1</v>
      </c>
      <c r="R18" s="96"/>
      <c r="S18" s="97"/>
      <c r="T18" s="98">
        <f t="shared" si="0"/>
        <v>0</v>
      </c>
      <c r="U18" s="84"/>
      <c r="V18" s="84"/>
      <c r="W18" s="99">
        <f t="shared" si="1"/>
        <v>1</v>
      </c>
      <c r="X18" s="100"/>
      <c r="Y18" s="100"/>
      <c r="Z18" s="101"/>
      <c r="AA18" s="73">
        <f>B13+5-1</f>
        <v>46320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1</v>
      </c>
      <c r="R19" s="96"/>
      <c r="S19" s="97"/>
      <c r="T19" s="98">
        <f t="shared" si="0"/>
        <v>0</v>
      </c>
      <c r="U19" s="84"/>
      <c r="V19" s="84"/>
      <c r="W19" s="99">
        <f t="shared" si="1"/>
        <v>1</v>
      </c>
      <c r="X19" s="100"/>
      <c r="Y19" s="100"/>
      <c r="Z19" s="101"/>
      <c r="AA19" s="73">
        <f>B13+5-1</f>
        <v>46320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0</v>
      </c>
      <c r="R20" s="96"/>
      <c r="S20" s="97"/>
      <c r="T20" s="98">
        <f t="shared" si="0"/>
        <v>0</v>
      </c>
      <c r="U20" s="84"/>
      <c r="V20" s="84"/>
      <c r="W20" s="99">
        <f t="shared" si="1"/>
        <v>0</v>
      </c>
      <c r="X20" s="100"/>
      <c r="Y20" s="100"/>
      <c r="Z20" s="101"/>
      <c r="AA20" s="72">
        <f>B13+5-1</f>
        <v>46320</v>
      </c>
      <c r="AB20" s="73"/>
      <c r="AC20" s="73"/>
      <c r="AD20" s="73"/>
      <c r="AE20" s="73"/>
      <c r="AF20" s="73"/>
      <c r="AG20" s="73"/>
      <c r="AH20" s="74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0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0</v>
      </c>
      <c r="X21" s="100"/>
      <c r="Y21" s="100"/>
      <c r="Z21" s="101"/>
      <c r="AA21" s="72">
        <f>B13+5-1</f>
        <v>46320</v>
      </c>
      <c r="AB21" s="73"/>
      <c r="AC21" s="73"/>
      <c r="AD21" s="73"/>
      <c r="AE21" s="73"/>
      <c r="AF21" s="73"/>
      <c r="AG21" s="73"/>
      <c r="AH21" s="74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6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6</v>
      </c>
      <c r="X22" s="100"/>
      <c r="Y22" s="100"/>
      <c r="Z22" s="101"/>
      <c r="AA22" s="72">
        <f>B13+5-1</f>
        <v>46320</v>
      </c>
      <c r="AB22" s="73"/>
      <c r="AC22" s="73"/>
      <c r="AD22" s="73"/>
      <c r="AE22" s="73"/>
      <c r="AF22" s="73"/>
      <c r="AG22" s="73"/>
      <c r="AH22" s="74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6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6</v>
      </c>
      <c r="X23" s="100"/>
      <c r="Y23" s="100"/>
      <c r="Z23" s="101"/>
      <c r="AA23" s="72">
        <f>B13+5-1</f>
        <v>46320</v>
      </c>
      <c r="AB23" s="73"/>
      <c r="AC23" s="73"/>
      <c r="AD23" s="73"/>
      <c r="AE23" s="73"/>
      <c r="AF23" s="73"/>
      <c r="AG23" s="73"/>
      <c r="AH23" s="74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72"/>
      <c r="AB24" s="73"/>
      <c r="AC24" s="73"/>
      <c r="AD24" s="73"/>
      <c r="AE24" s="73"/>
      <c r="AF24" s="73"/>
      <c r="AG24" s="73"/>
      <c r="AH24" s="74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67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25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tr">
        <f>G8</f>
        <v xml:space="preserve">강원도 강릉시 사천면 과학단지로 137-49  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25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BGF로지스강릉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강원도 강릉시 사천면 과학단지로 137-49 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46316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3</v>
      </c>
      <c r="R41" s="216"/>
      <c r="S41" s="216"/>
      <c r="T41" s="217">
        <f>T13</f>
        <v>0</v>
      </c>
      <c r="U41" s="217"/>
      <c r="V41" s="217"/>
      <c r="W41" s="218">
        <f>W13</f>
        <v>3</v>
      </c>
      <c r="X41" s="218"/>
      <c r="Y41" s="218"/>
      <c r="Z41" s="218"/>
      <c r="AA41" s="78">
        <f>AA13</f>
        <v>46321</v>
      </c>
      <c r="AB41" s="79"/>
      <c r="AC41" s="79"/>
      <c r="AD41" s="79"/>
      <c r="AE41" s="79"/>
      <c r="AF41" s="79"/>
      <c r="AG41" s="79"/>
      <c r="AH41" s="80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3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78" t="e">
        <f t="shared" ref="AA42:AA51" si="17">AA14</f>
        <v>#VALUE!</v>
      </c>
      <c r="AB42" s="79"/>
      <c r="AC42" s="79"/>
      <c r="AD42" s="79"/>
      <c r="AE42" s="79"/>
      <c r="AF42" s="79"/>
      <c r="AG42" s="79"/>
      <c r="AH42" s="80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37</v>
      </c>
      <c r="R43" s="216"/>
      <c r="S43" s="216"/>
      <c r="T43" s="217">
        <f t="shared" si="15"/>
        <v>1</v>
      </c>
      <c r="U43" s="217"/>
      <c r="V43" s="217"/>
      <c r="W43" s="218">
        <f t="shared" si="16"/>
        <v>7</v>
      </c>
      <c r="X43" s="218"/>
      <c r="Y43" s="218"/>
      <c r="Z43" s="218"/>
      <c r="AA43" s="78">
        <f t="shared" si="17"/>
        <v>46320</v>
      </c>
      <c r="AB43" s="79"/>
      <c r="AC43" s="79"/>
      <c r="AD43" s="79"/>
      <c r="AE43" s="79"/>
      <c r="AF43" s="79"/>
      <c r="AG43" s="79"/>
      <c r="AH43" s="80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4</v>
      </c>
      <c r="R44" s="216"/>
      <c r="S44" s="216"/>
      <c r="T44" s="217">
        <f t="shared" si="15"/>
        <v>0</v>
      </c>
      <c r="U44" s="217"/>
      <c r="V44" s="217"/>
      <c r="W44" s="218">
        <f t="shared" si="16"/>
        <v>4</v>
      </c>
      <c r="X44" s="218"/>
      <c r="Y44" s="218"/>
      <c r="Z44" s="218"/>
      <c r="AA44" s="78">
        <f t="shared" si="17"/>
        <v>46320</v>
      </c>
      <c r="AB44" s="79"/>
      <c r="AC44" s="79"/>
      <c r="AD44" s="79"/>
      <c r="AE44" s="79"/>
      <c r="AF44" s="79"/>
      <c r="AG44" s="79"/>
      <c r="AH44" s="80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6</v>
      </c>
      <c r="R45" s="216"/>
      <c r="S45" s="216"/>
      <c r="T45" s="217">
        <f t="shared" si="15"/>
        <v>0</v>
      </c>
      <c r="U45" s="217"/>
      <c r="V45" s="217"/>
      <c r="W45" s="218">
        <f t="shared" si="16"/>
        <v>6</v>
      </c>
      <c r="X45" s="218"/>
      <c r="Y45" s="218"/>
      <c r="Z45" s="218"/>
      <c r="AA45" s="78">
        <f t="shared" si="17"/>
        <v>46320</v>
      </c>
      <c r="AB45" s="79"/>
      <c r="AC45" s="79"/>
      <c r="AD45" s="79"/>
      <c r="AE45" s="79"/>
      <c r="AF45" s="79"/>
      <c r="AG45" s="79"/>
      <c r="AH45" s="80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1</v>
      </c>
      <c r="R46" s="216"/>
      <c r="S46" s="216"/>
      <c r="T46" s="217">
        <f t="shared" si="15"/>
        <v>0</v>
      </c>
      <c r="U46" s="217"/>
      <c r="V46" s="217"/>
      <c r="W46" s="218">
        <f t="shared" si="16"/>
        <v>1</v>
      </c>
      <c r="X46" s="218"/>
      <c r="Y46" s="218"/>
      <c r="Z46" s="218"/>
      <c r="AA46" s="78">
        <f t="shared" si="17"/>
        <v>46320</v>
      </c>
      <c r="AB46" s="79"/>
      <c r="AC46" s="79"/>
      <c r="AD46" s="79"/>
      <c r="AE46" s="79"/>
      <c r="AF46" s="79"/>
      <c r="AG46" s="79"/>
      <c r="AH46" s="80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1</v>
      </c>
      <c r="R47" s="216"/>
      <c r="S47" s="216"/>
      <c r="T47" s="217">
        <f t="shared" si="15"/>
        <v>0</v>
      </c>
      <c r="U47" s="217"/>
      <c r="V47" s="217"/>
      <c r="W47" s="218">
        <f t="shared" si="16"/>
        <v>1</v>
      </c>
      <c r="X47" s="218"/>
      <c r="Y47" s="218"/>
      <c r="Z47" s="218"/>
      <c r="AA47" s="78">
        <f t="shared" si="17"/>
        <v>46320</v>
      </c>
      <c r="AB47" s="79"/>
      <c r="AC47" s="79"/>
      <c r="AD47" s="79"/>
      <c r="AE47" s="79"/>
      <c r="AF47" s="79"/>
      <c r="AG47" s="79"/>
      <c r="AH47" s="80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0</v>
      </c>
      <c r="R48" s="216"/>
      <c r="S48" s="216"/>
      <c r="T48" s="217">
        <f t="shared" si="15"/>
        <v>0</v>
      </c>
      <c r="U48" s="217"/>
      <c r="V48" s="217"/>
      <c r="W48" s="218">
        <f t="shared" si="16"/>
        <v>0</v>
      </c>
      <c r="X48" s="218"/>
      <c r="Y48" s="218"/>
      <c r="Z48" s="218"/>
      <c r="AA48" s="78">
        <f t="shared" si="17"/>
        <v>46320</v>
      </c>
      <c r="AB48" s="79"/>
      <c r="AC48" s="79"/>
      <c r="AD48" s="79"/>
      <c r="AE48" s="79"/>
      <c r="AF48" s="79"/>
      <c r="AG48" s="79"/>
      <c r="AH48" s="80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0</v>
      </c>
      <c r="R49" s="216"/>
      <c r="S49" s="216"/>
      <c r="T49" s="217">
        <f t="shared" si="15"/>
        <v>0</v>
      </c>
      <c r="U49" s="217"/>
      <c r="V49" s="217"/>
      <c r="W49" s="218">
        <f t="shared" si="16"/>
        <v>0</v>
      </c>
      <c r="X49" s="218"/>
      <c r="Y49" s="218"/>
      <c r="Z49" s="218"/>
      <c r="AA49" s="78">
        <f t="shared" si="17"/>
        <v>46320</v>
      </c>
      <c r="AB49" s="79"/>
      <c r="AC49" s="79"/>
      <c r="AD49" s="79"/>
      <c r="AE49" s="79"/>
      <c r="AF49" s="79"/>
      <c r="AG49" s="79"/>
      <c r="AH49" s="80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6</v>
      </c>
      <c r="R50" s="216"/>
      <c r="S50" s="216"/>
      <c r="T50" s="217">
        <f t="shared" si="15"/>
        <v>0</v>
      </c>
      <c r="U50" s="217"/>
      <c r="V50" s="217"/>
      <c r="W50" s="218">
        <f t="shared" si="16"/>
        <v>6</v>
      </c>
      <c r="X50" s="218"/>
      <c r="Y50" s="218"/>
      <c r="Z50" s="218"/>
      <c r="AA50" s="78">
        <f t="shared" si="17"/>
        <v>46320</v>
      </c>
      <c r="AB50" s="79"/>
      <c r="AC50" s="79"/>
      <c r="AD50" s="79"/>
      <c r="AE50" s="79"/>
      <c r="AF50" s="79"/>
      <c r="AG50" s="79"/>
      <c r="AH50" s="80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6</v>
      </c>
      <c r="R51" s="216"/>
      <c r="S51" s="216"/>
      <c r="T51" s="217">
        <f>T23</f>
        <v>0</v>
      </c>
      <c r="U51" s="217"/>
      <c r="V51" s="217"/>
      <c r="W51" s="218">
        <f t="shared" si="16"/>
        <v>6</v>
      </c>
      <c r="X51" s="218"/>
      <c r="Y51" s="218"/>
      <c r="Z51" s="218"/>
      <c r="AA51" s="78">
        <f t="shared" si="17"/>
        <v>46320</v>
      </c>
      <c r="AB51" s="79"/>
      <c r="AC51" s="79"/>
      <c r="AD51" s="79"/>
      <c r="AE51" s="79"/>
      <c r="AF51" s="79"/>
      <c r="AG51" s="79"/>
      <c r="AH51" s="80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67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25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 xml:space="preserve">강원도 강릉시 사천면 과학단지로 137-49  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25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V34:AA35"/>
    <mergeCell ref="AB34:AC35"/>
    <mergeCell ref="AD34:AH35"/>
    <mergeCell ref="C36:F37"/>
    <mergeCell ref="AA51:AH51"/>
    <mergeCell ref="E47:L47"/>
    <mergeCell ref="M47:P47"/>
    <mergeCell ref="Q47:S47"/>
    <mergeCell ref="T47:V47"/>
    <mergeCell ref="W47:Z47"/>
    <mergeCell ref="AA47:AH47"/>
    <mergeCell ref="E50:L50"/>
    <mergeCell ref="M50:P50"/>
    <mergeCell ref="Q50:S50"/>
    <mergeCell ref="T50:V50"/>
    <mergeCell ref="W50:Z50"/>
    <mergeCell ref="AA50:AH50"/>
    <mergeCell ref="AA48:AH48"/>
    <mergeCell ref="E51:L51"/>
    <mergeCell ref="M51:P51"/>
    <mergeCell ref="Q51:S51"/>
    <mergeCell ref="T51:V51"/>
    <mergeCell ref="W51:Z51"/>
    <mergeCell ref="E48:L48"/>
    <mergeCell ref="M48:P48"/>
    <mergeCell ref="Q48:S48"/>
    <mergeCell ref="T48:V48"/>
    <mergeCell ref="W48:Z48"/>
    <mergeCell ref="B54:V55"/>
    <mergeCell ref="W54:AH55"/>
    <mergeCell ref="E52:L52"/>
    <mergeCell ref="M52:P52"/>
    <mergeCell ref="Q52:S52"/>
    <mergeCell ref="T52:V52"/>
    <mergeCell ref="W52:Z52"/>
    <mergeCell ref="AA52:AH52"/>
    <mergeCell ref="B53:D53"/>
    <mergeCell ref="E53:L53"/>
    <mergeCell ref="M53:Z53"/>
    <mergeCell ref="AA53:AH53"/>
    <mergeCell ref="E49:L49"/>
    <mergeCell ref="M49:P49"/>
    <mergeCell ref="Q49:S49"/>
    <mergeCell ref="T49:V49"/>
    <mergeCell ref="W49:Z49"/>
    <mergeCell ref="AA49:AH49"/>
    <mergeCell ref="AA44:AH44"/>
    <mergeCell ref="E44:L44"/>
    <mergeCell ref="M44:P44"/>
    <mergeCell ref="Q44:S44"/>
    <mergeCell ref="T44:V44"/>
    <mergeCell ref="W44:Z44"/>
    <mergeCell ref="E46:L46"/>
    <mergeCell ref="M46:P46"/>
    <mergeCell ref="Q46:S46"/>
    <mergeCell ref="T46:V46"/>
    <mergeCell ref="W46:Z46"/>
    <mergeCell ref="E45:L45"/>
    <mergeCell ref="M45:P45"/>
    <mergeCell ref="Q45:S45"/>
    <mergeCell ref="T45:V45"/>
    <mergeCell ref="W45:Z45"/>
    <mergeCell ref="AA45:AH45"/>
    <mergeCell ref="Q43:S43"/>
    <mergeCell ref="T43:V43"/>
    <mergeCell ref="W43:Z43"/>
    <mergeCell ref="AA43:AH43"/>
    <mergeCell ref="AA41:AH41"/>
    <mergeCell ref="AA40:AH40"/>
    <mergeCell ref="B41:D41"/>
    <mergeCell ref="E41:L41"/>
    <mergeCell ref="M41:P41"/>
    <mergeCell ref="Q41:S41"/>
    <mergeCell ref="T41:V41"/>
    <mergeCell ref="W41:Z41"/>
    <mergeCell ref="E40:L40"/>
    <mergeCell ref="M40:P40"/>
    <mergeCell ref="Q40:S40"/>
    <mergeCell ref="T40:V40"/>
    <mergeCell ref="W40:Z40"/>
    <mergeCell ref="E42:L42"/>
    <mergeCell ref="M42:P42"/>
    <mergeCell ref="Q42:S42"/>
    <mergeCell ref="T42:V42"/>
    <mergeCell ref="W42:Z42"/>
    <mergeCell ref="AA42:AH42"/>
    <mergeCell ref="B25:D25"/>
    <mergeCell ref="E25:L25"/>
    <mergeCell ref="M25:Z25"/>
    <mergeCell ref="AA25:AH25"/>
    <mergeCell ref="B26:V27"/>
    <mergeCell ref="W26:AH27"/>
    <mergeCell ref="R32:U33"/>
    <mergeCell ref="V32:AH33"/>
    <mergeCell ref="C34:F35"/>
    <mergeCell ref="G34:K35"/>
    <mergeCell ref="L34:P35"/>
    <mergeCell ref="B30:AH31"/>
    <mergeCell ref="B32:B39"/>
    <mergeCell ref="C32:F33"/>
    <mergeCell ref="G32:P33"/>
    <mergeCell ref="Q32:Q39"/>
    <mergeCell ref="G36:P37"/>
    <mergeCell ref="C38:F39"/>
    <mergeCell ref="G38:P39"/>
    <mergeCell ref="R38:U39"/>
    <mergeCell ref="V38:AA39"/>
    <mergeCell ref="AB38:AC39"/>
    <mergeCell ref="AD38:AH39"/>
    <mergeCell ref="R34:U35"/>
    <mergeCell ref="AA19:AH19"/>
    <mergeCell ref="E23:L23"/>
    <mergeCell ref="M23:P23"/>
    <mergeCell ref="Q23:S23"/>
    <mergeCell ref="T23:V23"/>
    <mergeCell ref="W23:Z23"/>
    <mergeCell ref="AA23:AH23"/>
    <mergeCell ref="E20:L20"/>
    <mergeCell ref="M20:P20"/>
    <mergeCell ref="Q20:S20"/>
    <mergeCell ref="T20:V20"/>
    <mergeCell ref="W20:Z20"/>
    <mergeCell ref="AA20:AH20"/>
    <mergeCell ref="E22:L22"/>
    <mergeCell ref="M22:P22"/>
    <mergeCell ref="Q22:S22"/>
    <mergeCell ref="T22:V22"/>
    <mergeCell ref="W22:Z22"/>
    <mergeCell ref="AA22:AH22"/>
    <mergeCell ref="Q21:S21"/>
    <mergeCell ref="T21:V21"/>
    <mergeCell ref="W21:Z21"/>
    <mergeCell ref="AA21:AH21"/>
    <mergeCell ref="M18:P18"/>
    <mergeCell ref="Q18:S18"/>
    <mergeCell ref="E24:L24"/>
    <mergeCell ref="M24:P24"/>
    <mergeCell ref="Q24:S24"/>
    <mergeCell ref="T24:V24"/>
    <mergeCell ref="W24:Z24"/>
    <mergeCell ref="E19:L19"/>
    <mergeCell ref="M19:P19"/>
    <mergeCell ref="Q19:S19"/>
    <mergeCell ref="T19:V19"/>
    <mergeCell ref="W19:Z19"/>
    <mergeCell ref="T18:V18"/>
    <mergeCell ref="W18:Z18"/>
    <mergeCell ref="E21:L21"/>
    <mergeCell ref="M21:P21"/>
    <mergeCell ref="B13:D13"/>
    <mergeCell ref="E13:L13"/>
    <mergeCell ref="M13:P13"/>
    <mergeCell ref="Q13:S13"/>
    <mergeCell ref="T13:V13"/>
    <mergeCell ref="W13:Z13"/>
    <mergeCell ref="V8:AH9"/>
    <mergeCell ref="AA15:AH15"/>
    <mergeCell ref="AA13:AH13"/>
    <mergeCell ref="E12:L12"/>
    <mergeCell ref="M12:P12"/>
    <mergeCell ref="Q12:S12"/>
    <mergeCell ref="T12:V12"/>
    <mergeCell ref="W12:Z12"/>
    <mergeCell ref="T15:V15"/>
    <mergeCell ref="W15:Z15"/>
    <mergeCell ref="E14:L14"/>
    <mergeCell ref="M14:P14"/>
    <mergeCell ref="Q14:S14"/>
    <mergeCell ref="T14:V14"/>
    <mergeCell ref="W14:Z14"/>
    <mergeCell ref="AA14:AH1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AA24:AH24"/>
    <mergeCell ref="R36:U37"/>
    <mergeCell ref="V36:AH37"/>
    <mergeCell ref="AA46:AH46"/>
    <mergeCell ref="E43:L43"/>
    <mergeCell ref="M43:P43"/>
    <mergeCell ref="AA18:AH18"/>
    <mergeCell ref="AA12:AH12"/>
    <mergeCell ref="E15:L15"/>
    <mergeCell ref="M15:P15"/>
    <mergeCell ref="Q15:S15"/>
    <mergeCell ref="AA17:AH17"/>
    <mergeCell ref="AA16:AH16"/>
    <mergeCell ref="E16:L16"/>
    <mergeCell ref="M16:P16"/>
    <mergeCell ref="Q16:S16"/>
    <mergeCell ref="T16:V16"/>
    <mergeCell ref="W16:Z16"/>
    <mergeCell ref="E17:L17"/>
    <mergeCell ref="M17:P17"/>
    <mergeCell ref="Q17:S17"/>
    <mergeCell ref="T17:V17"/>
    <mergeCell ref="W17:Z17"/>
    <mergeCell ref="E18:L18"/>
  </mergeCells>
  <phoneticPr fontId="2" type="noConversion"/>
  <conditionalFormatting sqref="AA13:AH13">
    <cfRule type="expression" dxfId="466" priority="1903">
      <formula>Q13:S27=0</formula>
    </cfRule>
  </conditionalFormatting>
  <conditionalFormatting sqref="AA15:AH15">
    <cfRule type="expression" dxfId="465" priority="11">
      <formula>Q15:S27=0</formula>
    </cfRule>
  </conditionalFormatting>
  <conditionalFormatting sqref="AA16:AH19 AA43:AH51">
    <cfRule type="expression" dxfId="464" priority="6">
      <formula>Q16:S26=0</formula>
    </cfRule>
  </conditionalFormatting>
  <conditionalFormatting sqref="AA20:AH21">
    <cfRule type="expression" dxfId="463" priority="4">
      <formula>Q20:S29=0</formula>
    </cfRule>
  </conditionalFormatting>
  <conditionalFormatting sqref="AA22:AH22">
    <cfRule type="expression" dxfId="462" priority="2661">
      <formula>Q22:S30=0</formula>
    </cfRule>
  </conditionalFormatting>
  <conditionalFormatting sqref="AA23:AH24">
    <cfRule type="expression" dxfId="461" priority="2837">
      <formula>Q23:S30=0</formula>
    </cfRule>
  </conditionalFormatting>
  <conditionalFormatting sqref="AA52:AH52">
    <cfRule type="expression" dxfId="460" priority="2918">
      <formula>Q52:S52=0</formula>
    </cfRule>
  </conditionalFormatting>
  <conditionalFormatting sqref="AA41:AH41">
    <cfRule type="expression" dxfId="459" priority="3104">
      <formula>Q41:S52=0</formula>
    </cfRule>
  </conditionalFormatting>
  <conditionalFormatting sqref="AA14:AH14">
    <cfRule type="expression" dxfId="37" priority="2">
      <formula>Q14:S26=0</formula>
    </cfRule>
  </conditionalFormatting>
  <conditionalFormatting sqref="AA42:AH42">
    <cfRule type="expression" dxfId="26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B12:B26 C42:D52 E12:E24 AA40:AA52 M8:M24 T13:T24 AA12:AA24 Q41:Q52 M36:M53 T41:T52 B40:B54 E40:E53 Q13:Q24" xr:uid="{FC3881A3-E706-487A-968A-08B6E9CBC6E9}"/>
  </dataValidations>
  <printOptions horizontalCentered="1"/>
  <pageMargins left="0" right="0" top="0.11811023622047245" bottom="0" header="0" footer="0"/>
  <pageSetup paperSize="9" scale="8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9408-729C-4451-B40A-226B0D9F1221}">
  <sheetPr>
    <tabColor rgb="FFAC75D5"/>
    <pageSetUpPr fitToPage="1"/>
  </sheetPr>
  <dimension ref="B1:AP55"/>
  <sheetViews>
    <sheetView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33" width="2.33203125" style="1"/>
    <col min="34" max="34" width="2.33203125" style="1" customWidth="1"/>
    <col min="35" max="35" width="2.33203125" style="1"/>
    <col min="36" max="36" width="20.88671875" style="1" bestFit="1" customWidth="1"/>
    <col min="37" max="37" width="3.5546875" style="1" bestFit="1" customWidth="1"/>
    <col min="38" max="16384" width="2.33203125" style="1"/>
  </cols>
  <sheetData>
    <row r="1" spans="2:42" ht="14.25" thickBot="1" x14ac:dyDescent="0.2">
      <c r="B1" s="3" t="s">
        <v>95</v>
      </c>
    </row>
    <row r="2" spans="2:42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42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42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42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42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98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42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42" x14ac:dyDescent="0.15">
      <c r="B8" s="110"/>
      <c r="C8" s="113" t="s">
        <v>4</v>
      </c>
      <c r="D8" s="121"/>
      <c r="E8" s="121"/>
      <c r="F8" s="121"/>
      <c r="G8" s="148" t="s">
        <v>100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42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  <c r="AP9"/>
    </row>
    <row r="10" spans="2:42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42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42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42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1</v>
      </c>
      <c r="R13" s="96"/>
      <c r="S13" s="97"/>
      <c r="T13" s="98">
        <f t="shared" ref="T13:T14" si="0">IFERROR(ROUNDDOWN(Q13/M13,0),"")</f>
        <v>0</v>
      </c>
      <c r="U13" s="84"/>
      <c r="V13" s="84"/>
      <c r="W13" s="99">
        <f t="shared" ref="W13:W14" si="1">IFERROR(Q13-(T13*M13),"")</f>
        <v>1</v>
      </c>
      <c r="X13" s="100"/>
      <c r="Y13" s="100"/>
      <c r="Z13" s="101"/>
      <c r="AA13" s="73">
        <f>B13+6</f>
        <v>46321</v>
      </c>
      <c r="AB13" s="84"/>
      <c r="AC13" s="84"/>
      <c r="AD13" s="84"/>
      <c r="AE13" s="84"/>
      <c r="AF13" s="84"/>
      <c r="AG13" s="84"/>
      <c r="AH13" s="85"/>
      <c r="AJ13"/>
      <c r="AK13"/>
    </row>
    <row r="14" spans="2:42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1</v>
      </c>
      <c r="R14" s="96"/>
      <c r="S14" s="97"/>
      <c r="T14" s="98" t="str">
        <f t="shared" si="0"/>
        <v/>
      </c>
      <c r="U14" s="84"/>
      <c r="V14" s="84"/>
      <c r="W14" s="99" t="str">
        <f t="shared" si="1"/>
        <v/>
      </c>
      <c r="X14" s="100"/>
      <c r="Y14" s="100"/>
      <c r="Z14" s="101"/>
      <c r="AA14" s="73" t="e">
        <f>B12+5</f>
        <v>#VALUE!</v>
      </c>
      <c r="AB14" s="84"/>
      <c r="AC14" s="84"/>
      <c r="AD14" s="84"/>
      <c r="AE14" s="84"/>
      <c r="AF14" s="84"/>
      <c r="AG14" s="84"/>
      <c r="AH14" s="85"/>
      <c r="AJ14"/>
      <c r="AK14"/>
    </row>
    <row r="15" spans="2:42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64</v>
      </c>
      <c r="R15" s="96"/>
      <c r="S15" s="97"/>
      <c r="T15" s="98">
        <f t="shared" ref="T15:T20" si="2">IFERROR(ROUNDDOWN(Q15/M15,0),"")</f>
        <v>2</v>
      </c>
      <c r="U15" s="84"/>
      <c r="V15" s="84"/>
      <c r="W15" s="99">
        <f t="shared" ref="W15:W20" si="3">IFERROR(Q15-(T15*M15),"")</f>
        <v>4</v>
      </c>
      <c r="X15" s="100"/>
      <c r="Y15" s="100"/>
      <c r="Z15" s="101"/>
      <c r="AA15" s="73">
        <f>B13+5</f>
        <v>46320</v>
      </c>
      <c r="AB15" s="84"/>
      <c r="AC15" s="84"/>
      <c r="AD15" s="84"/>
      <c r="AE15" s="84"/>
      <c r="AF15" s="84"/>
      <c r="AG15" s="84"/>
      <c r="AH15" s="85"/>
      <c r="AJ15"/>
      <c r="AK15"/>
    </row>
    <row r="16" spans="2:42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15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15</v>
      </c>
      <c r="X16" s="100"/>
      <c r="Y16" s="100"/>
      <c r="Z16" s="101"/>
      <c r="AA16" s="73">
        <f>B13+5-1</f>
        <v>46319</v>
      </c>
      <c r="AB16" s="84"/>
      <c r="AC16" s="84"/>
      <c r="AD16" s="84"/>
      <c r="AE16" s="84"/>
      <c r="AF16" s="84"/>
      <c r="AG16" s="84"/>
      <c r="AH16" s="85"/>
      <c r="AJ16"/>
      <c r="AK16"/>
    </row>
    <row r="17" spans="2:37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21</v>
      </c>
      <c r="R17" s="96"/>
      <c r="S17" s="97"/>
      <c r="T17" s="98">
        <f t="shared" si="2"/>
        <v>0</v>
      </c>
      <c r="U17" s="84"/>
      <c r="V17" s="84"/>
      <c r="W17" s="99">
        <f t="shared" si="3"/>
        <v>21</v>
      </c>
      <c r="X17" s="100"/>
      <c r="Y17" s="100"/>
      <c r="Z17" s="101"/>
      <c r="AA17" s="73">
        <f>B13+5-1</f>
        <v>46319</v>
      </c>
      <c r="AB17" s="84"/>
      <c r="AC17" s="84"/>
      <c r="AD17" s="84"/>
      <c r="AE17" s="84"/>
      <c r="AF17" s="84"/>
      <c r="AG17" s="84"/>
      <c r="AH17" s="85"/>
      <c r="AJ17"/>
      <c r="AK17"/>
    </row>
    <row r="18" spans="2:37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1</v>
      </c>
      <c r="R18" s="96"/>
      <c r="S18" s="97"/>
      <c r="T18" s="98">
        <f t="shared" si="2"/>
        <v>0</v>
      </c>
      <c r="U18" s="84"/>
      <c r="V18" s="84"/>
      <c r="W18" s="99">
        <f t="shared" si="3"/>
        <v>1</v>
      </c>
      <c r="X18" s="100"/>
      <c r="Y18" s="100"/>
      <c r="Z18" s="101"/>
      <c r="AA18" s="73">
        <f>B13+5-1</f>
        <v>46319</v>
      </c>
      <c r="AB18" s="84"/>
      <c r="AC18" s="84"/>
      <c r="AD18" s="84"/>
      <c r="AE18" s="84"/>
      <c r="AF18" s="84"/>
      <c r="AG18" s="84"/>
      <c r="AH18" s="85"/>
      <c r="AJ18"/>
      <c r="AK18"/>
    </row>
    <row r="19" spans="2:37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1</v>
      </c>
      <c r="R19" s="96"/>
      <c r="S19" s="97"/>
      <c r="T19" s="98">
        <f t="shared" si="2"/>
        <v>0</v>
      </c>
      <c r="U19" s="84"/>
      <c r="V19" s="84"/>
      <c r="W19" s="99">
        <f t="shared" si="3"/>
        <v>1</v>
      </c>
      <c r="X19" s="100"/>
      <c r="Y19" s="100"/>
      <c r="Z19" s="101"/>
      <c r="AA19" s="73">
        <f>B13+5-1</f>
        <v>46319</v>
      </c>
      <c r="AB19" s="84"/>
      <c r="AC19" s="84"/>
      <c r="AD19" s="84"/>
      <c r="AE19" s="84"/>
      <c r="AF19" s="84"/>
      <c r="AG19" s="84"/>
      <c r="AH19" s="85"/>
      <c r="AJ19"/>
      <c r="AK19"/>
    </row>
    <row r="20" spans="2:37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3</v>
      </c>
      <c r="R20" s="96"/>
      <c r="S20" s="97"/>
      <c r="T20" s="98">
        <f t="shared" si="2"/>
        <v>0</v>
      </c>
      <c r="U20" s="84"/>
      <c r="V20" s="84"/>
      <c r="W20" s="99">
        <f t="shared" si="3"/>
        <v>3</v>
      </c>
      <c r="X20" s="100"/>
      <c r="Y20" s="100"/>
      <c r="Z20" s="101"/>
      <c r="AA20" s="72">
        <f>B13+5</f>
        <v>46320</v>
      </c>
      <c r="AB20" s="73"/>
      <c r="AC20" s="73"/>
      <c r="AD20" s="73"/>
      <c r="AE20" s="73"/>
      <c r="AF20" s="73"/>
      <c r="AG20" s="73"/>
      <c r="AH20" s="74"/>
      <c r="AJ20"/>
      <c r="AK20"/>
    </row>
    <row r="21" spans="2:37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1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1</v>
      </c>
      <c r="X21" s="100"/>
      <c r="Y21" s="100"/>
      <c r="Z21" s="101"/>
      <c r="AA21" s="72">
        <f>B13+5-1</f>
        <v>46319</v>
      </c>
      <c r="AB21" s="73"/>
      <c r="AC21" s="73"/>
      <c r="AD21" s="73"/>
      <c r="AE21" s="73"/>
      <c r="AF21" s="73"/>
      <c r="AG21" s="73"/>
      <c r="AH21" s="74"/>
      <c r="AJ21"/>
      <c r="AK21"/>
    </row>
    <row r="22" spans="2:37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13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13</v>
      </c>
      <c r="X22" s="100"/>
      <c r="Y22" s="100"/>
      <c r="Z22" s="101"/>
      <c r="AA22" s="72">
        <f>B13+5-1</f>
        <v>46319</v>
      </c>
      <c r="AB22" s="73"/>
      <c r="AC22" s="73"/>
      <c r="AD22" s="73"/>
      <c r="AE22" s="73"/>
      <c r="AF22" s="73"/>
      <c r="AG22" s="73"/>
      <c r="AH22" s="74"/>
      <c r="AJ22"/>
      <c r="AK22"/>
    </row>
    <row r="23" spans="2:37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3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3</v>
      </c>
      <c r="X23" s="100"/>
      <c r="Y23" s="100"/>
      <c r="Z23" s="101"/>
      <c r="AA23" s="72">
        <f>B13+5</f>
        <v>46320</v>
      </c>
      <c r="AB23" s="73"/>
      <c r="AC23" s="73"/>
      <c r="AD23" s="73"/>
      <c r="AE23" s="73"/>
      <c r="AF23" s="73"/>
      <c r="AG23" s="73"/>
      <c r="AH23" s="74"/>
      <c r="AJ23"/>
      <c r="AK23"/>
    </row>
    <row r="24" spans="2:37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72"/>
      <c r="AB24" s="73"/>
      <c r="AC24" s="73"/>
      <c r="AD24" s="73"/>
      <c r="AE24" s="73"/>
      <c r="AF24" s="73"/>
      <c r="AG24" s="73"/>
      <c r="AH24" s="74"/>
      <c r="AJ24"/>
      <c r="AK24"/>
    </row>
    <row r="25" spans="2:37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124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7" ht="17.25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tr">
        <f>G8</f>
        <v>제주특별자치도 서귀포시 토평공단로155번길 45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7" ht="17.25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7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7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7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7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7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BGF로지스서귀포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제주특별자치도 서귀포시 토평공단로155번길 45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1</v>
      </c>
      <c r="R41" s="216"/>
      <c r="S41" s="216"/>
      <c r="T41" s="217">
        <f>T13</f>
        <v>0</v>
      </c>
      <c r="U41" s="217"/>
      <c r="V41" s="217"/>
      <c r="W41" s="218">
        <f>W13</f>
        <v>1</v>
      </c>
      <c r="X41" s="218"/>
      <c r="Y41" s="218"/>
      <c r="Z41" s="218"/>
      <c r="AA41" s="78">
        <f>AA13</f>
        <v>46321</v>
      </c>
      <c r="AB41" s="79"/>
      <c r="AC41" s="79"/>
      <c r="AD41" s="79"/>
      <c r="AE41" s="79"/>
      <c r="AF41" s="79"/>
      <c r="AG41" s="79"/>
      <c r="AH41" s="80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1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78" t="e">
        <f t="shared" ref="AA42:AA51" si="17">AA14</f>
        <v>#VALUE!</v>
      </c>
      <c r="AB42" s="79"/>
      <c r="AC42" s="79"/>
      <c r="AD42" s="79"/>
      <c r="AE42" s="79"/>
      <c r="AF42" s="79"/>
      <c r="AG42" s="79"/>
      <c r="AH42" s="80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64</v>
      </c>
      <c r="R43" s="216"/>
      <c r="S43" s="216"/>
      <c r="T43" s="217">
        <f t="shared" si="15"/>
        <v>2</v>
      </c>
      <c r="U43" s="217"/>
      <c r="V43" s="217"/>
      <c r="W43" s="218">
        <f t="shared" si="16"/>
        <v>4</v>
      </c>
      <c r="X43" s="218"/>
      <c r="Y43" s="218"/>
      <c r="Z43" s="218"/>
      <c r="AA43" s="78">
        <f t="shared" si="17"/>
        <v>46320</v>
      </c>
      <c r="AB43" s="79"/>
      <c r="AC43" s="79"/>
      <c r="AD43" s="79"/>
      <c r="AE43" s="79"/>
      <c r="AF43" s="79"/>
      <c r="AG43" s="79"/>
      <c r="AH43" s="80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15</v>
      </c>
      <c r="R44" s="216"/>
      <c r="S44" s="216"/>
      <c r="T44" s="217">
        <f t="shared" si="15"/>
        <v>0</v>
      </c>
      <c r="U44" s="217"/>
      <c r="V44" s="217"/>
      <c r="W44" s="218">
        <f t="shared" si="16"/>
        <v>15</v>
      </c>
      <c r="X44" s="218"/>
      <c r="Y44" s="218"/>
      <c r="Z44" s="218"/>
      <c r="AA44" s="78">
        <f t="shared" si="17"/>
        <v>46319</v>
      </c>
      <c r="AB44" s="79"/>
      <c r="AC44" s="79"/>
      <c r="AD44" s="79"/>
      <c r="AE44" s="79"/>
      <c r="AF44" s="79"/>
      <c r="AG44" s="79"/>
      <c r="AH44" s="80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21</v>
      </c>
      <c r="R45" s="216"/>
      <c r="S45" s="216"/>
      <c r="T45" s="217">
        <f t="shared" si="15"/>
        <v>0</v>
      </c>
      <c r="U45" s="217"/>
      <c r="V45" s="217"/>
      <c r="W45" s="218">
        <f t="shared" si="16"/>
        <v>21</v>
      </c>
      <c r="X45" s="218"/>
      <c r="Y45" s="218"/>
      <c r="Z45" s="218"/>
      <c r="AA45" s="78">
        <f t="shared" si="17"/>
        <v>46319</v>
      </c>
      <c r="AB45" s="79"/>
      <c r="AC45" s="79"/>
      <c r="AD45" s="79"/>
      <c r="AE45" s="79"/>
      <c r="AF45" s="79"/>
      <c r="AG45" s="79"/>
      <c r="AH45" s="80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1</v>
      </c>
      <c r="R46" s="216"/>
      <c r="S46" s="216"/>
      <c r="T46" s="217">
        <f t="shared" si="15"/>
        <v>0</v>
      </c>
      <c r="U46" s="217"/>
      <c r="V46" s="217"/>
      <c r="W46" s="218">
        <f t="shared" si="16"/>
        <v>1</v>
      </c>
      <c r="X46" s="218"/>
      <c r="Y46" s="218"/>
      <c r="Z46" s="218"/>
      <c r="AA46" s="78">
        <f t="shared" si="17"/>
        <v>46319</v>
      </c>
      <c r="AB46" s="79"/>
      <c r="AC46" s="79"/>
      <c r="AD46" s="79"/>
      <c r="AE46" s="79"/>
      <c r="AF46" s="79"/>
      <c r="AG46" s="79"/>
      <c r="AH46" s="80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1</v>
      </c>
      <c r="R47" s="216"/>
      <c r="S47" s="216"/>
      <c r="T47" s="217">
        <f t="shared" si="15"/>
        <v>0</v>
      </c>
      <c r="U47" s="217"/>
      <c r="V47" s="217"/>
      <c r="W47" s="218">
        <f t="shared" si="16"/>
        <v>1</v>
      </c>
      <c r="X47" s="218"/>
      <c r="Y47" s="218"/>
      <c r="Z47" s="218"/>
      <c r="AA47" s="78">
        <f t="shared" si="17"/>
        <v>46319</v>
      </c>
      <c r="AB47" s="79"/>
      <c r="AC47" s="79"/>
      <c r="AD47" s="79"/>
      <c r="AE47" s="79"/>
      <c r="AF47" s="79"/>
      <c r="AG47" s="79"/>
      <c r="AH47" s="80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3</v>
      </c>
      <c r="R48" s="216"/>
      <c r="S48" s="216"/>
      <c r="T48" s="217">
        <f t="shared" si="15"/>
        <v>0</v>
      </c>
      <c r="U48" s="217"/>
      <c r="V48" s="217"/>
      <c r="W48" s="218">
        <f t="shared" si="16"/>
        <v>3</v>
      </c>
      <c r="X48" s="218"/>
      <c r="Y48" s="218"/>
      <c r="Z48" s="218"/>
      <c r="AA48" s="78">
        <f t="shared" si="17"/>
        <v>46320</v>
      </c>
      <c r="AB48" s="79"/>
      <c r="AC48" s="79"/>
      <c r="AD48" s="79"/>
      <c r="AE48" s="79"/>
      <c r="AF48" s="79"/>
      <c r="AG48" s="79"/>
      <c r="AH48" s="80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1</v>
      </c>
      <c r="R49" s="216"/>
      <c r="S49" s="216"/>
      <c r="T49" s="217">
        <f t="shared" si="15"/>
        <v>0</v>
      </c>
      <c r="U49" s="217"/>
      <c r="V49" s="217"/>
      <c r="W49" s="218">
        <f t="shared" si="16"/>
        <v>1</v>
      </c>
      <c r="X49" s="218"/>
      <c r="Y49" s="218"/>
      <c r="Z49" s="218"/>
      <c r="AA49" s="78">
        <f t="shared" si="17"/>
        <v>46319</v>
      </c>
      <c r="AB49" s="79"/>
      <c r="AC49" s="79"/>
      <c r="AD49" s="79"/>
      <c r="AE49" s="79"/>
      <c r="AF49" s="79"/>
      <c r="AG49" s="79"/>
      <c r="AH49" s="80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13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13</v>
      </c>
      <c r="X50" s="218"/>
      <c r="Y50" s="218"/>
      <c r="Z50" s="218"/>
      <c r="AA50" s="78">
        <f t="shared" si="17"/>
        <v>46319</v>
      </c>
      <c r="AB50" s="79"/>
      <c r="AC50" s="79"/>
      <c r="AD50" s="79"/>
      <c r="AE50" s="79"/>
      <c r="AF50" s="79"/>
      <c r="AG50" s="79"/>
      <c r="AH50" s="80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3</v>
      </c>
      <c r="R51" s="216"/>
      <c r="S51" s="216"/>
      <c r="T51" s="217">
        <f>T23</f>
        <v>0</v>
      </c>
      <c r="U51" s="217"/>
      <c r="V51" s="217"/>
      <c r="W51" s="218">
        <f t="shared" si="16"/>
        <v>3</v>
      </c>
      <c r="X51" s="218"/>
      <c r="Y51" s="218"/>
      <c r="Z51" s="218"/>
      <c r="AA51" s="78">
        <f t="shared" si="17"/>
        <v>46320</v>
      </c>
      <c r="AB51" s="79"/>
      <c r="AC51" s="79"/>
      <c r="AD51" s="79"/>
      <c r="AE51" s="79"/>
      <c r="AF51" s="79"/>
      <c r="AG51" s="79"/>
      <c r="AH51" s="80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124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25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제주특별자치도 서귀포시 토평공단로155번길 45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25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AA14:AH14"/>
    <mergeCell ref="E42:L42"/>
    <mergeCell ref="M42:P42"/>
    <mergeCell ref="Q42:S42"/>
    <mergeCell ref="T42:V42"/>
    <mergeCell ref="W42:Z42"/>
    <mergeCell ref="AA42:AH42"/>
    <mergeCell ref="E48:L48"/>
    <mergeCell ref="M48:P48"/>
    <mergeCell ref="Q48:S48"/>
    <mergeCell ref="T48:V48"/>
    <mergeCell ref="W48:Z48"/>
    <mergeCell ref="AA48:AH48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8:L18"/>
    <mergeCell ref="M18:P18"/>
    <mergeCell ref="Q18:S18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AA15:AH15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3:D13"/>
    <mergeCell ref="E13:L13"/>
    <mergeCell ref="M13:P13"/>
    <mergeCell ref="Q13:S13"/>
    <mergeCell ref="T13:V13"/>
    <mergeCell ref="W13:Z13"/>
    <mergeCell ref="E15:L15"/>
    <mergeCell ref="M15:P15"/>
    <mergeCell ref="Q15:S15"/>
    <mergeCell ref="T15:V15"/>
    <mergeCell ref="W15:Z15"/>
    <mergeCell ref="E14:L14"/>
    <mergeCell ref="M14:P14"/>
    <mergeCell ref="Q14:S14"/>
    <mergeCell ref="T14:V14"/>
    <mergeCell ref="W14:Z14"/>
    <mergeCell ref="E20:L20"/>
    <mergeCell ref="M20:P20"/>
    <mergeCell ref="Q20:S20"/>
    <mergeCell ref="T20:V20"/>
    <mergeCell ref="W20:Z20"/>
    <mergeCell ref="AA20:AH20"/>
    <mergeCell ref="E21:L21"/>
    <mergeCell ref="M21:P21"/>
    <mergeCell ref="Q21:S21"/>
    <mergeCell ref="T21:V21"/>
    <mergeCell ref="W21:Z21"/>
    <mergeCell ref="AA21:AH21"/>
    <mergeCell ref="T18:V18"/>
    <mergeCell ref="W18:Z18"/>
    <mergeCell ref="AA18:AH18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R34:U35"/>
    <mergeCell ref="V34:AA35"/>
    <mergeCell ref="AB34:AC35"/>
    <mergeCell ref="C38:F39"/>
    <mergeCell ref="G38:P39"/>
    <mergeCell ref="R38:U39"/>
    <mergeCell ref="V38:AA39"/>
    <mergeCell ref="AB38:AC39"/>
    <mergeCell ref="AD38:AH39"/>
    <mergeCell ref="W41:Z41"/>
    <mergeCell ref="E43:L43"/>
    <mergeCell ref="M43:P43"/>
    <mergeCell ref="Q43:S43"/>
    <mergeCell ref="T43:V43"/>
    <mergeCell ref="W43:Z43"/>
    <mergeCell ref="AD34:AH35"/>
    <mergeCell ref="C36:F37"/>
    <mergeCell ref="G36:P37"/>
    <mergeCell ref="R36:U37"/>
    <mergeCell ref="V36:AH37"/>
    <mergeCell ref="E47:L47"/>
    <mergeCell ref="E45:L45"/>
    <mergeCell ref="M45:P45"/>
    <mergeCell ref="Q45:S45"/>
    <mergeCell ref="T45:V45"/>
    <mergeCell ref="B41:D41"/>
    <mergeCell ref="E41:L41"/>
    <mergeCell ref="M41:P41"/>
    <mergeCell ref="Q41:S41"/>
    <mergeCell ref="T41:V41"/>
    <mergeCell ref="W46:Z46"/>
    <mergeCell ref="AA46:AH46"/>
    <mergeCell ref="AA43:AH43"/>
    <mergeCell ref="E44:L44"/>
    <mergeCell ref="M44:P44"/>
    <mergeCell ref="Q44:S44"/>
    <mergeCell ref="T44:V44"/>
    <mergeCell ref="W44:Z44"/>
    <mergeCell ref="AA44:AH44"/>
    <mergeCell ref="B54:V55"/>
    <mergeCell ref="W54:AH55"/>
    <mergeCell ref="E52:L52"/>
    <mergeCell ref="M52:P52"/>
    <mergeCell ref="Q52:S52"/>
    <mergeCell ref="T52:V52"/>
    <mergeCell ref="W52:Z52"/>
    <mergeCell ref="AA52:AH52"/>
    <mergeCell ref="B53:D53"/>
    <mergeCell ref="E53:L53"/>
    <mergeCell ref="M53:Z53"/>
    <mergeCell ref="AA53:AH53"/>
    <mergeCell ref="E51:L51"/>
    <mergeCell ref="M51:P51"/>
    <mergeCell ref="Q51:S51"/>
    <mergeCell ref="T51:V51"/>
    <mergeCell ref="W51:Z51"/>
    <mergeCell ref="AA51:AH51"/>
    <mergeCell ref="E50:L50"/>
    <mergeCell ref="M50:P50"/>
    <mergeCell ref="Q50:S50"/>
    <mergeCell ref="T50:V50"/>
    <mergeCell ref="W50:Z50"/>
    <mergeCell ref="AA50:AH50"/>
    <mergeCell ref="E49:L49"/>
    <mergeCell ref="M49:P49"/>
    <mergeCell ref="Q49:S49"/>
    <mergeCell ref="T49:V49"/>
    <mergeCell ref="W49:Z49"/>
    <mergeCell ref="AA49:AH49"/>
    <mergeCell ref="W45:Z45"/>
    <mergeCell ref="AA45:AH45"/>
    <mergeCell ref="E40:L40"/>
    <mergeCell ref="M40:P40"/>
    <mergeCell ref="Q40:S40"/>
    <mergeCell ref="T40:V40"/>
    <mergeCell ref="W40:Z40"/>
    <mergeCell ref="AA40:AH40"/>
    <mergeCell ref="M47:P47"/>
    <mergeCell ref="Q47:S47"/>
    <mergeCell ref="T47:V47"/>
    <mergeCell ref="W47:Z47"/>
    <mergeCell ref="AA47:AH47"/>
    <mergeCell ref="AA41:AH41"/>
    <mergeCell ref="E46:L46"/>
    <mergeCell ref="M46:P46"/>
    <mergeCell ref="Q46:S46"/>
    <mergeCell ref="T46:V46"/>
  </mergeCells>
  <phoneticPr fontId="2" type="noConversion"/>
  <conditionalFormatting sqref="AA13:AH13">
    <cfRule type="expression" dxfId="458" priority="1957">
      <formula>Q13:S27=0</formula>
    </cfRule>
  </conditionalFormatting>
  <conditionalFormatting sqref="AA15:AH15">
    <cfRule type="expression" dxfId="457" priority="11">
      <formula>Q15:S27=0</formula>
    </cfRule>
  </conditionalFormatting>
  <conditionalFormatting sqref="AA16:AH19 AA43:AH51">
    <cfRule type="expression" dxfId="456" priority="6">
      <formula>Q16:S26=0</formula>
    </cfRule>
  </conditionalFormatting>
  <conditionalFormatting sqref="AA20:AH21">
    <cfRule type="expression" dxfId="455" priority="4">
      <formula>Q20:S29=0</formula>
    </cfRule>
  </conditionalFormatting>
  <conditionalFormatting sqref="AA22:AH22">
    <cfRule type="expression" dxfId="454" priority="2739">
      <formula>Q22:S30=0</formula>
    </cfRule>
  </conditionalFormatting>
  <conditionalFormatting sqref="AA23:AH24">
    <cfRule type="expression" dxfId="453" priority="2915">
      <formula>Q23:S30=0</formula>
    </cfRule>
  </conditionalFormatting>
  <conditionalFormatting sqref="AA52:AH52">
    <cfRule type="expression" dxfId="452" priority="2996">
      <formula>Q52:S52=0</formula>
    </cfRule>
  </conditionalFormatting>
  <conditionalFormatting sqref="AA41:AH41">
    <cfRule type="expression" dxfId="38" priority="3130">
      <formula>Q41:S52=0</formula>
    </cfRule>
  </conditionalFormatting>
  <conditionalFormatting sqref="AA14:AH14">
    <cfRule type="expression" dxfId="27" priority="2">
      <formula>Q14:S26=0</formula>
    </cfRule>
  </conditionalFormatting>
  <conditionalFormatting sqref="AA42:AH42">
    <cfRule type="expression" dxfId="0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B12:B26 C42:D52 AA40:AA52 M8:M24 E12:E24 T13:T24 AA12:AA24 Q41:Q52 M36:M53 T41:T52 B40:B54 E40:E53 Q13:Q24" xr:uid="{7620CF1E-A86A-44BA-A031-88515B2A8CDA}"/>
  </dataValidations>
  <printOptions horizontalCentered="1"/>
  <pageMargins left="0" right="0" top="0.11811023622047245" bottom="0" header="0" footer="0"/>
  <pageSetup paperSize="9" scale="8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2C65-3402-431C-AE99-B63741E814B8}">
  <sheetPr>
    <tabColor rgb="FFAC75D5"/>
    <pageSetUpPr fitToPage="1"/>
  </sheetPr>
  <dimension ref="B1:AP55"/>
  <sheetViews>
    <sheetView topLeftCell="A19"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33" width="2.33203125" style="1"/>
    <col min="34" max="34" width="2.33203125" style="1" customWidth="1"/>
    <col min="35" max="35" width="2.33203125" style="1"/>
    <col min="36" max="36" width="20.88671875" style="1" bestFit="1" customWidth="1"/>
    <col min="37" max="37" width="3.5546875" style="1" bestFit="1" customWidth="1"/>
    <col min="38" max="16384" width="2.33203125" style="1"/>
  </cols>
  <sheetData>
    <row r="1" spans="2:42" ht="14.25" thickBot="1" x14ac:dyDescent="0.2">
      <c r="B1" s="3" t="s">
        <v>96</v>
      </c>
    </row>
    <row r="2" spans="2:42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42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42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42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42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97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42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42" x14ac:dyDescent="0.15">
      <c r="B8" s="110"/>
      <c r="C8" s="113" t="s">
        <v>4</v>
      </c>
      <c r="D8" s="121"/>
      <c r="E8" s="121"/>
      <c r="F8" s="121"/>
      <c r="G8" s="148" t="s">
        <v>137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42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  <c r="AP9"/>
    </row>
    <row r="10" spans="2:42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42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42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42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1</v>
      </c>
      <c r="R13" s="96"/>
      <c r="S13" s="97"/>
      <c r="T13" s="98">
        <f t="shared" ref="T13:T14" si="0">IFERROR(ROUNDDOWN(Q13/M13,0),"")</f>
        <v>0</v>
      </c>
      <c r="U13" s="84"/>
      <c r="V13" s="84"/>
      <c r="W13" s="99">
        <f t="shared" ref="W13:W14" si="1">IFERROR(Q13-(T13*M13),"")</f>
        <v>1</v>
      </c>
      <c r="X13" s="100"/>
      <c r="Y13" s="100"/>
      <c r="Z13" s="101"/>
      <c r="AA13" s="73">
        <f>B13+6</f>
        <v>46321</v>
      </c>
      <c r="AB13" s="84"/>
      <c r="AC13" s="84"/>
      <c r="AD13" s="84"/>
      <c r="AE13" s="84"/>
      <c r="AF13" s="84"/>
      <c r="AG13" s="84"/>
      <c r="AH13" s="85"/>
      <c r="AJ13"/>
      <c r="AK13"/>
    </row>
    <row r="14" spans="2:42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1</v>
      </c>
      <c r="R14" s="96"/>
      <c r="S14" s="97"/>
      <c r="T14" s="98" t="str">
        <f t="shared" si="0"/>
        <v/>
      </c>
      <c r="U14" s="84"/>
      <c r="V14" s="84"/>
      <c r="W14" s="99" t="str">
        <f t="shared" si="1"/>
        <v/>
      </c>
      <c r="X14" s="100"/>
      <c r="Y14" s="100"/>
      <c r="Z14" s="101"/>
      <c r="AA14" s="73" t="e">
        <f>B12+5</f>
        <v>#VALUE!</v>
      </c>
      <c r="AB14" s="84"/>
      <c r="AC14" s="84"/>
      <c r="AD14" s="84"/>
      <c r="AE14" s="84"/>
      <c r="AF14" s="84"/>
      <c r="AG14" s="84"/>
      <c r="AH14" s="85"/>
      <c r="AJ14"/>
      <c r="AK14"/>
    </row>
    <row r="15" spans="2:42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74</v>
      </c>
      <c r="R15" s="96"/>
      <c r="S15" s="97"/>
      <c r="T15" s="98">
        <f t="shared" ref="T15:T20" si="2">IFERROR(ROUNDDOWN(Q15/M15,0),"")</f>
        <v>2</v>
      </c>
      <c r="U15" s="84"/>
      <c r="V15" s="84"/>
      <c r="W15" s="99">
        <f t="shared" ref="W15:W20" si="3">IFERROR(Q15-(T15*M15),"")</f>
        <v>14</v>
      </c>
      <c r="X15" s="100"/>
      <c r="Y15" s="100"/>
      <c r="Z15" s="101"/>
      <c r="AA15" s="73">
        <f>B13+5</f>
        <v>46320</v>
      </c>
      <c r="AB15" s="84"/>
      <c r="AC15" s="84"/>
      <c r="AD15" s="84"/>
      <c r="AE15" s="84"/>
      <c r="AF15" s="84"/>
      <c r="AG15" s="84"/>
      <c r="AH15" s="85"/>
      <c r="AJ15"/>
      <c r="AK15"/>
    </row>
    <row r="16" spans="2:42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8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8</v>
      </c>
      <c r="X16" s="100"/>
      <c r="Y16" s="100"/>
      <c r="Z16" s="101"/>
      <c r="AA16" s="73">
        <f>B13+5-1</f>
        <v>46319</v>
      </c>
      <c r="AB16" s="84"/>
      <c r="AC16" s="84"/>
      <c r="AD16" s="84"/>
      <c r="AE16" s="84"/>
      <c r="AF16" s="84"/>
      <c r="AG16" s="84"/>
      <c r="AH16" s="85"/>
      <c r="AJ16"/>
      <c r="AK16"/>
    </row>
    <row r="17" spans="2:37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23</v>
      </c>
      <c r="R17" s="96"/>
      <c r="S17" s="97"/>
      <c r="T17" s="98">
        <f t="shared" si="2"/>
        <v>0</v>
      </c>
      <c r="U17" s="84"/>
      <c r="V17" s="84"/>
      <c r="W17" s="99">
        <f t="shared" si="3"/>
        <v>23</v>
      </c>
      <c r="X17" s="100"/>
      <c r="Y17" s="100"/>
      <c r="Z17" s="101"/>
      <c r="AA17" s="73">
        <f>B13+5-1</f>
        <v>46319</v>
      </c>
      <c r="AB17" s="84"/>
      <c r="AC17" s="84"/>
      <c r="AD17" s="84"/>
      <c r="AE17" s="84"/>
      <c r="AF17" s="84"/>
      <c r="AG17" s="84"/>
      <c r="AH17" s="85"/>
      <c r="AJ17"/>
      <c r="AK17"/>
    </row>
    <row r="18" spans="2:37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0</v>
      </c>
      <c r="R18" s="96"/>
      <c r="S18" s="97"/>
      <c r="T18" s="98">
        <f t="shared" si="2"/>
        <v>0</v>
      </c>
      <c r="U18" s="84"/>
      <c r="V18" s="84"/>
      <c r="W18" s="99">
        <f t="shared" si="3"/>
        <v>0</v>
      </c>
      <c r="X18" s="100"/>
      <c r="Y18" s="100"/>
      <c r="Z18" s="101"/>
      <c r="AA18" s="73">
        <f>B13+5-1</f>
        <v>46319</v>
      </c>
      <c r="AB18" s="84"/>
      <c r="AC18" s="84"/>
      <c r="AD18" s="84"/>
      <c r="AE18" s="84"/>
      <c r="AF18" s="84"/>
      <c r="AG18" s="84"/>
      <c r="AH18" s="85"/>
      <c r="AJ18"/>
      <c r="AK18"/>
    </row>
    <row r="19" spans="2:37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2</v>
      </c>
      <c r="R19" s="96"/>
      <c r="S19" s="97"/>
      <c r="T19" s="98">
        <f t="shared" si="2"/>
        <v>0</v>
      </c>
      <c r="U19" s="84"/>
      <c r="V19" s="84"/>
      <c r="W19" s="99">
        <f t="shared" si="3"/>
        <v>2</v>
      </c>
      <c r="X19" s="100"/>
      <c r="Y19" s="100"/>
      <c r="Z19" s="101"/>
      <c r="AA19" s="73">
        <f>B13+5-1</f>
        <v>46319</v>
      </c>
      <c r="AB19" s="84"/>
      <c r="AC19" s="84"/>
      <c r="AD19" s="84"/>
      <c r="AE19" s="84"/>
      <c r="AF19" s="84"/>
      <c r="AG19" s="84"/>
      <c r="AH19" s="85"/>
      <c r="AJ19"/>
      <c r="AK19"/>
    </row>
    <row r="20" spans="2:37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0</v>
      </c>
      <c r="R20" s="96"/>
      <c r="S20" s="97"/>
      <c r="T20" s="98">
        <f t="shared" si="2"/>
        <v>0</v>
      </c>
      <c r="U20" s="84"/>
      <c r="V20" s="84"/>
      <c r="W20" s="99">
        <f t="shared" si="3"/>
        <v>0</v>
      </c>
      <c r="X20" s="100"/>
      <c r="Y20" s="100"/>
      <c r="Z20" s="101"/>
      <c r="AA20" s="72">
        <f>B13+5</f>
        <v>46320</v>
      </c>
      <c r="AB20" s="73"/>
      <c r="AC20" s="73"/>
      <c r="AD20" s="73"/>
      <c r="AE20" s="73"/>
      <c r="AF20" s="73"/>
      <c r="AG20" s="73"/>
      <c r="AH20" s="74"/>
      <c r="AJ20"/>
      <c r="AK20"/>
    </row>
    <row r="21" spans="2:37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2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2</v>
      </c>
      <c r="X21" s="100"/>
      <c r="Y21" s="100"/>
      <c r="Z21" s="101"/>
      <c r="AA21" s="72">
        <f>B13+5-1</f>
        <v>46319</v>
      </c>
      <c r="AB21" s="73"/>
      <c r="AC21" s="73"/>
      <c r="AD21" s="73"/>
      <c r="AE21" s="73"/>
      <c r="AF21" s="73"/>
      <c r="AG21" s="73"/>
      <c r="AH21" s="74"/>
      <c r="AJ21"/>
      <c r="AK21"/>
    </row>
    <row r="22" spans="2:37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12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12</v>
      </c>
      <c r="X22" s="100"/>
      <c r="Y22" s="100"/>
      <c r="Z22" s="101"/>
      <c r="AA22" s="72">
        <f>B13+5-1</f>
        <v>46319</v>
      </c>
      <c r="AB22" s="73"/>
      <c r="AC22" s="73"/>
      <c r="AD22" s="73"/>
      <c r="AE22" s="73"/>
      <c r="AF22" s="73"/>
      <c r="AG22" s="73"/>
      <c r="AH22" s="74"/>
      <c r="AJ22"/>
      <c r="AK22"/>
    </row>
    <row r="23" spans="2:37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7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7</v>
      </c>
      <c r="X23" s="100"/>
      <c r="Y23" s="100"/>
      <c r="Z23" s="101"/>
      <c r="AA23" s="72">
        <f>B13+5</f>
        <v>46320</v>
      </c>
      <c r="AB23" s="73"/>
      <c r="AC23" s="73"/>
      <c r="AD23" s="73"/>
      <c r="AE23" s="73"/>
      <c r="AF23" s="73"/>
      <c r="AG23" s="73"/>
      <c r="AH23" s="74"/>
      <c r="AJ23"/>
      <c r="AK23"/>
    </row>
    <row r="24" spans="2:37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72"/>
      <c r="AB24" s="73"/>
      <c r="AC24" s="73"/>
      <c r="AD24" s="73"/>
      <c r="AE24" s="73"/>
      <c r="AF24" s="73"/>
      <c r="AG24" s="73"/>
      <c r="AH24" s="74"/>
      <c r="AJ24"/>
      <c r="AK24"/>
    </row>
    <row r="25" spans="2:37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130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7" ht="17.25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tr">
        <f>G8</f>
        <v>제주특별자치도 제주시 우정로8길 16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7" ht="17.25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7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7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7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7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7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BGF로지스제주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제주특별자치도 제주시 우정로8길 16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1</v>
      </c>
      <c r="R41" s="216"/>
      <c r="S41" s="216"/>
      <c r="T41" s="217">
        <f>T13</f>
        <v>0</v>
      </c>
      <c r="U41" s="217"/>
      <c r="V41" s="217"/>
      <c r="W41" s="218">
        <f>W13</f>
        <v>1</v>
      </c>
      <c r="X41" s="218"/>
      <c r="Y41" s="218"/>
      <c r="Z41" s="218"/>
      <c r="AA41" s="78">
        <f>AA13</f>
        <v>46321</v>
      </c>
      <c r="AB41" s="79"/>
      <c r="AC41" s="79"/>
      <c r="AD41" s="79"/>
      <c r="AE41" s="79"/>
      <c r="AF41" s="79"/>
      <c r="AG41" s="79"/>
      <c r="AH41" s="80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1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78" t="e">
        <f t="shared" ref="AA42:AA51" si="17">AA14</f>
        <v>#VALUE!</v>
      </c>
      <c r="AB42" s="79"/>
      <c r="AC42" s="79"/>
      <c r="AD42" s="79"/>
      <c r="AE42" s="79"/>
      <c r="AF42" s="79"/>
      <c r="AG42" s="79"/>
      <c r="AH42" s="80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74</v>
      </c>
      <c r="R43" s="216"/>
      <c r="S43" s="216"/>
      <c r="T43" s="217">
        <f t="shared" si="15"/>
        <v>2</v>
      </c>
      <c r="U43" s="217"/>
      <c r="V43" s="217"/>
      <c r="W43" s="218">
        <f t="shared" si="16"/>
        <v>14</v>
      </c>
      <c r="X43" s="218"/>
      <c r="Y43" s="218"/>
      <c r="Z43" s="218"/>
      <c r="AA43" s="78">
        <f t="shared" si="17"/>
        <v>46320</v>
      </c>
      <c r="AB43" s="79"/>
      <c r="AC43" s="79"/>
      <c r="AD43" s="79"/>
      <c r="AE43" s="79"/>
      <c r="AF43" s="79"/>
      <c r="AG43" s="79"/>
      <c r="AH43" s="80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8</v>
      </c>
      <c r="R44" s="216"/>
      <c r="S44" s="216"/>
      <c r="T44" s="217">
        <f t="shared" si="15"/>
        <v>0</v>
      </c>
      <c r="U44" s="217"/>
      <c r="V44" s="217"/>
      <c r="W44" s="218">
        <f t="shared" si="16"/>
        <v>8</v>
      </c>
      <c r="X44" s="218"/>
      <c r="Y44" s="218"/>
      <c r="Z44" s="218"/>
      <c r="AA44" s="78">
        <f t="shared" si="17"/>
        <v>46319</v>
      </c>
      <c r="AB44" s="79"/>
      <c r="AC44" s="79"/>
      <c r="AD44" s="79"/>
      <c r="AE44" s="79"/>
      <c r="AF44" s="79"/>
      <c r="AG44" s="79"/>
      <c r="AH44" s="80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23</v>
      </c>
      <c r="R45" s="216"/>
      <c r="S45" s="216"/>
      <c r="T45" s="217">
        <f t="shared" si="15"/>
        <v>0</v>
      </c>
      <c r="U45" s="217"/>
      <c r="V45" s="217"/>
      <c r="W45" s="218">
        <f t="shared" si="16"/>
        <v>23</v>
      </c>
      <c r="X45" s="218"/>
      <c r="Y45" s="218"/>
      <c r="Z45" s="218"/>
      <c r="AA45" s="78">
        <f t="shared" si="17"/>
        <v>46319</v>
      </c>
      <c r="AB45" s="79"/>
      <c r="AC45" s="79"/>
      <c r="AD45" s="79"/>
      <c r="AE45" s="79"/>
      <c r="AF45" s="79"/>
      <c r="AG45" s="79"/>
      <c r="AH45" s="80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0</v>
      </c>
      <c r="R46" s="216"/>
      <c r="S46" s="216"/>
      <c r="T46" s="217">
        <f t="shared" si="15"/>
        <v>0</v>
      </c>
      <c r="U46" s="217"/>
      <c r="V46" s="217"/>
      <c r="W46" s="218">
        <f t="shared" si="16"/>
        <v>0</v>
      </c>
      <c r="X46" s="218"/>
      <c r="Y46" s="218"/>
      <c r="Z46" s="218"/>
      <c r="AA46" s="78">
        <f t="shared" si="17"/>
        <v>46319</v>
      </c>
      <c r="AB46" s="79"/>
      <c r="AC46" s="79"/>
      <c r="AD46" s="79"/>
      <c r="AE46" s="79"/>
      <c r="AF46" s="79"/>
      <c r="AG46" s="79"/>
      <c r="AH46" s="80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2</v>
      </c>
      <c r="R47" s="216"/>
      <c r="S47" s="216"/>
      <c r="T47" s="217">
        <f t="shared" si="15"/>
        <v>0</v>
      </c>
      <c r="U47" s="217"/>
      <c r="V47" s="217"/>
      <c r="W47" s="218">
        <f t="shared" si="16"/>
        <v>2</v>
      </c>
      <c r="X47" s="218"/>
      <c r="Y47" s="218"/>
      <c r="Z47" s="218"/>
      <c r="AA47" s="78">
        <f t="shared" si="17"/>
        <v>46319</v>
      </c>
      <c r="AB47" s="79"/>
      <c r="AC47" s="79"/>
      <c r="AD47" s="79"/>
      <c r="AE47" s="79"/>
      <c r="AF47" s="79"/>
      <c r="AG47" s="79"/>
      <c r="AH47" s="80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0</v>
      </c>
      <c r="R48" s="216"/>
      <c r="S48" s="216"/>
      <c r="T48" s="217">
        <f t="shared" si="15"/>
        <v>0</v>
      </c>
      <c r="U48" s="217"/>
      <c r="V48" s="217"/>
      <c r="W48" s="218">
        <f t="shared" si="16"/>
        <v>0</v>
      </c>
      <c r="X48" s="218"/>
      <c r="Y48" s="218"/>
      <c r="Z48" s="218"/>
      <c r="AA48" s="78">
        <f t="shared" si="17"/>
        <v>46320</v>
      </c>
      <c r="AB48" s="79"/>
      <c r="AC48" s="79"/>
      <c r="AD48" s="79"/>
      <c r="AE48" s="79"/>
      <c r="AF48" s="79"/>
      <c r="AG48" s="79"/>
      <c r="AH48" s="80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2</v>
      </c>
      <c r="R49" s="216"/>
      <c r="S49" s="216"/>
      <c r="T49" s="217">
        <f t="shared" si="15"/>
        <v>0</v>
      </c>
      <c r="U49" s="217"/>
      <c r="V49" s="217"/>
      <c r="W49" s="218">
        <f t="shared" si="16"/>
        <v>2</v>
      </c>
      <c r="X49" s="218"/>
      <c r="Y49" s="218"/>
      <c r="Z49" s="218"/>
      <c r="AA49" s="78">
        <f t="shared" si="17"/>
        <v>46319</v>
      </c>
      <c r="AB49" s="79"/>
      <c r="AC49" s="79"/>
      <c r="AD49" s="79"/>
      <c r="AE49" s="79"/>
      <c r="AF49" s="79"/>
      <c r="AG49" s="79"/>
      <c r="AH49" s="80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12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12</v>
      </c>
      <c r="X50" s="218"/>
      <c r="Y50" s="218"/>
      <c r="Z50" s="218"/>
      <c r="AA50" s="78">
        <f t="shared" si="17"/>
        <v>46319</v>
      </c>
      <c r="AB50" s="79"/>
      <c r="AC50" s="79"/>
      <c r="AD50" s="79"/>
      <c r="AE50" s="79"/>
      <c r="AF50" s="79"/>
      <c r="AG50" s="79"/>
      <c r="AH50" s="80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7</v>
      </c>
      <c r="R51" s="216"/>
      <c r="S51" s="216"/>
      <c r="T51" s="217">
        <f>T23</f>
        <v>0</v>
      </c>
      <c r="U51" s="217"/>
      <c r="V51" s="217"/>
      <c r="W51" s="218">
        <f t="shared" si="16"/>
        <v>7</v>
      </c>
      <c r="X51" s="218"/>
      <c r="Y51" s="218"/>
      <c r="Z51" s="218"/>
      <c r="AA51" s="78">
        <f t="shared" si="17"/>
        <v>46320</v>
      </c>
      <c r="AB51" s="79"/>
      <c r="AC51" s="79"/>
      <c r="AD51" s="79"/>
      <c r="AE51" s="79"/>
      <c r="AF51" s="79"/>
      <c r="AG51" s="79"/>
      <c r="AH51" s="80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130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25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제주특별자치도 제주시 우정로8길 16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25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AA14:AH14"/>
    <mergeCell ref="E42:L42"/>
    <mergeCell ref="M42:P42"/>
    <mergeCell ref="Q42:S42"/>
    <mergeCell ref="T42:V42"/>
    <mergeCell ref="W42:Z42"/>
    <mergeCell ref="AA42:AH42"/>
    <mergeCell ref="E48:L48"/>
    <mergeCell ref="M48:P48"/>
    <mergeCell ref="Q48:S48"/>
    <mergeCell ref="T48:V48"/>
    <mergeCell ref="W48:Z48"/>
    <mergeCell ref="AA48:AH48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8:L18"/>
    <mergeCell ref="M18:P18"/>
    <mergeCell ref="Q18:S18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AA15:AH15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3:D13"/>
    <mergeCell ref="E13:L13"/>
    <mergeCell ref="M13:P13"/>
    <mergeCell ref="Q13:S13"/>
    <mergeCell ref="T13:V13"/>
    <mergeCell ref="W13:Z13"/>
    <mergeCell ref="E15:L15"/>
    <mergeCell ref="M15:P15"/>
    <mergeCell ref="Q15:S15"/>
    <mergeCell ref="T15:V15"/>
    <mergeCell ref="W15:Z15"/>
    <mergeCell ref="E14:L14"/>
    <mergeCell ref="M14:P14"/>
    <mergeCell ref="Q14:S14"/>
    <mergeCell ref="T14:V14"/>
    <mergeCell ref="W14:Z14"/>
    <mergeCell ref="E20:L20"/>
    <mergeCell ref="M20:P20"/>
    <mergeCell ref="Q20:S20"/>
    <mergeCell ref="T20:V20"/>
    <mergeCell ref="W20:Z20"/>
    <mergeCell ref="AA20:AH20"/>
    <mergeCell ref="E21:L21"/>
    <mergeCell ref="M21:P21"/>
    <mergeCell ref="Q21:S21"/>
    <mergeCell ref="T21:V21"/>
    <mergeCell ref="W21:Z21"/>
    <mergeCell ref="AA21:AH21"/>
    <mergeCell ref="T18:V18"/>
    <mergeCell ref="W18:Z18"/>
    <mergeCell ref="AA18:AH18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R34:U35"/>
    <mergeCell ref="V34:AA35"/>
    <mergeCell ref="AB34:AC35"/>
    <mergeCell ref="C38:F39"/>
    <mergeCell ref="G38:P39"/>
    <mergeCell ref="R38:U39"/>
    <mergeCell ref="V38:AA39"/>
    <mergeCell ref="AB38:AC39"/>
    <mergeCell ref="AD38:AH39"/>
    <mergeCell ref="W41:Z41"/>
    <mergeCell ref="E43:L43"/>
    <mergeCell ref="M43:P43"/>
    <mergeCell ref="Q43:S43"/>
    <mergeCell ref="T43:V43"/>
    <mergeCell ref="W43:Z43"/>
    <mergeCell ref="AD34:AH35"/>
    <mergeCell ref="C36:F37"/>
    <mergeCell ref="G36:P37"/>
    <mergeCell ref="R36:U37"/>
    <mergeCell ref="V36:AH37"/>
    <mergeCell ref="E47:L47"/>
    <mergeCell ref="E45:L45"/>
    <mergeCell ref="M45:P45"/>
    <mergeCell ref="Q45:S45"/>
    <mergeCell ref="T45:V45"/>
    <mergeCell ref="B41:D41"/>
    <mergeCell ref="E41:L41"/>
    <mergeCell ref="M41:P41"/>
    <mergeCell ref="Q41:S41"/>
    <mergeCell ref="T41:V41"/>
    <mergeCell ref="W46:Z46"/>
    <mergeCell ref="AA46:AH46"/>
    <mergeCell ref="AA43:AH43"/>
    <mergeCell ref="E44:L44"/>
    <mergeCell ref="M44:P44"/>
    <mergeCell ref="Q44:S44"/>
    <mergeCell ref="T44:V44"/>
    <mergeCell ref="W44:Z44"/>
    <mergeCell ref="AA44:AH44"/>
    <mergeCell ref="B54:V55"/>
    <mergeCell ref="W54:AH55"/>
    <mergeCell ref="E52:L52"/>
    <mergeCell ref="M52:P52"/>
    <mergeCell ref="Q52:S52"/>
    <mergeCell ref="T52:V52"/>
    <mergeCell ref="W52:Z52"/>
    <mergeCell ref="AA52:AH52"/>
    <mergeCell ref="B53:D53"/>
    <mergeCell ref="E53:L53"/>
    <mergeCell ref="M53:Z53"/>
    <mergeCell ref="AA53:AH53"/>
    <mergeCell ref="E51:L51"/>
    <mergeCell ref="M51:P51"/>
    <mergeCell ref="Q51:S51"/>
    <mergeCell ref="T51:V51"/>
    <mergeCell ref="W51:Z51"/>
    <mergeCell ref="AA51:AH51"/>
    <mergeCell ref="E50:L50"/>
    <mergeCell ref="M50:P50"/>
    <mergeCell ref="Q50:S50"/>
    <mergeCell ref="T50:V50"/>
    <mergeCell ref="W50:Z50"/>
    <mergeCell ref="AA50:AH50"/>
    <mergeCell ref="E49:L49"/>
    <mergeCell ref="M49:P49"/>
    <mergeCell ref="Q49:S49"/>
    <mergeCell ref="T49:V49"/>
    <mergeCell ref="W49:Z49"/>
    <mergeCell ref="AA49:AH49"/>
    <mergeCell ref="W45:Z45"/>
    <mergeCell ref="AA45:AH45"/>
    <mergeCell ref="E40:L40"/>
    <mergeCell ref="M40:P40"/>
    <mergeCell ref="Q40:S40"/>
    <mergeCell ref="T40:V40"/>
    <mergeCell ref="W40:Z40"/>
    <mergeCell ref="AA40:AH40"/>
    <mergeCell ref="M47:P47"/>
    <mergeCell ref="Q47:S47"/>
    <mergeCell ref="T47:V47"/>
    <mergeCell ref="W47:Z47"/>
    <mergeCell ref="AA47:AH47"/>
    <mergeCell ref="AA41:AH41"/>
    <mergeCell ref="E46:L46"/>
    <mergeCell ref="M46:P46"/>
    <mergeCell ref="Q46:S46"/>
    <mergeCell ref="T46:V46"/>
  </mergeCells>
  <phoneticPr fontId="2" type="noConversion"/>
  <conditionalFormatting sqref="AA13:AH13">
    <cfRule type="expression" dxfId="451" priority="1955">
      <formula>Q13:S27=0</formula>
    </cfRule>
  </conditionalFormatting>
  <conditionalFormatting sqref="AA15:AH15">
    <cfRule type="expression" dxfId="450" priority="11">
      <formula>Q15:S27=0</formula>
    </cfRule>
  </conditionalFormatting>
  <conditionalFormatting sqref="AA16:AH19 AA43:AH51">
    <cfRule type="expression" dxfId="449" priority="6">
      <formula>Q16:S26=0</formula>
    </cfRule>
  </conditionalFormatting>
  <conditionalFormatting sqref="AA20:AH21">
    <cfRule type="expression" dxfId="448" priority="4">
      <formula>Q20:S29=0</formula>
    </cfRule>
  </conditionalFormatting>
  <conditionalFormatting sqref="AA22:AH22">
    <cfRule type="expression" dxfId="447" priority="2736">
      <formula>Q22:S30=0</formula>
    </cfRule>
  </conditionalFormatting>
  <conditionalFormatting sqref="AA23:AH24">
    <cfRule type="expression" dxfId="446" priority="2912">
      <formula>Q23:S30=0</formula>
    </cfRule>
  </conditionalFormatting>
  <conditionalFormatting sqref="AA52:AH52">
    <cfRule type="expression" dxfId="445" priority="2993">
      <formula>Q52:S52=0</formula>
    </cfRule>
  </conditionalFormatting>
  <conditionalFormatting sqref="AA41:AH41">
    <cfRule type="expression" dxfId="444" priority="3129">
      <formula>Q41:S52=0</formula>
    </cfRule>
  </conditionalFormatting>
  <conditionalFormatting sqref="AA14:AH14">
    <cfRule type="expression" dxfId="28" priority="2">
      <formula>Q14:S26=0</formula>
    </cfRule>
  </conditionalFormatting>
  <conditionalFormatting sqref="AA42:AH42">
    <cfRule type="expression" dxfId="1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B12:B26 C42:D52 AA40:AA52 M8:M24 E12:E24 T13:T24 AA12:AA24 Q41:Q52 M36:M53 T41:T52 B40:B54 E40:E53 Q13:Q24" xr:uid="{A86081B6-D9A3-45F1-944D-AB9165203ABA}"/>
  </dataValidations>
  <printOptions horizontalCentered="1"/>
  <pageMargins left="0" right="0" top="0.11811023622047245" bottom="0" header="0" footer="0"/>
  <pageSetup paperSize="9" scale="8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9A0D-6849-4088-A7E1-F8EBD84F38C6}">
  <sheetPr>
    <tabColor theme="4" tint="0.39997558519241921"/>
    <pageSetUpPr fitToPage="1"/>
  </sheetPr>
  <dimension ref="B1:AH55"/>
  <sheetViews>
    <sheetView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33" width="2.33203125" style="1"/>
    <col min="34" max="34" width="2.33203125" style="1" customWidth="1"/>
    <col min="35" max="16384" width="2.33203125" style="1"/>
  </cols>
  <sheetData>
    <row r="1" spans="2:34" ht="14.25" thickBot="1" x14ac:dyDescent="0.2">
      <c r="B1" s="3" t="s">
        <v>26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26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27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2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2</v>
      </c>
      <c r="X13" s="100"/>
      <c r="Y13" s="100"/>
      <c r="Z13" s="101"/>
      <c r="AA13" s="73">
        <f>B13+6</f>
        <v>46321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2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73" t="e">
        <f>B12+5</f>
        <v>#VALUE!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69</v>
      </c>
      <c r="R15" s="96"/>
      <c r="S15" s="97"/>
      <c r="T15" s="98">
        <f t="shared" si="0"/>
        <v>2</v>
      </c>
      <c r="U15" s="84"/>
      <c r="V15" s="84"/>
      <c r="W15" s="99">
        <f t="shared" si="1"/>
        <v>9</v>
      </c>
      <c r="X15" s="100"/>
      <c r="Y15" s="100"/>
      <c r="Z15" s="101"/>
      <c r="AA15" s="73">
        <f>B13+5</f>
        <v>46320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5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5</v>
      </c>
      <c r="X16" s="100"/>
      <c r="Y16" s="100"/>
      <c r="Z16" s="101"/>
      <c r="AA16" s="73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8</v>
      </c>
      <c r="R17" s="96"/>
      <c r="S17" s="97"/>
      <c r="T17" s="98">
        <f t="shared" si="0"/>
        <v>0</v>
      </c>
      <c r="U17" s="84"/>
      <c r="V17" s="84"/>
      <c r="W17" s="99">
        <f t="shared" si="1"/>
        <v>8</v>
      </c>
      <c r="X17" s="100"/>
      <c r="Y17" s="100"/>
      <c r="Z17" s="101"/>
      <c r="AA17" s="73">
        <f>B13+5-1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0</v>
      </c>
      <c r="R18" s="96"/>
      <c r="S18" s="97"/>
      <c r="T18" s="98">
        <f t="shared" si="0"/>
        <v>0</v>
      </c>
      <c r="U18" s="84"/>
      <c r="V18" s="84"/>
      <c r="W18" s="99">
        <f t="shared" si="1"/>
        <v>0</v>
      </c>
      <c r="X18" s="100"/>
      <c r="Y18" s="100"/>
      <c r="Z18" s="101"/>
      <c r="AA18" s="73">
        <f>B13+5-1</f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1</v>
      </c>
      <c r="R19" s="96"/>
      <c r="S19" s="97"/>
      <c r="T19" s="98">
        <f t="shared" si="0"/>
        <v>0</v>
      </c>
      <c r="U19" s="84"/>
      <c r="V19" s="84"/>
      <c r="W19" s="99">
        <f t="shared" si="1"/>
        <v>1</v>
      </c>
      <c r="X19" s="100"/>
      <c r="Y19" s="100"/>
      <c r="Z19" s="101"/>
      <c r="AA19" s="73">
        <f>B13+5-1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0</v>
      </c>
      <c r="R20" s="96"/>
      <c r="S20" s="97"/>
      <c r="T20" s="98">
        <f t="shared" si="0"/>
        <v>0</v>
      </c>
      <c r="U20" s="84"/>
      <c r="V20" s="84"/>
      <c r="W20" s="99">
        <f t="shared" si="1"/>
        <v>0</v>
      </c>
      <c r="X20" s="100"/>
      <c r="Y20" s="100"/>
      <c r="Z20" s="101"/>
      <c r="AA20" s="72">
        <f>B13+5</f>
        <v>46320</v>
      </c>
      <c r="AB20" s="73"/>
      <c r="AC20" s="73"/>
      <c r="AD20" s="73"/>
      <c r="AE20" s="73"/>
      <c r="AF20" s="73"/>
      <c r="AG20" s="73"/>
      <c r="AH20" s="74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0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0</v>
      </c>
      <c r="X21" s="100"/>
      <c r="Y21" s="100"/>
      <c r="Z21" s="101"/>
      <c r="AA21" s="72">
        <f>B13+4</f>
        <v>46319</v>
      </c>
      <c r="AB21" s="73"/>
      <c r="AC21" s="73"/>
      <c r="AD21" s="73"/>
      <c r="AE21" s="73"/>
      <c r="AF21" s="73"/>
      <c r="AG21" s="73"/>
      <c r="AH21" s="74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8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8</v>
      </c>
      <c r="X22" s="100"/>
      <c r="Y22" s="100"/>
      <c r="Z22" s="101"/>
      <c r="AA22" s="72">
        <f>B13+5-1</f>
        <v>46319</v>
      </c>
      <c r="AB22" s="73"/>
      <c r="AC22" s="73"/>
      <c r="AD22" s="73"/>
      <c r="AE22" s="73"/>
      <c r="AF22" s="73"/>
      <c r="AG22" s="73"/>
      <c r="AH22" s="74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2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2</v>
      </c>
      <c r="X23" s="100"/>
      <c r="Y23" s="100"/>
      <c r="Z23" s="101"/>
      <c r="AA23" s="72">
        <f>B13+5</f>
        <v>46320</v>
      </c>
      <c r="AB23" s="73"/>
      <c r="AC23" s="73"/>
      <c r="AD23" s="73"/>
      <c r="AE23" s="73"/>
      <c r="AF23" s="73"/>
      <c r="AG23" s="73"/>
      <c r="AH23" s="74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72"/>
      <c r="AB24" s="73"/>
      <c r="AC24" s="73"/>
      <c r="AD24" s="73"/>
      <c r="AE24" s="73"/>
      <c r="AF24" s="73"/>
      <c r="AG24" s="73"/>
      <c r="AH24" s="74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97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25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28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25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하이로지스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전라북도 완주군 봉동읍 
완주산단2로 282-21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2</v>
      </c>
      <c r="R41" s="216"/>
      <c r="S41" s="216"/>
      <c r="T41" s="217">
        <f>T13</f>
        <v>0</v>
      </c>
      <c r="U41" s="217"/>
      <c r="V41" s="217"/>
      <c r="W41" s="218">
        <f>W13</f>
        <v>2</v>
      </c>
      <c r="X41" s="218"/>
      <c r="Y41" s="218"/>
      <c r="Z41" s="218"/>
      <c r="AA41" s="78">
        <f>AA13</f>
        <v>46321</v>
      </c>
      <c r="AB41" s="79"/>
      <c r="AC41" s="79"/>
      <c r="AD41" s="79"/>
      <c r="AE41" s="79"/>
      <c r="AF41" s="79"/>
      <c r="AG41" s="79"/>
      <c r="AH41" s="80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2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78" t="e">
        <f t="shared" ref="AA42:AA51" si="17">AA14</f>
        <v>#VALUE!</v>
      </c>
      <c r="AB42" s="79"/>
      <c r="AC42" s="79"/>
      <c r="AD42" s="79"/>
      <c r="AE42" s="79"/>
      <c r="AF42" s="79"/>
      <c r="AG42" s="79"/>
      <c r="AH42" s="80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69</v>
      </c>
      <c r="R43" s="216"/>
      <c r="S43" s="216"/>
      <c r="T43" s="217">
        <f t="shared" si="15"/>
        <v>2</v>
      </c>
      <c r="U43" s="217"/>
      <c r="V43" s="217"/>
      <c r="W43" s="218">
        <f t="shared" si="16"/>
        <v>9</v>
      </c>
      <c r="X43" s="218"/>
      <c r="Y43" s="218"/>
      <c r="Z43" s="218"/>
      <c r="AA43" s="78">
        <f t="shared" si="17"/>
        <v>46320</v>
      </c>
      <c r="AB43" s="79"/>
      <c r="AC43" s="79"/>
      <c r="AD43" s="79"/>
      <c r="AE43" s="79"/>
      <c r="AF43" s="79"/>
      <c r="AG43" s="79"/>
      <c r="AH43" s="80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5</v>
      </c>
      <c r="R44" s="216"/>
      <c r="S44" s="216"/>
      <c r="T44" s="217">
        <f t="shared" si="15"/>
        <v>0</v>
      </c>
      <c r="U44" s="217"/>
      <c r="V44" s="217"/>
      <c r="W44" s="218">
        <f t="shared" si="16"/>
        <v>5</v>
      </c>
      <c r="X44" s="218"/>
      <c r="Y44" s="218"/>
      <c r="Z44" s="218"/>
      <c r="AA44" s="78">
        <f t="shared" si="17"/>
        <v>46319</v>
      </c>
      <c r="AB44" s="79"/>
      <c r="AC44" s="79"/>
      <c r="AD44" s="79"/>
      <c r="AE44" s="79"/>
      <c r="AF44" s="79"/>
      <c r="AG44" s="79"/>
      <c r="AH44" s="80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8</v>
      </c>
      <c r="R45" s="216"/>
      <c r="S45" s="216"/>
      <c r="T45" s="217">
        <f t="shared" si="15"/>
        <v>0</v>
      </c>
      <c r="U45" s="217"/>
      <c r="V45" s="217"/>
      <c r="W45" s="218">
        <f t="shared" si="16"/>
        <v>8</v>
      </c>
      <c r="X45" s="218"/>
      <c r="Y45" s="218"/>
      <c r="Z45" s="218"/>
      <c r="AA45" s="78">
        <f t="shared" si="17"/>
        <v>46319</v>
      </c>
      <c r="AB45" s="79"/>
      <c r="AC45" s="79"/>
      <c r="AD45" s="79"/>
      <c r="AE45" s="79"/>
      <c r="AF45" s="79"/>
      <c r="AG45" s="79"/>
      <c r="AH45" s="80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0</v>
      </c>
      <c r="R46" s="216"/>
      <c r="S46" s="216"/>
      <c r="T46" s="217">
        <f t="shared" si="15"/>
        <v>0</v>
      </c>
      <c r="U46" s="217"/>
      <c r="V46" s="217"/>
      <c r="W46" s="218">
        <f t="shared" si="16"/>
        <v>0</v>
      </c>
      <c r="X46" s="218"/>
      <c r="Y46" s="218"/>
      <c r="Z46" s="218"/>
      <c r="AA46" s="78">
        <f t="shared" si="17"/>
        <v>46319</v>
      </c>
      <c r="AB46" s="79"/>
      <c r="AC46" s="79"/>
      <c r="AD46" s="79"/>
      <c r="AE46" s="79"/>
      <c r="AF46" s="79"/>
      <c r="AG46" s="79"/>
      <c r="AH46" s="80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1</v>
      </c>
      <c r="R47" s="216"/>
      <c r="S47" s="216"/>
      <c r="T47" s="217">
        <f t="shared" si="15"/>
        <v>0</v>
      </c>
      <c r="U47" s="217"/>
      <c r="V47" s="217"/>
      <c r="W47" s="218">
        <f t="shared" si="16"/>
        <v>1</v>
      </c>
      <c r="X47" s="218"/>
      <c r="Y47" s="218"/>
      <c r="Z47" s="218"/>
      <c r="AA47" s="78">
        <f t="shared" si="17"/>
        <v>46319</v>
      </c>
      <c r="AB47" s="79"/>
      <c r="AC47" s="79"/>
      <c r="AD47" s="79"/>
      <c r="AE47" s="79"/>
      <c r="AF47" s="79"/>
      <c r="AG47" s="79"/>
      <c r="AH47" s="80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0</v>
      </c>
      <c r="R48" s="216"/>
      <c r="S48" s="216"/>
      <c r="T48" s="217">
        <f t="shared" si="15"/>
        <v>0</v>
      </c>
      <c r="U48" s="217"/>
      <c r="V48" s="217"/>
      <c r="W48" s="218">
        <f t="shared" si="16"/>
        <v>0</v>
      </c>
      <c r="X48" s="218"/>
      <c r="Y48" s="218"/>
      <c r="Z48" s="218"/>
      <c r="AA48" s="78">
        <f t="shared" si="17"/>
        <v>46320</v>
      </c>
      <c r="AB48" s="79"/>
      <c r="AC48" s="79"/>
      <c r="AD48" s="79"/>
      <c r="AE48" s="79"/>
      <c r="AF48" s="79"/>
      <c r="AG48" s="79"/>
      <c r="AH48" s="80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0</v>
      </c>
      <c r="R49" s="216"/>
      <c r="S49" s="216"/>
      <c r="T49" s="217">
        <f t="shared" si="15"/>
        <v>0</v>
      </c>
      <c r="U49" s="217"/>
      <c r="V49" s="217"/>
      <c r="W49" s="218">
        <f t="shared" si="16"/>
        <v>0</v>
      </c>
      <c r="X49" s="218"/>
      <c r="Y49" s="218"/>
      <c r="Z49" s="218"/>
      <c r="AA49" s="78">
        <f t="shared" si="17"/>
        <v>46319</v>
      </c>
      <c r="AB49" s="79"/>
      <c r="AC49" s="79"/>
      <c r="AD49" s="79"/>
      <c r="AE49" s="79"/>
      <c r="AF49" s="79"/>
      <c r="AG49" s="79"/>
      <c r="AH49" s="80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8</v>
      </c>
      <c r="R50" s="216"/>
      <c r="S50" s="216"/>
      <c r="T50" s="217">
        <f t="shared" si="15"/>
        <v>0</v>
      </c>
      <c r="U50" s="217"/>
      <c r="V50" s="217"/>
      <c r="W50" s="218">
        <f t="shared" si="16"/>
        <v>8</v>
      </c>
      <c r="X50" s="218"/>
      <c r="Y50" s="218"/>
      <c r="Z50" s="218"/>
      <c r="AA50" s="78">
        <f t="shared" si="17"/>
        <v>46319</v>
      </c>
      <c r="AB50" s="79"/>
      <c r="AC50" s="79"/>
      <c r="AD50" s="79"/>
      <c r="AE50" s="79"/>
      <c r="AF50" s="79"/>
      <c r="AG50" s="79"/>
      <c r="AH50" s="80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2</v>
      </c>
      <c r="R51" s="216"/>
      <c r="S51" s="216"/>
      <c r="T51" s="217">
        <f>T23</f>
        <v>0</v>
      </c>
      <c r="U51" s="217"/>
      <c r="V51" s="217"/>
      <c r="W51" s="218">
        <f t="shared" si="16"/>
        <v>2</v>
      </c>
      <c r="X51" s="218"/>
      <c r="Y51" s="218"/>
      <c r="Z51" s="218"/>
      <c r="AA51" s="78">
        <f t="shared" si="17"/>
        <v>46320</v>
      </c>
      <c r="AB51" s="79"/>
      <c r="AC51" s="79"/>
      <c r="AD51" s="79"/>
      <c r="AE51" s="79"/>
      <c r="AF51" s="79"/>
      <c r="AG51" s="79"/>
      <c r="AH51" s="80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97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25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전라북도 완주군 봉동읍 
완주산단2로282-21
063)262-8443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25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M46:P46"/>
    <mergeCell ref="AA46:AH46"/>
    <mergeCell ref="W26:AH27"/>
    <mergeCell ref="B25:D25"/>
    <mergeCell ref="V38:AA39"/>
    <mergeCell ref="G36:P37"/>
    <mergeCell ref="G38:P39"/>
    <mergeCell ref="E40:L40"/>
    <mergeCell ref="M43:P43"/>
    <mergeCell ref="M40:P40"/>
    <mergeCell ref="C32:F33"/>
    <mergeCell ref="G32:P33"/>
    <mergeCell ref="E25:L25"/>
    <mergeCell ref="E44:L44"/>
    <mergeCell ref="M44:P44"/>
    <mergeCell ref="Q44:S44"/>
    <mergeCell ref="T44:V44"/>
    <mergeCell ref="W44:Z44"/>
    <mergeCell ref="R36:U37"/>
    <mergeCell ref="V36:AH37"/>
    <mergeCell ref="W12:Z12"/>
    <mergeCell ref="E50:L50"/>
    <mergeCell ref="M47:P47"/>
    <mergeCell ref="Q47:S47"/>
    <mergeCell ref="T47:V47"/>
    <mergeCell ref="W47:Z47"/>
    <mergeCell ref="AA47:AH47"/>
    <mergeCell ref="AD38:AH39"/>
    <mergeCell ref="R32:U33"/>
    <mergeCell ref="E15:L15"/>
    <mergeCell ref="M15:P15"/>
    <mergeCell ref="W23:Z23"/>
    <mergeCell ref="T18:V18"/>
    <mergeCell ref="AA20:AH20"/>
    <mergeCell ref="E48:L48"/>
    <mergeCell ref="M48:P48"/>
    <mergeCell ref="Q48:S48"/>
    <mergeCell ref="T48:V48"/>
    <mergeCell ref="W48:Z48"/>
    <mergeCell ref="AA48:AH48"/>
    <mergeCell ref="Q40:S40"/>
    <mergeCell ref="T40:V40"/>
    <mergeCell ref="W40:Z40"/>
    <mergeCell ref="AA40:AH40"/>
    <mergeCell ref="E12:L12"/>
    <mergeCell ref="Q12:S12"/>
    <mergeCell ref="T12:V12"/>
    <mergeCell ref="C34:F35"/>
    <mergeCell ref="AA12:AH12"/>
    <mergeCell ref="M12:P12"/>
    <mergeCell ref="B13:D13"/>
    <mergeCell ref="E13:L13"/>
    <mergeCell ref="M13:P13"/>
    <mergeCell ref="Q13:S13"/>
    <mergeCell ref="T13:V13"/>
    <mergeCell ref="E18:L18"/>
    <mergeCell ref="M18:P18"/>
    <mergeCell ref="Q18:S18"/>
    <mergeCell ref="V32:AH33"/>
    <mergeCell ref="V34:AA35"/>
    <mergeCell ref="AB34:AC35"/>
    <mergeCell ref="AD34:AH35"/>
    <mergeCell ref="E23:L23"/>
    <mergeCell ref="M23:P23"/>
    <mergeCell ref="AA17:AH17"/>
    <mergeCell ref="AA13:AH13"/>
    <mergeCell ref="W13:Z13"/>
    <mergeCell ref="W15:Z15"/>
    <mergeCell ref="B54:V55"/>
    <mergeCell ref="W54:AH55"/>
    <mergeCell ref="AA41:AH41"/>
    <mergeCell ref="B41:D41"/>
    <mergeCell ref="E41:L41"/>
    <mergeCell ref="M41:P41"/>
    <mergeCell ref="Q41:S41"/>
    <mergeCell ref="T41:V41"/>
    <mergeCell ref="W41:Z41"/>
    <mergeCell ref="E51:L51"/>
    <mergeCell ref="M51:P51"/>
    <mergeCell ref="Q51:S51"/>
    <mergeCell ref="T51:V51"/>
    <mergeCell ref="W51:Z51"/>
    <mergeCell ref="AA51:AH51"/>
    <mergeCell ref="E52:L52"/>
    <mergeCell ref="M52:P52"/>
    <mergeCell ref="E47:L47"/>
    <mergeCell ref="W52:Z52"/>
    <mergeCell ref="W46:Z46"/>
    <mergeCell ref="Q46:S46"/>
    <mergeCell ref="T46:V46"/>
    <mergeCell ref="AA53:AH53"/>
    <mergeCell ref="E43:L43"/>
    <mergeCell ref="B53:D53"/>
    <mergeCell ref="M53:Z53"/>
    <mergeCell ref="AA23:AH23"/>
    <mergeCell ref="M19:P19"/>
    <mergeCell ref="Q19:S19"/>
    <mergeCell ref="T19:V19"/>
    <mergeCell ref="W19:Z19"/>
    <mergeCell ref="AA19:AH19"/>
    <mergeCell ref="Q52:S52"/>
    <mergeCell ref="T52:V52"/>
    <mergeCell ref="M50:P50"/>
    <mergeCell ref="Q50:S50"/>
    <mergeCell ref="T50:V50"/>
    <mergeCell ref="W50:Z50"/>
    <mergeCell ref="AA50:AH50"/>
    <mergeCell ref="B26:V27"/>
    <mergeCell ref="E53:L53"/>
    <mergeCell ref="AA52:AH52"/>
    <mergeCell ref="E46:L46"/>
    <mergeCell ref="G34:K35"/>
    <mergeCell ref="L34:P35"/>
    <mergeCell ref="R34:U35"/>
    <mergeCell ref="C38:F39"/>
    <mergeCell ref="R38:U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R8:U9"/>
    <mergeCell ref="V8:AH9"/>
    <mergeCell ref="C8:F9"/>
    <mergeCell ref="G8:P9"/>
    <mergeCell ref="AA15:AH15"/>
    <mergeCell ref="AA18:AH18"/>
    <mergeCell ref="AA44:AH44"/>
    <mergeCell ref="W18:Z18"/>
    <mergeCell ref="Q43:S43"/>
    <mergeCell ref="T43:V43"/>
    <mergeCell ref="W43:Z43"/>
    <mergeCell ref="AA43:AH43"/>
    <mergeCell ref="Q15:S15"/>
    <mergeCell ref="T15:V15"/>
    <mergeCell ref="W24:Z24"/>
    <mergeCell ref="AA24:AH24"/>
    <mergeCell ref="Q22:S22"/>
    <mergeCell ref="T22:V22"/>
    <mergeCell ref="W22:Z22"/>
    <mergeCell ref="AA22:AH22"/>
    <mergeCell ref="Q32:Q39"/>
    <mergeCell ref="M25:Z25"/>
    <mergeCell ref="AB38:AC39"/>
    <mergeCell ref="W20:Z20"/>
    <mergeCell ref="W21:Z21"/>
    <mergeCell ref="AA25:AH25"/>
    <mergeCell ref="B30:AH31"/>
    <mergeCell ref="B32:B39"/>
    <mergeCell ref="E19:L19"/>
    <mergeCell ref="E24:L24"/>
    <mergeCell ref="M24:P24"/>
    <mergeCell ref="Q24:S24"/>
    <mergeCell ref="T24:V24"/>
    <mergeCell ref="C36:F37"/>
    <mergeCell ref="M20:P20"/>
    <mergeCell ref="Q20:S20"/>
    <mergeCell ref="T20:V20"/>
    <mergeCell ref="T23:V23"/>
    <mergeCell ref="Q23:S23"/>
    <mergeCell ref="E20:L20"/>
    <mergeCell ref="E22:L22"/>
    <mergeCell ref="M22:P22"/>
    <mergeCell ref="E21:L21"/>
    <mergeCell ref="M21:P21"/>
    <mergeCell ref="Q21:S21"/>
    <mergeCell ref="T21:V21"/>
    <mergeCell ref="AA21:AH21"/>
    <mergeCell ref="E49:L49"/>
    <mergeCell ref="M49:P49"/>
    <mergeCell ref="Q49:S49"/>
    <mergeCell ref="T49:V49"/>
    <mergeCell ref="W49:Z49"/>
    <mergeCell ref="AA49:AH49"/>
    <mergeCell ref="E16:L16"/>
    <mergeCell ref="M16:P16"/>
    <mergeCell ref="Q16:S16"/>
    <mergeCell ref="T16:V16"/>
    <mergeCell ref="W16:Z16"/>
    <mergeCell ref="AA16:AH16"/>
    <mergeCell ref="E45:L45"/>
    <mergeCell ref="M45:P45"/>
    <mergeCell ref="Q45:S45"/>
    <mergeCell ref="T45:V45"/>
    <mergeCell ref="W45:Z45"/>
    <mergeCell ref="AA45:AH45"/>
    <mergeCell ref="E17:L17"/>
    <mergeCell ref="M17:P17"/>
    <mergeCell ref="Q17:S17"/>
    <mergeCell ref="T17:V17"/>
    <mergeCell ref="W17:Z17"/>
  </mergeCells>
  <phoneticPr fontId="2" type="noConversion"/>
  <conditionalFormatting sqref="AA13:AH13">
    <cfRule type="expression" dxfId="443" priority="1953">
      <formula>Q13:S27=0</formula>
    </cfRule>
  </conditionalFormatting>
  <conditionalFormatting sqref="AA15:AH15">
    <cfRule type="expression" dxfId="442" priority="11">
      <formula>Q15:S27=0</formula>
    </cfRule>
  </conditionalFormatting>
  <conditionalFormatting sqref="AA16:AH19 AA43:AH51">
    <cfRule type="expression" dxfId="441" priority="6">
      <formula>Q16:S26=0</formula>
    </cfRule>
  </conditionalFormatting>
  <conditionalFormatting sqref="AA20:AH21">
    <cfRule type="expression" dxfId="440" priority="4">
      <formula>Q20:S29=0</formula>
    </cfRule>
  </conditionalFormatting>
  <conditionalFormatting sqref="AA22:AH22">
    <cfRule type="expression" dxfId="439" priority="2733">
      <formula>Q22:S30=0</formula>
    </cfRule>
  </conditionalFormatting>
  <conditionalFormatting sqref="AA23:AH24">
    <cfRule type="expression" dxfId="438" priority="2909">
      <formula>Q23:S30=0</formula>
    </cfRule>
  </conditionalFormatting>
  <conditionalFormatting sqref="AA52:AH52">
    <cfRule type="expression" dxfId="437" priority="2990">
      <formula>Q52:S52=0</formula>
    </cfRule>
  </conditionalFormatting>
  <conditionalFormatting sqref="AA41:AH41">
    <cfRule type="expression" dxfId="436" priority="3128">
      <formula>Q41:S52=0</formula>
    </cfRule>
  </conditionalFormatting>
  <conditionalFormatting sqref="AA14:AH14">
    <cfRule type="expression" dxfId="29" priority="2">
      <formula>Q14:S26=0</formula>
    </cfRule>
  </conditionalFormatting>
  <conditionalFormatting sqref="AA42:AH42">
    <cfRule type="expression" dxfId="2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6CAF50B7-87AB-4389-9831-D16D8F831E5B}"/>
  </dataValidations>
  <printOptions horizontalCentered="1"/>
  <pageMargins left="0" right="0" top="0.11811023622047245" bottom="0" header="0" footer="0"/>
  <pageSetup paperSize="9"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DF23-75B3-4803-9120-5EE978A7F105}">
  <sheetPr>
    <tabColor theme="9" tint="-0.249977111117893"/>
    <pageSetUpPr fitToPage="1"/>
  </sheetPr>
  <dimension ref="B1:AH55"/>
  <sheetViews>
    <sheetView topLeftCell="A4"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50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50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51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2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2</v>
      </c>
      <c r="X13" s="100"/>
      <c r="Y13" s="100"/>
      <c r="Z13" s="101"/>
      <c r="AA13" s="251">
        <f>B13+6</f>
        <v>46321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2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251" t="e">
        <f>B12+5</f>
        <v>#VALUE!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79</v>
      </c>
      <c r="R15" s="96"/>
      <c r="S15" s="97"/>
      <c r="T15" s="98">
        <f t="shared" si="0"/>
        <v>2</v>
      </c>
      <c r="U15" s="84"/>
      <c r="V15" s="84"/>
      <c r="W15" s="99">
        <f t="shared" si="1"/>
        <v>19</v>
      </c>
      <c r="X15" s="100"/>
      <c r="Y15" s="100"/>
      <c r="Z15" s="101"/>
      <c r="AA15" s="251">
        <f>B13+5</f>
        <v>46320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14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14</v>
      </c>
      <c r="X16" s="100"/>
      <c r="Y16" s="100"/>
      <c r="Z16" s="101"/>
      <c r="AA16" s="251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18</v>
      </c>
      <c r="R17" s="96"/>
      <c r="S17" s="97"/>
      <c r="T17" s="98">
        <f t="shared" si="0"/>
        <v>0</v>
      </c>
      <c r="U17" s="84"/>
      <c r="V17" s="84"/>
      <c r="W17" s="99">
        <f t="shared" si="1"/>
        <v>18</v>
      </c>
      <c r="X17" s="100"/>
      <c r="Y17" s="100"/>
      <c r="Z17" s="101"/>
      <c r="AA17" s="251">
        <f>B13+5-1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3</v>
      </c>
      <c r="R18" s="96"/>
      <c r="S18" s="97"/>
      <c r="T18" s="98">
        <f t="shared" si="0"/>
        <v>0</v>
      </c>
      <c r="U18" s="84"/>
      <c r="V18" s="84"/>
      <c r="W18" s="99">
        <f t="shared" si="1"/>
        <v>3</v>
      </c>
      <c r="X18" s="100"/>
      <c r="Y18" s="100"/>
      <c r="Z18" s="101"/>
      <c r="AA18" s="251">
        <f>B13+5-1</f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0</v>
      </c>
      <c r="R19" s="96"/>
      <c r="S19" s="97"/>
      <c r="T19" s="98">
        <f t="shared" si="0"/>
        <v>0</v>
      </c>
      <c r="U19" s="84"/>
      <c r="V19" s="84"/>
      <c r="W19" s="99">
        <f t="shared" si="1"/>
        <v>0</v>
      </c>
      <c r="X19" s="100"/>
      <c r="Y19" s="100"/>
      <c r="Z19" s="101"/>
      <c r="AA19" s="251">
        <f>B13+5-1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2</v>
      </c>
      <c r="R20" s="96"/>
      <c r="S20" s="97"/>
      <c r="T20" s="98">
        <f t="shared" si="0"/>
        <v>0</v>
      </c>
      <c r="U20" s="84"/>
      <c r="V20" s="84"/>
      <c r="W20" s="99">
        <f t="shared" si="1"/>
        <v>2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0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0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11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11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4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4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135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9.5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52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9.5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BGF로지스나주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전남 나주시 동수농공단지길 
62-237 (운곡동)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2</v>
      </c>
      <c r="R41" s="216"/>
      <c r="S41" s="216"/>
      <c r="T41" s="217">
        <f>T13</f>
        <v>0</v>
      </c>
      <c r="U41" s="217"/>
      <c r="V41" s="217"/>
      <c r="W41" s="218">
        <f>W13</f>
        <v>2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2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79</v>
      </c>
      <c r="R43" s="216"/>
      <c r="S43" s="216"/>
      <c r="T43" s="217">
        <f t="shared" si="15"/>
        <v>2</v>
      </c>
      <c r="U43" s="217"/>
      <c r="V43" s="217"/>
      <c r="W43" s="218">
        <f t="shared" si="16"/>
        <v>19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14</v>
      </c>
      <c r="R44" s="216"/>
      <c r="S44" s="216"/>
      <c r="T44" s="217">
        <f t="shared" si="15"/>
        <v>0</v>
      </c>
      <c r="U44" s="217"/>
      <c r="V44" s="217"/>
      <c r="W44" s="218">
        <f t="shared" si="16"/>
        <v>14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18</v>
      </c>
      <c r="R45" s="216"/>
      <c r="S45" s="216"/>
      <c r="T45" s="217">
        <f t="shared" si="15"/>
        <v>0</v>
      </c>
      <c r="U45" s="217"/>
      <c r="V45" s="217"/>
      <c r="W45" s="218">
        <f t="shared" si="16"/>
        <v>18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3</v>
      </c>
      <c r="R46" s="216"/>
      <c r="S46" s="216"/>
      <c r="T46" s="217">
        <f t="shared" si="15"/>
        <v>0</v>
      </c>
      <c r="U46" s="217"/>
      <c r="V46" s="217"/>
      <c r="W46" s="218">
        <f t="shared" si="16"/>
        <v>3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0</v>
      </c>
      <c r="R47" s="216"/>
      <c r="S47" s="216"/>
      <c r="T47" s="217">
        <f t="shared" si="15"/>
        <v>0</v>
      </c>
      <c r="U47" s="217"/>
      <c r="V47" s="217"/>
      <c r="W47" s="218">
        <f t="shared" si="16"/>
        <v>0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2</v>
      </c>
      <c r="R48" s="216"/>
      <c r="S48" s="216"/>
      <c r="T48" s="217">
        <f t="shared" si="15"/>
        <v>0</v>
      </c>
      <c r="U48" s="217"/>
      <c r="V48" s="217"/>
      <c r="W48" s="218">
        <f t="shared" si="16"/>
        <v>2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0</v>
      </c>
      <c r="R49" s="216"/>
      <c r="S49" s="216"/>
      <c r="T49" s="217">
        <f t="shared" si="15"/>
        <v>0</v>
      </c>
      <c r="U49" s="217"/>
      <c r="V49" s="217"/>
      <c r="W49" s="218">
        <f t="shared" si="16"/>
        <v>0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11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11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4</v>
      </c>
      <c r="R51" s="216"/>
      <c r="S51" s="216"/>
      <c r="T51" s="217">
        <f>T23</f>
        <v>0</v>
      </c>
      <c r="U51" s="217"/>
      <c r="V51" s="217"/>
      <c r="W51" s="218">
        <f t="shared" si="16"/>
        <v>4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135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9.5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전남 나주시 동수농공단지길 
62-237 (운곡동)
061)334-3007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9.5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M46:P46"/>
    <mergeCell ref="AA46:AH46"/>
    <mergeCell ref="W26:AH27"/>
    <mergeCell ref="B25:D25"/>
    <mergeCell ref="V38:AA39"/>
    <mergeCell ref="G36:P37"/>
    <mergeCell ref="G38:P39"/>
    <mergeCell ref="E40:L40"/>
    <mergeCell ref="M43:P43"/>
    <mergeCell ref="M40:P40"/>
    <mergeCell ref="C32:F33"/>
    <mergeCell ref="G32:P33"/>
    <mergeCell ref="E25:L25"/>
    <mergeCell ref="E44:L44"/>
    <mergeCell ref="M44:P44"/>
    <mergeCell ref="Q44:S44"/>
    <mergeCell ref="T44:V44"/>
    <mergeCell ref="W44:Z44"/>
    <mergeCell ref="R36:U37"/>
    <mergeCell ref="V36:AH37"/>
    <mergeCell ref="W12:Z12"/>
    <mergeCell ref="E50:L50"/>
    <mergeCell ref="M47:P47"/>
    <mergeCell ref="Q47:S47"/>
    <mergeCell ref="T47:V47"/>
    <mergeCell ref="W47:Z47"/>
    <mergeCell ref="AA47:AH47"/>
    <mergeCell ref="AD38:AH39"/>
    <mergeCell ref="R32:U33"/>
    <mergeCell ref="E15:L15"/>
    <mergeCell ref="M15:P15"/>
    <mergeCell ref="W23:Z23"/>
    <mergeCell ref="T18:V18"/>
    <mergeCell ref="AA20:AH20"/>
    <mergeCell ref="E48:L48"/>
    <mergeCell ref="M48:P48"/>
    <mergeCell ref="Q48:S48"/>
    <mergeCell ref="T48:V48"/>
    <mergeCell ref="W48:Z48"/>
    <mergeCell ref="AA48:AH48"/>
    <mergeCell ref="Q40:S40"/>
    <mergeCell ref="T40:V40"/>
    <mergeCell ref="W40:Z40"/>
    <mergeCell ref="AA40:AH40"/>
    <mergeCell ref="E12:L12"/>
    <mergeCell ref="Q12:S12"/>
    <mergeCell ref="T12:V12"/>
    <mergeCell ref="C34:F35"/>
    <mergeCell ref="AA12:AH12"/>
    <mergeCell ref="M12:P12"/>
    <mergeCell ref="B13:D13"/>
    <mergeCell ref="E13:L13"/>
    <mergeCell ref="M13:P13"/>
    <mergeCell ref="Q13:S13"/>
    <mergeCell ref="T13:V13"/>
    <mergeCell ref="E18:L18"/>
    <mergeCell ref="M18:P18"/>
    <mergeCell ref="Q18:S18"/>
    <mergeCell ref="V32:AH33"/>
    <mergeCell ref="V34:AA35"/>
    <mergeCell ref="AB34:AC35"/>
    <mergeCell ref="AD34:AH35"/>
    <mergeCell ref="E23:L23"/>
    <mergeCell ref="M23:P23"/>
    <mergeCell ref="AA17:AH17"/>
    <mergeCell ref="AA13:AH13"/>
    <mergeCell ref="W13:Z13"/>
    <mergeCell ref="W15:Z15"/>
    <mergeCell ref="B54:V55"/>
    <mergeCell ref="W54:AH55"/>
    <mergeCell ref="AA41:AH41"/>
    <mergeCell ref="B41:D41"/>
    <mergeCell ref="E41:L41"/>
    <mergeCell ref="M41:P41"/>
    <mergeCell ref="Q41:S41"/>
    <mergeCell ref="T41:V41"/>
    <mergeCell ref="W41:Z41"/>
    <mergeCell ref="E51:L51"/>
    <mergeCell ref="M51:P51"/>
    <mergeCell ref="Q51:S51"/>
    <mergeCell ref="T51:V51"/>
    <mergeCell ref="W51:Z51"/>
    <mergeCell ref="AA51:AH51"/>
    <mergeCell ref="E52:L52"/>
    <mergeCell ref="M52:P52"/>
    <mergeCell ref="E47:L47"/>
    <mergeCell ref="W52:Z52"/>
    <mergeCell ref="W46:Z46"/>
    <mergeCell ref="Q46:S46"/>
    <mergeCell ref="T46:V46"/>
    <mergeCell ref="AA53:AH53"/>
    <mergeCell ref="E43:L43"/>
    <mergeCell ref="B53:D53"/>
    <mergeCell ref="M53:Z53"/>
    <mergeCell ref="AA23:AH23"/>
    <mergeCell ref="M19:P19"/>
    <mergeCell ref="Q19:S19"/>
    <mergeCell ref="T19:V19"/>
    <mergeCell ref="W19:Z19"/>
    <mergeCell ref="AA19:AH19"/>
    <mergeCell ref="Q52:S52"/>
    <mergeCell ref="T52:V52"/>
    <mergeCell ref="M50:P50"/>
    <mergeCell ref="Q50:S50"/>
    <mergeCell ref="T50:V50"/>
    <mergeCell ref="W50:Z50"/>
    <mergeCell ref="AA50:AH50"/>
    <mergeCell ref="B26:V27"/>
    <mergeCell ref="E53:L53"/>
    <mergeCell ref="AA52:AH52"/>
    <mergeCell ref="E46:L46"/>
    <mergeCell ref="G34:K35"/>
    <mergeCell ref="L34:P35"/>
    <mergeCell ref="R34:U35"/>
    <mergeCell ref="C38:F39"/>
    <mergeCell ref="R38:U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R8:U9"/>
    <mergeCell ref="V8:AH9"/>
    <mergeCell ref="C8:F9"/>
    <mergeCell ref="G8:P9"/>
    <mergeCell ref="AA15:AH15"/>
    <mergeCell ref="AA18:AH18"/>
    <mergeCell ref="AA44:AH44"/>
    <mergeCell ref="W18:Z18"/>
    <mergeCell ref="Q43:S43"/>
    <mergeCell ref="T43:V43"/>
    <mergeCell ref="W43:Z43"/>
    <mergeCell ref="AA43:AH43"/>
    <mergeCell ref="Q15:S15"/>
    <mergeCell ref="T15:V15"/>
    <mergeCell ref="W24:Z24"/>
    <mergeCell ref="AA24:AH24"/>
    <mergeCell ref="Q22:S22"/>
    <mergeCell ref="T22:V22"/>
    <mergeCell ref="W22:Z22"/>
    <mergeCell ref="AA22:AH22"/>
    <mergeCell ref="Q32:Q39"/>
    <mergeCell ref="M25:Z25"/>
    <mergeCell ref="AB38:AC39"/>
    <mergeCell ref="W20:Z20"/>
    <mergeCell ref="W21:Z21"/>
    <mergeCell ref="AA25:AH25"/>
    <mergeCell ref="B30:AH31"/>
    <mergeCell ref="B32:B39"/>
    <mergeCell ref="E19:L19"/>
    <mergeCell ref="E24:L24"/>
    <mergeCell ref="M24:P24"/>
    <mergeCell ref="Q24:S24"/>
    <mergeCell ref="T24:V24"/>
    <mergeCell ref="C36:F37"/>
    <mergeCell ref="M20:P20"/>
    <mergeCell ref="Q20:S20"/>
    <mergeCell ref="T20:V20"/>
    <mergeCell ref="T23:V23"/>
    <mergeCell ref="Q23:S23"/>
    <mergeCell ref="E20:L20"/>
    <mergeCell ref="E22:L22"/>
    <mergeCell ref="M22:P22"/>
    <mergeCell ref="E21:L21"/>
    <mergeCell ref="M21:P21"/>
    <mergeCell ref="Q21:S21"/>
    <mergeCell ref="T21:V21"/>
    <mergeCell ref="AA21:AH21"/>
    <mergeCell ref="E49:L49"/>
    <mergeCell ref="M49:P49"/>
    <mergeCell ref="Q49:S49"/>
    <mergeCell ref="T49:V49"/>
    <mergeCell ref="W49:Z49"/>
    <mergeCell ref="AA49:AH49"/>
    <mergeCell ref="E16:L16"/>
    <mergeCell ref="M16:P16"/>
    <mergeCell ref="Q16:S16"/>
    <mergeCell ref="T16:V16"/>
    <mergeCell ref="W16:Z16"/>
    <mergeCell ref="AA16:AH16"/>
    <mergeCell ref="E45:L45"/>
    <mergeCell ref="M45:P45"/>
    <mergeCell ref="Q45:S45"/>
    <mergeCell ref="T45:V45"/>
    <mergeCell ref="W45:Z45"/>
    <mergeCell ref="AA45:AH45"/>
    <mergeCell ref="E17:L17"/>
    <mergeCell ref="M17:P17"/>
    <mergeCell ref="Q17:S17"/>
    <mergeCell ref="T17:V17"/>
    <mergeCell ref="W17:Z17"/>
  </mergeCells>
  <phoneticPr fontId="2" type="noConversion"/>
  <conditionalFormatting sqref="AA13">
    <cfRule type="expression" dxfId="435" priority="1949">
      <formula>Q13:S27=0</formula>
    </cfRule>
  </conditionalFormatting>
  <conditionalFormatting sqref="AA14:AA15">
    <cfRule type="expression" dxfId="434" priority="9">
      <formula>Q14:S26=0</formula>
    </cfRule>
  </conditionalFormatting>
  <conditionalFormatting sqref="AA16:AA19 AA43:AH51">
    <cfRule type="expression" dxfId="433" priority="5">
      <formula>Q16:S26=0</formula>
    </cfRule>
  </conditionalFormatting>
  <conditionalFormatting sqref="AA20:AA21">
    <cfRule type="expression" dxfId="432" priority="3">
      <formula>Q20:S29=0</formula>
    </cfRule>
  </conditionalFormatting>
  <conditionalFormatting sqref="AA22">
    <cfRule type="expression" dxfId="431" priority="2729">
      <formula>Q22:S30=0</formula>
    </cfRule>
  </conditionalFormatting>
  <conditionalFormatting sqref="AA23:AA24">
    <cfRule type="expression" dxfId="430" priority="2905">
      <formula>Q23:S30=0</formula>
    </cfRule>
  </conditionalFormatting>
  <conditionalFormatting sqref="AA52:AH52">
    <cfRule type="expression" dxfId="429" priority="2986">
      <formula>Q52:S52=0</formula>
    </cfRule>
  </conditionalFormatting>
  <conditionalFormatting sqref="AA41:AH41">
    <cfRule type="expression" dxfId="428" priority="3126">
      <formula>Q41:S52=0</formula>
    </cfRule>
  </conditionalFormatting>
  <conditionalFormatting sqref="AA42:AH42">
    <cfRule type="expression" dxfId="3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81BC1878-E073-4F65-AC72-768CBBA39E97}"/>
  </dataValidations>
  <printOptions horizontalCentered="1"/>
  <pageMargins left="0" right="0" top="0.11811023622047245" bottom="0" header="0" footer="0"/>
  <pageSetup paperSize="9" scale="9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D415-9BD4-4E63-8538-430013FD8E55}">
  <sheetPr>
    <tabColor theme="9" tint="-0.249977111117893"/>
    <pageSetUpPr fitToPage="1"/>
  </sheetPr>
  <dimension ref="B1:AK55"/>
  <sheetViews>
    <sheetView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35" width="2.33203125" style="1"/>
    <col min="36" max="36" width="20.88671875" style="1" bestFit="1" customWidth="1"/>
    <col min="37" max="37" width="3.5546875" style="1" bestFit="1" customWidth="1"/>
    <col min="38" max="16384" width="2.33203125" style="1"/>
  </cols>
  <sheetData>
    <row r="1" spans="2:37" ht="14.25" thickBot="1" x14ac:dyDescent="0.2">
      <c r="B1" s="3" t="s">
        <v>84</v>
      </c>
    </row>
    <row r="2" spans="2:37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7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7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7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7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84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7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7" x14ac:dyDescent="0.15">
      <c r="B8" s="110"/>
      <c r="C8" s="113" t="s">
        <v>4</v>
      </c>
      <c r="D8" s="121"/>
      <c r="E8" s="121"/>
      <c r="F8" s="121"/>
      <c r="G8" s="148" t="s">
        <v>85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7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7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7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7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7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4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4</v>
      </c>
      <c r="X13" s="100"/>
      <c r="Y13" s="100"/>
      <c r="Z13" s="101"/>
      <c r="AA13" s="251">
        <f>B13+6</f>
        <v>46321</v>
      </c>
      <c r="AB13" s="84"/>
      <c r="AC13" s="84"/>
      <c r="AD13" s="84"/>
      <c r="AE13" s="84"/>
      <c r="AF13" s="84"/>
      <c r="AG13" s="84"/>
      <c r="AH13" s="85"/>
      <c r="AJ13" s="24"/>
      <c r="AK13"/>
    </row>
    <row r="14" spans="2:37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4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251" t="e">
        <f>B12+5</f>
        <v>#VALUE!</v>
      </c>
      <c r="AB14" s="84"/>
      <c r="AC14" s="84"/>
      <c r="AD14" s="84"/>
      <c r="AE14" s="84"/>
      <c r="AF14" s="84"/>
      <c r="AG14" s="84"/>
      <c r="AH14" s="85"/>
      <c r="AJ14" s="24"/>
      <c r="AK14"/>
    </row>
    <row r="15" spans="2:37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69</v>
      </c>
      <c r="R15" s="96"/>
      <c r="S15" s="97"/>
      <c r="T15" s="98">
        <f t="shared" si="0"/>
        <v>2</v>
      </c>
      <c r="U15" s="84"/>
      <c r="V15" s="84"/>
      <c r="W15" s="99">
        <f t="shared" si="1"/>
        <v>9</v>
      </c>
      <c r="X15" s="100"/>
      <c r="Y15" s="100"/>
      <c r="Z15" s="101"/>
      <c r="AA15" s="251">
        <f>B13+5</f>
        <v>46320</v>
      </c>
      <c r="AB15" s="84"/>
      <c r="AC15" s="84"/>
      <c r="AD15" s="84"/>
      <c r="AE15" s="84"/>
      <c r="AF15" s="84"/>
      <c r="AG15" s="84"/>
      <c r="AH15" s="85"/>
      <c r="AJ15"/>
      <c r="AK15"/>
    </row>
    <row r="16" spans="2:37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10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10</v>
      </c>
      <c r="X16" s="100"/>
      <c r="Y16" s="100"/>
      <c r="Z16" s="101"/>
      <c r="AA16" s="251">
        <f>B13+5-1</f>
        <v>46319</v>
      </c>
      <c r="AB16" s="84"/>
      <c r="AC16" s="84"/>
      <c r="AD16" s="84"/>
      <c r="AE16" s="84"/>
      <c r="AF16" s="84"/>
      <c r="AG16" s="84"/>
      <c r="AH16" s="85"/>
      <c r="AJ16"/>
      <c r="AK16"/>
    </row>
    <row r="17" spans="2:37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14</v>
      </c>
      <c r="R17" s="96"/>
      <c r="S17" s="97"/>
      <c r="T17" s="98">
        <f t="shared" si="0"/>
        <v>0</v>
      </c>
      <c r="U17" s="84"/>
      <c r="V17" s="84"/>
      <c r="W17" s="99">
        <f t="shared" si="1"/>
        <v>14</v>
      </c>
      <c r="X17" s="100"/>
      <c r="Y17" s="100"/>
      <c r="Z17" s="101"/>
      <c r="AA17" s="251">
        <f>B13+5-1</f>
        <v>46319</v>
      </c>
      <c r="AB17" s="84"/>
      <c r="AC17" s="84"/>
      <c r="AD17" s="84"/>
      <c r="AE17" s="84"/>
      <c r="AF17" s="84"/>
      <c r="AG17" s="84"/>
      <c r="AH17" s="85"/>
      <c r="AJ17"/>
      <c r="AK17"/>
    </row>
    <row r="18" spans="2:37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1</v>
      </c>
      <c r="R18" s="96"/>
      <c r="S18" s="97"/>
      <c r="T18" s="98">
        <f t="shared" si="0"/>
        <v>0</v>
      </c>
      <c r="U18" s="84"/>
      <c r="V18" s="84"/>
      <c r="W18" s="99">
        <f t="shared" si="1"/>
        <v>1</v>
      </c>
      <c r="X18" s="100"/>
      <c r="Y18" s="100"/>
      <c r="Z18" s="101"/>
      <c r="AA18" s="251">
        <f>B13+5-1</f>
        <v>46319</v>
      </c>
      <c r="AB18" s="84"/>
      <c r="AC18" s="84"/>
      <c r="AD18" s="84"/>
      <c r="AE18" s="84"/>
      <c r="AF18" s="84"/>
      <c r="AG18" s="84"/>
      <c r="AH18" s="85"/>
      <c r="AJ18"/>
      <c r="AK18"/>
    </row>
    <row r="19" spans="2:37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0</v>
      </c>
      <c r="R19" s="96"/>
      <c r="S19" s="97"/>
      <c r="T19" s="98">
        <f t="shared" si="0"/>
        <v>0</v>
      </c>
      <c r="U19" s="84"/>
      <c r="V19" s="84"/>
      <c r="W19" s="99">
        <f t="shared" si="1"/>
        <v>0</v>
      </c>
      <c r="X19" s="100"/>
      <c r="Y19" s="100"/>
      <c r="Z19" s="101"/>
      <c r="AA19" s="251">
        <f>B13+5-1</f>
        <v>46319</v>
      </c>
      <c r="AB19" s="84"/>
      <c r="AC19" s="84"/>
      <c r="AD19" s="84"/>
      <c r="AE19" s="84"/>
      <c r="AF19" s="84"/>
      <c r="AG19" s="84"/>
      <c r="AH19" s="85"/>
      <c r="AJ19"/>
      <c r="AK19"/>
    </row>
    <row r="20" spans="2:37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1</v>
      </c>
      <c r="R20" s="96"/>
      <c r="S20" s="97"/>
      <c r="T20" s="98">
        <f t="shared" si="0"/>
        <v>0</v>
      </c>
      <c r="U20" s="84"/>
      <c r="V20" s="84"/>
      <c r="W20" s="99">
        <f t="shared" si="1"/>
        <v>1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  <c r="AJ20"/>
      <c r="AK20"/>
    </row>
    <row r="21" spans="2:37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2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2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  <c r="AJ21"/>
      <c r="AK21"/>
    </row>
    <row r="22" spans="2:37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15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15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  <c r="AJ22"/>
      <c r="AK22"/>
    </row>
    <row r="23" spans="2:37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3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3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  <c r="AJ23"/>
      <c r="AK23"/>
    </row>
    <row r="24" spans="2:37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  <c r="AJ24"/>
      <c r="AK24"/>
    </row>
    <row r="25" spans="2:37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123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7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86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7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7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7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7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7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7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씨제이김제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전북 김제시 금산면 금평로 313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4</v>
      </c>
      <c r="R41" s="216"/>
      <c r="S41" s="216"/>
      <c r="T41" s="217">
        <f>T13</f>
        <v>0</v>
      </c>
      <c r="U41" s="217"/>
      <c r="V41" s="217"/>
      <c r="W41" s="218">
        <f>W13</f>
        <v>4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4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69</v>
      </c>
      <c r="R43" s="216"/>
      <c r="S43" s="216"/>
      <c r="T43" s="217">
        <f t="shared" si="15"/>
        <v>2</v>
      </c>
      <c r="U43" s="217"/>
      <c r="V43" s="217"/>
      <c r="W43" s="218">
        <f t="shared" si="16"/>
        <v>9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10</v>
      </c>
      <c r="R44" s="216"/>
      <c r="S44" s="216"/>
      <c r="T44" s="217">
        <f t="shared" si="15"/>
        <v>0</v>
      </c>
      <c r="U44" s="217"/>
      <c r="V44" s="217"/>
      <c r="W44" s="218">
        <f t="shared" si="16"/>
        <v>10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14</v>
      </c>
      <c r="R45" s="216"/>
      <c r="S45" s="216"/>
      <c r="T45" s="217">
        <f t="shared" si="15"/>
        <v>0</v>
      </c>
      <c r="U45" s="217"/>
      <c r="V45" s="217"/>
      <c r="W45" s="218">
        <f t="shared" si="16"/>
        <v>14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1</v>
      </c>
      <c r="R46" s="216"/>
      <c r="S46" s="216"/>
      <c r="T46" s="217">
        <f t="shared" si="15"/>
        <v>0</v>
      </c>
      <c r="U46" s="217"/>
      <c r="V46" s="217"/>
      <c r="W46" s="218">
        <f t="shared" si="16"/>
        <v>1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0</v>
      </c>
      <c r="R47" s="216"/>
      <c r="S47" s="216"/>
      <c r="T47" s="217">
        <f t="shared" si="15"/>
        <v>0</v>
      </c>
      <c r="U47" s="217"/>
      <c r="V47" s="217"/>
      <c r="W47" s="218">
        <f t="shared" si="16"/>
        <v>0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1</v>
      </c>
      <c r="R48" s="216"/>
      <c r="S48" s="216"/>
      <c r="T48" s="217">
        <f t="shared" si="15"/>
        <v>0</v>
      </c>
      <c r="U48" s="217"/>
      <c r="V48" s="217"/>
      <c r="W48" s="218">
        <f t="shared" si="16"/>
        <v>1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2</v>
      </c>
      <c r="R49" s="216"/>
      <c r="S49" s="216"/>
      <c r="T49" s="217">
        <f t="shared" si="15"/>
        <v>0</v>
      </c>
      <c r="U49" s="217"/>
      <c r="V49" s="217"/>
      <c r="W49" s="218">
        <f t="shared" si="16"/>
        <v>2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15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15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3</v>
      </c>
      <c r="R51" s="216"/>
      <c r="S51" s="216"/>
      <c r="T51" s="217">
        <f>T23</f>
        <v>0</v>
      </c>
      <c r="U51" s="217"/>
      <c r="V51" s="217"/>
      <c r="W51" s="218">
        <f t="shared" si="16"/>
        <v>3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123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100000000000001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전북 김제시 금산면 금평로 313
063-472-1651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100000000000001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E12:L12"/>
    <mergeCell ref="M12:P12"/>
    <mergeCell ref="Q12:S12"/>
    <mergeCell ref="T12:V12"/>
    <mergeCell ref="W12:Z12"/>
    <mergeCell ref="AA12:AH12"/>
    <mergeCell ref="Q19:S19"/>
    <mergeCell ref="M20:P20"/>
    <mergeCell ref="AA20:AH20"/>
    <mergeCell ref="E19:L19"/>
    <mergeCell ref="M19:P19"/>
    <mergeCell ref="AA13:AH13"/>
    <mergeCell ref="T18:V18"/>
    <mergeCell ref="W18:Z18"/>
    <mergeCell ref="AA18:AH18"/>
    <mergeCell ref="E15:L15"/>
    <mergeCell ref="M15:P15"/>
    <mergeCell ref="Q15:S15"/>
    <mergeCell ref="T15:V15"/>
    <mergeCell ref="W15:Z15"/>
    <mergeCell ref="AA15:AH15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32:B39"/>
    <mergeCell ref="C32:F33"/>
    <mergeCell ref="G32:P33"/>
    <mergeCell ref="B13:D13"/>
    <mergeCell ref="E13:L13"/>
    <mergeCell ref="M13:P13"/>
    <mergeCell ref="Q13:S13"/>
    <mergeCell ref="T13:V13"/>
    <mergeCell ref="W13:Z13"/>
    <mergeCell ref="E18:L18"/>
    <mergeCell ref="M18:P18"/>
    <mergeCell ref="Q18:S18"/>
    <mergeCell ref="E23:L23"/>
    <mergeCell ref="M23:P23"/>
    <mergeCell ref="Q23:S23"/>
    <mergeCell ref="T23:V23"/>
    <mergeCell ref="W23:Z23"/>
    <mergeCell ref="E25:L25"/>
    <mergeCell ref="M25:Z25"/>
    <mergeCell ref="G38:P39"/>
    <mergeCell ref="R38:U39"/>
    <mergeCell ref="V38:AA39"/>
    <mergeCell ref="C36:F37"/>
    <mergeCell ref="G36:P37"/>
    <mergeCell ref="M41:P41"/>
    <mergeCell ref="Q41:S41"/>
    <mergeCell ref="T41:V41"/>
    <mergeCell ref="AA50:AH50"/>
    <mergeCell ref="E47:L47"/>
    <mergeCell ref="M47:P47"/>
    <mergeCell ref="Q47:S47"/>
    <mergeCell ref="T47:V47"/>
    <mergeCell ref="W47:Z47"/>
    <mergeCell ref="T46:V46"/>
    <mergeCell ref="AA43:AH43"/>
    <mergeCell ref="M43:P43"/>
    <mergeCell ref="Q43:S43"/>
    <mergeCell ref="AA48:AH48"/>
    <mergeCell ref="AA45:AH45"/>
    <mergeCell ref="W45:Z45"/>
    <mergeCell ref="W48:Z48"/>
    <mergeCell ref="E44:L44"/>
    <mergeCell ref="M44:P44"/>
    <mergeCell ref="Q44:S44"/>
    <mergeCell ref="T44:V44"/>
    <mergeCell ref="W44:Z44"/>
    <mergeCell ref="E50:L50"/>
    <mergeCell ref="M50:P50"/>
    <mergeCell ref="B54:V55"/>
    <mergeCell ref="W54:AH55"/>
    <mergeCell ref="T51:V51"/>
    <mergeCell ref="E52:L52"/>
    <mergeCell ref="M52:P52"/>
    <mergeCell ref="Q52:S52"/>
    <mergeCell ref="T52:V52"/>
    <mergeCell ref="W52:Z52"/>
    <mergeCell ref="AA52:AH52"/>
    <mergeCell ref="W51:Z51"/>
    <mergeCell ref="AA51:AH51"/>
    <mergeCell ref="E51:L51"/>
    <mergeCell ref="AA53:AH53"/>
    <mergeCell ref="M51:P51"/>
    <mergeCell ref="B53:D53"/>
    <mergeCell ref="E53:L53"/>
    <mergeCell ref="M53:Z53"/>
    <mergeCell ref="Q51:S51"/>
    <mergeCell ref="Q50:S50"/>
    <mergeCell ref="T50:V50"/>
    <mergeCell ref="W50:Z50"/>
    <mergeCell ref="W46:Z46"/>
    <mergeCell ref="E45:L45"/>
    <mergeCell ref="M45:P45"/>
    <mergeCell ref="Q45:S45"/>
    <mergeCell ref="T45:V45"/>
    <mergeCell ref="E48:L48"/>
    <mergeCell ref="M48:P48"/>
    <mergeCell ref="Q48:S48"/>
    <mergeCell ref="E49:L49"/>
    <mergeCell ref="M49:P49"/>
    <mergeCell ref="V34:AA35"/>
    <mergeCell ref="AB34:AC35"/>
    <mergeCell ref="AD34:AH35"/>
    <mergeCell ref="E40:L40"/>
    <mergeCell ref="M40:P40"/>
    <mergeCell ref="AB38:AC39"/>
    <mergeCell ref="AD38:AH39"/>
    <mergeCell ref="G34:K35"/>
    <mergeCell ref="R34:U35"/>
    <mergeCell ref="T40:V40"/>
    <mergeCell ref="W40:Z40"/>
    <mergeCell ref="AA40:AH40"/>
    <mergeCell ref="AA46:AH46"/>
    <mergeCell ref="Q49:S49"/>
    <mergeCell ref="T49:V49"/>
    <mergeCell ref="W49:Z49"/>
    <mergeCell ref="AA47:AH47"/>
    <mergeCell ref="E43:L43"/>
    <mergeCell ref="T48:V48"/>
    <mergeCell ref="E46:L46"/>
    <mergeCell ref="M46:P46"/>
    <mergeCell ref="Q46:S46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T19:V19"/>
    <mergeCell ref="W19:Z19"/>
    <mergeCell ref="E20:L20"/>
    <mergeCell ref="AA19:AH19"/>
    <mergeCell ref="AA49:AH49"/>
    <mergeCell ref="R36:U37"/>
    <mergeCell ref="V36:AH37"/>
    <mergeCell ref="Q32:Q39"/>
    <mergeCell ref="R32:U33"/>
    <mergeCell ref="V32:AH33"/>
    <mergeCell ref="C34:F35"/>
    <mergeCell ref="C38:F39"/>
    <mergeCell ref="W24:Z24"/>
    <mergeCell ref="W26:AH27"/>
    <mergeCell ref="E24:L24"/>
    <mergeCell ref="AA24:AH24"/>
    <mergeCell ref="Q40:S40"/>
    <mergeCell ref="W43:Z43"/>
    <mergeCell ref="T43:V43"/>
    <mergeCell ref="E41:L41"/>
    <mergeCell ref="W41:Z41"/>
    <mergeCell ref="AA23:AH23"/>
    <mergeCell ref="M24:P24"/>
    <mergeCell ref="Q24:S24"/>
    <mergeCell ref="B30:AH31"/>
    <mergeCell ref="B25:D25"/>
    <mergeCell ref="AA25:AH25"/>
    <mergeCell ref="B26:V27"/>
    <mergeCell ref="AA44:AH44"/>
    <mergeCell ref="L34:P35"/>
    <mergeCell ref="Q20:S20"/>
    <mergeCell ref="T20:V20"/>
    <mergeCell ref="W20:Z20"/>
    <mergeCell ref="T24:V24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2:L22"/>
    <mergeCell ref="M22:P22"/>
    <mergeCell ref="Q22:S22"/>
    <mergeCell ref="AA41:AH41"/>
    <mergeCell ref="B41:D41"/>
  </mergeCells>
  <phoneticPr fontId="2" type="noConversion"/>
  <conditionalFormatting sqref="AA13">
    <cfRule type="expression" dxfId="427" priority="1947">
      <formula>Q13:S27=0</formula>
    </cfRule>
  </conditionalFormatting>
  <conditionalFormatting sqref="AA14:AA15">
    <cfRule type="expression" dxfId="426" priority="9">
      <formula>Q14:S26=0</formula>
    </cfRule>
  </conditionalFormatting>
  <conditionalFormatting sqref="AA16:AA19 AA43:AH51">
    <cfRule type="expression" dxfId="425" priority="5">
      <formula>Q16:S26=0</formula>
    </cfRule>
  </conditionalFormatting>
  <conditionalFormatting sqref="AA20:AA21">
    <cfRule type="expression" dxfId="424" priority="3">
      <formula>Q20:S29=0</formula>
    </cfRule>
  </conditionalFormatting>
  <conditionalFormatting sqref="AA22">
    <cfRule type="expression" dxfId="423" priority="2726">
      <formula>Q22:S30=0</formula>
    </cfRule>
  </conditionalFormatting>
  <conditionalFormatting sqref="AA23:AA24">
    <cfRule type="expression" dxfId="422" priority="2902">
      <formula>Q23:S30=0</formula>
    </cfRule>
  </conditionalFormatting>
  <conditionalFormatting sqref="AA52:AH52">
    <cfRule type="expression" dxfId="421" priority="2983">
      <formula>Q52:S52=0</formula>
    </cfRule>
  </conditionalFormatting>
  <conditionalFormatting sqref="AA41:AH41">
    <cfRule type="expression" dxfId="420" priority="3125">
      <formula>Q41:S52=0</formula>
    </cfRule>
  </conditionalFormatting>
  <conditionalFormatting sqref="AA42:AH42">
    <cfRule type="expression" dxfId="4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L25 C14:D24 C42:D52 M8:M25 AA40:AA52 E12:E24 T13:T24 AA12:AA24 B12:B26 Q41:Q52 M36:M53 T41:T52 B40:B54 E40:E53 Q13:Q24" xr:uid="{9B0B3833-6ECE-4C2B-8E16-1D83FD073552}"/>
  </dataValidations>
  <printOptions horizontalCentered="1"/>
  <pageMargins left="0" right="0" top="0.11811023622047245" bottom="0" header="0" footer="0"/>
  <pageSetup paperSize="9"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BBE3-4AA8-4407-81AD-A2D007B53E5F}">
  <sheetPr>
    <tabColor theme="7" tint="0.59999389629810485"/>
    <pageSetUpPr fitToPage="1"/>
  </sheetPr>
  <dimension ref="B1:AH55"/>
  <sheetViews>
    <sheetView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29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29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30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5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5</v>
      </c>
      <c r="X13" s="100"/>
      <c r="Y13" s="100"/>
      <c r="Z13" s="101"/>
      <c r="AA13" s="73">
        <f>B13+6</f>
        <v>46321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5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73" t="e">
        <f>B12+5</f>
        <v>#VALUE!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107</v>
      </c>
      <c r="R15" s="96"/>
      <c r="S15" s="97"/>
      <c r="T15" s="98">
        <f t="shared" si="0"/>
        <v>3</v>
      </c>
      <c r="U15" s="84"/>
      <c r="V15" s="84"/>
      <c r="W15" s="99">
        <f t="shared" si="1"/>
        <v>17</v>
      </c>
      <c r="X15" s="100"/>
      <c r="Y15" s="100"/>
      <c r="Z15" s="101"/>
      <c r="AA15" s="73">
        <f>B13+5</f>
        <v>46320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11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11</v>
      </c>
      <c r="X16" s="100"/>
      <c r="Y16" s="100"/>
      <c r="Z16" s="101"/>
      <c r="AA16" s="73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27</v>
      </c>
      <c r="R17" s="96"/>
      <c r="S17" s="97"/>
      <c r="T17" s="98">
        <f t="shared" si="0"/>
        <v>0</v>
      </c>
      <c r="U17" s="84"/>
      <c r="V17" s="84"/>
      <c r="W17" s="99">
        <f t="shared" si="1"/>
        <v>27</v>
      </c>
      <c r="X17" s="100"/>
      <c r="Y17" s="100"/>
      <c r="Z17" s="101"/>
      <c r="AA17" s="73">
        <f>B13+5-1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2</v>
      </c>
      <c r="R18" s="96"/>
      <c r="S18" s="97"/>
      <c r="T18" s="98">
        <f t="shared" si="0"/>
        <v>0</v>
      </c>
      <c r="U18" s="84"/>
      <c r="V18" s="84"/>
      <c r="W18" s="99">
        <f t="shared" si="1"/>
        <v>2</v>
      </c>
      <c r="X18" s="100"/>
      <c r="Y18" s="100"/>
      <c r="Z18" s="101"/>
      <c r="AA18" s="73">
        <f>B13+5-1</f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3</v>
      </c>
      <c r="R19" s="96"/>
      <c r="S19" s="97"/>
      <c r="T19" s="98">
        <f t="shared" si="0"/>
        <v>0</v>
      </c>
      <c r="U19" s="84"/>
      <c r="V19" s="84"/>
      <c r="W19" s="99">
        <f t="shared" si="1"/>
        <v>3</v>
      </c>
      <c r="X19" s="100"/>
      <c r="Y19" s="100"/>
      <c r="Z19" s="101"/>
      <c r="AA19" s="73">
        <f>B13+5-1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6</v>
      </c>
      <c r="R20" s="96"/>
      <c r="S20" s="97"/>
      <c r="T20" s="98">
        <f t="shared" si="0"/>
        <v>0</v>
      </c>
      <c r="U20" s="84"/>
      <c r="V20" s="84"/>
      <c r="W20" s="99">
        <f t="shared" si="1"/>
        <v>6</v>
      </c>
      <c r="X20" s="100"/>
      <c r="Y20" s="100"/>
      <c r="Z20" s="101"/>
      <c r="AA20" s="72">
        <f>B13+5</f>
        <v>46320</v>
      </c>
      <c r="AB20" s="73"/>
      <c r="AC20" s="73"/>
      <c r="AD20" s="73"/>
      <c r="AE20" s="73"/>
      <c r="AF20" s="73"/>
      <c r="AG20" s="73"/>
      <c r="AH20" s="74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2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2</v>
      </c>
      <c r="X21" s="100"/>
      <c r="Y21" s="100"/>
      <c r="Z21" s="101"/>
      <c r="AA21" s="72">
        <f>B13+4</f>
        <v>46319</v>
      </c>
      <c r="AB21" s="73"/>
      <c r="AC21" s="73"/>
      <c r="AD21" s="73"/>
      <c r="AE21" s="73"/>
      <c r="AF21" s="73"/>
      <c r="AG21" s="73"/>
      <c r="AH21" s="74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21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21</v>
      </c>
      <c r="X22" s="100"/>
      <c r="Y22" s="100"/>
      <c r="Z22" s="101"/>
      <c r="AA22" s="72">
        <f>B13+5-1</f>
        <v>46319</v>
      </c>
      <c r="AB22" s="73"/>
      <c r="AC22" s="73"/>
      <c r="AD22" s="73"/>
      <c r="AE22" s="73"/>
      <c r="AF22" s="73"/>
      <c r="AG22" s="73"/>
      <c r="AH22" s="74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7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7</v>
      </c>
      <c r="X23" s="100"/>
      <c r="Y23" s="100"/>
      <c r="Z23" s="101"/>
      <c r="AA23" s="72">
        <f>B13+5</f>
        <v>46320</v>
      </c>
      <c r="AB23" s="73"/>
      <c r="AC23" s="73"/>
      <c r="AD23" s="73"/>
      <c r="AE23" s="73"/>
      <c r="AF23" s="73"/>
      <c r="AG23" s="73"/>
      <c r="AH23" s="74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72"/>
      <c r="AB24" s="73"/>
      <c r="AC24" s="73"/>
      <c r="AD24" s="73"/>
      <c r="AE24" s="73"/>
      <c r="AF24" s="73"/>
      <c r="AG24" s="73"/>
      <c r="AH24" s="74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196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31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BGF로지스대구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경상북도 칠곡군 석적읍 호국로 608   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5</v>
      </c>
      <c r="R41" s="216"/>
      <c r="S41" s="216"/>
      <c r="T41" s="217">
        <f>T13</f>
        <v>0</v>
      </c>
      <c r="U41" s="217"/>
      <c r="V41" s="217"/>
      <c r="W41" s="218">
        <f>W13</f>
        <v>5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5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107</v>
      </c>
      <c r="R43" s="216"/>
      <c r="S43" s="216"/>
      <c r="T43" s="217">
        <f t="shared" si="15"/>
        <v>3</v>
      </c>
      <c r="U43" s="217"/>
      <c r="V43" s="217"/>
      <c r="W43" s="218">
        <f t="shared" si="16"/>
        <v>17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11</v>
      </c>
      <c r="R44" s="216"/>
      <c r="S44" s="216"/>
      <c r="T44" s="217">
        <f t="shared" si="15"/>
        <v>0</v>
      </c>
      <c r="U44" s="217"/>
      <c r="V44" s="217"/>
      <c r="W44" s="218">
        <f t="shared" si="16"/>
        <v>11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27</v>
      </c>
      <c r="R45" s="216"/>
      <c r="S45" s="216"/>
      <c r="T45" s="217">
        <f t="shared" si="15"/>
        <v>0</v>
      </c>
      <c r="U45" s="217"/>
      <c r="V45" s="217"/>
      <c r="W45" s="218">
        <f t="shared" si="16"/>
        <v>27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2</v>
      </c>
      <c r="R46" s="216"/>
      <c r="S46" s="216"/>
      <c r="T46" s="217">
        <f t="shared" si="15"/>
        <v>0</v>
      </c>
      <c r="U46" s="217"/>
      <c r="V46" s="217"/>
      <c r="W46" s="218">
        <f t="shared" si="16"/>
        <v>2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3</v>
      </c>
      <c r="R47" s="216"/>
      <c r="S47" s="216"/>
      <c r="T47" s="217">
        <f t="shared" si="15"/>
        <v>0</v>
      </c>
      <c r="U47" s="217"/>
      <c r="V47" s="217"/>
      <c r="W47" s="218">
        <f t="shared" si="16"/>
        <v>3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6</v>
      </c>
      <c r="R48" s="216"/>
      <c r="S48" s="216"/>
      <c r="T48" s="217">
        <f t="shared" si="15"/>
        <v>0</v>
      </c>
      <c r="U48" s="217"/>
      <c r="V48" s="217"/>
      <c r="W48" s="218">
        <f t="shared" si="16"/>
        <v>6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2</v>
      </c>
      <c r="R49" s="216"/>
      <c r="S49" s="216"/>
      <c r="T49" s="217">
        <f t="shared" si="15"/>
        <v>0</v>
      </c>
      <c r="U49" s="217"/>
      <c r="V49" s="217"/>
      <c r="W49" s="218">
        <f t="shared" si="16"/>
        <v>2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21</v>
      </c>
      <c r="R50" s="216"/>
      <c r="S50" s="216"/>
      <c r="T50" s="217">
        <f t="shared" si="15"/>
        <v>0</v>
      </c>
      <c r="U50" s="217"/>
      <c r="V50" s="217"/>
      <c r="W50" s="218">
        <f t="shared" si="16"/>
        <v>21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7</v>
      </c>
      <c r="R51" s="216"/>
      <c r="S51" s="216"/>
      <c r="T51" s="217">
        <f>T23</f>
        <v>0</v>
      </c>
      <c r="U51" s="217"/>
      <c r="V51" s="217"/>
      <c r="W51" s="218">
        <f t="shared" si="16"/>
        <v>7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254"/>
      <c r="N52" s="255"/>
      <c r="O52" s="255"/>
      <c r="P52" s="224"/>
      <c r="Q52" s="256"/>
      <c r="R52" s="257"/>
      <c r="S52" s="258"/>
      <c r="T52" s="259"/>
      <c r="U52" s="260"/>
      <c r="V52" s="242"/>
      <c r="W52" s="261"/>
      <c r="X52" s="262"/>
      <c r="Y52" s="262"/>
      <c r="Z52" s="263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196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100000000000001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경상북도 칠곡군 석적읍 호국로 608 
054)974-7443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100000000000001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Q32:Q39"/>
    <mergeCell ref="R32:U33"/>
    <mergeCell ref="L34:P35"/>
    <mergeCell ref="B30:AH31"/>
    <mergeCell ref="B32:B39"/>
    <mergeCell ref="C32:F33"/>
    <mergeCell ref="AD38:AH39"/>
    <mergeCell ref="C38:F39"/>
    <mergeCell ref="G38:P39"/>
    <mergeCell ref="R38:U39"/>
    <mergeCell ref="V38:AA39"/>
    <mergeCell ref="AB38:AC39"/>
    <mergeCell ref="E24:L24"/>
    <mergeCell ref="M24:P24"/>
    <mergeCell ref="Q24:S24"/>
    <mergeCell ref="T24:V24"/>
    <mergeCell ref="W24:Z24"/>
    <mergeCell ref="G36:P37"/>
    <mergeCell ref="R36:U37"/>
    <mergeCell ref="V36:AH37"/>
    <mergeCell ref="E25:L25"/>
    <mergeCell ref="AA24:AH24"/>
    <mergeCell ref="V34:AA35"/>
    <mergeCell ref="G32:P33"/>
    <mergeCell ref="M25:Z25"/>
    <mergeCell ref="AA25:AH25"/>
    <mergeCell ref="C34:F35"/>
    <mergeCell ref="G34:K35"/>
    <mergeCell ref="B25:D25"/>
    <mergeCell ref="R34:U35"/>
    <mergeCell ref="AB34:AC35"/>
    <mergeCell ref="AD34:AH35"/>
    <mergeCell ref="C36:F37"/>
    <mergeCell ref="B26:V27"/>
    <mergeCell ref="W26:AH27"/>
    <mergeCell ref="V32:AH33"/>
    <mergeCell ref="M12:P12"/>
    <mergeCell ref="W13:Z13"/>
    <mergeCell ref="AA13:AH13"/>
    <mergeCell ref="E19:L19"/>
    <mergeCell ref="M19:P19"/>
    <mergeCell ref="E12:L12"/>
    <mergeCell ref="Q12:S12"/>
    <mergeCell ref="T12:V12"/>
    <mergeCell ref="W12:Z12"/>
    <mergeCell ref="AA12:AH12"/>
    <mergeCell ref="Q19:S19"/>
    <mergeCell ref="T19:V19"/>
    <mergeCell ref="E18:L18"/>
    <mergeCell ref="M18:P18"/>
    <mergeCell ref="Q18:S18"/>
    <mergeCell ref="T18:V18"/>
    <mergeCell ref="E17:L17"/>
    <mergeCell ref="M17:P17"/>
    <mergeCell ref="Q17:S17"/>
    <mergeCell ref="T17:V17"/>
    <mergeCell ref="W17:Z17"/>
    <mergeCell ref="AA17:AH17"/>
    <mergeCell ref="M15:P15"/>
    <mergeCell ref="Q15:S15"/>
    <mergeCell ref="T15:V15"/>
    <mergeCell ref="W15:Z15"/>
    <mergeCell ref="AA15:AH15"/>
    <mergeCell ref="E22:L22"/>
    <mergeCell ref="M22:P22"/>
    <mergeCell ref="Q22:S22"/>
    <mergeCell ref="T22:V22"/>
    <mergeCell ref="W22:Z22"/>
    <mergeCell ref="AA22:AH22"/>
    <mergeCell ref="E16:L16"/>
    <mergeCell ref="M16:P16"/>
    <mergeCell ref="Q16:S16"/>
    <mergeCell ref="T16:V16"/>
    <mergeCell ref="W16:Z16"/>
    <mergeCell ref="AA16:AH16"/>
    <mergeCell ref="Q21:S21"/>
    <mergeCell ref="T21:V21"/>
    <mergeCell ref="W21:Z21"/>
    <mergeCell ref="AA21:AH21"/>
    <mergeCell ref="B13:D13"/>
    <mergeCell ref="E13:L13"/>
    <mergeCell ref="M13:P13"/>
    <mergeCell ref="Q13:S13"/>
    <mergeCell ref="T13:V13"/>
    <mergeCell ref="AA23:AH23"/>
    <mergeCell ref="AA19:AH19"/>
    <mergeCell ref="AA18:AH18"/>
    <mergeCell ref="W19:Z19"/>
    <mergeCell ref="E23:L23"/>
    <mergeCell ref="M23:P23"/>
    <mergeCell ref="Q23:S23"/>
    <mergeCell ref="T23:V23"/>
    <mergeCell ref="W23:Z23"/>
    <mergeCell ref="E20:L20"/>
    <mergeCell ref="M20:P20"/>
    <mergeCell ref="Q20:S20"/>
    <mergeCell ref="T20:V20"/>
    <mergeCell ref="W18:Z18"/>
    <mergeCell ref="W20:Z20"/>
    <mergeCell ref="AA20:AH20"/>
    <mergeCell ref="E15:L15"/>
    <mergeCell ref="E21:L21"/>
    <mergeCell ref="M21:P21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53:D53"/>
    <mergeCell ref="E53:L53"/>
    <mergeCell ref="M53:Z53"/>
    <mergeCell ref="AA53:AH53"/>
    <mergeCell ref="B54:V55"/>
    <mergeCell ref="W54:AH55"/>
    <mergeCell ref="E51:L51"/>
    <mergeCell ref="M51:P51"/>
    <mergeCell ref="Q51:S51"/>
    <mergeCell ref="T51:V51"/>
    <mergeCell ref="W51:Z51"/>
    <mergeCell ref="AA51:AH51"/>
    <mergeCell ref="E52:L52"/>
    <mergeCell ref="M52:P52"/>
    <mergeCell ref="Q52:S52"/>
    <mergeCell ref="T52:V52"/>
    <mergeCell ref="W52:Z52"/>
    <mergeCell ref="AA52:AH52"/>
    <mergeCell ref="E50:L50"/>
    <mergeCell ref="M50:P50"/>
    <mergeCell ref="Q50:S50"/>
    <mergeCell ref="T50:V50"/>
    <mergeCell ref="W50:Z50"/>
    <mergeCell ref="AA50:AH50"/>
    <mergeCell ref="M41:P41"/>
    <mergeCell ref="Q41:S41"/>
    <mergeCell ref="T41:V41"/>
    <mergeCell ref="W41:Z41"/>
    <mergeCell ref="AA41:AH41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3:L43"/>
    <mergeCell ref="E44:L44"/>
    <mergeCell ref="M44:P44"/>
    <mergeCell ref="Q44:S44"/>
    <mergeCell ref="T44:V44"/>
    <mergeCell ref="W44:Z44"/>
    <mergeCell ref="AA44:AH44"/>
    <mergeCell ref="B41:D41"/>
    <mergeCell ref="E41:L41"/>
    <mergeCell ref="M40:P40"/>
    <mergeCell ref="Q40:S40"/>
    <mergeCell ref="T40:V40"/>
    <mergeCell ref="W40:Z40"/>
    <mergeCell ref="AA40:AH40"/>
    <mergeCell ref="M43:P43"/>
    <mergeCell ref="Q43:S43"/>
    <mergeCell ref="T43:V43"/>
    <mergeCell ref="W43:Z43"/>
    <mergeCell ref="AA43:AH43"/>
    <mergeCell ref="E40:L40"/>
    <mergeCell ref="E49:L49"/>
    <mergeCell ref="M49:P49"/>
    <mergeCell ref="Q49:S49"/>
    <mergeCell ref="T49:V49"/>
    <mergeCell ref="W49:Z49"/>
    <mergeCell ref="AA49:AH49"/>
    <mergeCell ref="E45:L45"/>
    <mergeCell ref="M45:P45"/>
    <mergeCell ref="Q45:S45"/>
    <mergeCell ref="T45:V45"/>
    <mergeCell ref="W45:Z45"/>
    <mergeCell ref="AA45:AH45"/>
    <mergeCell ref="E48:L48"/>
    <mergeCell ref="M48:P48"/>
    <mergeCell ref="Q48:S48"/>
    <mergeCell ref="T48:V48"/>
    <mergeCell ref="W48:Z48"/>
    <mergeCell ref="AA48:AH48"/>
  </mergeCells>
  <phoneticPr fontId="2" type="noConversion"/>
  <conditionalFormatting sqref="AA13:AH13">
    <cfRule type="expression" dxfId="419" priority="1947">
      <formula>Q13:S27=0</formula>
    </cfRule>
  </conditionalFormatting>
  <conditionalFormatting sqref="AA15:AH15">
    <cfRule type="expression" dxfId="418" priority="11">
      <formula>Q15:S27=0</formula>
    </cfRule>
  </conditionalFormatting>
  <conditionalFormatting sqref="AA16:AH19 AA43:AH51">
    <cfRule type="expression" dxfId="417" priority="6">
      <formula>Q16:S26=0</formula>
    </cfRule>
  </conditionalFormatting>
  <conditionalFormatting sqref="AA20:AH21">
    <cfRule type="expression" dxfId="416" priority="4">
      <formula>Q20:S29=0</formula>
    </cfRule>
  </conditionalFormatting>
  <conditionalFormatting sqref="AA22:AH22">
    <cfRule type="expression" dxfId="415" priority="2724">
      <formula>Q22:S30=0</formula>
    </cfRule>
  </conditionalFormatting>
  <conditionalFormatting sqref="AA23:AH24">
    <cfRule type="expression" dxfId="414" priority="2900">
      <formula>Q23:S30=0</formula>
    </cfRule>
  </conditionalFormatting>
  <conditionalFormatting sqref="AA52:AH52">
    <cfRule type="expression" dxfId="413" priority="2981">
      <formula>Q52:S52=0</formula>
    </cfRule>
  </conditionalFormatting>
  <conditionalFormatting sqref="AA41:AH41">
    <cfRule type="expression" dxfId="412" priority="3125">
      <formula>Q41:S52=0</formula>
    </cfRule>
  </conditionalFormatting>
  <conditionalFormatting sqref="AA14:AH14">
    <cfRule type="expression" dxfId="30" priority="2">
      <formula>Q14:S26=0</formula>
    </cfRule>
  </conditionalFormatting>
  <conditionalFormatting sqref="AA42:AH42">
    <cfRule type="expression" dxfId="5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B323AF54-E6B0-4D3C-AFA8-2FAE8B448E64}"/>
  </dataValidations>
  <printOptions horizontalCentered="1"/>
  <pageMargins left="0" right="0" top="0.11811023622047245" bottom="0" header="0" footer="0"/>
  <pageSetup paperSize="9" scale="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B5A7-DBDA-4CAD-A577-FCE867BA89E0}">
  <sheetPr>
    <tabColor theme="7" tint="0.59999389629810485"/>
    <pageSetUpPr fitToPage="1"/>
  </sheetPr>
  <dimension ref="B1:AQ55"/>
  <sheetViews>
    <sheetView topLeftCell="A26"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41" width="2.33203125" style="1"/>
    <col min="42" max="42" width="20.6640625" style="1" bestFit="1" customWidth="1"/>
    <col min="43" max="43" width="3.5546875" style="1" bestFit="1" customWidth="1"/>
    <col min="44" max="16384" width="2.33203125" style="1"/>
  </cols>
  <sheetData>
    <row r="1" spans="2:43" ht="14.25" thickBot="1" x14ac:dyDescent="0.2">
      <c r="B1" s="3" t="s">
        <v>38</v>
      </c>
    </row>
    <row r="2" spans="2:43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43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43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43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43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38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43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43" x14ac:dyDescent="0.15">
      <c r="B8" s="110"/>
      <c r="C8" s="113" t="s">
        <v>4</v>
      </c>
      <c r="D8" s="121"/>
      <c r="E8" s="121"/>
      <c r="F8" s="121"/>
      <c r="G8" s="148" t="s">
        <v>39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43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43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43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43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43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0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0</v>
      </c>
      <c r="X13" s="100"/>
      <c r="Y13" s="100"/>
      <c r="Z13" s="101"/>
      <c r="AA13" s="153">
        <f>B13+6</f>
        <v>46321</v>
      </c>
      <c r="AB13" s="84"/>
      <c r="AC13" s="84"/>
      <c r="AD13" s="84"/>
      <c r="AE13" s="84"/>
      <c r="AF13" s="84"/>
      <c r="AG13" s="84"/>
      <c r="AH13" s="85"/>
      <c r="AK13"/>
      <c r="AP13" s="49"/>
      <c r="AQ13" s="50"/>
    </row>
    <row r="14" spans="2:43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0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153" t="e">
        <f>B12+5</f>
        <v>#VALUE!</v>
      </c>
      <c r="AB14" s="84"/>
      <c r="AC14" s="84"/>
      <c r="AD14" s="84"/>
      <c r="AE14" s="84"/>
      <c r="AF14" s="84"/>
      <c r="AG14" s="84"/>
      <c r="AH14" s="85"/>
      <c r="AK14"/>
      <c r="AP14" s="49"/>
      <c r="AQ14" s="50"/>
    </row>
    <row r="15" spans="2:43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88</v>
      </c>
      <c r="R15" s="96"/>
      <c r="S15" s="97"/>
      <c r="T15" s="98">
        <f t="shared" si="0"/>
        <v>2</v>
      </c>
      <c r="U15" s="84"/>
      <c r="V15" s="84"/>
      <c r="W15" s="99">
        <f t="shared" si="1"/>
        <v>28</v>
      </c>
      <c r="X15" s="100"/>
      <c r="Y15" s="100"/>
      <c r="Z15" s="101"/>
      <c r="AA15" s="153">
        <f>B13+5</f>
        <v>46320</v>
      </c>
      <c r="AB15" s="84"/>
      <c r="AC15" s="84"/>
      <c r="AD15" s="84"/>
      <c r="AE15" s="84"/>
      <c r="AF15" s="84"/>
      <c r="AG15" s="84"/>
      <c r="AH15" s="85"/>
      <c r="AK15"/>
      <c r="AP15" s="49"/>
      <c r="AQ15" s="50"/>
    </row>
    <row r="16" spans="2:43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6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6</v>
      </c>
      <c r="X16" s="100"/>
      <c r="Y16" s="100"/>
      <c r="Z16" s="101"/>
      <c r="AA16" s="153">
        <f>B13+5-1</f>
        <v>46319</v>
      </c>
      <c r="AB16" s="84"/>
      <c r="AC16" s="84"/>
      <c r="AD16" s="84"/>
      <c r="AE16" s="84"/>
      <c r="AF16" s="84"/>
      <c r="AG16" s="84"/>
      <c r="AH16" s="85"/>
      <c r="AK16"/>
      <c r="AP16" s="49"/>
      <c r="AQ16" s="50"/>
    </row>
    <row r="17" spans="2:43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12</v>
      </c>
      <c r="R17" s="96"/>
      <c r="S17" s="97"/>
      <c r="T17" s="98">
        <f t="shared" si="0"/>
        <v>0</v>
      </c>
      <c r="U17" s="84"/>
      <c r="V17" s="84"/>
      <c r="W17" s="99">
        <f t="shared" si="1"/>
        <v>12</v>
      </c>
      <c r="X17" s="100"/>
      <c r="Y17" s="100"/>
      <c r="Z17" s="101"/>
      <c r="AA17" s="153">
        <f>B13+5-1</f>
        <v>46319</v>
      </c>
      <c r="AB17" s="84"/>
      <c r="AC17" s="84"/>
      <c r="AD17" s="84"/>
      <c r="AE17" s="84"/>
      <c r="AF17" s="84"/>
      <c r="AG17" s="84"/>
      <c r="AH17" s="85"/>
      <c r="AK17"/>
      <c r="AP17" s="49"/>
      <c r="AQ17" s="50"/>
    </row>
    <row r="18" spans="2:43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1</v>
      </c>
      <c r="R18" s="96"/>
      <c r="S18" s="97"/>
      <c r="T18" s="98">
        <f t="shared" si="0"/>
        <v>0</v>
      </c>
      <c r="U18" s="84"/>
      <c r="V18" s="84"/>
      <c r="W18" s="99">
        <f t="shared" si="1"/>
        <v>1</v>
      </c>
      <c r="X18" s="100"/>
      <c r="Y18" s="100"/>
      <c r="Z18" s="101"/>
      <c r="AA18" s="153">
        <f>B13+5-1</f>
        <v>46319</v>
      </c>
      <c r="AB18" s="84"/>
      <c r="AC18" s="84"/>
      <c r="AD18" s="84"/>
      <c r="AE18" s="84"/>
      <c r="AF18" s="84"/>
      <c r="AG18" s="84"/>
      <c r="AH18" s="85"/>
      <c r="AK18"/>
      <c r="AP18" s="49"/>
      <c r="AQ18" s="50"/>
    </row>
    <row r="19" spans="2:43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2</v>
      </c>
      <c r="R19" s="96"/>
      <c r="S19" s="97"/>
      <c r="T19" s="98">
        <f t="shared" si="0"/>
        <v>0</v>
      </c>
      <c r="U19" s="84"/>
      <c r="V19" s="84"/>
      <c r="W19" s="99">
        <f t="shared" si="1"/>
        <v>2</v>
      </c>
      <c r="X19" s="100"/>
      <c r="Y19" s="100"/>
      <c r="Z19" s="101"/>
      <c r="AA19" s="153">
        <f>B13+5-1</f>
        <v>46319</v>
      </c>
      <c r="AB19" s="84"/>
      <c r="AC19" s="84"/>
      <c r="AD19" s="84"/>
      <c r="AE19" s="84"/>
      <c r="AF19" s="84"/>
      <c r="AG19" s="84"/>
      <c r="AH19" s="85"/>
      <c r="AK19"/>
      <c r="AP19" s="49"/>
      <c r="AQ19" s="50"/>
    </row>
    <row r="20" spans="2:43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0</v>
      </c>
      <c r="R20" s="96"/>
      <c r="S20" s="97"/>
      <c r="T20" s="98">
        <f t="shared" si="0"/>
        <v>0</v>
      </c>
      <c r="U20" s="84"/>
      <c r="V20" s="84"/>
      <c r="W20" s="99">
        <f t="shared" si="1"/>
        <v>0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  <c r="AK20"/>
      <c r="AP20" s="49"/>
      <c r="AQ20" s="50"/>
    </row>
    <row r="21" spans="2:43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1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1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  <c r="AK21"/>
      <c r="AP21" s="49"/>
      <c r="AQ21" s="50"/>
    </row>
    <row r="22" spans="2:43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16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16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  <c r="AK22"/>
      <c r="AP22" s="49"/>
      <c r="AQ22" s="50"/>
    </row>
    <row r="23" spans="2:43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3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3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  <c r="AK23"/>
      <c r="AP23" s="49"/>
      <c r="AQ23" s="50"/>
    </row>
    <row r="24" spans="2:43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  <c r="AK24"/>
      <c r="AP24" s="49"/>
      <c r="AQ24" s="50"/>
    </row>
    <row r="25" spans="2:43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129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  <c r="AP25" s="49"/>
      <c r="AQ25" s="50"/>
    </row>
    <row r="26" spans="2:43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40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  <c r="AP26" s="49"/>
      <c r="AQ26" s="50"/>
    </row>
    <row r="27" spans="2:43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  <c r="AP27" s="49"/>
      <c r="AQ27" s="50"/>
    </row>
    <row r="28" spans="2:43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  <c r="AP28" s="49"/>
      <c r="AQ28" s="50"/>
    </row>
    <row r="29" spans="2:43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P29" s="49"/>
      <c r="AQ29" s="50"/>
    </row>
    <row r="30" spans="2:43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43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43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극동로지스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경남 김해시 생림면 인제로 661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0</v>
      </c>
      <c r="R41" s="216"/>
      <c r="S41" s="216"/>
      <c r="T41" s="217">
        <f>T13</f>
        <v>0</v>
      </c>
      <c r="U41" s="217"/>
      <c r="V41" s="217"/>
      <c r="W41" s="218">
        <f>W13</f>
        <v>0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0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88</v>
      </c>
      <c r="R43" s="216"/>
      <c r="S43" s="216"/>
      <c r="T43" s="217">
        <f t="shared" si="15"/>
        <v>2</v>
      </c>
      <c r="U43" s="217"/>
      <c r="V43" s="217"/>
      <c r="W43" s="218">
        <f t="shared" si="16"/>
        <v>28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6</v>
      </c>
      <c r="R44" s="216"/>
      <c r="S44" s="216"/>
      <c r="T44" s="217">
        <f t="shared" si="15"/>
        <v>0</v>
      </c>
      <c r="U44" s="217"/>
      <c r="V44" s="217"/>
      <c r="W44" s="218">
        <f t="shared" si="16"/>
        <v>6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12</v>
      </c>
      <c r="R45" s="216"/>
      <c r="S45" s="216"/>
      <c r="T45" s="217">
        <f t="shared" si="15"/>
        <v>0</v>
      </c>
      <c r="U45" s="217"/>
      <c r="V45" s="217"/>
      <c r="W45" s="218">
        <f t="shared" si="16"/>
        <v>12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1</v>
      </c>
      <c r="R46" s="216"/>
      <c r="S46" s="216"/>
      <c r="T46" s="217">
        <f t="shared" si="15"/>
        <v>0</v>
      </c>
      <c r="U46" s="217"/>
      <c r="V46" s="217"/>
      <c r="W46" s="218">
        <f t="shared" si="16"/>
        <v>1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2</v>
      </c>
      <c r="R47" s="216"/>
      <c r="S47" s="216"/>
      <c r="T47" s="217">
        <f t="shared" si="15"/>
        <v>0</v>
      </c>
      <c r="U47" s="217"/>
      <c r="V47" s="217"/>
      <c r="W47" s="218">
        <f t="shared" si="16"/>
        <v>2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0</v>
      </c>
      <c r="R48" s="216"/>
      <c r="S48" s="216"/>
      <c r="T48" s="217">
        <f t="shared" si="15"/>
        <v>0</v>
      </c>
      <c r="U48" s="217"/>
      <c r="V48" s="217"/>
      <c r="W48" s="218">
        <f t="shared" si="16"/>
        <v>0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1</v>
      </c>
      <c r="R49" s="216"/>
      <c r="S49" s="216"/>
      <c r="T49" s="217">
        <f t="shared" si="15"/>
        <v>0</v>
      </c>
      <c r="U49" s="217"/>
      <c r="V49" s="217"/>
      <c r="W49" s="218">
        <f t="shared" si="16"/>
        <v>1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16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16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3</v>
      </c>
      <c r="R51" s="216"/>
      <c r="S51" s="216"/>
      <c r="T51" s="217">
        <f>T23</f>
        <v>0</v>
      </c>
      <c r="U51" s="217"/>
      <c r="V51" s="217"/>
      <c r="W51" s="218">
        <f t="shared" si="16"/>
        <v>3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129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100000000000001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경남 김해시 생림면 인제로 661
055)325-4064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100000000000001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M46:P46"/>
    <mergeCell ref="AA46:AH46"/>
    <mergeCell ref="W26:AH27"/>
    <mergeCell ref="B25:D25"/>
    <mergeCell ref="V38:AA39"/>
    <mergeCell ref="G36:P37"/>
    <mergeCell ref="G38:P39"/>
    <mergeCell ref="E40:L40"/>
    <mergeCell ref="M43:P43"/>
    <mergeCell ref="M40:P40"/>
    <mergeCell ref="C32:F33"/>
    <mergeCell ref="G32:P33"/>
    <mergeCell ref="E25:L25"/>
    <mergeCell ref="E44:L44"/>
    <mergeCell ref="M44:P44"/>
    <mergeCell ref="Q44:S44"/>
    <mergeCell ref="T44:V44"/>
    <mergeCell ref="W44:Z44"/>
    <mergeCell ref="R36:U37"/>
    <mergeCell ref="V36:AH37"/>
    <mergeCell ref="W12:Z12"/>
    <mergeCell ref="E50:L50"/>
    <mergeCell ref="M47:P47"/>
    <mergeCell ref="Q47:S47"/>
    <mergeCell ref="T47:V47"/>
    <mergeCell ref="W47:Z47"/>
    <mergeCell ref="AA47:AH47"/>
    <mergeCell ref="AD38:AH39"/>
    <mergeCell ref="R32:U33"/>
    <mergeCell ref="E15:L15"/>
    <mergeCell ref="M15:P15"/>
    <mergeCell ref="W23:Z23"/>
    <mergeCell ref="T18:V18"/>
    <mergeCell ref="AA20:AH20"/>
    <mergeCell ref="E48:L48"/>
    <mergeCell ref="M48:P48"/>
    <mergeCell ref="Q48:S48"/>
    <mergeCell ref="T48:V48"/>
    <mergeCell ref="W48:Z48"/>
    <mergeCell ref="AA48:AH48"/>
    <mergeCell ref="Q40:S40"/>
    <mergeCell ref="T40:V40"/>
    <mergeCell ref="W40:Z40"/>
    <mergeCell ref="AA40:AH40"/>
    <mergeCell ref="E12:L12"/>
    <mergeCell ref="Q12:S12"/>
    <mergeCell ref="T12:V12"/>
    <mergeCell ref="C34:F35"/>
    <mergeCell ref="AA12:AH12"/>
    <mergeCell ref="M12:P12"/>
    <mergeCell ref="B13:D13"/>
    <mergeCell ref="E13:L13"/>
    <mergeCell ref="M13:P13"/>
    <mergeCell ref="Q13:S13"/>
    <mergeCell ref="T13:V13"/>
    <mergeCell ref="E18:L18"/>
    <mergeCell ref="M18:P18"/>
    <mergeCell ref="Q18:S18"/>
    <mergeCell ref="V32:AH33"/>
    <mergeCell ref="V34:AA35"/>
    <mergeCell ref="AB34:AC35"/>
    <mergeCell ref="AD34:AH35"/>
    <mergeCell ref="E23:L23"/>
    <mergeCell ref="M23:P23"/>
    <mergeCell ref="AA17:AH17"/>
    <mergeCell ref="AA13:AH13"/>
    <mergeCell ref="W13:Z13"/>
    <mergeCell ref="W15:Z15"/>
    <mergeCell ref="B54:V55"/>
    <mergeCell ref="W54:AH55"/>
    <mergeCell ref="AA41:AH41"/>
    <mergeCell ref="B41:D41"/>
    <mergeCell ref="E41:L41"/>
    <mergeCell ref="M41:P41"/>
    <mergeCell ref="Q41:S41"/>
    <mergeCell ref="T41:V41"/>
    <mergeCell ref="W41:Z41"/>
    <mergeCell ref="E51:L51"/>
    <mergeCell ref="M51:P51"/>
    <mergeCell ref="Q51:S51"/>
    <mergeCell ref="T51:V51"/>
    <mergeCell ref="W51:Z51"/>
    <mergeCell ref="AA51:AH51"/>
    <mergeCell ref="E52:L52"/>
    <mergeCell ref="M52:P52"/>
    <mergeCell ref="E47:L47"/>
    <mergeCell ref="W52:Z52"/>
    <mergeCell ref="W46:Z46"/>
    <mergeCell ref="Q46:S46"/>
    <mergeCell ref="T46:V46"/>
    <mergeCell ref="AA53:AH53"/>
    <mergeCell ref="E43:L43"/>
    <mergeCell ref="B53:D53"/>
    <mergeCell ref="M53:Z53"/>
    <mergeCell ref="AA23:AH23"/>
    <mergeCell ref="M19:P19"/>
    <mergeCell ref="Q19:S19"/>
    <mergeCell ref="T19:V19"/>
    <mergeCell ref="W19:Z19"/>
    <mergeCell ref="AA19:AH19"/>
    <mergeCell ref="Q52:S52"/>
    <mergeCell ref="T52:V52"/>
    <mergeCell ref="M50:P50"/>
    <mergeCell ref="Q50:S50"/>
    <mergeCell ref="T50:V50"/>
    <mergeCell ref="W50:Z50"/>
    <mergeCell ref="AA50:AH50"/>
    <mergeCell ref="B26:V27"/>
    <mergeCell ref="E53:L53"/>
    <mergeCell ref="AA52:AH52"/>
    <mergeCell ref="E46:L46"/>
    <mergeCell ref="G34:K35"/>
    <mergeCell ref="L34:P35"/>
    <mergeCell ref="R34:U35"/>
    <mergeCell ref="C38:F39"/>
    <mergeCell ref="R38:U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R8:U9"/>
    <mergeCell ref="V8:AH9"/>
    <mergeCell ref="C8:F9"/>
    <mergeCell ref="G8:P9"/>
    <mergeCell ref="AA15:AH15"/>
    <mergeCell ref="AA18:AH18"/>
    <mergeCell ref="AA44:AH44"/>
    <mergeCell ref="W18:Z18"/>
    <mergeCell ref="Q43:S43"/>
    <mergeCell ref="T43:V43"/>
    <mergeCell ref="W43:Z43"/>
    <mergeCell ref="AA43:AH43"/>
    <mergeCell ref="Q15:S15"/>
    <mergeCell ref="T15:V15"/>
    <mergeCell ref="W24:Z24"/>
    <mergeCell ref="AA24:AH24"/>
    <mergeCell ref="Q22:S22"/>
    <mergeCell ref="T22:V22"/>
    <mergeCell ref="W22:Z22"/>
    <mergeCell ref="AA22:AH22"/>
    <mergeCell ref="Q32:Q39"/>
    <mergeCell ref="M25:Z25"/>
    <mergeCell ref="AB38:AC39"/>
    <mergeCell ref="W20:Z20"/>
    <mergeCell ref="W21:Z21"/>
    <mergeCell ref="AA25:AH25"/>
    <mergeCell ref="B30:AH31"/>
    <mergeCell ref="B32:B39"/>
    <mergeCell ref="E19:L19"/>
    <mergeCell ref="E24:L24"/>
    <mergeCell ref="M24:P24"/>
    <mergeCell ref="Q24:S24"/>
    <mergeCell ref="T24:V24"/>
    <mergeCell ref="C36:F37"/>
    <mergeCell ref="M20:P20"/>
    <mergeCell ref="Q20:S20"/>
    <mergeCell ref="T20:V20"/>
    <mergeCell ref="T23:V23"/>
    <mergeCell ref="Q23:S23"/>
    <mergeCell ref="E20:L20"/>
    <mergeCell ref="E22:L22"/>
    <mergeCell ref="M22:P22"/>
    <mergeCell ref="E21:L21"/>
    <mergeCell ref="M21:P21"/>
    <mergeCell ref="Q21:S21"/>
    <mergeCell ref="T21:V21"/>
    <mergeCell ref="AA21:AH21"/>
    <mergeCell ref="E49:L49"/>
    <mergeCell ref="M49:P49"/>
    <mergeCell ref="Q49:S49"/>
    <mergeCell ref="T49:V49"/>
    <mergeCell ref="W49:Z49"/>
    <mergeCell ref="AA49:AH49"/>
    <mergeCell ref="E16:L16"/>
    <mergeCell ref="M16:P16"/>
    <mergeCell ref="Q16:S16"/>
    <mergeCell ref="T16:V16"/>
    <mergeCell ref="W16:Z16"/>
    <mergeCell ref="AA16:AH16"/>
    <mergeCell ref="E45:L45"/>
    <mergeCell ref="M45:P45"/>
    <mergeCell ref="Q45:S45"/>
    <mergeCell ref="T45:V45"/>
    <mergeCell ref="W45:Z45"/>
    <mergeCell ref="AA45:AH45"/>
    <mergeCell ref="E17:L17"/>
    <mergeCell ref="M17:P17"/>
    <mergeCell ref="Q17:S17"/>
    <mergeCell ref="T17:V17"/>
    <mergeCell ref="W17:Z17"/>
  </mergeCells>
  <phoneticPr fontId="2" type="noConversion"/>
  <conditionalFormatting sqref="AA13:AH13">
    <cfRule type="expression" dxfId="411" priority="1945">
      <formula>Q13:S27=0</formula>
    </cfRule>
  </conditionalFormatting>
  <conditionalFormatting sqref="AA15:AH15">
    <cfRule type="expression" dxfId="410" priority="11">
      <formula>Q15:S27=0</formula>
    </cfRule>
  </conditionalFormatting>
  <conditionalFormatting sqref="AA16:AH19 AA43:AH51">
    <cfRule type="expression" dxfId="409" priority="6">
      <formula>Q16:S26=0</formula>
    </cfRule>
  </conditionalFormatting>
  <conditionalFormatting sqref="AA20:AH21">
    <cfRule type="expression" dxfId="408" priority="4">
      <formula>Q20:S29=0</formula>
    </cfRule>
  </conditionalFormatting>
  <conditionalFormatting sqref="AA22:AH22">
    <cfRule type="expression" dxfId="407" priority="2721">
      <formula>Q22:S30=0</formula>
    </cfRule>
  </conditionalFormatting>
  <conditionalFormatting sqref="AA23:AH24">
    <cfRule type="expression" dxfId="406" priority="2897">
      <formula>Q23:S30=0</formula>
    </cfRule>
  </conditionalFormatting>
  <conditionalFormatting sqref="AA52:AH52">
    <cfRule type="expression" dxfId="405" priority="2978">
      <formula>Q52:S52=0</formula>
    </cfRule>
  </conditionalFormatting>
  <conditionalFormatting sqref="AA41:AH41">
    <cfRule type="expression" dxfId="404" priority="3124">
      <formula>Q41:S52=0</formula>
    </cfRule>
  </conditionalFormatting>
  <conditionalFormatting sqref="AA14:AH14">
    <cfRule type="expression" dxfId="31" priority="2">
      <formula>Q14:S26=0</formula>
    </cfRule>
  </conditionalFormatting>
  <conditionalFormatting sqref="AA42:AH42">
    <cfRule type="expression" dxfId="6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442548B5-61F6-496F-97B2-98ABB5FB694B}"/>
  </dataValidations>
  <printOptions horizontalCentered="1"/>
  <pageMargins left="0" right="0" top="0.11811023622047245" bottom="0" header="0" footer="0"/>
  <pageSetup paperSize="9" scale="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29F8-B78F-4DA9-9CEF-312E7FF46793}">
  <sheetPr>
    <tabColor theme="7" tint="0.59999389629810485"/>
    <pageSetUpPr fitToPage="1"/>
  </sheetPr>
  <dimension ref="B1:AH55"/>
  <sheetViews>
    <sheetView topLeftCell="A21"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53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53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54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2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2</v>
      </c>
      <c r="X13" s="100"/>
      <c r="Y13" s="100"/>
      <c r="Z13" s="101"/>
      <c r="AA13" s="251">
        <f>B13+6</f>
        <v>46321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2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251" t="e">
        <f>B12+5</f>
        <v>#VALUE!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80</v>
      </c>
      <c r="R15" s="96"/>
      <c r="S15" s="97"/>
      <c r="T15" s="98">
        <f t="shared" si="0"/>
        <v>2</v>
      </c>
      <c r="U15" s="84"/>
      <c r="V15" s="84"/>
      <c r="W15" s="99">
        <f t="shared" si="1"/>
        <v>20</v>
      </c>
      <c r="X15" s="100"/>
      <c r="Y15" s="100"/>
      <c r="Z15" s="101"/>
      <c r="AA15" s="251">
        <f>B13+5</f>
        <v>46320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6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6</v>
      </c>
      <c r="X16" s="100"/>
      <c r="Y16" s="100"/>
      <c r="Z16" s="101"/>
      <c r="AA16" s="251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15</v>
      </c>
      <c r="R17" s="96"/>
      <c r="S17" s="97"/>
      <c r="T17" s="98">
        <f t="shared" si="0"/>
        <v>0</v>
      </c>
      <c r="U17" s="84"/>
      <c r="V17" s="84"/>
      <c r="W17" s="99">
        <f t="shared" si="1"/>
        <v>15</v>
      </c>
      <c r="X17" s="100"/>
      <c r="Y17" s="100"/>
      <c r="Z17" s="101"/>
      <c r="AA17" s="251">
        <f>B13+5-1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0</v>
      </c>
      <c r="R18" s="96"/>
      <c r="S18" s="97"/>
      <c r="T18" s="98">
        <f t="shared" si="0"/>
        <v>0</v>
      </c>
      <c r="U18" s="84"/>
      <c r="V18" s="84"/>
      <c r="W18" s="99">
        <f t="shared" si="1"/>
        <v>0</v>
      </c>
      <c r="X18" s="100"/>
      <c r="Y18" s="100"/>
      <c r="Z18" s="101"/>
      <c r="AA18" s="251">
        <f>B13+5-1</f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4</v>
      </c>
      <c r="R19" s="96"/>
      <c r="S19" s="97"/>
      <c r="T19" s="98">
        <f t="shared" si="0"/>
        <v>0</v>
      </c>
      <c r="U19" s="84"/>
      <c r="V19" s="84"/>
      <c r="W19" s="99">
        <f t="shared" si="1"/>
        <v>4</v>
      </c>
      <c r="X19" s="100"/>
      <c r="Y19" s="100"/>
      <c r="Z19" s="101"/>
      <c r="AA19" s="251">
        <f>B13+5-1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4</v>
      </c>
      <c r="R20" s="96"/>
      <c r="S20" s="97"/>
      <c r="T20" s="98">
        <f t="shared" si="0"/>
        <v>0</v>
      </c>
      <c r="U20" s="84"/>
      <c r="V20" s="84"/>
      <c r="W20" s="99">
        <f t="shared" si="1"/>
        <v>4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1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1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14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14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4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4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132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55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BGF로지스진주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경남 진주시 정촌면 화개천로 50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2</v>
      </c>
      <c r="R41" s="216"/>
      <c r="S41" s="216"/>
      <c r="T41" s="217">
        <f>T13</f>
        <v>0</v>
      </c>
      <c r="U41" s="217"/>
      <c r="V41" s="217"/>
      <c r="W41" s="218">
        <f>W13</f>
        <v>2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2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80</v>
      </c>
      <c r="R43" s="216"/>
      <c r="S43" s="216"/>
      <c r="T43" s="217">
        <f t="shared" si="15"/>
        <v>2</v>
      </c>
      <c r="U43" s="217"/>
      <c r="V43" s="217"/>
      <c r="W43" s="218">
        <f t="shared" si="16"/>
        <v>20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6</v>
      </c>
      <c r="R44" s="216"/>
      <c r="S44" s="216"/>
      <c r="T44" s="217">
        <f t="shared" si="15"/>
        <v>0</v>
      </c>
      <c r="U44" s="217"/>
      <c r="V44" s="217"/>
      <c r="W44" s="218">
        <f t="shared" si="16"/>
        <v>6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15</v>
      </c>
      <c r="R45" s="216"/>
      <c r="S45" s="216"/>
      <c r="T45" s="217">
        <f t="shared" si="15"/>
        <v>0</v>
      </c>
      <c r="U45" s="217"/>
      <c r="V45" s="217"/>
      <c r="W45" s="218">
        <f t="shared" si="16"/>
        <v>15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0</v>
      </c>
      <c r="R46" s="216"/>
      <c r="S46" s="216"/>
      <c r="T46" s="217">
        <f t="shared" si="15"/>
        <v>0</v>
      </c>
      <c r="U46" s="217"/>
      <c r="V46" s="217"/>
      <c r="W46" s="218">
        <f t="shared" si="16"/>
        <v>0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4</v>
      </c>
      <c r="R47" s="216"/>
      <c r="S47" s="216"/>
      <c r="T47" s="217">
        <f t="shared" si="15"/>
        <v>0</v>
      </c>
      <c r="U47" s="217"/>
      <c r="V47" s="217"/>
      <c r="W47" s="218">
        <f t="shared" si="16"/>
        <v>4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4</v>
      </c>
      <c r="R48" s="216"/>
      <c r="S48" s="216"/>
      <c r="T48" s="217">
        <f t="shared" si="15"/>
        <v>0</v>
      </c>
      <c r="U48" s="217"/>
      <c r="V48" s="217"/>
      <c r="W48" s="218">
        <f t="shared" si="16"/>
        <v>4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1</v>
      </c>
      <c r="R49" s="216"/>
      <c r="S49" s="216"/>
      <c r="T49" s="217">
        <f t="shared" si="15"/>
        <v>0</v>
      </c>
      <c r="U49" s="217"/>
      <c r="V49" s="217"/>
      <c r="W49" s="218">
        <f t="shared" si="16"/>
        <v>1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14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14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4</v>
      </c>
      <c r="R51" s="216"/>
      <c r="S51" s="216"/>
      <c r="T51" s="217">
        <f>T23</f>
        <v>0</v>
      </c>
      <c r="U51" s="217"/>
      <c r="V51" s="217"/>
      <c r="W51" s="218">
        <f t="shared" si="16"/>
        <v>4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132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100000000000001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 xml:space="preserve">경남 진주시 정촌면 화개천로 50
055)795-2500 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100000000000001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M46:P46"/>
    <mergeCell ref="AA46:AH46"/>
    <mergeCell ref="W26:AH27"/>
    <mergeCell ref="B25:D25"/>
    <mergeCell ref="V38:AA39"/>
    <mergeCell ref="G36:P37"/>
    <mergeCell ref="G38:P39"/>
    <mergeCell ref="E40:L40"/>
    <mergeCell ref="M43:P43"/>
    <mergeCell ref="M40:P40"/>
    <mergeCell ref="C32:F33"/>
    <mergeCell ref="G32:P33"/>
    <mergeCell ref="E25:L25"/>
    <mergeCell ref="E44:L44"/>
    <mergeCell ref="M44:P44"/>
    <mergeCell ref="Q44:S44"/>
    <mergeCell ref="T44:V44"/>
    <mergeCell ref="W44:Z44"/>
    <mergeCell ref="R36:U37"/>
    <mergeCell ref="V36:AH37"/>
    <mergeCell ref="W12:Z12"/>
    <mergeCell ref="E50:L50"/>
    <mergeCell ref="M47:P47"/>
    <mergeCell ref="Q47:S47"/>
    <mergeCell ref="T47:V47"/>
    <mergeCell ref="W47:Z47"/>
    <mergeCell ref="AA47:AH47"/>
    <mergeCell ref="AD38:AH39"/>
    <mergeCell ref="R32:U33"/>
    <mergeCell ref="E15:L15"/>
    <mergeCell ref="M15:P15"/>
    <mergeCell ref="W23:Z23"/>
    <mergeCell ref="T18:V18"/>
    <mergeCell ref="AA20:AH20"/>
    <mergeCell ref="E48:L48"/>
    <mergeCell ref="M48:P48"/>
    <mergeCell ref="Q48:S48"/>
    <mergeCell ref="T48:V48"/>
    <mergeCell ref="W48:Z48"/>
    <mergeCell ref="AA48:AH48"/>
    <mergeCell ref="Q40:S40"/>
    <mergeCell ref="T40:V40"/>
    <mergeCell ref="W40:Z40"/>
    <mergeCell ref="AA40:AH40"/>
    <mergeCell ref="E12:L12"/>
    <mergeCell ref="Q12:S12"/>
    <mergeCell ref="T12:V12"/>
    <mergeCell ref="C34:F35"/>
    <mergeCell ref="AA12:AH12"/>
    <mergeCell ref="M12:P12"/>
    <mergeCell ref="B13:D13"/>
    <mergeCell ref="E13:L13"/>
    <mergeCell ref="M13:P13"/>
    <mergeCell ref="Q13:S13"/>
    <mergeCell ref="T13:V13"/>
    <mergeCell ref="E18:L18"/>
    <mergeCell ref="M18:P18"/>
    <mergeCell ref="Q18:S18"/>
    <mergeCell ref="V32:AH33"/>
    <mergeCell ref="V34:AA35"/>
    <mergeCell ref="AB34:AC35"/>
    <mergeCell ref="AD34:AH35"/>
    <mergeCell ref="E23:L23"/>
    <mergeCell ref="M23:P23"/>
    <mergeCell ref="AA17:AH17"/>
    <mergeCell ref="AA13:AH13"/>
    <mergeCell ref="W13:Z13"/>
    <mergeCell ref="W15:Z15"/>
    <mergeCell ref="B54:V55"/>
    <mergeCell ref="W54:AH55"/>
    <mergeCell ref="AA41:AH41"/>
    <mergeCell ref="B41:D41"/>
    <mergeCell ref="E41:L41"/>
    <mergeCell ref="M41:P41"/>
    <mergeCell ref="Q41:S41"/>
    <mergeCell ref="T41:V41"/>
    <mergeCell ref="W41:Z41"/>
    <mergeCell ref="E51:L51"/>
    <mergeCell ref="M51:P51"/>
    <mergeCell ref="Q51:S51"/>
    <mergeCell ref="T51:V51"/>
    <mergeCell ref="W51:Z51"/>
    <mergeCell ref="AA51:AH51"/>
    <mergeCell ref="E52:L52"/>
    <mergeCell ref="M52:P52"/>
    <mergeCell ref="E47:L47"/>
    <mergeCell ref="W52:Z52"/>
    <mergeCell ref="W46:Z46"/>
    <mergeCell ref="Q46:S46"/>
    <mergeCell ref="T46:V46"/>
    <mergeCell ref="AA53:AH53"/>
    <mergeCell ref="E43:L43"/>
    <mergeCell ref="B53:D53"/>
    <mergeCell ref="M53:Z53"/>
    <mergeCell ref="AA23:AH23"/>
    <mergeCell ref="M19:P19"/>
    <mergeCell ref="Q19:S19"/>
    <mergeCell ref="T19:V19"/>
    <mergeCell ref="W19:Z19"/>
    <mergeCell ref="AA19:AH19"/>
    <mergeCell ref="Q52:S52"/>
    <mergeCell ref="T52:V52"/>
    <mergeCell ref="M50:P50"/>
    <mergeCell ref="Q50:S50"/>
    <mergeCell ref="T50:V50"/>
    <mergeCell ref="W50:Z50"/>
    <mergeCell ref="AA50:AH50"/>
    <mergeCell ref="B26:V27"/>
    <mergeCell ref="E53:L53"/>
    <mergeCell ref="AA52:AH52"/>
    <mergeCell ref="E46:L46"/>
    <mergeCell ref="G34:K35"/>
    <mergeCell ref="L34:P35"/>
    <mergeCell ref="R34:U35"/>
    <mergeCell ref="C38:F39"/>
    <mergeCell ref="R38:U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R8:U9"/>
    <mergeCell ref="V8:AH9"/>
    <mergeCell ref="C8:F9"/>
    <mergeCell ref="G8:P9"/>
    <mergeCell ref="AA15:AH15"/>
    <mergeCell ref="AA18:AH18"/>
    <mergeCell ref="AA44:AH44"/>
    <mergeCell ref="W18:Z18"/>
    <mergeCell ref="Q43:S43"/>
    <mergeCell ref="T43:V43"/>
    <mergeCell ref="W43:Z43"/>
    <mergeCell ref="AA43:AH43"/>
    <mergeCell ref="Q15:S15"/>
    <mergeCell ref="T15:V15"/>
    <mergeCell ref="W24:Z24"/>
    <mergeCell ref="AA24:AH24"/>
    <mergeCell ref="Q22:S22"/>
    <mergeCell ref="T22:V22"/>
    <mergeCell ref="W22:Z22"/>
    <mergeCell ref="AA22:AH22"/>
    <mergeCell ref="Q32:Q39"/>
    <mergeCell ref="M25:Z25"/>
    <mergeCell ref="AB38:AC39"/>
    <mergeCell ref="W20:Z20"/>
    <mergeCell ref="W21:Z21"/>
    <mergeCell ref="AA25:AH25"/>
    <mergeCell ref="B30:AH31"/>
    <mergeCell ref="B32:B39"/>
    <mergeCell ref="E19:L19"/>
    <mergeCell ref="E24:L24"/>
    <mergeCell ref="M24:P24"/>
    <mergeCell ref="Q24:S24"/>
    <mergeCell ref="T24:V24"/>
    <mergeCell ref="C36:F37"/>
    <mergeCell ref="M20:P20"/>
    <mergeCell ref="Q20:S20"/>
    <mergeCell ref="T20:V20"/>
    <mergeCell ref="T23:V23"/>
    <mergeCell ref="Q23:S23"/>
    <mergeCell ref="E20:L20"/>
    <mergeCell ref="E22:L22"/>
    <mergeCell ref="M22:P22"/>
    <mergeCell ref="E21:L21"/>
    <mergeCell ref="M21:P21"/>
    <mergeCell ref="Q21:S21"/>
    <mergeCell ref="T21:V21"/>
    <mergeCell ref="AA21:AH21"/>
    <mergeCell ref="E49:L49"/>
    <mergeCell ref="M49:P49"/>
    <mergeCell ref="Q49:S49"/>
    <mergeCell ref="T49:V49"/>
    <mergeCell ref="W49:Z49"/>
    <mergeCell ref="AA49:AH49"/>
    <mergeCell ref="E16:L16"/>
    <mergeCell ref="M16:P16"/>
    <mergeCell ref="Q16:S16"/>
    <mergeCell ref="T16:V16"/>
    <mergeCell ref="W16:Z16"/>
    <mergeCell ref="AA16:AH16"/>
    <mergeCell ref="E45:L45"/>
    <mergeCell ref="M45:P45"/>
    <mergeCell ref="Q45:S45"/>
    <mergeCell ref="T45:V45"/>
    <mergeCell ref="W45:Z45"/>
    <mergeCell ref="AA45:AH45"/>
    <mergeCell ref="E17:L17"/>
    <mergeCell ref="M17:P17"/>
    <mergeCell ref="Q17:S17"/>
    <mergeCell ref="T17:V17"/>
    <mergeCell ref="W17:Z17"/>
  </mergeCells>
  <phoneticPr fontId="2" type="noConversion"/>
  <conditionalFormatting sqref="AA13">
    <cfRule type="expression" dxfId="403" priority="1941">
      <formula>Q13:S27=0</formula>
    </cfRule>
  </conditionalFormatting>
  <conditionalFormatting sqref="AA14:AA15">
    <cfRule type="expression" dxfId="402" priority="9">
      <formula>Q14:S26=0</formula>
    </cfRule>
  </conditionalFormatting>
  <conditionalFormatting sqref="AA16:AA19 AA43:AH51">
    <cfRule type="expression" dxfId="401" priority="5">
      <formula>Q16:S26=0</formula>
    </cfRule>
  </conditionalFormatting>
  <conditionalFormatting sqref="AA20:AA21">
    <cfRule type="expression" dxfId="400" priority="3">
      <formula>Q20:S29=0</formula>
    </cfRule>
  </conditionalFormatting>
  <conditionalFormatting sqref="AA22">
    <cfRule type="expression" dxfId="399" priority="2717">
      <formula>Q22:S30=0</formula>
    </cfRule>
  </conditionalFormatting>
  <conditionalFormatting sqref="AA23:AA24">
    <cfRule type="expression" dxfId="398" priority="2893">
      <formula>Q23:S30=0</formula>
    </cfRule>
  </conditionalFormatting>
  <conditionalFormatting sqref="AA52:AH52">
    <cfRule type="expression" dxfId="397" priority="2974">
      <formula>Q52:S52=0</formula>
    </cfRule>
  </conditionalFormatting>
  <conditionalFormatting sqref="AA41:AH41">
    <cfRule type="expression" dxfId="396" priority="3122">
      <formula>Q41:S52=0</formula>
    </cfRule>
  </conditionalFormatting>
  <conditionalFormatting sqref="AA42:AH42">
    <cfRule type="expression" dxfId="7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L25 C14:D24 C42:D52 M8:M25 AA40:AA52 E12:E24 T13:T24 AA12:AA24 B12:B26 Q41:Q52 M36:M53 T41:T52 B40:B54 E40:E53 Q13:Q24" xr:uid="{F210C142-4511-44CD-A530-729E70E6E700}"/>
  </dataValidations>
  <printOptions horizontalCentered="1"/>
  <pageMargins left="0" right="0" top="0.11811023622047245" bottom="0" header="0" footer="0"/>
  <pageSetup paperSize="9" scale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045C-5679-42C7-99C8-5FAFE9FC9C0D}">
  <sheetPr>
    <tabColor theme="7" tint="0.59999389629810485"/>
    <pageSetUpPr fitToPage="1"/>
  </sheetPr>
  <dimension ref="B1:AH55"/>
  <sheetViews>
    <sheetView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58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58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59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5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5</v>
      </c>
      <c r="X13" s="100"/>
      <c r="Y13" s="100"/>
      <c r="Z13" s="101"/>
      <c r="AA13" s="251">
        <f>B13+6</f>
        <v>46321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5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251" t="e">
        <f>B12+5</f>
        <v>#VALUE!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152</v>
      </c>
      <c r="R15" s="96"/>
      <c r="S15" s="97"/>
      <c r="T15" s="98">
        <f t="shared" si="0"/>
        <v>5</v>
      </c>
      <c r="U15" s="84"/>
      <c r="V15" s="84"/>
      <c r="W15" s="99">
        <f t="shared" si="1"/>
        <v>2</v>
      </c>
      <c r="X15" s="100"/>
      <c r="Y15" s="100"/>
      <c r="Z15" s="101"/>
      <c r="AA15" s="251">
        <f>B13+5</f>
        <v>46320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16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16</v>
      </c>
      <c r="X16" s="100"/>
      <c r="Y16" s="100"/>
      <c r="Z16" s="101"/>
      <c r="AA16" s="251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14</v>
      </c>
      <c r="R17" s="96"/>
      <c r="S17" s="97"/>
      <c r="T17" s="98">
        <f t="shared" si="0"/>
        <v>0</v>
      </c>
      <c r="U17" s="84"/>
      <c r="V17" s="84"/>
      <c r="W17" s="99">
        <f t="shared" si="1"/>
        <v>14</v>
      </c>
      <c r="X17" s="100"/>
      <c r="Y17" s="100"/>
      <c r="Z17" s="101"/>
      <c r="AA17" s="251">
        <f>B13+5-1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3</v>
      </c>
      <c r="R18" s="96"/>
      <c r="S18" s="97"/>
      <c r="T18" s="98">
        <f t="shared" si="0"/>
        <v>0</v>
      </c>
      <c r="U18" s="84"/>
      <c r="V18" s="84"/>
      <c r="W18" s="99">
        <f t="shared" si="1"/>
        <v>3</v>
      </c>
      <c r="X18" s="100"/>
      <c r="Y18" s="100"/>
      <c r="Z18" s="101"/>
      <c r="AA18" s="251">
        <f>B13+5-1</f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1</v>
      </c>
      <c r="R19" s="96"/>
      <c r="S19" s="97"/>
      <c r="T19" s="98">
        <f t="shared" si="0"/>
        <v>0</v>
      </c>
      <c r="U19" s="84"/>
      <c r="V19" s="84"/>
      <c r="W19" s="99">
        <f t="shared" si="1"/>
        <v>1</v>
      </c>
      <c r="X19" s="100"/>
      <c r="Y19" s="100"/>
      <c r="Z19" s="101"/>
      <c r="AA19" s="251">
        <f>B13+5-1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8</v>
      </c>
      <c r="R20" s="96"/>
      <c r="S20" s="97"/>
      <c r="T20" s="98">
        <f t="shared" si="0"/>
        <v>0</v>
      </c>
      <c r="U20" s="84"/>
      <c r="V20" s="84"/>
      <c r="W20" s="99">
        <f t="shared" si="1"/>
        <v>8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2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2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15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15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3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3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224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8.75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60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8.75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엑소후레쉬양산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울산광역시 울주군 삼동면 조일리 1341-6번지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5</v>
      </c>
      <c r="R41" s="216"/>
      <c r="S41" s="216"/>
      <c r="T41" s="217">
        <f>T13</f>
        <v>0</v>
      </c>
      <c r="U41" s="217"/>
      <c r="V41" s="217"/>
      <c r="W41" s="218">
        <f>W13</f>
        <v>5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5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152</v>
      </c>
      <c r="R43" s="216"/>
      <c r="S43" s="216"/>
      <c r="T43" s="217">
        <f t="shared" si="15"/>
        <v>5</v>
      </c>
      <c r="U43" s="217"/>
      <c r="V43" s="217"/>
      <c r="W43" s="218">
        <f t="shared" si="16"/>
        <v>2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16</v>
      </c>
      <c r="R44" s="216"/>
      <c r="S44" s="216"/>
      <c r="T44" s="217">
        <f t="shared" si="15"/>
        <v>0</v>
      </c>
      <c r="U44" s="217"/>
      <c r="V44" s="217"/>
      <c r="W44" s="218">
        <f t="shared" si="16"/>
        <v>16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14</v>
      </c>
      <c r="R45" s="216"/>
      <c r="S45" s="216"/>
      <c r="T45" s="217">
        <f t="shared" si="15"/>
        <v>0</v>
      </c>
      <c r="U45" s="217"/>
      <c r="V45" s="217"/>
      <c r="W45" s="218">
        <f t="shared" si="16"/>
        <v>14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3</v>
      </c>
      <c r="R46" s="216"/>
      <c r="S46" s="216"/>
      <c r="T46" s="217">
        <f t="shared" si="15"/>
        <v>0</v>
      </c>
      <c r="U46" s="217"/>
      <c r="V46" s="217"/>
      <c r="W46" s="218">
        <f t="shared" si="16"/>
        <v>3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1</v>
      </c>
      <c r="R47" s="216"/>
      <c r="S47" s="216"/>
      <c r="T47" s="217">
        <f t="shared" si="15"/>
        <v>0</v>
      </c>
      <c r="U47" s="217"/>
      <c r="V47" s="217"/>
      <c r="W47" s="218">
        <f t="shared" si="16"/>
        <v>1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8</v>
      </c>
      <c r="R48" s="216"/>
      <c r="S48" s="216"/>
      <c r="T48" s="217">
        <f t="shared" si="15"/>
        <v>0</v>
      </c>
      <c r="U48" s="217"/>
      <c r="V48" s="217"/>
      <c r="W48" s="218">
        <f t="shared" si="16"/>
        <v>8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2</v>
      </c>
      <c r="R49" s="216"/>
      <c r="S49" s="216"/>
      <c r="T49" s="217">
        <f t="shared" si="15"/>
        <v>0</v>
      </c>
      <c r="U49" s="217"/>
      <c r="V49" s="217"/>
      <c r="W49" s="218">
        <f t="shared" si="16"/>
        <v>2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15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15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3</v>
      </c>
      <c r="R51" s="216"/>
      <c r="S51" s="216"/>
      <c r="T51" s="217">
        <f>T23</f>
        <v>0</v>
      </c>
      <c r="U51" s="217"/>
      <c r="V51" s="217"/>
      <c r="W51" s="218">
        <f t="shared" si="16"/>
        <v>3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224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8.75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울산광역시 울주군 삼동면 조일리 
1341-6번지
070)7119-5178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8.75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M46:P46"/>
    <mergeCell ref="AA46:AH46"/>
    <mergeCell ref="W26:AH27"/>
    <mergeCell ref="B25:D25"/>
    <mergeCell ref="V38:AA39"/>
    <mergeCell ref="G36:P37"/>
    <mergeCell ref="G38:P39"/>
    <mergeCell ref="E40:L40"/>
    <mergeCell ref="M43:P43"/>
    <mergeCell ref="M40:P40"/>
    <mergeCell ref="C32:F33"/>
    <mergeCell ref="G32:P33"/>
    <mergeCell ref="E25:L25"/>
    <mergeCell ref="E44:L44"/>
    <mergeCell ref="M44:P44"/>
    <mergeCell ref="Q44:S44"/>
    <mergeCell ref="T44:V44"/>
    <mergeCell ref="W44:Z44"/>
    <mergeCell ref="R36:U37"/>
    <mergeCell ref="V36:AH37"/>
    <mergeCell ref="W12:Z12"/>
    <mergeCell ref="E50:L50"/>
    <mergeCell ref="M47:P47"/>
    <mergeCell ref="Q47:S47"/>
    <mergeCell ref="T47:V47"/>
    <mergeCell ref="W47:Z47"/>
    <mergeCell ref="AA47:AH47"/>
    <mergeCell ref="AD38:AH39"/>
    <mergeCell ref="R32:U33"/>
    <mergeCell ref="E15:L15"/>
    <mergeCell ref="M15:P15"/>
    <mergeCell ref="W23:Z23"/>
    <mergeCell ref="T18:V18"/>
    <mergeCell ref="AA20:AH20"/>
    <mergeCell ref="E48:L48"/>
    <mergeCell ref="M48:P48"/>
    <mergeCell ref="Q48:S48"/>
    <mergeCell ref="T48:V48"/>
    <mergeCell ref="W48:Z48"/>
    <mergeCell ref="AA48:AH48"/>
    <mergeCell ref="Q40:S40"/>
    <mergeCell ref="T40:V40"/>
    <mergeCell ref="W40:Z40"/>
    <mergeCell ref="AA40:AH40"/>
    <mergeCell ref="E12:L12"/>
    <mergeCell ref="Q12:S12"/>
    <mergeCell ref="T12:V12"/>
    <mergeCell ref="C34:F35"/>
    <mergeCell ref="AA12:AH12"/>
    <mergeCell ref="M12:P12"/>
    <mergeCell ref="B13:D13"/>
    <mergeCell ref="E13:L13"/>
    <mergeCell ref="M13:P13"/>
    <mergeCell ref="Q13:S13"/>
    <mergeCell ref="T13:V13"/>
    <mergeCell ref="E18:L18"/>
    <mergeCell ref="M18:P18"/>
    <mergeCell ref="Q18:S18"/>
    <mergeCell ref="V32:AH33"/>
    <mergeCell ref="V34:AA35"/>
    <mergeCell ref="AB34:AC35"/>
    <mergeCell ref="AD34:AH35"/>
    <mergeCell ref="E23:L23"/>
    <mergeCell ref="M23:P23"/>
    <mergeCell ref="AA17:AH17"/>
    <mergeCell ref="AA13:AH13"/>
    <mergeCell ref="W13:Z13"/>
    <mergeCell ref="W15:Z15"/>
    <mergeCell ref="B54:V55"/>
    <mergeCell ref="W54:AH55"/>
    <mergeCell ref="AA41:AH41"/>
    <mergeCell ref="B41:D41"/>
    <mergeCell ref="E41:L41"/>
    <mergeCell ref="M41:P41"/>
    <mergeCell ref="Q41:S41"/>
    <mergeCell ref="T41:V41"/>
    <mergeCell ref="W41:Z41"/>
    <mergeCell ref="E51:L51"/>
    <mergeCell ref="M51:P51"/>
    <mergeCell ref="Q51:S51"/>
    <mergeCell ref="T51:V51"/>
    <mergeCell ref="W51:Z51"/>
    <mergeCell ref="AA51:AH51"/>
    <mergeCell ref="E52:L52"/>
    <mergeCell ref="M52:P52"/>
    <mergeCell ref="E47:L47"/>
    <mergeCell ref="W52:Z52"/>
    <mergeCell ref="W46:Z46"/>
    <mergeCell ref="Q46:S46"/>
    <mergeCell ref="T46:V46"/>
    <mergeCell ref="AA53:AH53"/>
    <mergeCell ref="E43:L43"/>
    <mergeCell ref="B53:D53"/>
    <mergeCell ref="M53:Z53"/>
    <mergeCell ref="AA23:AH23"/>
    <mergeCell ref="M19:P19"/>
    <mergeCell ref="Q19:S19"/>
    <mergeCell ref="T19:V19"/>
    <mergeCell ref="W19:Z19"/>
    <mergeCell ref="AA19:AH19"/>
    <mergeCell ref="Q52:S52"/>
    <mergeCell ref="T52:V52"/>
    <mergeCell ref="M50:P50"/>
    <mergeCell ref="Q50:S50"/>
    <mergeCell ref="T50:V50"/>
    <mergeCell ref="W50:Z50"/>
    <mergeCell ref="AA50:AH50"/>
    <mergeCell ref="B26:V27"/>
    <mergeCell ref="E53:L53"/>
    <mergeCell ref="AA52:AH52"/>
    <mergeCell ref="E46:L46"/>
    <mergeCell ref="G34:K35"/>
    <mergeCell ref="L34:P35"/>
    <mergeCell ref="R34:U35"/>
    <mergeCell ref="C38:F39"/>
    <mergeCell ref="R38:U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R8:U9"/>
    <mergeCell ref="V8:AH9"/>
    <mergeCell ref="C8:F9"/>
    <mergeCell ref="G8:P9"/>
    <mergeCell ref="AA15:AH15"/>
    <mergeCell ref="AA18:AH18"/>
    <mergeCell ref="AA44:AH44"/>
    <mergeCell ref="W18:Z18"/>
    <mergeCell ref="Q43:S43"/>
    <mergeCell ref="T43:V43"/>
    <mergeCell ref="W43:Z43"/>
    <mergeCell ref="AA43:AH43"/>
    <mergeCell ref="Q15:S15"/>
    <mergeCell ref="T15:V15"/>
    <mergeCell ref="W24:Z24"/>
    <mergeCell ref="AA24:AH24"/>
    <mergeCell ref="Q22:S22"/>
    <mergeCell ref="T22:V22"/>
    <mergeCell ref="W22:Z22"/>
    <mergeCell ref="AA22:AH22"/>
    <mergeCell ref="Q32:Q39"/>
    <mergeCell ref="M25:Z25"/>
    <mergeCell ref="AB38:AC39"/>
    <mergeCell ref="W20:Z20"/>
    <mergeCell ref="W21:Z21"/>
    <mergeCell ref="AA25:AH25"/>
    <mergeCell ref="B30:AH31"/>
    <mergeCell ref="B32:B39"/>
    <mergeCell ref="E19:L19"/>
    <mergeCell ref="E24:L24"/>
    <mergeCell ref="M24:P24"/>
    <mergeCell ref="Q24:S24"/>
    <mergeCell ref="T24:V24"/>
    <mergeCell ref="C36:F37"/>
    <mergeCell ref="M20:P20"/>
    <mergeCell ref="Q20:S20"/>
    <mergeCell ref="T20:V20"/>
    <mergeCell ref="T23:V23"/>
    <mergeCell ref="Q23:S23"/>
    <mergeCell ref="E20:L20"/>
    <mergeCell ref="E22:L22"/>
    <mergeCell ref="M22:P22"/>
    <mergeCell ref="E21:L21"/>
    <mergeCell ref="M21:P21"/>
    <mergeCell ref="Q21:S21"/>
    <mergeCell ref="T21:V21"/>
    <mergeCell ref="AA21:AH21"/>
    <mergeCell ref="E49:L49"/>
    <mergeCell ref="M49:P49"/>
    <mergeCell ref="Q49:S49"/>
    <mergeCell ref="T49:V49"/>
    <mergeCell ref="W49:Z49"/>
    <mergeCell ref="AA49:AH49"/>
    <mergeCell ref="E16:L16"/>
    <mergeCell ref="M16:P16"/>
    <mergeCell ref="Q16:S16"/>
    <mergeCell ref="T16:V16"/>
    <mergeCell ref="W16:Z16"/>
    <mergeCell ref="AA16:AH16"/>
    <mergeCell ref="E45:L45"/>
    <mergeCell ref="M45:P45"/>
    <mergeCell ref="Q45:S45"/>
    <mergeCell ref="T45:V45"/>
    <mergeCell ref="W45:Z45"/>
    <mergeCell ref="AA45:AH45"/>
    <mergeCell ref="E17:L17"/>
    <mergeCell ref="M17:P17"/>
    <mergeCell ref="Q17:S17"/>
    <mergeCell ref="T17:V17"/>
    <mergeCell ref="W17:Z17"/>
  </mergeCells>
  <phoneticPr fontId="2" type="noConversion"/>
  <conditionalFormatting sqref="AA13">
    <cfRule type="expression" dxfId="395" priority="1939">
      <formula>Q13:S27=0</formula>
    </cfRule>
  </conditionalFormatting>
  <conditionalFormatting sqref="AA14:AA15">
    <cfRule type="expression" dxfId="394" priority="9">
      <formula>Q14:S26=0</formula>
    </cfRule>
  </conditionalFormatting>
  <conditionalFormatting sqref="AA16:AA19 AA43:AH51">
    <cfRule type="expression" dxfId="393" priority="5">
      <formula>Q16:S26=0</formula>
    </cfRule>
  </conditionalFormatting>
  <conditionalFormatting sqref="AA20:AA21">
    <cfRule type="expression" dxfId="392" priority="3">
      <formula>Q20:S29=0</formula>
    </cfRule>
  </conditionalFormatting>
  <conditionalFormatting sqref="AA22">
    <cfRule type="expression" dxfId="391" priority="2714">
      <formula>Q22:S30=0</formula>
    </cfRule>
  </conditionalFormatting>
  <conditionalFormatting sqref="AA23:AA24">
    <cfRule type="expression" dxfId="390" priority="2890">
      <formula>Q23:S30=0</formula>
    </cfRule>
  </conditionalFormatting>
  <conditionalFormatting sqref="AA52:AH52">
    <cfRule type="expression" dxfId="389" priority="2971">
      <formula>Q52:S52=0</formula>
    </cfRule>
  </conditionalFormatting>
  <conditionalFormatting sqref="AA41:AH41">
    <cfRule type="expression" dxfId="388" priority="3121">
      <formula>Q41:S52=0</formula>
    </cfRule>
  </conditionalFormatting>
  <conditionalFormatting sqref="AA42:AH42">
    <cfRule type="expression" dxfId="8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B1320306-6CB2-41F3-87BE-418C0297B11E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60052-1344-4AA9-A7B7-A29CA6F181D3}">
  <sheetPr>
    <tabColor theme="7" tint="0.59999389629810485"/>
    <pageSetUpPr fitToPage="1"/>
  </sheetPr>
  <dimension ref="B1:AH55"/>
  <sheetViews>
    <sheetView topLeftCell="A16"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62</v>
      </c>
      <c r="C1" s="2"/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62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61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0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0</v>
      </c>
      <c r="X13" s="100"/>
      <c r="Y13" s="100"/>
      <c r="Z13" s="101"/>
      <c r="AA13" s="251">
        <f>B13+6</f>
        <v>46321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0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251" t="e">
        <f>B12+5</f>
        <v>#VALUE!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0</v>
      </c>
      <c r="R15" s="96"/>
      <c r="S15" s="97"/>
      <c r="T15" s="98">
        <f t="shared" si="0"/>
        <v>0</v>
      </c>
      <c r="U15" s="84"/>
      <c r="V15" s="84"/>
      <c r="W15" s="99">
        <f t="shared" si="1"/>
        <v>0</v>
      </c>
      <c r="X15" s="100"/>
      <c r="Y15" s="100"/>
      <c r="Z15" s="101"/>
      <c r="AA15" s="251">
        <f>B13+5</f>
        <v>46320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0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0</v>
      </c>
      <c r="X16" s="100"/>
      <c r="Y16" s="100"/>
      <c r="Z16" s="101"/>
      <c r="AA16" s="251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0</v>
      </c>
      <c r="R17" s="96"/>
      <c r="S17" s="97"/>
      <c r="T17" s="98">
        <f t="shared" si="0"/>
        <v>0</v>
      </c>
      <c r="U17" s="84"/>
      <c r="V17" s="84"/>
      <c r="W17" s="99">
        <f t="shared" si="1"/>
        <v>0</v>
      </c>
      <c r="X17" s="100"/>
      <c r="Y17" s="100"/>
      <c r="Z17" s="101"/>
      <c r="AA17" s="251">
        <f>B13+5-1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0</v>
      </c>
      <c r="R18" s="96"/>
      <c r="S18" s="97"/>
      <c r="T18" s="98">
        <f t="shared" si="0"/>
        <v>0</v>
      </c>
      <c r="U18" s="84"/>
      <c r="V18" s="84"/>
      <c r="W18" s="99">
        <f t="shared" si="1"/>
        <v>0</v>
      </c>
      <c r="X18" s="100"/>
      <c r="Y18" s="100"/>
      <c r="Z18" s="101"/>
      <c r="AA18" s="251">
        <f>B13+5-1</f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0</v>
      </c>
      <c r="R19" s="96"/>
      <c r="S19" s="97"/>
      <c r="T19" s="98">
        <f t="shared" si="0"/>
        <v>0</v>
      </c>
      <c r="U19" s="84"/>
      <c r="V19" s="84"/>
      <c r="W19" s="99">
        <f t="shared" si="1"/>
        <v>0</v>
      </c>
      <c r="X19" s="100"/>
      <c r="Y19" s="100"/>
      <c r="Z19" s="101"/>
      <c r="AA19" s="251">
        <f>B13+5-1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0</v>
      </c>
      <c r="R20" s="96"/>
      <c r="S20" s="97"/>
      <c r="T20" s="98">
        <f t="shared" si="0"/>
        <v>0</v>
      </c>
      <c r="U20" s="84"/>
      <c r="V20" s="84"/>
      <c r="W20" s="99">
        <f t="shared" si="1"/>
        <v>0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0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0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0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0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0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63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김해물류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김해시 테크노밸리길 196 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0</v>
      </c>
      <c r="R41" s="216"/>
      <c r="S41" s="216"/>
      <c r="T41" s="217">
        <f>T13</f>
        <v>0</v>
      </c>
      <c r="U41" s="217"/>
      <c r="V41" s="217"/>
      <c r="W41" s="218">
        <f>W13</f>
        <v>0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0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0</v>
      </c>
      <c r="R43" s="216"/>
      <c r="S43" s="216"/>
      <c r="T43" s="217">
        <f t="shared" si="15"/>
        <v>0</v>
      </c>
      <c r="U43" s="217"/>
      <c r="V43" s="217"/>
      <c r="W43" s="218">
        <f t="shared" si="16"/>
        <v>0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0</v>
      </c>
      <c r="R44" s="216"/>
      <c r="S44" s="216"/>
      <c r="T44" s="217">
        <f t="shared" si="15"/>
        <v>0</v>
      </c>
      <c r="U44" s="217"/>
      <c r="V44" s="217"/>
      <c r="W44" s="218">
        <f t="shared" si="16"/>
        <v>0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0</v>
      </c>
      <c r="R45" s="216"/>
      <c r="S45" s="216"/>
      <c r="T45" s="217">
        <f t="shared" si="15"/>
        <v>0</v>
      </c>
      <c r="U45" s="217"/>
      <c r="V45" s="217"/>
      <c r="W45" s="218">
        <f t="shared" si="16"/>
        <v>0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0</v>
      </c>
      <c r="R46" s="216"/>
      <c r="S46" s="216"/>
      <c r="T46" s="217">
        <f t="shared" si="15"/>
        <v>0</v>
      </c>
      <c r="U46" s="217"/>
      <c r="V46" s="217"/>
      <c r="W46" s="218">
        <f t="shared" si="16"/>
        <v>0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0</v>
      </c>
      <c r="R47" s="216"/>
      <c r="S47" s="216"/>
      <c r="T47" s="217">
        <f t="shared" si="15"/>
        <v>0</v>
      </c>
      <c r="U47" s="217"/>
      <c r="V47" s="217"/>
      <c r="W47" s="218">
        <f t="shared" si="16"/>
        <v>0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0</v>
      </c>
      <c r="R48" s="216"/>
      <c r="S48" s="216"/>
      <c r="T48" s="217">
        <f t="shared" si="15"/>
        <v>0</v>
      </c>
      <c r="U48" s="217"/>
      <c r="V48" s="217"/>
      <c r="W48" s="218">
        <f t="shared" si="16"/>
        <v>0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0</v>
      </c>
      <c r="R49" s="216"/>
      <c r="S49" s="216"/>
      <c r="T49" s="217">
        <f t="shared" si="15"/>
        <v>0</v>
      </c>
      <c r="U49" s="217"/>
      <c r="V49" s="217"/>
      <c r="W49" s="218">
        <f t="shared" si="16"/>
        <v>0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0</v>
      </c>
      <c r="R50" s="216"/>
      <c r="S50" s="216"/>
      <c r="T50" s="217">
        <f t="shared" si="15"/>
        <v>0</v>
      </c>
      <c r="U50" s="217"/>
      <c r="V50" s="217"/>
      <c r="W50" s="218">
        <f t="shared" si="16"/>
        <v>0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0</v>
      </c>
      <c r="R51" s="216"/>
      <c r="S51" s="216"/>
      <c r="T51" s="217">
        <f>T23</f>
        <v>0</v>
      </c>
      <c r="U51" s="217"/>
      <c r="V51" s="217"/>
      <c r="W51" s="218">
        <f t="shared" si="16"/>
        <v>0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0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100000000000001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김해시 테크노밸리길 196  
055)724-2130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100000000000001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Q32:Q39"/>
    <mergeCell ref="R32:U33"/>
    <mergeCell ref="L34:P35"/>
    <mergeCell ref="B30:AH31"/>
    <mergeCell ref="B32:B39"/>
    <mergeCell ref="C32:F33"/>
    <mergeCell ref="AD38:AH39"/>
    <mergeCell ref="C38:F39"/>
    <mergeCell ref="G38:P39"/>
    <mergeCell ref="R38:U39"/>
    <mergeCell ref="V38:AA39"/>
    <mergeCell ref="AB38:AC39"/>
    <mergeCell ref="E24:L24"/>
    <mergeCell ref="M24:P24"/>
    <mergeCell ref="Q24:S24"/>
    <mergeCell ref="T24:V24"/>
    <mergeCell ref="W24:Z24"/>
    <mergeCell ref="G36:P37"/>
    <mergeCell ref="R36:U37"/>
    <mergeCell ref="V36:AH37"/>
    <mergeCell ref="E25:L25"/>
    <mergeCell ref="AA24:AH24"/>
    <mergeCell ref="V34:AA35"/>
    <mergeCell ref="G32:P33"/>
    <mergeCell ref="M25:Z25"/>
    <mergeCell ref="AA25:AH25"/>
    <mergeCell ref="C34:F35"/>
    <mergeCell ref="G34:K35"/>
    <mergeCell ref="B25:D25"/>
    <mergeCell ref="R34:U35"/>
    <mergeCell ref="AB34:AC35"/>
    <mergeCell ref="AD34:AH35"/>
    <mergeCell ref="C36:F37"/>
    <mergeCell ref="B26:V27"/>
    <mergeCell ref="W26:AH27"/>
    <mergeCell ref="V32:AH33"/>
    <mergeCell ref="M12:P12"/>
    <mergeCell ref="W13:Z13"/>
    <mergeCell ref="AA13:AH13"/>
    <mergeCell ref="E19:L19"/>
    <mergeCell ref="M19:P19"/>
    <mergeCell ref="E12:L12"/>
    <mergeCell ref="Q12:S12"/>
    <mergeCell ref="T12:V12"/>
    <mergeCell ref="W12:Z12"/>
    <mergeCell ref="AA12:AH12"/>
    <mergeCell ref="Q19:S19"/>
    <mergeCell ref="T19:V19"/>
    <mergeCell ref="E18:L18"/>
    <mergeCell ref="M18:P18"/>
    <mergeCell ref="Q18:S18"/>
    <mergeCell ref="T18:V18"/>
    <mergeCell ref="E17:L17"/>
    <mergeCell ref="M17:P17"/>
    <mergeCell ref="Q17:S17"/>
    <mergeCell ref="T17:V17"/>
    <mergeCell ref="W17:Z17"/>
    <mergeCell ref="AA17:AH17"/>
    <mergeCell ref="M15:P15"/>
    <mergeCell ref="Q15:S15"/>
    <mergeCell ref="T15:V15"/>
    <mergeCell ref="W15:Z15"/>
    <mergeCell ref="AA15:AH15"/>
    <mergeCell ref="E22:L22"/>
    <mergeCell ref="M22:P22"/>
    <mergeCell ref="Q22:S22"/>
    <mergeCell ref="T22:V22"/>
    <mergeCell ref="W22:Z22"/>
    <mergeCell ref="AA22:AH22"/>
    <mergeCell ref="E16:L16"/>
    <mergeCell ref="M16:P16"/>
    <mergeCell ref="Q16:S16"/>
    <mergeCell ref="T16:V16"/>
    <mergeCell ref="W16:Z16"/>
    <mergeCell ref="AA16:AH16"/>
    <mergeCell ref="Q21:S21"/>
    <mergeCell ref="T21:V21"/>
    <mergeCell ref="W21:Z21"/>
    <mergeCell ref="AA21:AH21"/>
    <mergeCell ref="B13:D13"/>
    <mergeCell ref="E13:L13"/>
    <mergeCell ref="M13:P13"/>
    <mergeCell ref="Q13:S13"/>
    <mergeCell ref="T13:V13"/>
    <mergeCell ref="AA23:AH23"/>
    <mergeCell ref="AA19:AH19"/>
    <mergeCell ref="AA18:AH18"/>
    <mergeCell ref="W19:Z19"/>
    <mergeCell ref="E23:L23"/>
    <mergeCell ref="M23:P23"/>
    <mergeCell ref="Q23:S23"/>
    <mergeCell ref="T23:V23"/>
    <mergeCell ref="W23:Z23"/>
    <mergeCell ref="E20:L20"/>
    <mergeCell ref="M20:P20"/>
    <mergeCell ref="Q20:S20"/>
    <mergeCell ref="T20:V20"/>
    <mergeCell ref="W18:Z18"/>
    <mergeCell ref="W20:Z20"/>
    <mergeCell ref="AA20:AH20"/>
    <mergeCell ref="E15:L15"/>
    <mergeCell ref="E21:L21"/>
    <mergeCell ref="M21:P21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53:D53"/>
    <mergeCell ref="E53:L53"/>
    <mergeCell ref="M53:Z53"/>
    <mergeCell ref="AA53:AH53"/>
    <mergeCell ref="B54:V55"/>
    <mergeCell ref="W54:AH55"/>
    <mergeCell ref="E51:L51"/>
    <mergeCell ref="M51:P51"/>
    <mergeCell ref="Q51:S51"/>
    <mergeCell ref="T51:V51"/>
    <mergeCell ref="W51:Z51"/>
    <mergeCell ref="AA51:AH51"/>
    <mergeCell ref="E52:L52"/>
    <mergeCell ref="M52:P52"/>
    <mergeCell ref="Q52:S52"/>
    <mergeCell ref="T52:V52"/>
    <mergeCell ref="W52:Z52"/>
    <mergeCell ref="AA52:AH52"/>
    <mergeCell ref="E50:L50"/>
    <mergeCell ref="M50:P50"/>
    <mergeCell ref="Q50:S50"/>
    <mergeCell ref="T50:V50"/>
    <mergeCell ref="W50:Z50"/>
    <mergeCell ref="AA50:AH50"/>
    <mergeCell ref="M41:P41"/>
    <mergeCell ref="Q41:S41"/>
    <mergeCell ref="T41:V41"/>
    <mergeCell ref="W41:Z41"/>
    <mergeCell ref="AA41:AH41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3:L43"/>
    <mergeCell ref="E44:L44"/>
    <mergeCell ref="M44:P44"/>
    <mergeCell ref="Q44:S44"/>
    <mergeCell ref="T44:V44"/>
    <mergeCell ref="W44:Z44"/>
    <mergeCell ref="AA44:AH44"/>
    <mergeCell ref="B41:D41"/>
    <mergeCell ref="E41:L41"/>
    <mergeCell ref="M40:P40"/>
    <mergeCell ref="Q40:S40"/>
    <mergeCell ref="T40:V40"/>
    <mergeCell ref="W40:Z40"/>
    <mergeCell ref="AA40:AH40"/>
    <mergeCell ref="M43:P43"/>
    <mergeCell ref="Q43:S43"/>
    <mergeCell ref="T43:V43"/>
    <mergeCell ref="W43:Z43"/>
    <mergeCell ref="AA43:AH43"/>
    <mergeCell ref="E40:L40"/>
    <mergeCell ref="E49:L49"/>
    <mergeCell ref="M49:P49"/>
    <mergeCell ref="Q49:S49"/>
    <mergeCell ref="T49:V49"/>
    <mergeCell ref="W49:Z49"/>
    <mergeCell ref="AA49:AH49"/>
    <mergeCell ref="E45:L45"/>
    <mergeCell ref="M45:P45"/>
    <mergeCell ref="Q45:S45"/>
    <mergeCell ref="T45:V45"/>
    <mergeCell ref="W45:Z45"/>
    <mergeCell ref="AA45:AH45"/>
    <mergeCell ref="E48:L48"/>
    <mergeCell ref="M48:P48"/>
    <mergeCell ref="Q48:S48"/>
    <mergeCell ref="T48:V48"/>
    <mergeCell ref="W48:Z48"/>
    <mergeCell ref="AA48:AH48"/>
  </mergeCells>
  <phoneticPr fontId="2" type="noConversion"/>
  <conditionalFormatting sqref="AA13">
    <cfRule type="expression" dxfId="387" priority="1937">
      <formula>Q13:S27=0</formula>
    </cfRule>
  </conditionalFormatting>
  <conditionalFormatting sqref="AA14:AA15">
    <cfRule type="expression" dxfId="386" priority="9">
      <formula>Q14:S26=0</formula>
    </cfRule>
  </conditionalFormatting>
  <conditionalFormatting sqref="AA16:AA19 AA43:AH51">
    <cfRule type="expression" dxfId="385" priority="5">
      <formula>Q16:S26=0</formula>
    </cfRule>
  </conditionalFormatting>
  <conditionalFormatting sqref="AA20:AA21">
    <cfRule type="expression" dxfId="384" priority="3">
      <formula>Q20:S29=0</formula>
    </cfRule>
  </conditionalFormatting>
  <conditionalFormatting sqref="AA22">
    <cfRule type="expression" dxfId="383" priority="2711">
      <formula>Q22:S30=0</formula>
    </cfRule>
  </conditionalFormatting>
  <conditionalFormatting sqref="AA23:AA24">
    <cfRule type="expression" dxfId="382" priority="2887">
      <formula>Q23:S30=0</formula>
    </cfRule>
  </conditionalFormatting>
  <conditionalFormatting sqref="AA52:AH52">
    <cfRule type="expression" dxfId="381" priority="2968">
      <formula>Q52:S52=0</formula>
    </cfRule>
  </conditionalFormatting>
  <conditionalFormatting sqref="AA41:AH41">
    <cfRule type="expression" dxfId="380" priority="3120">
      <formula>Q41:S52=0</formula>
    </cfRule>
  </conditionalFormatting>
  <conditionalFormatting sqref="AA42:AH42">
    <cfRule type="expression" dxfId="9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FDF13A69-1FE1-4426-A525-69368D00C46B}"/>
  </dataValidations>
  <printOptions horizontalCentered="1"/>
  <pageMargins left="0" right="0" top="0.11811023622047245" bottom="0" header="0" footer="0"/>
  <pageSetup paperSize="9" scale="9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0339-C7CF-4900-95ED-1F483504F183}">
  <sheetPr>
    <tabColor theme="7" tint="0.59999389629810485"/>
    <pageSetUpPr fitToPage="1"/>
  </sheetPr>
  <dimension ref="B1:AH55"/>
  <sheetViews>
    <sheetView topLeftCell="A11"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154</v>
      </c>
      <c r="C1" s="2"/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154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155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4</v>
      </c>
      <c r="R13" s="96"/>
      <c r="S13" s="97"/>
      <c r="T13" s="98">
        <f t="shared" ref="T13:T19" si="0">IFERROR(ROUNDDOWN(Q13/M13,0),"")</f>
        <v>0</v>
      </c>
      <c r="U13" s="84"/>
      <c r="V13" s="84"/>
      <c r="W13" s="99">
        <f t="shared" ref="W13:W19" si="1">IFERROR(Q13-(T13*M13),"")</f>
        <v>4</v>
      </c>
      <c r="X13" s="100"/>
      <c r="Y13" s="100"/>
      <c r="Z13" s="101"/>
      <c r="AA13" s="251">
        <f>B13+6</f>
        <v>46321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4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251" t="e">
        <f>B12+5</f>
        <v>#VALUE!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105</v>
      </c>
      <c r="R15" s="96"/>
      <c r="S15" s="97"/>
      <c r="T15" s="98">
        <f t="shared" si="0"/>
        <v>3</v>
      </c>
      <c r="U15" s="84"/>
      <c r="V15" s="84"/>
      <c r="W15" s="99">
        <f t="shared" si="1"/>
        <v>15</v>
      </c>
      <c r="X15" s="100"/>
      <c r="Y15" s="100"/>
      <c r="Z15" s="101"/>
      <c r="AA15" s="251">
        <f>B13+5</f>
        <v>46320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7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7</v>
      </c>
      <c r="X16" s="100"/>
      <c r="Y16" s="100"/>
      <c r="Z16" s="101"/>
      <c r="AA16" s="251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10</v>
      </c>
      <c r="R17" s="96"/>
      <c r="S17" s="97"/>
      <c r="T17" s="98">
        <f t="shared" si="0"/>
        <v>0</v>
      </c>
      <c r="U17" s="84"/>
      <c r="V17" s="84"/>
      <c r="W17" s="99">
        <f t="shared" si="1"/>
        <v>10</v>
      </c>
      <c r="X17" s="100"/>
      <c r="Y17" s="100"/>
      <c r="Z17" s="101"/>
      <c r="AA17" s="251">
        <f>B13+5-1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2</v>
      </c>
      <c r="R18" s="96"/>
      <c r="S18" s="97"/>
      <c r="T18" s="98">
        <f t="shared" si="0"/>
        <v>0</v>
      </c>
      <c r="U18" s="84"/>
      <c r="V18" s="84"/>
      <c r="W18" s="99">
        <f t="shared" si="1"/>
        <v>2</v>
      </c>
      <c r="X18" s="100"/>
      <c r="Y18" s="100"/>
      <c r="Z18" s="101"/>
      <c r="AA18" s="251">
        <f>B13+5-1</f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2</v>
      </c>
      <c r="R19" s="96"/>
      <c r="S19" s="97"/>
      <c r="T19" s="98">
        <f t="shared" si="0"/>
        <v>0</v>
      </c>
      <c r="U19" s="84"/>
      <c r="V19" s="84"/>
      <c r="W19" s="99">
        <f t="shared" si="1"/>
        <v>2</v>
      </c>
      <c r="X19" s="100"/>
      <c r="Y19" s="100"/>
      <c r="Z19" s="101"/>
      <c r="AA19" s="251">
        <f>B13+5-1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2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2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1</v>
      </c>
      <c r="R21" s="96"/>
      <c r="S21" s="97"/>
      <c r="T21" s="98">
        <f t="shared" ref="T21" si="8">IFERROR(ROUNDDOWN(Q21/M21,0),"")</f>
        <v>0</v>
      </c>
      <c r="U21" s="84"/>
      <c r="V21" s="84"/>
      <c r="W21" s="99">
        <f t="shared" ref="W21" si="9">IFERROR(Q21-(T21*M21),"")</f>
        <v>1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9</v>
      </c>
      <c r="R22" s="96"/>
      <c r="S22" s="97"/>
      <c r="T22" s="98">
        <f t="shared" ref="T22" si="10">IFERROR(ROUNDDOWN(Q22/M22,0),"")</f>
        <v>0</v>
      </c>
      <c r="U22" s="84"/>
      <c r="V22" s="84"/>
      <c r="W22" s="99">
        <f t="shared" ref="W22" si="11">IFERROR(Q22-(T22*M22),"")</f>
        <v>9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7</v>
      </c>
      <c r="R23" s="96"/>
      <c r="S23" s="97"/>
      <c r="T23" s="98">
        <f t="shared" ref="T23" si="12">IFERROR(ROUNDDOWN(Q23/M23,0),"")</f>
        <v>0</v>
      </c>
      <c r="U23" s="84"/>
      <c r="V23" s="84"/>
      <c r="W23" s="99">
        <f t="shared" ref="W23" si="13">IFERROR(Q23-(T23*M23),"")</f>
        <v>7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153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156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BGF로지스부산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부산광역시 강서구 송정국제1로 69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4</v>
      </c>
      <c r="R41" s="216"/>
      <c r="S41" s="216"/>
      <c r="T41" s="217">
        <f>T13</f>
        <v>0</v>
      </c>
      <c r="U41" s="217"/>
      <c r="V41" s="217"/>
      <c r="W41" s="218">
        <f>W13</f>
        <v>4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4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5">M14</f>
        <v>0</v>
      </c>
      <c r="N42" s="83"/>
      <c r="O42" s="83"/>
      <c r="P42" s="83"/>
      <c r="Q42" s="216">
        <f t="shared" ref="Q42:Q51" si="16">Q14</f>
        <v>4</v>
      </c>
      <c r="R42" s="216"/>
      <c r="S42" s="216"/>
      <c r="T42" s="217" t="str">
        <f t="shared" ref="T42:T50" si="17">T14</f>
        <v/>
      </c>
      <c r="U42" s="217"/>
      <c r="V42" s="217"/>
      <c r="W42" s="218" t="str">
        <f t="shared" ref="W42:W51" si="18">W14</f>
        <v/>
      </c>
      <c r="X42" s="218"/>
      <c r="Y42" s="218"/>
      <c r="Z42" s="218"/>
      <c r="AA42" s="253" t="e">
        <f t="shared" ref="AA42:AA51" si="19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4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5"/>
        <v>30</v>
      </c>
      <c r="N43" s="83"/>
      <c r="O43" s="83"/>
      <c r="P43" s="83"/>
      <c r="Q43" s="216">
        <f t="shared" si="16"/>
        <v>105</v>
      </c>
      <c r="R43" s="216"/>
      <c r="S43" s="216"/>
      <c r="T43" s="217">
        <f t="shared" si="17"/>
        <v>3</v>
      </c>
      <c r="U43" s="217"/>
      <c r="V43" s="217"/>
      <c r="W43" s="218">
        <f t="shared" si="18"/>
        <v>15</v>
      </c>
      <c r="X43" s="218"/>
      <c r="Y43" s="218"/>
      <c r="Z43" s="218"/>
      <c r="AA43" s="253">
        <f t="shared" si="19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4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5"/>
        <v>30</v>
      </c>
      <c r="N44" s="83"/>
      <c r="O44" s="83"/>
      <c r="P44" s="83"/>
      <c r="Q44" s="216">
        <f t="shared" si="16"/>
        <v>7</v>
      </c>
      <c r="R44" s="216"/>
      <c r="S44" s="216"/>
      <c r="T44" s="217">
        <f t="shared" si="17"/>
        <v>0</v>
      </c>
      <c r="U44" s="217"/>
      <c r="V44" s="217"/>
      <c r="W44" s="218">
        <f t="shared" si="18"/>
        <v>7</v>
      </c>
      <c r="X44" s="218"/>
      <c r="Y44" s="218"/>
      <c r="Z44" s="218"/>
      <c r="AA44" s="253">
        <f t="shared" si="19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4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5"/>
        <v>36</v>
      </c>
      <c r="N45" s="83"/>
      <c r="O45" s="83"/>
      <c r="P45" s="83"/>
      <c r="Q45" s="216">
        <f t="shared" si="16"/>
        <v>10</v>
      </c>
      <c r="R45" s="216"/>
      <c r="S45" s="216"/>
      <c r="T45" s="217">
        <f t="shared" si="17"/>
        <v>0</v>
      </c>
      <c r="U45" s="217"/>
      <c r="V45" s="217"/>
      <c r="W45" s="218">
        <f t="shared" si="18"/>
        <v>10</v>
      </c>
      <c r="X45" s="218"/>
      <c r="Y45" s="218"/>
      <c r="Z45" s="218"/>
      <c r="AA45" s="253">
        <f t="shared" si="19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4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5"/>
        <v>36</v>
      </c>
      <c r="N46" s="83"/>
      <c r="O46" s="83"/>
      <c r="P46" s="83"/>
      <c r="Q46" s="216">
        <f t="shared" si="16"/>
        <v>2</v>
      </c>
      <c r="R46" s="216"/>
      <c r="S46" s="216"/>
      <c r="T46" s="217">
        <f t="shared" si="17"/>
        <v>0</v>
      </c>
      <c r="U46" s="217"/>
      <c r="V46" s="217"/>
      <c r="W46" s="218">
        <f t="shared" si="18"/>
        <v>2</v>
      </c>
      <c r="X46" s="218"/>
      <c r="Y46" s="218"/>
      <c r="Z46" s="218"/>
      <c r="AA46" s="253">
        <f t="shared" si="19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4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5"/>
        <v>36</v>
      </c>
      <c r="N47" s="83"/>
      <c r="O47" s="83"/>
      <c r="P47" s="83"/>
      <c r="Q47" s="216">
        <f t="shared" si="16"/>
        <v>2</v>
      </c>
      <c r="R47" s="216"/>
      <c r="S47" s="216"/>
      <c r="T47" s="217">
        <f t="shared" si="17"/>
        <v>0</v>
      </c>
      <c r="U47" s="217"/>
      <c r="V47" s="217"/>
      <c r="W47" s="218">
        <f t="shared" si="18"/>
        <v>2</v>
      </c>
      <c r="X47" s="218"/>
      <c r="Y47" s="218"/>
      <c r="Z47" s="218"/>
      <c r="AA47" s="253">
        <f t="shared" si="19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4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5"/>
        <v>32</v>
      </c>
      <c r="N48" s="83"/>
      <c r="O48" s="83"/>
      <c r="P48" s="83"/>
      <c r="Q48" s="216">
        <f t="shared" si="16"/>
        <v>2</v>
      </c>
      <c r="R48" s="216"/>
      <c r="S48" s="216"/>
      <c r="T48" s="217">
        <f t="shared" si="17"/>
        <v>0</v>
      </c>
      <c r="U48" s="217"/>
      <c r="V48" s="217"/>
      <c r="W48" s="218">
        <f t="shared" si="18"/>
        <v>2</v>
      </c>
      <c r="X48" s="218"/>
      <c r="Y48" s="218"/>
      <c r="Z48" s="218"/>
      <c r="AA48" s="253">
        <f t="shared" si="19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4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5"/>
        <v>30</v>
      </c>
      <c r="N49" s="83"/>
      <c r="O49" s="83"/>
      <c r="P49" s="83"/>
      <c r="Q49" s="216">
        <f t="shared" si="16"/>
        <v>1</v>
      </c>
      <c r="R49" s="216"/>
      <c r="S49" s="216"/>
      <c r="T49" s="217">
        <f t="shared" si="17"/>
        <v>0</v>
      </c>
      <c r="U49" s="217"/>
      <c r="V49" s="217"/>
      <c r="W49" s="218">
        <f t="shared" si="18"/>
        <v>1</v>
      </c>
      <c r="X49" s="218"/>
      <c r="Y49" s="218"/>
      <c r="Z49" s="218"/>
      <c r="AA49" s="253">
        <f t="shared" si="19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4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5"/>
        <v>30</v>
      </c>
      <c r="N50" s="83"/>
      <c r="O50" s="83"/>
      <c r="P50" s="83"/>
      <c r="Q50" s="216">
        <f t="shared" si="16"/>
        <v>9</v>
      </c>
      <c r="R50" s="216"/>
      <c r="S50" s="216"/>
      <c r="T50" s="217">
        <f t="shared" si="17"/>
        <v>0</v>
      </c>
      <c r="U50" s="217"/>
      <c r="V50" s="217"/>
      <c r="W50" s="218">
        <f t="shared" si="18"/>
        <v>9</v>
      </c>
      <c r="X50" s="218"/>
      <c r="Y50" s="218"/>
      <c r="Z50" s="218"/>
      <c r="AA50" s="253">
        <f t="shared" si="19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4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5"/>
        <v>36</v>
      </c>
      <c r="N51" s="83"/>
      <c r="O51" s="83"/>
      <c r="P51" s="83"/>
      <c r="Q51" s="216">
        <f t="shared" si="16"/>
        <v>7</v>
      </c>
      <c r="R51" s="216"/>
      <c r="S51" s="216"/>
      <c r="T51" s="217">
        <f>T23</f>
        <v>0</v>
      </c>
      <c r="U51" s="217"/>
      <c r="V51" s="217"/>
      <c r="W51" s="218">
        <f t="shared" si="18"/>
        <v>7</v>
      </c>
      <c r="X51" s="218"/>
      <c r="Y51" s="218"/>
      <c r="Z51" s="218"/>
      <c r="AA51" s="253">
        <f t="shared" si="19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20">M25</f>
        <v>153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100000000000001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 xml:space="preserve">부산광역시 강서구 송정국제1로 69
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100000000000001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42:L42"/>
    <mergeCell ref="M42:P42"/>
    <mergeCell ref="Q42:S42"/>
    <mergeCell ref="T42:V42"/>
    <mergeCell ref="W42:Z42"/>
    <mergeCell ref="AA42:AH4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AA13:AH13"/>
    <mergeCell ref="E15:L15"/>
    <mergeCell ref="M15:P15"/>
    <mergeCell ref="Q15:S15"/>
    <mergeCell ref="T15:V15"/>
    <mergeCell ref="W15:Z15"/>
    <mergeCell ref="AA15:AH15"/>
    <mergeCell ref="E16:L16"/>
    <mergeCell ref="M16:P16"/>
    <mergeCell ref="Q16:S16"/>
    <mergeCell ref="T16:V16"/>
    <mergeCell ref="W16:Z16"/>
    <mergeCell ref="AA16:AH16"/>
    <mergeCell ref="E14:L14"/>
    <mergeCell ref="M14:P14"/>
    <mergeCell ref="Q14:S14"/>
    <mergeCell ref="T14:V14"/>
    <mergeCell ref="W14:Z14"/>
    <mergeCell ref="AA14:AH14"/>
    <mergeCell ref="E20:L20"/>
    <mergeCell ref="M20:P20"/>
    <mergeCell ref="Q20:S20"/>
    <mergeCell ref="T20:V20"/>
    <mergeCell ref="W20:Z20"/>
    <mergeCell ref="AA20:AH20"/>
    <mergeCell ref="E17:L17"/>
    <mergeCell ref="M17:P17"/>
    <mergeCell ref="Q17:S17"/>
    <mergeCell ref="T17:V17"/>
    <mergeCell ref="W17:Z17"/>
    <mergeCell ref="AA17:AH17"/>
    <mergeCell ref="E18:L18"/>
    <mergeCell ref="M18:P18"/>
    <mergeCell ref="Q18:S18"/>
    <mergeCell ref="T18:V18"/>
    <mergeCell ref="W18:Z18"/>
    <mergeCell ref="AA18:AH18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AB38:AC39"/>
    <mergeCell ref="AD38:AH39"/>
    <mergeCell ref="R34:U35"/>
    <mergeCell ref="V34:AA35"/>
    <mergeCell ref="AB34:AC35"/>
    <mergeCell ref="AD34:AH35"/>
    <mergeCell ref="C36:F37"/>
    <mergeCell ref="G36:P37"/>
    <mergeCell ref="R36:U37"/>
    <mergeCell ref="V36:AH37"/>
    <mergeCell ref="B41:D41"/>
    <mergeCell ref="E41:L41"/>
    <mergeCell ref="M41:P41"/>
    <mergeCell ref="Q41:S41"/>
    <mergeCell ref="T41:V41"/>
    <mergeCell ref="W41:Z41"/>
    <mergeCell ref="E40:L40"/>
    <mergeCell ref="M40:P40"/>
    <mergeCell ref="Q40:S40"/>
    <mergeCell ref="T40:V40"/>
    <mergeCell ref="W40:Z40"/>
    <mergeCell ref="E46:L46"/>
    <mergeCell ref="M46:P46"/>
    <mergeCell ref="Q46:S46"/>
    <mergeCell ref="T46:V46"/>
    <mergeCell ref="W46:Z46"/>
    <mergeCell ref="AA46:AH46"/>
    <mergeCell ref="E44:L44"/>
    <mergeCell ref="M44:P44"/>
    <mergeCell ref="Q44:S44"/>
    <mergeCell ref="T44:V44"/>
    <mergeCell ref="W44:Z44"/>
    <mergeCell ref="AA44:AH44"/>
    <mergeCell ref="E45:L45"/>
    <mergeCell ref="M45:P45"/>
    <mergeCell ref="Q45:S45"/>
    <mergeCell ref="T45:V45"/>
    <mergeCell ref="W45:Z45"/>
    <mergeCell ref="AA45:AH45"/>
    <mergeCell ref="E47:L47"/>
    <mergeCell ref="M47:P47"/>
    <mergeCell ref="Q47:S47"/>
    <mergeCell ref="T47:V47"/>
    <mergeCell ref="W47:Z47"/>
    <mergeCell ref="AA47:AH47"/>
    <mergeCell ref="E48:L48"/>
    <mergeCell ref="M48:P48"/>
    <mergeCell ref="Q48:S48"/>
    <mergeCell ref="T48:V48"/>
    <mergeCell ref="W48:Z48"/>
    <mergeCell ref="AA48:AH48"/>
    <mergeCell ref="E51:L51"/>
    <mergeCell ref="M51:P51"/>
    <mergeCell ref="Q51:S51"/>
    <mergeCell ref="T51:V51"/>
    <mergeCell ref="W51:Z51"/>
    <mergeCell ref="AA51:AH51"/>
    <mergeCell ref="E50:L50"/>
    <mergeCell ref="M50:P50"/>
    <mergeCell ref="Q50:S50"/>
    <mergeCell ref="T50:V50"/>
    <mergeCell ref="W50:Z50"/>
    <mergeCell ref="AA50:AH50"/>
    <mergeCell ref="B53:D53"/>
    <mergeCell ref="E53:L53"/>
    <mergeCell ref="M53:Z53"/>
    <mergeCell ref="AA53:AH53"/>
    <mergeCell ref="B54:V55"/>
    <mergeCell ref="W54:AH55"/>
    <mergeCell ref="E52:L52"/>
    <mergeCell ref="M52:P52"/>
    <mergeCell ref="Q52:S52"/>
    <mergeCell ref="T52:V52"/>
    <mergeCell ref="W52:Z52"/>
    <mergeCell ref="AA52:AH52"/>
    <mergeCell ref="E21:L21"/>
    <mergeCell ref="M21:P21"/>
    <mergeCell ref="Q21:S21"/>
    <mergeCell ref="T21:V21"/>
    <mergeCell ref="W21:Z21"/>
    <mergeCell ref="AA21:AH21"/>
    <mergeCell ref="E49:L49"/>
    <mergeCell ref="M49:P49"/>
    <mergeCell ref="Q49:S49"/>
    <mergeCell ref="T49:V49"/>
    <mergeCell ref="W49:Z49"/>
    <mergeCell ref="AA49:AH49"/>
    <mergeCell ref="AA41:AH41"/>
    <mergeCell ref="E43:L43"/>
    <mergeCell ref="M43:P43"/>
    <mergeCell ref="Q43:S43"/>
    <mergeCell ref="T43:V43"/>
    <mergeCell ref="W43:Z43"/>
    <mergeCell ref="AA43:AH43"/>
    <mergeCell ref="AA40:AH40"/>
    <mergeCell ref="C38:F39"/>
    <mergeCell ref="G38:P39"/>
    <mergeCell ref="R38:U39"/>
    <mergeCell ref="V38:AA39"/>
  </mergeCells>
  <phoneticPr fontId="2" type="noConversion"/>
  <conditionalFormatting sqref="AA13">
    <cfRule type="expression" dxfId="379" priority="13">
      <formula>Q13:S27=0</formula>
    </cfRule>
  </conditionalFormatting>
  <conditionalFormatting sqref="AA14:AA15">
    <cfRule type="expression" dxfId="378" priority="8">
      <formula>Q14:S26=0</formula>
    </cfRule>
  </conditionalFormatting>
  <conditionalFormatting sqref="AA16:AA19 AA43:AH51">
    <cfRule type="expression" dxfId="377" priority="5">
      <formula>Q16:S26=0</formula>
    </cfRule>
  </conditionalFormatting>
  <conditionalFormatting sqref="AA20:AA21">
    <cfRule type="expression" dxfId="376" priority="3">
      <formula>Q20:S29=0</formula>
    </cfRule>
  </conditionalFormatting>
  <conditionalFormatting sqref="AA22">
    <cfRule type="expression" dxfId="375" priority="2708">
      <formula>Q22:S30=0</formula>
    </cfRule>
  </conditionalFormatting>
  <conditionalFormatting sqref="AA23:AA24">
    <cfRule type="expression" dxfId="374" priority="2884">
      <formula>Q23:S30=0</formula>
    </cfRule>
  </conditionalFormatting>
  <conditionalFormatting sqref="AA52:AH52">
    <cfRule type="expression" dxfId="373" priority="2965">
      <formula>Q52:S52=0</formula>
    </cfRule>
  </conditionalFormatting>
  <conditionalFormatting sqref="AA41:AH41">
    <cfRule type="expression" dxfId="372" priority="3119">
      <formula>Q41:S52=0</formula>
    </cfRule>
  </conditionalFormatting>
  <conditionalFormatting sqref="AA42:AH42">
    <cfRule type="expression" dxfId="10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BAB20DF2-31A3-4844-AECC-FD42FBEF5669}"/>
  </dataValidations>
  <printOptions horizontalCentered="1"/>
  <pageMargins left="0" right="0" top="0.11811023622047245" bottom="0" header="0" footer="0"/>
  <pageSetup paperSize="9" scale="9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3F43-6242-4ABE-AFEF-6CC68895BF74}">
  <sheetPr>
    <tabColor theme="7" tint="0.59999389629810485"/>
    <pageSetUpPr fitToPage="1"/>
  </sheetPr>
  <dimension ref="B1:AQ55"/>
  <sheetViews>
    <sheetView topLeftCell="A16"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41" width="2.33203125" style="1"/>
    <col min="42" max="42" width="20.6640625" style="1" bestFit="1" customWidth="1"/>
    <col min="43" max="43" width="3.5546875" style="1" bestFit="1" customWidth="1"/>
    <col min="44" max="16384" width="2.33203125" style="1"/>
  </cols>
  <sheetData>
    <row r="1" spans="2:43" ht="14.25" thickBot="1" x14ac:dyDescent="0.2">
      <c r="B1" s="3" t="s">
        <v>64</v>
      </c>
    </row>
    <row r="2" spans="2:43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43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43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43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43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64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43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43" x14ac:dyDescent="0.15">
      <c r="B8" s="110"/>
      <c r="C8" s="113" t="s">
        <v>4</v>
      </c>
      <c r="D8" s="121"/>
      <c r="E8" s="121"/>
      <c r="F8" s="121"/>
      <c r="G8" s="148" t="s">
        <v>65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43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43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43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43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43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2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2</v>
      </c>
      <c r="X13" s="100"/>
      <c r="Y13" s="100"/>
      <c r="Z13" s="101"/>
      <c r="AA13" s="251">
        <f>B13+6</f>
        <v>46321</v>
      </c>
      <c r="AB13" s="84"/>
      <c r="AC13" s="84"/>
      <c r="AD13" s="84"/>
      <c r="AE13" s="84"/>
      <c r="AF13" s="84"/>
      <c r="AG13" s="84"/>
      <c r="AH13" s="85"/>
      <c r="AP13" s="23"/>
      <c r="AQ13"/>
    </row>
    <row r="14" spans="2:43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2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251" t="e">
        <f>B12+5</f>
        <v>#VALUE!</v>
      </c>
      <c r="AB14" s="84"/>
      <c r="AC14" s="84"/>
      <c r="AD14" s="84"/>
      <c r="AE14" s="84"/>
      <c r="AF14" s="84"/>
      <c r="AG14" s="84"/>
      <c r="AH14" s="85"/>
      <c r="AP14" s="23"/>
      <c r="AQ14"/>
    </row>
    <row r="15" spans="2:43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137</v>
      </c>
      <c r="R15" s="96"/>
      <c r="S15" s="97"/>
      <c r="T15" s="98">
        <f t="shared" si="0"/>
        <v>4</v>
      </c>
      <c r="U15" s="84"/>
      <c r="V15" s="84"/>
      <c r="W15" s="99">
        <f t="shared" si="1"/>
        <v>17</v>
      </c>
      <c r="X15" s="100"/>
      <c r="Y15" s="100"/>
      <c r="Z15" s="101"/>
      <c r="AA15" s="251">
        <f>B13+5</f>
        <v>46320</v>
      </c>
      <c r="AB15" s="84"/>
      <c r="AC15" s="84"/>
      <c r="AD15" s="84"/>
      <c r="AE15" s="84"/>
      <c r="AF15" s="84"/>
      <c r="AG15" s="84"/>
      <c r="AH15" s="85"/>
      <c r="AP15" s="23"/>
      <c r="AQ15"/>
    </row>
    <row r="16" spans="2:43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11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11</v>
      </c>
      <c r="X16" s="100"/>
      <c r="Y16" s="100"/>
      <c r="Z16" s="101"/>
      <c r="AA16" s="251">
        <f>B13+5-1</f>
        <v>46319</v>
      </c>
      <c r="AB16" s="84"/>
      <c r="AC16" s="84"/>
      <c r="AD16" s="84"/>
      <c r="AE16" s="84"/>
      <c r="AF16" s="84"/>
      <c r="AG16" s="84"/>
      <c r="AH16" s="85"/>
      <c r="AP16" s="23"/>
      <c r="AQ16"/>
    </row>
    <row r="17" spans="2:43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15</v>
      </c>
      <c r="R17" s="96"/>
      <c r="S17" s="97"/>
      <c r="T17" s="98">
        <f t="shared" si="0"/>
        <v>0</v>
      </c>
      <c r="U17" s="84"/>
      <c r="V17" s="84"/>
      <c r="W17" s="99">
        <f t="shared" si="1"/>
        <v>15</v>
      </c>
      <c r="X17" s="100"/>
      <c r="Y17" s="100"/>
      <c r="Z17" s="101"/>
      <c r="AA17" s="251">
        <f>B13+5-1</f>
        <v>46319</v>
      </c>
      <c r="AB17" s="84"/>
      <c r="AC17" s="84"/>
      <c r="AD17" s="84"/>
      <c r="AE17" s="84"/>
      <c r="AF17" s="84"/>
      <c r="AG17" s="84"/>
      <c r="AH17" s="85"/>
      <c r="AP17" s="23"/>
      <c r="AQ17"/>
    </row>
    <row r="18" spans="2:43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0</v>
      </c>
      <c r="R18" s="96"/>
      <c r="S18" s="97"/>
      <c r="T18" s="98">
        <f t="shared" si="0"/>
        <v>0</v>
      </c>
      <c r="U18" s="84"/>
      <c r="V18" s="84"/>
      <c r="W18" s="99">
        <f t="shared" si="1"/>
        <v>0</v>
      </c>
      <c r="X18" s="100"/>
      <c r="Y18" s="100"/>
      <c r="Z18" s="101"/>
      <c r="AA18" s="251">
        <f>B13+5-1</f>
        <v>46319</v>
      </c>
      <c r="AB18" s="84"/>
      <c r="AC18" s="84"/>
      <c r="AD18" s="84"/>
      <c r="AE18" s="84"/>
      <c r="AF18" s="84"/>
      <c r="AG18" s="84"/>
      <c r="AH18" s="85"/>
      <c r="AP18" s="23"/>
      <c r="AQ18"/>
    </row>
    <row r="19" spans="2:43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1</v>
      </c>
      <c r="R19" s="96"/>
      <c r="S19" s="97"/>
      <c r="T19" s="98">
        <f t="shared" si="0"/>
        <v>0</v>
      </c>
      <c r="U19" s="84"/>
      <c r="V19" s="84"/>
      <c r="W19" s="99">
        <f t="shared" si="1"/>
        <v>1</v>
      </c>
      <c r="X19" s="100"/>
      <c r="Y19" s="100"/>
      <c r="Z19" s="101"/>
      <c r="AA19" s="251">
        <f>B13+5-1</f>
        <v>46319</v>
      </c>
      <c r="AB19" s="84"/>
      <c r="AC19" s="84"/>
      <c r="AD19" s="84"/>
      <c r="AE19" s="84"/>
      <c r="AF19" s="84"/>
      <c r="AG19" s="84"/>
      <c r="AH19" s="85"/>
      <c r="AP19" s="23"/>
      <c r="AQ19"/>
    </row>
    <row r="20" spans="2:43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1</v>
      </c>
      <c r="R20" s="96"/>
      <c r="S20" s="97"/>
      <c r="T20" s="98">
        <f t="shared" si="0"/>
        <v>0</v>
      </c>
      <c r="U20" s="84"/>
      <c r="V20" s="84"/>
      <c r="W20" s="99">
        <f t="shared" si="1"/>
        <v>1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  <c r="AP20" s="23"/>
      <c r="AQ20"/>
    </row>
    <row r="21" spans="2:43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2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2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  <c r="AP21" s="23"/>
      <c r="AQ21"/>
    </row>
    <row r="22" spans="2:43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16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16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  <c r="AP22" s="23"/>
      <c r="AQ22"/>
    </row>
    <row r="23" spans="2:43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5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5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  <c r="AP23" s="23"/>
      <c r="AQ23"/>
    </row>
    <row r="24" spans="2:43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</row>
    <row r="25" spans="2:43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192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43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66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43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43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43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43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43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43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씨제이경산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경상북도 하양읍 지식산업2로1길 63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2</v>
      </c>
      <c r="R41" s="216"/>
      <c r="S41" s="216"/>
      <c r="T41" s="217">
        <f>T13</f>
        <v>0</v>
      </c>
      <c r="U41" s="217"/>
      <c r="V41" s="217"/>
      <c r="W41" s="218">
        <f>W13</f>
        <v>2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2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137</v>
      </c>
      <c r="R43" s="216"/>
      <c r="S43" s="216"/>
      <c r="T43" s="217">
        <f t="shared" si="15"/>
        <v>4</v>
      </c>
      <c r="U43" s="217"/>
      <c r="V43" s="217"/>
      <c r="W43" s="218">
        <f t="shared" si="16"/>
        <v>17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11</v>
      </c>
      <c r="R44" s="216"/>
      <c r="S44" s="216"/>
      <c r="T44" s="217">
        <f t="shared" si="15"/>
        <v>0</v>
      </c>
      <c r="U44" s="217"/>
      <c r="V44" s="217"/>
      <c r="W44" s="218">
        <f t="shared" si="16"/>
        <v>11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15</v>
      </c>
      <c r="R45" s="216"/>
      <c r="S45" s="216"/>
      <c r="T45" s="217">
        <f t="shared" si="15"/>
        <v>0</v>
      </c>
      <c r="U45" s="217"/>
      <c r="V45" s="217"/>
      <c r="W45" s="218">
        <f t="shared" si="16"/>
        <v>15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0</v>
      </c>
      <c r="R46" s="216"/>
      <c r="S46" s="216"/>
      <c r="T46" s="217">
        <f t="shared" si="15"/>
        <v>0</v>
      </c>
      <c r="U46" s="217"/>
      <c r="V46" s="217"/>
      <c r="W46" s="218">
        <f t="shared" si="16"/>
        <v>0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1</v>
      </c>
      <c r="R47" s="216"/>
      <c r="S47" s="216"/>
      <c r="T47" s="217">
        <f t="shared" si="15"/>
        <v>0</v>
      </c>
      <c r="U47" s="217"/>
      <c r="V47" s="217"/>
      <c r="W47" s="218">
        <f t="shared" si="16"/>
        <v>1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1</v>
      </c>
      <c r="R48" s="216"/>
      <c r="S48" s="216"/>
      <c r="T48" s="217">
        <f t="shared" si="15"/>
        <v>0</v>
      </c>
      <c r="U48" s="217"/>
      <c r="V48" s="217"/>
      <c r="W48" s="218">
        <f t="shared" si="16"/>
        <v>1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2</v>
      </c>
      <c r="R49" s="216"/>
      <c r="S49" s="216"/>
      <c r="T49" s="217">
        <f t="shared" si="15"/>
        <v>0</v>
      </c>
      <c r="U49" s="217"/>
      <c r="V49" s="217"/>
      <c r="W49" s="218">
        <f t="shared" si="16"/>
        <v>2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16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16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5</v>
      </c>
      <c r="R51" s="216"/>
      <c r="S51" s="216"/>
      <c r="T51" s="217">
        <f>T23</f>
        <v>0</v>
      </c>
      <c r="U51" s="217"/>
      <c r="V51" s="217"/>
      <c r="W51" s="218">
        <f t="shared" si="16"/>
        <v>5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192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100000000000001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 xml:space="preserve">경상북도 하양읍 지식산업2로1길 63
053)211-1333 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100000000000001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Q32:Q39"/>
    <mergeCell ref="R32:U33"/>
    <mergeCell ref="L34:P35"/>
    <mergeCell ref="B30:AH31"/>
    <mergeCell ref="B32:B39"/>
    <mergeCell ref="C32:F33"/>
    <mergeCell ref="AD38:AH39"/>
    <mergeCell ref="C38:F39"/>
    <mergeCell ref="G38:P39"/>
    <mergeCell ref="R38:U39"/>
    <mergeCell ref="V38:AA39"/>
    <mergeCell ref="AB38:AC39"/>
    <mergeCell ref="E24:L24"/>
    <mergeCell ref="M24:P24"/>
    <mergeCell ref="Q24:S24"/>
    <mergeCell ref="T24:V24"/>
    <mergeCell ref="W24:Z24"/>
    <mergeCell ref="G36:P37"/>
    <mergeCell ref="R36:U37"/>
    <mergeCell ref="V36:AH37"/>
    <mergeCell ref="E25:L25"/>
    <mergeCell ref="AA24:AH24"/>
    <mergeCell ref="V34:AA35"/>
    <mergeCell ref="G32:P33"/>
    <mergeCell ref="M25:Z25"/>
    <mergeCell ref="AA25:AH25"/>
    <mergeCell ref="C34:F35"/>
    <mergeCell ref="G34:K35"/>
    <mergeCell ref="B25:D25"/>
    <mergeCell ref="R34:U35"/>
    <mergeCell ref="AB34:AC35"/>
    <mergeCell ref="AD34:AH35"/>
    <mergeCell ref="C36:F37"/>
    <mergeCell ref="B26:V27"/>
    <mergeCell ref="W26:AH27"/>
    <mergeCell ref="V32:AH33"/>
    <mergeCell ref="M12:P12"/>
    <mergeCell ref="W13:Z13"/>
    <mergeCell ref="AA13:AH13"/>
    <mergeCell ref="E19:L19"/>
    <mergeCell ref="M19:P19"/>
    <mergeCell ref="E12:L12"/>
    <mergeCell ref="Q12:S12"/>
    <mergeCell ref="T12:V12"/>
    <mergeCell ref="W12:Z12"/>
    <mergeCell ref="AA12:AH12"/>
    <mergeCell ref="Q19:S19"/>
    <mergeCell ref="T19:V19"/>
    <mergeCell ref="E18:L18"/>
    <mergeCell ref="M18:P18"/>
    <mergeCell ref="Q18:S18"/>
    <mergeCell ref="T18:V18"/>
    <mergeCell ref="E17:L17"/>
    <mergeCell ref="M17:P17"/>
    <mergeCell ref="Q17:S17"/>
    <mergeCell ref="T17:V17"/>
    <mergeCell ref="W17:Z17"/>
    <mergeCell ref="AA17:AH17"/>
    <mergeCell ref="M15:P15"/>
    <mergeCell ref="Q15:S15"/>
    <mergeCell ref="T15:V15"/>
    <mergeCell ref="W15:Z15"/>
    <mergeCell ref="AA15:AH15"/>
    <mergeCell ref="E22:L22"/>
    <mergeCell ref="M22:P22"/>
    <mergeCell ref="Q22:S22"/>
    <mergeCell ref="T22:V22"/>
    <mergeCell ref="W22:Z22"/>
    <mergeCell ref="AA22:AH22"/>
    <mergeCell ref="E16:L16"/>
    <mergeCell ref="M16:P16"/>
    <mergeCell ref="Q16:S16"/>
    <mergeCell ref="T16:V16"/>
    <mergeCell ref="W16:Z16"/>
    <mergeCell ref="AA16:AH16"/>
    <mergeCell ref="Q21:S21"/>
    <mergeCell ref="T21:V21"/>
    <mergeCell ref="W21:Z21"/>
    <mergeCell ref="AA21:AH21"/>
    <mergeCell ref="B13:D13"/>
    <mergeCell ref="E13:L13"/>
    <mergeCell ref="M13:P13"/>
    <mergeCell ref="Q13:S13"/>
    <mergeCell ref="T13:V13"/>
    <mergeCell ref="AA23:AH23"/>
    <mergeCell ref="AA19:AH19"/>
    <mergeCell ref="AA18:AH18"/>
    <mergeCell ref="W19:Z19"/>
    <mergeCell ref="E23:L23"/>
    <mergeCell ref="M23:P23"/>
    <mergeCell ref="Q23:S23"/>
    <mergeCell ref="T23:V23"/>
    <mergeCell ref="W23:Z23"/>
    <mergeCell ref="E20:L20"/>
    <mergeCell ref="M20:P20"/>
    <mergeCell ref="Q20:S20"/>
    <mergeCell ref="T20:V20"/>
    <mergeCell ref="W18:Z18"/>
    <mergeCell ref="W20:Z20"/>
    <mergeCell ref="AA20:AH20"/>
    <mergeCell ref="E15:L15"/>
    <mergeCell ref="E21:L21"/>
    <mergeCell ref="M21:P21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53:D53"/>
    <mergeCell ref="E53:L53"/>
    <mergeCell ref="M53:Z53"/>
    <mergeCell ref="AA53:AH53"/>
    <mergeCell ref="B54:V55"/>
    <mergeCell ref="W54:AH55"/>
    <mergeCell ref="E51:L51"/>
    <mergeCell ref="M51:P51"/>
    <mergeCell ref="Q51:S51"/>
    <mergeCell ref="T51:V51"/>
    <mergeCell ref="W51:Z51"/>
    <mergeCell ref="AA51:AH51"/>
    <mergeCell ref="E52:L52"/>
    <mergeCell ref="M52:P52"/>
    <mergeCell ref="Q52:S52"/>
    <mergeCell ref="T52:V52"/>
    <mergeCell ref="W52:Z52"/>
    <mergeCell ref="AA52:AH52"/>
    <mergeCell ref="E50:L50"/>
    <mergeCell ref="M50:P50"/>
    <mergeCell ref="Q50:S50"/>
    <mergeCell ref="T50:V50"/>
    <mergeCell ref="W50:Z50"/>
    <mergeCell ref="AA50:AH50"/>
    <mergeCell ref="M41:P41"/>
    <mergeCell ref="Q41:S41"/>
    <mergeCell ref="T41:V41"/>
    <mergeCell ref="W41:Z41"/>
    <mergeCell ref="AA41:AH41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3:L43"/>
    <mergeCell ref="E44:L44"/>
    <mergeCell ref="M44:P44"/>
    <mergeCell ref="Q44:S44"/>
    <mergeCell ref="T44:V44"/>
    <mergeCell ref="W44:Z44"/>
    <mergeCell ref="AA44:AH44"/>
    <mergeCell ref="B41:D41"/>
    <mergeCell ref="E41:L41"/>
    <mergeCell ref="M40:P40"/>
    <mergeCell ref="Q40:S40"/>
    <mergeCell ref="T40:V40"/>
    <mergeCell ref="W40:Z40"/>
    <mergeCell ref="AA40:AH40"/>
    <mergeCell ref="M43:P43"/>
    <mergeCell ref="Q43:S43"/>
    <mergeCell ref="T43:V43"/>
    <mergeCell ref="W43:Z43"/>
    <mergeCell ref="AA43:AH43"/>
    <mergeCell ref="E40:L40"/>
    <mergeCell ref="E49:L49"/>
    <mergeCell ref="M49:P49"/>
    <mergeCell ref="Q49:S49"/>
    <mergeCell ref="T49:V49"/>
    <mergeCell ref="W49:Z49"/>
    <mergeCell ref="AA49:AH49"/>
    <mergeCell ref="E45:L45"/>
    <mergeCell ref="M45:P45"/>
    <mergeCell ref="Q45:S45"/>
    <mergeCell ref="T45:V45"/>
    <mergeCell ref="W45:Z45"/>
    <mergeCell ref="AA45:AH45"/>
    <mergeCell ref="E48:L48"/>
    <mergeCell ref="M48:P48"/>
    <mergeCell ref="Q48:S48"/>
    <mergeCell ref="T48:V48"/>
    <mergeCell ref="W48:Z48"/>
    <mergeCell ref="AA48:AH48"/>
  </mergeCells>
  <phoneticPr fontId="2" type="noConversion"/>
  <conditionalFormatting sqref="AA13">
    <cfRule type="expression" dxfId="371" priority="1935">
      <formula>Q13:S27=0</formula>
    </cfRule>
  </conditionalFormatting>
  <conditionalFormatting sqref="AA14:AA15">
    <cfRule type="expression" dxfId="370" priority="9">
      <formula>Q14:S26=0</formula>
    </cfRule>
  </conditionalFormatting>
  <conditionalFormatting sqref="AA16:AA19 AA43:AH51">
    <cfRule type="expression" dxfId="369" priority="5">
      <formula>Q16:S26=0</formula>
    </cfRule>
  </conditionalFormatting>
  <conditionalFormatting sqref="AA20:AA21">
    <cfRule type="expression" dxfId="368" priority="3">
      <formula>Q20:S29=0</formula>
    </cfRule>
  </conditionalFormatting>
  <conditionalFormatting sqref="AA22">
    <cfRule type="expression" dxfId="367" priority="2705">
      <formula>Q22:S30=0</formula>
    </cfRule>
  </conditionalFormatting>
  <conditionalFormatting sqref="AA23:AA24">
    <cfRule type="expression" dxfId="366" priority="2881">
      <formula>Q23:S30=0</formula>
    </cfRule>
  </conditionalFormatting>
  <conditionalFormatting sqref="AA52:AH52">
    <cfRule type="expression" dxfId="365" priority="2962">
      <formula>Q52:S52=0</formula>
    </cfRule>
  </conditionalFormatting>
  <conditionalFormatting sqref="AA41:AH41">
    <cfRule type="expression" dxfId="364" priority="3118">
      <formula>Q41:S52=0</formula>
    </cfRule>
  </conditionalFormatting>
  <conditionalFormatting sqref="AA42:AH42">
    <cfRule type="expression" dxfId="11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4B0B0675-682E-4348-93A3-1656EDC62A62}"/>
  </dataValidations>
  <printOptions horizontalCentered="1"/>
  <pageMargins left="0" right="0" top="0.11811023622047245" bottom="0" header="0" footer="0"/>
  <pageSetup paperSize="9" scale="9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6C4F-4230-48EE-A217-AB210A9E498B}">
  <sheetPr>
    <pageSetUpPr fitToPage="1"/>
  </sheetPr>
  <dimension ref="B1:AH55"/>
  <sheetViews>
    <sheetView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42" width="2.33203125" style="1"/>
    <col min="43" max="43" width="25.21875" style="1" bestFit="1" customWidth="1"/>
    <col min="44" max="44" width="7.33203125" style="1" bestFit="1" customWidth="1"/>
    <col min="45" max="16384" width="2.33203125" style="1"/>
  </cols>
  <sheetData>
    <row r="1" spans="2:34" ht="14.25" thickBot="1" x14ac:dyDescent="0.2">
      <c r="B1" s="3" t="s">
        <v>23</v>
      </c>
      <c r="C1" s="2"/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23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264" t="s">
        <v>24</v>
      </c>
      <c r="H8" s="265"/>
      <c r="I8" s="265"/>
      <c r="J8" s="265"/>
      <c r="K8" s="265"/>
      <c r="L8" s="265"/>
      <c r="M8" s="265"/>
      <c r="N8" s="265"/>
      <c r="O8" s="265"/>
      <c r="P8" s="265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266"/>
      <c r="H9" s="267"/>
      <c r="I9" s="267"/>
      <c r="J9" s="267"/>
      <c r="K9" s="267"/>
      <c r="L9" s="267"/>
      <c r="M9" s="267"/>
      <c r="N9" s="267"/>
      <c r="O9" s="267"/>
      <c r="P9" s="267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1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1</v>
      </c>
      <c r="X13" s="100"/>
      <c r="Y13" s="100"/>
      <c r="Z13" s="101"/>
      <c r="AA13" s="73">
        <f>B13+6</f>
        <v>46321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1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73" t="e">
        <f>B12+5</f>
        <v>#VALUE!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85</v>
      </c>
      <c r="R15" s="96"/>
      <c r="S15" s="97"/>
      <c r="T15" s="98">
        <f t="shared" si="0"/>
        <v>2</v>
      </c>
      <c r="U15" s="84"/>
      <c r="V15" s="84"/>
      <c r="W15" s="99">
        <f t="shared" si="1"/>
        <v>25</v>
      </c>
      <c r="X15" s="100"/>
      <c r="Y15" s="100"/>
      <c r="Z15" s="101"/>
      <c r="AA15" s="73">
        <f>B13+5</f>
        <v>46320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7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7</v>
      </c>
      <c r="X16" s="100"/>
      <c r="Y16" s="100"/>
      <c r="Z16" s="101"/>
      <c r="AA16" s="73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10</v>
      </c>
      <c r="R17" s="96"/>
      <c r="S17" s="97"/>
      <c r="T17" s="98">
        <f t="shared" si="0"/>
        <v>0</v>
      </c>
      <c r="U17" s="84"/>
      <c r="V17" s="84"/>
      <c r="W17" s="99">
        <f t="shared" si="1"/>
        <v>10</v>
      </c>
      <c r="X17" s="100"/>
      <c r="Y17" s="100"/>
      <c r="Z17" s="101"/>
      <c r="AA17" s="73">
        <f>B13+5-1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1</v>
      </c>
      <c r="R18" s="96"/>
      <c r="S18" s="97"/>
      <c r="T18" s="98">
        <f t="shared" si="0"/>
        <v>0</v>
      </c>
      <c r="U18" s="84"/>
      <c r="V18" s="84"/>
      <c r="W18" s="99">
        <f t="shared" si="1"/>
        <v>1</v>
      </c>
      <c r="X18" s="100"/>
      <c r="Y18" s="100"/>
      <c r="Z18" s="101"/>
      <c r="AA18" s="73">
        <f>B13+5-1</f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1</v>
      </c>
      <c r="R19" s="96"/>
      <c r="S19" s="97"/>
      <c r="T19" s="98">
        <f t="shared" si="0"/>
        <v>0</v>
      </c>
      <c r="U19" s="84"/>
      <c r="V19" s="84"/>
      <c r="W19" s="99">
        <f t="shared" si="1"/>
        <v>1</v>
      </c>
      <c r="X19" s="100"/>
      <c r="Y19" s="100"/>
      <c r="Z19" s="101"/>
      <c r="AA19" s="73">
        <f>B13+5-1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4</v>
      </c>
      <c r="R20" s="96"/>
      <c r="S20" s="97"/>
      <c r="T20" s="98">
        <f t="shared" si="0"/>
        <v>0</v>
      </c>
      <c r="U20" s="84"/>
      <c r="V20" s="84"/>
      <c r="W20" s="99">
        <f t="shared" si="1"/>
        <v>4</v>
      </c>
      <c r="X20" s="100"/>
      <c r="Y20" s="100"/>
      <c r="Z20" s="101"/>
      <c r="AA20" s="72">
        <f>B13+5</f>
        <v>46320</v>
      </c>
      <c r="AB20" s="73"/>
      <c r="AC20" s="73"/>
      <c r="AD20" s="73"/>
      <c r="AE20" s="73"/>
      <c r="AF20" s="73"/>
      <c r="AG20" s="73"/>
      <c r="AH20" s="74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1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1</v>
      </c>
      <c r="X21" s="100"/>
      <c r="Y21" s="100"/>
      <c r="Z21" s="101"/>
      <c r="AA21" s="72">
        <f>B13+4</f>
        <v>46319</v>
      </c>
      <c r="AB21" s="73"/>
      <c r="AC21" s="73"/>
      <c r="AD21" s="73"/>
      <c r="AE21" s="73"/>
      <c r="AF21" s="73"/>
      <c r="AG21" s="73"/>
      <c r="AH21" s="74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9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9</v>
      </c>
      <c r="X22" s="100"/>
      <c r="Y22" s="100"/>
      <c r="Z22" s="101"/>
      <c r="AA22" s="72">
        <f>B13+5-1</f>
        <v>46319</v>
      </c>
      <c r="AB22" s="73"/>
      <c r="AC22" s="73"/>
      <c r="AD22" s="73"/>
      <c r="AE22" s="73"/>
      <c r="AF22" s="73"/>
      <c r="AG22" s="73"/>
      <c r="AH22" s="74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4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4</v>
      </c>
      <c r="X23" s="100"/>
      <c r="Y23" s="100"/>
      <c r="Z23" s="101"/>
      <c r="AA23" s="72">
        <f>B13+5</f>
        <v>46320</v>
      </c>
      <c r="AB23" s="73"/>
      <c r="AC23" s="73"/>
      <c r="AD23" s="73"/>
      <c r="AE23" s="73"/>
      <c r="AF23" s="73"/>
      <c r="AG23" s="73"/>
      <c r="AH23" s="74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72"/>
      <c r="AB24" s="73"/>
      <c r="AC24" s="73"/>
      <c r="AD24" s="73"/>
      <c r="AE24" s="73"/>
      <c r="AF24" s="73"/>
      <c r="AG24" s="73"/>
      <c r="AH24" s="74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124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25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BGF로지스양주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경기도 양주시 백석읍 양주산성로 572 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1</v>
      </c>
      <c r="R41" s="216"/>
      <c r="S41" s="216"/>
      <c r="T41" s="217">
        <f>T13</f>
        <v>0</v>
      </c>
      <c r="U41" s="217"/>
      <c r="V41" s="217"/>
      <c r="W41" s="218">
        <f>W13</f>
        <v>1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1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85</v>
      </c>
      <c r="R43" s="216"/>
      <c r="S43" s="216"/>
      <c r="T43" s="217">
        <f t="shared" si="15"/>
        <v>2</v>
      </c>
      <c r="U43" s="217"/>
      <c r="V43" s="217"/>
      <c r="W43" s="218">
        <f t="shared" si="16"/>
        <v>25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7</v>
      </c>
      <c r="R44" s="216"/>
      <c r="S44" s="216"/>
      <c r="T44" s="217">
        <f t="shared" si="15"/>
        <v>0</v>
      </c>
      <c r="U44" s="217"/>
      <c r="V44" s="217"/>
      <c r="W44" s="218">
        <f t="shared" si="16"/>
        <v>7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10</v>
      </c>
      <c r="R45" s="216"/>
      <c r="S45" s="216"/>
      <c r="T45" s="217">
        <f t="shared" si="15"/>
        <v>0</v>
      </c>
      <c r="U45" s="217"/>
      <c r="V45" s="217"/>
      <c r="W45" s="218">
        <f t="shared" si="16"/>
        <v>10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1</v>
      </c>
      <c r="R46" s="216"/>
      <c r="S46" s="216"/>
      <c r="T46" s="217">
        <f t="shared" si="15"/>
        <v>0</v>
      </c>
      <c r="U46" s="217"/>
      <c r="V46" s="217"/>
      <c r="W46" s="218">
        <f t="shared" si="16"/>
        <v>1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1</v>
      </c>
      <c r="R47" s="216"/>
      <c r="S47" s="216"/>
      <c r="T47" s="217">
        <f t="shared" si="15"/>
        <v>0</v>
      </c>
      <c r="U47" s="217"/>
      <c r="V47" s="217"/>
      <c r="W47" s="218">
        <f t="shared" si="16"/>
        <v>1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4</v>
      </c>
      <c r="R48" s="216"/>
      <c r="S48" s="216"/>
      <c r="T48" s="217">
        <f t="shared" si="15"/>
        <v>0</v>
      </c>
      <c r="U48" s="217"/>
      <c r="V48" s="217"/>
      <c r="W48" s="218">
        <f t="shared" si="16"/>
        <v>4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1</v>
      </c>
      <c r="R49" s="216"/>
      <c r="S49" s="216"/>
      <c r="T49" s="217">
        <f t="shared" si="15"/>
        <v>0</v>
      </c>
      <c r="U49" s="217"/>
      <c r="V49" s="217"/>
      <c r="W49" s="218">
        <f t="shared" si="16"/>
        <v>1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9</v>
      </c>
      <c r="R50" s="216"/>
      <c r="S50" s="216"/>
      <c r="T50" s="217">
        <f t="shared" si="15"/>
        <v>0</v>
      </c>
      <c r="U50" s="217"/>
      <c r="V50" s="217"/>
      <c r="W50" s="218">
        <f t="shared" si="16"/>
        <v>9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4</v>
      </c>
      <c r="R51" s="216"/>
      <c r="S51" s="216"/>
      <c r="T51" s="217">
        <f>T23</f>
        <v>0</v>
      </c>
      <c r="U51" s="217"/>
      <c r="V51" s="217"/>
      <c r="W51" s="218">
        <f t="shared" si="16"/>
        <v>4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124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100000000000001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경기도 양주시 백석읍 양주산성로 572
031)826-1262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100000000000001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M46:P46"/>
    <mergeCell ref="AA46:AH46"/>
    <mergeCell ref="W26:AH27"/>
    <mergeCell ref="B25:D25"/>
    <mergeCell ref="V38:AA39"/>
    <mergeCell ref="G36:P37"/>
    <mergeCell ref="G38:P39"/>
    <mergeCell ref="E40:L40"/>
    <mergeCell ref="M43:P43"/>
    <mergeCell ref="M40:P40"/>
    <mergeCell ref="C32:F33"/>
    <mergeCell ref="G32:P33"/>
    <mergeCell ref="E25:L25"/>
    <mergeCell ref="E44:L44"/>
    <mergeCell ref="M44:P44"/>
    <mergeCell ref="Q44:S44"/>
    <mergeCell ref="T44:V44"/>
    <mergeCell ref="W44:Z44"/>
    <mergeCell ref="R36:U37"/>
    <mergeCell ref="V36:AH37"/>
    <mergeCell ref="W12:Z12"/>
    <mergeCell ref="E50:L50"/>
    <mergeCell ref="M47:P47"/>
    <mergeCell ref="Q47:S47"/>
    <mergeCell ref="T47:V47"/>
    <mergeCell ref="W47:Z47"/>
    <mergeCell ref="AA47:AH47"/>
    <mergeCell ref="AD38:AH39"/>
    <mergeCell ref="R32:U33"/>
    <mergeCell ref="E15:L15"/>
    <mergeCell ref="M15:P15"/>
    <mergeCell ref="W23:Z23"/>
    <mergeCell ref="T18:V18"/>
    <mergeCell ref="AA20:AH20"/>
    <mergeCell ref="E48:L48"/>
    <mergeCell ref="M48:P48"/>
    <mergeCell ref="Q48:S48"/>
    <mergeCell ref="T48:V48"/>
    <mergeCell ref="W48:Z48"/>
    <mergeCell ref="AA48:AH48"/>
    <mergeCell ref="Q40:S40"/>
    <mergeCell ref="T40:V40"/>
    <mergeCell ref="W40:Z40"/>
    <mergeCell ref="AA40:AH40"/>
    <mergeCell ref="E12:L12"/>
    <mergeCell ref="Q12:S12"/>
    <mergeCell ref="T12:V12"/>
    <mergeCell ref="C34:F35"/>
    <mergeCell ref="AA12:AH12"/>
    <mergeCell ref="M12:P12"/>
    <mergeCell ref="B13:D13"/>
    <mergeCell ref="E13:L13"/>
    <mergeCell ref="M13:P13"/>
    <mergeCell ref="Q13:S13"/>
    <mergeCell ref="T13:V13"/>
    <mergeCell ref="E18:L18"/>
    <mergeCell ref="M18:P18"/>
    <mergeCell ref="Q18:S18"/>
    <mergeCell ref="V32:AH33"/>
    <mergeCell ref="V34:AA35"/>
    <mergeCell ref="AB34:AC35"/>
    <mergeCell ref="AD34:AH35"/>
    <mergeCell ref="E23:L23"/>
    <mergeCell ref="M23:P23"/>
    <mergeCell ref="AA17:AH17"/>
    <mergeCell ref="AA13:AH13"/>
    <mergeCell ref="W13:Z13"/>
    <mergeCell ref="W15:Z15"/>
    <mergeCell ref="B54:V55"/>
    <mergeCell ref="W54:AH55"/>
    <mergeCell ref="AA41:AH41"/>
    <mergeCell ref="B41:D41"/>
    <mergeCell ref="E41:L41"/>
    <mergeCell ref="M41:P41"/>
    <mergeCell ref="Q41:S41"/>
    <mergeCell ref="T41:V41"/>
    <mergeCell ref="W41:Z41"/>
    <mergeCell ref="E51:L51"/>
    <mergeCell ref="M51:P51"/>
    <mergeCell ref="Q51:S51"/>
    <mergeCell ref="T51:V51"/>
    <mergeCell ref="W51:Z51"/>
    <mergeCell ref="AA51:AH51"/>
    <mergeCell ref="E52:L52"/>
    <mergeCell ref="M52:P52"/>
    <mergeCell ref="E47:L47"/>
    <mergeCell ref="W52:Z52"/>
    <mergeCell ref="W46:Z46"/>
    <mergeCell ref="Q46:S46"/>
    <mergeCell ref="T46:V46"/>
    <mergeCell ref="AA53:AH53"/>
    <mergeCell ref="E43:L43"/>
    <mergeCell ref="B53:D53"/>
    <mergeCell ref="M53:Z53"/>
    <mergeCell ref="AA23:AH23"/>
    <mergeCell ref="M19:P19"/>
    <mergeCell ref="Q19:S19"/>
    <mergeCell ref="T19:V19"/>
    <mergeCell ref="W19:Z19"/>
    <mergeCell ref="AA19:AH19"/>
    <mergeCell ref="Q52:S52"/>
    <mergeCell ref="T52:V52"/>
    <mergeCell ref="M50:P50"/>
    <mergeCell ref="Q50:S50"/>
    <mergeCell ref="T50:V50"/>
    <mergeCell ref="W50:Z50"/>
    <mergeCell ref="AA50:AH50"/>
    <mergeCell ref="B26:V27"/>
    <mergeCell ref="E53:L53"/>
    <mergeCell ref="AA52:AH52"/>
    <mergeCell ref="E46:L46"/>
    <mergeCell ref="G34:K35"/>
    <mergeCell ref="L34:P35"/>
    <mergeCell ref="R34:U35"/>
    <mergeCell ref="C38:F39"/>
    <mergeCell ref="R38:U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R8:U9"/>
    <mergeCell ref="V8:AH9"/>
    <mergeCell ref="C8:F9"/>
    <mergeCell ref="G8:P9"/>
    <mergeCell ref="AA15:AH15"/>
    <mergeCell ref="AA18:AH18"/>
    <mergeCell ref="AA44:AH44"/>
    <mergeCell ref="W18:Z18"/>
    <mergeCell ref="Q43:S43"/>
    <mergeCell ref="T43:V43"/>
    <mergeCell ref="W43:Z43"/>
    <mergeCell ref="AA43:AH43"/>
    <mergeCell ref="Q15:S15"/>
    <mergeCell ref="T15:V15"/>
    <mergeCell ref="W24:Z24"/>
    <mergeCell ref="AA24:AH24"/>
    <mergeCell ref="Q22:S22"/>
    <mergeCell ref="T22:V22"/>
    <mergeCell ref="W22:Z22"/>
    <mergeCell ref="AA22:AH22"/>
    <mergeCell ref="Q32:Q39"/>
    <mergeCell ref="M25:Z25"/>
    <mergeCell ref="AB38:AC39"/>
    <mergeCell ref="W20:Z20"/>
    <mergeCell ref="W21:Z21"/>
    <mergeCell ref="AA25:AH25"/>
    <mergeCell ref="B30:AH31"/>
    <mergeCell ref="B32:B39"/>
    <mergeCell ref="E19:L19"/>
    <mergeCell ref="E24:L24"/>
    <mergeCell ref="M24:P24"/>
    <mergeCell ref="Q24:S24"/>
    <mergeCell ref="T24:V24"/>
    <mergeCell ref="C36:F37"/>
    <mergeCell ref="M20:P20"/>
    <mergeCell ref="Q20:S20"/>
    <mergeCell ref="T20:V20"/>
    <mergeCell ref="T23:V23"/>
    <mergeCell ref="Q23:S23"/>
    <mergeCell ref="E20:L20"/>
    <mergeCell ref="E22:L22"/>
    <mergeCell ref="M22:P22"/>
    <mergeCell ref="E21:L21"/>
    <mergeCell ref="M21:P21"/>
    <mergeCell ref="Q21:S21"/>
    <mergeCell ref="T21:V21"/>
    <mergeCell ref="AA21:AH21"/>
    <mergeCell ref="E49:L49"/>
    <mergeCell ref="M49:P49"/>
    <mergeCell ref="Q49:S49"/>
    <mergeCell ref="T49:V49"/>
    <mergeCell ref="W49:Z49"/>
    <mergeCell ref="AA49:AH49"/>
    <mergeCell ref="E16:L16"/>
    <mergeCell ref="M16:P16"/>
    <mergeCell ref="Q16:S16"/>
    <mergeCell ref="T16:V16"/>
    <mergeCell ref="W16:Z16"/>
    <mergeCell ref="AA16:AH16"/>
    <mergeCell ref="E45:L45"/>
    <mergeCell ref="M45:P45"/>
    <mergeCell ref="Q45:S45"/>
    <mergeCell ref="T45:V45"/>
    <mergeCell ref="W45:Z45"/>
    <mergeCell ref="AA45:AH45"/>
    <mergeCell ref="E17:L17"/>
    <mergeCell ref="M17:P17"/>
    <mergeCell ref="Q17:S17"/>
    <mergeCell ref="T17:V17"/>
    <mergeCell ref="W17:Z17"/>
  </mergeCells>
  <phoneticPr fontId="2" type="noConversion"/>
  <conditionalFormatting sqref="AA13:AH13">
    <cfRule type="expression" dxfId="363" priority="1933">
      <formula>Q13:S27=0</formula>
    </cfRule>
  </conditionalFormatting>
  <conditionalFormatting sqref="AA15:AH15">
    <cfRule type="expression" dxfId="362" priority="11">
      <formula>Q15:S27=0</formula>
    </cfRule>
  </conditionalFormatting>
  <conditionalFormatting sqref="AA16:AH19 AA43:AH51">
    <cfRule type="expression" dxfId="361" priority="6">
      <formula>Q16:S26=0</formula>
    </cfRule>
  </conditionalFormatting>
  <conditionalFormatting sqref="AA20:AH21">
    <cfRule type="expression" dxfId="360" priority="4">
      <formula>Q20:S29=0</formula>
    </cfRule>
  </conditionalFormatting>
  <conditionalFormatting sqref="AA22:AH22">
    <cfRule type="expression" dxfId="359" priority="2703">
      <formula>Q22:S30=0</formula>
    </cfRule>
  </conditionalFormatting>
  <conditionalFormatting sqref="AA23:AH24">
    <cfRule type="expression" dxfId="358" priority="2879">
      <formula>Q23:S30=0</formula>
    </cfRule>
  </conditionalFormatting>
  <conditionalFormatting sqref="AA52:AH52">
    <cfRule type="expression" dxfId="357" priority="2960">
      <formula>Q52:S52=0</formula>
    </cfRule>
  </conditionalFormatting>
  <conditionalFormatting sqref="AA41:AH41">
    <cfRule type="expression" dxfId="356" priority="3118">
      <formula>Q41:S52=0</formula>
    </cfRule>
  </conditionalFormatting>
  <conditionalFormatting sqref="AA14:AH14">
    <cfRule type="expression" dxfId="32" priority="2">
      <formula>Q14:S26=0</formula>
    </cfRule>
  </conditionalFormatting>
  <conditionalFormatting sqref="AA42:AH42">
    <cfRule type="expression" dxfId="12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F49BA2BE-6C17-41D5-BF65-0A125C541D8C}"/>
  </dataValidations>
  <printOptions horizontalCentered="1"/>
  <pageMargins left="0" right="0" top="0.11811023622047245" bottom="0" header="0" footer="0"/>
  <pageSetup paperSize="9" scale="8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F43C-6AAE-495A-B132-C08325F0A72A}">
  <sheetPr>
    <pageSetUpPr fitToPage="1"/>
  </sheetPr>
  <dimension ref="B1:AO55"/>
  <sheetViews>
    <sheetView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39" width="2.33203125" style="1"/>
    <col min="40" max="40" width="20.88671875" style="1" bestFit="1" customWidth="1"/>
    <col min="41" max="41" width="3.5546875" style="1" bestFit="1" customWidth="1"/>
    <col min="42" max="43" width="2.33203125" style="1"/>
    <col min="44" max="44" width="5.6640625" style="1" bestFit="1" customWidth="1"/>
    <col min="45" max="46" width="2.33203125" style="1"/>
    <col min="47" max="47" width="5.6640625" style="1" bestFit="1" customWidth="1"/>
    <col min="48" max="16384" width="2.33203125" style="1"/>
  </cols>
  <sheetData>
    <row r="1" spans="2:41" ht="14.25" thickBot="1" x14ac:dyDescent="0.2">
      <c r="B1" s="3" t="s">
        <v>32</v>
      </c>
    </row>
    <row r="2" spans="2:41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41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41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41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41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32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41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41" x14ac:dyDescent="0.15">
      <c r="B8" s="110"/>
      <c r="C8" s="113" t="s">
        <v>4</v>
      </c>
      <c r="D8" s="121"/>
      <c r="E8" s="121"/>
      <c r="F8" s="121"/>
      <c r="G8" s="148" t="s">
        <v>33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41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41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41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41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41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1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1</v>
      </c>
      <c r="X13" s="100"/>
      <c r="Y13" s="100"/>
      <c r="Z13" s="101"/>
      <c r="AA13" s="153">
        <f>B13+6</f>
        <v>46321</v>
      </c>
      <c r="AB13" s="84"/>
      <c r="AC13" s="84"/>
      <c r="AD13" s="84"/>
      <c r="AE13" s="84"/>
      <c r="AF13" s="84"/>
      <c r="AG13" s="84"/>
      <c r="AH13" s="85"/>
      <c r="AN13" s="23"/>
      <c r="AO13"/>
    </row>
    <row r="14" spans="2:41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1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153" t="e">
        <f>B12+5</f>
        <v>#VALUE!</v>
      </c>
      <c r="AB14" s="84"/>
      <c r="AC14" s="84"/>
      <c r="AD14" s="84"/>
      <c r="AE14" s="84"/>
      <c r="AF14" s="84"/>
      <c r="AG14" s="84"/>
      <c r="AH14" s="85"/>
      <c r="AN14" s="23"/>
      <c r="AO14"/>
    </row>
    <row r="15" spans="2:41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76</v>
      </c>
      <c r="R15" s="96"/>
      <c r="S15" s="97"/>
      <c r="T15" s="98">
        <f t="shared" si="0"/>
        <v>2</v>
      </c>
      <c r="U15" s="84"/>
      <c r="V15" s="84"/>
      <c r="W15" s="99">
        <f t="shared" si="1"/>
        <v>16</v>
      </c>
      <c r="X15" s="100"/>
      <c r="Y15" s="100"/>
      <c r="Z15" s="101"/>
      <c r="AA15" s="153">
        <f>B13+5</f>
        <v>46320</v>
      </c>
      <c r="AB15" s="84"/>
      <c r="AC15" s="84"/>
      <c r="AD15" s="84"/>
      <c r="AE15" s="84"/>
      <c r="AF15" s="84"/>
      <c r="AG15" s="84"/>
      <c r="AH15" s="85"/>
      <c r="AN15" s="23"/>
      <c r="AO15"/>
    </row>
    <row r="16" spans="2:41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3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3</v>
      </c>
      <c r="X16" s="100"/>
      <c r="Y16" s="100"/>
      <c r="Z16" s="101"/>
      <c r="AA16" s="153">
        <f>B13+5-1</f>
        <v>46319</v>
      </c>
      <c r="AB16" s="84"/>
      <c r="AC16" s="84"/>
      <c r="AD16" s="84"/>
      <c r="AE16" s="84"/>
      <c r="AF16" s="84"/>
      <c r="AG16" s="84"/>
      <c r="AH16" s="85"/>
      <c r="AN16" s="23"/>
      <c r="AO16"/>
    </row>
    <row r="17" spans="2:41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12</v>
      </c>
      <c r="R17" s="96"/>
      <c r="S17" s="97"/>
      <c r="T17" s="98">
        <f t="shared" si="0"/>
        <v>0</v>
      </c>
      <c r="U17" s="84"/>
      <c r="V17" s="84"/>
      <c r="W17" s="99">
        <f t="shared" si="1"/>
        <v>12</v>
      </c>
      <c r="X17" s="100"/>
      <c r="Y17" s="100"/>
      <c r="Z17" s="101"/>
      <c r="AA17" s="153">
        <f>B13+5-1</f>
        <v>46319</v>
      </c>
      <c r="AB17" s="84"/>
      <c r="AC17" s="84"/>
      <c r="AD17" s="84"/>
      <c r="AE17" s="84"/>
      <c r="AF17" s="84"/>
      <c r="AG17" s="84"/>
      <c r="AH17" s="85"/>
      <c r="AN17" s="23"/>
      <c r="AO17"/>
    </row>
    <row r="18" spans="2:41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3</v>
      </c>
      <c r="R18" s="96"/>
      <c r="S18" s="97"/>
      <c r="T18" s="98">
        <f t="shared" si="0"/>
        <v>0</v>
      </c>
      <c r="U18" s="84"/>
      <c r="V18" s="84"/>
      <c r="W18" s="99">
        <f t="shared" si="1"/>
        <v>3</v>
      </c>
      <c r="X18" s="100"/>
      <c r="Y18" s="100"/>
      <c r="Z18" s="101"/>
      <c r="AA18" s="153">
        <f>B13+5-1</f>
        <v>46319</v>
      </c>
      <c r="AB18" s="84"/>
      <c r="AC18" s="84"/>
      <c r="AD18" s="84"/>
      <c r="AE18" s="84"/>
      <c r="AF18" s="84"/>
      <c r="AG18" s="84"/>
      <c r="AH18" s="85"/>
      <c r="AN18" s="23"/>
      <c r="AO18"/>
    </row>
    <row r="19" spans="2:41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2</v>
      </c>
      <c r="R19" s="96"/>
      <c r="S19" s="97"/>
      <c r="T19" s="98">
        <f t="shared" si="0"/>
        <v>0</v>
      </c>
      <c r="U19" s="84"/>
      <c r="V19" s="84"/>
      <c r="W19" s="99">
        <f t="shared" si="1"/>
        <v>2</v>
      </c>
      <c r="X19" s="100"/>
      <c r="Y19" s="100"/>
      <c r="Z19" s="101"/>
      <c r="AA19" s="153">
        <f>B13+5-1</f>
        <v>46319</v>
      </c>
      <c r="AB19" s="84"/>
      <c r="AC19" s="84"/>
      <c r="AD19" s="84"/>
      <c r="AE19" s="84"/>
      <c r="AF19" s="84"/>
      <c r="AG19" s="84"/>
      <c r="AH19" s="85"/>
      <c r="AN19" s="23"/>
      <c r="AO19"/>
    </row>
    <row r="20" spans="2:41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3</v>
      </c>
      <c r="R20" s="96"/>
      <c r="S20" s="97"/>
      <c r="T20" s="98">
        <f t="shared" si="0"/>
        <v>0</v>
      </c>
      <c r="U20" s="84"/>
      <c r="V20" s="84"/>
      <c r="W20" s="99">
        <f t="shared" si="1"/>
        <v>3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  <c r="AN20" s="23"/>
      <c r="AO20"/>
    </row>
    <row r="21" spans="2:41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2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2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  <c r="AN21" s="23"/>
      <c r="AO21"/>
    </row>
    <row r="22" spans="2:41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12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12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  <c r="AN22" s="23"/>
      <c r="AO22"/>
    </row>
    <row r="23" spans="2:41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3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3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  <c r="AN23" s="23"/>
      <c r="AO23"/>
    </row>
    <row r="24" spans="2:41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  <c r="AN24"/>
      <c r="AO24"/>
    </row>
    <row r="25" spans="2:41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118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41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34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41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41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41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41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41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41" ht="13.5" customHeight="1" x14ac:dyDescent="0.15">
      <c r="B32" s="319" t="s">
        <v>0</v>
      </c>
      <c r="C32" s="272" t="str">
        <f>C4</f>
        <v>등록번호</v>
      </c>
      <c r="D32" s="237"/>
      <c r="E32" s="237"/>
      <c r="F32" s="273"/>
      <c r="G32" s="322"/>
      <c r="H32" s="323"/>
      <c r="I32" s="323"/>
      <c r="J32" s="323"/>
      <c r="K32" s="323"/>
      <c r="L32" s="323"/>
      <c r="M32" s="323"/>
      <c r="N32" s="323"/>
      <c r="O32" s="323"/>
      <c r="P32" s="324"/>
      <c r="Q32" s="205" t="s">
        <v>2</v>
      </c>
      <c r="R32" s="281" t="s">
        <v>3</v>
      </c>
      <c r="S32" s="229"/>
      <c r="T32" s="229"/>
      <c r="U32" s="282"/>
      <c r="V32" s="286" t="str">
        <f>V4</f>
        <v>397-85-00686</v>
      </c>
      <c r="W32" s="287"/>
      <c r="X32" s="287"/>
      <c r="Y32" s="287"/>
      <c r="Z32" s="287"/>
      <c r="AA32" s="287"/>
      <c r="AB32" s="287"/>
      <c r="AC32" s="287"/>
      <c r="AD32" s="287"/>
      <c r="AE32" s="287"/>
      <c r="AF32" s="287"/>
      <c r="AG32" s="287"/>
      <c r="AH32" s="288"/>
    </row>
    <row r="33" spans="2:34" ht="13.5" customHeight="1" x14ac:dyDescent="0.15">
      <c r="B33" s="320"/>
      <c r="C33" s="274"/>
      <c r="D33" s="275"/>
      <c r="E33" s="275"/>
      <c r="F33" s="276"/>
      <c r="G33" s="325"/>
      <c r="H33" s="326"/>
      <c r="I33" s="326"/>
      <c r="J33" s="326"/>
      <c r="K33" s="326"/>
      <c r="L33" s="326"/>
      <c r="M33" s="326"/>
      <c r="N33" s="326"/>
      <c r="O33" s="326"/>
      <c r="P33" s="327"/>
      <c r="Q33" s="279"/>
      <c r="R33" s="283"/>
      <c r="S33" s="284"/>
      <c r="T33" s="284"/>
      <c r="U33" s="285"/>
      <c r="V33" s="289"/>
      <c r="W33" s="290"/>
      <c r="X33" s="290"/>
      <c r="Y33" s="290"/>
      <c r="Z33" s="290"/>
      <c r="AA33" s="290"/>
      <c r="AB33" s="290"/>
      <c r="AC33" s="290"/>
      <c r="AD33" s="290"/>
      <c r="AE33" s="290"/>
      <c r="AF33" s="290"/>
      <c r="AG33" s="290"/>
      <c r="AH33" s="291"/>
    </row>
    <row r="34" spans="2:34" ht="13.5" customHeight="1" x14ac:dyDescent="0.15">
      <c r="B34" s="320"/>
      <c r="C34" s="272" t="str">
        <f>C6</f>
        <v>상 호
(법인명)</v>
      </c>
      <c r="D34" s="237"/>
      <c r="E34" s="237"/>
      <c r="F34" s="273"/>
      <c r="G34" s="189" t="str">
        <f>G6</f>
        <v>CU (BGF)</v>
      </c>
      <c r="H34" s="190"/>
      <c r="I34" s="190"/>
      <c r="J34" s="190"/>
      <c r="K34" s="191"/>
      <c r="L34" s="189" t="str">
        <f>L6</f>
        <v>BGF로지스화성</v>
      </c>
      <c r="M34" s="190"/>
      <c r="N34" s="190"/>
      <c r="O34" s="190"/>
      <c r="P34" s="191"/>
      <c r="Q34" s="279"/>
      <c r="R34" s="272" t="s">
        <v>1</v>
      </c>
      <c r="S34" s="237"/>
      <c r="T34" s="237"/>
      <c r="U34" s="273"/>
      <c r="V34" s="297" t="str">
        <f>V6</f>
        <v>㈜대신에프에스</v>
      </c>
      <c r="W34" s="298"/>
      <c r="X34" s="298"/>
      <c r="Y34" s="298"/>
      <c r="Z34" s="298"/>
      <c r="AA34" s="299"/>
      <c r="AB34" s="281" t="s">
        <v>5</v>
      </c>
      <c r="AC34" s="282"/>
      <c r="AD34" s="297" t="str">
        <f>AD6</f>
        <v>신판철</v>
      </c>
      <c r="AE34" s="298"/>
      <c r="AF34" s="298"/>
      <c r="AG34" s="298"/>
      <c r="AH34" s="303"/>
    </row>
    <row r="35" spans="2:34" x14ac:dyDescent="0.15">
      <c r="B35" s="320"/>
      <c r="C35" s="274"/>
      <c r="D35" s="275"/>
      <c r="E35" s="275"/>
      <c r="F35" s="276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279"/>
      <c r="R35" s="274"/>
      <c r="S35" s="275"/>
      <c r="T35" s="275"/>
      <c r="U35" s="276"/>
      <c r="V35" s="300"/>
      <c r="W35" s="301"/>
      <c r="X35" s="301"/>
      <c r="Y35" s="301"/>
      <c r="Z35" s="301"/>
      <c r="AA35" s="302"/>
      <c r="AB35" s="283"/>
      <c r="AC35" s="285"/>
      <c r="AD35" s="300"/>
      <c r="AE35" s="301"/>
      <c r="AF35" s="301"/>
      <c r="AG35" s="301"/>
      <c r="AH35" s="304"/>
    </row>
    <row r="36" spans="2:34" ht="13.5" customHeight="1" x14ac:dyDescent="0.15">
      <c r="B36" s="320"/>
      <c r="C36" s="272" t="s">
        <v>4</v>
      </c>
      <c r="D36" s="237"/>
      <c r="E36" s="237"/>
      <c r="F36" s="273"/>
      <c r="G36" s="337" t="str">
        <f>G8</f>
        <v>경기도 화성시 팔탄면 
시청로721번길 25</v>
      </c>
      <c r="H36" s="338"/>
      <c r="I36" s="338"/>
      <c r="J36" s="338"/>
      <c r="K36" s="338"/>
      <c r="L36" s="338"/>
      <c r="M36" s="338"/>
      <c r="N36" s="338"/>
      <c r="O36" s="338"/>
      <c r="P36" s="339"/>
      <c r="Q36" s="279"/>
      <c r="R36" s="272" t="s">
        <v>4</v>
      </c>
      <c r="S36" s="237"/>
      <c r="T36" s="237"/>
      <c r="U36" s="273"/>
      <c r="V36" s="189" t="str">
        <f>V8</f>
        <v>전라북도 부안군 행안면 옥여길 32-76</v>
      </c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277"/>
    </row>
    <row r="37" spans="2:34" x14ac:dyDescent="0.15">
      <c r="B37" s="320"/>
      <c r="C37" s="274"/>
      <c r="D37" s="275"/>
      <c r="E37" s="275"/>
      <c r="F37" s="276"/>
      <c r="G37" s="340"/>
      <c r="H37" s="341"/>
      <c r="I37" s="341"/>
      <c r="J37" s="341"/>
      <c r="K37" s="341"/>
      <c r="L37" s="341"/>
      <c r="M37" s="341"/>
      <c r="N37" s="341"/>
      <c r="O37" s="341"/>
      <c r="P37" s="342"/>
      <c r="Q37" s="279"/>
      <c r="R37" s="274"/>
      <c r="S37" s="275"/>
      <c r="T37" s="275"/>
      <c r="U37" s="276"/>
      <c r="V37" s="192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278"/>
    </row>
    <row r="38" spans="2:34" ht="13.5" customHeight="1" x14ac:dyDescent="0.15">
      <c r="B38" s="320"/>
      <c r="C38" s="272" t="s">
        <v>6</v>
      </c>
      <c r="D38" s="237"/>
      <c r="E38" s="237"/>
      <c r="F38" s="273"/>
      <c r="G38" s="328"/>
      <c r="H38" s="329"/>
      <c r="I38" s="329"/>
      <c r="J38" s="329"/>
      <c r="K38" s="329"/>
      <c r="L38" s="329"/>
      <c r="M38" s="329"/>
      <c r="N38" s="329"/>
      <c r="O38" s="329"/>
      <c r="P38" s="330"/>
      <c r="Q38" s="279"/>
      <c r="R38" s="281" t="s">
        <v>11</v>
      </c>
      <c r="S38" s="229"/>
      <c r="T38" s="229"/>
      <c r="U38" s="282"/>
      <c r="V38" s="312" t="str">
        <f>V10</f>
        <v>도매및 소매업</v>
      </c>
      <c r="W38" s="313"/>
      <c r="X38" s="313"/>
      <c r="Y38" s="313"/>
      <c r="Z38" s="313"/>
      <c r="AA38" s="335"/>
      <c r="AB38" s="281" t="str">
        <f>AB10</f>
        <v>종 목</v>
      </c>
      <c r="AC38" s="282"/>
      <c r="AD38" s="312" t="str">
        <f>AD10</f>
        <v xml:space="preserve">빵 과자류 </v>
      </c>
      <c r="AE38" s="313"/>
      <c r="AF38" s="313"/>
      <c r="AG38" s="313"/>
      <c r="AH38" s="314"/>
    </row>
    <row r="39" spans="2:34" x14ac:dyDescent="0.15">
      <c r="B39" s="321"/>
      <c r="C39" s="274"/>
      <c r="D39" s="275"/>
      <c r="E39" s="275"/>
      <c r="F39" s="276"/>
      <c r="G39" s="331"/>
      <c r="H39" s="332"/>
      <c r="I39" s="332"/>
      <c r="J39" s="332"/>
      <c r="K39" s="332"/>
      <c r="L39" s="332"/>
      <c r="M39" s="332"/>
      <c r="N39" s="332"/>
      <c r="O39" s="332"/>
      <c r="P39" s="333"/>
      <c r="Q39" s="280"/>
      <c r="R39" s="310"/>
      <c r="S39" s="334"/>
      <c r="T39" s="334"/>
      <c r="U39" s="311"/>
      <c r="V39" s="315"/>
      <c r="W39" s="316"/>
      <c r="X39" s="316"/>
      <c r="Y39" s="316"/>
      <c r="Z39" s="316"/>
      <c r="AA39" s="336"/>
      <c r="AB39" s="310"/>
      <c r="AC39" s="311"/>
      <c r="AD39" s="315"/>
      <c r="AE39" s="316"/>
      <c r="AF39" s="316"/>
      <c r="AG39" s="316"/>
      <c r="AH39" s="317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305" t="s">
        <v>9</v>
      </c>
      <c r="F40" s="306"/>
      <c r="G40" s="306"/>
      <c r="H40" s="306"/>
      <c r="I40" s="306"/>
      <c r="J40" s="306"/>
      <c r="K40" s="306"/>
      <c r="L40" s="307"/>
      <c r="M40" s="308" t="s">
        <v>14</v>
      </c>
      <c r="N40" s="309"/>
      <c r="O40" s="309"/>
      <c r="P40" s="219"/>
      <c r="Q40" s="292" t="s">
        <v>17</v>
      </c>
      <c r="R40" s="293"/>
      <c r="S40" s="294"/>
      <c r="T40" s="292" t="s">
        <v>18</v>
      </c>
      <c r="U40" s="293"/>
      <c r="V40" s="294"/>
      <c r="W40" s="308" t="s">
        <v>19</v>
      </c>
      <c r="X40" s="309"/>
      <c r="Y40" s="309"/>
      <c r="Z40" s="219"/>
      <c r="AA40" s="308" t="s">
        <v>16</v>
      </c>
      <c r="AB40" s="309"/>
      <c r="AC40" s="309"/>
      <c r="AD40" s="309"/>
      <c r="AE40" s="309"/>
      <c r="AF40" s="309"/>
      <c r="AG40" s="309"/>
      <c r="AH40" s="318"/>
    </row>
    <row r="41" spans="2:34" ht="21" customHeight="1" x14ac:dyDescent="0.15">
      <c r="B41" s="222">
        <f>B13</f>
        <v>46315</v>
      </c>
      <c r="C41" s="270"/>
      <c r="D41" s="271"/>
      <c r="E41" s="295" t="str">
        <f>E13</f>
        <v>도)깐풍기&amp;표고탕수1</v>
      </c>
      <c r="F41" s="223"/>
      <c r="G41" s="223"/>
      <c r="H41" s="223"/>
      <c r="I41" s="223"/>
      <c r="J41" s="223"/>
      <c r="K41" s="223"/>
      <c r="L41" s="296"/>
      <c r="M41" s="254">
        <f>M13</f>
        <v>36</v>
      </c>
      <c r="N41" s="255"/>
      <c r="O41" s="255"/>
      <c r="P41" s="224"/>
      <c r="Q41" s="256">
        <f>Q13</f>
        <v>1</v>
      </c>
      <c r="R41" s="257"/>
      <c r="S41" s="258"/>
      <c r="T41" s="259">
        <f>T13</f>
        <v>0</v>
      </c>
      <c r="U41" s="260"/>
      <c r="V41" s="242"/>
      <c r="W41" s="261">
        <f>W13</f>
        <v>1</v>
      </c>
      <c r="X41" s="262"/>
      <c r="Y41" s="262"/>
      <c r="Z41" s="263"/>
      <c r="AA41" s="268">
        <f>AA13</f>
        <v>46321</v>
      </c>
      <c r="AB41" s="260"/>
      <c r="AC41" s="260"/>
      <c r="AD41" s="260"/>
      <c r="AE41" s="260"/>
      <c r="AF41" s="260"/>
      <c r="AG41" s="260"/>
      <c r="AH41" s="269"/>
    </row>
    <row r="42" spans="2:34" ht="21" customHeight="1" x14ac:dyDescent="0.15">
      <c r="B42" s="20"/>
      <c r="C42" s="21"/>
      <c r="D42" s="22"/>
      <c r="E42" s="295" t="str">
        <f t="shared" ref="E42:E51" si="12">E14</f>
        <v>도)딥핑치즈맵닭강정1</v>
      </c>
      <c r="F42" s="223"/>
      <c r="G42" s="223"/>
      <c r="H42" s="223"/>
      <c r="I42" s="223"/>
      <c r="J42" s="223"/>
      <c r="K42" s="223"/>
      <c r="L42" s="296"/>
      <c r="M42" s="254">
        <f t="shared" ref="M42:M51" si="13">M14</f>
        <v>0</v>
      </c>
      <c r="N42" s="255"/>
      <c r="O42" s="255"/>
      <c r="P42" s="224"/>
      <c r="Q42" s="256">
        <f t="shared" ref="Q42:Q51" si="14">Q14</f>
        <v>1</v>
      </c>
      <c r="R42" s="257"/>
      <c r="S42" s="258"/>
      <c r="T42" s="259" t="str">
        <f t="shared" ref="T42:T50" si="15">T14</f>
        <v/>
      </c>
      <c r="U42" s="260"/>
      <c r="V42" s="242"/>
      <c r="W42" s="261" t="str">
        <f t="shared" ref="W42:W51" si="16">W14</f>
        <v/>
      </c>
      <c r="X42" s="262"/>
      <c r="Y42" s="262"/>
      <c r="Z42" s="263"/>
      <c r="AA42" s="268" t="e">
        <f t="shared" ref="AA42:AA51" si="17">AA14</f>
        <v>#VALUE!</v>
      </c>
      <c r="AB42" s="260"/>
      <c r="AC42" s="260"/>
      <c r="AD42" s="260"/>
      <c r="AE42" s="260"/>
      <c r="AF42" s="260"/>
      <c r="AG42" s="260"/>
      <c r="AH42" s="269"/>
    </row>
    <row r="43" spans="2:34" ht="21" customHeight="1" x14ac:dyDescent="0.15">
      <c r="B43" s="20"/>
      <c r="C43" s="21"/>
      <c r="D43" s="22"/>
      <c r="E43" s="295" t="str">
        <f t="shared" si="12"/>
        <v>도)리얼모짜치즈돈까스1</v>
      </c>
      <c r="F43" s="223"/>
      <c r="G43" s="223"/>
      <c r="H43" s="223"/>
      <c r="I43" s="223"/>
      <c r="J43" s="223"/>
      <c r="K43" s="223"/>
      <c r="L43" s="296"/>
      <c r="M43" s="254">
        <f t="shared" si="13"/>
        <v>30</v>
      </c>
      <c r="N43" s="255"/>
      <c r="O43" s="255"/>
      <c r="P43" s="224"/>
      <c r="Q43" s="256">
        <f t="shared" si="14"/>
        <v>76</v>
      </c>
      <c r="R43" s="257"/>
      <c r="S43" s="258"/>
      <c r="T43" s="259">
        <f t="shared" si="15"/>
        <v>2</v>
      </c>
      <c r="U43" s="260"/>
      <c r="V43" s="242"/>
      <c r="W43" s="261">
        <f t="shared" si="16"/>
        <v>16</v>
      </c>
      <c r="X43" s="262"/>
      <c r="Y43" s="262"/>
      <c r="Z43" s="263"/>
      <c r="AA43" s="268">
        <f t="shared" si="17"/>
        <v>46320</v>
      </c>
      <c r="AB43" s="260"/>
      <c r="AC43" s="260"/>
      <c r="AD43" s="260"/>
      <c r="AE43" s="260"/>
      <c r="AF43" s="260"/>
      <c r="AG43" s="260"/>
      <c r="AH43" s="269"/>
    </row>
    <row r="44" spans="2:34" ht="21" customHeight="1" x14ac:dyDescent="0.15">
      <c r="B44" s="20"/>
      <c r="C44" s="21"/>
      <c r="D44" s="22"/>
      <c r="E44" s="295" t="str">
        <f t="shared" si="12"/>
        <v>도)리얼치즈고구마돈까스1</v>
      </c>
      <c r="F44" s="223"/>
      <c r="G44" s="223"/>
      <c r="H44" s="223"/>
      <c r="I44" s="223"/>
      <c r="J44" s="223"/>
      <c r="K44" s="223"/>
      <c r="L44" s="296"/>
      <c r="M44" s="254">
        <f t="shared" si="13"/>
        <v>30</v>
      </c>
      <c r="N44" s="255"/>
      <c r="O44" s="255"/>
      <c r="P44" s="224"/>
      <c r="Q44" s="256">
        <f t="shared" si="14"/>
        <v>3</v>
      </c>
      <c r="R44" s="257"/>
      <c r="S44" s="258"/>
      <c r="T44" s="259">
        <f t="shared" si="15"/>
        <v>0</v>
      </c>
      <c r="U44" s="260"/>
      <c r="V44" s="242"/>
      <c r="W44" s="261">
        <f t="shared" si="16"/>
        <v>3</v>
      </c>
      <c r="X44" s="262"/>
      <c r="Y44" s="262"/>
      <c r="Z44" s="263"/>
      <c r="AA44" s="268">
        <f t="shared" si="17"/>
        <v>46319</v>
      </c>
      <c r="AB44" s="260"/>
      <c r="AC44" s="260"/>
      <c r="AD44" s="260"/>
      <c r="AE44" s="260"/>
      <c r="AF44" s="260"/>
      <c r="AG44" s="260"/>
      <c r="AH44" s="269"/>
    </row>
    <row r="45" spans="2:34" ht="21" customHeight="1" x14ac:dyDescent="0.15">
      <c r="B45" s="20"/>
      <c r="C45" s="21"/>
      <c r="D45" s="22"/>
      <c r="E45" s="295" t="str">
        <f t="shared" si="12"/>
        <v>도)윙봉칠리탕수득템1</v>
      </c>
      <c r="F45" s="223"/>
      <c r="G45" s="223"/>
      <c r="H45" s="223"/>
      <c r="I45" s="223"/>
      <c r="J45" s="223"/>
      <c r="K45" s="223"/>
      <c r="L45" s="296"/>
      <c r="M45" s="254">
        <f t="shared" si="13"/>
        <v>36</v>
      </c>
      <c r="N45" s="255"/>
      <c r="O45" s="255"/>
      <c r="P45" s="224"/>
      <c r="Q45" s="256">
        <f t="shared" si="14"/>
        <v>12</v>
      </c>
      <c r="R45" s="257"/>
      <c r="S45" s="258"/>
      <c r="T45" s="259">
        <f t="shared" si="15"/>
        <v>0</v>
      </c>
      <c r="U45" s="260"/>
      <c r="V45" s="242"/>
      <c r="W45" s="261">
        <f t="shared" si="16"/>
        <v>12</v>
      </c>
      <c r="X45" s="262"/>
      <c r="Y45" s="262"/>
      <c r="Z45" s="263"/>
      <c r="AA45" s="268">
        <f t="shared" si="17"/>
        <v>46319</v>
      </c>
      <c r="AB45" s="260"/>
      <c r="AC45" s="260"/>
      <c r="AD45" s="260"/>
      <c r="AE45" s="260"/>
      <c r="AF45" s="260"/>
      <c r="AG45" s="260"/>
      <c r="AH45" s="269"/>
    </row>
    <row r="46" spans="2:34" ht="21" customHeight="1" x14ac:dyDescent="0.15">
      <c r="B46" s="20"/>
      <c r="C46" s="21"/>
      <c r="D46" s="22"/>
      <c r="E46" s="295" t="str">
        <f t="shared" si="12"/>
        <v>도)찍먹윙봉1</v>
      </c>
      <c r="F46" s="223"/>
      <c r="G46" s="223"/>
      <c r="H46" s="223"/>
      <c r="I46" s="223"/>
      <c r="J46" s="223"/>
      <c r="K46" s="223"/>
      <c r="L46" s="296"/>
      <c r="M46" s="254">
        <f t="shared" si="13"/>
        <v>36</v>
      </c>
      <c r="N46" s="255"/>
      <c r="O46" s="255"/>
      <c r="P46" s="224"/>
      <c r="Q46" s="256">
        <f t="shared" si="14"/>
        <v>3</v>
      </c>
      <c r="R46" s="257"/>
      <c r="S46" s="258"/>
      <c r="T46" s="259">
        <f t="shared" si="15"/>
        <v>0</v>
      </c>
      <c r="U46" s="260"/>
      <c r="V46" s="242"/>
      <c r="W46" s="261">
        <f t="shared" si="16"/>
        <v>3</v>
      </c>
      <c r="X46" s="262"/>
      <c r="Y46" s="262"/>
      <c r="Z46" s="263"/>
      <c r="AA46" s="268">
        <f t="shared" si="17"/>
        <v>46319</v>
      </c>
      <c r="AB46" s="260"/>
      <c r="AC46" s="260"/>
      <c r="AD46" s="260"/>
      <c r="AE46" s="260"/>
      <c r="AF46" s="260"/>
      <c r="AG46" s="260"/>
      <c r="AH46" s="269"/>
    </row>
    <row r="47" spans="2:34" ht="21" customHeight="1" x14ac:dyDescent="0.15">
      <c r="B47" s="25"/>
      <c r="C47" s="26"/>
      <c r="D47" s="27"/>
      <c r="E47" s="295" t="str">
        <f t="shared" si="12"/>
        <v>도)찍먹탕수육1</v>
      </c>
      <c r="F47" s="223"/>
      <c r="G47" s="223"/>
      <c r="H47" s="223"/>
      <c r="I47" s="223"/>
      <c r="J47" s="223"/>
      <c r="K47" s="223"/>
      <c r="L47" s="296"/>
      <c r="M47" s="254">
        <f t="shared" si="13"/>
        <v>36</v>
      </c>
      <c r="N47" s="255"/>
      <c r="O47" s="255"/>
      <c r="P47" s="224"/>
      <c r="Q47" s="256">
        <f t="shared" si="14"/>
        <v>2</v>
      </c>
      <c r="R47" s="257"/>
      <c r="S47" s="258"/>
      <c r="T47" s="259">
        <f t="shared" si="15"/>
        <v>0</v>
      </c>
      <c r="U47" s="260"/>
      <c r="V47" s="242"/>
      <c r="W47" s="261">
        <f t="shared" si="16"/>
        <v>2</v>
      </c>
      <c r="X47" s="262"/>
      <c r="Y47" s="262"/>
      <c r="Z47" s="263"/>
      <c r="AA47" s="268">
        <f t="shared" si="17"/>
        <v>46319</v>
      </c>
      <c r="AB47" s="260"/>
      <c r="AC47" s="260"/>
      <c r="AD47" s="260"/>
      <c r="AE47" s="260"/>
      <c r="AF47" s="260"/>
      <c r="AG47" s="260"/>
      <c r="AH47" s="269"/>
    </row>
    <row r="48" spans="2:34" ht="21" customHeight="1" x14ac:dyDescent="0.15">
      <c r="B48" s="25"/>
      <c r="C48" s="26"/>
      <c r="D48" s="27"/>
      <c r="E48" s="295" t="str">
        <f t="shared" si="12"/>
        <v>도)치맥아보트러플치킨1</v>
      </c>
      <c r="F48" s="223"/>
      <c r="G48" s="223"/>
      <c r="H48" s="223"/>
      <c r="I48" s="223"/>
      <c r="J48" s="223"/>
      <c r="K48" s="223"/>
      <c r="L48" s="296"/>
      <c r="M48" s="254">
        <f t="shared" si="13"/>
        <v>32</v>
      </c>
      <c r="N48" s="255"/>
      <c r="O48" s="255"/>
      <c r="P48" s="224"/>
      <c r="Q48" s="256">
        <f t="shared" si="14"/>
        <v>3</v>
      </c>
      <c r="R48" s="257"/>
      <c r="S48" s="258"/>
      <c r="T48" s="259">
        <f t="shared" si="15"/>
        <v>0</v>
      </c>
      <c r="U48" s="260"/>
      <c r="V48" s="242"/>
      <c r="W48" s="261">
        <f t="shared" si="16"/>
        <v>3</v>
      </c>
      <c r="X48" s="262"/>
      <c r="Y48" s="262"/>
      <c r="Z48" s="263"/>
      <c r="AA48" s="268">
        <f t="shared" si="17"/>
        <v>46320</v>
      </c>
      <c r="AB48" s="260"/>
      <c r="AC48" s="260"/>
      <c r="AD48" s="260"/>
      <c r="AE48" s="260"/>
      <c r="AF48" s="260"/>
      <c r="AG48" s="260"/>
      <c r="AH48" s="269"/>
    </row>
    <row r="49" spans="2:34" ht="21" customHeight="1" x14ac:dyDescent="0.15">
      <c r="B49" s="25"/>
      <c r="C49" s="26"/>
      <c r="D49" s="27"/>
      <c r="E49" s="295" t="str">
        <f t="shared" si="12"/>
        <v>도)치즈매콤닭강정감자1</v>
      </c>
      <c r="F49" s="223"/>
      <c r="G49" s="223"/>
      <c r="H49" s="223"/>
      <c r="I49" s="223"/>
      <c r="J49" s="223"/>
      <c r="K49" s="223"/>
      <c r="L49" s="296"/>
      <c r="M49" s="254">
        <f t="shared" si="13"/>
        <v>30</v>
      </c>
      <c r="N49" s="255"/>
      <c r="O49" s="255"/>
      <c r="P49" s="224"/>
      <c r="Q49" s="256">
        <f t="shared" si="14"/>
        <v>2</v>
      </c>
      <c r="R49" s="257"/>
      <c r="S49" s="258"/>
      <c r="T49" s="259">
        <f t="shared" si="15"/>
        <v>0</v>
      </c>
      <c r="U49" s="260"/>
      <c r="V49" s="242"/>
      <c r="W49" s="261">
        <f t="shared" si="16"/>
        <v>2</v>
      </c>
      <c r="X49" s="262"/>
      <c r="Y49" s="262"/>
      <c r="Z49" s="263"/>
      <c r="AA49" s="268">
        <f t="shared" si="17"/>
        <v>46319</v>
      </c>
      <c r="AB49" s="260"/>
      <c r="AC49" s="260"/>
      <c r="AD49" s="260"/>
      <c r="AE49" s="260"/>
      <c r="AF49" s="260"/>
      <c r="AG49" s="260"/>
      <c r="AH49" s="269"/>
    </row>
    <row r="50" spans="2:34" ht="21" customHeight="1" x14ac:dyDescent="0.15">
      <c r="B50" s="25"/>
      <c r="C50" s="26"/>
      <c r="D50" s="27"/>
      <c r="E50" s="295" t="str">
        <f t="shared" si="12"/>
        <v>도)치즈청양간장닭강정1</v>
      </c>
      <c r="F50" s="223"/>
      <c r="G50" s="223"/>
      <c r="H50" s="223"/>
      <c r="I50" s="223"/>
      <c r="J50" s="223"/>
      <c r="K50" s="223"/>
      <c r="L50" s="296"/>
      <c r="M50" s="254">
        <f t="shared" si="13"/>
        <v>30</v>
      </c>
      <c r="N50" s="255"/>
      <c r="O50" s="255"/>
      <c r="P50" s="224"/>
      <c r="Q50" s="256">
        <f t="shared" si="14"/>
        <v>12</v>
      </c>
      <c r="R50" s="257"/>
      <c r="S50" s="258"/>
      <c r="T50" s="259">
        <f t="shared" si="15"/>
        <v>0</v>
      </c>
      <c r="U50" s="260"/>
      <c r="V50" s="242"/>
      <c r="W50" s="261">
        <f t="shared" si="16"/>
        <v>12</v>
      </c>
      <c r="X50" s="262"/>
      <c r="Y50" s="262"/>
      <c r="Z50" s="263"/>
      <c r="AA50" s="268">
        <f t="shared" si="17"/>
        <v>46319</v>
      </c>
      <c r="AB50" s="260"/>
      <c r="AC50" s="260"/>
      <c r="AD50" s="260"/>
      <c r="AE50" s="260"/>
      <c r="AF50" s="260"/>
      <c r="AG50" s="260"/>
      <c r="AH50" s="269"/>
    </row>
    <row r="51" spans="2:34" ht="21" customHeight="1" x14ac:dyDescent="0.15">
      <c r="B51" s="25"/>
      <c r="C51" s="26"/>
      <c r="D51" s="27"/>
      <c r="E51" s="295" t="str">
        <f t="shared" si="12"/>
        <v>도)쿵야반반닭강정팩1</v>
      </c>
      <c r="F51" s="223"/>
      <c r="G51" s="223"/>
      <c r="H51" s="223"/>
      <c r="I51" s="223"/>
      <c r="J51" s="223"/>
      <c r="K51" s="223"/>
      <c r="L51" s="296"/>
      <c r="M51" s="254">
        <f t="shared" si="13"/>
        <v>36</v>
      </c>
      <c r="N51" s="255"/>
      <c r="O51" s="255"/>
      <c r="P51" s="224"/>
      <c r="Q51" s="256">
        <f t="shared" si="14"/>
        <v>3</v>
      </c>
      <c r="R51" s="257"/>
      <c r="S51" s="258"/>
      <c r="T51" s="259">
        <f>T23</f>
        <v>0</v>
      </c>
      <c r="U51" s="260"/>
      <c r="V51" s="242"/>
      <c r="W51" s="261">
        <f t="shared" si="16"/>
        <v>3</v>
      </c>
      <c r="X51" s="262"/>
      <c r="Y51" s="262"/>
      <c r="Z51" s="263"/>
      <c r="AA51" s="268">
        <f t="shared" si="17"/>
        <v>46320</v>
      </c>
      <c r="AB51" s="260"/>
      <c r="AC51" s="260"/>
      <c r="AD51" s="260"/>
      <c r="AE51" s="260"/>
      <c r="AF51" s="260"/>
      <c r="AG51" s="260"/>
      <c r="AH51" s="269"/>
    </row>
    <row r="52" spans="2:34" ht="21" customHeight="1" x14ac:dyDescent="0.15">
      <c r="B52" s="20"/>
      <c r="C52" s="21"/>
      <c r="D52" s="22"/>
      <c r="E52" s="295"/>
      <c r="F52" s="223"/>
      <c r="G52" s="223"/>
      <c r="H52" s="223"/>
      <c r="I52" s="223"/>
      <c r="J52" s="223"/>
      <c r="K52" s="223"/>
      <c r="L52" s="296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59"/>
      <c r="AB52" s="260"/>
      <c r="AC52" s="260"/>
      <c r="AD52" s="260"/>
      <c r="AE52" s="260"/>
      <c r="AF52" s="260"/>
      <c r="AG52" s="260"/>
      <c r="AH52" s="269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118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100000000000001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경기도 화성시 팔탄면 시청로721번길 25
031)352-4535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100000000000001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E12:L12"/>
    <mergeCell ref="M12:P12"/>
    <mergeCell ref="Q12:S12"/>
    <mergeCell ref="T12:V12"/>
    <mergeCell ref="W12:Z12"/>
    <mergeCell ref="AA12:AH12"/>
    <mergeCell ref="Q19:S19"/>
    <mergeCell ref="M20:P20"/>
    <mergeCell ref="AA20:AH20"/>
    <mergeCell ref="E19:L19"/>
    <mergeCell ref="M19:P19"/>
    <mergeCell ref="AA13:AH13"/>
    <mergeCell ref="T18:V18"/>
    <mergeCell ref="W18:Z18"/>
    <mergeCell ref="AA18:AH18"/>
    <mergeCell ref="E15:L15"/>
    <mergeCell ref="M15:P15"/>
    <mergeCell ref="Q15:S15"/>
    <mergeCell ref="T15:V15"/>
    <mergeCell ref="W15:Z15"/>
    <mergeCell ref="AA15:AH15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32:B39"/>
    <mergeCell ref="C32:F33"/>
    <mergeCell ref="G32:P33"/>
    <mergeCell ref="B13:D13"/>
    <mergeCell ref="E13:L13"/>
    <mergeCell ref="M13:P13"/>
    <mergeCell ref="Q13:S13"/>
    <mergeCell ref="T13:V13"/>
    <mergeCell ref="W13:Z13"/>
    <mergeCell ref="E18:L18"/>
    <mergeCell ref="M18:P18"/>
    <mergeCell ref="Q18:S18"/>
    <mergeCell ref="E23:L23"/>
    <mergeCell ref="M23:P23"/>
    <mergeCell ref="Q23:S23"/>
    <mergeCell ref="T23:V23"/>
    <mergeCell ref="W23:Z23"/>
    <mergeCell ref="E25:L25"/>
    <mergeCell ref="M25:Z25"/>
    <mergeCell ref="G38:P39"/>
    <mergeCell ref="R38:U39"/>
    <mergeCell ref="V38:AA39"/>
    <mergeCell ref="C36:F37"/>
    <mergeCell ref="G36:P37"/>
    <mergeCell ref="M41:P41"/>
    <mergeCell ref="Q41:S41"/>
    <mergeCell ref="T41:V41"/>
    <mergeCell ref="AA50:AH50"/>
    <mergeCell ref="E47:L47"/>
    <mergeCell ref="M47:P47"/>
    <mergeCell ref="Q47:S47"/>
    <mergeCell ref="T47:V47"/>
    <mergeCell ref="W47:Z47"/>
    <mergeCell ref="T46:V46"/>
    <mergeCell ref="AA43:AH43"/>
    <mergeCell ref="M43:P43"/>
    <mergeCell ref="Q43:S43"/>
    <mergeCell ref="AA48:AH48"/>
    <mergeCell ref="AA45:AH45"/>
    <mergeCell ref="W45:Z45"/>
    <mergeCell ref="W48:Z48"/>
    <mergeCell ref="E44:L44"/>
    <mergeCell ref="M44:P44"/>
    <mergeCell ref="Q44:S44"/>
    <mergeCell ref="T44:V44"/>
    <mergeCell ref="W44:Z44"/>
    <mergeCell ref="E50:L50"/>
    <mergeCell ref="M50:P50"/>
    <mergeCell ref="B54:V55"/>
    <mergeCell ref="W54:AH55"/>
    <mergeCell ref="T51:V51"/>
    <mergeCell ref="E52:L52"/>
    <mergeCell ref="M52:P52"/>
    <mergeCell ref="Q52:S52"/>
    <mergeCell ref="T52:V52"/>
    <mergeCell ref="W52:Z52"/>
    <mergeCell ref="AA52:AH52"/>
    <mergeCell ref="W51:Z51"/>
    <mergeCell ref="AA51:AH51"/>
    <mergeCell ref="E51:L51"/>
    <mergeCell ref="AA53:AH53"/>
    <mergeCell ref="M51:P51"/>
    <mergeCell ref="B53:D53"/>
    <mergeCell ref="E53:L53"/>
    <mergeCell ref="M53:Z53"/>
    <mergeCell ref="Q51:S51"/>
    <mergeCell ref="Q50:S50"/>
    <mergeCell ref="T50:V50"/>
    <mergeCell ref="W50:Z50"/>
    <mergeCell ref="W46:Z46"/>
    <mergeCell ref="E45:L45"/>
    <mergeCell ref="M45:P45"/>
    <mergeCell ref="Q45:S45"/>
    <mergeCell ref="T45:V45"/>
    <mergeCell ref="E48:L48"/>
    <mergeCell ref="M48:P48"/>
    <mergeCell ref="Q48:S48"/>
    <mergeCell ref="E49:L49"/>
    <mergeCell ref="M49:P49"/>
    <mergeCell ref="V34:AA35"/>
    <mergeCell ref="AB34:AC35"/>
    <mergeCell ref="AD34:AH35"/>
    <mergeCell ref="E40:L40"/>
    <mergeCell ref="M40:P40"/>
    <mergeCell ref="AB38:AC39"/>
    <mergeCell ref="AD38:AH39"/>
    <mergeCell ref="G34:K35"/>
    <mergeCell ref="R34:U35"/>
    <mergeCell ref="T40:V40"/>
    <mergeCell ref="W40:Z40"/>
    <mergeCell ref="AA40:AH40"/>
    <mergeCell ref="AA46:AH46"/>
    <mergeCell ref="Q49:S49"/>
    <mergeCell ref="T49:V49"/>
    <mergeCell ref="W49:Z49"/>
    <mergeCell ref="AA47:AH47"/>
    <mergeCell ref="E43:L43"/>
    <mergeCell ref="T48:V48"/>
    <mergeCell ref="E46:L46"/>
    <mergeCell ref="M46:P46"/>
    <mergeCell ref="Q46:S46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T19:V19"/>
    <mergeCell ref="W19:Z19"/>
    <mergeCell ref="E20:L20"/>
    <mergeCell ref="AA19:AH19"/>
    <mergeCell ref="AA49:AH49"/>
    <mergeCell ref="R36:U37"/>
    <mergeCell ref="V36:AH37"/>
    <mergeCell ref="Q32:Q39"/>
    <mergeCell ref="R32:U33"/>
    <mergeCell ref="V32:AH33"/>
    <mergeCell ref="C34:F35"/>
    <mergeCell ref="C38:F39"/>
    <mergeCell ref="W24:Z24"/>
    <mergeCell ref="W26:AH27"/>
    <mergeCell ref="E24:L24"/>
    <mergeCell ref="AA24:AH24"/>
    <mergeCell ref="Q40:S40"/>
    <mergeCell ref="W43:Z43"/>
    <mergeCell ref="T43:V43"/>
    <mergeCell ref="E41:L41"/>
    <mergeCell ref="W41:Z41"/>
    <mergeCell ref="AA23:AH23"/>
    <mergeCell ref="M24:P24"/>
    <mergeCell ref="Q24:S24"/>
    <mergeCell ref="B30:AH31"/>
    <mergeCell ref="B25:D25"/>
    <mergeCell ref="AA25:AH25"/>
    <mergeCell ref="B26:V27"/>
    <mergeCell ref="AA44:AH44"/>
    <mergeCell ref="L34:P35"/>
    <mergeCell ref="Q20:S20"/>
    <mergeCell ref="T20:V20"/>
    <mergeCell ref="W20:Z20"/>
    <mergeCell ref="T24:V24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2:L22"/>
    <mergeCell ref="M22:P22"/>
    <mergeCell ref="Q22:S22"/>
    <mergeCell ref="AA41:AH41"/>
    <mergeCell ref="B41:D41"/>
  </mergeCells>
  <phoneticPr fontId="2" type="noConversion"/>
  <conditionalFormatting sqref="AA13:AH13">
    <cfRule type="expression" dxfId="355" priority="1931">
      <formula>Q13:S27=0</formula>
    </cfRule>
  </conditionalFormatting>
  <conditionalFormatting sqref="AA15:AH15">
    <cfRule type="expression" dxfId="354" priority="11">
      <formula>Q15:S27=0</formula>
    </cfRule>
  </conditionalFormatting>
  <conditionalFormatting sqref="AA16:AH19 AA43:AH51">
    <cfRule type="expression" dxfId="353" priority="6">
      <formula>Q16:S26=0</formula>
    </cfRule>
  </conditionalFormatting>
  <conditionalFormatting sqref="AA20:AH21">
    <cfRule type="expression" dxfId="352" priority="4">
      <formula>Q20:S29=0</formula>
    </cfRule>
  </conditionalFormatting>
  <conditionalFormatting sqref="AA22:AH22">
    <cfRule type="expression" dxfId="351" priority="2700">
      <formula>Q22:S30=0</formula>
    </cfRule>
  </conditionalFormatting>
  <conditionalFormatting sqref="AA23:AH24">
    <cfRule type="expression" dxfId="350" priority="2876">
      <formula>Q23:S30=0</formula>
    </cfRule>
  </conditionalFormatting>
  <conditionalFormatting sqref="AA52:AH52">
    <cfRule type="expression" dxfId="349" priority="2957">
      <formula>Q52:S52=0</formula>
    </cfRule>
  </conditionalFormatting>
  <conditionalFormatting sqref="AA41:AH41">
    <cfRule type="expression" dxfId="348" priority="3117">
      <formula>Q41:S52=0</formula>
    </cfRule>
  </conditionalFormatting>
  <conditionalFormatting sqref="AA14:AH14">
    <cfRule type="expression" dxfId="33" priority="2">
      <formula>Q14:S26=0</formula>
    </cfRule>
  </conditionalFormatting>
  <conditionalFormatting sqref="AA42:AH42">
    <cfRule type="expression" dxfId="13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3F25D59F-0F3C-4BCB-B88D-2D5743064222}"/>
  </dataValidations>
  <printOptions horizontalCentered="1"/>
  <pageMargins left="0" right="0" top="0.11811023622047245" bottom="0" header="0" footer="0"/>
  <pageSetup paperSize="9" scale="8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DEC7-587B-4B01-B23B-21D752C16AF0}">
  <sheetPr>
    <pageSetUpPr fitToPage="1"/>
  </sheetPr>
  <dimension ref="B1:AO55"/>
  <sheetViews>
    <sheetView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39" width="2.33203125" style="1"/>
    <col min="40" max="40" width="20.88671875" style="1" bestFit="1" customWidth="1"/>
    <col min="41" max="41" width="3.5546875" style="1" bestFit="1" customWidth="1"/>
    <col min="42" max="43" width="2.33203125" style="1"/>
    <col min="44" max="44" width="5.6640625" style="1" bestFit="1" customWidth="1"/>
    <col min="45" max="46" width="2.33203125" style="1"/>
    <col min="47" max="47" width="5.6640625" style="1" bestFit="1" customWidth="1"/>
    <col min="48" max="16384" width="2.33203125" style="1"/>
  </cols>
  <sheetData>
    <row r="1" spans="2:41" ht="14.25" thickBot="1" x14ac:dyDescent="0.2">
      <c r="B1" s="3" t="s">
        <v>35</v>
      </c>
    </row>
    <row r="2" spans="2:41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41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41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41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41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35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41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41" x14ac:dyDescent="0.15">
      <c r="B8" s="110"/>
      <c r="C8" s="113" t="s">
        <v>4</v>
      </c>
      <c r="D8" s="121"/>
      <c r="E8" s="121"/>
      <c r="F8" s="121"/>
      <c r="G8" s="148" t="s">
        <v>36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41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41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41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41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41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1</v>
      </c>
      <c r="R13" s="96"/>
      <c r="S13" s="97"/>
      <c r="T13" s="98">
        <f t="shared" ref="T13:T23" si="0">IFERROR(ROUNDDOWN(Q13/M13,0),"")</f>
        <v>0</v>
      </c>
      <c r="U13" s="84"/>
      <c r="V13" s="84"/>
      <c r="W13" s="99">
        <f t="shared" ref="W13:W23" si="1">IFERROR(Q13-(T13*M13),"")</f>
        <v>1</v>
      </c>
      <c r="X13" s="100"/>
      <c r="Y13" s="100"/>
      <c r="Z13" s="101"/>
      <c r="AA13" s="153">
        <f>B13+6</f>
        <v>46321</v>
      </c>
      <c r="AB13" s="84"/>
      <c r="AC13" s="84"/>
      <c r="AD13" s="84"/>
      <c r="AE13" s="84"/>
      <c r="AF13" s="84"/>
      <c r="AG13" s="84"/>
      <c r="AH13" s="85"/>
      <c r="AN13" s="23"/>
      <c r="AO13"/>
    </row>
    <row r="14" spans="2:41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1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153" t="e">
        <f>B12+5</f>
        <v>#VALUE!</v>
      </c>
      <c r="AB14" s="84"/>
      <c r="AC14" s="84"/>
      <c r="AD14" s="84"/>
      <c r="AE14" s="84"/>
      <c r="AF14" s="84"/>
      <c r="AG14" s="84"/>
      <c r="AH14" s="85"/>
      <c r="AN14" s="23"/>
      <c r="AO14"/>
    </row>
    <row r="15" spans="2:41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84</v>
      </c>
      <c r="R15" s="96"/>
      <c r="S15" s="97"/>
      <c r="T15" s="98">
        <f t="shared" si="0"/>
        <v>2</v>
      </c>
      <c r="U15" s="84"/>
      <c r="V15" s="84"/>
      <c r="W15" s="99">
        <f t="shared" si="1"/>
        <v>24</v>
      </c>
      <c r="X15" s="100"/>
      <c r="Y15" s="100"/>
      <c r="Z15" s="101"/>
      <c r="AA15" s="153">
        <f>B13+5</f>
        <v>46320</v>
      </c>
      <c r="AB15" s="84"/>
      <c r="AC15" s="84"/>
      <c r="AD15" s="84"/>
      <c r="AE15" s="84"/>
      <c r="AF15" s="84"/>
      <c r="AG15" s="84"/>
      <c r="AH15" s="85"/>
      <c r="AN15" s="23"/>
      <c r="AO15"/>
    </row>
    <row r="16" spans="2:41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10</v>
      </c>
      <c r="R16" s="96"/>
      <c r="S16" s="97"/>
      <c r="T16" s="98">
        <f t="shared" si="0"/>
        <v>0</v>
      </c>
      <c r="U16" s="84"/>
      <c r="V16" s="84"/>
      <c r="W16" s="99">
        <f t="shared" si="1"/>
        <v>10</v>
      </c>
      <c r="X16" s="100"/>
      <c r="Y16" s="100"/>
      <c r="Z16" s="101"/>
      <c r="AA16" s="153">
        <f>B13+5-1</f>
        <v>46319</v>
      </c>
      <c r="AB16" s="84"/>
      <c r="AC16" s="84"/>
      <c r="AD16" s="84"/>
      <c r="AE16" s="84"/>
      <c r="AF16" s="84"/>
      <c r="AG16" s="84"/>
      <c r="AH16" s="85"/>
      <c r="AN16" s="23"/>
      <c r="AO16"/>
    </row>
    <row r="17" spans="2:41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10</v>
      </c>
      <c r="R17" s="96"/>
      <c r="S17" s="97"/>
      <c r="T17" s="98">
        <f t="shared" si="0"/>
        <v>0</v>
      </c>
      <c r="U17" s="84"/>
      <c r="V17" s="84"/>
      <c r="W17" s="99">
        <f t="shared" si="1"/>
        <v>10</v>
      </c>
      <c r="X17" s="100"/>
      <c r="Y17" s="100"/>
      <c r="Z17" s="101"/>
      <c r="AA17" s="153">
        <f>B13+5-1</f>
        <v>46319</v>
      </c>
      <c r="AB17" s="84"/>
      <c r="AC17" s="84"/>
      <c r="AD17" s="84"/>
      <c r="AE17" s="84"/>
      <c r="AF17" s="84"/>
      <c r="AG17" s="84"/>
      <c r="AH17" s="85"/>
      <c r="AN17" s="23"/>
      <c r="AO17"/>
    </row>
    <row r="18" spans="2:41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2</v>
      </c>
      <c r="R18" s="96"/>
      <c r="S18" s="97"/>
      <c r="T18" s="98">
        <f t="shared" si="0"/>
        <v>0</v>
      </c>
      <c r="U18" s="84"/>
      <c r="V18" s="84"/>
      <c r="W18" s="99">
        <f t="shared" si="1"/>
        <v>2</v>
      </c>
      <c r="X18" s="100"/>
      <c r="Y18" s="100"/>
      <c r="Z18" s="101"/>
      <c r="AA18" s="153">
        <f>B13+5-1</f>
        <v>46319</v>
      </c>
      <c r="AB18" s="84"/>
      <c r="AC18" s="84"/>
      <c r="AD18" s="84"/>
      <c r="AE18" s="84"/>
      <c r="AF18" s="84"/>
      <c r="AG18" s="84"/>
      <c r="AH18" s="85"/>
      <c r="AN18" s="23"/>
      <c r="AO18"/>
    </row>
    <row r="19" spans="2:41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3</v>
      </c>
      <c r="R19" s="96"/>
      <c r="S19" s="97"/>
      <c r="T19" s="98">
        <f t="shared" si="0"/>
        <v>0</v>
      </c>
      <c r="U19" s="84"/>
      <c r="V19" s="84"/>
      <c r="W19" s="99">
        <f t="shared" si="1"/>
        <v>3</v>
      </c>
      <c r="X19" s="100"/>
      <c r="Y19" s="100"/>
      <c r="Z19" s="101"/>
      <c r="AA19" s="153">
        <f>B13+5-1</f>
        <v>46319</v>
      </c>
      <c r="AB19" s="84"/>
      <c r="AC19" s="84"/>
      <c r="AD19" s="84"/>
      <c r="AE19" s="84"/>
      <c r="AF19" s="84"/>
      <c r="AG19" s="84"/>
      <c r="AH19" s="85"/>
      <c r="AN19" s="23"/>
      <c r="AO19"/>
    </row>
    <row r="20" spans="2:41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3</v>
      </c>
      <c r="R20" s="96"/>
      <c r="S20" s="97"/>
      <c r="T20" s="98">
        <f t="shared" si="0"/>
        <v>0</v>
      </c>
      <c r="U20" s="84"/>
      <c r="V20" s="84"/>
      <c r="W20" s="99">
        <f t="shared" si="1"/>
        <v>3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  <c r="AN20" s="23"/>
      <c r="AO20"/>
    </row>
    <row r="21" spans="2:41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2</v>
      </c>
      <c r="R21" s="96"/>
      <c r="S21" s="97"/>
      <c r="T21" s="98">
        <f t="shared" si="0"/>
        <v>0</v>
      </c>
      <c r="U21" s="84"/>
      <c r="V21" s="84"/>
      <c r="W21" s="99">
        <f t="shared" si="1"/>
        <v>2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  <c r="AN21" s="23"/>
      <c r="AO21"/>
    </row>
    <row r="22" spans="2:41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14</v>
      </c>
      <c r="R22" s="96"/>
      <c r="S22" s="97"/>
      <c r="T22" s="98">
        <f t="shared" si="0"/>
        <v>0</v>
      </c>
      <c r="U22" s="84"/>
      <c r="V22" s="84"/>
      <c r="W22" s="99">
        <f t="shared" si="1"/>
        <v>14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  <c r="AN22" s="23"/>
      <c r="AO22"/>
    </row>
    <row r="23" spans="2:41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7</v>
      </c>
      <c r="R23" s="96"/>
      <c r="S23" s="97"/>
      <c r="T23" s="98">
        <f t="shared" si="0"/>
        <v>0</v>
      </c>
      <c r="U23" s="84"/>
      <c r="V23" s="84"/>
      <c r="W23" s="99">
        <f t="shared" si="1"/>
        <v>7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  <c r="AN23" s="23"/>
      <c r="AO23"/>
    </row>
    <row r="24" spans="2:41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  <c r="AN24"/>
      <c r="AO24"/>
    </row>
    <row r="25" spans="2:41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137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41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36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41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41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41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41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41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41" ht="13.5" customHeight="1" x14ac:dyDescent="0.15">
      <c r="B32" s="319" t="s">
        <v>0</v>
      </c>
      <c r="C32" s="272" t="str">
        <f>C4</f>
        <v>등록번호</v>
      </c>
      <c r="D32" s="237"/>
      <c r="E32" s="237"/>
      <c r="F32" s="273"/>
      <c r="G32" s="322"/>
      <c r="H32" s="323"/>
      <c r="I32" s="323"/>
      <c r="J32" s="323"/>
      <c r="K32" s="323"/>
      <c r="L32" s="323"/>
      <c r="M32" s="323"/>
      <c r="N32" s="323"/>
      <c r="O32" s="323"/>
      <c r="P32" s="324"/>
      <c r="Q32" s="205" t="s">
        <v>2</v>
      </c>
      <c r="R32" s="281" t="s">
        <v>3</v>
      </c>
      <c r="S32" s="229"/>
      <c r="T32" s="229"/>
      <c r="U32" s="282"/>
      <c r="V32" s="286" t="str">
        <f>V4</f>
        <v>397-85-00686</v>
      </c>
      <c r="W32" s="287"/>
      <c r="X32" s="287"/>
      <c r="Y32" s="287"/>
      <c r="Z32" s="287"/>
      <c r="AA32" s="287"/>
      <c r="AB32" s="287"/>
      <c r="AC32" s="287"/>
      <c r="AD32" s="287"/>
      <c r="AE32" s="287"/>
      <c r="AF32" s="287"/>
      <c r="AG32" s="287"/>
      <c r="AH32" s="288"/>
    </row>
    <row r="33" spans="2:34" ht="13.5" customHeight="1" x14ac:dyDescent="0.15">
      <c r="B33" s="320"/>
      <c r="C33" s="274"/>
      <c r="D33" s="275"/>
      <c r="E33" s="275"/>
      <c r="F33" s="276"/>
      <c r="G33" s="325"/>
      <c r="H33" s="326"/>
      <c r="I33" s="326"/>
      <c r="J33" s="326"/>
      <c r="K33" s="326"/>
      <c r="L33" s="326"/>
      <c r="M33" s="326"/>
      <c r="N33" s="326"/>
      <c r="O33" s="326"/>
      <c r="P33" s="327"/>
      <c r="Q33" s="279"/>
      <c r="R33" s="283"/>
      <c r="S33" s="284"/>
      <c r="T33" s="284"/>
      <c r="U33" s="285"/>
      <c r="V33" s="289"/>
      <c r="W33" s="290"/>
      <c r="X33" s="290"/>
      <c r="Y33" s="290"/>
      <c r="Z33" s="290"/>
      <c r="AA33" s="290"/>
      <c r="AB33" s="290"/>
      <c r="AC33" s="290"/>
      <c r="AD33" s="290"/>
      <c r="AE33" s="290"/>
      <c r="AF33" s="290"/>
      <c r="AG33" s="290"/>
      <c r="AH33" s="291"/>
    </row>
    <row r="34" spans="2:34" ht="13.5" customHeight="1" x14ac:dyDescent="0.15">
      <c r="B34" s="320"/>
      <c r="C34" s="272" t="str">
        <f>C6</f>
        <v>상 호
(법인명)</v>
      </c>
      <c r="D34" s="237"/>
      <c r="E34" s="237"/>
      <c r="F34" s="273"/>
      <c r="G34" s="189" t="str">
        <f>G6</f>
        <v>CU (BGF)</v>
      </c>
      <c r="H34" s="190"/>
      <c r="I34" s="190"/>
      <c r="J34" s="190"/>
      <c r="K34" s="191"/>
      <c r="L34" s="189" t="str">
        <f>L6</f>
        <v>동부로지스</v>
      </c>
      <c r="M34" s="190"/>
      <c r="N34" s="190"/>
      <c r="O34" s="190"/>
      <c r="P34" s="191"/>
      <c r="Q34" s="279"/>
      <c r="R34" s="272" t="s">
        <v>1</v>
      </c>
      <c r="S34" s="237"/>
      <c r="T34" s="237"/>
      <c r="U34" s="273"/>
      <c r="V34" s="297" t="str">
        <f>V6</f>
        <v>㈜대신에프에스</v>
      </c>
      <c r="W34" s="298"/>
      <c r="X34" s="298"/>
      <c r="Y34" s="298"/>
      <c r="Z34" s="298"/>
      <c r="AA34" s="299"/>
      <c r="AB34" s="281" t="s">
        <v>5</v>
      </c>
      <c r="AC34" s="282"/>
      <c r="AD34" s="297" t="str">
        <f>AD6</f>
        <v>신판철</v>
      </c>
      <c r="AE34" s="298"/>
      <c r="AF34" s="298"/>
      <c r="AG34" s="298"/>
      <c r="AH34" s="303"/>
    </row>
    <row r="35" spans="2:34" x14ac:dyDescent="0.15">
      <c r="B35" s="320"/>
      <c r="C35" s="274"/>
      <c r="D35" s="275"/>
      <c r="E35" s="275"/>
      <c r="F35" s="276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279"/>
      <c r="R35" s="274"/>
      <c r="S35" s="275"/>
      <c r="T35" s="275"/>
      <c r="U35" s="276"/>
      <c r="V35" s="300"/>
      <c r="W35" s="301"/>
      <c r="X35" s="301"/>
      <c r="Y35" s="301"/>
      <c r="Z35" s="301"/>
      <c r="AA35" s="302"/>
      <c r="AB35" s="283"/>
      <c r="AC35" s="285"/>
      <c r="AD35" s="300"/>
      <c r="AE35" s="301"/>
      <c r="AF35" s="301"/>
      <c r="AG35" s="301"/>
      <c r="AH35" s="304"/>
    </row>
    <row r="36" spans="2:34" ht="13.5" customHeight="1" x14ac:dyDescent="0.15">
      <c r="B36" s="320"/>
      <c r="C36" s="272" t="s">
        <v>4</v>
      </c>
      <c r="D36" s="237"/>
      <c r="E36" s="237"/>
      <c r="F36" s="273"/>
      <c r="G36" s="337" t="str">
        <f>G8</f>
        <v xml:space="preserve">강원도 원주시 문막읍 원문로 2057  </v>
      </c>
      <c r="H36" s="338"/>
      <c r="I36" s="338"/>
      <c r="J36" s="338"/>
      <c r="K36" s="338"/>
      <c r="L36" s="338"/>
      <c r="M36" s="338"/>
      <c r="N36" s="338"/>
      <c r="O36" s="338"/>
      <c r="P36" s="339"/>
      <c r="Q36" s="279"/>
      <c r="R36" s="272" t="s">
        <v>4</v>
      </c>
      <c r="S36" s="237"/>
      <c r="T36" s="237"/>
      <c r="U36" s="273"/>
      <c r="V36" s="189" t="str">
        <f>V8</f>
        <v>전라북도 부안군 행안면 옥여길 32-76</v>
      </c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277"/>
    </row>
    <row r="37" spans="2:34" x14ac:dyDescent="0.15">
      <c r="B37" s="320"/>
      <c r="C37" s="274"/>
      <c r="D37" s="275"/>
      <c r="E37" s="275"/>
      <c r="F37" s="276"/>
      <c r="G37" s="340"/>
      <c r="H37" s="341"/>
      <c r="I37" s="341"/>
      <c r="J37" s="341"/>
      <c r="K37" s="341"/>
      <c r="L37" s="341"/>
      <c r="M37" s="341"/>
      <c r="N37" s="341"/>
      <c r="O37" s="341"/>
      <c r="P37" s="342"/>
      <c r="Q37" s="279"/>
      <c r="R37" s="274"/>
      <c r="S37" s="275"/>
      <c r="T37" s="275"/>
      <c r="U37" s="276"/>
      <c r="V37" s="192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278"/>
    </row>
    <row r="38" spans="2:34" ht="13.5" customHeight="1" x14ac:dyDescent="0.15">
      <c r="B38" s="320"/>
      <c r="C38" s="272" t="s">
        <v>6</v>
      </c>
      <c r="D38" s="237"/>
      <c r="E38" s="237"/>
      <c r="F38" s="273"/>
      <c r="G38" s="328"/>
      <c r="H38" s="329"/>
      <c r="I38" s="329"/>
      <c r="J38" s="329"/>
      <c r="K38" s="329"/>
      <c r="L38" s="329"/>
      <c r="M38" s="329"/>
      <c r="N38" s="329"/>
      <c r="O38" s="329"/>
      <c r="P38" s="330"/>
      <c r="Q38" s="279"/>
      <c r="R38" s="281" t="s">
        <v>11</v>
      </c>
      <c r="S38" s="229"/>
      <c r="T38" s="229"/>
      <c r="U38" s="282"/>
      <c r="V38" s="312" t="str">
        <f>V10</f>
        <v>도매및 소매업</v>
      </c>
      <c r="W38" s="313"/>
      <c r="X38" s="313"/>
      <c r="Y38" s="313"/>
      <c r="Z38" s="313"/>
      <c r="AA38" s="335"/>
      <c r="AB38" s="281" t="str">
        <f>AB10</f>
        <v>종 목</v>
      </c>
      <c r="AC38" s="282"/>
      <c r="AD38" s="312" t="str">
        <f>AD10</f>
        <v xml:space="preserve">빵 과자류 </v>
      </c>
      <c r="AE38" s="313"/>
      <c r="AF38" s="313"/>
      <c r="AG38" s="313"/>
      <c r="AH38" s="314"/>
    </row>
    <row r="39" spans="2:34" x14ac:dyDescent="0.15">
      <c r="B39" s="321"/>
      <c r="C39" s="274"/>
      <c r="D39" s="275"/>
      <c r="E39" s="275"/>
      <c r="F39" s="276"/>
      <c r="G39" s="331"/>
      <c r="H39" s="332"/>
      <c r="I39" s="332"/>
      <c r="J39" s="332"/>
      <c r="K39" s="332"/>
      <c r="L39" s="332"/>
      <c r="M39" s="332"/>
      <c r="N39" s="332"/>
      <c r="O39" s="332"/>
      <c r="P39" s="333"/>
      <c r="Q39" s="280"/>
      <c r="R39" s="310"/>
      <c r="S39" s="334"/>
      <c r="T39" s="334"/>
      <c r="U39" s="311"/>
      <c r="V39" s="315"/>
      <c r="W39" s="316"/>
      <c r="X39" s="316"/>
      <c r="Y39" s="316"/>
      <c r="Z39" s="316"/>
      <c r="AA39" s="336"/>
      <c r="AB39" s="310"/>
      <c r="AC39" s="311"/>
      <c r="AD39" s="315"/>
      <c r="AE39" s="316"/>
      <c r="AF39" s="316"/>
      <c r="AG39" s="316"/>
      <c r="AH39" s="317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305" t="s">
        <v>9</v>
      </c>
      <c r="F40" s="306"/>
      <c r="G40" s="306"/>
      <c r="H40" s="306"/>
      <c r="I40" s="306"/>
      <c r="J40" s="306"/>
      <c r="K40" s="306"/>
      <c r="L40" s="307"/>
      <c r="M40" s="308" t="s">
        <v>14</v>
      </c>
      <c r="N40" s="309"/>
      <c r="O40" s="309"/>
      <c r="P40" s="219"/>
      <c r="Q40" s="292" t="s">
        <v>17</v>
      </c>
      <c r="R40" s="293"/>
      <c r="S40" s="294"/>
      <c r="T40" s="292" t="s">
        <v>18</v>
      </c>
      <c r="U40" s="293"/>
      <c r="V40" s="294"/>
      <c r="W40" s="308" t="s">
        <v>19</v>
      </c>
      <c r="X40" s="309"/>
      <c r="Y40" s="309"/>
      <c r="Z40" s="219"/>
      <c r="AA40" s="308" t="s">
        <v>16</v>
      </c>
      <c r="AB40" s="309"/>
      <c r="AC40" s="309"/>
      <c r="AD40" s="309"/>
      <c r="AE40" s="309"/>
      <c r="AF40" s="309"/>
      <c r="AG40" s="309"/>
      <c r="AH40" s="318"/>
    </row>
    <row r="41" spans="2:34" ht="21" customHeight="1" x14ac:dyDescent="0.15">
      <c r="B41" s="222">
        <f>B13</f>
        <v>46315</v>
      </c>
      <c r="C41" s="270"/>
      <c r="D41" s="271"/>
      <c r="E41" s="295" t="str">
        <f>E13</f>
        <v>도)깐풍기&amp;표고탕수1</v>
      </c>
      <c r="F41" s="223"/>
      <c r="G41" s="223"/>
      <c r="H41" s="223"/>
      <c r="I41" s="223"/>
      <c r="J41" s="223"/>
      <c r="K41" s="223"/>
      <c r="L41" s="296"/>
      <c r="M41" s="254">
        <f>M13</f>
        <v>36</v>
      </c>
      <c r="N41" s="255"/>
      <c r="O41" s="255"/>
      <c r="P41" s="224"/>
      <c r="Q41" s="256">
        <f>Q13</f>
        <v>1</v>
      </c>
      <c r="R41" s="257"/>
      <c r="S41" s="258"/>
      <c r="T41" s="259">
        <f>T13</f>
        <v>0</v>
      </c>
      <c r="U41" s="260"/>
      <c r="V41" s="242"/>
      <c r="W41" s="261">
        <f>W13</f>
        <v>1</v>
      </c>
      <c r="X41" s="262"/>
      <c r="Y41" s="262"/>
      <c r="Z41" s="263"/>
      <c r="AA41" s="268">
        <f>AA13</f>
        <v>46321</v>
      </c>
      <c r="AB41" s="260"/>
      <c r="AC41" s="260"/>
      <c r="AD41" s="260"/>
      <c r="AE41" s="260"/>
      <c r="AF41" s="260"/>
      <c r="AG41" s="260"/>
      <c r="AH41" s="269"/>
    </row>
    <row r="42" spans="2:34" ht="21" customHeight="1" x14ac:dyDescent="0.15">
      <c r="B42" s="20"/>
      <c r="C42" s="21"/>
      <c r="D42" s="22"/>
      <c r="E42" s="295" t="str">
        <f t="shared" ref="E42:E51" si="4">E14</f>
        <v>도)딥핑치즈맵닭강정1</v>
      </c>
      <c r="F42" s="223"/>
      <c r="G42" s="223"/>
      <c r="H42" s="223"/>
      <c r="I42" s="223"/>
      <c r="J42" s="223"/>
      <c r="K42" s="223"/>
      <c r="L42" s="296"/>
      <c r="M42" s="254">
        <f t="shared" ref="M42:M51" si="5">M14</f>
        <v>0</v>
      </c>
      <c r="N42" s="255"/>
      <c r="O42" s="255"/>
      <c r="P42" s="224"/>
      <c r="Q42" s="256">
        <f t="shared" ref="Q42:Q51" si="6">Q14</f>
        <v>1</v>
      </c>
      <c r="R42" s="257"/>
      <c r="S42" s="258"/>
      <c r="T42" s="259" t="str">
        <f t="shared" ref="T42:T50" si="7">T14</f>
        <v/>
      </c>
      <c r="U42" s="260"/>
      <c r="V42" s="242"/>
      <c r="W42" s="261" t="str">
        <f t="shared" ref="W42:W51" si="8">W14</f>
        <v/>
      </c>
      <c r="X42" s="262"/>
      <c r="Y42" s="262"/>
      <c r="Z42" s="263"/>
      <c r="AA42" s="268" t="e">
        <f t="shared" ref="AA42:AA51" si="9">AA14</f>
        <v>#VALUE!</v>
      </c>
      <c r="AB42" s="260"/>
      <c r="AC42" s="260"/>
      <c r="AD42" s="260"/>
      <c r="AE42" s="260"/>
      <c r="AF42" s="260"/>
      <c r="AG42" s="260"/>
      <c r="AH42" s="269"/>
    </row>
    <row r="43" spans="2:34" ht="21" customHeight="1" x14ac:dyDescent="0.15">
      <c r="B43" s="20"/>
      <c r="C43" s="21"/>
      <c r="D43" s="22"/>
      <c r="E43" s="295" t="str">
        <f t="shared" si="4"/>
        <v>도)리얼모짜치즈돈까스1</v>
      </c>
      <c r="F43" s="223"/>
      <c r="G43" s="223"/>
      <c r="H43" s="223"/>
      <c r="I43" s="223"/>
      <c r="J43" s="223"/>
      <c r="K43" s="223"/>
      <c r="L43" s="296"/>
      <c r="M43" s="254">
        <f t="shared" si="5"/>
        <v>30</v>
      </c>
      <c r="N43" s="255"/>
      <c r="O43" s="255"/>
      <c r="P43" s="224"/>
      <c r="Q43" s="256">
        <f t="shared" si="6"/>
        <v>84</v>
      </c>
      <c r="R43" s="257"/>
      <c r="S43" s="258"/>
      <c r="T43" s="259">
        <f t="shared" si="7"/>
        <v>2</v>
      </c>
      <c r="U43" s="260"/>
      <c r="V43" s="242"/>
      <c r="W43" s="261">
        <f t="shared" si="8"/>
        <v>24</v>
      </c>
      <c r="X43" s="262"/>
      <c r="Y43" s="262"/>
      <c r="Z43" s="263"/>
      <c r="AA43" s="268">
        <f t="shared" si="9"/>
        <v>46320</v>
      </c>
      <c r="AB43" s="260"/>
      <c r="AC43" s="260"/>
      <c r="AD43" s="260"/>
      <c r="AE43" s="260"/>
      <c r="AF43" s="260"/>
      <c r="AG43" s="260"/>
      <c r="AH43" s="269"/>
    </row>
    <row r="44" spans="2:34" ht="21" customHeight="1" x14ac:dyDescent="0.15">
      <c r="B44" s="20"/>
      <c r="C44" s="21"/>
      <c r="D44" s="22"/>
      <c r="E44" s="295" t="str">
        <f t="shared" si="4"/>
        <v>도)리얼치즈고구마돈까스1</v>
      </c>
      <c r="F44" s="223"/>
      <c r="G44" s="223"/>
      <c r="H44" s="223"/>
      <c r="I44" s="223"/>
      <c r="J44" s="223"/>
      <c r="K44" s="223"/>
      <c r="L44" s="296"/>
      <c r="M44" s="254">
        <f t="shared" si="5"/>
        <v>30</v>
      </c>
      <c r="N44" s="255"/>
      <c r="O44" s="255"/>
      <c r="P44" s="224"/>
      <c r="Q44" s="256">
        <f t="shared" si="6"/>
        <v>10</v>
      </c>
      <c r="R44" s="257"/>
      <c r="S44" s="258"/>
      <c r="T44" s="259">
        <f t="shared" si="7"/>
        <v>0</v>
      </c>
      <c r="U44" s="260"/>
      <c r="V44" s="242"/>
      <c r="W44" s="261">
        <f t="shared" si="8"/>
        <v>10</v>
      </c>
      <c r="X44" s="262"/>
      <c r="Y44" s="262"/>
      <c r="Z44" s="263"/>
      <c r="AA44" s="268">
        <f t="shared" si="9"/>
        <v>46319</v>
      </c>
      <c r="AB44" s="260"/>
      <c r="AC44" s="260"/>
      <c r="AD44" s="260"/>
      <c r="AE44" s="260"/>
      <c r="AF44" s="260"/>
      <c r="AG44" s="260"/>
      <c r="AH44" s="269"/>
    </row>
    <row r="45" spans="2:34" ht="21" customHeight="1" x14ac:dyDescent="0.15">
      <c r="B45" s="20"/>
      <c r="C45" s="21"/>
      <c r="D45" s="22"/>
      <c r="E45" s="295" t="str">
        <f t="shared" si="4"/>
        <v>도)윙봉칠리탕수득템1</v>
      </c>
      <c r="F45" s="223"/>
      <c r="G45" s="223"/>
      <c r="H45" s="223"/>
      <c r="I45" s="223"/>
      <c r="J45" s="223"/>
      <c r="K45" s="223"/>
      <c r="L45" s="296"/>
      <c r="M45" s="254">
        <f t="shared" si="5"/>
        <v>36</v>
      </c>
      <c r="N45" s="255"/>
      <c r="O45" s="255"/>
      <c r="P45" s="224"/>
      <c r="Q45" s="256">
        <f t="shared" si="6"/>
        <v>10</v>
      </c>
      <c r="R45" s="257"/>
      <c r="S45" s="258"/>
      <c r="T45" s="259">
        <f t="shared" si="7"/>
        <v>0</v>
      </c>
      <c r="U45" s="260"/>
      <c r="V45" s="242"/>
      <c r="W45" s="261">
        <f t="shared" si="8"/>
        <v>10</v>
      </c>
      <c r="X45" s="262"/>
      <c r="Y45" s="262"/>
      <c r="Z45" s="263"/>
      <c r="AA45" s="268">
        <f t="shared" si="9"/>
        <v>46319</v>
      </c>
      <c r="AB45" s="260"/>
      <c r="AC45" s="260"/>
      <c r="AD45" s="260"/>
      <c r="AE45" s="260"/>
      <c r="AF45" s="260"/>
      <c r="AG45" s="260"/>
      <c r="AH45" s="269"/>
    </row>
    <row r="46" spans="2:34" ht="21" customHeight="1" x14ac:dyDescent="0.15">
      <c r="B46" s="20"/>
      <c r="C46" s="21"/>
      <c r="D46" s="22"/>
      <c r="E46" s="295" t="str">
        <f t="shared" si="4"/>
        <v>도)찍먹윙봉1</v>
      </c>
      <c r="F46" s="223"/>
      <c r="G46" s="223"/>
      <c r="H46" s="223"/>
      <c r="I46" s="223"/>
      <c r="J46" s="223"/>
      <c r="K46" s="223"/>
      <c r="L46" s="296"/>
      <c r="M46" s="254">
        <f t="shared" si="5"/>
        <v>36</v>
      </c>
      <c r="N46" s="255"/>
      <c r="O46" s="255"/>
      <c r="P46" s="224"/>
      <c r="Q46" s="256">
        <f t="shared" si="6"/>
        <v>2</v>
      </c>
      <c r="R46" s="257"/>
      <c r="S46" s="258"/>
      <c r="T46" s="259">
        <f t="shared" si="7"/>
        <v>0</v>
      </c>
      <c r="U46" s="260"/>
      <c r="V46" s="242"/>
      <c r="W46" s="261">
        <f t="shared" si="8"/>
        <v>2</v>
      </c>
      <c r="X46" s="262"/>
      <c r="Y46" s="262"/>
      <c r="Z46" s="263"/>
      <c r="AA46" s="268">
        <f t="shared" si="9"/>
        <v>46319</v>
      </c>
      <c r="AB46" s="260"/>
      <c r="AC46" s="260"/>
      <c r="AD46" s="260"/>
      <c r="AE46" s="260"/>
      <c r="AF46" s="260"/>
      <c r="AG46" s="260"/>
      <c r="AH46" s="269"/>
    </row>
    <row r="47" spans="2:34" ht="21" customHeight="1" x14ac:dyDescent="0.15">
      <c r="B47" s="25"/>
      <c r="C47" s="26"/>
      <c r="D47" s="27"/>
      <c r="E47" s="295" t="str">
        <f t="shared" si="4"/>
        <v>도)찍먹탕수육1</v>
      </c>
      <c r="F47" s="223"/>
      <c r="G47" s="223"/>
      <c r="H47" s="223"/>
      <c r="I47" s="223"/>
      <c r="J47" s="223"/>
      <c r="K47" s="223"/>
      <c r="L47" s="296"/>
      <c r="M47" s="254">
        <f t="shared" si="5"/>
        <v>36</v>
      </c>
      <c r="N47" s="255"/>
      <c r="O47" s="255"/>
      <c r="P47" s="224"/>
      <c r="Q47" s="256">
        <f t="shared" si="6"/>
        <v>3</v>
      </c>
      <c r="R47" s="257"/>
      <c r="S47" s="258"/>
      <c r="T47" s="259">
        <f t="shared" si="7"/>
        <v>0</v>
      </c>
      <c r="U47" s="260"/>
      <c r="V47" s="242"/>
      <c r="W47" s="261">
        <f t="shared" si="8"/>
        <v>3</v>
      </c>
      <c r="X47" s="262"/>
      <c r="Y47" s="262"/>
      <c r="Z47" s="263"/>
      <c r="AA47" s="268">
        <f t="shared" si="9"/>
        <v>46319</v>
      </c>
      <c r="AB47" s="260"/>
      <c r="AC47" s="260"/>
      <c r="AD47" s="260"/>
      <c r="AE47" s="260"/>
      <c r="AF47" s="260"/>
      <c r="AG47" s="260"/>
      <c r="AH47" s="269"/>
    </row>
    <row r="48" spans="2:34" ht="21" customHeight="1" x14ac:dyDescent="0.15">
      <c r="B48" s="25"/>
      <c r="C48" s="26"/>
      <c r="D48" s="27"/>
      <c r="E48" s="295" t="str">
        <f t="shared" si="4"/>
        <v>도)치맥아보트러플치킨1</v>
      </c>
      <c r="F48" s="223"/>
      <c r="G48" s="223"/>
      <c r="H48" s="223"/>
      <c r="I48" s="223"/>
      <c r="J48" s="223"/>
      <c r="K48" s="223"/>
      <c r="L48" s="296"/>
      <c r="M48" s="254">
        <f t="shared" si="5"/>
        <v>32</v>
      </c>
      <c r="N48" s="255"/>
      <c r="O48" s="255"/>
      <c r="P48" s="224"/>
      <c r="Q48" s="256">
        <f t="shared" si="6"/>
        <v>3</v>
      </c>
      <c r="R48" s="257"/>
      <c r="S48" s="258"/>
      <c r="T48" s="259">
        <f t="shared" si="7"/>
        <v>0</v>
      </c>
      <c r="U48" s="260"/>
      <c r="V48" s="242"/>
      <c r="W48" s="261">
        <f t="shared" si="8"/>
        <v>3</v>
      </c>
      <c r="X48" s="262"/>
      <c r="Y48" s="262"/>
      <c r="Z48" s="263"/>
      <c r="AA48" s="268">
        <f t="shared" si="9"/>
        <v>46320</v>
      </c>
      <c r="AB48" s="260"/>
      <c r="AC48" s="260"/>
      <c r="AD48" s="260"/>
      <c r="AE48" s="260"/>
      <c r="AF48" s="260"/>
      <c r="AG48" s="260"/>
      <c r="AH48" s="269"/>
    </row>
    <row r="49" spans="2:34" ht="21" customHeight="1" x14ac:dyDescent="0.15">
      <c r="B49" s="25"/>
      <c r="C49" s="26"/>
      <c r="D49" s="27"/>
      <c r="E49" s="295" t="str">
        <f t="shared" si="4"/>
        <v>도)치즈매콤닭강정감자1</v>
      </c>
      <c r="F49" s="223"/>
      <c r="G49" s="223"/>
      <c r="H49" s="223"/>
      <c r="I49" s="223"/>
      <c r="J49" s="223"/>
      <c r="K49" s="223"/>
      <c r="L49" s="296"/>
      <c r="M49" s="254">
        <f t="shared" si="5"/>
        <v>30</v>
      </c>
      <c r="N49" s="255"/>
      <c r="O49" s="255"/>
      <c r="P49" s="224"/>
      <c r="Q49" s="256">
        <f t="shared" si="6"/>
        <v>2</v>
      </c>
      <c r="R49" s="257"/>
      <c r="S49" s="258"/>
      <c r="T49" s="259">
        <f t="shared" si="7"/>
        <v>0</v>
      </c>
      <c r="U49" s="260"/>
      <c r="V49" s="242"/>
      <c r="W49" s="261">
        <f t="shared" si="8"/>
        <v>2</v>
      </c>
      <c r="X49" s="262"/>
      <c r="Y49" s="262"/>
      <c r="Z49" s="263"/>
      <c r="AA49" s="268">
        <f t="shared" si="9"/>
        <v>46319</v>
      </c>
      <c r="AB49" s="260"/>
      <c r="AC49" s="260"/>
      <c r="AD49" s="260"/>
      <c r="AE49" s="260"/>
      <c r="AF49" s="260"/>
      <c r="AG49" s="260"/>
      <c r="AH49" s="269"/>
    </row>
    <row r="50" spans="2:34" ht="21" customHeight="1" x14ac:dyDescent="0.15">
      <c r="B50" s="25"/>
      <c r="C50" s="26"/>
      <c r="D50" s="27"/>
      <c r="E50" s="295" t="str">
        <f t="shared" si="4"/>
        <v>도)치즈청양간장닭강정1</v>
      </c>
      <c r="F50" s="223"/>
      <c r="G50" s="223"/>
      <c r="H50" s="223"/>
      <c r="I50" s="223"/>
      <c r="J50" s="223"/>
      <c r="K50" s="223"/>
      <c r="L50" s="296"/>
      <c r="M50" s="254">
        <f t="shared" si="5"/>
        <v>30</v>
      </c>
      <c r="N50" s="255"/>
      <c r="O50" s="255"/>
      <c r="P50" s="224"/>
      <c r="Q50" s="256">
        <f t="shared" si="6"/>
        <v>14</v>
      </c>
      <c r="R50" s="257"/>
      <c r="S50" s="258"/>
      <c r="T50" s="259">
        <f t="shared" si="7"/>
        <v>0</v>
      </c>
      <c r="U50" s="260"/>
      <c r="V50" s="242"/>
      <c r="W50" s="261">
        <f t="shared" si="8"/>
        <v>14</v>
      </c>
      <c r="X50" s="262"/>
      <c r="Y50" s="262"/>
      <c r="Z50" s="263"/>
      <c r="AA50" s="268">
        <f t="shared" si="9"/>
        <v>46319</v>
      </c>
      <c r="AB50" s="260"/>
      <c r="AC50" s="260"/>
      <c r="AD50" s="260"/>
      <c r="AE50" s="260"/>
      <c r="AF50" s="260"/>
      <c r="AG50" s="260"/>
      <c r="AH50" s="269"/>
    </row>
    <row r="51" spans="2:34" ht="21" customHeight="1" x14ac:dyDescent="0.15">
      <c r="B51" s="25"/>
      <c r="C51" s="26"/>
      <c r="D51" s="27"/>
      <c r="E51" s="295" t="str">
        <f t="shared" si="4"/>
        <v>도)쿵야반반닭강정팩1</v>
      </c>
      <c r="F51" s="223"/>
      <c r="G51" s="223"/>
      <c r="H51" s="223"/>
      <c r="I51" s="223"/>
      <c r="J51" s="223"/>
      <c r="K51" s="223"/>
      <c r="L51" s="296"/>
      <c r="M51" s="254">
        <f t="shared" si="5"/>
        <v>36</v>
      </c>
      <c r="N51" s="255"/>
      <c r="O51" s="255"/>
      <c r="P51" s="224"/>
      <c r="Q51" s="256">
        <f t="shared" si="6"/>
        <v>7</v>
      </c>
      <c r="R51" s="257"/>
      <c r="S51" s="258"/>
      <c r="T51" s="259">
        <f>T23</f>
        <v>0</v>
      </c>
      <c r="U51" s="260"/>
      <c r="V51" s="242"/>
      <c r="W51" s="261">
        <f t="shared" si="8"/>
        <v>7</v>
      </c>
      <c r="X51" s="262"/>
      <c r="Y51" s="262"/>
      <c r="Z51" s="263"/>
      <c r="AA51" s="268">
        <f t="shared" si="9"/>
        <v>46320</v>
      </c>
      <c r="AB51" s="260"/>
      <c r="AC51" s="260"/>
      <c r="AD51" s="260"/>
      <c r="AE51" s="260"/>
      <c r="AF51" s="260"/>
      <c r="AG51" s="260"/>
      <c r="AH51" s="269"/>
    </row>
    <row r="52" spans="2:34" ht="21" customHeight="1" x14ac:dyDescent="0.15">
      <c r="B52" s="20"/>
      <c r="C52" s="21"/>
      <c r="D52" s="22"/>
      <c r="E52" s="295"/>
      <c r="F52" s="223"/>
      <c r="G52" s="223"/>
      <c r="H52" s="223"/>
      <c r="I52" s="223"/>
      <c r="J52" s="223"/>
      <c r="K52" s="223"/>
      <c r="L52" s="296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59"/>
      <c r="AB52" s="260"/>
      <c r="AC52" s="260"/>
      <c r="AD52" s="260"/>
      <c r="AE52" s="260"/>
      <c r="AF52" s="260"/>
      <c r="AG52" s="260"/>
      <c r="AH52" s="269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0">M25</f>
        <v>137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100000000000001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 xml:space="preserve">강원도 원주시 문막읍 원문로 2057  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100000000000001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B53:D53"/>
    <mergeCell ref="E53:L53"/>
    <mergeCell ref="M53:Z53"/>
    <mergeCell ref="AA53:AH53"/>
    <mergeCell ref="B54:V55"/>
    <mergeCell ref="W54:AH55"/>
    <mergeCell ref="E52:L52"/>
    <mergeCell ref="M52:P52"/>
    <mergeCell ref="Q52:S52"/>
    <mergeCell ref="T52:V52"/>
    <mergeCell ref="W52:Z52"/>
    <mergeCell ref="AA52:AH52"/>
    <mergeCell ref="E51:L51"/>
    <mergeCell ref="M51:P51"/>
    <mergeCell ref="Q51:S51"/>
    <mergeCell ref="T51:V51"/>
    <mergeCell ref="W51:Z51"/>
    <mergeCell ref="AA51:AH51"/>
    <mergeCell ref="E50:L50"/>
    <mergeCell ref="M50:P50"/>
    <mergeCell ref="Q50:S50"/>
    <mergeCell ref="T50:V50"/>
    <mergeCell ref="W50:Z50"/>
    <mergeCell ref="AA50:AH50"/>
    <mergeCell ref="E49:L49"/>
    <mergeCell ref="M49:P49"/>
    <mergeCell ref="Q49:S49"/>
    <mergeCell ref="T49:V49"/>
    <mergeCell ref="W49:Z49"/>
    <mergeCell ref="AA49:AH49"/>
    <mergeCell ref="E48:L48"/>
    <mergeCell ref="M48:P48"/>
    <mergeCell ref="Q48:S48"/>
    <mergeCell ref="T48:V48"/>
    <mergeCell ref="W48:Z48"/>
    <mergeCell ref="AA48:AH48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5:L45"/>
    <mergeCell ref="M45:P45"/>
    <mergeCell ref="Q45:S45"/>
    <mergeCell ref="T45:V45"/>
    <mergeCell ref="W45:Z45"/>
    <mergeCell ref="AA45:AH45"/>
    <mergeCell ref="E44:L44"/>
    <mergeCell ref="M44:P44"/>
    <mergeCell ref="Q44:S44"/>
    <mergeCell ref="T44:V44"/>
    <mergeCell ref="W44:Z44"/>
    <mergeCell ref="AA44:AH44"/>
    <mergeCell ref="AA41:AH41"/>
    <mergeCell ref="E43:L43"/>
    <mergeCell ref="M43:P43"/>
    <mergeCell ref="Q43:S43"/>
    <mergeCell ref="T43:V43"/>
    <mergeCell ref="W43:Z43"/>
    <mergeCell ref="AA43:AH43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2:AH42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0:L20"/>
    <mergeCell ref="M20:P20"/>
    <mergeCell ref="Q20:S20"/>
    <mergeCell ref="T20:V20"/>
    <mergeCell ref="W20:Z20"/>
    <mergeCell ref="AA20:AH20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AA13:AH13"/>
    <mergeCell ref="E15:L15"/>
    <mergeCell ref="M15:P15"/>
    <mergeCell ref="Q15:S15"/>
    <mergeCell ref="T15:V15"/>
    <mergeCell ref="W15:Z15"/>
    <mergeCell ref="AA15:AH15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</mergeCells>
  <phoneticPr fontId="2" type="noConversion"/>
  <conditionalFormatting sqref="AA13:AH13">
    <cfRule type="expression" dxfId="347" priority="7">
      <formula>Q13:S27=0</formula>
    </cfRule>
  </conditionalFormatting>
  <conditionalFormatting sqref="AA15:AH15">
    <cfRule type="expression" dxfId="346" priority="6">
      <formula>Q15:S27=0</formula>
    </cfRule>
  </conditionalFormatting>
  <conditionalFormatting sqref="AA16:AH19 AA43:AH51">
    <cfRule type="expression" dxfId="345" priority="4">
      <formula>Q16:S26=0</formula>
    </cfRule>
  </conditionalFormatting>
  <conditionalFormatting sqref="AA20:AH21">
    <cfRule type="expression" dxfId="344" priority="3">
      <formula>Q20:S29=0</formula>
    </cfRule>
  </conditionalFormatting>
  <conditionalFormatting sqref="AA22:AH22">
    <cfRule type="expression" dxfId="343" priority="9">
      <formula>Q22:S30=0</formula>
    </cfRule>
  </conditionalFormatting>
  <conditionalFormatting sqref="AA23:AH24">
    <cfRule type="expression" dxfId="342" priority="10">
      <formula>Q23:S30=0</formula>
    </cfRule>
  </conditionalFormatting>
  <conditionalFormatting sqref="AA52:AH52">
    <cfRule type="expression" dxfId="341" priority="11">
      <formula>Q52:S52=0</formula>
    </cfRule>
  </conditionalFormatting>
  <conditionalFormatting sqref="AA41:AH41">
    <cfRule type="expression" dxfId="340" priority="3116">
      <formula>Q41:S52=0</formula>
    </cfRule>
  </conditionalFormatting>
  <conditionalFormatting sqref="AA14:AH14">
    <cfRule type="expression" dxfId="34" priority="2">
      <formula>Q14:S26=0</formula>
    </cfRule>
  </conditionalFormatting>
  <conditionalFormatting sqref="AA42:AH42">
    <cfRule type="expression" dxfId="14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7F2C0EAB-72B6-4220-A395-343765282B35}"/>
  </dataValidations>
  <printOptions horizontalCentered="1"/>
  <pageMargins left="0" right="0" top="0.11811023622047245" bottom="0" header="0" footer="0"/>
  <pageSetup paperSize="9" scale="8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DF6A-C5C0-46B5-8462-6993D33B6E0A}">
  <sheetPr>
    <pageSetUpPr fitToPage="1"/>
  </sheetPr>
  <dimension ref="B1:AH55"/>
  <sheetViews>
    <sheetView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41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41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42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6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6</v>
      </c>
      <c r="X13" s="100"/>
      <c r="Y13" s="100"/>
      <c r="Z13" s="101"/>
      <c r="AA13" s="153">
        <f>B13+6</f>
        <v>46321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6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153" t="e">
        <f>B12+5</f>
        <v>#VALUE!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116</v>
      </c>
      <c r="R15" s="96"/>
      <c r="S15" s="97"/>
      <c r="T15" s="98">
        <f t="shared" si="0"/>
        <v>3</v>
      </c>
      <c r="U15" s="84"/>
      <c r="V15" s="84"/>
      <c r="W15" s="99">
        <f t="shared" si="1"/>
        <v>26</v>
      </c>
      <c r="X15" s="100"/>
      <c r="Y15" s="100"/>
      <c r="Z15" s="101"/>
      <c r="AA15" s="153">
        <f>B13+5</f>
        <v>46320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9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9</v>
      </c>
      <c r="X16" s="100"/>
      <c r="Y16" s="100"/>
      <c r="Z16" s="101"/>
      <c r="AA16" s="153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15</v>
      </c>
      <c r="R17" s="96"/>
      <c r="S17" s="97"/>
      <c r="T17" s="98">
        <f t="shared" si="0"/>
        <v>0</v>
      </c>
      <c r="U17" s="84"/>
      <c r="V17" s="84"/>
      <c r="W17" s="99">
        <f t="shared" si="1"/>
        <v>15</v>
      </c>
      <c r="X17" s="100"/>
      <c r="Y17" s="100"/>
      <c r="Z17" s="101"/>
      <c r="AA17" s="153">
        <f>B13+5-1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5</v>
      </c>
      <c r="R18" s="96"/>
      <c r="S18" s="97"/>
      <c r="T18" s="98">
        <f t="shared" si="0"/>
        <v>0</v>
      </c>
      <c r="U18" s="84"/>
      <c r="V18" s="84"/>
      <c r="W18" s="99">
        <f t="shared" si="1"/>
        <v>5</v>
      </c>
      <c r="X18" s="100"/>
      <c r="Y18" s="100"/>
      <c r="Z18" s="101"/>
      <c r="AA18" s="153">
        <f>B13+5-1</f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4</v>
      </c>
      <c r="R19" s="96"/>
      <c r="S19" s="97"/>
      <c r="T19" s="98">
        <f t="shared" si="0"/>
        <v>0</v>
      </c>
      <c r="U19" s="84"/>
      <c r="V19" s="84"/>
      <c r="W19" s="99">
        <f t="shared" si="1"/>
        <v>4</v>
      </c>
      <c r="X19" s="100"/>
      <c r="Y19" s="100"/>
      <c r="Z19" s="101"/>
      <c r="AA19" s="153">
        <f>B13+5-1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6</v>
      </c>
      <c r="R20" s="96"/>
      <c r="S20" s="97"/>
      <c r="T20" s="98">
        <f t="shared" si="0"/>
        <v>0</v>
      </c>
      <c r="U20" s="84"/>
      <c r="V20" s="84"/>
      <c r="W20" s="99">
        <f t="shared" si="1"/>
        <v>6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1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1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18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18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8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8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194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8.75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43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8.75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아신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경기도 용인시 기흥구 
하갈로15번길 34 (보라동)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6</v>
      </c>
      <c r="R41" s="216"/>
      <c r="S41" s="216"/>
      <c r="T41" s="217">
        <f>T13</f>
        <v>0</v>
      </c>
      <c r="U41" s="217"/>
      <c r="V41" s="217"/>
      <c r="W41" s="218">
        <f>W13</f>
        <v>6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6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116</v>
      </c>
      <c r="R43" s="216"/>
      <c r="S43" s="216"/>
      <c r="T43" s="217">
        <f t="shared" si="15"/>
        <v>3</v>
      </c>
      <c r="U43" s="217"/>
      <c r="V43" s="217"/>
      <c r="W43" s="218">
        <f t="shared" si="16"/>
        <v>26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9</v>
      </c>
      <c r="R44" s="216"/>
      <c r="S44" s="216"/>
      <c r="T44" s="217">
        <f t="shared" si="15"/>
        <v>0</v>
      </c>
      <c r="U44" s="217"/>
      <c r="V44" s="217"/>
      <c r="W44" s="218">
        <f t="shared" si="16"/>
        <v>9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15</v>
      </c>
      <c r="R45" s="216"/>
      <c r="S45" s="216"/>
      <c r="T45" s="217">
        <f t="shared" si="15"/>
        <v>0</v>
      </c>
      <c r="U45" s="217"/>
      <c r="V45" s="217"/>
      <c r="W45" s="218">
        <f t="shared" si="16"/>
        <v>15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5</v>
      </c>
      <c r="R46" s="216"/>
      <c r="S46" s="216"/>
      <c r="T46" s="217">
        <f t="shared" si="15"/>
        <v>0</v>
      </c>
      <c r="U46" s="217"/>
      <c r="V46" s="217"/>
      <c r="W46" s="218">
        <f t="shared" si="16"/>
        <v>5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4</v>
      </c>
      <c r="R47" s="216"/>
      <c r="S47" s="216"/>
      <c r="T47" s="217">
        <f t="shared" si="15"/>
        <v>0</v>
      </c>
      <c r="U47" s="217"/>
      <c r="V47" s="217"/>
      <c r="W47" s="218">
        <f t="shared" si="16"/>
        <v>4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6</v>
      </c>
      <c r="R48" s="216"/>
      <c r="S48" s="216"/>
      <c r="T48" s="217">
        <f t="shared" si="15"/>
        <v>0</v>
      </c>
      <c r="U48" s="217"/>
      <c r="V48" s="217"/>
      <c r="W48" s="218">
        <f t="shared" si="16"/>
        <v>6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1</v>
      </c>
      <c r="R49" s="216"/>
      <c r="S49" s="216"/>
      <c r="T49" s="217">
        <f t="shared" si="15"/>
        <v>0</v>
      </c>
      <c r="U49" s="217"/>
      <c r="V49" s="217"/>
      <c r="W49" s="218">
        <f t="shared" si="16"/>
        <v>1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18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18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8</v>
      </c>
      <c r="R51" s="216"/>
      <c r="S51" s="216"/>
      <c r="T51" s="217">
        <f>T23</f>
        <v>0</v>
      </c>
      <c r="U51" s="217"/>
      <c r="V51" s="217"/>
      <c r="W51" s="218">
        <f t="shared" si="16"/>
        <v>8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194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8.75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경기도 용인시 기흥구 
하갈로15번길 34 (보라동) 
031)260-1660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8.75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M46:P46"/>
    <mergeCell ref="AA46:AH46"/>
    <mergeCell ref="W26:AH27"/>
    <mergeCell ref="B25:D25"/>
    <mergeCell ref="V38:AA39"/>
    <mergeCell ref="G36:P37"/>
    <mergeCell ref="G38:P39"/>
    <mergeCell ref="E40:L40"/>
    <mergeCell ref="M43:P43"/>
    <mergeCell ref="M40:P40"/>
    <mergeCell ref="C32:F33"/>
    <mergeCell ref="G32:P33"/>
    <mergeCell ref="E25:L25"/>
    <mergeCell ref="E44:L44"/>
    <mergeCell ref="M44:P44"/>
    <mergeCell ref="Q44:S44"/>
    <mergeCell ref="T44:V44"/>
    <mergeCell ref="W44:Z44"/>
    <mergeCell ref="R36:U37"/>
    <mergeCell ref="V36:AH37"/>
    <mergeCell ref="W12:Z12"/>
    <mergeCell ref="E50:L50"/>
    <mergeCell ref="M47:P47"/>
    <mergeCell ref="Q47:S47"/>
    <mergeCell ref="T47:V47"/>
    <mergeCell ref="W47:Z47"/>
    <mergeCell ref="AA47:AH47"/>
    <mergeCell ref="AD38:AH39"/>
    <mergeCell ref="R32:U33"/>
    <mergeCell ref="E15:L15"/>
    <mergeCell ref="M15:P15"/>
    <mergeCell ref="W23:Z23"/>
    <mergeCell ref="T18:V18"/>
    <mergeCell ref="AA20:AH20"/>
    <mergeCell ref="E48:L48"/>
    <mergeCell ref="M48:P48"/>
    <mergeCell ref="Q48:S48"/>
    <mergeCell ref="T48:V48"/>
    <mergeCell ref="W48:Z48"/>
    <mergeCell ref="AA48:AH48"/>
    <mergeCell ref="Q40:S40"/>
    <mergeCell ref="T40:V40"/>
    <mergeCell ref="W40:Z40"/>
    <mergeCell ref="AA40:AH40"/>
    <mergeCell ref="E12:L12"/>
    <mergeCell ref="Q12:S12"/>
    <mergeCell ref="T12:V12"/>
    <mergeCell ref="C34:F35"/>
    <mergeCell ref="AA12:AH12"/>
    <mergeCell ref="M12:P12"/>
    <mergeCell ref="B13:D13"/>
    <mergeCell ref="E13:L13"/>
    <mergeCell ref="M13:P13"/>
    <mergeCell ref="Q13:S13"/>
    <mergeCell ref="T13:V13"/>
    <mergeCell ref="E18:L18"/>
    <mergeCell ref="M18:P18"/>
    <mergeCell ref="Q18:S18"/>
    <mergeCell ref="V32:AH33"/>
    <mergeCell ref="V34:AA35"/>
    <mergeCell ref="AB34:AC35"/>
    <mergeCell ref="AD34:AH35"/>
    <mergeCell ref="E23:L23"/>
    <mergeCell ref="M23:P23"/>
    <mergeCell ref="AA17:AH17"/>
    <mergeCell ref="AA13:AH13"/>
    <mergeCell ref="W13:Z13"/>
    <mergeCell ref="W15:Z15"/>
    <mergeCell ref="B54:V55"/>
    <mergeCell ref="W54:AH55"/>
    <mergeCell ref="AA41:AH41"/>
    <mergeCell ref="B41:D41"/>
    <mergeCell ref="E41:L41"/>
    <mergeCell ref="M41:P41"/>
    <mergeCell ref="Q41:S41"/>
    <mergeCell ref="T41:V41"/>
    <mergeCell ref="W41:Z41"/>
    <mergeCell ref="E51:L51"/>
    <mergeCell ref="M51:P51"/>
    <mergeCell ref="Q51:S51"/>
    <mergeCell ref="T51:V51"/>
    <mergeCell ref="W51:Z51"/>
    <mergeCell ref="AA51:AH51"/>
    <mergeCell ref="E52:L52"/>
    <mergeCell ref="M52:P52"/>
    <mergeCell ref="E47:L47"/>
    <mergeCell ref="W52:Z52"/>
    <mergeCell ref="W46:Z46"/>
    <mergeCell ref="Q46:S46"/>
    <mergeCell ref="T46:V46"/>
    <mergeCell ref="AA53:AH53"/>
    <mergeCell ref="E43:L43"/>
    <mergeCell ref="B53:D53"/>
    <mergeCell ref="M53:Z53"/>
    <mergeCell ref="AA23:AH23"/>
    <mergeCell ref="M19:P19"/>
    <mergeCell ref="Q19:S19"/>
    <mergeCell ref="T19:V19"/>
    <mergeCell ref="W19:Z19"/>
    <mergeCell ref="AA19:AH19"/>
    <mergeCell ref="Q52:S52"/>
    <mergeCell ref="T52:V52"/>
    <mergeCell ref="M50:P50"/>
    <mergeCell ref="Q50:S50"/>
    <mergeCell ref="T50:V50"/>
    <mergeCell ref="W50:Z50"/>
    <mergeCell ref="AA50:AH50"/>
    <mergeCell ref="B26:V27"/>
    <mergeCell ref="E53:L53"/>
    <mergeCell ref="AA52:AH52"/>
    <mergeCell ref="E46:L46"/>
    <mergeCell ref="G34:K35"/>
    <mergeCell ref="L34:P35"/>
    <mergeCell ref="R34:U35"/>
    <mergeCell ref="C38:F39"/>
    <mergeCell ref="R38:U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R8:U9"/>
    <mergeCell ref="V8:AH9"/>
    <mergeCell ref="C8:F9"/>
    <mergeCell ref="G8:P9"/>
    <mergeCell ref="AA15:AH15"/>
    <mergeCell ref="AA18:AH18"/>
    <mergeCell ref="AA44:AH44"/>
    <mergeCell ref="W18:Z18"/>
    <mergeCell ref="Q43:S43"/>
    <mergeCell ref="T43:V43"/>
    <mergeCell ref="W43:Z43"/>
    <mergeCell ref="AA43:AH43"/>
    <mergeCell ref="Q15:S15"/>
    <mergeCell ref="T15:V15"/>
    <mergeCell ref="W24:Z24"/>
    <mergeCell ref="AA24:AH24"/>
    <mergeCell ref="Q22:S22"/>
    <mergeCell ref="T22:V22"/>
    <mergeCell ref="W22:Z22"/>
    <mergeCell ref="AA22:AH22"/>
    <mergeCell ref="Q32:Q39"/>
    <mergeCell ref="M25:Z25"/>
    <mergeCell ref="AB38:AC39"/>
    <mergeCell ref="W20:Z20"/>
    <mergeCell ref="W21:Z21"/>
    <mergeCell ref="AA25:AH25"/>
    <mergeCell ref="B30:AH31"/>
    <mergeCell ref="B32:B39"/>
    <mergeCell ref="E19:L19"/>
    <mergeCell ref="E24:L24"/>
    <mergeCell ref="M24:P24"/>
    <mergeCell ref="Q24:S24"/>
    <mergeCell ref="T24:V24"/>
    <mergeCell ref="C36:F37"/>
    <mergeCell ref="M20:P20"/>
    <mergeCell ref="Q20:S20"/>
    <mergeCell ref="T20:V20"/>
    <mergeCell ref="T23:V23"/>
    <mergeCell ref="Q23:S23"/>
    <mergeCell ref="E20:L20"/>
    <mergeCell ref="E22:L22"/>
    <mergeCell ref="M22:P22"/>
    <mergeCell ref="E21:L21"/>
    <mergeCell ref="M21:P21"/>
    <mergeCell ref="Q21:S21"/>
    <mergeCell ref="T21:V21"/>
    <mergeCell ref="AA21:AH21"/>
    <mergeCell ref="E49:L49"/>
    <mergeCell ref="M49:P49"/>
    <mergeCell ref="Q49:S49"/>
    <mergeCell ref="T49:V49"/>
    <mergeCell ref="W49:Z49"/>
    <mergeCell ref="AA49:AH49"/>
    <mergeCell ref="E16:L16"/>
    <mergeCell ref="M16:P16"/>
    <mergeCell ref="Q16:S16"/>
    <mergeCell ref="T16:V16"/>
    <mergeCell ref="W16:Z16"/>
    <mergeCell ref="AA16:AH16"/>
    <mergeCell ref="E45:L45"/>
    <mergeCell ref="M45:P45"/>
    <mergeCell ref="Q45:S45"/>
    <mergeCell ref="T45:V45"/>
    <mergeCell ref="W45:Z45"/>
    <mergeCell ref="AA45:AH45"/>
    <mergeCell ref="E17:L17"/>
    <mergeCell ref="M17:P17"/>
    <mergeCell ref="Q17:S17"/>
    <mergeCell ref="T17:V17"/>
    <mergeCell ref="W17:Z17"/>
  </mergeCells>
  <phoneticPr fontId="2" type="noConversion"/>
  <conditionalFormatting sqref="AA13:AH13">
    <cfRule type="expression" dxfId="339" priority="1927">
      <formula>Q13:S27=0</formula>
    </cfRule>
  </conditionalFormatting>
  <conditionalFormatting sqref="AA15:AH15">
    <cfRule type="expression" dxfId="338" priority="11">
      <formula>Q15:S27=0</formula>
    </cfRule>
  </conditionalFormatting>
  <conditionalFormatting sqref="AA16:AH19 AA43:AH51">
    <cfRule type="expression" dxfId="337" priority="6">
      <formula>Q16:S26=0</formula>
    </cfRule>
  </conditionalFormatting>
  <conditionalFormatting sqref="AA20:AH21">
    <cfRule type="expression" dxfId="336" priority="4">
      <formula>Q20:S29=0</formula>
    </cfRule>
  </conditionalFormatting>
  <conditionalFormatting sqref="AA22:AH22">
    <cfRule type="expression" dxfId="335" priority="2694">
      <formula>Q22:S30=0</formula>
    </cfRule>
  </conditionalFormatting>
  <conditionalFormatting sqref="AA23:AH24">
    <cfRule type="expression" dxfId="334" priority="2870">
      <formula>Q23:S30=0</formula>
    </cfRule>
  </conditionalFormatting>
  <conditionalFormatting sqref="AA52:AH52">
    <cfRule type="expression" dxfId="333" priority="2951">
      <formula>Q52:S52=0</formula>
    </cfRule>
  </conditionalFormatting>
  <conditionalFormatting sqref="AA41:AH41">
    <cfRule type="expression" dxfId="332" priority="3115">
      <formula>Q41:S52=0</formula>
    </cfRule>
  </conditionalFormatting>
  <conditionalFormatting sqref="AA14:AH14">
    <cfRule type="expression" dxfId="35" priority="2">
      <formula>Q14:S26=0</formula>
    </cfRule>
  </conditionalFormatting>
  <conditionalFormatting sqref="AA42:AH42">
    <cfRule type="expression" dxfId="15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E6F59161-5AF5-45BA-92C2-461749E8F3E4}"/>
  </dataValidations>
  <printOptions horizontalCentered="1"/>
  <pageMargins left="0" right="0" top="0.11811023622047245" bottom="0" header="0" footer="0"/>
  <pageSetup paperSize="9" scale="8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ADA5-4363-4999-8DBF-4CD9653CDDF3}">
  <sheetPr>
    <pageSetUpPr fitToPage="1"/>
  </sheetPr>
  <dimension ref="B1:AH55"/>
  <sheetViews>
    <sheetView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33" width="2.33203125" style="1"/>
    <col min="34" max="34" width="6" style="1" customWidth="1"/>
    <col min="35" max="16384" width="2.33203125" style="1"/>
  </cols>
  <sheetData>
    <row r="1" spans="2:34" ht="14.25" thickBot="1" x14ac:dyDescent="0.2">
      <c r="B1" s="3" t="s">
        <v>44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44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45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3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3</v>
      </c>
      <c r="X13" s="100"/>
      <c r="Y13" s="100"/>
      <c r="Z13" s="101"/>
      <c r="AA13" s="73">
        <f>B13+6</f>
        <v>46321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3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73" t="e">
        <f>B12+5</f>
        <v>#VALUE!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64</v>
      </c>
      <c r="R15" s="96"/>
      <c r="S15" s="97"/>
      <c r="T15" s="98">
        <f t="shared" si="0"/>
        <v>2</v>
      </c>
      <c r="U15" s="84"/>
      <c r="V15" s="84"/>
      <c r="W15" s="99">
        <f t="shared" si="1"/>
        <v>4</v>
      </c>
      <c r="X15" s="100"/>
      <c r="Y15" s="100"/>
      <c r="Z15" s="101"/>
      <c r="AA15" s="73">
        <f>B13+5</f>
        <v>46320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11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11</v>
      </c>
      <c r="X16" s="100"/>
      <c r="Y16" s="100"/>
      <c r="Z16" s="101"/>
      <c r="AA16" s="73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9</v>
      </c>
      <c r="R17" s="96"/>
      <c r="S17" s="97"/>
      <c r="T17" s="98">
        <f t="shared" si="0"/>
        <v>0</v>
      </c>
      <c r="U17" s="84"/>
      <c r="V17" s="84"/>
      <c r="W17" s="99">
        <f t="shared" si="1"/>
        <v>9</v>
      </c>
      <c r="X17" s="100"/>
      <c r="Y17" s="100"/>
      <c r="Z17" s="101"/>
      <c r="AA17" s="73">
        <f>B13+5-1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1</v>
      </c>
      <c r="R18" s="96"/>
      <c r="S18" s="97"/>
      <c r="T18" s="98">
        <f t="shared" si="0"/>
        <v>0</v>
      </c>
      <c r="U18" s="84"/>
      <c r="V18" s="84"/>
      <c r="W18" s="99">
        <f t="shared" si="1"/>
        <v>1</v>
      </c>
      <c r="X18" s="100"/>
      <c r="Y18" s="100"/>
      <c r="Z18" s="101"/>
      <c r="AA18" s="73">
        <f>B13+5-1</f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0</v>
      </c>
      <c r="R19" s="96"/>
      <c r="S19" s="97"/>
      <c r="T19" s="98">
        <f t="shared" si="0"/>
        <v>0</v>
      </c>
      <c r="U19" s="84"/>
      <c r="V19" s="84"/>
      <c r="W19" s="99">
        <f t="shared" si="1"/>
        <v>0</v>
      </c>
      <c r="X19" s="100"/>
      <c r="Y19" s="100"/>
      <c r="Z19" s="101"/>
      <c r="AA19" s="73">
        <f>B13+5-1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1</v>
      </c>
      <c r="R20" s="96"/>
      <c r="S20" s="97"/>
      <c r="T20" s="98">
        <f t="shared" si="0"/>
        <v>0</v>
      </c>
      <c r="U20" s="84"/>
      <c r="V20" s="84"/>
      <c r="W20" s="99">
        <f t="shared" si="1"/>
        <v>1</v>
      </c>
      <c r="X20" s="100"/>
      <c r="Y20" s="100"/>
      <c r="Z20" s="101"/>
      <c r="AA20" s="72">
        <f>B13+5</f>
        <v>46320</v>
      </c>
      <c r="AB20" s="73"/>
      <c r="AC20" s="73"/>
      <c r="AD20" s="73"/>
      <c r="AE20" s="73"/>
      <c r="AF20" s="73"/>
      <c r="AG20" s="73"/>
      <c r="AH20" s="74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1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1</v>
      </c>
      <c r="X21" s="100"/>
      <c r="Y21" s="100"/>
      <c r="Z21" s="101"/>
      <c r="AA21" s="72">
        <f>B13+4</f>
        <v>46319</v>
      </c>
      <c r="AB21" s="73"/>
      <c r="AC21" s="73"/>
      <c r="AD21" s="73"/>
      <c r="AE21" s="73"/>
      <c r="AF21" s="73"/>
      <c r="AG21" s="73"/>
      <c r="AH21" s="74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7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7</v>
      </c>
      <c r="X22" s="100"/>
      <c r="Y22" s="100"/>
      <c r="Z22" s="101"/>
      <c r="AA22" s="72">
        <f>B13+5-1</f>
        <v>46319</v>
      </c>
      <c r="AB22" s="73"/>
      <c r="AC22" s="73"/>
      <c r="AD22" s="73"/>
      <c r="AE22" s="73"/>
      <c r="AF22" s="73"/>
      <c r="AG22" s="73"/>
      <c r="AH22" s="74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6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6</v>
      </c>
      <c r="X23" s="100"/>
      <c r="Y23" s="100"/>
      <c r="Z23" s="101"/>
      <c r="AA23" s="72">
        <f>B13+5</f>
        <v>46320</v>
      </c>
      <c r="AB23" s="73"/>
      <c r="AC23" s="73"/>
      <c r="AD23" s="73"/>
      <c r="AE23" s="73"/>
      <c r="AF23" s="73"/>
      <c r="AG23" s="73"/>
      <c r="AH23" s="74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72"/>
      <c r="AB24" s="73"/>
      <c r="AC24" s="73"/>
      <c r="AD24" s="73"/>
      <c r="AE24" s="73"/>
      <c r="AF24" s="73"/>
      <c r="AG24" s="73"/>
      <c r="AH24" s="74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106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46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화인로지텍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경기도 남양주시 수동면 비룡로 958 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3</v>
      </c>
      <c r="R41" s="216"/>
      <c r="S41" s="216"/>
      <c r="T41" s="217">
        <f>T13</f>
        <v>0</v>
      </c>
      <c r="U41" s="217"/>
      <c r="V41" s="217"/>
      <c r="W41" s="218">
        <f>W13</f>
        <v>3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3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64</v>
      </c>
      <c r="R43" s="216"/>
      <c r="S43" s="216"/>
      <c r="T43" s="217">
        <f t="shared" si="15"/>
        <v>2</v>
      </c>
      <c r="U43" s="217"/>
      <c r="V43" s="217"/>
      <c r="W43" s="218">
        <f t="shared" si="16"/>
        <v>4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11</v>
      </c>
      <c r="R44" s="216"/>
      <c r="S44" s="216"/>
      <c r="T44" s="217">
        <f t="shared" si="15"/>
        <v>0</v>
      </c>
      <c r="U44" s="217"/>
      <c r="V44" s="217"/>
      <c r="W44" s="218">
        <f t="shared" si="16"/>
        <v>11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9</v>
      </c>
      <c r="R45" s="216"/>
      <c r="S45" s="216"/>
      <c r="T45" s="217">
        <f t="shared" si="15"/>
        <v>0</v>
      </c>
      <c r="U45" s="217"/>
      <c r="V45" s="217"/>
      <c r="W45" s="218">
        <f t="shared" si="16"/>
        <v>9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1</v>
      </c>
      <c r="R46" s="216"/>
      <c r="S46" s="216"/>
      <c r="T46" s="217">
        <f t="shared" si="15"/>
        <v>0</v>
      </c>
      <c r="U46" s="217"/>
      <c r="V46" s="217"/>
      <c r="W46" s="218">
        <f t="shared" si="16"/>
        <v>1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0</v>
      </c>
      <c r="R47" s="216"/>
      <c r="S47" s="216"/>
      <c r="T47" s="217">
        <f t="shared" si="15"/>
        <v>0</v>
      </c>
      <c r="U47" s="217"/>
      <c r="V47" s="217"/>
      <c r="W47" s="218">
        <f t="shared" si="16"/>
        <v>0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1</v>
      </c>
      <c r="R48" s="216"/>
      <c r="S48" s="216"/>
      <c r="T48" s="217">
        <f t="shared" si="15"/>
        <v>0</v>
      </c>
      <c r="U48" s="217"/>
      <c r="V48" s="217"/>
      <c r="W48" s="218">
        <f t="shared" si="16"/>
        <v>1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1</v>
      </c>
      <c r="R49" s="216"/>
      <c r="S49" s="216"/>
      <c r="T49" s="217">
        <f t="shared" si="15"/>
        <v>0</v>
      </c>
      <c r="U49" s="217"/>
      <c r="V49" s="217"/>
      <c r="W49" s="218">
        <f t="shared" si="16"/>
        <v>1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7</v>
      </c>
      <c r="R50" s="216"/>
      <c r="S50" s="216"/>
      <c r="T50" s="217">
        <f t="shared" si="15"/>
        <v>0</v>
      </c>
      <c r="U50" s="217"/>
      <c r="V50" s="217"/>
      <c r="W50" s="218">
        <f t="shared" si="16"/>
        <v>7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6</v>
      </c>
      <c r="R51" s="216"/>
      <c r="S51" s="216"/>
      <c r="T51" s="217">
        <f>T23</f>
        <v>0</v>
      </c>
      <c r="U51" s="217"/>
      <c r="V51" s="217"/>
      <c r="W51" s="218">
        <f t="shared" si="16"/>
        <v>6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106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100000000000001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 xml:space="preserve">경기도 남양주시 수동면 비룡로 958 
031)594-7533 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100000000000001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Q32:Q39"/>
    <mergeCell ref="R32:U33"/>
    <mergeCell ref="L34:P35"/>
    <mergeCell ref="B30:AH31"/>
    <mergeCell ref="B32:B39"/>
    <mergeCell ref="C32:F33"/>
    <mergeCell ref="AD38:AH39"/>
    <mergeCell ref="C38:F39"/>
    <mergeCell ref="G38:P39"/>
    <mergeCell ref="R38:U39"/>
    <mergeCell ref="V38:AA39"/>
    <mergeCell ref="AB38:AC39"/>
    <mergeCell ref="E24:L24"/>
    <mergeCell ref="M24:P24"/>
    <mergeCell ref="Q24:S24"/>
    <mergeCell ref="T24:V24"/>
    <mergeCell ref="W24:Z24"/>
    <mergeCell ref="G36:P37"/>
    <mergeCell ref="R36:U37"/>
    <mergeCell ref="V36:AH37"/>
    <mergeCell ref="E25:L25"/>
    <mergeCell ref="AA24:AH24"/>
    <mergeCell ref="V34:AA35"/>
    <mergeCell ref="G32:P33"/>
    <mergeCell ref="M25:Z25"/>
    <mergeCell ref="AA25:AH25"/>
    <mergeCell ref="C34:F35"/>
    <mergeCell ref="G34:K35"/>
    <mergeCell ref="B25:D25"/>
    <mergeCell ref="R34:U35"/>
    <mergeCell ref="AB34:AC35"/>
    <mergeCell ref="AD34:AH35"/>
    <mergeCell ref="C36:F37"/>
    <mergeCell ref="B26:V27"/>
    <mergeCell ref="W26:AH27"/>
    <mergeCell ref="V32:AH33"/>
    <mergeCell ref="M12:P12"/>
    <mergeCell ref="W13:Z13"/>
    <mergeCell ref="AA13:AH13"/>
    <mergeCell ref="E19:L19"/>
    <mergeCell ref="M19:P19"/>
    <mergeCell ref="E12:L12"/>
    <mergeCell ref="Q12:S12"/>
    <mergeCell ref="T12:V12"/>
    <mergeCell ref="W12:Z12"/>
    <mergeCell ref="AA12:AH12"/>
    <mergeCell ref="Q19:S19"/>
    <mergeCell ref="T19:V19"/>
    <mergeCell ref="E18:L18"/>
    <mergeCell ref="M18:P18"/>
    <mergeCell ref="Q18:S18"/>
    <mergeCell ref="T18:V18"/>
    <mergeCell ref="E17:L17"/>
    <mergeCell ref="M17:P17"/>
    <mergeCell ref="Q17:S17"/>
    <mergeCell ref="T17:V17"/>
    <mergeCell ref="W17:Z17"/>
    <mergeCell ref="AA17:AH17"/>
    <mergeCell ref="M15:P15"/>
    <mergeCell ref="Q15:S15"/>
    <mergeCell ref="T15:V15"/>
    <mergeCell ref="W15:Z15"/>
    <mergeCell ref="AA15:AH15"/>
    <mergeCell ref="E22:L22"/>
    <mergeCell ref="M22:P22"/>
    <mergeCell ref="Q22:S22"/>
    <mergeCell ref="T22:V22"/>
    <mergeCell ref="W22:Z22"/>
    <mergeCell ref="AA22:AH22"/>
    <mergeCell ref="E16:L16"/>
    <mergeCell ref="M16:P16"/>
    <mergeCell ref="Q16:S16"/>
    <mergeCell ref="T16:V16"/>
    <mergeCell ref="W16:Z16"/>
    <mergeCell ref="AA16:AH16"/>
    <mergeCell ref="Q21:S21"/>
    <mergeCell ref="T21:V21"/>
    <mergeCell ref="W21:Z21"/>
    <mergeCell ref="AA21:AH21"/>
    <mergeCell ref="B13:D13"/>
    <mergeCell ref="E13:L13"/>
    <mergeCell ref="M13:P13"/>
    <mergeCell ref="Q13:S13"/>
    <mergeCell ref="T13:V13"/>
    <mergeCell ref="AA23:AH23"/>
    <mergeCell ref="AA19:AH19"/>
    <mergeCell ref="AA18:AH18"/>
    <mergeCell ref="W19:Z19"/>
    <mergeCell ref="E23:L23"/>
    <mergeCell ref="M23:P23"/>
    <mergeCell ref="Q23:S23"/>
    <mergeCell ref="T23:V23"/>
    <mergeCell ref="W23:Z23"/>
    <mergeCell ref="E20:L20"/>
    <mergeCell ref="M20:P20"/>
    <mergeCell ref="Q20:S20"/>
    <mergeCell ref="T20:V20"/>
    <mergeCell ref="W18:Z18"/>
    <mergeCell ref="W20:Z20"/>
    <mergeCell ref="AA20:AH20"/>
    <mergeCell ref="E15:L15"/>
    <mergeCell ref="E21:L21"/>
    <mergeCell ref="M21:P21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53:D53"/>
    <mergeCell ref="E53:L53"/>
    <mergeCell ref="M53:Z53"/>
    <mergeCell ref="AA53:AH53"/>
    <mergeCell ref="B54:V55"/>
    <mergeCell ref="W54:AH55"/>
    <mergeCell ref="E51:L51"/>
    <mergeCell ref="M51:P51"/>
    <mergeCell ref="Q51:S51"/>
    <mergeCell ref="T51:V51"/>
    <mergeCell ref="W51:Z51"/>
    <mergeCell ref="AA51:AH51"/>
    <mergeCell ref="E52:L52"/>
    <mergeCell ref="M52:P52"/>
    <mergeCell ref="Q52:S52"/>
    <mergeCell ref="T52:V52"/>
    <mergeCell ref="W52:Z52"/>
    <mergeCell ref="AA52:AH52"/>
    <mergeCell ref="E50:L50"/>
    <mergeCell ref="M50:P50"/>
    <mergeCell ref="Q50:S50"/>
    <mergeCell ref="T50:V50"/>
    <mergeCell ref="W50:Z50"/>
    <mergeCell ref="AA50:AH50"/>
    <mergeCell ref="M41:P41"/>
    <mergeCell ref="Q41:S41"/>
    <mergeCell ref="T41:V41"/>
    <mergeCell ref="W41:Z41"/>
    <mergeCell ref="AA41:AH41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3:L43"/>
    <mergeCell ref="E44:L44"/>
    <mergeCell ref="M44:P44"/>
    <mergeCell ref="Q44:S44"/>
    <mergeCell ref="T44:V44"/>
    <mergeCell ref="W44:Z44"/>
    <mergeCell ref="AA44:AH44"/>
    <mergeCell ref="B41:D41"/>
    <mergeCell ref="E41:L41"/>
    <mergeCell ref="M40:P40"/>
    <mergeCell ref="Q40:S40"/>
    <mergeCell ref="T40:V40"/>
    <mergeCell ref="W40:Z40"/>
    <mergeCell ref="AA40:AH40"/>
    <mergeCell ref="M43:P43"/>
    <mergeCell ref="Q43:S43"/>
    <mergeCell ref="T43:V43"/>
    <mergeCell ref="W43:Z43"/>
    <mergeCell ref="AA43:AH43"/>
    <mergeCell ref="E40:L40"/>
    <mergeCell ref="E49:L49"/>
    <mergeCell ref="M49:P49"/>
    <mergeCell ref="Q49:S49"/>
    <mergeCell ref="T49:V49"/>
    <mergeCell ref="W49:Z49"/>
    <mergeCell ref="AA49:AH49"/>
    <mergeCell ref="E45:L45"/>
    <mergeCell ref="M45:P45"/>
    <mergeCell ref="Q45:S45"/>
    <mergeCell ref="T45:V45"/>
    <mergeCell ref="W45:Z45"/>
    <mergeCell ref="AA45:AH45"/>
    <mergeCell ref="E48:L48"/>
    <mergeCell ref="M48:P48"/>
    <mergeCell ref="Q48:S48"/>
    <mergeCell ref="T48:V48"/>
    <mergeCell ref="W48:Z48"/>
    <mergeCell ref="AA48:AH48"/>
  </mergeCells>
  <phoneticPr fontId="2" type="noConversion"/>
  <conditionalFormatting sqref="AA13:AH13">
    <cfRule type="expression" dxfId="331" priority="1925">
      <formula>Q13:S27=0</formula>
    </cfRule>
  </conditionalFormatting>
  <conditionalFormatting sqref="AA15:AH15">
    <cfRule type="expression" dxfId="330" priority="11">
      <formula>Q15:S27=0</formula>
    </cfRule>
  </conditionalFormatting>
  <conditionalFormatting sqref="AA16:AH19 AA43:AH51">
    <cfRule type="expression" dxfId="329" priority="6">
      <formula>Q16:S26=0</formula>
    </cfRule>
  </conditionalFormatting>
  <conditionalFormatting sqref="AA20:AH21">
    <cfRule type="expression" dxfId="328" priority="4">
      <formula>Q20:S29=0</formula>
    </cfRule>
  </conditionalFormatting>
  <conditionalFormatting sqref="AA22:AH22">
    <cfRule type="expression" dxfId="327" priority="2691">
      <formula>Q22:S30=0</formula>
    </cfRule>
  </conditionalFormatting>
  <conditionalFormatting sqref="AA23:AH24">
    <cfRule type="expression" dxfId="326" priority="2867">
      <formula>Q23:S30=0</formula>
    </cfRule>
  </conditionalFormatting>
  <conditionalFormatting sqref="AA52:AH52">
    <cfRule type="expression" dxfId="325" priority="2948">
      <formula>Q52:S52=0</formula>
    </cfRule>
  </conditionalFormatting>
  <conditionalFormatting sqref="AA41:AH41">
    <cfRule type="expression" dxfId="324" priority="3114">
      <formula>Q41:S52=0</formula>
    </cfRule>
  </conditionalFormatting>
  <conditionalFormatting sqref="AA14:AH14">
    <cfRule type="expression" dxfId="36" priority="2">
      <formula>Q14:S26=0</formula>
    </cfRule>
  </conditionalFormatting>
  <conditionalFormatting sqref="AA42:AH42">
    <cfRule type="expression" dxfId="16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B22F7E62-67CC-478E-9A48-2B85C13225CF}"/>
  </dataValidations>
  <printOptions horizontalCentered="1"/>
  <pageMargins left="0" right="0" top="0.11811023622047245" bottom="0" header="0" footer="0"/>
  <pageSetup paperSize="9" scale="8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6B05-7DBA-4091-A697-4CA3A6F9D9E1}">
  <sheetPr>
    <pageSetUpPr fitToPage="1"/>
  </sheetPr>
  <dimension ref="B1:AH55"/>
  <sheetViews>
    <sheetView topLeftCell="A2"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47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47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48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3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3</v>
      </c>
      <c r="X13" s="100"/>
      <c r="Y13" s="100"/>
      <c r="Z13" s="101"/>
      <c r="AA13" s="251">
        <f>B13+6</f>
        <v>46321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3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251" t="e">
        <f>B12+5</f>
        <v>#VALUE!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92</v>
      </c>
      <c r="R15" s="96"/>
      <c r="S15" s="97"/>
      <c r="T15" s="98">
        <f t="shared" si="0"/>
        <v>3</v>
      </c>
      <c r="U15" s="84"/>
      <c r="V15" s="84"/>
      <c r="W15" s="99">
        <f t="shared" si="1"/>
        <v>2</v>
      </c>
      <c r="X15" s="100"/>
      <c r="Y15" s="100"/>
      <c r="Z15" s="101"/>
      <c r="AA15" s="251">
        <f>B13+5</f>
        <v>46320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6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6</v>
      </c>
      <c r="X16" s="100"/>
      <c r="Y16" s="100"/>
      <c r="Z16" s="101"/>
      <c r="AA16" s="251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15</v>
      </c>
      <c r="R17" s="96"/>
      <c r="S17" s="97"/>
      <c r="T17" s="98">
        <f t="shared" si="0"/>
        <v>0</v>
      </c>
      <c r="U17" s="84"/>
      <c r="V17" s="84"/>
      <c r="W17" s="99">
        <f t="shared" si="1"/>
        <v>15</v>
      </c>
      <c r="X17" s="100"/>
      <c r="Y17" s="100"/>
      <c r="Z17" s="101"/>
      <c r="AA17" s="251">
        <f>B13+5-1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3</v>
      </c>
      <c r="R18" s="96"/>
      <c r="S18" s="97"/>
      <c r="T18" s="98">
        <f t="shared" si="0"/>
        <v>0</v>
      </c>
      <c r="U18" s="84"/>
      <c r="V18" s="84"/>
      <c r="W18" s="99">
        <f t="shared" si="1"/>
        <v>3</v>
      </c>
      <c r="X18" s="100"/>
      <c r="Y18" s="100"/>
      <c r="Z18" s="101"/>
      <c r="AA18" s="251">
        <f>B13+5-1</f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2</v>
      </c>
      <c r="R19" s="96"/>
      <c r="S19" s="97"/>
      <c r="T19" s="98">
        <f t="shared" si="0"/>
        <v>0</v>
      </c>
      <c r="U19" s="84"/>
      <c r="V19" s="84"/>
      <c r="W19" s="99">
        <f t="shared" si="1"/>
        <v>2</v>
      </c>
      <c r="X19" s="100"/>
      <c r="Y19" s="100"/>
      <c r="Z19" s="101"/>
      <c r="AA19" s="251">
        <f>B13+5-1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2</v>
      </c>
      <c r="R20" s="96"/>
      <c r="S20" s="97"/>
      <c r="T20" s="98">
        <f t="shared" si="0"/>
        <v>0</v>
      </c>
      <c r="U20" s="84"/>
      <c r="V20" s="84"/>
      <c r="W20" s="99">
        <f t="shared" si="1"/>
        <v>2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1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1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9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9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6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6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142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49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BGF로지스안성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경기도 안성시 대덕면 서동대로 4672-32 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3</v>
      </c>
      <c r="R41" s="216"/>
      <c r="S41" s="216"/>
      <c r="T41" s="217">
        <f>T13</f>
        <v>0</v>
      </c>
      <c r="U41" s="217"/>
      <c r="V41" s="217"/>
      <c r="W41" s="218">
        <f>W13</f>
        <v>3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3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92</v>
      </c>
      <c r="R43" s="216"/>
      <c r="S43" s="216"/>
      <c r="T43" s="217">
        <f t="shared" si="15"/>
        <v>3</v>
      </c>
      <c r="U43" s="217"/>
      <c r="V43" s="217"/>
      <c r="W43" s="218">
        <f t="shared" si="16"/>
        <v>2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6</v>
      </c>
      <c r="R44" s="216"/>
      <c r="S44" s="216"/>
      <c r="T44" s="217">
        <f t="shared" si="15"/>
        <v>0</v>
      </c>
      <c r="U44" s="217"/>
      <c r="V44" s="217"/>
      <c r="W44" s="218">
        <f t="shared" si="16"/>
        <v>6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15</v>
      </c>
      <c r="R45" s="216"/>
      <c r="S45" s="216"/>
      <c r="T45" s="217">
        <f t="shared" si="15"/>
        <v>0</v>
      </c>
      <c r="U45" s="217"/>
      <c r="V45" s="217"/>
      <c r="W45" s="218">
        <f t="shared" si="16"/>
        <v>15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3</v>
      </c>
      <c r="R46" s="216"/>
      <c r="S46" s="216"/>
      <c r="T46" s="217">
        <f t="shared" si="15"/>
        <v>0</v>
      </c>
      <c r="U46" s="217"/>
      <c r="V46" s="217"/>
      <c r="W46" s="218">
        <f t="shared" si="16"/>
        <v>3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2</v>
      </c>
      <c r="R47" s="216"/>
      <c r="S47" s="216"/>
      <c r="T47" s="217">
        <f t="shared" si="15"/>
        <v>0</v>
      </c>
      <c r="U47" s="217"/>
      <c r="V47" s="217"/>
      <c r="W47" s="218">
        <f t="shared" si="16"/>
        <v>2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2</v>
      </c>
      <c r="R48" s="216"/>
      <c r="S48" s="216"/>
      <c r="T48" s="217">
        <f t="shared" si="15"/>
        <v>0</v>
      </c>
      <c r="U48" s="217"/>
      <c r="V48" s="217"/>
      <c r="W48" s="218">
        <f t="shared" si="16"/>
        <v>2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1</v>
      </c>
      <c r="R49" s="216"/>
      <c r="S49" s="216"/>
      <c r="T49" s="217">
        <f t="shared" si="15"/>
        <v>0</v>
      </c>
      <c r="U49" s="217"/>
      <c r="V49" s="217"/>
      <c r="W49" s="218">
        <f t="shared" si="16"/>
        <v>1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9</v>
      </c>
      <c r="R50" s="216"/>
      <c r="S50" s="216"/>
      <c r="T50" s="217">
        <f t="shared" si="15"/>
        <v>0</v>
      </c>
      <c r="U50" s="217"/>
      <c r="V50" s="217"/>
      <c r="W50" s="218">
        <f t="shared" si="16"/>
        <v>9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6</v>
      </c>
      <c r="R51" s="216"/>
      <c r="S51" s="216"/>
      <c r="T51" s="217">
        <f>T23</f>
        <v>0</v>
      </c>
      <c r="U51" s="217"/>
      <c r="V51" s="217"/>
      <c r="W51" s="218">
        <f t="shared" si="16"/>
        <v>6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142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100000000000001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경기도 안성시 대덕면 서동대로 4672-32
 031)676-8311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100000000000001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M46:P46"/>
    <mergeCell ref="AA46:AH46"/>
    <mergeCell ref="W26:AH27"/>
    <mergeCell ref="B25:D25"/>
    <mergeCell ref="V38:AA39"/>
    <mergeCell ref="G36:P37"/>
    <mergeCell ref="G38:P39"/>
    <mergeCell ref="E40:L40"/>
    <mergeCell ref="M43:P43"/>
    <mergeCell ref="M40:P40"/>
    <mergeCell ref="C32:F33"/>
    <mergeCell ref="G32:P33"/>
    <mergeCell ref="E25:L25"/>
    <mergeCell ref="E44:L44"/>
    <mergeCell ref="M44:P44"/>
    <mergeCell ref="Q44:S44"/>
    <mergeCell ref="T44:V44"/>
    <mergeCell ref="W44:Z44"/>
    <mergeCell ref="R36:U37"/>
    <mergeCell ref="V36:AH37"/>
    <mergeCell ref="W12:Z12"/>
    <mergeCell ref="E50:L50"/>
    <mergeCell ref="M47:P47"/>
    <mergeCell ref="Q47:S47"/>
    <mergeCell ref="T47:V47"/>
    <mergeCell ref="W47:Z47"/>
    <mergeCell ref="AA47:AH47"/>
    <mergeCell ref="AD38:AH39"/>
    <mergeCell ref="R32:U33"/>
    <mergeCell ref="E15:L15"/>
    <mergeCell ref="M15:P15"/>
    <mergeCell ref="W23:Z23"/>
    <mergeCell ref="T18:V18"/>
    <mergeCell ref="AA20:AH20"/>
    <mergeCell ref="E48:L48"/>
    <mergeCell ref="M48:P48"/>
    <mergeCell ref="Q48:S48"/>
    <mergeCell ref="T48:V48"/>
    <mergeCell ref="W48:Z48"/>
    <mergeCell ref="AA48:AH48"/>
    <mergeCell ref="Q40:S40"/>
    <mergeCell ref="T40:V40"/>
    <mergeCell ref="W40:Z40"/>
    <mergeCell ref="AA40:AH40"/>
    <mergeCell ref="E12:L12"/>
    <mergeCell ref="Q12:S12"/>
    <mergeCell ref="T12:V12"/>
    <mergeCell ref="C34:F35"/>
    <mergeCell ref="AA12:AH12"/>
    <mergeCell ref="M12:P12"/>
    <mergeCell ref="B13:D13"/>
    <mergeCell ref="E13:L13"/>
    <mergeCell ref="M13:P13"/>
    <mergeCell ref="Q13:S13"/>
    <mergeCell ref="T13:V13"/>
    <mergeCell ref="E18:L18"/>
    <mergeCell ref="M18:P18"/>
    <mergeCell ref="Q18:S18"/>
    <mergeCell ref="V32:AH33"/>
    <mergeCell ref="V34:AA35"/>
    <mergeCell ref="AB34:AC35"/>
    <mergeCell ref="AD34:AH35"/>
    <mergeCell ref="E23:L23"/>
    <mergeCell ref="M23:P23"/>
    <mergeCell ref="AA17:AH17"/>
    <mergeCell ref="AA13:AH13"/>
    <mergeCell ref="W13:Z13"/>
    <mergeCell ref="W15:Z15"/>
    <mergeCell ref="B54:V55"/>
    <mergeCell ref="W54:AH55"/>
    <mergeCell ref="AA41:AH41"/>
    <mergeCell ref="B41:D41"/>
    <mergeCell ref="E41:L41"/>
    <mergeCell ref="M41:P41"/>
    <mergeCell ref="Q41:S41"/>
    <mergeCell ref="T41:V41"/>
    <mergeCell ref="W41:Z41"/>
    <mergeCell ref="E51:L51"/>
    <mergeCell ref="M51:P51"/>
    <mergeCell ref="Q51:S51"/>
    <mergeCell ref="T51:V51"/>
    <mergeCell ref="W51:Z51"/>
    <mergeCell ref="AA51:AH51"/>
    <mergeCell ref="E52:L52"/>
    <mergeCell ref="M52:P52"/>
    <mergeCell ref="E47:L47"/>
    <mergeCell ref="W52:Z52"/>
    <mergeCell ref="W46:Z46"/>
    <mergeCell ref="Q46:S46"/>
    <mergeCell ref="T46:V46"/>
    <mergeCell ref="AA53:AH53"/>
    <mergeCell ref="E43:L43"/>
    <mergeCell ref="B53:D53"/>
    <mergeCell ref="M53:Z53"/>
    <mergeCell ref="AA23:AH23"/>
    <mergeCell ref="M19:P19"/>
    <mergeCell ref="Q19:S19"/>
    <mergeCell ref="T19:V19"/>
    <mergeCell ref="W19:Z19"/>
    <mergeCell ref="AA19:AH19"/>
    <mergeCell ref="Q52:S52"/>
    <mergeCell ref="T52:V52"/>
    <mergeCell ref="M50:P50"/>
    <mergeCell ref="Q50:S50"/>
    <mergeCell ref="T50:V50"/>
    <mergeCell ref="W50:Z50"/>
    <mergeCell ref="AA50:AH50"/>
    <mergeCell ref="B26:V27"/>
    <mergeCell ref="E53:L53"/>
    <mergeCell ref="AA52:AH52"/>
    <mergeCell ref="E46:L46"/>
    <mergeCell ref="G34:K35"/>
    <mergeCell ref="L34:P35"/>
    <mergeCell ref="R34:U35"/>
    <mergeCell ref="C38:F39"/>
    <mergeCell ref="R38:U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R8:U9"/>
    <mergeCell ref="V8:AH9"/>
    <mergeCell ref="C8:F9"/>
    <mergeCell ref="G8:P9"/>
    <mergeCell ref="AA15:AH15"/>
    <mergeCell ref="AA18:AH18"/>
    <mergeCell ref="AA44:AH44"/>
    <mergeCell ref="W18:Z18"/>
    <mergeCell ref="Q43:S43"/>
    <mergeCell ref="T43:V43"/>
    <mergeCell ref="W43:Z43"/>
    <mergeCell ref="AA43:AH43"/>
    <mergeCell ref="Q15:S15"/>
    <mergeCell ref="T15:V15"/>
    <mergeCell ref="W24:Z24"/>
    <mergeCell ref="AA24:AH24"/>
    <mergeCell ref="Q22:S22"/>
    <mergeCell ref="T22:V22"/>
    <mergeCell ref="W22:Z22"/>
    <mergeCell ref="AA22:AH22"/>
    <mergeCell ref="Q32:Q39"/>
    <mergeCell ref="M25:Z25"/>
    <mergeCell ref="AB38:AC39"/>
    <mergeCell ref="W20:Z20"/>
    <mergeCell ref="W21:Z21"/>
    <mergeCell ref="AA25:AH25"/>
    <mergeCell ref="B30:AH31"/>
    <mergeCell ref="B32:B39"/>
    <mergeCell ref="E19:L19"/>
    <mergeCell ref="E24:L24"/>
    <mergeCell ref="M24:P24"/>
    <mergeCell ref="Q24:S24"/>
    <mergeCell ref="T24:V24"/>
    <mergeCell ref="C36:F37"/>
    <mergeCell ref="M20:P20"/>
    <mergeCell ref="Q20:S20"/>
    <mergeCell ref="T20:V20"/>
    <mergeCell ref="T23:V23"/>
    <mergeCell ref="Q23:S23"/>
    <mergeCell ref="E20:L20"/>
    <mergeCell ref="E22:L22"/>
    <mergeCell ref="M22:P22"/>
    <mergeCell ref="E21:L21"/>
    <mergeCell ref="M21:P21"/>
    <mergeCell ref="Q21:S21"/>
    <mergeCell ref="T21:V21"/>
    <mergeCell ref="AA21:AH21"/>
    <mergeCell ref="E49:L49"/>
    <mergeCell ref="M49:P49"/>
    <mergeCell ref="Q49:S49"/>
    <mergeCell ref="T49:V49"/>
    <mergeCell ref="W49:Z49"/>
    <mergeCell ref="AA49:AH49"/>
    <mergeCell ref="E16:L16"/>
    <mergeCell ref="M16:P16"/>
    <mergeCell ref="Q16:S16"/>
    <mergeCell ref="T16:V16"/>
    <mergeCell ref="W16:Z16"/>
    <mergeCell ref="AA16:AH16"/>
    <mergeCell ref="E45:L45"/>
    <mergeCell ref="M45:P45"/>
    <mergeCell ref="Q45:S45"/>
    <mergeCell ref="T45:V45"/>
    <mergeCell ref="W45:Z45"/>
    <mergeCell ref="AA45:AH45"/>
    <mergeCell ref="E17:L17"/>
    <mergeCell ref="M17:P17"/>
    <mergeCell ref="Q17:S17"/>
    <mergeCell ref="T17:V17"/>
    <mergeCell ref="W17:Z17"/>
  </mergeCells>
  <phoneticPr fontId="2" type="noConversion"/>
  <conditionalFormatting sqref="AA13">
    <cfRule type="expression" dxfId="323" priority="1921">
      <formula>Q13:S27=0</formula>
    </cfRule>
  </conditionalFormatting>
  <conditionalFormatting sqref="AA14:AA15">
    <cfRule type="expression" dxfId="322" priority="9">
      <formula>Q14:S26=0</formula>
    </cfRule>
  </conditionalFormatting>
  <conditionalFormatting sqref="AA16:AA19 AA43:AH51">
    <cfRule type="expression" dxfId="321" priority="5">
      <formula>Q16:S26=0</formula>
    </cfRule>
  </conditionalFormatting>
  <conditionalFormatting sqref="AA20:AA21">
    <cfRule type="expression" dxfId="320" priority="3">
      <formula>Q20:S29=0</formula>
    </cfRule>
  </conditionalFormatting>
  <conditionalFormatting sqref="AA22">
    <cfRule type="expression" dxfId="319" priority="2687">
      <formula>Q22:S30=0</formula>
    </cfRule>
  </conditionalFormatting>
  <conditionalFormatting sqref="AA23:AA24">
    <cfRule type="expression" dxfId="318" priority="2863">
      <formula>Q23:S30=0</formula>
    </cfRule>
  </conditionalFormatting>
  <conditionalFormatting sqref="AA52:AH52">
    <cfRule type="expression" dxfId="317" priority="2944">
      <formula>Q52:S52=0</formula>
    </cfRule>
  </conditionalFormatting>
  <conditionalFormatting sqref="AA41:AH41">
    <cfRule type="expression" dxfId="316" priority="3112">
      <formula>Q41:S52=0</formula>
    </cfRule>
  </conditionalFormatting>
  <conditionalFormatting sqref="AA42:AH42">
    <cfRule type="expression" dxfId="17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B0806157-0196-4DC9-8B1C-2CEB8DF34BA5}"/>
  </dataValidations>
  <printOptions horizontalCentered="1"/>
  <pageMargins left="0" right="0" top="0.11811023622047245" bottom="0" header="0" footer="0"/>
  <pageSetup paperSize="9" scale="8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4B94-0362-40DD-BE47-E40B69016869}">
  <sheetPr>
    <pageSetUpPr fitToPage="1"/>
  </sheetPr>
  <dimension ref="B1:AH55"/>
  <sheetViews>
    <sheetView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5" width="1.44140625" style="1" customWidth="1"/>
    <col min="16" max="16" width="2.332031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126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126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127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6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6</v>
      </c>
      <c r="X13" s="100"/>
      <c r="Y13" s="100"/>
      <c r="Z13" s="101"/>
      <c r="AA13" s="346">
        <f>B13+6</f>
        <v>46321</v>
      </c>
      <c r="AB13" s="349"/>
      <c r="AC13" s="349"/>
      <c r="AD13" s="349"/>
      <c r="AE13" s="349"/>
      <c r="AF13" s="349"/>
      <c r="AG13" s="349"/>
      <c r="AH13" s="350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6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346" t="e">
        <f>B12+5</f>
        <v>#VALUE!</v>
      </c>
      <c r="AB14" s="349"/>
      <c r="AC14" s="349"/>
      <c r="AD14" s="349"/>
      <c r="AE14" s="349"/>
      <c r="AF14" s="349"/>
      <c r="AG14" s="349"/>
      <c r="AH14" s="350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115</v>
      </c>
      <c r="R15" s="96"/>
      <c r="S15" s="97"/>
      <c r="T15" s="98">
        <f t="shared" si="0"/>
        <v>3</v>
      </c>
      <c r="U15" s="84"/>
      <c r="V15" s="84"/>
      <c r="W15" s="99">
        <f t="shared" si="1"/>
        <v>25</v>
      </c>
      <c r="X15" s="100"/>
      <c r="Y15" s="100"/>
      <c r="Z15" s="101"/>
      <c r="AA15" s="346">
        <f>B13+5</f>
        <v>46320</v>
      </c>
      <c r="AB15" s="349"/>
      <c r="AC15" s="349"/>
      <c r="AD15" s="349"/>
      <c r="AE15" s="349"/>
      <c r="AF15" s="349"/>
      <c r="AG15" s="349"/>
      <c r="AH15" s="350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16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16</v>
      </c>
      <c r="X16" s="100"/>
      <c r="Y16" s="100"/>
      <c r="Z16" s="101"/>
      <c r="AA16" s="346">
        <f>B13+5-1</f>
        <v>46319</v>
      </c>
      <c r="AB16" s="349"/>
      <c r="AC16" s="349"/>
      <c r="AD16" s="349"/>
      <c r="AE16" s="349"/>
      <c r="AF16" s="349"/>
      <c r="AG16" s="349"/>
      <c r="AH16" s="350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21</v>
      </c>
      <c r="R17" s="96"/>
      <c r="S17" s="97"/>
      <c r="T17" s="98">
        <f t="shared" si="0"/>
        <v>0</v>
      </c>
      <c r="U17" s="84"/>
      <c r="V17" s="84"/>
      <c r="W17" s="99">
        <f t="shared" si="1"/>
        <v>21</v>
      </c>
      <c r="X17" s="100"/>
      <c r="Y17" s="100"/>
      <c r="Z17" s="101"/>
      <c r="AA17" s="346">
        <f>B13+5-1</f>
        <v>46319</v>
      </c>
      <c r="AB17" s="349"/>
      <c r="AC17" s="349"/>
      <c r="AD17" s="349"/>
      <c r="AE17" s="349"/>
      <c r="AF17" s="349"/>
      <c r="AG17" s="349"/>
      <c r="AH17" s="350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2</v>
      </c>
      <c r="R18" s="96"/>
      <c r="S18" s="97"/>
      <c r="T18" s="98">
        <f t="shared" si="0"/>
        <v>0</v>
      </c>
      <c r="U18" s="84"/>
      <c r="V18" s="84"/>
      <c r="W18" s="99">
        <f t="shared" si="1"/>
        <v>2</v>
      </c>
      <c r="X18" s="100"/>
      <c r="Y18" s="100"/>
      <c r="Z18" s="101"/>
      <c r="AA18" s="346">
        <f>B13+5-1</f>
        <v>46319</v>
      </c>
      <c r="AB18" s="349"/>
      <c r="AC18" s="349"/>
      <c r="AD18" s="349"/>
      <c r="AE18" s="349"/>
      <c r="AF18" s="349"/>
      <c r="AG18" s="349"/>
      <c r="AH18" s="350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5</v>
      </c>
      <c r="R19" s="96"/>
      <c r="S19" s="97"/>
      <c r="T19" s="98">
        <f t="shared" si="0"/>
        <v>0</v>
      </c>
      <c r="U19" s="84"/>
      <c r="V19" s="84"/>
      <c r="W19" s="99">
        <f t="shared" si="1"/>
        <v>5</v>
      </c>
      <c r="X19" s="100"/>
      <c r="Y19" s="100"/>
      <c r="Z19" s="101"/>
      <c r="AA19" s="346">
        <f>B13+5-1</f>
        <v>46319</v>
      </c>
      <c r="AB19" s="349"/>
      <c r="AC19" s="349"/>
      <c r="AD19" s="349"/>
      <c r="AE19" s="349"/>
      <c r="AF19" s="349"/>
      <c r="AG19" s="349"/>
      <c r="AH19" s="350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9</v>
      </c>
      <c r="R20" s="96"/>
      <c r="S20" s="97"/>
      <c r="T20" s="98">
        <f t="shared" si="0"/>
        <v>0</v>
      </c>
      <c r="U20" s="84"/>
      <c r="V20" s="84"/>
      <c r="W20" s="99">
        <f t="shared" si="1"/>
        <v>9</v>
      </c>
      <c r="X20" s="100"/>
      <c r="Y20" s="100"/>
      <c r="Z20" s="101"/>
      <c r="AA20" s="346">
        <f>B13+5</f>
        <v>46320</v>
      </c>
      <c r="AB20" s="347"/>
      <c r="AC20" s="347"/>
      <c r="AD20" s="347"/>
      <c r="AE20" s="347"/>
      <c r="AF20" s="347"/>
      <c r="AG20" s="347"/>
      <c r="AH20" s="348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3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3</v>
      </c>
      <c r="X21" s="100"/>
      <c r="Y21" s="100"/>
      <c r="Z21" s="101"/>
      <c r="AA21" s="346">
        <f>B13+4</f>
        <v>46319</v>
      </c>
      <c r="AB21" s="347"/>
      <c r="AC21" s="347"/>
      <c r="AD21" s="347"/>
      <c r="AE21" s="347"/>
      <c r="AF21" s="347"/>
      <c r="AG21" s="347"/>
      <c r="AH21" s="348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19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19</v>
      </c>
      <c r="X22" s="100"/>
      <c r="Y22" s="100"/>
      <c r="Z22" s="101"/>
      <c r="AA22" s="346">
        <f>B13+5-1</f>
        <v>46319</v>
      </c>
      <c r="AB22" s="347"/>
      <c r="AC22" s="347"/>
      <c r="AD22" s="347"/>
      <c r="AE22" s="347"/>
      <c r="AF22" s="347"/>
      <c r="AG22" s="347"/>
      <c r="AH22" s="348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6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6</v>
      </c>
      <c r="X23" s="100"/>
      <c r="Y23" s="100"/>
      <c r="Z23" s="101"/>
      <c r="AA23" s="346">
        <f>B13+5</f>
        <v>46320</v>
      </c>
      <c r="AB23" s="347"/>
      <c r="AC23" s="347"/>
      <c r="AD23" s="347"/>
      <c r="AE23" s="347"/>
      <c r="AF23" s="347"/>
      <c r="AG23" s="347"/>
      <c r="AH23" s="348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346"/>
      <c r="AB24" s="347"/>
      <c r="AC24" s="347"/>
      <c r="AD24" s="347"/>
      <c r="AE24" s="347"/>
      <c r="AF24" s="347"/>
      <c r="AG24" s="347"/>
      <c r="AH24" s="348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208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8.75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tr">
        <f>G8</f>
        <v>인천광역시 서구 원창동 488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8.75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BGF로지스서인천1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인천광역시 서구 원창동 488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6</v>
      </c>
      <c r="R41" s="216"/>
      <c r="S41" s="216"/>
      <c r="T41" s="217">
        <f>T13</f>
        <v>0</v>
      </c>
      <c r="U41" s="217"/>
      <c r="V41" s="217"/>
      <c r="W41" s="218">
        <f>W13</f>
        <v>6</v>
      </c>
      <c r="X41" s="218"/>
      <c r="Y41" s="218"/>
      <c r="Z41" s="218"/>
      <c r="AA41" s="343">
        <f>AA13</f>
        <v>46321</v>
      </c>
      <c r="AB41" s="344"/>
      <c r="AC41" s="344"/>
      <c r="AD41" s="344"/>
      <c r="AE41" s="344"/>
      <c r="AF41" s="344"/>
      <c r="AG41" s="344"/>
      <c r="AH41" s="345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6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343" t="e">
        <f t="shared" ref="AA42:AA51" si="17">AA14</f>
        <v>#VALUE!</v>
      </c>
      <c r="AB42" s="344"/>
      <c r="AC42" s="344"/>
      <c r="AD42" s="344"/>
      <c r="AE42" s="344"/>
      <c r="AF42" s="344"/>
      <c r="AG42" s="344"/>
      <c r="AH42" s="345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115</v>
      </c>
      <c r="R43" s="216"/>
      <c r="S43" s="216"/>
      <c r="T43" s="217">
        <f t="shared" si="15"/>
        <v>3</v>
      </c>
      <c r="U43" s="217"/>
      <c r="V43" s="217"/>
      <c r="W43" s="218">
        <f t="shared" si="16"/>
        <v>25</v>
      </c>
      <c r="X43" s="218"/>
      <c r="Y43" s="218"/>
      <c r="Z43" s="218"/>
      <c r="AA43" s="343">
        <f t="shared" si="17"/>
        <v>46320</v>
      </c>
      <c r="AB43" s="344"/>
      <c r="AC43" s="344"/>
      <c r="AD43" s="344"/>
      <c r="AE43" s="344"/>
      <c r="AF43" s="344"/>
      <c r="AG43" s="344"/>
      <c r="AH43" s="345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16</v>
      </c>
      <c r="R44" s="216"/>
      <c r="S44" s="216"/>
      <c r="T44" s="217">
        <f t="shared" si="15"/>
        <v>0</v>
      </c>
      <c r="U44" s="217"/>
      <c r="V44" s="217"/>
      <c r="W44" s="218">
        <f t="shared" si="16"/>
        <v>16</v>
      </c>
      <c r="X44" s="218"/>
      <c r="Y44" s="218"/>
      <c r="Z44" s="218"/>
      <c r="AA44" s="343">
        <f t="shared" si="17"/>
        <v>46319</v>
      </c>
      <c r="AB44" s="344"/>
      <c r="AC44" s="344"/>
      <c r="AD44" s="344"/>
      <c r="AE44" s="344"/>
      <c r="AF44" s="344"/>
      <c r="AG44" s="344"/>
      <c r="AH44" s="345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21</v>
      </c>
      <c r="R45" s="216"/>
      <c r="S45" s="216"/>
      <c r="T45" s="217">
        <f t="shared" si="15"/>
        <v>0</v>
      </c>
      <c r="U45" s="217"/>
      <c r="V45" s="217"/>
      <c r="W45" s="218">
        <f t="shared" si="16"/>
        <v>21</v>
      </c>
      <c r="X45" s="218"/>
      <c r="Y45" s="218"/>
      <c r="Z45" s="218"/>
      <c r="AA45" s="343">
        <f t="shared" si="17"/>
        <v>46319</v>
      </c>
      <c r="AB45" s="344"/>
      <c r="AC45" s="344"/>
      <c r="AD45" s="344"/>
      <c r="AE45" s="344"/>
      <c r="AF45" s="344"/>
      <c r="AG45" s="344"/>
      <c r="AH45" s="345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2</v>
      </c>
      <c r="R46" s="216"/>
      <c r="S46" s="216"/>
      <c r="T46" s="217">
        <f t="shared" si="15"/>
        <v>0</v>
      </c>
      <c r="U46" s="217"/>
      <c r="V46" s="217"/>
      <c r="W46" s="218">
        <f t="shared" si="16"/>
        <v>2</v>
      </c>
      <c r="X46" s="218"/>
      <c r="Y46" s="218"/>
      <c r="Z46" s="218"/>
      <c r="AA46" s="343">
        <f t="shared" si="17"/>
        <v>46319</v>
      </c>
      <c r="AB46" s="344"/>
      <c r="AC46" s="344"/>
      <c r="AD46" s="344"/>
      <c r="AE46" s="344"/>
      <c r="AF46" s="344"/>
      <c r="AG46" s="344"/>
      <c r="AH46" s="345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5</v>
      </c>
      <c r="R47" s="216"/>
      <c r="S47" s="216"/>
      <c r="T47" s="217">
        <f t="shared" si="15"/>
        <v>0</v>
      </c>
      <c r="U47" s="217"/>
      <c r="V47" s="217"/>
      <c r="W47" s="218">
        <f t="shared" si="16"/>
        <v>5</v>
      </c>
      <c r="X47" s="218"/>
      <c r="Y47" s="218"/>
      <c r="Z47" s="218"/>
      <c r="AA47" s="343">
        <f t="shared" si="17"/>
        <v>46319</v>
      </c>
      <c r="AB47" s="344"/>
      <c r="AC47" s="344"/>
      <c r="AD47" s="344"/>
      <c r="AE47" s="344"/>
      <c r="AF47" s="344"/>
      <c r="AG47" s="344"/>
      <c r="AH47" s="345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9</v>
      </c>
      <c r="R48" s="216"/>
      <c r="S48" s="216"/>
      <c r="T48" s="217">
        <f t="shared" si="15"/>
        <v>0</v>
      </c>
      <c r="U48" s="217"/>
      <c r="V48" s="217"/>
      <c r="W48" s="218">
        <f t="shared" si="16"/>
        <v>9</v>
      </c>
      <c r="X48" s="218"/>
      <c r="Y48" s="218"/>
      <c r="Z48" s="218"/>
      <c r="AA48" s="343">
        <f t="shared" si="17"/>
        <v>46320</v>
      </c>
      <c r="AB48" s="344"/>
      <c r="AC48" s="344"/>
      <c r="AD48" s="344"/>
      <c r="AE48" s="344"/>
      <c r="AF48" s="344"/>
      <c r="AG48" s="344"/>
      <c r="AH48" s="345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3</v>
      </c>
      <c r="R49" s="216"/>
      <c r="S49" s="216"/>
      <c r="T49" s="217">
        <f t="shared" si="15"/>
        <v>0</v>
      </c>
      <c r="U49" s="217"/>
      <c r="V49" s="217"/>
      <c r="W49" s="218">
        <f t="shared" si="16"/>
        <v>3</v>
      </c>
      <c r="X49" s="218"/>
      <c r="Y49" s="218"/>
      <c r="Z49" s="218"/>
      <c r="AA49" s="343">
        <f t="shared" si="17"/>
        <v>46319</v>
      </c>
      <c r="AB49" s="344"/>
      <c r="AC49" s="344"/>
      <c r="AD49" s="344"/>
      <c r="AE49" s="344"/>
      <c r="AF49" s="344"/>
      <c r="AG49" s="344"/>
      <c r="AH49" s="345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19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19</v>
      </c>
      <c r="X50" s="218"/>
      <c r="Y50" s="218"/>
      <c r="Z50" s="218"/>
      <c r="AA50" s="343">
        <f t="shared" si="17"/>
        <v>46319</v>
      </c>
      <c r="AB50" s="344"/>
      <c r="AC50" s="344"/>
      <c r="AD50" s="344"/>
      <c r="AE50" s="344"/>
      <c r="AF50" s="344"/>
      <c r="AG50" s="344"/>
      <c r="AH50" s="345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6</v>
      </c>
      <c r="R51" s="216"/>
      <c r="S51" s="216"/>
      <c r="T51" s="217">
        <f>T23</f>
        <v>0</v>
      </c>
      <c r="U51" s="217"/>
      <c r="V51" s="217"/>
      <c r="W51" s="218">
        <f t="shared" si="16"/>
        <v>6</v>
      </c>
      <c r="X51" s="218"/>
      <c r="Y51" s="218"/>
      <c r="Z51" s="218"/>
      <c r="AA51" s="343">
        <f t="shared" si="17"/>
        <v>46320</v>
      </c>
      <c r="AB51" s="344"/>
      <c r="AC51" s="344"/>
      <c r="AD51" s="344"/>
      <c r="AE51" s="344"/>
      <c r="AF51" s="344"/>
      <c r="AG51" s="344"/>
      <c r="AH51" s="345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208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8.75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인천광역시 서구 원창동 488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8.75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Q32:Q39"/>
    <mergeCell ref="R32:U33"/>
    <mergeCell ref="L34:P35"/>
    <mergeCell ref="B30:AH31"/>
    <mergeCell ref="B32:B39"/>
    <mergeCell ref="C32:F33"/>
    <mergeCell ref="AD38:AH39"/>
    <mergeCell ref="C38:F39"/>
    <mergeCell ref="G38:P39"/>
    <mergeCell ref="R38:U39"/>
    <mergeCell ref="V38:AA39"/>
    <mergeCell ref="AB38:AC39"/>
    <mergeCell ref="E24:L24"/>
    <mergeCell ref="M24:P24"/>
    <mergeCell ref="Q24:S24"/>
    <mergeCell ref="T24:V24"/>
    <mergeCell ref="W24:Z24"/>
    <mergeCell ref="G36:P37"/>
    <mergeCell ref="R36:U37"/>
    <mergeCell ref="V36:AH37"/>
    <mergeCell ref="E25:L25"/>
    <mergeCell ref="AA24:AH24"/>
    <mergeCell ref="V34:AA35"/>
    <mergeCell ref="G32:P33"/>
    <mergeCell ref="M25:Z25"/>
    <mergeCell ref="AA25:AH25"/>
    <mergeCell ref="C34:F35"/>
    <mergeCell ref="G34:K35"/>
    <mergeCell ref="B25:D25"/>
    <mergeCell ref="R34:U35"/>
    <mergeCell ref="AB34:AC35"/>
    <mergeCell ref="AD34:AH35"/>
    <mergeCell ref="C36:F37"/>
    <mergeCell ref="B26:V27"/>
    <mergeCell ref="W26:AH27"/>
    <mergeCell ref="V32:AH33"/>
    <mergeCell ref="M12:P12"/>
    <mergeCell ref="W13:Z13"/>
    <mergeCell ref="AA13:AH13"/>
    <mergeCell ref="E19:L19"/>
    <mergeCell ref="M19:P19"/>
    <mergeCell ref="E12:L12"/>
    <mergeCell ref="Q12:S12"/>
    <mergeCell ref="T12:V12"/>
    <mergeCell ref="W12:Z12"/>
    <mergeCell ref="AA12:AH12"/>
    <mergeCell ref="Q19:S19"/>
    <mergeCell ref="T19:V19"/>
    <mergeCell ref="E18:L18"/>
    <mergeCell ref="M18:P18"/>
    <mergeCell ref="Q18:S18"/>
    <mergeCell ref="T18:V18"/>
    <mergeCell ref="E17:L17"/>
    <mergeCell ref="M17:P17"/>
    <mergeCell ref="Q17:S17"/>
    <mergeCell ref="T17:V17"/>
    <mergeCell ref="W17:Z17"/>
    <mergeCell ref="AA17:AH17"/>
    <mergeCell ref="M15:P15"/>
    <mergeCell ref="Q15:S15"/>
    <mergeCell ref="T15:V15"/>
    <mergeCell ref="W15:Z15"/>
    <mergeCell ref="AA15:AH15"/>
    <mergeCell ref="E22:L22"/>
    <mergeCell ref="M22:P22"/>
    <mergeCell ref="Q22:S22"/>
    <mergeCell ref="T22:V22"/>
    <mergeCell ref="W22:Z22"/>
    <mergeCell ref="AA22:AH22"/>
    <mergeCell ref="E16:L16"/>
    <mergeCell ref="M16:P16"/>
    <mergeCell ref="Q16:S16"/>
    <mergeCell ref="T16:V16"/>
    <mergeCell ref="W16:Z16"/>
    <mergeCell ref="AA16:AH16"/>
    <mergeCell ref="Q21:S21"/>
    <mergeCell ref="T21:V21"/>
    <mergeCell ref="W21:Z21"/>
    <mergeCell ref="AA21:AH21"/>
    <mergeCell ref="B13:D13"/>
    <mergeCell ref="E13:L13"/>
    <mergeCell ref="M13:P13"/>
    <mergeCell ref="Q13:S13"/>
    <mergeCell ref="T13:V13"/>
    <mergeCell ref="AA23:AH23"/>
    <mergeCell ref="AA19:AH19"/>
    <mergeCell ref="AA18:AH18"/>
    <mergeCell ref="W19:Z19"/>
    <mergeCell ref="E23:L23"/>
    <mergeCell ref="M23:P23"/>
    <mergeCell ref="Q23:S23"/>
    <mergeCell ref="T23:V23"/>
    <mergeCell ref="W23:Z23"/>
    <mergeCell ref="E20:L20"/>
    <mergeCell ref="M20:P20"/>
    <mergeCell ref="Q20:S20"/>
    <mergeCell ref="T20:V20"/>
    <mergeCell ref="W18:Z18"/>
    <mergeCell ref="W20:Z20"/>
    <mergeCell ref="AA20:AH20"/>
    <mergeCell ref="E15:L15"/>
    <mergeCell ref="E21:L21"/>
    <mergeCell ref="M21:P21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53:D53"/>
    <mergeCell ref="E53:L53"/>
    <mergeCell ref="M53:Z53"/>
    <mergeCell ref="AA53:AH53"/>
    <mergeCell ref="B54:V55"/>
    <mergeCell ref="W54:AH55"/>
    <mergeCell ref="E51:L51"/>
    <mergeCell ref="M51:P51"/>
    <mergeCell ref="Q51:S51"/>
    <mergeCell ref="T51:V51"/>
    <mergeCell ref="W51:Z51"/>
    <mergeCell ref="AA51:AH51"/>
    <mergeCell ref="E52:L52"/>
    <mergeCell ref="M52:P52"/>
    <mergeCell ref="Q52:S52"/>
    <mergeCell ref="T52:V52"/>
    <mergeCell ref="W52:Z52"/>
    <mergeCell ref="AA52:AH52"/>
    <mergeCell ref="E50:L50"/>
    <mergeCell ref="M50:P50"/>
    <mergeCell ref="Q50:S50"/>
    <mergeCell ref="T50:V50"/>
    <mergeCell ref="W50:Z50"/>
    <mergeCell ref="AA50:AH50"/>
    <mergeCell ref="M41:P41"/>
    <mergeCell ref="Q41:S41"/>
    <mergeCell ref="T41:V41"/>
    <mergeCell ref="W41:Z41"/>
    <mergeCell ref="AA41:AH41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3:L43"/>
    <mergeCell ref="E44:L44"/>
    <mergeCell ref="M44:P44"/>
    <mergeCell ref="Q44:S44"/>
    <mergeCell ref="T44:V44"/>
    <mergeCell ref="W44:Z44"/>
    <mergeCell ref="AA44:AH44"/>
    <mergeCell ref="B41:D41"/>
    <mergeCell ref="E41:L41"/>
    <mergeCell ref="M40:P40"/>
    <mergeCell ref="Q40:S40"/>
    <mergeCell ref="T40:V40"/>
    <mergeCell ref="W40:Z40"/>
    <mergeCell ref="AA40:AH40"/>
    <mergeCell ref="M43:P43"/>
    <mergeCell ref="Q43:S43"/>
    <mergeCell ref="T43:V43"/>
    <mergeCell ref="W43:Z43"/>
    <mergeCell ref="AA43:AH43"/>
    <mergeCell ref="E40:L40"/>
    <mergeCell ref="E49:L49"/>
    <mergeCell ref="M49:P49"/>
    <mergeCell ref="Q49:S49"/>
    <mergeCell ref="T49:V49"/>
    <mergeCell ref="W49:Z49"/>
    <mergeCell ref="AA49:AH49"/>
    <mergeCell ref="E45:L45"/>
    <mergeCell ref="M45:P45"/>
    <mergeCell ref="Q45:S45"/>
    <mergeCell ref="T45:V45"/>
    <mergeCell ref="W45:Z45"/>
    <mergeCell ref="AA45:AH45"/>
    <mergeCell ref="E48:L48"/>
    <mergeCell ref="M48:P48"/>
    <mergeCell ref="Q48:S48"/>
    <mergeCell ref="T48:V48"/>
    <mergeCell ref="W48:Z48"/>
    <mergeCell ref="AA48:AH48"/>
  </mergeCells>
  <phoneticPr fontId="2" type="noConversion"/>
  <conditionalFormatting sqref="AA13">
    <cfRule type="expression" dxfId="315" priority="1917">
      <formula>Q13:S27=0</formula>
    </cfRule>
  </conditionalFormatting>
  <conditionalFormatting sqref="AA14:AA15">
    <cfRule type="expression" dxfId="314" priority="9">
      <formula>Q14:S26=0</formula>
    </cfRule>
  </conditionalFormatting>
  <conditionalFormatting sqref="AA16:AA19 AA43:AH51">
    <cfRule type="expression" dxfId="313" priority="5">
      <formula>Q16:S26=0</formula>
    </cfRule>
  </conditionalFormatting>
  <conditionalFormatting sqref="AA20:AA21">
    <cfRule type="expression" dxfId="312" priority="3">
      <formula>Q20:S29=0</formula>
    </cfRule>
  </conditionalFormatting>
  <conditionalFormatting sqref="AA22">
    <cfRule type="expression" dxfId="311" priority="2684">
      <formula>Q22:S30=0</formula>
    </cfRule>
  </conditionalFormatting>
  <conditionalFormatting sqref="AA23:AA24">
    <cfRule type="expression" dxfId="310" priority="2860">
      <formula>Q23:S30=0</formula>
    </cfRule>
  </conditionalFormatting>
  <conditionalFormatting sqref="AA52:AH52">
    <cfRule type="expression" dxfId="309" priority="2941">
      <formula>Q52:S52=0</formula>
    </cfRule>
  </conditionalFormatting>
  <conditionalFormatting sqref="AA41:AH41">
    <cfRule type="expression" dxfId="308" priority="3111">
      <formula>Q41:S52=0</formula>
    </cfRule>
  </conditionalFormatting>
  <conditionalFormatting sqref="AA42:AH42">
    <cfRule type="expression" dxfId="18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E12:E24 M8:M24 T13:T24 AA12:AA24 Q41:Q52 M36:M53 T41:T52 B40:B54 E40:E53 Q13:Q24" xr:uid="{56818D76-6C0A-4662-9AF1-21FB82E7E07F}"/>
  </dataValidations>
  <printOptions horizontalCentered="1"/>
  <pageMargins left="0" right="0" top="0.11811023622047245" bottom="0" header="0" footer="0"/>
  <pageSetup paperSize="9" scale="8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618C-A529-4058-BF44-98D78C40D939}">
  <sheetPr>
    <pageSetUpPr fitToPage="1"/>
  </sheetPr>
  <dimension ref="B1:AH55"/>
  <sheetViews>
    <sheetView topLeftCell="A12"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128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128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140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5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5</v>
      </c>
      <c r="X13" s="100"/>
      <c r="Y13" s="100"/>
      <c r="Z13" s="101"/>
      <c r="AA13" s="251">
        <f>B13+6</f>
        <v>46321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5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251" t="e">
        <f>B12+5</f>
        <v>#VALUE!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138</v>
      </c>
      <c r="R15" s="96"/>
      <c r="S15" s="97"/>
      <c r="T15" s="98">
        <f t="shared" si="0"/>
        <v>4</v>
      </c>
      <c r="U15" s="84"/>
      <c r="V15" s="84"/>
      <c r="W15" s="99">
        <f t="shared" si="1"/>
        <v>18</v>
      </c>
      <c r="X15" s="100"/>
      <c r="Y15" s="100"/>
      <c r="Z15" s="101"/>
      <c r="AA15" s="251">
        <f>B13+5</f>
        <v>46320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8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8</v>
      </c>
      <c r="X16" s="100"/>
      <c r="Y16" s="100"/>
      <c r="Z16" s="101"/>
      <c r="AA16" s="251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27</v>
      </c>
      <c r="R17" s="96"/>
      <c r="S17" s="97"/>
      <c r="T17" s="98">
        <f t="shared" si="0"/>
        <v>0</v>
      </c>
      <c r="U17" s="84"/>
      <c r="V17" s="84"/>
      <c r="W17" s="99">
        <f t="shared" si="1"/>
        <v>27</v>
      </c>
      <c r="X17" s="100"/>
      <c r="Y17" s="100"/>
      <c r="Z17" s="101"/>
      <c r="AA17" s="251">
        <f>B13+5-1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2</v>
      </c>
      <c r="R18" s="96"/>
      <c r="S18" s="97"/>
      <c r="T18" s="98">
        <f t="shared" si="0"/>
        <v>0</v>
      </c>
      <c r="U18" s="84"/>
      <c r="V18" s="84"/>
      <c r="W18" s="99">
        <f t="shared" si="1"/>
        <v>2</v>
      </c>
      <c r="X18" s="100"/>
      <c r="Y18" s="100"/>
      <c r="Z18" s="101"/>
      <c r="AA18" s="251">
        <f>B13+5-1</f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1</v>
      </c>
      <c r="R19" s="96"/>
      <c r="S19" s="97"/>
      <c r="T19" s="98">
        <f t="shared" si="0"/>
        <v>0</v>
      </c>
      <c r="U19" s="84"/>
      <c r="V19" s="84"/>
      <c r="W19" s="99">
        <f t="shared" si="1"/>
        <v>1</v>
      </c>
      <c r="X19" s="100"/>
      <c r="Y19" s="100"/>
      <c r="Z19" s="101"/>
      <c r="AA19" s="251">
        <f>B13+5-1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10</v>
      </c>
      <c r="R20" s="96"/>
      <c r="S20" s="97"/>
      <c r="T20" s="98">
        <f t="shared" si="0"/>
        <v>0</v>
      </c>
      <c r="U20" s="84"/>
      <c r="V20" s="84"/>
      <c r="W20" s="99">
        <f t="shared" si="1"/>
        <v>10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2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2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23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23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11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11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232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129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BGF로지스서인천2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인천 서구 원창동 488, 1층 서인천2센터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5</v>
      </c>
      <c r="R41" s="216"/>
      <c r="S41" s="216"/>
      <c r="T41" s="217">
        <f>T13</f>
        <v>0</v>
      </c>
      <c r="U41" s="217"/>
      <c r="V41" s="217"/>
      <c r="W41" s="218">
        <f>W13</f>
        <v>5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5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138</v>
      </c>
      <c r="R43" s="216"/>
      <c r="S43" s="216"/>
      <c r="T43" s="217">
        <f t="shared" si="15"/>
        <v>4</v>
      </c>
      <c r="U43" s="217"/>
      <c r="V43" s="217"/>
      <c r="W43" s="218">
        <f t="shared" si="16"/>
        <v>18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8</v>
      </c>
      <c r="R44" s="216"/>
      <c r="S44" s="216"/>
      <c r="T44" s="217">
        <f t="shared" si="15"/>
        <v>0</v>
      </c>
      <c r="U44" s="217"/>
      <c r="V44" s="217"/>
      <c r="W44" s="218">
        <f t="shared" si="16"/>
        <v>8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27</v>
      </c>
      <c r="R45" s="216"/>
      <c r="S45" s="216"/>
      <c r="T45" s="217">
        <f t="shared" si="15"/>
        <v>0</v>
      </c>
      <c r="U45" s="217"/>
      <c r="V45" s="217"/>
      <c r="W45" s="218">
        <f t="shared" si="16"/>
        <v>27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2</v>
      </c>
      <c r="R46" s="216"/>
      <c r="S46" s="216"/>
      <c r="T46" s="217">
        <f t="shared" si="15"/>
        <v>0</v>
      </c>
      <c r="U46" s="217"/>
      <c r="V46" s="217"/>
      <c r="W46" s="218">
        <f t="shared" si="16"/>
        <v>2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1</v>
      </c>
      <c r="R47" s="216"/>
      <c r="S47" s="216"/>
      <c r="T47" s="217">
        <f t="shared" si="15"/>
        <v>0</v>
      </c>
      <c r="U47" s="217"/>
      <c r="V47" s="217"/>
      <c r="W47" s="218">
        <f t="shared" si="16"/>
        <v>1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10</v>
      </c>
      <c r="R48" s="216"/>
      <c r="S48" s="216"/>
      <c r="T48" s="217">
        <f t="shared" si="15"/>
        <v>0</v>
      </c>
      <c r="U48" s="217"/>
      <c r="V48" s="217"/>
      <c r="W48" s="218">
        <f t="shared" si="16"/>
        <v>10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2</v>
      </c>
      <c r="R49" s="216"/>
      <c r="S49" s="216"/>
      <c r="T49" s="217">
        <f t="shared" si="15"/>
        <v>0</v>
      </c>
      <c r="U49" s="217"/>
      <c r="V49" s="217"/>
      <c r="W49" s="218">
        <f t="shared" si="16"/>
        <v>2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23</v>
      </c>
      <c r="R50" s="216"/>
      <c r="S50" s="216"/>
      <c r="T50" s="217">
        <f t="shared" si="15"/>
        <v>0</v>
      </c>
      <c r="U50" s="217"/>
      <c r="V50" s="217"/>
      <c r="W50" s="218">
        <f t="shared" si="16"/>
        <v>23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11</v>
      </c>
      <c r="R51" s="216"/>
      <c r="S51" s="216"/>
      <c r="T51" s="217">
        <f>T23</f>
        <v>0</v>
      </c>
      <c r="U51" s="217"/>
      <c r="V51" s="217"/>
      <c r="W51" s="218">
        <f t="shared" si="16"/>
        <v>11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232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100000000000001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인천 서구 원창동 488, 1층 서인천2센터
032-724-9051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100000000000001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Q32:Q39"/>
    <mergeCell ref="R32:U33"/>
    <mergeCell ref="L34:P35"/>
    <mergeCell ref="B30:AH31"/>
    <mergeCell ref="B32:B39"/>
    <mergeCell ref="C32:F33"/>
    <mergeCell ref="AD38:AH39"/>
    <mergeCell ref="C38:F39"/>
    <mergeCell ref="G38:P39"/>
    <mergeCell ref="R38:U39"/>
    <mergeCell ref="V38:AA39"/>
    <mergeCell ref="AB38:AC39"/>
    <mergeCell ref="E24:L24"/>
    <mergeCell ref="M24:P24"/>
    <mergeCell ref="Q24:S24"/>
    <mergeCell ref="T24:V24"/>
    <mergeCell ref="W24:Z24"/>
    <mergeCell ref="G36:P37"/>
    <mergeCell ref="R36:U37"/>
    <mergeCell ref="V36:AH37"/>
    <mergeCell ref="E25:L25"/>
    <mergeCell ref="AA24:AH24"/>
    <mergeCell ref="V34:AA35"/>
    <mergeCell ref="G32:P33"/>
    <mergeCell ref="M25:Z25"/>
    <mergeCell ref="AA25:AH25"/>
    <mergeCell ref="C34:F35"/>
    <mergeCell ref="G34:K35"/>
    <mergeCell ref="B25:D25"/>
    <mergeCell ref="R34:U35"/>
    <mergeCell ref="AB34:AC35"/>
    <mergeCell ref="AD34:AH35"/>
    <mergeCell ref="C36:F37"/>
    <mergeCell ref="B26:V27"/>
    <mergeCell ref="W26:AH27"/>
    <mergeCell ref="V32:AH33"/>
    <mergeCell ref="M12:P12"/>
    <mergeCell ref="W13:Z13"/>
    <mergeCell ref="AA13:AH13"/>
    <mergeCell ref="E19:L19"/>
    <mergeCell ref="M19:P19"/>
    <mergeCell ref="E12:L12"/>
    <mergeCell ref="Q12:S12"/>
    <mergeCell ref="T12:V12"/>
    <mergeCell ref="W12:Z12"/>
    <mergeCell ref="AA12:AH12"/>
    <mergeCell ref="Q19:S19"/>
    <mergeCell ref="T19:V19"/>
    <mergeCell ref="E18:L18"/>
    <mergeCell ref="M18:P18"/>
    <mergeCell ref="Q18:S18"/>
    <mergeCell ref="T18:V18"/>
    <mergeCell ref="E17:L17"/>
    <mergeCell ref="M17:P17"/>
    <mergeCell ref="Q17:S17"/>
    <mergeCell ref="T17:V17"/>
    <mergeCell ref="W17:Z17"/>
    <mergeCell ref="AA17:AH17"/>
    <mergeCell ref="M15:P15"/>
    <mergeCell ref="Q15:S15"/>
    <mergeCell ref="T15:V15"/>
    <mergeCell ref="W15:Z15"/>
    <mergeCell ref="AA15:AH15"/>
    <mergeCell ref="E22:L22"/>
    <mergeCell ref="M22:P22"/>
    <mergeCell ref="Q22:S22"/>
    <mergeCell ref="T22:V22"/>
    <mergeCell ref="W22:Z22"/>
    <mergeCell ref="AA22:AH22"/>
    <mergeCell ref="E16:L16"/>
    <mergeCell ref="M16:P16"/>
    <mergeCell ref="Q16:S16"/>
    <mergeCell ref="T16:V16"/>
    <mergeCell ref="W16:Z16"/>
    <mergeCell ref="AA16:AH16"/>
    <mergeCell ref="Q21:S21"/>
    <mergeCell ref="T21:V21"/>
    <mergeCell ref="W21:Z21"/>
    <mergeCell ref="AA21:AH21"/>
    <mergeCell ref="B13:D13"/>
    <mergeCell ref="E13:L13"/>
    <mergeCell ref="M13:P13"/>
    <mergeCell ref="Q13:S13"/>
    <mergeCell ref="T13:V13"/>
    <mergeCell ref="AA23:AH23"/>
    <mergeCell ref="AA19:AH19"/>
    <mergeCell ref="AA18:AH18"/>
    <mergeCell ref="W19:Z19"/>
    <mergeCell ref="E23:L23"/>
    <mergeCell ref="M23:P23"/>
    <mergeCell ref="Q23:S23"/>
    <mergeCell ref="T23:V23"/>
    <mergeCell ref="W23:Z23"/>
    <mergeCell ref="E20:L20"/>
    <mergeCell ref="M20:P20"/>
    <mergeCell ref="Q20:S20"/>
    <mergeCell ref="T20:V20"/>
    <mergeCell ref="W18:Z18"/>
    <mergeCell ref="W20:Z20"/>
    <mergeCell ref="AA20:AH20"/>
    <mergeCell ref="E15:L15"/>
    <mergeCell ref="E21:L21"/>
    <mergeCell ref="M21:P21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53:D53"/>
    <mergeCell ref="E53:L53"/>
    <mergeCell ref="M53:Z53"/>
    <mergeCell ref="AA53:AH53"/>
    <mergeCell ref="B54:V55"/>
    <mergeCell ref="W54:AH55"/>
    <mergeCell ref="E51:L51"/>
    <mergeCell ref="M51:P51"/>
    <mergeCell ref="Q51:S51"/>
    <mergeCell ref="T51:V51"/>
    <mergeCell ref="W51:Z51"/>
    <mergeCell ref="AA51:AH51"/>
    <mergeCell ref="E52:L52"/>
    <mergeCell ref="M52:P52"/>
    <mergeCell ref="Q52:S52"/>
    <mergeCell ref="T52:V52"/>
    <mergeCell ref="W52:Z52"/>
    <mergeCell ref="AA52:AH52"/>
    <mergeCell ref="E50:L50"/>
    <mergeCell ref="M50:P50"/>
    <mergeCell ref="Q50:S50"/>
    <mergeCell ref="T50:V50"/>
    <mergeCell ref="W50:Z50"/>
    <mergeCell ref="AA50:AH50"/>
    <mergeCell ref="M41:P41"/>
    <mergeCell ref="Q41:S41"/>
    <mergeCell ref="T41:V41"/>
    <mergeCell ref="W41:Z41"/>
    <mergeCell ref="AA41:AH41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3:L43"/>
    <mergeCell ref="E44:L44"/>
    <mergeCell ref="M44:P44"/>
    <mergeCell ref="Q44:S44"/>
    <mergeCell ref="T44:V44"/>
    <mergeCell ref="W44:Z44"/>
    <mergeCell ref="AA44:AH44"/>
    <mergeCell ref="B41:D41"/>
    <mergeCell ref="E41:L41"/>
    <mergeCell ref="M40:P40"/>
    <mergeCell ref="Q40:S40"/>
    <mergeCell ref="T40:V40"/>
    <mergeCell ref="W40:Z40"/>
    <mergeCell ref="AA40:AH40"/>
    <mergeCell ref="M43:P43"/>
    <mergeCell ref="Q43:S43"/>
    <mergeCell ref="T43:V43"/>
    <mergeCell ref="W43:Z43"/>
    <mergeCell ref="AA43:AH43"/>
    <mergeCell ref="E40:L40"/>
    <mergeCell ref="E49:L49"/>
    <mergeCell ref="M49:P49"/>
    <mergeCell ref="Q49:S49"/>
    <mergeCell ref="T49:V49"/>
    <mergeCell ref="W49:Z49"/>
    <mergeCell ref="AA49:AH49"/>
    <mergeCell ref="E45:L45"/>
    <mergeCell ref="M45:P45"/>
    <mergeCell ref="Q45:S45"/>
    <mergeCell ref="T45:V45"/>
    <mergeCell ref="W45:Z45"/>
    <mergeCell ref="AA45:AH45"/>
    <mergeCell ref="E48:L48"/>
    <mergeCell ref="M48:P48"/>
    <mergeCell ref="Q48:S48"/>
    <mergeCell ref="T48:V48"/>
    <mergeCell ref="W48:Z48"/>
    <mergeCell ref="AA48:AH48"/>
  </mergeCells>
  <phoneticPr fontId="2" type="noConversion"/>
  <conditionalFormatting sqref="AA13">
    <cfRule type="expression" dxfId="307" priority="1915">
      <formula>Q13:S27=0</formula>
    </cfRule>
  </conditionalFormatting>
  <conditionalFormatting sqref="AA14:AA15">
    <cfRule type="expression" dxfId="306" priority="9">
      <formula>Q14:S26=0</formula>
    </cfRule>
  </conditionalFormatting>
  <conditionalFormatting sqref="AA16:AA19 AA43:AH51">
    <cfRule type="expression" dxfId="305" priority="5">
      <formula>Q16:S26=0</formula>
    </cfRule>
  </conditionalFormatting>
  <conditionalFormatting sqref="AA20:AA21">
    <cfRule type="expression" dxfId="304" priority="3">
      <formula>Q20:S29=0</formula>
    </cfRule>
  </conditionalFormatting>
  <conditionalFormatting sqref="AA22">
    <cfRule type="expression" dxfId="303" priority="2681">
      <formula>Q22:S30=0</formula>
    </cfRule>
  </conditionalFormatting>
  <conditionalFormatting sqref="AA23:AA24">
    <cfRule type="expression" dxfId="302" priority="2857">
      <formula>Q23:S30=0</formula>
    </cfRule>
  </conditionalFormatting>
  <conditionalFormatting sqref="AA52:AH52">
    <cfRule type="expression" dxfId="301" priority="2938">
      <formula>Q52:S52=0</formula>
    </cfRule>
  </conditionalFormatting>
  <conditionalFormatting sqref="AA41:AH41">
    <cfRule type="expression" dxfId="300" priority="3110">
      <formula>Q41:S52=0</formula>
    </cfRule>
  </conditionalFormatting>
  <conditionalFormatting sqref="AA42:AH42">
    <cfRule type="expression" dxfId="19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L25 C14:D24 C42:D52 M8:M25 AA40:AA52 E12:E24 T13:T24 AA12:AA24 B12:B26 Q41:Q52 M36:M53 T41:T52 B40:B54 E40:E53 Q13:Q24" xr:uid="{3C645BAB-6FEA-482D-8D81-18B755382D74}"/>
  </dataValidations>
  <printOptions horizontalCentered="1"/>
  <pageMargins left="0" right="0" top="0.11811023622047245" bottom="0" header="0" footer="0"/>
  <pageSetup paperSize="9" scale="8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32AB3-64E3-4937-868E-1ED4DF23F085}">
  <sheetPr>
    <pageSetUpPr fitToPage="1"/>
  </sheetPr>
  <dimension ref="B1:AH55"/>
  <sheetViews>
    <sheetView topLeftCell="A17"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67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67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68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0</v>
      </c>
      <c r="R13" s="96"/>
      <c r="S13" s="97"/>
      <c r="T13" s="98">
        <f t="shared" ref="T13:T14" si="0">IFERROR(ROUNDDOWN(Q13/M13,0),"")</f>
        <v>0</v>
      </c>
      <c r="U13" s="84"/>
      <c r="V13" s="84"/>
      <c r="W13" s="99">
        <f t="shared" ref="W13:W14" si="1">IFERROR(Q13-(T13*M13),"")</f>
        <v>0</v>
      </c>
      <c r="X13" s="100"/>
      <c r="Y13" s="100"/>
      <c r="Z13" s="101"/>
      <c r="AA13" s="251">
        <f>B13+6</f>
        <v>46321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0</v>
      </c>
      <c r="R14" s="96"/>
      <c r="S14" s="97"/>
      <c r="T14" s="98" t="str">
        <f t="shared" si="0"/>
        <v/>
      </c>
      <c r="U14" s="84"/>
      <c r="V14" s="84"/>
      <c r="W14" s="99" t="str">
        <f t="shared" si="1"/>
        <v/>
      </c>
      <c r="X14" s="100"/>
      <c r="Y14" s="100"/>
      <c r="Z14" s="101"/>
      <c r="AA14" s="251" t="e">
        <f>B12+5</f>
        <v>#VALUE!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103</v>
      </c>
      <c r="R15" s="96"/>
      <c r="S15" s="97"/>
      <c r="T15" s="98">
        <f t="shared" ref="T15:T20" si="2">IFERROR(ROUNDDOWN(Q15/M15,0),"")</f>
        <v>3</v>
      </c>
      <c r="U15" s="84"/>
      <c r="V15" s="84"/>
      <c r="W15" s="99">
        <f t="shared" ref="W15:W20" si="3">IFERROR(Q15-(T15*M15),"")</f>
        <v>13</v>
      </c>
      <c r="X15" s="100"/>
      <c r="Y15" s="100"/>
      <c r="Z15" s="101"/>
      <c r="AA15" s="251">
        <f>B13+5</f>
        <v>46320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9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9</v>
      </c>
      <c r="X16" s="100"/>
      <c r="Y16" s="100"/>
      <c r="Z16" s="101"/>
      <c r="AA16" s="251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12</v>
      </c>
      <c r="R17" s="96"/>
      <c r="S17" s="97"/>
      <c r="T17" s="98">
        <f t="shared" si="2"/>
        <v>0</v>
      </c>
      <c r="U17" s="84"/>
      <c r="V17" s="84"/>
      <c r="W17" s="99">
        <f t="shared" si="3"/>
        <v>12</v>
      </c>
      <c r="X17" s="100"/>
      <c r="Y17" s="100"/>
      <c r="Z17" s="101"/>
      <c r="AA17" s="251">
        <f>B13+5-1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2</v>
      </c>
      <c r="R18" s="96"/>
      <c r="S18" s="97"/>
      <c r="T18" s="98">
        <f t="shared" si="2"/>
        <v>0</v>
      </c>
      <c r="U18" s="84"/>
      <c r="V18" s="84"/>
      <c r="W18" s="99">
        <f t="shared" si="3"/>
        <v>2</v>
      </c>
      <c r="X18" s="100"/>
      <c r="Y18" s="100"/>
      <c r="Z18" s="101"/>
      <c r="AA18" s="251">
        <f>B13+5-1</f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0</v>
      </c>
      <c r="R19" s="96"/>
      <c r="S19" s="97"/>
      <c r="T19" s="98">
        <f t="shared" si="2"/>
        <v>0</v>
      </c>
      <c r="U19" s="84"/>
      <c r="V19" s="84"/>
      <c r="W19" s="99">
        <f t="shared" si="3"/>
        <v>0</v>
      </c>
      <c r="X19" s="100"/>
      <c r="Y19" s="100"/>
      <c r="Z19" s="101"/>
      <c r="AA19" s="251">
        <f>B13+5-1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3</v>
      </c>
      <c r="R20" s="96"/>
      <c r="S20" s="97"/>
      <c r="T20" s="98">
        <f t="shared" si="2"/>
        <v>0</v>
      </c>
      <c r="U20" s="84"/>
      <c r="V20" s="84"/>
      <c r="W20" s="99">
        <f t="shared" si="3"/>
        <v>3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0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0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14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14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1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1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144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129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BGF로지스진천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충청북도 진천군 덕산면 
산수산단3로 66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0</v>
      </c>
      <c r="R41" s="216"/>
      <c r="S41" s="216"/>
      <c r="T41" s="217">
        <f>T13</f>
        <v>0</v>
      </c>
      <c r="U41" s="217"/>
      <c r="V41" s="217"/>
      <c r="W41" s="218">
        <f>W13</f>
        <v>0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0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103</v>
      </c>
      <c r="R43" s="216"/>
      <c r="S43" s="216"/>
      <c r="T43" s="217">
        <f t="shared" si="15"/>
        <v>3</v>
      </c>
      <c r="U43" s="217"/>
      <c r="V43" s="217"/>
      <c r="W43" s="218">
        <f t="shared" si="16"/>
        <v>13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9</v>
      </c>
      <c r="R44" s="216"/>
      <c r="S44" s="216"/>
      <c r="T44" s="217">
        <f t="shared" si="15"/>
        <v>0</v>
      </c>
      <c r="U44" s="217"/>
      <c r="V44" s="217"/>
      <c r="W44" s="218">
        <f t="shared" si="16"/>
        <v>9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12</v>
      </c>
      <c r="R45" s="216"/>
      <c r="S45" s="216"/>
      <c r="T45" s="217">
        <f t="shared" si="15"/>
        <v>0</v>
      </c>
      <c r="U45" s="217"/>
      <c r="V45" s="217"/>
      <c r="W45" s="218">
        <f t="shared" si="16"/>
        <v>12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2</v>
      </c>
      <c r="R46" s="216"/>
      <c r="S46" s="216"/>
      <c r="T46" s="217">
        <f t="shared" si="15"/>
        <v>0</v>
      </c>
      <c r="U46" s="217"/>
      <c r="V46" s="217"/>
      <c r="W46" s="218">
        <f t="shared" si="16"/>
        <v>2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0</v>
      </c>
      <c r="R47" s="216"/>
      <c r="S47" s="216"/>
      <c r="T47" s="217">
        <f t="shared" si="15"/>
        <v>0</v>
      </c>
      <c r="U47" s="217"/>
      <c r="V47" s="217"/>
      <c r="W47" s="218">
        <f t="shared" si="16"/>
        <v>0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3</v>
      </c>
      <c r="R48" s="216"/>
      <c r="S48" s="216"/>
      <c r="T48" s="217">
        <f t="shared" si="15"/>
        <v>0</v>
      </c>
      <c r="U48" s="217"/>
      <c r="V48" s="217"/>
      <c r="W48" s="218">
        <f t="shared" si="16"/>
        <v>3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0</v>
      </c>
      <c r="R49" s="216"/>
      <c r="S49" s="216"/>
      <c r="T49" s="217">
        <f t="shared" si="15"/>
        <v>0</v>
      </c>
      <c r="U49" s="217"/>
      <c r="V49" s="217"/>
      <c r="W49" s="218">
        <f t="shared" si="16"/>
        <v>0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14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14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1</v>
      </c>
      <c r="R51" s="216"/>
      <c r="S51" s="216"/>
      <c r="T51" s="217">
        <f>T23</f>
        <v>0</v>
      </c>
      <c r="U51" s="217"/>
      <c r="V51" s="217"/>
      <c r="W51" s="218">
        <f t="shared" si="16"/>
        <v>1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144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100000000000001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인천 서구 원창동 488, 1층 서인천2센터
032-724-9051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100000000000001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B54:V55"/>
    <mergeCell ref="W54:AH55"/>
    <mergeCell ref="E52:L52"/>
    <mergeCell ref="M52:P52"/>
    <mergeCell ref="Q52:S52"/>
    <mergeCell ref="T52:V52"/>
    <mergeCell ref="W52:Z52"/>
    <mergeCell ref="AA52:AH52"/>
    <mergeCell ref="E48:L48"/>
    <mergeCell ref="M48:P48"/>
    <mergeCell ref="Q48:S48"/>
    <mergeCell ref="T48:V48"/>
    <mergeCell ref="W48:Z48"/>
    <mergeCell ref="AA48:AH48"/>
    <mergeCell ref="B53:D53"/>
    <mergeCell ref="E53:L53"/>
    <mergeCell ref="M53:Z53"/>
    <mergeCell ref="AA53:AH53"/>
    <mergeCell ref="E51:L51"/>
    <mergeCell ref="M51:P51"/>
    <mergeCell ref="Q51:S51"/>
    <mergeCell ref="T51:V51"/>
    <mergeCell ref="W51:Z51"/>
    <mergeCell ref="AA51:AH51"/>
    <mergeCell ref="E50:L50"/>
    <mergeCell ref="M50:P50"/>
    <mergeCell ref="Q50:S50"/>
    <mergeCell ref="T50:V50"/>
    <mergeCell ref="W50:Z50"/>
    <mergeCell ref="AA50:AH50"/>
    <mergeCell ref="M47:P47"/>
    <mergeCell ref="Q47:S47"/>
    <mergeCell ref="T47:V47"/>
    <mergeCell ref="W47:Z47"/>
    <mergeCell ref="AA47:AH47"/>
    <mergeCell ref="E47:L47"/>
    <mergeCell ref="AA41:AH41"/>
    <mergeCell ref="E46:L46"/>
    <mergeCell ref="M46:P46"/>
    <mergeCell ref="Q46:S46"/>
    <mergeCell ref="T46:V46"/>
    <mergeCell ref="W46:Z46"/>
    <mergeCell ref="AA46:AH46"/>
    <mergeCell ref="AA43:AH43"/>
    <mergeCell ref="E44:L44"/>
    <mergeCell ref="M44:P44"/>
    <mergeCell ref="Q44:S44"/>
    <mergeCell ref="T44:V44"/>
    <mergeCell ref="W44:Z44"/>
    <mergeCell ref="AA44:AH44"/>
    <mergeCell ref="E45:L45"/>
    <mergeCell ref="M45:P45"/>
    <mergeCell ref="Q45:S45"/>
    <mergeCell ref="T45:V45"/>
    <mergeCell ref="B41:D41"/>
    <mergeCell ref="E41:L41"/>
    <mergeCell ref="M41:P41"/>
    <mergeCell ref="Q41:S41"/>
    <mergeCell ref="T41:V41"/>
    <mergeCell ref="W41:Z41"/>
    <mergeCell ref="E43:L43"/>
    <mergeCell ref="M43:P43"/>
    <mergeCell ref="Q43:S43"/>
    <mergeCell ref="T43:V43"/>
    <mergeCell ref="W43:Z43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26:V27"/>
    <mergeCell ref="W26:AH27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W22:Z22"/>
    <mergeCell ref="AA22:AH22"/>
    <mergeCell ref="E24:L24"/>
    <mergeCell ref="M24:P24"/>
    <mergeCell ref="Q24:S24"/>
    <mergeCell ref="T24:V24"/>
    <mergeCell ref="W24:Z24"/>
    <mergeCell ref="AA24:AH24"/>
    <mergeCell ref="B25:D25"/>
    <mergeCell ref="E25:L25"/>
    <mergeCell ref="M25:Z25"/>
    <mergeCell ref="AA25:AH25"/>
    <mergeCell ref="E19:L19"/>
    <mergeCell ref="M19:P19"/>
    <mergeCell ref="Q19:S19"/>
    <mergeCell ref="T19:V19"/>
    <mergeCell ref="W19:Z19"/>
    <mergeCell ref="AA19:AH19"/>
    <mergeCell ref="E20:L20"/>
    <mergeCell ref="M20:P20"/>
    <mergeCell ref="Q20:S20"/>
    <mergeCell ref="T20:V20"/>
    <mergeCell ref="W20:Z20"/>
    <mergeCell ref="AA20:AH20"/>
    <mergeCell ref="E15:L15"/>
    <mergeCell ref="M15:P15"/>
    <mergeCell ref="Q15:S15"/>
    <mergeCell ref="T15:V15"/>
    <mergeCell ref="W15:Z15"/>
    <mergeCell ref="AA15:AH15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AB6:AC7"/>
    <mergeCell ref="AD6:AH7"/>
    <mergeCell ref="C8:F9"/>
    <mergeCell ref="G8:P9"/>
    <mergeCell ref="R8:U9"/>
    <mergeCell ref="V8:AH9"/>
    <mergeCell ref="M13:P13"/>
    <mergeCell ref="Q13:S13"/>
    <mergeCell ref="T13:V13"/>
    <mergeCell ref="W13:Z13"/>
    <mergeCell ref="B13:D13"/>
    <mergeCell ref="E13:L13"/>
    <mergeCell ref="E12:L12"/>
    <mergeCell ref="M12:P12"/>
    <mergeCell ref="Q12:S12"/>
    <mergeCell ref="T12:V12"/>
    <mergeCell ref="W12:Z12"/>
    <mergeCell ref="AA12:AH12"/>
    <mergeCell ref="AA13:AH13"/>
    <mergeCell ref="E18:L18"/>
    <mergeCell ref="M18:P18"/>
    <mergeCell ref="Q18:S18"/>
    <mergeCell ref="T18:V18"/>
    <mergeCell ref="W18:Z18"/>
    <mergeCell ref="AA18:AH18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E21:L21"/>
    <mergeCell ref="M21:P21"/>
    <mergeCell ref="Q21:S21"/>
    <mergeCell ref="T21:V21"/>
    <mergeCell ref="W21:Z21"/>
    <mergeCell ref="AA21:AH21"/>
    <mergeCell ref="E49:L49"/>
    <mergeCell ref="M49:P49"/>
    <mergeCell ref="Q49:S49"/>
    <mergeCell ref="T49:V49"/>
    <mergeCell ref="W49:Z49"/>
    <mergeCell ref="AA49:AH49"/>
    <mergeCell ref="W45:Z45"/>
    <mergeCell ref="AA45:AH45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</mergeCells>
  <phoneticPr fontId="2" type="noConversion"/>
  <conditionalFormatting sqref="AA13">
    <cfRule type="expression" dxfId="299" priority="1913">
      <formula>Q13:S27=0</formula>
    </cfRule>
  </conditionalFormatting>
  <conditionalFormatting sqref="AA14:AA15">
    <cfRule type="expression" dxfId="298" priority="9">
      <formula>Q14:S26=0</formula>
    </cfRule>
  </conditionalFormatting>
  <conditionalFormatting sqref="AA16:AA19 AA43:AH51">
    <cfRule type="expression" dxfId="297" priority="5">
      <formula>Q16:S26=0</formula>
    </cfRule>
  </conditionalFormatting>
  <conditionalFormatting sqref="AA20:AA21">
    <cfRule type="expression" dxfId="296" priority="3">
      <formula>Q20:S29=0</formula>
    </cfRule>
  </conditionalFormatting>
  <conditionalFormatting sqref="AA22">
    <cfRule type="expression" dxfId="295" priority="2678">
      <formula>Q22:S30=0</formula>
    </cfRule>
  </conditionalFormatting>
  <conditionalFormatting sqref="AA23:AA24">
    <cfRule type="expression" dxfId="294" priority="2854">
      <formula>Q23:S30=0</formula>
    </cfRule>
  </conditionalFormatting>
  <conditionalFormatting sqref="AA52:AH52">
    <cfRule type="expression" dxfId="293" priority="2935">
      <formula>Q52:S52=0</formula>
    </cfRule>
  </conditionalFormatting>
  <conditionalFormatting sqref="AA41:AH41">
    <cfRule type="expression" dxfId="292" priority="3109">
      <formula>Q41:S52=0</formula>
    </cfRule>
  </conditionalFormatting>
  <conditionalFormatting sqref="AA42:AH42">
    <cfRule type="expression" dxfId="20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L25 C14:D24 C42:D52 M8:M25 AA40:AA52 E12:E24 T13:T24 AA12:AA24 B12:B26 Q41:Q52 M36:M53 T41:T52 B40:B54 E40:E53 Q13:Q24" xr:uid="{C2E5A94A-5176-40AA-967F-3B118F5325FE}"/>
  </dataValidations>
  <printOptions horizontalCentered="1"/>
  <pageMargins left="0" right="0" top="0.11811023622047245" bottom="0" header="0" footer="0"/>
  <pageSetup paperSize="9" scale="8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825A-ACAF-4381-A2CF-5DD6A0D82826}">
  <sheetPr>
    <pageSetUpPr fitToPage="1"/>
  </sheetPr>
  <dimension ref="B1:AH55"/>
  <sheetViews>
    <sheetView topLeftCell="A11"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69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69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70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7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7</v>
      </c>
      <c r="X13" s="100"/>
      <c r="Y13" s="100"/>
      <c r="Z13" s="101"/>
      <c r="AA13" s="251">
        <f>B13+6</f>
        <v>46321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7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251" t="e">
        <f>B12+5</f>
        <v>#VALUE!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127</v>
      </c>
      <c r="R15" s="96"/>
      <c r="S15" s="97"/>
      <c r="T15" s="98">
        <f t="shared" si="0"/>
        <v>4</v>
      </c>
      <c r="U15" s="84"/>
      <c r="V15" s="84"/>
      <c r="W15" s="99">
        <f t="shared" si="1"/>
        <v>7</v>
      </c>
      <c r="X15" s="100"/>
      <c r="Y15" s="100"/>
      <c r="Z15" s="101"/>
      <c r="AA15" s="251">
        <f>B13+5</f>
        <v>46320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10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10</v>
      </c>
      <c r="X16" s="100"/>
      <c r="Y16" s="100"/>
      <c r="Z16" s="101"/>
      <c r="AA16" s="251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25</v>
      </c>
      <c r="R17" s="96"/>
      <c r="S17" s="97"/>
      <c r="T17" s="98">
        <f t="shared" si="0"/>
        <v>0</v>
      </c>
      <c r="U17" s="84"/>
      <c r="V17" s="84"/>
      <c r="W17" s="99">
        <f t="shared" si="1"/>
        <v>25</v>
      </c>
      <c r="X17" s="100"/>
      <c r="Y17" s="100"/>
      <c r="Z17" s="101"/>
      <c r="AA17" s="251">
        <f>B13+5-1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3</v>
      </c>
      <c r="R18" s="96"/>
      <c r="S18" s="97"/>
      <c r="T18" s="98">
        <f t="shared" si="0"/>
        <v>0</v>
      </c>
      <c r="U18" s="84"/>
      <c r="V18" s="84"/>
      <c r="W18" s="99">
        <f t="shared" si="1"/>
        <v>3</v>
      </c>
      <c r="X18" s="100"/>
      <c r="Y18" s="100"/>
      <c r="Z18" s="101"/>
      <c r="AA18" s="251">
        <f>B13+5-1</f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5</v>
      </c>
      <c r="R19" s="96"/>
      <c r="S19" s="97"/>
      <c r="T19" s="98">
        <f t="shared" si="0"/>
        <v>0</v>
      </c>
      <c r="U19" s="84"/>
      <c r="V19" s="84"/>
      <c r="W19" s="99">
        <f t="shared" si="1"/>
        <v>5</v>
      </c>
      <c r="X19" s="100"/>
      <c r="Y19" s="100"/>
      <c r="Z19" s="101"/>
      <c r="AA19" s="251">
        <f>B13+5-1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3</v>
      </c>
      <c r="R20" s="96"/>
      <c r="S20" s="97"/>
      <c r="T20" s="98">
        <f t="shared" si="0"/>
        <v>0</v>
      </c>
      <c r="U20" s="84"/>
      <c r="V20" s="84"/>
      <c r="W20" s="99">
        <f t="shared" si="1"/>
        <v>3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4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4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17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17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5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5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213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71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BGF로지스광주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경기도 광주시 초월읍 경충대로 1337-21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7</v>
      </c>
      <c r="R41" s="216"/>
      <c r="S41" s="216"/>
      <c r="T41" s="217">
        <f>T13</f>
        <v>0</v>
      </c>
      <c r="U41" s="217"/>
      <c r="V41" s="217"/>
      <c r="W41" s="218">
        <f>W13</f>
        <v>7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7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127</v>
      </c>
      <c r="R43" s="216"/>
      <c r="S43" s="216"/>
      <c r="T43" s="217">
        <f t="shared" si="15"/>
        <v>4</v>
      </c>
      <c r="U43" s="217"/>
      <c r="V43" s="217"/>
      <c r="W43" s="218">
        <f t="shared" si="16"/>
        <v>7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10</v>
      </c>
      <c r="R44" s="216"/>
      <c r="S44" s="216"/>
      <c r="T44" s="217">
        <f t="shared" si="15"/>
        <v>0</v>
      </c>
      <c r="U44" s="217"/>
      <c r="V44" s="217"/>
      <c r="W44" s="218">
        <f t="shared" si="16"/>
        <v>10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25</v>
      </c>
      <c r="R45" s="216"/>
      <c r="S45" s="216"/>
      <c r="T45" s="217">
        <f t="shared" si="15"/>
        <v>0</v>
      </c>
      <c r="U45" s="217"/>
      <c r="V45" s="217"/>
      <c r="W45" s="218">
        <f t="shared" si="16"/>
        <v>25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3</v>
      </c>
      <c r="R46" s="216"/>
      <c r="S46" s="216"/>
      <c r="T46" s="217">
        <f t="shared" si="15"/>
        <v>0</v>
      </c>
      <c r="U46" s="217"/>
      <c r="V46" s="217"/>
      <c r="W46" s="218">
        <f t="shared" si="16"/>
        <v>3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5</v>
      </c>
      <c r="R47" s="216"/>
      <c r="S47" s="216"/>
      <c r="T47" s="217">
        <f t="shared" si="15"/>
        <v>0</v>
      </c>
      <c r="U47" s="217"/>
      <c r="V47" s="217"/>
      <c r="W47" s="218">
        <f t="shared" si="16"/>
        <v>5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3</v>
      </c>
      <c r="R48" s="216"/>
      <c r="S48" s="216"/>
      <c r="T48" s="217">
        <f t="shared" si="15"/>
        <v>0</v>
      </c>
      <c r="U48" s="217"/>
      <c r="V48" s="217"/>
      <c r="W48" s="218">
        <f t="shared" si="16"/>
        <v>3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4</v>
      </c>
      <c r="R49" s="216"/>
      <c r="S49" s="216"/>
      <c r="T49" s="217">
        <f t="shared" si="15"/>
        <v>0</v>
      </c>
      <c r="U49" s="217"/>
      <c r="V49" s="217"/>
      <c r="W49" s="218">
        <f t="shared" si="16"/>
        <v>4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17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17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5</v>
      </c>
      <c r="R51" s="216"/>
      <c r="S51" s="216"/>
      <c r="T51" s="217">
        <f>T23</f>
        <v>0</v>
      </c>
      <c r="U51" s="217"/>
      <c r="V51" s="217"/>
      <c r="W51" s="218">
        <f t="shared" si="16"/>
        <v>5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213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100000000000001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경기도 광주시 초월읍 경충대로 1337-21
031)8027-4510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100000000000001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Q32:Q39"/>
    <mergeCell ref="R32:U33"/>
    <mergeCell ref="L34:P35"/>
    <mergeCell ref="B30:AH31"/>
    <mergeCell ref="B32:B39"/>
    <mergeCell ref="C32:F33"/>
    <mergeCell ref="AD38:AH39"/>
    <mergeCell ref="C38:F39"/>
    <mergeCell ref="G38:P39"/>
    <mergeCell ref="R38:U39"/>
    <mergeCell ref="V38:AA39"/>
    <mergeCell ref="AB38:AC39"/>
    <mergeCell ref="E24:L24"/>
    <mergeCell ref="M24:P24"/>
    <mergeCell ref="Q24:S24"/>
    <mergeCell ref="T24:V24"/>
    <mergeCell ref="W24:Z24"/>
    <mergeCell ref="G36:P37"/>
    <mergeCell ref="R36:U37"/>
    <mergeCell ref="V36:AH37"/>
    <mergeCell ref="E25:L25"/>
    <mergeCell ref="AA24:AH24"/>
    <mergeCell ref="V34:AA35"/>
    <mergeCell ref="G32:P33"/>
    <mergeCell ref="M25:Z25"/>
    <mergeCell ref="AA25:AH25"/>
    <mergeCell ref="C34:F35"/>
    <mergeCell ref="G34:K35"/>
    <mergeCell ref="B25:D25"/>
    <mergeCell ref="R34:U35"/>
    <mergeCell ref="AB34:AC35"/>
    <mergeCell ref="AD34:AH35"/>
    <mergeCell ref="C36:F37"/>
    <mergeCell ref="B26:V27"/>
    <mergeCell ref="W26:AH27"/>
    <mergeCell ref="V32:AH33"/>
    <mergeCell ref="M12:P12"/>
    <mergeCell ref="W13:Z13"/>
    <mergeCell ref="AA13:AH13"/>
    <mergeCell ref="E19:L19"/>
    <mergeCell ref="M19:P19"/>
    <mergeCell ref="E12:L12"/>
    <mergeCell ref="Q12:S12"/>
    <mergeCell ref="T12:V12"/>
    <mergeCell ref="W12:Z12"/>
    <mergeCell ref="AA12:AH12"/>
    <mergeCell ref="Q19:S19"/>
    <mergeCell ref="T19:V19"/>
    <mergeCell ref="E18:L18"/>
    <mergeCell ref="M18:P18"/>
    <mergeCell ref="Q18:S18"/>
    <mergeCell ref="T18:V18"/>
    <mergeCell ref="E17:L17"/>
    <mergeCell ref="M17:P17"/>
    <mergeCell ref="Q17:S17"/>
    <mergeCell ref="T17:V17"/>
    <mergeCell ref="W17:Z17"/>
    <mergeCell ref="AA17:AH17"/>
    <mergeCell ref="M15:P15"/>
    <mergeCell ref="Q15:S15"/>
    <mergeCell ref="T15:V15"/>
    <mergeCell ref="W15:Z15"/>
    <mergeCell ref="AA15:AH15"/>
    <mergeCell ref="E22:L22"/>
    <mergeCell ref="M22:P22"/>
    <mergeCell ref="Q22:S22"/>
    <mergeCell ref="T22:V22"/>
    <mergeCell ref="W22:Z22"/>
    <mergeCell ref="AA22:AH22"/>
    <mergeCell ref="E16:L16"/>
    <mergeCell ref="M16:P16"/>
    <mergeCell ref="Q16:S16"/>
    <mergeCell ref="T16:V16"/>
    <mergeCell ref="W16:Z16"/>
    <mergeCell ref="AA16:AH16"/>
    <mergeCell ref="Q21:S21"/>
    <mergeCell ref="T21:V21"/>
    <mergeCell ref="W21:Z21"/>
    <mergeCell ref="AA21:AH21"/>
    <mergeCell ref="B13:D13"/>
    <mergeCell ref="E13:L13"/>
    <mergeCell ref="M13:P13"/>
    <mergeCell ref="Q13:S13"/>
    <mergeCell ref="T13:V13"/>
    <mergeCell ref="AA23:AH23"/>
    <mergeCell ref="AA19:AH19"/>
    <mergeCell ref="AA18:AH18"/>
    <mergeCell ref="W19:Z19"/>
    <mergeCell ref="E23:L23"/>
    <mergeCell ref="M23:P23"/>
    <mergeCell ref="Q23:S23"/>
    <mergeCell ref="T23:V23"/>
    <mergeCell ref="W23:Z23"/>
    <mergeCell ref="E20:L20"/>
    <mergeCell ref="M20:P20"/>
    <mergeCell ref="Q20:S20"/>
    <mergeCell ref="T20:V20"/>
    <mergeCell ref="W18:Z18"/>
    <mergeCell ref="W20:Z20"/>
    <mergeCell ref="AA20:AH20"/>
    <mergeCell ref="E15:L15"/>
    <mergeCell ref="E21:L21"/>
    <mergeCell ref="M21:P21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53:D53"/>
    <mergeCell ref="E53:L53"/>
    <mergeCell ref="M53:Z53"/>
    <mergeCell ref="AA53:AH53"/>
    <mergeCell ref="B54:V55"/>
    <mergeCell ref="W54:AH55"/>
    <mergeCell ref="E51:L51"/>
    <mergeCell ref="M51:P51"/>
    <mergeCell ref="Q51:S51"/>
    <mergeCell ref="T51:V51"/>
    <mergeCell ref="W51:Z51"/>
    <mergeCell ref="AA51:AH51"/>
    <mergeCell ref="E52:L52"/>
    <mergeCell ref="M52:P52"/>
    <mergeCell ref="Q52:S52"/>
    <mergeCell ref="T52:V52"/>
    <mergeCell ref="W52:Z52"/>
    <mergeCell ref="AA52:AH52"/>
    <mergeCell ref="E50:L50"/>
    <mergeCell ref="M50:P50"/>
    <mergeCell ref="Q50:S50"/>
    <mergeCell ref="T50:V50"/>
    <mergeCell ref="W50:Z50"/>
    <mergeCell ref="AA50:AH50"/>
    <mergeCell ref="M41:P41"/>
    <mergeCell ref="Q41:S41"/>
    <mergeCell ref="T41:V41"/>
    <mergeCell ref="W41:Z41"/>
    <mergeCell ref="AA41:AH41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3:L43"/>
    <mergeCell ref="E44:L44"/>
    <mergeCell ref="M44:P44"/>
    <mergeCell ref="Q44:S44"/>
    <mergeCell ref="T44:V44"/>
    <mergeCell ref="W44:Z44"/>
    <mergeCell ref="AA44:AH44"/>
    <mergeCell ref="B41:D41"/>
    <mergeCell ref="E41:L41"/>
    <mergeCell ref="M40:P40"/>
    <mergeCell ref="Q40:S40"/>
    <mergeCell ref="T40:V40"/>
    <mergeCell ref="W40:Z40"/>
    <mergeCell ref="AA40:AH40"/>
    <mergeCell ref="M43:P43"/>
    <mergeCell ref="Q43:S43"/>
    <mergeCell ref="T43:V43"/>
    <mergeCell ref="W43:Z43"/>
    <mergeCell ref="AA43:AH43"/>
    <mergeCell ref="E40:L40"/>
    <mergeCell ref="E49:L49"/>
    <mergeCell ref="M49:P49"/>
    <mergeCell ref="Q49:S49"/>
    <mergeCell ref="T49:V49"/>
    <mergeCell ref="W49:Z49"/>
    <mergeCell ref="AA49:AH49"/>
    <mergeCell ref="E45:L45"/>
    <mergeCell ref="M45:P45"/>
    <mergeCell ref="Q45:S45"/>
    <mergeCell ref="T45:V45"/>
    <mergeCell ref="W45:Z45"/>
    <mergeCell ref="AA45:AH45"/>
    <mergeCell ref="E48:L48"/>
    <mergeCell ref="M48:P48"/>
    <mergeCell ref="Q48:S48"/>
    <mergeCell ref="T48:V48"/>
    <mergeCell ref="W48:Z48"/>
    <mergeCell ref="AA48:AH48"/>
  </mergeCells>
  <phoneticPr fontId="2" type="noConversion"/>
  <conditionalFormatting sqref="AA13">
    <cfRule type="expression" dxfId="291" priority="1911">
      <formula>Q13:S27=0</formula>
    </cfRule>
  </conditionalFormatting>
  <conditionalFormatting sqref="AA14:AA15">
    <cfRule type="expression" dxfId="290" priority="9">
      <formula>Q14:S26=0</formula>
    </cfRule>
  </conditionalFormatting>
  <conditionalFormatting sqref="AA16:AA19 AA43:AH51">
    <cfRule type="expression" dxfId="289" priority="5">
      <formula>Q16:S26=0</formula>
    </cfRule>
  </conditionalFormatting>
  <conditionalFormatting sqref="AA20:AA21">
    <cfRule type="expression" dxfId="288" priority="3">
      <formula>Q20:S29=0</formula>
    </cfRule>
  </conditionalFormatting>
  <conditionalFormatting sqref="AA22">
    <cfRule type="expression" dxfId="287" priority="2675">
      <formula>Q22:S30=0</formula>
    </cfRule>
  </conditionalFormatting>
  <conditionalFormatting sqref="AA23:AA24">
    <cfRule type="expression" dxfId="286" priority="2851">
      <formula>Q23:S30=0</formula>
    </cfRule>
  </conditionalFormatting>
  <conditionalFormatting sqref="AA52:AH52">
    <cfRule type="expression" dxfId="285" priority="2932">
      <formula>Q52:S52=0</formula>
    </cfRule>
  </conditionalFormatting>
  <conditionalFormatting sqref="AA41:AH41">
    <cfRule type="expression" dxfId="284" priority="3108">
      <formula>Q41:S52=0</formula>
    </cfRule>
  </conditionalFormatting>
  <conditionalFormatting sqref="AA42:AH42">
    <cfRule type="expression" dxfId="21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22B90CF3-73E3-454F-950F-AC8B3F3F6FE3}"/>
  </dataValidations>
  <printOptions horizontalCentered="1"/>
  <pageMargins left="0" right="0" top="0.11811023622047245" bottom="0" header="0" footer="0"/>
  <pageSetup paperSize="9" scale="8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A38F-19CF-4EEA-8647-78EC6799C450}">
  <sheetPr>
    <pageSetUpPr fitToPage="1"/>
  </sheetPr>
  <dimension ref="B1:AH55"/>
  <sheetViews>
    <sheetView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72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72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73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2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2</v>
      </c>
      <c r="X13" s="100"/>
      <c r="Y13" s="100"/>
      <c r="Z13" s="101"/>
      <c r="AA13" s="251">
        <f>B13+6</f>
        <v>46321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2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251" t="e">
        <f>B12+5</f>
        <v>#VALUE!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74</v>
      </c>
      <c r="R15" s="96"/>
      <c r="S15" s="97"/>
      <c r="T15" s="98">
        <f t="shared" si="0"/>
        <v>2</v>
      </c>
      <c r="U15" s="84"/>
      <c r="V15" s="84"/>
      <c r="W15" s="99">
        <f t="shared" si="1"/>
        <v>14</v>
      </c>
      <c r="X15" s="100"/>
      <c r="Y15" s="100"/>
      <c r="Z15" s="101"/>
      <c r="AA15" s="251">
        <f>B13+5</f>
        <v>46320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10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10</v>
      </c>
      <c r="X16" s="100"/>
      <c r="Y16" s="100"/>
      <c r="Z16" s="101"/>
      <c r="AA16" s="251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18</v>
      </c>
      <c r="R17" s="96"/>
      <c r="S17" s="97"/>
      <c r="T17" s="98">
        <f t="shared" si="0"/>
        <v>0</v>
      </c>
      <c r="U17" s="84"/>
      <c r="V17" s="84"/>
      <c r="W17" s="99">
        <f t="shared" si="1"/>
        <v>18</v>
      </c>
      <c r="X17" s="100"/>
      <c r="Y17" s="100"/>
      <c r="Z17" s="101"/>
      <c r="AA17" s="251">
        <f>B13+5-1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2</v>
      </c>
      <c r="R18" s="96"/>
      <c r="S18" s="97"/>
      <c r="T18" s="98">
        <f t="shared" si="0"/>
        <v>0</v>
      </c>
      <c r="U18" s="84"/>
      <c r="V18" s="84"/>
      <c r="W18" s="99">
        <f t="shared" si="1"/>
        <v>2</v>
      </c>
      <c r="X18" s="100"/>
      <c r="Y18" s="100"/>
      <c r="Z18" s="101"/>
      <c r="AA18" s="251">
        <f>B13+5-1</f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1</v>
      </c>
      <c r="R19" s="96"/>
      <c r="S19" s="97"/>
      <c r="T19" s="98">
        <f t="shared" si="0"/>
        <v>0</v>
      </c>
      <c r="U19" s="84"/>
      <c r="V19" s="84"/>
      <c r="W19" s="99">
        <f t="shared" si="1"/>
        <v>1</v>
      </c>
      <c r="X19" s="100"/>
      <c r="Y19" s="100"/>
      <c r="Z19" s="101"/>
      <c r="AA19" s="251">
        <f>B13+5-1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4</v>
      </c>
      <c r="R20" s="96"/>
      <c r="S20" s="97"/>
      <c r="T20" s="98">
        <f t="shared" si="0"/>
        <v>0</v>
      </c>
      <c r="U20" s="84"/>
      <c r="V20" s="84"/>
      <c r="W20" s="99">
        <f t="shared" si="1"/>
        <v>4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2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2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6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6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3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3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124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74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BGF로지스아산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충청북도 아산시 염치읍 아산로 624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2</v>
      </c>
      <c r="R41" s="216"/>
      <c r="S41" s="216"/>
      <c r="T41" s="217">
        <f>T13</f>
        <v>0</v>
      </c>
      <c r="U41" s="217"/>
      <c r="V41" s="217"/>
      <c r="W41" s="218">
        <f>W13</f>
        <v>2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2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74</v>
      </c>
      <c r="R43" s="216"/>
      <c r="S43" s="216"/>
      <c r="T43" s="217">
        <f t="shared" si="15"/>
        <v>2</v>
      </c>
      <c r="U43" s="217"/>
      <c r="V43" s="217"/>
      <c r="W43" s="218">
        <f t="shared" si="16"/>
        <v>14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10</v>
      </c>
      <c r="R44" s="216"/>
      <c r="S44" s="216"/>
      <c r="T44" s="217">
        <f t="shared" si="15"/>
        <v>0</v>
      </c>
      <c r="U44" s="217"/>
      <c r="V44" s="217"/>
      <c r="W44" s="218">
        <f t="shared" si="16"/>
        <v>10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18</v>
      </c>
      <c r="R45" s="216"/>
      <c r="S45" s="216"/>
      <c r="T45" s="217">
        <f t="shared" si="15"/>
        <v>0</v>
      </c>
      <c r="U45" s="217"/>
      <c r="V45" s="217"/>
      <c r="W45" s="218">
        <f t="shared" si="16"/>
        <v>18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2</v>
      </c>
      <c r="R46" s="216"/>
      <c r="S46" s="216"/>
      <c r="T46" s="217">
        <f t="shared" si="15"/>
        <v>0</v>
      </c>
      <c r="U46" s="217"/>
      <c r="V46" s="217"/>
      <c r="W46" s="218">
        <f t="shared" si="16"/>
        <v>2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1</v>
      </c>
      <c r="R47" s="216"/>
      <c r="S47" s="216"/>
      <c r="T47" s="217">
        <f t="shared" si="15"/>
        <v>0</v>
      </c>
      <c r="U47" s="217"/>
      <c r="V47" s="217"/>
      <c r="W47" s="218">
        <f t="shared" si="16"/>
        <v>1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4</v>
      </c>
      <c r="R48" s="216"/>
      <c r="S48" s="216"/>
      <c r="T48" s="217">
        <f t="shared" si="15"/>
        <v>0</v>
      </c>
      <c r="U48" s="217"/>
      <c r="V48" s="217"/>
      <c r="W48" s="218">
        <f t="shared" si="16"/>
        <v>4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2</v>
      </c>
      <c r="R49" s="216"/>
      <c r="S49" s="216"/>
      <c r="T49" s="217">
        <f t="shared" si="15"/>
        <v>0</v>
      </c>
      <c r="U49" s="217"/>
      <c r="V49" s="217"/>
      <c r="W49" s="218">
        <f t="shared" si="16"/>
        <v>2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6</v>
      </c>
      <c r="R50" s="216"/>
      <c r="S50" s="216"/>
      <c r="T50" s="217">
        <f t="shared" si="15"/>
        <v>0</v>
      </c>
      <c r="U50" s="217"/>
      <c r="V50" s="217"/>
      <c r="W50" s="218">
        <f t="shared" si="16"/>
        <v>6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3</v>
      </c>
      <c r="R51" s="216"/>
      <c r="S51" s="216"/>
      <c r="T51" s="217">
        <f>T23</f>
        <v>0</v>
      </c>
      <c r="U51" s="217"/>
      <c r="V51" s="217"/>
      <c r="W51" s="218">
        <f t="shared" si="16"/>
        <v>3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124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100000000000001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충청북도 아산시 염치읍 아산로 624
041)428-9470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100000000000001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E12:L12"/>
    <mergeCell ref="M12:P12"/>
    <mergeCell ref="Q12:S12"/>
    <mergeCell ref="T12:V12"/>
    <mergeCell ref="W12:Z12"/>
    <mergeCell ref="AA12:AH12"/>
    <mergeCell ref="Q19:S19"/>
    <mergeCell ref="M20:P20"/>
    <mergeCell ref="AA20:AH20"/>
    <mergeCell ref="E19:L19"/>
    <mergeCell ref="M19:P19"/>
    <mergeCell ref="AA13:AH13"/>
    <mergeCell ref="T18:V18"/>
    <mergeCell ref="W18:Z18"/>
    <mergeCell ref="AA18:AH18"/>
    <mergeCell ref="E15:L15"/>
    <mergeCell ref="M15:P15"/>
    <mergeCell ref="Q15:S15"/>
    <mergeCell ref="T15:V15"/>
    <mergeCell ref="W15:Z15"/>
    <mergeCell ref="AA15:AH15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32:B39"/>
    <mergeCell ref="C32:F33"/>
    <mergeCell ref="G32:P33"/>
    <mergeCell ref="B13:D13"/>
    <mergeCell ref="E13:L13"/>
    <mergeCell ref="M13:P13"/>
    <mergeCell ref="Q13:S13"/>
    <mergeCell ref="T13:V13"/>
    <mergeCell ref="W13:Z13"/>
    <mergeCell ref="E18:L18"/>
    <mergeCell ref="M18:P18"/>
    <mergeCell ref="Q18:S18"/>
    <mergeCell ref="E23:L23"/>
    <mergeCell ref="M23:P23"/>
    <mergeCell ref="Q23:S23"/>
    <mergeCell ref="T23:V23"/>
    <mergeCell ref="W23:Z23"/>
    <mergeCell ref="E25:L25"/>
    <mergeCell ref="M25:Z25"/>
    <mergeCell ref="G38:P39"/>
    <mergeCell ref="R38:U39"/>
    <mergeCell ref="V38:AA39"/>
    <mergeCell ref="C36:F37"/>
    <mergeCell ref="G36:P37"/>
    <mergeCell ref="M41:P41"/>
    <mergeCell ref="Q41:S41"/>
    <mergeCell ref="T41:V41"/>
    <mergeCell ref="AA50:AH50"/>
    <mergeCell ref="E47:L47"/>
    <mergeCell ref="M47:P47"/>
    <mergeCell ref="Q47:S47"/>
    <mergeCell ref="T47:V47"/>
    <mergeCell ref="W47:Z47"/>
    <mergeCell ref="T46:V46"/>
    <mergeCell ref="AA43:AH43"/>
    <mergeCell ref="M43:P43"/>
    <mergeCell ref="Q43:S43"/>
    <mergeCell ref="AA48:AH48"/>
    <mergeCell ref="AA45:AH45"/>
    <mergeCell ref="W45:Z45"/>
    <mergeCell ref="W48:Z48"/>
    <mergeCell ref="E44:L44"/>
    <mergeCell ref="M44:P44"/>
    <mergeCell ref="Q44:S44"/>
    <mergeCell ref="T44:V44"/>
    <mergeCell ref="W44:Z44"/>
    <mergeCell ref="E50:L50"/>
    <mergeCell ref="M50:P50"/>
    <mergeCell ref="B54:V55"/>
    <mergeCell ref="W54:AH55"/>
    <mergeCell ref="T51:V51"/>
    <mergeCell ref="E52:L52"/>
    <mergeCell ref="M52:P52"/>
    <mergeCell ref="Q52:S52"/>
    <mergeCell ref="T52:V52"/>
    <mergeCell ref="W52:Z52"/>
    <mergeCell ref="AA52:AH52"/>
    <mergeCell ref="W51:Z51"/>
    <mergeCell ref="AA51:AH51"/>
    <mergeCell ref="E51:L51"/>
    <mergeCell ref="AA53:AH53"/>
    <mergeCell ref="M51:P51"/>
    <mergeCell ref="B53:D53"/>
    <mergeCell ref="E53:L53"/>
    <mergeCell ref="M53:Z53"/>
    <mergeCell ref="Q51:S51"/>
    <mergeCell ref="Q50:S50"/>
    <mergeCell ref="T50:V50"/>
    <mergeCell ref="W50:Z50"/>
    <mergeCell ref="W46:Z46"/>
    <mergeCell ref="E45:L45"/>
    <mergeCell ref="M45:P45"/>
    <mergeCell ref="Q45:S45"/>
    <mergeCell ref="T45:V45"/>
    <mergeCell ref="E48:L48"/>
    <mergeCell ref="M48:P48"/>
    <mergeCell ref="Q48:S48"/>
    <mergeCell ref="E49:L49"/>
    <mergeCell ref="M49:P49"/>
    <mergeCell ref="V34:AA35"/>
    <mergeCell ref="AB34:AC35"/>
    <mergeCell ref="AD34:AH35"/>
    <mergeCell ref="E40:L40"/>
    <mergeCell ref="M40:P40"/>
    <mergeCell ref="AB38:AC39"/>
    <mergeCell ref="AD38:AH39"/>
    <mergeCell ref="G34:K35"/>
    <mergeCell ref="R34:U35"/>
    <mergeCell ref="T40:V40"/>
    <mergeCell ref="W40:Z40"/>
    <mergeCell ref="AA40:AH40"/>
    <mergeCell ref="AA46:AH46"/>
    <mergeCell ref="Q49:S49"/>
    <mergeCell ref="T49:V49"/>
    <mergeCell ref="W49:Z49"/>
    <mergeCell ref="AA47:AH47"/>
    <mergeCell ref="E43:L43"/>
    <mergeCell ref="T48:V48"/>
    <mergeCell ref="E46:L46"/>
    <mergeCell ref="M46:P46"/>
    <mergeCell ref="Q46:S46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T19:V19"/>
    <mergeCell ref="W19:Z19"/>
    <mergeCell ref="E20:L20"/>
    <mergeCell ref="AA19:AH19"/>
    <mergeCell ref="AA49:AH49"/>
    <mergeCell ref="R36:U37"/>
    <mergeCell ref="V36:AH37"/>
    <mergeCell ref="Q32:Q39"/>
    <mergeCell ref="R32:U33"/>
    <mergeCell ref="V32:AH33"/>
    <mergeCell ref="C34:F35"/>
    <mergeCell ref="C38:F39"/>
    <mergeCell ref="W24:Z24"/>
    <mergeCell ref="W26:AH27"/>
    <mergeCell ref="E24:L24"/>
    <mergeCell ref="AA24:AH24"/>
    <mergeCell ref="Q40:S40"/>
    <mergeCell ref="W43:Z43"/>
    <mergeCell ref="T43:V43"/>
    <mergeCell ref="E41:L41"/>
    <mergeCell ref="W41:Z41"/>
    <mergeCell ref="AA23:AH23"/>
    <mergeCell ref="M24:P24"/>
    <mergeCell ref="Q24:S24"/>
    <mergeCell ref="B30:AH31"/>
    <mergeCell ref="B25:D25"/>
    <mergeCell ref="AA25:AH25"/>
    <mergeCell ref="B26:V27"/>
    <mergeCell ref="AA44:AH44"/>
    <mergeCell ref="L34:P35"/>
    <mergeCell ref="Q20:S20"/>
    <mergeCell ref="T20:V20"/>
    <mergeCell ref="W20:Z20"/>
    <mergeCell ref="T24:V24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2:L22"/>
    <mergeCell ref="M22:P22"/>
    <mergeCell ref="Q22:S22"/>
    <mergeCell ref="AA41:AH41"/>
    <mergeCell ref="B41:D41"/>
  </mergeCells>
  <phoneticPr fontId="2" type="noConversion"/>
  <conditionalFormatting sqref="AA13">
    <cfRule type="expression" dxfId="283" priority="1909">
      <formula>Q13:S27=0</formula>
    </cfRule>
  </conditionalFormatting>
  <conditionalFormatting sqref="AA14:AA15">
    <cfRule type="expression" dxfId="282" priority="9">
      <formula>Q14:S26=0</formula>
    </cfRule>
  </conditionalFormatting>
  <conditionalFormatting sqref="AA16:AA19 AA43:AH51">
    <cfRule type="expression" dxfId="281" priority="5">
      <formula>Q16:S26=0</formula>
    </cfRule>
  </conditionalFormatting>
  <conditionalFormatting sqref="AA20:AA21">
    <cfRule type="expression" dxfId="280" priority="3">
      <formula>Q20:S29=0</formula>
    </cfRule>
  </conditionalFormatting>
  <conditionalFormatting sqref="AA22">
    <cfRule type="expression" dxfId="279" priority="2672">
      <formula>Q22:S30=0</formula>
    </cfRule>
  </conditionalFormatting>
  <conditionalFormatting sqref="AA23:AA24">
    <cfRule type="expression" dxfId="278" priority="2848">
      <formula>Q23:S30=0</formula>
    </cfRule>
  </conditionalFormatting>
  <conditionalFormatting sqref="AA52:AH52">
    <cfRule type="expression" dxfId="277" priority="2929">
      <formula>Q52:S52=0</formula>
    </cfRule>
  </conditionalFormatting>
  <conditionalFormatting sqref="AA41:AH41">
    <cfRule type="expression" dxfId="276" priority="3107">
      <formula>Q41:S52=0</formula>
    </cfRule>
  </conditionalFormatting>
  <conditionalFormatting sqref="AA42:AH42">
    <cfRule type="expression" dxfId="22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3D5F2AFA-8FF7-4E84-91D0-42AF516324AA}"/>
  </dataValidations>
  <printOptions horizontalCentered="1"/>
  <pageMargins left="0" right="0" top="0.11811023622047245" bottom="0" header="0" footer="0"/>
  <pageSetup paperSize="9" scale="8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87A1-3C0F-45D0-A667-B4B159D57754}">
  <sheetPr>
    <pageSetUpPr fitToPage="1"/>
  </sheetPr>
  <dimension ref="B1:AH55"/>
  <sheetViews>
    <sheetView topLeftCell="A2"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75</v>
      </c>
      <c r="C1" s="2"/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75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76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6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6</v>
      </c>
      <c r="X13" s="100"/>
      <c r="Y13" s="100"/>
      <c r="Z13" s="101"/>
      <c r="AA13" s="251">
        <f>B13+6</f>
        <v>46321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6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251" t="e">
        <f>B12+5</f>
        <v>#VALUE!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110</v>
      </c>
      <c r="R15" s="96"/>
      <c r="S15" s="97"/>
      <c r="T15" s="98">
        <f t="shared" si="0"/>
        <v>3</v>
      </c>
      <c r="U15" s="84"/>
      <c r="V15" s="84"/>
      <c r="W15" s="99">
        <f t="shared" si="1"/>
        <v>20</v>
      </c>
      <c r="X15" s="100"/>
      <c r="Y15" s="100"/>
      <c r="Z15" s="101"/>
      <c r="AA15" s="251">
        <f>B13+5</f>
        <v>46320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7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7</v>
      </c>
      <c r="X16" s="100"/>
      <c r="Y16" s="100"/>
      <c r="Z16" s="101"/>
      <c r="AA16" s="251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19</v>
      </c>
      <c r="R17" s="96"/>
      <c r="S17" s="97"/>
      <c r="T17" s="98">
        <f t="shared" si="0"/>
        <v>0</v>
      </c>
      <c r="U17" s="84"/>
      <c r="V17" s="84"/>
      <c r="W17" s="99">
        <f t="shared" si="1"/>
        <v>19</v>
      </c>
      <c r="X17" s="100"/>
      <c r="Y17" s="100"/>
      <c r="Z17" s="101"/>
      <c r="AA17" s="251">
        <f>B13+5-1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4</v>
      </c>
      <c r="R18" s="96"/>
      <c r="S18" s="97"/>
      <c r="T18" s="98">
        <f t="shared" si="0"/>
        <v>0</v>
      </c>
      <c r="U18" s="84"/>
      <c r="V18" s="84"/>
      <c r="W18" s="99">
        <f t="shared" si="1"/>
        <v>4</v>
      </c>
      <c r="X18" s="100"/>
      <c r="Y18" s="100"/>
      <c r="Z18" s="101"/>
      <c r="AA18" s="251">
        <f>B13+5-1</f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5</v>
      </c>
      <c r="R19" s="96"/>
      <c r="S19" s="97"/>
      <c r="T19" s="98">
        <f t="shared" si="0"/>
        <v>0</v>
      </c>
      <c r="U19" s="84"/>
      <c r="V19" s="84"/>
      <c r="W19" s="99">
        <f t="shared" si="1"/>
        <v>5</v>
      </c>
      <c r="X19" s="100"/>
      <c r="Y19" s="100"/>
      <c r="Z19" s="101"/>
      <c r="AA19" s="251">
        <f>B13+5-1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5</v>
      </c>
      <c r="R20" s="96"/>
      <c r="S20" s="97"/>
      <c r="T20" s="98">
        <f t="shared" si="0"/>
        <v>0</v>
      </c>
      <c r="U20" s="84"/>
      <c r="V20" s="84"/>
      <c r="W20" s="99">
        <f t="shared" si="1"/>
        <v>5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2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2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22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22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8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8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194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77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씨제이군포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경기도 군포시 번영로 82
 한국복합물류 P동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6</v>
      </c>
      <c r="R41" s="216"/>
      <c r="S41" s="216"/>
      <c r="T41" s="217">
        <f>T13</f>
        <v>0</v>
      </c>
      <c r="U41" s="217"/>
      <c r="V41" s="217"/>
      <c r="W41" s="218">
        <f>W13</f>
        <v>6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6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110</v>
      </c>
      <c r="R43" s="216"/>
      <c r="S43" s="216"/>
      <c r="T43" s="217">
        <f t="shared" si="15"/>
        <v>3</v>
      </c>
      <c r="U43" s="217"/>
      <c r="V43" s="217"/>
      <c r="W43" s="218">
        <f t="shared" si="16"/>
        <v>20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7</v>
      </c>
      <c r="R44" s="216"/>
      <c r="S44" s="216"/>
      <c r="T44" s="217">
        <f t="shared" si="15"/>
        <v>0</v>
      </c>
      <c r="U44" s="217"/>
      <c r="V44" s="217"/>
      <c r="W44" s="218">
        <f t="shared" si="16"/>
        <v>7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19</v>
      </c>
      <c r="R45" s="216"/>
      <c r="S45" s="216"/>
      <c r="T45" s="217">
        <f t="shared" si="15"/>
        <v>0</v>
      </c>
      <c r="U45" s="217"/>
      <c r="V45" s="217"/>
      <c r="W45" s="218">
        <f t="shared" si="16"/>
        <v>19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4</v>
      </c>
      <c r="R46" s="216"/>
      <c r="S46" s="216"/>
      <c r="T46" s="217">
        <f t="shared" si="15"/>
        <v>0</v>
      </c>
      <c r="U46" s="217"/>
      <c r="V46" s="217"/>
      <c r="W46" s="218">
        <f t="shared" si="16"/>
        <v>4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5</v>
      </c>
      <c r="R47" s="216"/>
      <c r="S47" s="216"/>
      <c r="T47" s="217">
        <f t="shared" si="15"/>
        <v>0</v>
      </c>
      <c r="U47" s="217"/>
      <c r="V47" s="217"/>
      <c r="W47" s="218">
        <f t="shared" si="16"/>
        <v>5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5</v>
      </c>
      <c r="R48" s="216"/>
      <c r="S48" s="216"/>
      <c r="T48" s="217">
        <f t="shared" si="15"/>
        <v>0</v>
      </c>
      <c r="U48" s="217"/>
      <c r="V48" s="217"/>
      <c r="W48" s="218">
        <f t="shared" si="16"/>
        <v>5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2</v>
      </c>
      <c r="R49" s="216"/>
      <c r="S49" s="216"/>
      <c r="T49" s="217">
        <f t="shared" si="15"/>
        <v>0</v>
      </c>
      <c r="U49" s="217"/>
      <c r="V49" s="217"/>
      <c r="W49" s="218">
        <f t="shared" si="16"/>
        <v>2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22</v>
      </c>
      <c r="R50" s="216"/>
      <c r="S50" s="216"/>
      <c r="T50" s="217">
        <f t="shared" si="15"/>
        <v>0</v>
      </c>
      <c r="U50" s="217"/>
      <c r="V50" s="217"/>
      <c r="W50" s="218">
        <f t="shared" si="16"/>
        <v>22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8</v>
      </c>
      <c r="R51" s="216"/>
      <c r="S51" s="216"/>
      <c r="T51" s="217">
        <f>T23</f>
        <v>0</v>
      </c>
      <c r="U51" s="217"/>
      <c r="V51" s="217"/>
      <c r="W51" s="218">
        <f t="shared" si="16"/>
        <v>8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194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100000000000001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 xml:space="preserve">경기도 군포시 번영로 82 한국복합물류P동
031)460-2208 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100000000000001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E12:L12"/>
    <mergeCell ref="M12:P12"/>
    <mergeCell ref="Q12:S12"/>
    <mergeCell ref="T12:V12"/>
    <mergeCell ref="W12:Z12"/>
    <mergeCell ref="AA12:AH12"/>
    <mergeCell ref="Q19:S19"/>
    <mergeCell ref="M20:P20"/>
    <mergeCell ref="AA20:AH20"/>
    <mergeCell ref="E19:L19"/>
    <mergeCell ref="M19:P19"/>
    <mergeCell ref="AA13:AH13"/>
    <mergeCell ref="T18:V18"/>
    <mergeCell ref="W18:Z18"/>
    <mergeCell ref="AA18:AH18"/>
    <mergeCell ref="E15:L15"/>
    <mergeCell ref="M15:P15"/>
    <mergeCell ref="Q15:S15"/>
    <mergeCell ref="T15:V15"/>
    <mergeCell ref="W15:Z15"/>
    <mergeCell ref="AA15:AH15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32:B39"/>
    <mergeCell ref="C32:F33"/>
    <mergeCell ref="G32:P33"/>
    <mergeCell ref="B13:D13"/>
    <mergeCell ref="E13:L13"/>
    <mergeCell ref="M13:P13"/>
    <mergeCell ref="Q13:S13"/>
    <mergeCell ref="T13:V13"/>
    <mergeCell ref="W13:Z13"/>
    <mergeCell ref="E18:L18"/>
    <mergeCell ref="M18:P18"/>
    <mergeCell ref="Q18:S18"/>
    <mergeCell ref="E23:L23"/>
    <mergeCell ref="M23:P23"/>
    <mergeCell ref="Q23:S23"/>
    <mergeCell ref="T23:V23"/>
    <mergeCell ref="W23:Z23"/>
    <mergeCell ref="E25:L25"/>
    <mergeCell ref="M25:Z25"/>
    <mergeCell ref="G38:P39"/>
    <mergeCell ref="R38:U39"/>
    <mergeCell ref="V38:AA39"/>
    <mergeCell ref="C36:F37"/>
    <mergeCell ref="G36:P37"/>
    <mergeCell ref="M41:P41"/>
    <mergeCell ref="Q41:S41"/>
    <mergeCell ref="T41:V41"/>
    <mergeCell ref="AA50:AH50"/>
    <mergeCell ref="E47:L47"/>
    <mergeCell ref="M47:P47"/>
    <mergeCell ref="Q47:S47"/>
    <mergeCell ref="T47:V47"/>
    <mergeCell ref="W47:Z47"/>
    <mergeCell ref="T46:V46"/>
    <mergeCell ref="AA43:AH43"/>
    <mergeCell ref="M43:P43"/>
    <mergeCell ref="Q43:S43"/>
    <mergeCell ref="AA48:AH48"/>
    <mergeCell ref="AA45:AH45"/>
    <mergeCell ref="W45:Z45"/>
    <mergeCell ref="W48:Z48"/>
    <mergeCell ref="E44:L44"/>
    <mergeCell ref="M44:P44"/>
    <mergeCell ref="Q44:S44"/>
    <mergeCell ref="T44:V44"/>
    <mergeCell ref="W44:Z44"/>
    <mergeCell ref="E50:L50"/>
    <mergeCell ref="M50:P50"/>
    <mergeCell ref="B54:V55"/>
    <mergeCell ref="W54:AH55"/>
    <mergeCell ref="T51:V51"/>
    <mergeCell ref="E52:L52"/>
    <mergeCell ref="M52:P52"/>
    <mergeCell ref="Q52:S52"/>
    <mergeCell ref="T52:V52"/>
    <mergeCell ref="W52:Z52"/>
    <mergeCell ref="AA52:AH52"/>
    <mergeCell ref="W51:Z51"/>
    <mergeCell ref="AA51:AH51"/>
    <mergeCell ref="E51:L51"/>
    <mergeCell ref="AA53:AH53"/>
    <mergeCell ref="M51:P51"/>
    <mergeCell ref="B53:D53"/>
    <mergeCell ref="E53:L53"/>
    <mergeCell ref="M53:Z53"/>
    <mergeCell ref="Q51:S51"/>
    <mergeCell ref="Q50:S50"/>
    <mergeCell ref="T50:V50"/>
    <mergeCell ref="W50:Z50"/>
    <mergeCell ref="W46:Z46"/>
    <mergeCell ref="E45:L45"/>
    <mergeCell ref="M45:P45"/>
    <mergeCell ref="Q45:S45"/>
    <mergeCell ref="T45:V45"/>
    <mergeCell ref="E48:L48"/>
    <mergeCell ref="M48:P48"/>
    <mergeCell ref="Q48:S48"/>
    <mergeCell ref="E49:L49"/>
    <mergeCell ref="M49:P49"/>
    <mergeCell ref="V34:AA35"/>
    <mergeCell ref="AB34:AC35"/>
    <mergeCell ref="AD34:AH35"/>
    <mergeCell ref="E40:L40"/>
    <mergeCell ref="M40:P40"/>
    <mergeCell ref="AB38:AC39"/>
    <mergeCell ref="AD38:AH39"/>
    <mergeCell ref="G34:K35"/>
    <mergeCell ref="R34:U35"/>
    <mergeCell ref="T40:V40"/>
    <mergeCell ref="W40:Z40"/>
    <mergeCell ref="AA40:AH40"/>
    <mergeCell ref="AA46:AH46"/>
    <mergeCell ref="Q49:S49"/>
    <mergeCell ref="T49:V49"/>
    <mergeCell ref="W49:Z49"/>
    <mergeCell ref="AA47:AH47"/>
    <mergeCell ref="E43:L43"/>
    <mergeCell ref="T48:V48"/>
    <mergeCell ref="E46:L46"/>
    <mergeCell ref="M46:P46"/>
    <mergeCell ref="Q46:S46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T19:V19"/>
    <mergeCell ref="W19:Z19"/>
    <mergeCell ref="E20:L20"/>
    <mergeCell ref="AA19:AH19"/>
    <mergeCell ref="AA49:AH49"/>
    <mergeCell ref="R36:U37"/>
    <mergeCell ref="V36:AH37"/>
    <mergeCell ref="Q32:Q39"/>
    <mergeCell ref="R32:U33"/>
    <mergeCell ref="V32:AH33"/>
    <mergeCell ref="C34:F35"/>
    <mergeCell ref="C38:F39"/>
    <mergeCell ref="W24:Z24"/>
    <mergeCell ref="W26:AH27"/>
    <mergeCell ref="E24:L24"/>
    <mergeCell ref="AA24:AH24"/>
    <mergeCell ref="Q40:S40"/>
    <mergeCell ref="W43:Z43"/>
    <mergeCell ref="T43:V43"/>
    <mergeCell ref="E41:L41"/>
    <mergeCell ref="W41:Z41"/>
    <mergeCell ref="AA23:AH23"/>
    <mergeCell ref="M24:P24"/>
    <mergeCell ref="Q24:S24"/>
    <mergeCell ref="B30:AH31"/>
    <mergeCell ref="B25:D25"/>
    <mergeCell ref="AA25:AH25"/>
    <mergeCell ref="B26:V27"/>
    <mergeCell ref="AA44:AH44"/>
    <mergeCell ref="L34:P35"/>
    <mergeCell ref="Q20:S20"/>
    <mergeCell ref="T20:V20"/>
    <mergeCell ref="W20:Z20"/>
    <mergeCell ref="T24:V24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2:L22"/>
    <mergeCell ref="M22:P22"/>
    <mergeCell ref="Q22:S22"/>
    <mergeCell ref="AA41:AH41"/>
    <mergeCell ref="B41:D41"/>
  </mergeCells>
  <phoneticPr fontId="2" type="noConversion"/>
  <conditionalFormatting sqref="AA13">
    <cfRule type="expression" dxfId="275" priority="1907">
      <formula>Q13:S27=0</formula>
    </cfRule>
  </conditionalFormatting>
  <conditionalFormatting sqref="AA14:AA15">
    <cfRule type="expression" dxfId="274" priority="9">
      <formula>Q14:S26=0</formula>
    </cfRule>
  </conditionalFormatting>
  <conditionalFormatting sqref="AA16:AA19 AA43:AH51">
    <cfRule type="expression" dxfId="273" priority="5">
      <formula>Q16:S26=0</formula>
    </cfRule>
  </conditionalFormatting>
  <conditionalFormatting sqref="AA20:AA21">
    <cfRule type="expression" dxfId="272" priority="3">
      <formula>Q20:S29=0</formula>
    </cfRule>
  </conditionalFormatting>
  <conditionalFormatting sqref="AA22">
    <cfRule type="expression" dxfId="271" priority="2669">
      <formula>Q22:S30=0</formula>
    </cfRule>
  </conditionalFormatting>
  <conditionalFormatting sqref="AA23:AA24">
    <cfRule type="expression" dxfId="270" priority="2845">
      <formula>Q23:S30=0</formula>
    </cfRule>
  </conditionalFormatting>
  <conditionalFormatting sqref="AA52:AH52">
    <cfRule type="expression" dxfId="269" priority="2926">
      <formula>Q52:S52=0</formula>
    </cfRule>
  </conditionalFormatting>
  <conditionalFormatting sqref="AA41:AH41">
    <cfRule type="expression" dxfId="268" priority="3106">
      <formula>Q41:S52=0</formula>
    </cfRule>
  </conditionalFormatting>
  <conditionalFormatting sqref="AA42:AH42">
    <cfRule type="expression" dxfId="23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0A46A2C6-6C60-4D5A-A829-E360A2BC413E}"/>
  </dataValidations>
  <printOptions horizontalCentered="1"/>
  <pageMargins left="0" right="0" top="0.11811023622047245" bottom="0" header="0" footer="0"/>
  <pageSetup paperSize="9" scale="8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D8A6C-F854-40C8-92FC-56EA1B440A75}">
  <sheetPr>
    <pageSetUpPr fitToPage="1"/>
  </sheetPr>
  <dimension ref="B1:AH55"/>
  <sheetViews>
    <sheetView topLeftCell="A10"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44" width="2.33203125" style="1"/>
    <col min="45" max="45" width="3.5546875" style="1" bestFit="1" customWidth="1"/>
    <col min="46" max="16384" width="2.33203125" style="1"/>
  </cols>
  <sheetData>
    <row r="1" spans="2:34" ht="14.25" thickBot="1" x14ac:dyDescent="0.2">
      <c r="B1" s="3" t="s">
        <v>79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79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78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5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5</v>
      </c>
      <c r="X13" s="100"/>
      <c r="Y13" s="100"/>
      <c r="Z13" s="101"/>
      <c r="AA13" s="251">
        <f>B13+6</f>
        <v>46321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5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251" t="e">
        <f>B12+5</f>
        <v>#VALUE!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128</v>
      </c>
      <c r="R15" s="96"/>
      <c r="S15" s="97"/>
      <c r="T15" s="98">
        <f t="shared" si="0"/>
        <v>4</v>
      </c>
      <c r="U15" s="84"/>
      <c r="V15" s="84"/>
      <c r="W15" s="99">
        <f t="shared" si="1"/>
        <v>8</v>
      </c>
      <c r="X15" s="100"/>
      <c r="Y15" s="100"/>
      <c r="Z15" s="101"/>
      <c r="AA15" s="251">
        <f>B13+5</f>
        <v>46320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16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16</v>
      </c>
      <c r="X16" s="100"/>
      <c r="Y16" s="100"/>
      <c r="Z16" s="101"/>
      <c r="AA16" s="251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23</v>
      </c>
      <c r="R17" s="96"/>
      <c r="S17" s="97"/>
      <c r="T17" s="98">
        <f t="shared" si="0"/>
        <v>0</v>
      </c>
      <c r="U17" s="84"/>
      <c r="V17" s="84"/>
      <c r="W17" s="99">
        <f t="shared" si="1"/>
        <v>23</v>
      </c>
      <c r="X17" s="100"/>
      <c r="Y17" s="100"/>
      <c r="Z17" s="101"/>
      <c r="AA17" s="251">
        <f>B13+5-1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7</v>
      </c>
      <c r="R18" s="96"/>
      <c r="S18" s="97"/>
      <c r="T18" s="98">
        <f t="shared" si="0"/>
        <v>0</v>
      </c>
      <c r="U18" s="84"/>
      <c r="V18" s="84"/>
      <c r="W18" s="99">
        <f t="shared" si="1"/>
        <v>7</v>
      </c>
      <c r="X18" s="100"/>
      <c r="Y18" s="100"/>
      <c r="Z18" s="101"/>
      <c r="AA18" s="251">
        <f>B13+5-1</f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5</v>
      </c>
      <c r="R19" s="96"/>
      <c r="S19" s="97"/>
      <c r="T19" s="98">
        <f t="shared" si="0"/>
        <v>0</v>
      </c>
      <c r="U19" s="84"/>
      <c r="V19" s="84"/>
      <c r="W19" s="99">
        <f t="shared" si="1"/>
        <v>5</v>
      </c>
      <c r="X19" s="100"/>
      <c r="Y19" s="100"/>
      <c r="Z19" s="101"/>
      <c r="AA19" s="251">
        <f>B13+5-1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7</v>
      </c>
      <c r="R20" s="96"/>
      <c r="S20" s="97"/>
      <c r="T20" s="98">
        <f t="shared" si="0"/>
        <v>0</v>
      </c>
      <c r="U20" s="84"/>
      <c r="V20" s="84"/>
      <c r="W20" s="99">
        <f t="shared" si="1"/>
        <v>7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1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1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25</v>
      </c>
      <c r="R22" s="96"/>
      <c r="S22" s="97"/>
      <c r="T22" s="98">
        <f t="shared" ref="T22" si="8">IFERROR(ROUNDDOWN(Q22/M22,0),"")</f>
        <v>0</v>
      </c>
      <c r="U22" s="84"/>
      <c r="V22" s="84"/>
      <c r="W22" s="99">
        <f t="shared" ref="W22" si="9">IFERROR(Q22-(T22*M22),"")</f>
        <v>25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6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6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228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80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씨제이오산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경기도 오산시 가수동 379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5</v>
      </c>
      <c r="R41" s="216"/>
      <c r="S41" s="216"/>
      <c r="T41" s="217">
        <f>T13</f>
        <v>0</v>
      </c>
      <c r="U41" s="217"/>
      <c r="V41" s="217"/>
      <c r="W41" s="218">
        <f>W13</f>
        <v>5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5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128</v>
      </c>
      <c r="R43" s="216"/>
      <c r="S43" s="216"/>
      <c r="T43" s="217">
        <f t="shared" si="15"/>
        <v>4</v>
      </c>
      <c r="U43" s="217"/>
      <c r="V43" s="217"/>
      <c r="W43" s="218">
        <f t="shared" si="16"/>
        <v>8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16</v>
      </c>
      <c r="R44" s="216"/>
      <c r="S44" s="216"/>
      <c r="T44" s="217">
        <f t="shared" si="15"/>
        <v>0</v>
      </c>
      <c r="U44" s="217"/>
      <c r="V44" s="217"/>
      <c r="W44" s="218">
        <f t="shared" si="16"/>
        <v>16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23</v>
      </c>
      <c r="R45" s="216"/>
      <c r="S45" s="216"/>
      <c r="T45" s="217">
        <f t="shared" si="15"/>
        <v>0</v>
      </c>
      <c r="U45" s="217"/>
      <c r="V45" s="217"/>
      <c r="W45" s="218">
        <f t="shared" si="16"/>
        <v>23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7</v>
      </c>
      <c r="R46" s="216"/>
      <c r="S46" s="216"/>
      <c r="T46" s="217">
        <f t="shared" si="15"/>
        <v>0</v>
      </c>
      <c r="U46" s="217"/>
      <c r="V46" s="217"/>
      <c r="W46" s="218">
        <f t="shared" si="16"/>
        <v>7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5</v>
      </c>
      <c r="R47" s="216"/>
      <c r="S47" s="216"/>
      <c r="T47" s="217">
        <f t="shared" si="15"/>
        <v>0</v>
      </c>
      <c r="U47" s="217"/>
      <c r="V47" s="217"/>
      <c r="W47" s="218">
        <f t="shared" si="16"/>
        <v>5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7</v>
      </c>
      <c r="R48" s="216"/>
      <c r="S48" s="216"/>
      <c r="T48" s="217">
        <f t="shared" si="15"/>
        <v>0</v>
      </c>
      <c r="U48" s="217"/>
      <c r="V48" s="217"/>
      <c r="W48" s="218">
        <f t="shared" si="16"/>
        <v>7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1</v>
      </c>
      <c r="R49" s="216"/>
      <c r="S49" s="216"/>
      <c r="T49" s="217">
        <f t="shared" si="15"/>
        <v>0</v>
      </c>
      <c r="U49" s="217"/>
      <c r="V49" s="217"/>
      <c r="W49" s="218">
        <f t="shared" si="16"/>
        <v>1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25</v>
      </c>
      <c r="R50" s="216"/>
      <c r="S50" s="216"/>
      <c r="T50" s="217">
        <f t="shared" si="15"/>
        <v>0</v>
      </c>
      <c r="U50" s="217"/>
      <c r="V50" s="217"/>
      <c r="W50" s="218">
        <f t="shared" si="16"/>
        <v>25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6</v>
      </c>
      <c r="R51" s="216"/>
      <c r="S51" s="216"/>
      <c r="T51" s="217">
        <f>T23</f>
        <v>0</v>
      </c>
      <c r="U51" s="217"/>
      <c r="V51" s="217"/>
      <c r="W51" s="218">
        <f t="shared" si="16"/>
        <v>6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228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100000000000001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경기도 오산시 가수동 379
031)620-7440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100000000000001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E12:L12"/>
    <mergeCell ref="M12:P12"/>
    <mergeCell ref="Q12:S12"/>
    <mergeCell ref="T12:V12"/>
    <mergeCell ref="W12:Z12"/>
    <mergeCell ref="AA12:AH12"/>
    <mergeCell ref="Q19:S19"/>
    <mergeCell ref="M20:P20"/>
    <mergeCell ref="AA20:AH20"/>
    <mergeCell ref="E19:L19"/>
    <mergeCell ref="M19:P19"/>
    <mergeCell ref="AA13:AH13"/>
    <mergeCell ref="T18:V18"/>
    <mergeCell ref="W18:Z18"/>
    <mergeCell ref="AA18:AH18"/>
    <mergeCell ref="E15:L15"/>
    <mergeCell ref="M15:P15"/>
    <mergeCell ref="Q15:S15"/>
    <mergeCell ref="T15:V15"/>
    <mergeCell ref="W15:Z15"/>
    <mergeCell ref="AA15:AH15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32:B39"/>
    <mergeCell ref="C32:F33"/>
    <mergeCell ref="G32:P33"/>
    <mergeCell ref="B13:D13"/>
    <mergeCell ref="E13:L13"/>
    <mergeCell ref="M13:P13"/>
    <mergeCell ref="Q13:S13"/>
    <mergeCell ref="T13:V13"/>
    <mergeCell ref="W13:Z13"/>
    <mergeCell ref="E18:L18"/>
    <mergeCell ref="M18:P18"/>
    <mergeCell ref="Q18:S18"/>
    <mergeCell ref="E23:L23"/>
    <mergeCell ref="M23:P23"/>
    <mergeCell ref="Q23:S23"/>
    <mergeCell ref="T23:V23"/>
    <mergeCell ref="W23:Z23"/>
    <mergeCell ref="E25:L25"/>
    <mergeCell ref="M25:Z25"/>
    <mergeCell ref="G38:P39"/>
    <mergeCell ref="R38:U39"/>
    <mergeCell ref="V38:AA39"/>
    <mergeCell ref="C36:F37"/>
    <mergeCell ref="G36:P37"/>
    <mergeCell ref="M41:P41"/>
    <mergeCell ref="Q41:S41"/>
    <mergeCell ref="T41:V41"/>
    <mergeCell ref="AA50:AH50"/>
    <mergeCell ref="E47:L47"/>
    <mergeCell ref="M47:P47"/>
    <mergeCell ref="Q47:S47"/>
    <mergeCell ref="T47:V47"/>
    <mergeCell ref="W47:Z47"/>
    <mergeCell ref="T46:V46"/>
    <mergeCell ref="AA43:AH43"/>
    <mergeCell ref="M43:P43"/>
    <mergeCell ref="Q43:S43"/>
    <mergeCell ref="AA48:AH48"/>
    <mergeCell ref="AA45:AH45"/>
    <mergeCell ref="W45:Z45"/>
    <mergeCell ref="W48:Z48"/>
    <mergeCell ref="E44:L44"/>
    <mergeCell ref="M44:P44"/>
    <mergeCell ref="Q44:S44"/>
    <mergeCell ref="T44:V44"/>
    <mergeCell ref="W44:Z44"/>
    <mergeCell ref="E50:L50"/>
    <mergeCell ref="M50:P50"/>
    <mergeCell ref="B54:V55"/>
    <mergeCell ref="W54:AH55"/>
    <mergeCell ref="T51:V51"/>
    <mergeCell ref="E52:L52"/>
    <mergeCell ref="M52:P52"/>
    <mergeCell ref="Q52:S52"/>
    <mergeCell ref="T52:V52"/>
    <mergeCell ref="W52:Z52"/>
    <mergeCell ref="AA52:AH52"/>
    <mergeCell ref="W51:Z51"/>
    <mergeCell ref="AA51:AH51"/>
    <mergeCell ref="E51:L51"/>
    <mergeCell ref="AA53:AH53"/>
    <mergeCell ref="M51:P51"/>
    <mergeCell ref="B53:D53"/>
    <mergeCell ref="E53:L53"/>
    <mergeCell ref="M53:Z53"/>
    <mergeCell ref="Q51:S51"/>
    <mergeCell ref="Q50:S50"/>
    <mergeCell ref="T50:V50"/>
    <mergeCell ref="W50:Z50"/>
    <mergeCell ref="W46:Z46"/>
    <mergeCell ref="E45:L45"/>
    <mergeCell ref="M45:P45"/>
    <mergeCell ref="Q45:S45"/>
    <mergeCell ref="T45:V45"/>
    <mergeCell ref="E48:L48"/>
    <mergeCell ref="M48:P48"/>
    <mergeCell ref="Q48:S48"/>
    <mergeCell ref="E49:L49"/>
    <mergeCell ref="M49:P49"/>
    <mergeCell ref="V34:AA35"/>
    <mergeCell ref="AB34:AC35"/>
    <mergeCell ref="AD34:AH35"/>
    <mergeCell ref="E40:L40"/>
    <mergeCell ref="M40:P40"/>
    <mergeCell ref="AB38:AC39"/>
    <mergeCell ref="AD38:AH39"/>
    <mergeCell ref="G34:K35"/>
    <mergeCell ref="R34:U35"/>
    <mergeCell ref="T40:V40"/>
    <mergeCell ref="W40:Z40"/>
    <mergeCell ref="AA40:AH40"/>
    <mergeCell ref="AA46:AH46"/>
    <mergeCell ref="Q49:S49"/>
    <mergeCell ref="T49:V49"/>
    <mergeCell ref="W49:Z49"/>
    <mergeCell ref="AA47:AH47"/>
    <mergeCell ref="E43:L43"/>
    <mergeCell ref="T48:V48"/>
    <mergeCell ref="E46:L46"/>
    <mergeCell ref="M46:P46"/>
    <mergeCell ref="Q46:S46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T19:V19"/>
    <mergeCell ref="W19:Z19"/>
    <mergeCell ref="E20:L20"/>
    <mergeCell ref="AA19:AH19"/>
    <mergeCell ref="AA49:AH49"/>
    <mergeCell ref="R36:U37"/>
    <mergeCell ref="V36:AH37"/>
    <mergeCell ref="Q32:Q39"/>
    <mergeCell ref="R32:U33"/>
    <mergeCell ref="V32:AH33"/>
    <mergeCell ref="C34:F35"/>
    <mergeCell ref="C38:F39"/>
    <mergeCell ref="W24:Z24"/>
    <mergeCell ref="W26:AH27"/>
    <mergeCell ref="E24:L24"/>
    <mergeCell ref="AA24:AH24"/>
    <mergeCell ref="Q40:S40"/>
    <mergeCell ref="W43:Z43"/>
    <mergeCell ref="T43:V43"/>
    <mergeCell ref="E41:L41"/>
    <mergeCell ref="W41:Z41"/>
    <mergeCell ref="AA23:AH23"/>
    <mergeCell ref="M24:P24"/>
    <mergeCell ref="Q24:S24"/>
    <mergeCell ref="B30:AH31"/>
    <mergeCell ref="B25:D25"/>
    <mergeCell ref="AA25:AH25"/>
    <mergeCell ref="B26:V27"/>
    <mergeCell ref="AA44:AH44"/>
    <mergeCell ref="L34:P35"/>
    <mergeCell ref="Q20:S20"/>
    <mergeCell ref="T20:V20"/>
    <mergeCell ref="W20:Z20"/>
    <mergeCell ref="T24:V24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2:L22"/>
    <mergeCell ref="M22:P22"/>
    <mergeCell ref="Q22:S22"/>
    <mergeCell ref="AA41:AH41"/>
    <mergeCell ref="B41:D41"/>
  </mergeCells>
  <phoneticPr fontId="2" type="noConversion"/>
  <conditionalFormatting sqref="AA13">
    <cfRule type="expression" dxfId="267" priority="1905">
      <formula>Q13:S27=0</formula>
    </cfRule>
  </conditionalFormatting>
  <conditionalFormatting sqref="AA14:AA15">
    <cfRule type="expression" dxfId="266" priority="9">
      <formula>Q14:S26=0</formula>
    </cfRule>
  </conditionalFormatting>
  <conditionalFormatting sqref="AA16:AA19 AA43:AH51">
    <cfRule type="expression" dxfId="265" priority="5">
      <formula>Q16:S26=0</formula>
    </cfRule>
  </conditionalFormatting>
  <conditionalFormatting sqref="AA20:AA21">
    <cfRule type="expression" dxfId="264" priority="3">
      <formula>Q20:S29=0</formula>
    </cfRule>
  </conditionalFormatting>
  <conditionalFormatting sqref="AA22">
    <cfRule type="expression" dxfId="263" priority="2666">
      <formula>Q22:S30=0</formula>
    </cfRule>
  </conditionalFormatting>
  <conditionalFormatting sqref="AA23:AA24">
    <cfRule type="expression" dxfId="262" priority="2842">
      <formula>Q23:S30=0</formula>
    </cfRule>
  </conditionalFormatting>
  <conditionalFormatting sqref="AA52:AH52">
    <cfRule type="expression" dxfId="261" priority="2923">
      <formula>Q52:S52=0</formula>
    </cfRule>
  </conditionalFormatting>
  <conditionalFormatting sqref="AA41:AH41">
    <cfRule type="expression" dxfId="260" priority="3105">
      <formula>Q41:S52=0</formula>
    </cfRule>
  </conditionalFormatting>
  <conditionalFormatting sqref="AA42:AH42">
    <cfRule type="expression" dxfId="24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9AFD3BE1-73EF-419E-993D-448A2F53084D}"/>
  </dataValidations>
  <printOptions horizontalCentered="1"/>
  <pageMargins left="0" right="0" top="0.11811023622047245" bottom="0" header="0" footer="0"/>
  <pageSetup paperSize="9" scale="8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EE84F-3814-49C8-B041-D835DA891F2B}">
  <sheetPr>
    <pageSetUpPr fitToPage="1"/>
  </sheetPr>
  <dimension ref="B1:AH55"/>
  <sheetViews>
    <sheetView zoomScale="85" zoomScaleNormal="85" workbookViewId="0">
      <selection activeCell="M14" sqref="M14:P1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81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81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82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150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IFERROR(VLOOKUP($B$1,대신피벗발주량1편!$A:$ZZ,2,FALSE),0)</f>
        <v>12</v>
      </c>
      <c r="R13" s="96"/>
      <c r="S13" s="97"/>
      <c r="T13" s="98">
        <f t="shared" ref="T13:T20" si="0">IFERROR(ROUNDDOWN(Q13/M13,0),"")</f>
        <v>0</v>
      </c>
      <c r="U13" s="84"/>
      <c r="V13" s="84"/>
      <c r="W13" s="99">
        <f t="shared" ref="W13:W20" si="1">IFERROR(Q13-(T13*M13),"")</f>
        <v>12</v>
      </c>
      <c r="X13" s="100"/>
      <c r="Y13" s="100"/>
      <c r="Z13" s="101"/>
      <c r="AA13" s="251">
        <f>B13+6</f>
        <v>46321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71"/>
      <c r="D14" s="7"/>
      <c r="E14" s="89" t="s">
        <v>183</v>
      </c>
      <c r="F14" s="90"/>
      <c r="G14" s="90"/>
      <c r="H14" s="90"/>
      <c r="I14" s="90"/>
      <c r="J14" s="90"/>
      <c r="K14" s="90"/>
      <c r="L14" s="91"/>
      <c r="M14" s="92"/>
      <c r="N14" s="93"/>
      <c r="O14" s="93"/>
      <c r="P14" s="94"/>
      <c r="Q14" s="95">
        <f>IFERROR(VLOOKUP($B$1,대신피벗발주량1편!$A:$ZZ,3,FALSE),0)</f>
        <v>12</v>
      </c>
      <c r="R14" s="96"/>
      <c r="S14" s="97"/>
      <c r="T14" s="98" t="str">
        <f t="shared" ref="T14" si="2">IFERROR(ROUNDDOWN(Q14/M14,0),"")</f>
        <v/>
      </c>
      <c r="U14" s="84"/>
      <c r="V14" s="84"/>
      <c r="W14" s="99" t="str">
        <f t="shared" ref="W14" si="3">IFERROR(Q14-(T14*M14),"")</f>
        <v/>
      </c>
      <c r="X14" s="100"/>
      <c r="Y14" s="100"/>
      <c r="Z14" s="101"/>
      <c r="AA14" s="251" t="e">
        <f>B12+5</f>
        <v>#VALUE!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119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IFERROR(VLOOKUP($B$1,대신피벗발주량1편!$A:$ZZ,4,FALSE),0)</f>
        <v>212</v>
      </c>
      <c r="R15" s="96"/>
      <c r="S15" s="97"/>
      <c r="T15" s="98">
        <f t="shared" si="0"/>
        <v>7</v>
      </c>
      <c r="U15" s="84"/>
      <c r="V15" s="84"/>
      <c r="W15" s="99">
        <f t="shared" si="1"/>
        <v>2</v>
      </c>
      <c r="X15" s="100"/>
      <c r="Y15" s="100"/>
      <c r="Z15" s="101"/>
      <c r="AA15" s="251">
        <f>B13+5</f>
        <v>46320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172</v>
      </c>
      <c r="F16" s="90"/>
      <c r="G16" s="90"/>
      <c r="H16" s="90"/>
      <c r="I16" s="90"/>
      <c r="J16" s="90"/>
      <c r="K16" s="90"/>
      <c r="L16" s="91"/>
      <c r="M16" s="92">
        <v>30</v>
      </c>
      <c r="N16" s="93"/>
      <c r="O16" s="93"/>
      <c r="P16" s="94"/>
      <c r="Q16" s="95">
        <f>IFERROR(VLOOKUP($B$1,대신피벗발주량1편!$A:$ZZ,5,FALSE),0)</f>
        <v>28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28</v>
      </c>
      <c r="X16" s="100"/>
      <c r="Y16" s="100"/>
      <c r="Z16" s="101"/>
      <c r="AA16" s="251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131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IFERROR(VLOOKUP($B$1,대신피벗발주량1편!$A:$ZZ,6,FALSE),0)</f>
        <v>36</v>
      </c>
      <c r="R17" s="96"/>
      <c r="S17" s="97"/>
      <c r="T17" s="98">
        <f t="shared" si="0"/>
        <v>1</v>
      </c>
      <c r="U17" s="84"/>
      <c r="V17" s="84"/>
      <c r="W17" s="99">
        <f t="shared" si="1"/>
        <v>0</v>
      </c>
      <c r="X17" s="100"/>
      <c r="Y17" s="100"/>
      <c r="Z17" s="101"/>
      <c r="AA17" s="251">
        <f>B13+5-1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11"/>
      <c r="C18" s="8"/>
      <c r="D18" s="7"/>
      <c r="E18" s="89" t="s">
        <v>146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IFERROR(VLOOKUP($B$1,대신피벗발주량1편!$A:$ZZ,7,FALSE),0)</f>
        <v>4</v>
      </c>
      <c r="R18" s="96"/>
      <c r="S18" s="97"/>
      <c r="T18" s="98">
        <f t="shared" si="0"/>
        <v>0</v>
      </c>
      <c r="U18" s="84"/>
      <c r="V18" s="84"/>
      <c r="W18" s="99">
        <f t="shared" si="1"/>
        <v>4</v>
      </c>
      <c r="X18" s="100"/>
      <c r="Y18" s="100"/>
      <c r="Z18" s="101"/>
      <c r="AA18" s="251">
        <f>B13+5-1</f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148</v>
      </c>
      <c r="F19" s="90"/>
      <c r="G19" s="90"/>
      <c r="H19" s="90"/>
      <c r="I19" s="90"/>
      <c r="J19" s="90"/>
      <c r="K19" s="90"/>
      <c r="L19" s="91"/>
      <c r="M19" s="92">
        <v>36</v>
      </c>
      <c r="N19" s="93"/>
      <c r="O19" s="93"/>
      <c r="P19" s="94"/>
      <c r="Q19" s="95">
        <f>IFERROR(VLOOKUP($B$1,대신피벗발주량1편!$A:$ZZ,8,FALSE),0)</f>
        <v>4</v>
      </c>
      <c r="R19" s="96"/>
      <c r="S19" s="97"/>
      <c r="T19" s="98">
        <f t="shared" si="0"/>
        <v>0</v>
      </c>
      <c r="U19" s="84"/>
      <c r="V19" s="84"/>
      <c r="W19" s="99">
        <f t="shared" si="1"/>
        <v>4</v>
      </c>
      <c r="X19" s="100"/>
      <c r="Y19" s="100"/>
      <c r="Z19" s="101"/>
      <c r="AA19" s="251">
        <f>B13+5-1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158</v>
      </c>
      <c r="F20" s="90"/>
      <c r="G20" s="90"/>
      <c r="H20" s="90"/>
      <c r="I20" s="90"/>
      <c r="J20" s="90"/>
      <c r="K20" s="90"/>
      <c r="L20" s="91"/>
      <c r="M20" s="92">
        <v>32</v>
      </c>
      <c r="N20" s="93"/>
      <c r="O20" s="93"/>
      <c r="P20" s="94"/>
      <c r="Q20" s="95">
        <f>IFERROR(VLOOKUP($B$1,대신피벗발주량1편!$A:$ZZ,9,FALSE),0)</f>
        <v>8</v>
      </c>
      <c r="R20" s="96"/>
      <c r="S20" s="97"/>
      <c r="T20" s="98">
        <f t="shared" si="0"/>
        <v>0</v>
      </c>
      <c r="U20" s="84"/>
      <c r="V20" s="84"/>
      <c r="W20" s="99">
        <f t="shared" si="1"/>
        <v>8</v>
      </c>
      <c r="X20" s="100"/>
      <c r="Y20" s="100"/>
      <c r="Z20" s="101"/>
      <c r="AA20" s="251">
        <f>B13+5</f>
        <v>46320</v>
      </c>
      <c r="AB20" s="153"/>
      <c r="AC20" s="153"/>
      <c r="AD20" s="153"/>
      <c r="AE20" s="153"/>
      <c r="AF20" s="153"/>
      <c r="AG20" s="153"/>
      <c r="AH20" s="252"/>
    </row>
    <row r="21" spans="2:34" ht="21" customHeight="1" x14ac:dyDescent="0.15">
      <c r="B21" s="9"/>
      <c r="C21" s="10"/>
      <c r="D21" s="10"/>
      <c r="E21" s="89" t="s">
        <v>176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IFERROR(VLOOKUP($B$1,대신피벗발주량1편!$A:$ZZ,10,FALSE),0)</f>
        <v>5</v>
      </c>
      <c r="R21" s="96"/>
      <c r="S21" s="97"/>
      <c r="T21" s="98">
        <f t="shared" ref="T21" si="6">IFERROR(ROUNDDOWN(Q21/M21,0),"")</f>
        <v>0</v>
      </c>
      <c r="U21" s="84"/>
      <c r="V21" s="84"/>
      <c r="W21" s="99">
        <f t="shared" ref="W21" si="7">IFERROR(Q21-(T21*M21),"")</f>
        <v>5</v>
      </c>
      <c r="X21" s="100"/>
      <c r="Y21" s="100"/>
      <c r="Z21" s="101"/>
      <c r="AA21" s="251">
        <f>B13+4</f>
        <v>46319</v>
      </c>
      <c r="AB21" s="153"/>
      <c r="AC21" s="153"/>
      <c r="AD21" s="153"/>
      <c r="AE21" s="153"/>
      <c r="AF21" s="153"/>
      <c r="AG21" s="153"/>
      <c r="AH21" s="252"/>
    </row>
    <row r="22" spans="2:34" ht="21" customHeight="1" x14ac:dyDescent="0.15">
      <c r="B22" s="9"/>
      <c r="C22" s="10"/>
      <c r="D22" s="10"/>
      <c r="E22" s="89" t="s">
        <v>168</v>
      </c>
      <c r="F22" s="90"/>
      <c r="G22" s="90"/>
      <c r="H22" s="90"/>
      <c r="I22" s="90"/>
      <c r="J22" s="90"/>
      <c r="K22" s="90"/>
      <c r="L22" s="91"/>
      <c r="M22" s="92">
        <v>30</v>
      </c>
      <c r="N22" s="93"/>
      <c r="O22" s="93"/>
      <c r="P22" s="94"/>
      <c r="Q22" s="95">
        <f>IFERROR(VLOOKUP($B$1,대신피벗발주량1편!$A:$ZZ,11,FALSE),0)</f>
        <v>30</v>
      </c>
      <c r="R22" s="96"/>
      <c r="S22" s="97"/>
      <c r="T22" s="98">
        <f t="shared" ref="T22" si="8">IFERROR(ROUNDDOWN(Q22/M22,0),"")</f>
        <v>1</v>
      </c>
      <c r="U22" s="84"/>
      <c r="V22" s="84"/>
      <c r="W22" s="99">
        <f t="shared" ref="W22" si="9">IFERROR(Q22-(T22*M22),"")</f>
        <v>0</v>
      </c>
      <c r="X22" s="100"/>
      <c r="Y22" s="100"/>
      <c r="Z22" s="101"/>
      <c r="AA22" s="251">
        <f>B13+5-1</f>
        <v>46319</v>
      </c>
      <c r="AB22" s="153"/>
      <c r="AC22" s="153"/>
      <c r="AD22" s="153"/>
      <c r="AE22" s="153"/>
      <c r="AF22" s="153"/>
      <c r="AG22" s="153"/>
      <c r="AH22" s="252"/>
    </row>
    <row r="23" spans="2:34" ht="21" customHeight="1" x14ac:dyDescent="0.15">
      <c r="B23" s="9"/>
      <c r="C23" s="10"/>
      <c r="D23" s="10"/>
      <c r="E23" s="89" t="s">
        <v>164</v>
      </c>
      <c r="F23" s="90"/>
      <c r="G23" s="90"/>
      <c r="H23" s="90"/>
      <c r="I23" s="90"/>
      <c r="J23" s="90"/>
      <c r="K23" s="90"/>
      <c r="L23" s="91"/>
      <c r="M23" s="92">
        <v>36</v>
      </c>
      <c r="N23" s="93"/>
      <c r="O23" s="93"/>
      <c r="P23" s="94"/>
      <c r="Q23" s="95">
        <f>IFERROR(VLOOKUP($B$1,대신피벗발주량1편!$A:$ZZ,12,FALSE),0)</f>
        <v>13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13</v>
      </c>
      <c r="X23" s="100"/>
      <c r="Y23" s="100"/>
      <c r="Z23" s="101"/>
      <c r="AA23" s="251">
        <f>B13+5</f>
        <v>46320</v>
      </c>
      <c r="AB23" s="153"/>
      <c r="AC23" s="153"/>
      <c r="AD23" s="153"/>
      <c r="AE23" s="153"/>
      <c r="AF23" s="153"/>
      <c r="AG23" s="153"/>
      <c r="AH23" s="252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251"/>
      <c r="AB24" s="153"/>
      <c r="AC24" s="153"/>
      <c r="AD24" s="153"/>
      <c r="AE24" s="153"/>
      <c r="AF24" s="153"/>
      <c r="AG24" s="153"/>
      <c r="AH24" s="252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364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25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83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25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BGF로지스검단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인천광역시 서구 드림로 700
 (당하동 457-1)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도)깐풍기&amp;표고탕수1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12</v>
      </c>
      <c r="R41" s="216"/>
      <c r="S41" s="216"/>
      <c r="T41" s="217">
        <f>T13</f>
        <v>0</v>
      </c>
      <c r="U41" s="217"/>
      <c r="V41" s="217"/>
      <c r="W41" s="218">
        <f>W13</f>
        <v>12</v>
      </c>
      <c r="X41" s="218"/>
      <c r="Y41" s="218"/>
      <c r="Z41" s="218"/>
      <c r="AA41" s="253">
        <f>AA13</f>
        <v>46321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1" si="12">E14</f>
        <v>도)딥핑치즈맵닭강정1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0</v>
      </c>
      <c r="N42" s="83"/>
      <c r="O42" s="83"/>
      <c r="P42" s="83"/>
      <c r="Q42" s="216">
        <f t="shared" ref="Q42:Q51" si="14">Q14</f>
        <v>12</v>
      </c>
      <c r="R42" s="216"/>
      <c r="S42" s="216"/>
      <c r="T42" s="217" t="str">
        <f t="shared" ref="T42:T50" si="15">T14</f>
        <v/>
      </c>
      <c r="U42" s="217"/>
      <c r="V42" s="217"/>
      <c r="W42" s="218" t="str">
        <f t="shared" ref="W42:W51" si="16">W14</f>
        <v/>
      </c>
      <c r="X42" s="218"/>
      <c r="Y42" s="218"/>
      <c r="Z42" s="218"/>
      <c r="AA42" s="253" t="e">
        <f t="shared" ref="AA42:AA51" si="17">AA14</f>
        <v>#VALUE!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2"/>
        <v>도)리얼모짜치즈돈까스1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212</v>
      </c>
      <c r="R43" s="216"/>
      <c r="S43" s="216"/>
      <c r="T43" s="217">
        <f t="shared" si="15"/>
        <v>7</v>
      </c>
      <c r="U43" s="217"/>
      <c r="V43" s="217"/>
      <c r="W43" s="218">
        <f t="shared" si="16"/>
        <v>2</v>
      </c>
      <c r="X43" s="218"/>
      <c r="Y43" s="218"/>
      <c r="Z43" s="218"/>
      <c r="AA43" s="253">
        <f t="shared" si="17"/>
        <v>46320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2"/>
        <v>도)리얼치즈고구마돈까스1</v>
      </c>
      <c r="F44" s="82"/>
      <c r="G44" s="82"/>
      <c r="H44" s="82"/>
      <c r="I44" s="82"/>
      <c r="J44" s="82"/>
      <c r="K44" s="82"/>
      <c r="L44" s="82"/>
      <c r="M44" s="83">
        <f t="shared" si="13"/>
        <v>30</v>
      </c>
      <c r="N44" s="83"/>
      <c r="O44" s="83"/>
      <c r="P44" s="83"/>
      <c r="Q44" s="216">
        <f t="shared" si="14"/>
        <v>28</v>
      </c>
      <c r="R44" s="216"/>
      <c r="S44" s="216"/>
      <c r="T44" s="217">
        <f t="shared" si="15"/>
        <v>0</v>
      </c>
      <c r="U44" s="217"/>
      <c r="V44" s="217"/>
      <c r="W44" s="218">
        <f t="shared" si="16"/>
        <v>28</v>
      </c>
      <c r="X44" s="218"/>
      <c r="Y44" s="218"/>
      <c r="Z44" s="218"/>
      <c r="AA44" s="253">
        <f t="shared" si="17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2"/>
        <v>도)윙봉칠리탕수득템1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36</v>
      </c>
      <c r="R45" s="216"/>
      <c r="S45" s="216"/>
      <c r="T45" s="217">
        <f t="shared" si="15"/>
        <v>1</v>
      </c>
      <c r="U45" s="217"/>
      <c r="V45" s="217"/>
      <c r="W45" s="218">
        <f t="shared" si="16"/>
        <v>0</v>
      </c>
      <c r="X45" s="218"/>
      <c r="Y45" s="218"/>
      <c r="Z45" s="218"/>
      <c r="AA45" s="253">
        <f t="shared" si="17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0"/>
      <c r="C46" s="21"/>
      <c r="D46" s="22"/>
      <c r="E46" s="81" t="str">
        <f t="shared" si="12"/>
        <v>도)찍먹윙봉1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4</v>
      </c>
      <c r="R46" s="216"/>
      <c r="S46" s="216"/>
      <c r="T46" s="217">
        <f t="shared" si="15"/>
        <v>0</v>
      </c>
      <c r="U46" s="217"/>
      <c r="V46" s="217"/>
      <c r="W46" s="218">
        <f t="shared" si="16"/>
        <v>4</v>
      </c>
      <c r="X46" s="218"/>
      <c r="Y46" s="218"/>
      <c r="Z46" s="218"/>
      <c r="AA46" s="253">
        <f t="shared" si="17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도)찍먹탕수육1</v>
      </c>
      <c r="F47" s="82"/>
      <c r="G47" s="82"/>
      <c r="H47" s="82"/>
      <c r="I47" s="82"/>
      <c r="J47" s="82"/>
      <c r="K47" s="82"/>
      <c r="L47" s="82"/>
      <c r="M47" s="83">
        <f t="shared" si="13"/>
        <v>36</v>
      </c>
      <c r="N47" s="83"/>
      <c r="O47" s="83"/>
      <c r="P47" s="83"/>
      <c r="Q47" s="216">
        <f t="shared" si="14"/>
        <v>4</v>
      </c>
      <c r="R47" s="216"/>
      <c r="S47" s="216"/>
      <c r="T47" s="217">
        <f t="shared" si="15"/>
        <v>0</v>
      </c>
      <c r="U47" s="217"/>
      <c r="V47" s="217"/>
      <c r="W47" s="218">
        <f t="shared" si="16"/>
        <v>4</v>
      </c>
      <c r="X47" s="218"/>
      <c r="Y47" s="218"/>
      <c r="Z47" s="218"/>
      <c r="AA47" s="253">
        <f t="shared" si="17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도)치맥아보트러플치킨1</v>
      </c>
      <c r="F48" s="82"/>
      <c r="G48" s="82"/>
      <c r="H48" s="82"/>
      <c r="I48" s="82"/>
      <c r="J48" s="82"/>
      <c r="K48" s="82"/>
      <c r="L48" s="82"/>
      <c r="M48" s="83">
        <f t="shared" si="13"/>
        <v>32</v>
      </c>
      <c r="N48" s="83"/>
      <c r="O48" s="83"/>
      <c r="P48" s="83"/>
      <c r="Q48" s="216">
        <f t="shared" si="14"/>
        <v>8</v>
      </c>
      <c r="R48" s="216"/>
      <c r="S48" s="216"/>
      <c r="T48" s="217">
        <f t="shared" si="15"/>
        <v>0</v>
      </c>
      <c r="U48" s="217"/>
      <c r="V48" s="217"/>
      <c r="W48" s="218">
        <f t="shared" si="16"/>
        <v>8</v>
      </c>
      <c r="X48" s="218"/>
      <c r="Y48" s="218"/>
      <c r="Z48" s="218"/>
      <c r="AA48" s="253">
        <f t="shared" si="17"/>
        <v>46320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도)치즈매콤닭강정감자1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5</v>
      </c>
      <c r="R49" s="216"/>
      <c r="S49" s="216"/>
      <c r="T49" s="217">
        <f t="shared" si="15"/>
        <v>0</v>
      </c>
      <c r="U49" s="217"/>
      <c r="V49" s="217"/>
      <c r="W49" s="218">
        <f t="shared" si="16"/>
        <v>5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도)치즈청양간장닭강정1</v>
      </c>
      <c r="F50" s="82"/>
      <c r="G50" s="82"/>
      <c r="H50" s="82"/>
      <c r="I50" s="82"/>
      <c r="J50" s="82"/>
      <c r="K50" s="82"/>
      <c r="L50" s="82"/>
      <c r="M50" s="83">
        <f t="shared" si="13"/>
        <v>30</v>
      </c>
      <c r="N50" s="83"/>
      <c r="O50" s="83"/>
      <c r="P50" s="83"/>
      <c r="Q50" s="216">
        <f t="shared" si="14"/>
        <v>30</v>
      </c>
      <c r="R50" s="216"/>
      <c r="S50" s="216"/>
      <c r="T50" s="217">
        <f t="shared" si="15"/>
        <v>1</v>
      </c>
      <c r="U50" s="217"/>
      <c r="V50" s="217"/>
      <c r="W50" s="218">
        <f t="shared" si="16"/>
        <v>0</v>
      </c>
      <c r="X50" s="218"/>
      <c r="Y50" s="218"/>
      <c r="Z50" s="218"/>
      <c r="AA50" s="253">
        <f t="shared" si="17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5"/>
      <c r="C51" s="26"/>
      <c r="D51" s="27"/>
      <c r="E51" s="81" t="str">
        <f t="shared" si="12"/>
        <v>도)쿵야반반닭강정팩1</v>
      </c>
      <c r="F51" s="82"/>
      <c r="G51" s="82"/>
      <c r="H51" s="82"/>
      <c r="I51" s="82"/>
      <c r="J51" s="82"/>
      <c r="K51" s="82"/>
      <c r="L51" s="82"/>
      <c r="M51" s="83">
        <f t="shared" si="13"/>
        <v>36</v>
      </c>
      <c r="N51" s="83"/>
      <c r="O51" s="83"/>
      <c r="P51" s="83"/>
      <c r="Q51" s="216">
        <f t="shared" si="14"/>
        <v>13</v>
      </c>
      <c r="R51" s="216"/>
      <c r="S51" s="216"/>
      <c r="T51" s="217">
        <f>T23</f>
        <v>0</v>
      </c>
      <c r="U51" s="217"/>
      <c r="V51" s="217"/>
      <c r="W51" s="218">
        <f t="shared" si="16"/>
        <v>13</v>
      </c>
      <c r="X51" s="218"/>
      <c r="Y51" s="218"/>
      <c r="Z51" s="218"/>
      <c r="AA51" s="253">
        <f t="shared" si="17"/>
        <v>46320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0"/>
      <c r="C52" s="21"/>
      <c r="D52" s="22"/>
      <c r="E52" s="81"/>
      <c r="F52" s="82"/>
      <c r="G52" s="82"/>
      <c r="H52" s="82"/>
      <c r="I52" s="82"/>
      <c r="J52" s="82"/>
      <c r="K52" s="82"/>
      <c r="L52" s="82"/>
      <c r="M52" s="83"/>
      <c r="N52" s="83"/>
      <c r="O52" s="83"/>
      <c r="P52" s="83"/>
      <c r="Q52" s="216"/>
      <c r="R52" s="216"/>
      <c r="S52" s="216"/>
      <c r="T52" s="217"/>
      <c r="U52" s="217"/>
      <c r="V52" s="217"/>
      <c r="W52" s="218"/>
      <c r="X52" s="218"/>
      <c r="Y52" s="218"/>
      <c r="Z52" s="218"/>
      <c r="AA52" s="242"/>
      <c r="AB52" s="217"/>
      <c r="AC52" s="217"/>
      <c r="AD52" s="217"/>
      <c r="AE52" s="217"/>
      <c r="AF52" s="217"/>
      <c r="AG52" s="217"/>
      <c r="AH52" s="243"/>
    </row>
    <row r="53" spans="2:34" ht="21" customHeight="1" x14ac:dyDescent="0.15">
      <c r="B53" s="244" t="str">
        <f>B25</f>
        <v>총수량</v>
      </c>
      <c r="C53" s="245"/>
      <c r="D53" s="246"/>
      <c r="E53" s="81"/>
      <c r="F53" s="82"/>
      <c r="G53" s="82"/>
      <c r="H53" s="82"/>
      <c r="I53" s="82"/>
      <c r="J53" s="82"/>
      <c r="K53" s="82"/>
      <c r="L53" s="82"/>
      <c r="M53" s="247">
        <f t="shared" ref="M53" si="18">M25</f>
        <v>364</v>
      </c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8"/>
      <c r="AB53" s="249"/>
      <c r="AC53" s="249"/>
      <c r="AD53" s="249"/>
      <c r="AE53" s="249"/>
      <c r="AF53" s="249"/>
      <c r="AG53" s="249"/>
      <c r="AH53" s="250"/>
    </row>
    <row r="54" spans="2:34" ht="17.25" customHeight="1" x14ac:dyDescent="0.15">
      <c r="B54" s="228" t="str">
        <f>B26</f>
        <v>3자물류 (더원물류)
담당자 박병선이사  010-4448-1456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30"/>
      <c r="N54" s="230"/>
      <c r="O54" s="230"/>
      <c r="P54" s="230"/>
      <c r="Q54" s="230"/>
      <c r="R54" s="230"/>
      <c r="S54" s="230"/>
      <c r="T54" s="230"/>
      <c r="U54" s="230"/>
      <c r="V54" s="231"/>
      <c r="W54" s="235" t="str">
        <f>W26</f>
        <v>인천광역시 서구 드림로 700 
(당하동 457-1)
032-713-4050</v>
      </c>
      <c r="X54" s="236"/>
      <c r="Y54" s="236"/>
      <c r="Z54" s="236"/>
      <c r="AA54" s="237"/>
      <c r="AB54" s="237"/>
      <c r="AC54" s="237"/>
      <c r="AD54" s="237"/>
      <c r="AE54" s="237"/>
      <c r="AF54" s="237"/>
      <c r="AG54" s="237"/>
      <c r="AH54" s="238"/>
    </row>
    <row r="55" spans="2:34" ht="17.25" customHeight="1" thickBot="1" x14ac:dyDescent="0.2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4"/>
      <c r="W55" s="239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1"/>
    </row>
  </sheetData>
  <mergeCells count="218"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E12:L12"/>
    <mergeCell ref="M12:P12"/>
    <mergeCell ref="Q12:S12"/>
    <mergeCell ref="T12:V12"/>
    <mergeCell ref="W12:Z12"/>
    <mergeCell ref="AA12:AH12"/>
    <mergeCell ref="Q19:S19"/>
    <mergeCell ref="M20:P20"/>
    <mergeCell ref="AA20:AH20"/>
    <mergeCell ref="E19:L19"/>
    <mergeCell ref="M19:P19"/>
    <mergeCell ref="AA13:AH13"/>
    <mergeCell ref="T18:V18"/>
    <mergeCell ref="W18:Z18"/>
    <mergeCell ref="AA18:AH18"/>
    <mergeCell ref="E15:L15"/>
    <mergeCell ref="M15:P15"/>
    <mergeCell ref="Q15:S15"/>
    <mergeCell ref="T15:V15"/>
    <mergeCell ref="W15:Z15"/>
    <mergeCell ref="AA15:AH15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32:B39"/>
    <mergeCell ref="C32:F33"/>
    <mergeCell ref="G32:P33"/>
    <mergeCell ref="B13:D13"/>
    <mergeCell ref="E13:L13"/>
    <mergeCell ref="M13:P13"/>
    <mergeCell ref="Q13:S13"/>
    <mergeCell ref="T13:V13"/>
    <mergeCell ref="W13:Z13"/>
    <mergeCell ref="E18:L18"/>
    <mergeCell ref="M18:P18"/>
    <mergeCell ref="Q18:S18"/>
    <mergeCell ref="E23:L23"/>
    <mergeCell ref="M23:P23"/>
    <mergeCell ref="Q23:S23"/>
    <mergeCell ref="T23:V23"/>
    <mergeCell ref="W23:Z23"/>
    <mergeCell ref="E25:L25"/>
    <mergeCell ref="M25:Z25"/>
    <mergeCell ref="G38:P39"/>
    <mergeCell ref="R38:U39"/>
    <mergeCell ref="V38:AA39"/>
    <mergeCell ref="C36:F37"/>
    <mergeCell ref="G36:P37"/>
    <mergeCell ref="M41:P41"/>
    <mergeCell ref="Q41:S41"/>
    <mergeCell ref="T41:V41"/>
    <mergeCell ref="AA50:AH50"/>
    <mergeCell ref="E47:L47"/>
    <mergeCell ref="M47:P47"/>
    <mergeCell ref="Q47:S47"/>
    <mergeCell ref="T47:V47"/>
    <mergeCell ref="W47:Z47"/>
    <mergeCell ref="T46:V46"/>
    <mergeCell ref="AA43:AH43"/>
    <mergeCell ref="M43:P43"/>
    <mergeCell ref="Q43:S43"/>
    <mergeCell ref="AA48:AH48"/>
    <mergeCell ref="AA45:AH45"/>
    <mergeCell ref="W45:Z45"/>
    <mergeCell ref="W48:Z48"/>
    <mergeCell ref="E44:L44"/>
    <mergeCell ref="M44:P44"/>
    <mergeCell ref="Q44:S44"/>
    <mergeCell ref="T44:V44"/>
    <mergeCell ref="W44:Z44"/>
    <mergeCell ref="E50:L50"/>
    <mergeCell ref="M50:P50"/>
    <mergeCell ref="B54:V55"/>
    <mergeCell ref="W54:AH55"/>
    <mergeCell ref="T51:V51"/>
    <mergeCell ref="E52:L52"/>
    <mergeCell ref="M52:P52"/>
    <mergeCell ref="Q52:S52"/>
    <mergeCell ref="T52:V52"/>
    <mergeCell ref="W52:Z52"/>
    <mergeCell ref="AA52:AH52"/>
    <mergeCell ref="W51:Z51"/>
    <mergeCell ref="AA51:AH51"/>
    <mergeCell ref="E51:L51"/>
    <mergeCell ref="AA53:AH53"/>
    <mergeCell ref="M51:P51"/>
    <mergeCell ref="B53:D53"/>
    <mergeCell ref="E53:L53"/>
    <mergeCell ref="M53:Z53"/>
    <mergeCell ref="Q51:S51"/>
    <mergeCell ref="Q50:S50"/>
    <mergeCell ref="T50:V50"/>
    <mergeCell ref="W50:Z50"/>
    <mergeCell ref="W46:Z46"/>
    <mergeCell ref="E45:L45"/>
    <mergeCell ref="M45:P45"/>
    <mergeCell ref="Q45:S45"/>
    <mergeCell ref="T45:V45"/>
    <mergeCell ref="E48:L48"/>
    <mergeCell ref="M48:P48"/>
    <mergeCell ref="Q48:S48"/>
    <mergeCell ref="E49:L49"/>
    <mergeCell ref="M49:P49"/>
    <mergeCell ref="V34:AA35"/>
    <mergeCell ref="AB34:AC35"/>
    <mergeCell ref="AD34:AH35"/>
    <mergeCell ref="E40:L40"/>
    <mergeCell ref="M40:P40"/>
    <mergeCell ref="AB38:AC39"/>
    <mergeCell ref="AD38:AH39"/>
    <mergeCell ref="G34:K35"/>
    <mergeCell ref="R34:U35"/>
    <mergeCell ref="T40:V40"/>
    <mergeCell ref="W40:Z40"/>
    <mergeCell ref="AA40:AH40"/>
    <mergeCell ref="AA46:AH46"/>
    <mergeCell ref="Q49:S49"/>
    <mergeCell ref="T49:V49"/>
    <mergeCell ref="W49:Z49"/>
    <mergeCell ref="AA47:AH47"/>
    <mergeCell ref="E43:L43"/>
    <mergeCell ref="T48:V48"/>
    <mergeCell ref="E46:L46"/>
    <mergeCell ref="M46:P46"/>
    <mergeCell ref="Q46:S46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T19:V19"/>
    <mergeCell ref="W19:Z19"/>
    <mergeCell ref="E20:L20"/>
    <mergeCell ref="AA19:AH19"/>
    <mergeCell ref="AA49:AH49"/>
    <mergeCell ref="R36:U37"/>
    <mergeCell ref="V36:AH37"/>
    <mergeCell ref="Q32:Q39"/>
    <mergeCell ref="R32:U33"/>
    <mergeCell ref="V32:AH33"/>
    <mergeCell ref="C34:F35"/>
    <mergeCell ref="C38:F39"/>
    <mergeCell ref="W24:Z24"/>
    <mergeCell ref="W26:AH27"/>
    <mergeCell ref="E24:L24"/>
    <mergeCell ref="AA24:AH24"/>
    <mergeCell ref="Q40:S40"/>
    <mergeCell ref="W43:Z43"/>
    <mergeCell ref="T43:V43"/>
    <mergeCell ref="E41:L41"/>
    <mergeCell ref="W41:Z41"/>
    <mergeCell ref="AA23:AH23"/>
    <mergeCell ref="M24:P24"/>
    <mergeCell ref="Q24:S24"/>
    <mergeCell ref="B30:AH31"/>
    <mergeCell ref="B25:D25"/>
    <mergeCell ref="AA25:AH25"/>
    <mergeCell ref="B26:V27"/>
    <mergeCell ref="AA44:AH44"/>
    <mergeCell ref="L34:P35"/>
    <mergeCell ref="Q20:S20"/>
    <mergeCell ref="T20:V20"/>
    <mergeCell ref="W20:Z20"/>
    <mergeCell ref="T24:V24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2:L22"/>
    <mergeCell ref="M22:P22"/>
    <mergeCell ref="Q22:S22"/>
    <mergeCell ref="AA41:AH41"/>
    <mergeCell ref="B41:D41"/>
  </mergeCells>
  <phoneticPr fontId="2" type="noConversion"/>
  <conditionalFormatting sqref="AA13">
    <cfRule type="expression" dxfId="259" priority="1903">
      <formula>Q13:S27=0</formula>
    </cfRule>
  </conditionalFormatting>
  <conditionalFormatting sqref="AA14:AA15">
    <cfRule type="expression" dxfId="258" priority="9">
      <formula>Q14:S26=0</formula>
    </cfRule>
  </conditionalFormatting>
  <conditionalFormatting sqref="AA16:AA19 AA43:AH51">
    <cfRule type="expression" dxfId="257" priority="5">
      <formula>Q16:S26=0</formula>
    </cfRule>
  </conditionalFormatting>
  <conditionalFormatting sqref="AA20:AA21">
    <cfRule type="expression" dxfId="256" priority="3">
      <formula>Q20:S29=0</formula>
    </cfRule>
  </conditionalFormatting>
  <conditionalFormatting sqref="AA22">
    <cfRule type="expression" dxfId="255" priority="2663">
      <formula>Q22:S30=0</formula>
    </cfRule>
  </conditionalFormatting>
  <conditionalFormatting sqref="AA23:AA24">
    <cfRule type="expression" dxfId="254" priority="2839">
      <formula>Q23:S30=0</formula>
    </cfRule>
  </conditionalFormatting>
  <conditionalFormatting sqref="AA52:AH52">
    <cfRule type="expression" dxfId="253" priority="2920">
      <formula>Q52:S52=0</formula>
    </cfRule>
  </conditionalFormatting>
  <conditionalFormatting sqref="AA41:AH41">
    <cfRule type="expression" dxfId="252" priority="3104">
      <formula>Q41:S52=0</formula>
    </cfRule>
  </conditionalFormatting>
  <conditionalFormatting sqref="AA42:AH42">
    <cfRule type="expression" dxfId="25" priority="1">
      <formula>Q42:S52=0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4 B2:B4 C38 C2:F3 C6 C10 C4 C34 D28:F31 B28:C32 W26 G8:L11 N8:P11 H2:K5 G2:G6 Q2:AH11 M2:P5 L2:L6 G36:L39 N36:P39 H28:K33 G28:G34 Q28:AH39 M28:P33 L28:L34 C12:D12 C40:D40 E25:M25 C14:D24 C42:D52 B12:B26 AA40:AA52 M8:M24 E12:E24 T13:T24 AA12:AA24 Q41:Q52 M36:M53 T41:T52 B40:B54 E40:E53 Q13:Q24" xr:uid="{E09C4E8C-F220-42EF-A31F-E60B11B08409}"/>
  </dataValidations>
  <printOptions horizontalCentered="1"/>
  <pageMargins left="0" right="0" top="0.11811023622047245" bottom="0" header="0" footer="0"/>
  <pageSetup paperSize="9" scale="85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DA92-E658-4BBC-8C47-6E9287610946}">
  <sheetPr>
    <tabColor rgb="FFFF0000"/>
  </sheetPr>
  <dimension ref="A1:M34"/>
  <sheetViews>
    <sheetView zoomScale="70" zoomScaleNormal="70" workbookViewId="0">
      <pane xSplit="1" topLeftCell="B1" activePane="topRight" state="frozen"/>
      <selection activeCell="Q20" sqref="Q20:S20"/>
      <selection pane="topRight" activeCell="M3" sqref="M3:M29"/>
    </sheetView>
  </sheetViews>
  <sheetFormatPr defaultRowHeight="13.5" x14ac:dyDescent="0.15"/>
  <cols>
    <col min="1" max="1" width="16.33203125" bestFit="1" customWidth="1"/>
    <col min="2" max="2" width="20.6640625" bestFit="1" customWidth="1"/>
    <col min="3" max="3" width="16" customWidth="1"/>
    <col min="4" max="5" width="19.5546875" customWidth="1"/>
    <col min="6" max="15" width="18.109375" customWidth="1"/>
  </cols>
  <sheetData>
    <row r="1" spans="1:13" x14ac:dyDescent="0.15">
      <c r="A1" s="42" t="s">
        <v>180</v>
      </c>
      <c r="B1" s="42"/>
      <c r="C1" s="42"/>
    </row>
    <row r="2" spans="1:13" ht="16.5" x14ac:dyDescent="0.15">
      <c r="A2" s="23" t="s">
        <v>110</v>
      </c>
      <c r="B2" s="23" t="s">
        <v>152</v>
      </c>
      <c r="C2" s="23" t="s">
        <v>182</v>
      </c>
      <c r="D2" s="23" t="s">
        <v>120</v>
      </c>
      <c r="E2" t="s">
        <v>173</v>
      </c>
      <c r="F2" t="s">
        <v>132</v>
      </c>
      <c r="G2" t="s">
        <v>141</v>
      </c>
      <c r="H2" t="s">
        <v>142</v>
      </c>
      <c r="I2" t="s">
        <v>159</v>
      </c>
      <c r="J2" t="s">
        <v>177</v>
      </c>
      <c r="K2" t="s">
        <v>169</v>
      </c>
      <c r="L2" t="s">
        <v>165</v>
      </c>
    </row>
    <row r="3" spans="1:13" x14ac:dyDescent="0.15">
      <c r="A3" s="43" t="s">
        <v>109</v>
      </c>
      <c r="B3" s="43">
        <v>4</v>
      </c>
      <c r="C3" s="43">
        <v>54</v>
      </c>
      <c r="D3" s="43">
        <v>13</v>
      </c>
      <c r="E3">
        <v>17</v>
      </c>
      <c r="F3">
        <v>1</v>
      </c>
      <c r="G3">
        <v>1</v>
      </c>
      <c r="H3">
        <v>8</v>
      </c>
      <c r="I3">
        <v>2</v>
      </c>
      <c r="J3">
        <v>15</v>
      </c>
      <c r="K3">
        <v>7</v>
      </c>
      <c r="L3">
        <v>5</v>
      </c>
      <c r="M3">
        <f>SUM(B3:L3)</f>
        <v>127</v>
      </c>
    </row>
    <row r="4" spans="1:13" x14ac:dyDescent="0.15">
      <c r="A4" t="s">
        <v>88</v>
      </c>
      <c r="B4">
        <v>20</v>
      </c>
      <c r="C4">
        <v>359</v>
      </c>
      <c r="D4">
        <v>19</v>
      </c>
      <c r="E4">
        <v>68</v>
      </c>
      <c r="F4">
        <v>5</v>
      </c>
      <c r="G4">
        <v>11</v>
      </c>
      <c r="H4">
        <v>19</v>
      </c>
      <c r="I4">
        <v>9</v>
      </c>
      <c r="J4">
        <v>75</v>
      </c>
      <c r="K4">
        <v>25</v>
      </c>
      <c r="L4">
        <v>24</v>
      </c>
      <c r="M4">
        <f t="shared" ref="M4:M29" si="0">SUM(B4:L4)</f>
        <v>634</v>
      </c>
    </row>
    <row r="5" spans="1:13" x14ac:dyDescent="0.15">
      <c r="A5" t="s">
        <v>89</v>
      </c>
      <c r="B5">
        <v>20</v>
      </c>
      <c r="C5">
        <v>292</v>
      </c>
      <c r="D5">
        <v>20</v>
      </c>
      <c r="E5">
        <v>68</v>
      </c>
      <c r="F5">
        <v>10</v>
      </c>
      <c r="G5">
        <v>12</v>
      </c>
      <c r="H5">
        <v>24</v>
      </c>
      <c r="I5">
        <v>5</v>
      </c>
      <c r="J5">
        <v>76</v>
      </c>
      <c r="K5">
        <v>23</v>
      </c>
      <c r="L5">
        <v>18</v>
      </c>
      <c r="M5">
        <f t="shared" si="0"/>
        <v>568</v>
      </c>
    </row>
    <row r="6" spans="1:13" x14ac:dyDescent="0.15">
      <c r="A6" t="s">
        <v>134</v>
      </c>
      <c r="B6">
        <v>8</v>
      </c>
      <c r="C6">
        <v>182</v>
      </c>
      <c r="D6">
        <v>11</v>
      </c>
      <c r="E6">
        <v>31</v>
      </c>
      <c r="F6">
        <v>4</v>
      </c>
      <c r="G6">
        <v>2</v>
      </c>
      <c r="H6">
        <v>4</v>
      </c>
      <c r="I6">
        <v>2</v>
      </c>
      <c r="J6">
        <v>30</v>
      </c>
      <c r="K6">
        <v>9</v>
      </c>
      <c r="L6">
        <v>15</v>
      </c>
      <c r="M6">
        <f t="shared" si="0"/>
        <v>298</v>
      </c>
    </row>
    <row r="7" spans="1:13" x14ac:dyDescent="0.15">
      <c r="A7" t="s">
        <v>124</v>
      </c>
      <c r="B7">
        <v>9</v>
      </c>
      <c r="C7">
        <v>159</v>
      </c>
      <c r="D7">
        <v>20</v>
      </c>
      <c r="E7">
        <v>35</v>
      </c>
      <c r="F7">
        <v>8</v>
      </c>
      <c r="G7">
        <v>9</v>
      </c>
      <c r="H7">
        <v>8</v>
      </c>
      <c r="I7">
        <v>4</v>
      </c>
      <c r="J7">
        <v>37</v>
      </c>
      <c r="K7">
        <v>16</v>
      </c>
      <c r="L7">
        <v>9</v>
      </c>
      <c r="M7">
        <f t="shared" si="0"/>
        <v>314</v>
      </c>
    </row>
    <row r="8" spans="1:13" x14ac:dyDescent="0.15">
      <c r="A8" t="s">
        <v>153</v>
      </c>
      <c r="B8">
        <v>6</v>
      </c>
      <c r="C8">
        <v>133</v>
      </c>
      <c r="D8">
        <v>9</v>
      </c>
      <c r="E8">
        <v>20</v>
      </c>
      <c r="F8">
        <v>4</v>
      </c>
      <c r="G8">
        <v>6</v>
      </c>
      <c r="H8">
        <v>4</v>
      </c>
      <c r="I8">
        <v>3</v>
      </c>
      <c r="J8">
        <v>24</v>
      </c>
      <c r="K8">
        <v>10</v>
      </c>
      <c r="L8">
        <v>8</v>
      </c>
      <c r="M8">
        <f t="shared" si="0"/>
        <v>227</v>
      </c>
    </row>
    <row r="9" spans="1:13" x14ac:dyDescent="0.15">
      <c r="A9" s="43" t="s">
        <v>95</v>
      </c>
      <c r="B9" s="43">
        <v>2</v>
      </c>
      <c r="C9" s="43">
        <v>34</v>
      </c>
      <c r="D9" s="43">
        <v>13</v>
      </c>
      <c r="E9">
        <v>13</v>
      </c>
      <c r="F9">
        <v>1</v>
      </c>
      <c r="I9">
        <v>1</v>
      </c>
      <c r="J9">
        <v>6</v>
      </c>
      <c r="K9">
        <v>3</v>
      </c>
      <c r="L9">
        <v>9</v>
      </c>
      <c r="M9">
        <f t="shared" si="0"/>
        <v>82</v>
      </c>
    </row>
    <row r="10" spans="1:13" x14ac:dyDescent="0.15">
      <c r="A10" t="s">
        <v>125</v>
      </c>
      <c r="B10">
        <v>12</v>
      </c>
      <c r="C10">
        <v>195</v>
      </c>
      <c r="D10">
        <v>17</v>
      </c>
      <c r="E10">
        <v>49</v>
      </c>
      <c r="F10">
        <v>5</v>
      </c>
      <c r="G10">
        <v>8</v>
      </c>
      <c r="H10">
        <v>19</v>
      </c>
      <c r="I10">
        <v>3</v>
      </c>
      <c r="J10">
        <v>49</v>
      </c>
      <c r="K10">
        <v>9</v>
      </c>
      <c r="L10">
        <v>7</v>
      </c>
      <c r="M10">
        <f t="shared" si="0"/>
        <v>373</v>
      </c>
    </row>
    <row r="11" spans="1:13" x14ac:dyDescent="0.15">
      <c r="A11" t="s">
        <v>139</v>
      </c>
      <c r="B11">
        <v>16</v>
      </c>
      <c r="C11">
        <v>207</v>
      </c>
      <c r="D11">
        <v>16</v>
      </c>
      <c r="E11">
        <v>59</v>
      </c>
      <c r="F11">
        <v>15</v>
      </c>
      <c r="G11">
        <v>10</v>
      </c>
      <c r="H11">
        <v>12</v>
      </c>
      <c r="I11">
        <v>5</v>
      </c>
      <c r="J11">
        <v>46</v>
      </c>
      <c r="K11">
        <v>12</v>
      </c>
      <c r="L11">
        <v>17</v>
      </c>
      <c r="M11">
        <f t="shared" si="0"/>
        <v>415</v>
      </c>
    </row>
    <row r="12" spans="1:13" x14ac:dyDescent="0.15">
      <c r="A12" t="s">
        <v>107</v>
      </c>
      <c r="B12">
        <v>6</v>
      </c>
      <c r="C12">
        <v>129</v>
      </c>
      <c r="D12">
        <v>11</v>
      </c>
      <c r="E12">
        <v>28</v>
      </c>
      <c r="F12">
        <v>2</v>
      </c>
      <c r="G12">
        <v>2</v>
      </c>
      <c r="H12">
        <v>6</v>
      </c>
      <c r="I12">
        <v>3</v>
      </c>
      <c r="J12">
        <v>16</v>
      </c>
      <c r="K12">
        <v>14</v>
      </c>
      <c r="L12">
        <v>6</v>
      </c>
      <c r="M12">
        <f t="shared" si="0"/>
        <v>223</v>
      </c>
    </row>
    <row r="13" spans="1:13" x14ac:dyDescent="0.15">
      <c r="A13" t="s">
        <v>103</v>
      </c>
      <c r="B13">
        <v>3</v>
      </c>
      <c r="C13">
        <v>122</v>
      </c>
      <c r="D13">
        <v>14</v>
      </c>
      <c r="E13">
        <v>25</v>
      </c>
      <c r="F13">
        <v>6</v>
      </c>
      <c r="G13">
        <v>12</v>
      </c>
      <c r="H13">
        <v>3</v>
      </c>
      <c r="I13">
        <v>2</v>
      </c>
      <c r="J13">
        <v>26</v>
      </c>
      <c r="K13">
        <v>13</v>
      </c>
      <c r="L13">
        <v>15</v>
      </c>
      <c r="M13">
        <f t="shared" si="0"/>
        <v>241</v>
      </c>
    </row>
    <row r="14" spans="1:13" ht="16.5" x14ac:dyDescent="0.15">
      <c r="A14" s="43" t="s">
        <v>111</v>
      </c>
      <c r="B14" s="45">
        <v>3</v>
      </c>
      <c r="C14" s="43">
        <v>107</v>
      </c>
      <c r="D14" s="43">
        <v>9</v>
      </c>
      <c r="E14">
        <v>18</v>
      </c>
      <c r="F14">
        <v>3</v>
      </c>
      <c r="G14">
        <v>6</v>
      </c>
      <c r="H14">
        <v>2</v>
      </c>
      <c r="I14">
        <v>1</v>
      </c>
      <c r="J14">
        <v>23</v>
      </c>
      <c r="K14">
        <v>9</v>
      </c>
      <c r="L14">
        <v>10</v>
      </c>
      <c r="M14">
        <f t="shared" si="0"/>
        <v>191</v>
      </c>
    </row>
    <row r="15" spans="1:13" x14ac:dyDescent="0.15">
      <c r="A15" t="s">
        <v>96</v>
      </c>
      <c r="B15">
        <v>2</v>
      </c>
      <c r="C15">
        <v>53</v>
      </c>
      <c r="D15">
        <v>12</v>
      </c>
      <c r="E15">
        <v>15</v>
      </c>
      <c r="G15">
        <v>3</v>
      </c>
      <c r="H15">
        <v>3</v>
      </c>
      <c r="I15">
        <v>2</v>
      </c>
      <c r="J15">
        <v>9</v>
      </c>
      <c r="K15">
        <v>3</v>
      </c>
      <c r="L15">
        <v>6</v>
      </c>
      <c r="M15">
        <f t="shared" si="0"/>
        <v>108</v>
      </c>
    </row>
    <row r="16" spans="1:13" x14ac:dyDescent="0.15">
      <c r="A16" t="s">
        <v>135</v>
      </c>
      <c r="B16">
        <v>3</v>
      </c>
      <c r="C16">
        <v>121</v>
      </c>
      <c r="D16">
        <v>12</v>
      </c>
      <c r="E16">
        <v>26</v>
      </c>
      <c r="F16">
        <v>2</v>
      </c>
      <c r="H16">
        <v>4</v>
      </c>
      <c r="I16">
        <v>3</v>
      </c>
      <c r="J16">
        <v>25</v>
      </c>
      <c r="K16">
        <v>5</v>
      </c>
      <c r="L16">
        <v>7</v>
      </c>
      <c r="M16">
        <f t="shared" si="0"/>
        <v>208</v>
      </c>
    </row>
    <row r="17" spans="1:13" x14ac:dyDescent="0.15">
      <c r="A17" t="s">
        <v>136</v>
      </c>
      <c r="B17">
        <v>5</v>
      </c>
      <c r="C17">
        <v>185</v>
      </c>
      <c r="D17">
        <v>9</v>
      </c>
      <c r="E17">
        <v>25</v>
      </c>
      <c r="F17">
        <v>1</v>
      </c>
      <c r="G17">
        <v>2</v>
      </c>
      <c r="H17">
        <v>5</v>
      </c>
      <c r="I17">
        <v>3</v>
      </c>
      <c r="J17">
        <v>26</v>
      </c>
      <c r="K17">
        <v>14</v>
      </c>
      <c r="L17">
        <v>10</v>
      </c>
      <c r="M17">
        <f t="shared" si="0"/>
        <v>285</v>
      </c>
    </row>
    <row r="18" spans="1:13" ht="16.5" x14ac:dyDescent="0.15">
      <c r="A18" t="s">
        <v>112</v>
      </c>
      <c r="B18">
        <v>10</v>
      </c>
      <c r="C18" s="46">
        <v>111</v>
      </c>
      <c r="D18">
        <v>13</v>
      </c>
      <c r="E18">
        <v>26</v>
      </c>
      <c r="F18">
        <v>2</v>
      </c>
      <c r="G18">
        <v>7</v>
      </c>
      <c r="H18">
        <v>7</v>
      </c>
      <c r="I18">
        <v>3</v>
      </c>
      <c r="J18">
        <v>22</v>
      </c>
      <c r="K18">
        <v>10</v>
      </c>
      <c r="L18">
        <v>9</v>
      </c>
      <c r="M18">
        <f t="shared" si="0"/>
        <v>220</v>
      </c>
    </row>
    <row r="19" spans="1:13" x14ac:dyDescent="0.15">
      <c r="A19" t="s">
        <v>90</v>
      </c>
      <c r="B19">
        <v>5</v>
      </c>
      <c r="C19">
        <v>111</v>
      </c>
      <c r="D19">
        <v>3</v>
      </c>
      <c r="E19">
        <v>30</v>
      </c>
      <c r="G19">
        <v>4</v>
      </c>
      <c r="H19">
        <v>6</v>
      </c>
      <c r="I19">
        <v>1</v>
      </c>
      <c r="J19">
        <v>17</v>
      </c>
      <c r="K19">
        <v>6</v>
      </c>
      <c r="L19">
        <v>2</v>
      </c>
      <c r="M19">
        <f t="shared" si="0"/>
        <v>185</v>
      </c>
    </row>
    <row r="20" spans="1:13" x14ac:dyDescent="0.15">
      <c r="A20" t="s">
        <v>105</v>
      </c>
      <c r="B20">
        <v>5</v>
      </c>
      <c r="C20">
        <v>125</v>
      </c>
      <c r="D20">
        <v>15</v>
      </c>
      <c r="E20">
        <v>24</v>
      </c>
      <c r="F20">
        <v>5</v>
      </c>
      <c r="G20">
        <v>4</v>
      </c>
      <c r="H20">
        <v>10</v>
      </c>
      <c r="I20">
        <v>1</v>
      </c>
      <c r="J20">
        <v>34</v>
      </c>
      <c r="K20">
        <v>10</v>
      </c>
      <c r="L20">
        <v>11</v>
      </c>
      <c r="M20">
        <f t="shared" si="0"/>
        <v>244</v>
      </c>
    </row>
    <row r="21" spans="1:13" x14ac:dyDescent="0.15">
      <c r="A21" t="s">
        <v>102</v>
      </c>
      <c r="B21">
        <v>5</v>
      </c>
      <c r="C21">
        <v>181</v>
      </c>
      <c r="D21">
        <v>10</v>
      </c>
      <c r="E21">
        <v>49</v>
      </c>
      <c r="F21">
        <v>2</v>
      </c>
      <c r="G21">
        <v>3</v>
      </c>
      <c r="H21">
        <v>1</v>
      </c>
      <c r="J21">
        <v>33</v>
      </c>
      <c r="K21">
        <v>13</v>
      </c>
      <c r="L21">
        <v>9</v>
      </c>
      <c r="M21">
        <f t="shared" si="0"/>
        <v>306</v>
      </c>
    </row>
    <row r="22" spans="1:13" x14ac:dyDescent="0.15">
      <c r="A22" t="s">
        <v>91</v>
      </c>
      <c r="B22">
        <v>18</v>
      </c>
      <c r="C22">
        <v>276</v>
      </c>
      <c r="D22">
        <v>14</v>
      </c>
      <c r="E22">
        <v>52</v>
      </c>
      <c r="F22">
        <v>8</v>
      </c>
      <c r="G22">
        <v>7</v>
      </c>
      <c r="H22">
        <v>17</v>
      </c>
      <c r="I22">
        <v>14</v>
      </c>
      <c r="J22">
        <v>58</v>
      </c>
      <c r="K22">
        <v>18</v>
      </c>
      <c r="L22">
        <v>12</v>
      </c>
      <c r="M22">
        <f t="shared" si="0"/>
        <v>494</v>
      </c>
    </row>
    <row r="23" spans="1:13" x14ac:dyDescent="0.15">
      <c r="A23" t="s">
        <v>104</v>
      </c>
      <c r="B23">
        <v>4</v>
      </c>
      <c r="C23">
        <v>123</v>
      </c>
      <c r="D23">
        <v>13</v>
      </c>
      <c r="E23">
        <v>32</v>
      </c>
      <c r="F23">
        <v>3</v>
      </c>
      <c r="H23">
        <v>2</v>
      </c>
      <c r="I23">
        <v>2</v>
      </c>
      <c r="J23">
        <v>33</v>
      </c>
      <c r="K23">
        <v>6</v>
      </c>
      <c r="L23">
        <v>12</v>
      </c>
      <c r="M23">
        <f t="shared" si="0"/>
        <v>230</v>
      </c>
    </row>
    <row r="24" spans="1:13" x14ac:dyDescent="0.15">
      <c r="A24" t="s">
        <v>92</v>
      </c>
      <c r="B24">
        <v>15</v>
      </c>
      <c r="C24">
        <v>283</v>
      </c>
      <c r="D24">
        <v>28</v>
      </c>
      <c r="E24">
        <v>65</v>
      </c>
      <c r="F24">
        <v>8</v>
      </c>
      <c r="G24">
        <v>11</v>
      </c>
      <c r="H24">
        <v>13</v>
      </c>
      <c r="I24">
        <v>13</v>
      </c>
      <c r="J24">
        <v>65</v>
      </c>
      <c r="K24">
        <v>21</v>
      </c>
      <c r="L24">
        <v>17</v>
      </c>
      <c r="M24">
        <f t="shared" si="0"/>
        <v>539</v>
      </c>
    </row>
    <row r="25" spans="1:13" x14ac:dyDescent="0.15">
      <c r="A25" t="s">
        <v>93</v>
      </c>
      <c r="B25">
        <v>13</v>
      </c>
      <c r="C25">
        <v>219</v>
      </c>
      <c r="D25">
        <v>19</v>
      </c>
      <c r="E25">
        <v>48</v>
      </c>
      <c r="F25">
        <v>11</v>
      </c>
      <c r="G25">
        <v>6</v>
      </c>
      <c r="H25">
        <v>10</v>
      </c>
      <c r="I25">
        <v>5</v>
      </c>
      <c r="J25">
        <v>53</v>
      </c>
      <c r="K25">
        <v>16</v>
      </c>
      <c r="L25">
        <v>8</v>
      </c>
      <c r="M25">
        <f t="shared" si="0"/>
        <v>408</v>
      </c>
    </row>
    <row r="26" spans="1:13" x14ac:dyDescent="0.15">
      <c r="A26" t="s">
        <v>94</v>
      </c>
      <c r="B26">
        <v>8</v>
      </c>
      <c r="C26">
        <v>175</v>
      </c>
      <c r="D26">
        <v>18</v>
      </c>
      <c r="E26">
        <v>30</v>
      </c>
      <c r="F26">
        <v>3</v>
      </c>
      <c r="G26">
        <v>4</v>
      </c>
      <c r="H26">
        <v>7</v>
      </c>
      <c r="I26">
        <v>2</v>
      </c>
      <c r="J26">
        <v>32</v>
      </c>
      <c r="K26">
        <v>9</v>
      </c>
      <c r="L26">
        <v>10</v>
      </c>
      <c r="M26">
        <f t="shared" si="0"/>
        <v>298</v>
      </c>
    </row>
    <row r="27" spans="1:13" x14ac:dyDescent="0.15">
      <c r="A27" t="s">
        <v>106</v>
      </c>
      <c r="B27">
        <v>5</v>
      </c>
      <c r="C27">
        <v>128</v>
      </c>
      <c r="D27">
        <v>14</v>
      </c>
      <c r="E27">
        <v>29</v>
      </c>
      <c r="F27">
        <v>6</v>
      </c>
      <c r="G27">
        <v>5</v>
      </c>
      <c r="H27">
        <v>3</v>
      </c>
      <c r="I27">
        <v>2</v>
      </c>
      <c r="J27">
        <v>24</v>
      </c>
      <c r="K27">
        <v>8</v>
      </c>
      <c r="L27">
        <v>13</v>
      </c>
      <c r="M27">
        <f t="shared" si="0"/>
        <v>237</v>
      </c>
    </row>
    <row r="28" spans="1:13" x14ac:dyDescent="0.15">
      <c r="A28" t="s">
        <v>108</v>
      </c>
      <c r="B28">
        <v>10</v>
      </c>
      <c r="C28">
        <v>141</v>
      </c>
      <c r="D28">
        <v>11</v>
      </c>
      <c r="E28">
        <v>31</v>
      </c>
      <c r="F28">
        <v>6</v>
      </c>
      <c r="G28">
        <v>4</v>
      </c>
      <c r="H28">
        <v>7</v>
      </c>
      <c r="I28">
        <v>3</v>
      </c>
      <c r="J28">
        <v>19</v>
      </c>
      <c r="K28">
        <v>9</v>
      </c>
      <c r="L28">
        <v>12</v>
      </c>
      <c r="M28">
        <f t="shared" si="0"/>
        <v>253</v>
      </c>
    </row>
    <row r="29" spans="1:13" x14ac:dyDescent="0.15">
      <c r="A29" t="s">
        <v>87</v>
      </c>
      <c r="B29">
        <v>217</v>
      </c>
      <c r="C29">
        <v>4206</v>
      </c>
      <c r="D29">
        <v>363</v>
      </c>
      <c r="E29">
        <v>913</v>
      </c>
      <c r="F29">
        <v>121</v>
      </c>
      <c r="G29">
        <v>139</v>
      </c>
      <c r="H29">
        <v>204</v>
      </c>
      <c r="I29">
        <v>94</v>
      </c>
      <c r="J29">
        <v>873</v>
      </c>
      <c r="K29">
        <v>298</v>
      </c>
      <c r="L29">
        <v>281</v>
      </c>
      <c r="M29">
        <f t="shared" si="0"/>
        <v>7709</v>
      </c>
    </row>
    <row r="31" spans="1:13" ht="16.5" x14ac:dyDescent="0.15">
      <c r="B31" s="44"/>
      <c r="C31" s="44"/>
    </row>
    <row r="34" ht="15.75" customHeight="1" x14ac:dyDescent="0.15"/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4F18-D335-4AAE-9E79-FB1324C2509F}">
  <sheetPr>
    <tabColor theme="5" tint="-0.249977111117893"/>
  </sheetPr>
  <dimension ref="A1:I10"/>
  <sheetViews>
    <sheetView zoomScale="85" zoomScaleNormal="85" workbookViewId="0">
      <pane xSplit="1" topLeftCell="B1" activePane="topRight" state="frozen"/>
      <selection activeCell="AL19" sqref="AL19"/>
      <selection pane="topRight" activeCell="C54" sqref="C54"/>
    </sheetView>
  </sheetViews>
  <sheetFormatPr defaultRowHeight="13.5" x14ac:dyDescent="0.15"/>
  <cols>
    <col min="1" max="1" width="16.33203125" bestFit="1" customWidth="1"/>
    <col min="2" max="2" width="18.6640625" bestFit="1" customWidth="1"/>
    <col min="3" max="3" width="20.6640625" bestFit="1" customWidth="1"/>
    <col min="4" max="8" width="10.33203125" customWidth="1"/>
    <col min="9" max="9" width="13.5546875" customWidth="1"/>
  </cols>
  <sheetData>
    <row r="1" spans="1:9" x14ac:dyDescent="0.15">
      <c r="A1" s="42" t="s">
        <v>179</v>
      </c>
      <c r="B1" s="42" t="s">
        <v>101</v>
      </c>
      <c r="C1" s="42"/>
      <c r="D1" s="42"/>
      <c r="E1" s="42"/>
      <c r="F1" s="42"/>
    </row>
    <row r="2" spans="1:9" ht="16.5" x14ac:dyDescent="0.15">
      <c r="A2" s="23" t="s">
        <v>110</v>
      </c>
      <c r="B2" s="23" t="s">
        <v>162</v>
      </c>
      <c r="C2" s="23" t="s">
        <v>87</v>
      </c>
      <c r="D2" s="23"/>
      <c r="E2" s="23"/>
      <c r="F2" s="23"/>
      <c r="G2" s="23"/>
      <c r="H2" s="47"/>
    </row>
    <row r="3" spans="1:9" x14ac:dyDescent="0.15">
      <c r="A3" s="51" t="s">
        <v>139</v>
      </c>
      <c r="B3" s="43"/>
      <c r="C3" s="43"/>
      <c r="D3" s="43"/>
      <c r="E3" s="43"/>
      <c r="F3" s="43"/>
      <c r="G3" s="43"/>
      <c r="H3" s="43"/>
      <c r="I3" s="48"/>
    </row>
    <row r="4" spans="1:9" x14ac:dyDescent="0.15">
      <c r="A4" t="s">
        <v>111</v>
      </c>
      <c r="I4" s="47"/>
    </row>
    <row r="5" spans="1:9" x14ac:dyDescent="0.15">
      <c r="A5" t="s">
        <v>102</v>
      </c>
      <c r="I5" s="47"/>
    </row>
    <row r="6" spans="1:9" x14ac:dyDescent="0.15">
      <c r="A6" t="s">
        <v>87</v>
      </c>
      <c r="I6" s="47"/>
    </row>
    <row r="8" spans="1:9" ht="16.5" x14ac:dyDescent="0.15">
      <c r="B8" s="44"/>
      <c r="C8" s="44"/>
      <c r="D8" s="44"/>
      <c r="E8" s="44"/>
      <c r="F8" s="44"/>
    </row>
    <row r="10" spans="1:9" ht="15.75" customHeight="1" x14ac:dyDescent="0.15"/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483B-19B9-443D-8031-407D00E65D9C}">
  <sheetPr>
    <tabColor rgb="FFAC75D5"/>
    <pageSetUpPr fitToPage="1"/>
  </sheetPr>
  <dimension ref="B1:AL54"/>
  <sheetViews>
    <sheetView zoomScale="85" zoomScaleNormal="85" workbookViewId="0">
      <selection activeCell="AO22" sqref="AO22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33" width="2.33203125" style="1"/>
    <col min="34" max="34" width="2.33203125" style="1" customWidth="1"/>
    <col min="35" max="36" width="2.33203125" style="1"/>
    <col min="37" max="37" width="22.6640625" style="1" bestFit="1" customWidth="1"/>
    <col min="38" max="38" width="2.5546875" style="1" bestFit="1" customWidth="1"/>
    <col min="39" max="16384" width="2.33203125" style="1"/>
  </cols>
  <sheetData>
    <row r="1" spans="2:38" ht="14.25" thickBot="1" x14ac:dyDescent="0.2">
      <c r="B1" s="3" t="s">
        <v>97</v>
      </c>
    </row>
    <row r="2" spans="2:38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8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8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8" ht="13.5" customHeight="1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8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97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8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8" ht="13.5" customHeight="1" x14ac:dyDescent="0.15">
      <c r="B8" s="110"/>
      <c r="C8" s="113" t="s">
        <v>4</v>
      </c>
      <c r="D8" s="121"/>
      <c r="E8" s="121"/>
      <c r="F8" s="121"/>
      <c r="G8" s="148" t="s">
        <v>99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8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8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8" ht="14.25" customHeight="1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8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8" ht="21" customHeight="1" x14ac:dyDescent="0.15">
      <c r="B13" s="152"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2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2</v>
      </c>
      <c r="X13" s="100"/>
      <c r="Y13" s="100"/>
      <c r="Z13" s="101"/>
      <c r="AA13" s="73">
        <f>B13+5</f>
        <v>46319</v>
      </c>
      <c r="AB13" s="84"/>
      <c r="AC13" s="84"/>
      <c r="AD13" s="84"/>
      <c r="AE13" s="84"/>
      <c r="AF13" s="84"/>
      <c r="AG13" s="84"/>
      <c r="AH13" s="85"/>
      <c r="AK13" s="23"/>
      <c r="AL13"/>
    </row>
    <row r="14" spans="2:38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53</v>
      </c>
      <c r="R14" s="96"/>
      <c r="S14" s="97"/>
      <c r="T14" s="98">
        <f t="shared" ref="T14:T19" si="2">IFERROR(ROUNDDOWN(Q14/M14,0),"")</f>
        <v>1</v>
      </c>
      <c r="U14" s="84"/>
      <c r="V14" s="84"/>
      <c r="W14" s="99">
        <f t="shared" ref="W14:W19" si="3">IFERROR(Q14-(T14*M14),"")</f>
        <v>23</v>
      </c>
      <c r="X14" s="100"/>
      <c r="Y14" s="100"/>
      <c r="Z14" s="101"/>
      <c r="AA14" s="73">
        <f>B13+5</f>
        <v>46319</v>
      </c>
      <c r="AB14" s="84"/>
      <c r="AC14" s="84"/>
      <c r="AD14" s="84"/>
      <c r="AE14" s="84"/>
      <c r="AF14" s="84"/>
      <c r="AG14" s="84"/>
      <c r="AH14" s="85"/>
      <c r="AK14" s="23"/>
      <c r="AL14"/>
    </row>
    <row r="15" spans="2:38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12</v>
      </c>
      <c r="R15" s="96"/>
      <c r="S15" s="97"/>
      <c r="T15" s="98">
        <f t="shared" si="2"/>
        <v>0</v>
      </c>
      <c r="U15" s="84"/>
      <c r="V15" s="84"/>
      <c r="W15" s="99">
        <f t="shared" si="3"/>
        <v>12</v>
      </c>
      <c r="X15" s="100"/>
      <c r="Y15" s="100"/>
      <c r="Z15" s="101"/>
      <c r="AA15" s="73">
        <f>B13+5-1</f>
        <v>46318</v>
      </c>
      <c r="AB15" s="84"/>
      <c r="AC15" s="84"/>
      <c r="AD15" s="84"/>
      <c r="AE15" s="84"/>
      <c r="AF15" s="84"/>
      <c r="AG15" s="84"/>
      <c r="AH15" s="85"/>
      <c r="AK15" s="23"/>
      <c r="AL15"/>
    </row>
    <row r="16" spans="2:38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15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15</v>
      </c>
      <c r="X16" s="100"/>
      <c r="Y16" s="100"/>
      <c r="Z16" s="101"/>
      <c r="AA16" s="73">
        <f>B13+5-1</f>
        <v>46318</v>
      </c>
      <c r="AB16" s="84"/>
      <c r="AC16" s="84"/>
      <c r="AD16" s="84"/>
      <c r="AE16" s="84"/>
      <c r="AF16" s="84"/>
      <c r="AG16" s="84"/>
      <c r="AH16" s="85"/>
      <c r="AK16" s="23"/>
      <c r="AL16"/>
    </row>
    <row r="17" spans="2:38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0</v>
      </c>
      <c r="R17" s="96"/>
      <c r="S17" s="97"/>
      <c r="T17" s="98">
        <f t="shared" si="2"/>
        <v>0</v>
      </c>
      <c r="U17" s="84"/>
      <c r="V17" s="84"/>
      <c r="W17" s="99">
        <f t="shared" si="3"/>
        <v>0</v>
      </c>
      <c r="X17" s="100"/>
      <c r="Y17" s="100"/>
      <c r="Z17" s="101"/>
      <c r="AA17" s="73">
        <f>B13+4</f>
        <v>46318</v>
      </c>
      <c r="AB17" s="84"/>
      <c r="AC17" s="84"/>
      <c r="AD17" s="84"/>
      <c r="AE17" s="84"/>
      <c r="AF17" s="84"/>
      <c r="AG17" s="84"/>
      <c r="AH17" s="85"/>
      <c r="AK17" s="23"/>
      <c r="AL17"/>
    </row>
    <row r="18" spans="2:38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3</v>
      </c>
      <c r="R18" s="96"/>
      <c r="S18" s="97"/>
      <c r="T18" s="98">
        <f t="shared" si="2"/>
        <v>0</v>
      </c>
      <c r="U18" s="84"/>
      <c r="V18" s="84"/>
      <c r="W18" s="99">
        <f t="shared" si="3"/>
        <v>3</v>
      </c>
      <c r="X18" s="100"/>
      <c r="Y18" s="100"/>
      <c r="Z18" s="101"/>
      <c r="AA18" s="73">
        <f>B13+4</f>
        <v>46318</v>
      </c>
      <c r="AB18" s="84"/>
      <c r="AC18" s="84"/>
      <c r="AD18" s="84"/>
      <c r="AE18" s="84"/>
      <c r="AF18" s="84"/>
      <c r="AG18" s="84"/>
      <c r="AH18" s="85"/>
      <c r="AK18" s="23"/>
      <c r="AL18"/>
    </row>
    <row r="19" spans="2:38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3</v>
      </c>
      <c r="R19" s="96"/>
      <c r="S19" s="97"/>
      <c r="T19" s="98">
        <f t="shared" si="2"/>
        <v>0</v>
      </c>
      <c r="U19" s="84"/>
      <c r="V19" s="84"/>
      <c r="W19" s="99">
        <f t="shared" si="3"/>
        <v>3</v>
      </c>
      <c r="X19" s="100"/>
      <c r="Y19" s="100"/>
      <c r="Z19" s="101"/>
      <c r="AA19" s="73">
        <f>B13+4</f>
        <v>46318</v>
      </c>
      <c r="AB19" s="84"/>
      <c r="AC19" s="84"/>
      <c r="AD19" s="84"/>
      <c r="AE19" s="84"/>
      <c r="AF19" s="84"/>
      <c r="AG19" s="84"/>
      <c r="AH19" s="85"/>
      <c r="AK19" s="23"/>
      <c r="AL19"/>
    </row>
    <row r="20" spans="2:38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2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2</v>
      </c>
      <c r="X20" s="100"/>
      <c r="Y20" s="100"/>
      <c r="Z20" s="101"/>
      <c r="AA20" s="73">
        <f>B13+4</f>
        <v>46318</v>
      </c>
      <c r="AB20" s="84"/>
      <c r="AC20" s="84"/>
      <c r="AD20" s="84"/>
      <c r="AE20" s="84"/>
      <c r="AF20" s="84"/>
      <c r="AG20" s="84"/>
      <c r="AH20" s="85"/>
      <c r="AK20" s="23"/>
      <c r="AL20"/>
    </row>
    <row r="21" spans="2:38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9</v>
      </c>
      <c r="R21" s="96"/>
      <c r="S21" s="97"/>
      <c r="T21" s="98">
        <f t="shared" ref="T21" si="8">IFERROR(ROUNDDOWN(Q21/M21,0),"")</f>
        <v>0</v>
      </c>
      <c r="U21" s="84"/>
      <c r="V21" s="84"/>
      <c r="W21" s="99">
        <f t="shared" ref="W21" si="9">IFERROR(Q21-(T21*M21),"")</f>
        <v>9</v>
      </c>
      <c r="X21" s="100"/>
      <c r="Y21" s="100"/>
      <c r="Z21" s="101"/>
      <c r="AA21" s="73">
        <f>B13+5</f>
        <v>46319</v>
      </c>
      <c r="AB21" s="84"/>
      <c r="AC21" s="84"/>
      <c r="AD21" s="84"/>
      <c r="AE21" s="84"/>
      <c r="AF21" s="84"/>
      <c r="AG21" s="84"/>
      <c r="AH21" s="85"/>
      <c r="AK21" s="23"/>
      <c r="AL21"/>
    </row>
    <row r="22" spans="2:38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3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3</v>
      </c>
      <c r="X22" s="100"/>
      <c r="Y22" s="100"/>
      <c r="Z22" s="101"/>
      <c r="AA22" s="73">
        <f>B13+4</f>
        <v>46318</v>
      </c>
      <c r="AB22" s="84"/>
      <c r="AC22" s="84"/>
      <c r="AD22" s="84"/>
      <c r="AE22" s="84"/>
      <c r="AF22" s="84"/>
      <c r="AG22" s="84"/>
      <c r="AH22" s="85"/>
      <c r="AK22" s="23"/>
      <c r="AL22"/>
    </row>
    <row r="23" spans="2:38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73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8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8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102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8" ht="17.25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tr">
        <f>G8</f>
        <v xml:space="preserve"> 제주특별자치도 제주시 우정로8길 16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8" ht="17.25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8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8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8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8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8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BGF로지스제주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 제주특별자치도 제주시 우정로8길 16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2</v>
      </c>
      <c r="R41" s="216"/>
      <c r="S41" s="216"/>
      <c r="T41" s="217">
        <f>T13</f>
        <v>0</v>
      </c>
      <c r="U41" s="217"/>
      <c r="V41" s="217"/>
      <c r="W41" s="218">
        <f>W13</f>
        <v>2</v>
      </c>
      <c r="X41" s="218"/>
      <c r="Y41" s="218"/>
      <c r="Z41" s="218"/>
      <c r="AA41" s="78">
        <f>AA13</f>
        <v>46319</v>
      </c>
      <c r="AB41" s="79"/>
      <c r="AC41" s="79"/>
      <c r="AD41" s="79"/>
      <c r="AE41" s="79"/>
      <c r="AF41" s="79"/>
      <c r="AG41" s="79"/>
      <c r="AH41" s="80"/>
    </row>
    <row r="42" spans="2:34" ht="21" customHeight="1" x14ac:dyDescent="0.15">
      <c r="B42" s="20"/>
      <c r="C42" s="21"/>
      <c r="D42" s="22"/>
      <c r="E42" s="351" t="str">
        <f t="shared" ref="E42:E50" si="12">E14</f>
        <v>도)리얼모짜치즈돈까스2</v>
      </c>
      <c r="F42" s="223"/>
      <c r="G42" s="223"/>
      <c r="H42" s="223"/>
      <c r="I42" s="223"/>
      <c r="J42" s="223"/>
      <c r="K42" s="223"/>
      <c r="L42" s="296"/>
      <c r="M42" s="83">
        <f t="shared" ref="M42:M51" si="13">M14</f>
        <v>30</v>
      </c>
      <c r="N42" s="83"/>
      <c r="O42" s="83"/>
      <c r="P42" s="83"/>
      <c r="Q42" s="216">
        <f t="shared" ref="Q42:Q51" si="14">Q14</f>
        <v>53</v>
      </c>
      <c r="R42" s="216"/>
      <c r="S42" s="216"/>
      <c r="T42" s="217">
        <f t="shared" ref="T42:T51" si="15">T14</f>
        <v>1</v>
      </c>
      <c r="U42" s="217"/>
      <c r="V42" s="217"/>
      <c r="W42" s="218">
        <f t="shared" ref="W42:W50" si="16">W14</f>
        <v>23</v>
      </c>
      <c r="X42" s="218"/>
      <c r="Y42" s="218"/>
      <c r="Z42" s="218"/>
      <c r="AA42" s="78">
        <f t="shared" ref="AA42:AA51" si="17">AA14</f>
        <v>46319</v>
      </c>
      <c r="AB42" s="79"/>
      <c r="AC42" s="79"/>
      <c r="AD42" s="79"/>
      <c r="AE42" s="79"/>
      <c r="AF42" s="79"/>
      <c r="AG42" s="79"/>
      <c r="AH42" s="80"/>
    </row>
    <row r="43" spans="2:34" ht="20.25" customHeight="1" x14ac:dyDescent="0.15">
      <c r="B43" s="20"/>
      <c r="C43" s="21"/>
      <c r="D43" s="22"/>
      <c r="E43" s="351" t="str">
        <f t="shared" si="12"/>
        <v>도)리얼치즈고구마돈까스2</v>
      </c>
      <c r="F43" s="223"/>
      <c r="G43" s="223"/>
      <c r="H43" s="223"/>
      <c r="I43" s="223"/>
      <c r="J43" s="223"/>
      <c r="K43" s="223"/>
      <c r="L43" s="296"/>
      <c r="M43" s="83">
        <f t="shared" si="13"/>
        <v>30</v>
      </c>
      <c r="N43" s="83"/>
      <c r="O43" s="83"/>
      <c r="P43" s="83"/>
      <c r="Q43" s="216">
        <f t="shared" si="14"/>
        <v>12</v>
      </c>
      <c r="R43" s="216"/>
      <c r="S43" s="216"/>
      <c r="T43" s="217">
        <f t="shared" si="15"/>
        <v>0</v>
      </c>
      <c r="U43" s="217"/>
      <c r="V43" s="217"/>
      <c r="W43" s="218">
        <f t="shared" si="16"/>
        <v>12</v>
      </c>
      <c r="X43" s="218"/>
      <c r="Y43" s="218"/>
      <c r="Z43" s="218"/>
      <c r="AA43" s="78">
        <f t="shared" si="17"/>
        <v>46318</v>
      </c>
      <c r="AB43" s="79"/>
      <c r="AC43" s="79"/>
      <c r="AD43" s="79"/>
      <c r="AE43" s="79"/>
      <c r="AF43" s="79"/>
      <c r="AG43" s="79"/>
      <c r="AH43" s="80"/>
    </row>
    <row r="44" spans="2:34" ht="20.25" customHeight="1" x14ac:dyDescent="0.15">
      <c r="B44" s="20"/>
      <c r="C44" s="21"/>
      <c r="D44" s="22"/>
      <c r="E44" s="351" t="str">
        <f t="shared" si="12"/>
        <v>도)윙봉칠리탕수득템2</v>
      </c>
      <c r="F44" s="223"/>
      <c r="G44" s="223"/>
      <c r="H44" s="223"/>
      <c r="I44" s="223"/>
      <c r="J44" s="223"/>
      <c r="K44" s="223"/>
      <c r="L44" s="296"/>
      <c r="M44" s="83">
        <f t="shared" si="13"/>
        <v>36</v>
      </c>
      <c r="N44" s="83"/>
      <c r="O44" s="83"/>
      <c r="P44" s="83"/>
      <c r="Q44" s="216">
        <f t="shared" si="14"/>
        <v>15</v>
      </c>
      <c r="R44" s="216"/>
      <c r="S44" s="216"/>
      <c r="T44" s="217">
        <f t="shared" si="15"/>
        <v>0</v>
      </c>
      <c r="U44" s="217"/>
      <c r="V44" s="217"/>
      <c r="W44" s="218">
        <f t="shared" si="16"/>
        <v>15</v>
      </c>
      <c r="X44" s="218"/>
      <c r="Y44" s="218"/>
      <c r="Z44" s="218"/>
      <c r="AA44" s="78">
        <f t="shared" si="17"/>
        <v>46318</v>
      </c>
      <c r="AB44" s="79"/>
      <c r="AC44" s="79"/>
      <c r="AD44" s="79"/>
      <c r="AE44" s="79"/>
      <c r="AF44" s="79"/>
      <c r="AG44" s="79"/>
      <c r="AH44" s="80"/>
    </row>
    <row r="45" spans="2:34" ht="20.25" customHeight="1" x14ac:dyDescent="0.15">
      <c r="B45" s="20"/>
      <c r="C45" s="21"/>
      <c r="D45" s="22"/>
      <c r="E45" s="351" t="str">
        <f t="shared" si="12"/>
        <v>도)찍먹윙봉2</v>
      </c>
      <c r="F45" s="223"/>
      <c r="G45" s="223"/>
      <c r="H45" s="223"/>
      <c r="I45" s="223"/>
      <c r="J45" s="223"/>
      <c r="K45" s="223"/>
      <c r="L45" s="296"/>
      <c r="M45" s="83">
        <f t="shared" si="13"/>
        <v>36</v>
      </c>
      <c r="N45" s="83"/>
      <c r="O45" s="83"/>
      <c r="P45" s="83"/>
      <c r="Q45" s="216">
        <f t="shared" si="14"/>
        <v>0</v>
      </c>
      <c r="R45" s="216"/>
      <c r="S45" s="216"/>
      <c r="T45" s="217">
        <f t="shared" si="15"/>
        <v>0</v>
      </c>
      <c r="U45" s="217"/>
      <c r="V45" s="217"/>
      <c r="W45" s="218">
        <f t="shared" si="16"/>
        <v>0</v>
      </c>
      <c r="X45" s="218"/>
      <c r="Y45" s="218"/>
      <c r="Z45" s="218"/>
      <c r="AA45" s="78">
        <f t="shared" si="17"/>
        <v>46318</v>
      </c>
      <c r="AB45" s="79"/>
      <c r="AC45" s="79"/>
      <c r="AD45" s="79"/>
      <c r="AE45" s="79"/>
      <c r="AF45" s="79"/>
      <c r="AG45" s="79"/>
      <c r="AH45" s="80"/>
    </row>
    <row r="46" spans="2:34" ht="21" customHeight="1" x14ac:dyDescent="0.15">
      <c r="B46" s="25"/>
      <c r="C46" s="26"/>
      <c r="D46" s="27"/>
      <c r="E46" s="351" t="str">
        <f t="shared" si="12"/>
        <v>도)찍먹탕수육2</v>
      </c>
      <c r="F46" s="223"/>
      <c r="G46" s="223"/>
      <c r="H46" s="223"/>
      <c r="I46" s="223"/>
      <c r="J46" s="223"/>
      <c r="K46" s="223"/>
      <c r="L46" s="296"/>
      <c r="M46" s="83">
        <f t="shared" si="13"/>
        <v>36</v>
      </c>
      <c r="N46" s="83"/>
      <c r="O46" s="83"/>
      <c r="P46" s="83"/>
      <c r="Q46" s="216">
        <f t="shared" si="14"/>
        <v>3</v>
      </c>
      <c r="R46" s="216"/>
      <c r="S46" s="216"/>
      <c r="T46" s="217">
        <f t="shared" si="15"/>
        <v>0</v>
      </c>
      <c r="U46" s="217"/>
      <c r="V46" s="217"/>
      <c r="W46" s="218">
        <f t="shared" si="16"/>
        <v>3</v>
      </c>
      <c r="X46" s="218"/>
      <c r="Y46" s="218"/>
      <c r="Z46" s="218"/>
      <c r="AA46" s="78">
        <f t="shared" si="17"/>
        <v>46318</v>
      </c>
      <c r="AB46" s="79"/>
      <c r="AC46" s="79"/>
      <c r="AD46" s="79"/>
      <c r="AE46" s="79"/>
      <c r="AF46" s="79"/>
      <c r="AG46" s="79"/>
      <c r="AH46" s="80"/>
    </row>
    <row r="47" spans="2:34" ht="21" customHeight="1" x14ac:dyDescent="0.15">
      <c r="B47" s="25"/>
      <c r="C47" s="26"/>
      <c r="D47" s="27"/>
      <c r="E47" s="351" t="str">
        <f t="shared" si="12"/>
        <v>도)치맥아보트러플치킨2</v>
      </c>
      <c r="F47" s="223"/>
      <c r="G47" s="223"/>
      <c r="H47" s="223"/>
      <c r="I47" s="223"/>
      <c r="J47" s="223"/>
      <c r="K47" s="223"/>
      <c r="L47" s="296"/>
      <c r="M47" s="83">
        <f t="shared" si="13"/>
        <v>32</v>
      </c>
      <c r="N47" s="83"/>
      <c r="O47" s="83"/>
      <c r="P47" s="83"/>
      <c r="Q47" s="216">
        <f t="shared" si="14"/>
        <v>3</v>
      </c>
      <c r="R47" s="216"/>
      <c r="S47" s="216"/>
      <c r="T47" s="217">
        <f t="shared" si="15"/>
        <v>0</v>
      </c>
      <c r="U47" s="217"/>
      <c r="V47" s="217"/>
      <c r="W47" s="218">
        <f t="shared" si="16"/>
        <v>3</v>
      </c>
      <c r="X47" s="218"/>
      <c r="Y47" s="218"/>
      <c r="Z47" s="218"/>
      <c r="AA47" s="78">
        <f t="shared" si="17"/>
        <v>46318</v>
      </c>
      <c r="AB47" s="79"/>
      <c r="AC47" s="79"/>
      <c r="AD47" s="79"/>
      <c r="AE47" s="79"/>
      <c r="AF47" s="79"/>
      <c r="AG47" s="79"/>
      <c r="AH47" s="80"/>
    </row>
    <row r="48" spans="2:34" ht="21" customHeight="1" x14ac:dyDescent="0.15">
      <c r="B48" s="25"/>
      <c r="C48" s="26"/>
      <c r="D48" s="27"/>
      <c r="E48" s="351" t="str">
        <f t="shared" si="12"/>
        <v>도)치즈매콤닭강정감자2</v>
      </c>
      <c r="F48" s="223"/>
      <c r="G48" s="223"/>
      <c r="H48" s="223"/>
      <c r="I48" s="223"/>
      <c r="J48" s="223"/>
      <c r="K48" s="223"/>
      <c r="L48" s="296"/>
      <c r="M48" s="83">
        <f t="shared" si="13"/>
        <v>30</v>
      </c>
      <c r="N48" s="83"/>
      <c r="O48" s="83"/>
      <c r="P48" s="83"/>
      <c r="Q48" s="216">
        <f t="shared" si="14"/>
        <v>2</v>
      </c>
      <c r="R48" s="216"/>
      <c r="S48" s="216"/>
      <c r="T48" s="217">
        <f t="shared" si="15"/>
        <v>0</v>
      </c>
      <c r="U48" s="217"/>
      <c r="V48" s="217"/>
      <c r="W48" s="218">
        <f t="shared" si="16"/>
        <v>2</v>
      </c>
      <c r="X48" s="218"/>
      <c r="Y48" s="218"/>
      <c r="Z48" s="218"/>
      <c r="AA48" s="78">
        <f t="shared" si="17"/>
        <v>46318</v>
      </c>
      <c r="AB48" s="79"/>
      <c r="AC48" s="79"/>
      <c r="AD48" s="79"/>
      <c r="AE48" s="79"/>
      <c r="AF48" s="79"/>
      <c r="AG48" s="79"/>
      <c r="AH48" s="80"/>
    </row>
    <row r="49" spans="2:34" ht="21" customHeight="1" x14ac:dyDescent="0.15">
      <c r="B49" s="25"/>
      <c r="C49" s="26"/>
      <c r="D49" s="27"/>
      <c r="E49" s="351" t="str">
        <f t="shared" si="12"/>
        <v>도)치즈청양간장닭강정2</v>
      </c>
      <c r="F49" s="223"/>
      <c r="G49" s="223"/>
      <c r="H49" s="223"/>
      <c r="I49" s="223"/>
      <c r="J49" s="223"/>
      <c r="K49" s="223"/>
      <c r="L49" s="296"/>
      <c r="M49" s="83">
        <f t="shared" si="13"/>
        <v>30</v>
      </c>
      <c r="N49" s="83"/>
      <c r="O49" s="83"/>
      <c r="P49" s="83"/>
      <c r="Q49" s="216">
        <f t="shared" si="14"/>
        <v>9</v>
      </c>
      <c r="R49" s="216"/>
      <c r="S49" s="216"/>
      <c r="T49" s="217">
        <f t="shared" si="15"/>
        <v>0</v>
      </c>
      <c r="U49" s="217"/>
      <c r="V49" s="217"/>
      <c r="W49" s="218">
        <f t="shared" si="16"/>
        <v>9</v>
      </c>
      <c r="X49" s="218"/>
      <c r="Y49" s="218"/>
      <c r="Z49" s="218"/>
      <c r="AA49" s="78">
        <f t="shared" si="17"/>
        <v>46319</v>
      </c>
      <c r="AB49" s="79"/>
      <c r="AC49" s="79"/>
      <c r="AD49" s="79"/>
      <c r="AE49" s="79"/>
      <c r="AF49" s="79"/>
      <c r="AG49" s="79"/>
      <c r="AH49" s="80"/>
    </row>
    <row r="50" spans="2:34" ht="21" customHeight="1" x14ac:dyDescent="0.15">
      <c r="B50" s="25"/>
      <c r="C50" s="26"/>
      <c r="D50" s="27"/>
      <c r="E50" s="351" t="str">
        <f t="shared" si="12"/>
        <v>도)쿵야반반닭강정팩2</v>
      </c>
      <c r="F50" s="223"/>
      <c r="G50" s="223"/>
      <c r="H50" s="223"/>
      <c r="I50" s="223"/>
      <c r="J50" s="223"/>
      <c r="K50" s="223"/>
      <c r="L50" s="296"/>
      <c r="M50" s="83">
        <f t="shared" si="13"/>
        <v>36</v>
      </c>
      <c r="N50" s="83"/>
      <c r="O50" s="83"/>
      <c r="P50" s="83"/>
      <c r="Q50" s="216">
        <f t="shared" si="14"/>
        <v>3</v>
      </c>
      <c r="R50" s="216"/>
      <c r="S50" s="216"/>
      <c r="T50" s="217">
        <f t="shared" si="15"/>
        <v>0</v>
      </c>
      <c r="U50" s="217"/>
      <c r="V50" s="217"/>
      <c r="W50" s="218">
        <f t="shared" si="16"/>
        <v>3</v>
      </c>
      <c r="X50" s="218"/>
      <c r="Y50" s="218"/>
      <c r="Z50" s="218"/>
      <c r="AA50" s="78">
        <f t="shared" si="17"/>
        <v>46318</v>
      </c>
      <c r="AB50" s="79"/>
      <c r="AC50" s="79"/>
      <c r="AD50" s="79"/>
      <c r="AE50" s="79"/>
      <c r="AF50" s="79"/>
      <c r="AG50" s="79"/>
      <c r="AH50" s="80"/>
    </row>
    <row r="51" spans="2:34" ht="21" customHeight="1" x14ac:dyDescent="0.15">
      <c r="B51" s="20"/>
      <c r="C51" s="21"/>
      <c r="D51" s="22"/>
      <c r="E51" s="351" t="str">
        <f t="shared" ref="E51" si="18">E23</f>
        <v>APP)치맥아보트러플치킨2</v>
      </c>
      <c r="F51" s="223"/>
      <c r="G51" s="223"/>
      <c r="H51" s="223"/>
      <c r="I51" s="223"/>
      <c r="J51" s="223"/>
      <c r="K51" s="223"/>
      <c r="L51" s="296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78">
        <f t="shared" si="17"/>
        <v>46318</v>
      </c>
      <c r="AB51" s="79"/>
      <c r="AC51" s="79"/>
      <c r="AD51" s="79"/>
      <c r="AE51" s="79"/>
      <c r="AF51" s="79"/>
      <c r="AG51" s="79"/>
      <c r="AH51" s="80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102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25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 xml:space="preserve"> 제주특별자치도 제주시 우정로8길 16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25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H14">
    <cfRule type="expression" dxfId="251" priority="3000">
      <formula>Q13:S26=0</formula>
    </cfRule>
  </conditionalFormatting>
  <conditionalFormatting sqref="AA15:AH16">
    <cfRule type="expression" dxfId="250" priority="5">
      <formula>Q15:S26=0</formula>
    </cfRule>
  </conditionalFormatting>
  <conditionalFormatting sqref="AA17:AH18">
    <cfRule type="expression" dxfId="249" priority="2998">
      <formula>Q17:S27=0</formula>
    </cfRule>
  </conditionalFormatting>
  <conditionalFormatting sqref="AA19:AH21">
    <cfRule type="expression" dxfId="248" priority="2">
      <formula>Q19:S28=0</formula>
    </cfRule>
  </conditionalFormatting>
  <conditionalFormatting sqref="AA22:AH22">
    <cfRule type="expression" dxfId="247" priority="2393">
      <formula>Q22:S29=0</formula>
    </cfRule>
  </conditionalFormatting>
  <conditionalFormatting sqref="AA23:AH23">
    <cfRule type="expression" dxfId="246" priority="7">
      <formula>Q23:S31=0</formula>
    </cfRule>
  </conditionalFormatting>
  <conditionalFormatting sqref="AA24:AH24">
    <cfRule type="expression" dxfId="245" priority="28">
      <formula>Q24:S24=0</formula>
    </cfRule>
  </conditionalFormatting>
  <conditionalFormatting sqref="AA41:AH51">
    <cfRule type="expression" dxfId="244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36 W53 B2:B4 C38 C2:F3 C34 D28:F31 B28:C32 W26 G2:G6 M2:P5 L2:L6 Q2:AH11 G36:L39 N36:P39 H28:K33 G28:G34 Q28:AH39 M28:P33 L28:L34 C12:D12 C40:D40 E25:M25 N8:P11 H2:K5 C8 C6 C10 C4 G8:L11 C14:D24 E12:E24 M8:M24 Q13:Q24 AA12:AA23 B12:B26 T13:T24 B40:B53 C42:D51 Q41:Q51 E40:E52 M36:M52 T41:T51 AA40:AA51" xr:uid="{69D3511A-50F4-4495-BFA8-8F55D5D06FA5}"/>
  </dataValidations>
  <printOptions horizontalCentered="1"/>
  <pageMargins left="0" right="0" top="0.11811023622047245" bottom="0" header="0" footer="0"/>
  <pageSetup paperSize="9" scale="84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8CD2-7659-4AF4-8340-296974FEBF9C}">
  <sheetPr>
    <tabColor rgb="FFAC75D5"/>
    <pageSetUpPr fitToPage="1"/>
  </sheetPr>
  <dimension ref="B1:AL54"/>
  <sheetViews>
    <sheetView topLeftCell="A26" zoomScale="85" zoomScaleNormal="85" workbookViewId="0">
      <selection activeCell="Q24" sqref="Q24:S2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33" width="2.33203125" style="1"/>
    <col min="34" max="34" width="2.33203125" style="1" customWidth="1"/>
    <col min="35" max="36" width="2.33203125" style="1"/>
    <col min="37" max="37" width="20.88671875" style="1" bestFit="1" customWidth="1"/>
    <col min="38" max="38" width="3.5546875" style="1" bestFit="1" customWidth="1"/>
    <col min="39" max="16384" width="2.33203125" style="1"/>
  </cols>
  <sheetData>
    <row r="1" spans="2:38" ht="14.25" thickBot="1" x14ac:dyDescent="0.2">
      <c r="B1" s="3" t="s">
        <v>98</v>
      </c>
    </row>
    <row r="2" spans="2:38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8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8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8" ht="13.5" customHeight="1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8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98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8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8" ht="13.5" customHeight="1" x14ac:dyDescent="0.15">
      <c r="B8" s="110"/>
      <c r="C8" s="113" t="s">
        <v>4</v>
      </c>
      <c r="D8" s="121"/>
      <c r="E8" s="121"/>
      <c r="F8" s="121"/>
      <c r="G8" s="148" t="s">
        <v>100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8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8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8" ht="14.25" customHeight="1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8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8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2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2</v>
      </c>
      <c r="X13" s="100"/>
      <c r="Y13" s="100"/>
      <c r="Z13" s="101"/>
      <c r="AA13" s="73">
        <f>B13+5</f>
        <v>46319</v>
      </c>
      <c r="AB13" s="84"/>
      <c r="AC13" s="84"/>
      <c r="AD13" s="84"/>
      <c r="AE13" s="84"/>
      <c r="AF13" s="84"/>
      <c r="AG13" s="84"/>
      <c r="AH13" s="85"/>
      <c r="AK13" s="23"/>
      <c r="AL13"/>
    </row>
    <row r="14" spans="2:38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34</v>
      </c>
      <c r="R14" s="96"/>
      <c r="S14" s="97"/>
      <c r="T14" s="98">
        <f t="shared" ref="T14:T19" si="2">IFERROR(ROUNDDOWN(Q14/M14,0),"")</f>
        <v>1</v>
      </c>
      <c r="U14" s="84"/>
      <c r="V14" s="84"/>
      <c r="W14" s="99">
        <f t="shared" ref="W14:W19" si="3">IFERROR(Q14-(T14*M14),"")</f>
        <v>4</v>
      </c>
      <c r="X14" s="100"/>
      <c r="Y14" s="100"/>
      <c r="Z14" s="101"/>
      <c r="AA14" s="73">
        <f>B13+5</f>
        <v>46319</v>
      </c>
      <c r="AB14" s="84"/>
      <c r="AC14" s="84"/>
      <c r="AD14" s="84"/>
      <c r="AE14" s="84"/>
      <c r="AF14" s="84"/>
      <c r="AG14" s="84"/>
      <c r="AH14" s="85"/>
      <c r="AK14" s="24"/>
      <c r="AL14"/>
    </row>
    <row r="15" spans="2:38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13</v>
      </c>
      <c r="R15" s="96"/>
      <c r="S15" s="97"/>
      <c r="T15" s="98">
        <f t="shared" si="2"/>
        <v>0</v>
      </c>
      <c r="U15" s="84"/>
      <c r="V15" s="84"/>
      <c r="W15" s="99">
        <f t="shared" si="3"/>
        <v>13</v>
      </c>
      <c r="X15" s="100"/>
      <c r="Y15" s="100"/>
      <c r="Z15" s="101"/>
      <c r="AA15" s="73">
        <f>B13+5-1</f>
        <v>46318</v>
      </c>
      <c r="AB15" s="84"/>
      <c r="AC15" s="84"/>
      <c r="AD15" s="84"/>
      <c r="AE15" s="84"/>
      <c r="AF15" s="84"/>
      <c r="AG15" s="84"/>
      <c r="AH15" s="85"/>
      <c r="AK15" s="24"/>
      <c r="AL15"/>
    </row>
    <row r="16" spans="2:38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13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13</v>
      </c>
      <c r="X16" s="100"/>
      <c r="Y16" s="100"/>
      <c r="Z16" s="101"/>
      <c r="AA16" s="73">
        <f>B13+5-1</f>
        <v>46318</v>
      </c>
      <c r="AB16" s="84"/>
      <c r="AC16" s="84"/>
      <c r="AD16" s="84"/>
      <c r="AE16" s="84"/>
      <c r="AF16" s="84"/>
      <c r="AG16" s="84"/>
      <c r="AH16" s="85"/>
      <c r="AK16" s="24"/>
      <c r="AL16"/>
    </row>
    <row r="17" spans="2:38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1</v>
      </c>
      <c r="R17" s="96"/>
      <c r="S17" s="97"/>
      <c r="T17" s="98">
        <f t="shared" si="2"/>
        <v>0</v>
      </c>
      <c r="U17" s="84"/>
      <c r="V17" s="84"/>
      <c r="W17" s="99">
        <f t="shared" si="3"/>
        <v>1</v>
      </c>
      <c r="X17" s="100"/>
      <c r="Y17" s="100"/>
      <c r="Z17" s="101"/>
      <c r="AA17" s="73">
        <f>B13+4</f>
        <v>46318</v>
      </c>
      <c r="AB17" s="84"/>
      <c r="AC17" s="84"/>
      <c r="AD17" s="84"/>
      <c r="AE17" s="84"/>
      <c r="AF17" s="84"/>
      <c r="AG17" s="84"/>
      <c r="AH17" s="85"/>
      <c r="AK17" s="24"/>
      <c r="AL17"/>
    </row>
    <row r="18" spans="2:38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0</v>
      </c>
      <c r="R18" s="96"/>
      <c r="S18" s="97"/>
      <c r="T18" s="98">
        <f t="shared" si="2"/>
        <v>0</v>
      </c>
      <c r="U18" s="84"/>
      <c r="V18" s="84"/>
      <c r="W18" s="99">
        <f t="shared" si="3"/>
        <v>0</v>
      </c>
      <c r="X18" s="100"/>
      <c r="Y18" s="100"/>
      <c r="Z18" s="101"/>
      <c r="AA18" s="73">
        <f>B13+4</f>
        <v>46318</v>
      </c>
      <c r="AB18" s="84"/>
      <c r="AC18" s="84"/>
      <c r="AD18" s="84"/>
      <c r="AE18" s="84"/>
      <c r="AF18" s="84"/>
      <c r="AG18" s="84"/>
      <c r="AH18" s="85"/>
      <c r="AK18"/>
      <c r="AL18"/>
    </row>
    <row r="19" spans="2:38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0</v>
      </c>
      <c r="R19" s="96"/>
      <c r="S19" s="97"/>
      <c r="T19" s="98">
        <f t="shared" si="2"/>
        <v>0</v>
      </c>
      <c r="U19" s="84"/>
      <c r="V19" s="84"/>
      <c r="W19" s="99">
        <f t="shared" si="3"/>
        <v>0</v>
      </c>
      <c r="X19" s="100"/>
      <c r="Y19" s="100"/>
      <c r="Z19" s="101"/>
      <c r="AA19" s="73">
        <f>B13+4</f>
        <v>46318</v>
      </c>
      <c r="AB19" s="84"/>
      <c r="AC19" s="84"/>
      <c r="AD19" s="84"/>
      <c r="AE19" s="84"/>
      <c r="AF19" s="84"/>
      <c r="AG19" s="84"/>
      <c r="AH19" s="85"/>
      <c r="AK19"/>
      <c r="AL19"/>
    </row>
    <row r="20" spans="2:38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1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1</v>
      </c>
      <c r="X20" s="100"/>
      <c r="Y20" s="100"/>
      <c r="Z20" s="101"/>
      <c r="AA20" s="73">
        <f>B13+4</f>
        <v>46318</v>
      </c>
      <c r="AB20" s="84"/>
      <c r="AC20" s="84"/>
      <c r="AD20" s="84"/>
      <c r="AE20" s="84"/>
      <c r="AF20" s="84"/>
      <c r="AG20" s="84"/>
      <c r="AH20" s="85"/>
      <c r="AK20"/>
      <c r="AL20"/>
    </row>
    <row r="21" spans="2:38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6</v>
      </c>
      <c r="R21" s="96"/>
      <c r="S21" s="97"/>
      <c r="T21" s="98">
        <f t="shared" ref="T21" si="8">IFERROR(ROUNDDOWN(Q21/M21,0),"")</f>
        <v>0</v>
      </c>
      <c r="U21" s="84"/>
      <c r="V21" s="84"/>
      <c r="W21" s="99">
        <f t="shared" ref="W21" si="9">IFERROR(Q21-(T21*M21),"")</f>
        <v>6</v>
      </c>
      <c r="X21" s="100"/>
      <c r="Y21" s="100"/>
      <c r="Z21" s="101"/>
      <c r="AA21" s="73">
        <f>B13+5</f>
        <v>46319</v>
      </c>
      <c r="AB21" s="84"/>
      <c r="AC21" s="84"/>
      <c r="AD21" s="84"/>
      <c r="AE21" s="84"/>
      <c r="AF21" s="84"/>
      <c r="AG21" s="84"/>
      <c r="AH21" s="85"/>
      <c r="AK21"/>
      <c r="AL21"/>
    </row>
    <row r="22" spans="2:38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3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3</v>
      </c>
      <c r="X22" s="100"/>
      <c r="Y22" s="100"/>
      <c r="Z22" s="101"/>
      <c r="AA22" s="73">
        <f>B13+4</f>
        <v>46318</v>
      </c>
      <c r="AB22" s="84"/>
      <c r="AC22" s="84"/>
      <c r="AD22" s="84"/>
      <c r="AE22" s="84"/>
      <c r="AF22" s="84"/>
      <c r="AG22" s="84"/>
      <c r="AH22" s="85"/>
      <c r="AK22"/>
      <c r="AL22"/>
    </row>
    <row r="23" spans="2:38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73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8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8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73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8" ht="17.25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tr">
        <f>G8</f>
        <v>제주특별자치도 서귀포시 토평공단로155번길 45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8" ht="17.25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8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8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8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8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8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BGF로지스서귀포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제주특별자치도 서귀포시 토평공단로155번길 45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2</v>
      </c>
      <c r="R41" s="216"/>
      <c r="S41" s="216"/>
      <c r="T41" s="217">
        <f>T13</f>
        <v>0</v>
      </c>
      <c r="U41" s="217"/>
      <c r="V41" s="217"/>
      <c r="W41" s="218">
        <f>W13</f>
        <v>2</v>
      </c>
      <c r="X41" s="218"/>
      <c r="Y41" s="218"/>
      <c r="Z41" s="218"/>
      <c r="AA41" s="78">
        <f>AA13</f>
        <v>46319</v>
      </c>
      <c r="AB41" s="79"/>
      <c r="AC41" s="79"/>
      <c r="AD41" s="79"/>
      <c r="AE41" s="79"/>
      <c r="AF41" s="79"/>
      <c r="AG41" s="79"/>
      <c r="AH41" s="80"/>
    </row>
    <row r="42" spans="2:34" ht="21" customHeight="1" x14ac:dyDescent="0.15">
      <c r="B42" s="20"/>
      <c r="C42" s="21"/>
      <c r="D42" s="22"/>
      <c r="E42" s="81" t="str">
        <f t="shared" ref="E42:E50" si="12">E14</f>
        <v>도)리얼모짜치즈돈까스2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30</v>
      </c>
      <c r="N42" s="83"/>
      <c r="O42" s="83"/>
      <c r="P42" s="83"/>
      <c r="Q42" s="216">
        <f t="shared" ref="Q42:Q51" si="14">Q14</f>
        <v>34</v>
      </c>
      <c r="R42" s="216"/>
      <c r="S42" s="216"/>
      <c r="T42" s="217">
        <f t="shared" ref="T42:T51" si="15">T14</f>
        <v>1</v>
      </c>
      <c r="U42" s="217"/>
      <c r="V42" s="217"/>
      <c r="W42" s="218">
        <f t="shared" ref="W42:W50" si="16">W14</f>
        <v>4</v>
      </c>
      <c r="X42" s="218"/>
      <c r="Y42" s="218"/>
      <c r="Z42" s="218"/>
      <c r="AA42" s="78">
        <f t="shared" ref="AA42:AA51" si="17">AA14</f>
        <v>46319</v>
      </c>
      <c r="AB42" s="79"/>
      <c r="AC42" s="79"/>
      <c r="AD42" s="79"/>
      <c r="AE42" s="79"/>
      <c r="AF42" s="79"/>
      <c r="AG42" s="79"/>
      <c r="AH42" s="80"/>
    </row>
    <row r="43" spans="2:34" ht="20.25" customHeight="1" x14ac:dyDescent="0.15">
      <c r="B43" s="20"/>
      <c r="C43" s="21"/>
      <c r="D43" s="22"/>
      <c r="E43" s="81" t="str">
        <f t="shared" si="12"/>
        <v>도)리얼치즈고구마돈까스2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13</v>
      </c>
      <c r="R43" s="216"/>
      <c r="S43" s="216"/>
      <c r="T43" s="217">
        <f t="shared" si="15"/>
        <v>0</v>
      </c>
      <c r="U43" s="217"/>
      <c r="V43" s="217"/>
      <c r="W43" s="218">
        <f t="shared" si="16"/>
        <v>13</v>
      </c>
      <c r="X43" s="218"/>
      <c r="Y43" s="218"/>
      <c r="Z43" s="218"/>
      <c r="AA43" s="78">
        <f t="shared" si="17"/>
        <v>46318</v>
      </c>
      <c r="AB43" s="79"/>
      <c r="AC43" s="79"/>
      <c r="AD43" s="79"/>
      <c r="AE43" s="79"/>
      <c r="AF43" s="79"/>
      <c r="AG43" s="79"/>
      <c r="AH43" s="80"/>
    </row>
    <row r="44" spans="2:34" ht="20.25" customHeight="1" x14ac:dyDescent="0.15">
      <c r="B44" s="20"/>
      <c r="C44" s="21"/>
      <c r="D44" s="22"/>
      <c r="E44" s="81" t="str">
        <f t="shared" si="12"/>
        <v>도)윙봉칠리탕수득템2</v>
      </c>
      <c r="F44" s="82"/>
      <c r="G44" s="82"/>
      <c r="H44" s="82"/>
      <c r="I44" s="82"/>
      <c r="J44" s="82"/>
      <c r="K44" s="82"/>
      <c r="L44" s="82"/>
      <c r="M44" s="83">
        <f t="shared" si="13"/>
        <v>36</v>
      </c>
      <c r="N44" s="83"/>
      <c r="O44" s="83"/>
      <c r="P44" s="83"/>
      <c r="Q44" s="216">
        <f t="shared" si="14"/>
        <v>13</v>
      </c>
      <c r="R44" s="216"/>
      <c r="S44" s="216"/>
      <c r="T44" s="217">
        <f t="shared" si="15"/>
        <v>0</v>
      </c>
      <c r="U44" s="217"/>
      <c r="V44" s="217"/>
      <c r="W44" s="218">
        <f t="shared" si="16"/>
        <v>13</v>
      </c>
      <c r="X44" s="218"/>
      <c r="Y44" s="218"/>
      <c r="Z44" s="218"/>
      <c r="AA44" s="78">
        <f t="shared" si="17"/>
        <v>46318</v>
      </c>
      <c r="AB44" s="79"/>
      <c r="AC44" s="79"/>
      <c r="AD44" s="79"/>
      <c r="AE44" s="79"/>
      <c r="AF44" s="79"/>
      <c r="AG44" s="79"/>
      <c r="AH44" s="80"/>
    </row>
    <row r="45" spans="2:34" ht="20.25" customHeight="1" x14ac:dyDescent="0.15">
      <c r="B45" s="20"/>
      <c r="C45" s="21"/>
      <c r="D45" s="22"/>
      <c r="E45" s="81" t="str">
        <f t="shared" si="12"/>
        <v>도)찍먹윙봉2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1</v>
      </c>
      <c r="R45" s="216"/>
      <c r="S45" s="216"/>
      <c r="T45" s="217">
        <f t="shared" si="15"/>
        <v>0</v>
      </c>
      <c r="U45" s="217"/>
      <c r="V45" s="217"/>
      <c r="W45" s="218">
        <f t="shared" si="16"/>
        <v>1</v>
      </c>
      <c r="X45" s="218"/>
      <c r="Y45" s="218"/>
      <c r="Z45" s="218"/>
      <c r="AA45" s="78">
        <f t="shared" si="17"/>
        <v>46318</v>
      </c>
      <c r="AB45" s="79"/>
      <c r="AC45" s="79"/>
      <c r="AD45" s="79"/>
      <c r="AE45" s="79"/>
      <c r="AF45" s="79"/>
      <c r="AG45" s="79"/>
      <c r="AH45" s="80"/>
    </row>
    <row r="46" spans="2:34" ht="21" customHeight="1" x14ac:dyDescent="0.15">
      <c r="B46" s="25"/>
      <c r="C46" s="26"/>
      <c r="D46" s="27"/>
      <c r="E46" s="81" t="str">
        <f t="shared" si="12"/>
        <v>도)찍먹탕수육2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0</v>
      </c>
      <c r="R46" s="216"/>
      <c r="S46" s="216"/>
      <c r="T46" s="217">
        <f t="shared" si="15"/>
        <v>0</v>
      </c>
      <c r="U46" s="217"/>
      <c r="V46" s="217"/>
      <c r="W46" s="218">
        <f t="shared" si="16"/>
        <v>0</v>
      </c>
      <c r="X46" s="218"/>
      <c r="Y46" s="218"/>
      <c r="Z46" s="218"/>
      <c r="AA46" s="78">
        <f t="shared" si="17"/>
        <v>46318</v>
      </c>
      <c r="AB46" s="79"/>
      <c r="AC46" s="79"/>
      <c r="AD46" s="79"/>
      <c r="AE46" s="79"/>
      <c r="AF46" s="79"/>
      <c r="AG46" s="79"/>
      <c r="AH46" s="80"/>
    </row>
    <row r="47" spans="2:34" ht="21" customHeight="1" x14ac:dyDescent="0.15">
      <c r="B47" s="25"/>
      <c r="C47" s="26"/>
      <c r="D47" s="27"/>
      <c r="E47" s="81" t="str">
        <f t="shared" si="12"/>
        <v>도)치맥아보트러플치킨2</v>
      </c>
      <c r="F47" s="82"/>
      <c r="G47" s="82"/>
      <c r="H47" s="82"/>
      <c r="I47" s="82"/>
      <c r="J47" s="82"/>
      <c r="K47" s="82"/>
      <c r="L47" s="82"/>
      <c r="M47" s="83">
        <f t="shared" si="13"/>
        <v>32</v>
      </c>
      <c r="N47" s="83"/>
      <c r="O47" s="83"/>
      <c r="P47" s="83"/>
      <c r="Q47" s="216">
        <f t="shared" si="14"/>
        <v>0</v>
      </c>
      <c r="R47" s="216"/>
      <c r="S47" s="216"/>
      <c r="T47" s="217">
        <f t="shared" si="15"/>
        <v>0</v>
      </c>
      <c r="U47" s="217"/>
      <c r="V47" s="217"/>
      <c r="W47" s="218">
        <f t="shared" si="16"/>
        <v>0</v>
      </c>
      <c r="X47" s="218"/>
      <c r="Y47" s="218"/>
      <c r="Z47" s="218"/>
      <c r="AA47" s="78">
        <f t="shared" si="17"/>
        <v>46318</v>
      </c>
      <c r="AB47" s="79"/>
      <c r="AC47" s="79"/>
      <c r="AD47" s="79"/>
      <c r="AE47" s="79"/>
      <c r="AF47" s="79"/>
      <c r="AG47" s="79"/>
      <c r="AH47" s="80"/>
    </row>
    <row r="48" spans="2:34" ht="21" customHeight="1" x14ac:dyDescent="0.15">
      <c r="B48" s="25"/>
      <c r="C48" s="26"/>
      <c r="D48" s="27"/>
      <c r="E48" s="81" t="str">
        <f t="shared" si="12"/>
        <v>도)치즈매콤닭강정감자2</v>
      </c>
      <c r="F48" s="82"/>
      <c r="G48" s="82"/>
      <c r="H48" s="82"/>
      <c r="I48" s="82"/>
      <c r="J48" s="82"/>
      <c r="K48" s="82"/>
      <c r="L48" s="82"/>
      <c r="M48" s="83">
        <f t="shared" si="13"/>
        <v>30</v>
      </c>
      <c r="N48" s="83"/>
      <c r="O48" s="83"/>
      <c r="P48" s="83"/>
      <c r="Q48" s="216">
        <f t="shared" si="14"/>
        <v>1</v>
      </c>
      <c r="R48" s="216"/>
      <c r="S48" s="216"/>
      <c r="T48" s="217">
        <f t="shared" si="15"/>
        <v>0</v>
      </c>
      <c r="U48" s="217"/>
      <c r="V48" s="217"/>
      <c r="W48" s="218">
        <f t="shared" si="16"/>
        <v>1</v>
      </c>
      <c r="X48" s="218"/>
      <c r="Y48" s="218"/>
      <c r="Z48" s="218"/>
      <c r="AA48" s="78">
        <f t="shared" si="17"/>
        <v>46318</v>
      </c>
      <c r="AB48" s="79"/>
      <c r="AC48" s="79"/>
      <c r="AD48" s="79"/>
      <c r="AE48" s="79"/>
      <c r="AF48" s="79"/>
      <c r="AG48" s="79"/>
      <c r="AH48" s="80"/>
    </row>
    <row r="49" spans="2:34" ht="21" customHeight="1" x14ac:dyDescent="0.15">
      <c r="B49" s="25"/>
      <c r="C49" s="26"/>
      <c r="D49" s="27"/>
      <c r="E49" s="81" t="str">
        <f t="shared" si="12"/>
        <v>도)치즈청양간장닭강정2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6</v>
      </c>
      <c r="R49" s="216"/>
      <c r="S49" s="216"/>
      <c r="T49" s="217">
        <f t="shared" si="15"/>
        <v>0</v>
      </c>
      <c r="U49" s="217"/>
      <c r="V49" s="217"/>
      <c r="W49" s="218">
        <f t="shared" si="16"/>
        <v>6</v>
      </c>
      <c r="X49" s="218"/>
      <c r="Y49" s="218"/>
      <c r="Z49" s="218"/>
      <c r="AA49" s="78">
        <f t="shared" si="17"/>
        <v>46319</v>
      </c>
      <c r="AB49" s="79"/>
      <c r="AC49" s="79"/>
      <c r="AD49" s="79"/>
      <c r="AE49" s="79"/>
      <c r="AF49" s="79"/>
      <c r="AG49" s="79"/>
      <c r="AH49" s="80"/>
    </row>
    <row r="50" spans="2:34" ht="21" customHeight="1" x14ac:dyDescent="0.15">
      <c r="B50" s="25"/>
      <c r="C50" s="26"/>
      <c r="D50" s="27"/>
      <c r="E50" s="81" t="str">
        <f t="shared" si="12"/>
        <v>도)쿵야반반닭강정팩2</v>
      </c>
      <c r="F50" s="82"/>
      <c r="G50" s="82"/>
      <c r="H50" s="82"/>
      <c r="I50" s="82"/>
      <c r="J50" s="82"/>
      <c r="K50" s="82"/>
      <c r="L50" s="82"/>
      <c r="M50" s="83">
        <f t="shared" si="13"/>
        <v>36</v>
      </c>
      <c r="N50" s="83"/>
      <c r="O50" s="83"/>
      <c r="P50" s="83"/>
      <c r="Q50" s="216">
        <f t="shared" si="14"/>
        <v>3</v>
      </c>
      <c r="R50" s="216"/>
      <c r="S50" s="216"/>
      <c r="T50" s="217">
        <f t="shared" si="15"/>
        <v>0</v>
      </c>
      <c r="U50" s="217"/>
      <c r="V50" s="217"/>
      <c r="W50" s="218">
        <f t="shared" si="16"/>
        <v>3</v>
      </c>
      <c r="X50" s="218"/>
      <c r="Y50" s="218"/>
      <c r="Z50" s="218"/>
      <c r="AA50" s="78">
        <f t="shared" si="17"/>
        <v>46318</v>
      </c>
      <c r="AB50" s="79"/>
      <c r="AC50" s="79"/>
      <c r="AD50" s="79"/>
      <c r="AE50" s="79"/>
      <c r="AF50" s="79"/>
      <c r="AG50" s="79"/>
      <c r="AH50" s="80"/>
    </row>
    <row r="51" spans="2:34" ht="21" customHeight="1" x14ac:dyDescent="0.15">
      <c r="B51" s="20"/>
      <c r="C51" s="21"/>
      <c r="D51" s="22"/>
      <c r="E51" s="81" t="str">
        <f t="shared" ref="E51" si="18">E23</f>
        <v>APP)치맥아보트러플치킨2</v>
      </c>
      <c r="F51" s="82"/>
      <c r="G51" s="82"/>
      <c r="H51" s="82"/>
      <c r="I51" s="82"/>
      <c r="J51" s="82"/>
      <c r="K51" s="82"/>
      <c r="L51" s="82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78">
        <f t="shared" si="17"/>
        <v>46318</v>
      </c>
      <c r="AB51" s="79"/>
      <c r="AC51" s="79"/>
      <c r="AD51" s="79"/>
      <c r="AE51" s="79"/>
      <c r="AF51" s="79"/>
      <c r="AG51" s="79"/>
      <c r="AH51" s="80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73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25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제주특별자치도 서귀포시 토평공단로155번길 45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25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H14">
    <cfRule type="expression" dxfId="243" priority="3101">
      <formula>Q13:S26=0</formula>
    </cfRule>
  </conditionalFormatting>
  <conditionalFormatting sqref="AA15:AH16">
    <cfRule type="expression" dxfId="242" priority="5">
      <formula>Q15:S26=0</formula>
    </cfRule>
  </conditionalFormatting>
  <conditionalFormatting sqref="AA17:AH18">
    <cfRule type="expression" dxfId="241" priority="3099">
      <formula>Q17:S27=0</formula>
    </cfRule>
  </conditionalFormatting>
  <conditionalFormatting sqref="AA19:AH21">
    <cfRule type="expression" dxfId="240" priority="2">
      <formula>Q19:S28=0</formula>
    </cfRule>
  </conditionalFormatting>
  <conditionalFormatting sqref="AA22:AH22">
    <cfRule type="expression" dxfId="239" priority="2470">
      <formula>Q22:S29=0</formula>
    </cfRule>
  </conditionalFormatting>
  <conditionalFormatting sqref="AA23:AH23">
    <cfRule type="expression" dxfId="238" priority="7">
      <formula>Q23:S31=0</formula>
    </cfRule>
  </conditionalFormatting>
  <conditionalFormatting sqref="AA24:AH24">
    <cfRule type="expression" dxfId="237" priority="28">
      <formula>Q24:S24=0</formula>
    </cfRule>
  </conditionalFormatting>
  <conditionalFormatting sqref="AA41:AH51">
    <cfRule type="expression" dxfId="236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36 W53 B2:B4 C38 C2:F3 C34 D28:F31 B28:C32 W26 H2:K5 G2:G6 M2:P5 Q2:AH11 L2:L6 G36:L39 N36:P39 H28:K33 G28:G34 Q28:AH39 M28:P33 L28:L34 C12:D12 C40:D40 E25:M25 N8:P11 C8 C6 C10 C4 G8:L11 C14:D24 E12:E24 M8:M24 Q13:Q24 AA12:AA23 B12:B26 T13:T24 B40:B53 C42:D51 Q41:Q51 E40:E52 M36:M52 T41:T51 AA40:AA51" xr:uid="{4B495B49-617E-4268-8D78-438FC3321635}"/>
  </dataValidations>
  <printOptions horizontalCentered="1"/>
  <pageMargins left="0" right="0" top="0.11811023622047245" bottom="0" header="0" footer="0"/>
  <pageSetup paperSize="9" scale="84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3A4D-94F8-44CD-B9D8-0E85492BBE20}">
  <sheetPr>
    <tabColor rgb="FFAC75D5"/>
    <pageSetUpPr fitToPage="1"/>
  </sheetPr>
  <dimension ref="B1:AH54"/>
  <sheetViews>
    <sheetView topLeftCell="A11" zoomScale="85" zoomScaleNormal="85" workbookViewId="0">
      <selection activeCell="Q24" sqref="Q24:S2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33" width="2.33203125" style="1"/>
    <col min="34" max="34" width="2.33203125" style="1" customWidth="1"/>
    <col min="35" max="16384" width="2.33203125" style="1"/>
  </cols>
  <sheetData>
    <row r="1" spans="2:34" ht="14.25" thickBot="1" x14ac:dyDescent="0.2">
      <c r="B1" s="3" t="s">
        <v>56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56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57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4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4</v>
      </c>
      <c r="X13" s="100"/>
      <c r="Y13" s="100"/>
      <c r="Z13" s="101"/>
      <c r="AA13" s="72">
        <f>B13+5</f>
        <v>46319</v>
      </c>
      <c r="AB13" s="73"/>
      <c r="AC13" s="73"/>
      <c r="AD13" s="73"/>
      <c r="AE13" s="73"/>
      <c r="AF13" s="73"/>
      <c r="AG13" s="73"/>
      <c r="AH13" s="74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54</v>
      </c>
      <c r="R14" s="96"/>
      <c r="S14" s="97"/>
      <c r="T14" s="98">
        <f t="shared" ref="T14:T19" si="2">IFERROR(ROUNDDOWN(Q14/M14,0),"")</f>
        <v>1</v>
      </c>
      <c r="U14" s="84"/>
      <c r="V14" s="84"/>
      <c r="W14" s="99">
        <f t="shared" ref="W14:W19" si="3">IFERROR(Q14-(T14*M14),"")</f>
        <v>24</v>
      </c>
      <c r="X14" s="100"/>
      <c r="Y14" s="100"/>
      <c r="Z14" s="101"/>
      <c r="AA14" s="72">
        <f>B13+5</f>
        <v>46319</v>
      </c>
      <c r="AB14" s="73"/>
      <c r="AC14" s="73"/>
      <c r="AD14" s="73"/>
      <c r="AE14" s="73"/>
      <c r="AF14" s="73"/>
      <c r="AG14" s="73"/>
      <c r="AH14" s="74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13</v>
      </c>
      <c r="R15" s="96"/>
      <c r="S15" s="97"/>
      <c r="T15" s="98">
        <f t="shared" si="2"/>
        <v>0</v>
      </c>
      <c r="U15" s="84"/>
      <c r="V15" s="84"/>
      <c r="W15" s="99">
        <f t="shared" si="3"/>
        <v>13</v>
      </c>
      <c r="X15" s="100"/>
      <c r="Y15" s="100"/>
      <c r="Z15" s="101"/>
      <c r="AA15" s="72">
        <f>B13+5-1</f>
        <v>46318</v>
      </c>
      <c r="AB15" s="73"/>
      <c r="AC15" s="73"/>
      <c r="AD15" s="73"/>
      <c r="AE15" s="73"/>
      <c r="AF15" s="73"/>
      <c r="AG15" s="73"/>
      <c r="AH15" s="74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17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17</v>
      </c>
      <c r="X16" s="100"/>
      <c r="Y16" s="100"/>
      <c r="Z16" s="101"/>
      <c r="AA16" s="72">
        <f>B13+5-1</f>
        <v>46318</v>
      </c>
      <c r="AB16" s="73"/>
      <c r="AC16" s="73"/>
      <c r="AD16" s="73"/>
      <c r="AE16" s="73"/>
      <c r="AF16" s="73"/>
      <c r="AG16" s="73"/>
      <c r="AH16" s="74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1</v>
      </c>
      <c r="R17" s="96"/>
      <c r="S17" s="97"/>
      <c r="T17" s="98">
        <f t="shared" si="2"/>
        <v>0</v>
      </c>
      <c r="U17" s="84"/>
      <c r="V17" s="84"/>
      <c r="W17" s="99">
        <f t="shared" si="3"/>
        <v>1</v>
      </c>
      <c r="X17" s="100"/>
      <c r="Y17" s="100"/>
      <c r="Z17" s="101"/>
      <c r="AA17" s="72">
        <f>B13+4</f>
        <v>46318</v>
      </c>
      <c r="AB17" s="73"/>
      <c r="AC17" s="73"/>
      <c r="AD17" s="73"/>
      <c r="AE17" s="73"/>
      <c r="AF17" s="73"/>
      <c r="AG17" s="73"/>
      <c r="AH17" s="74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1</v>
      </c>
      <c r="R18" s="96"/>
      <c r="S18" s="97"/>
      <c r="T18" s="98">
        <f t="shared" si="2"/>
        <v>0</v>
      </c>
      <c r="U18" s="84"/>
      <c r="V18" s="84"/>
      <c r="W18" s="99">
        <f t="shared" si="3"/>
        <v>1</v>
      </c>
      <c r="X18" s="100"/>
      <c r="Y18" s="100"/>
      <c r="Z18" s="101"/>
      <c r="AA18" s="72">
        <f>B13+4</f>
        <v>46318</v>
      </c>
      <c r="AB18" s="73"/>
      <c r="AC18" s="73"/>
      <c r="AD18" s="73"/>
      <c r="AE18" s="73"/>
      <c r="AF18" s="73"/>
      <c r="AG18" s="73"/>
      <c r="AH18" s="74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8</v>
      </c>
      <c r="R19" s="96"/>
      <c r="S19" s="97"/>
      <c r="T19" s="98">
        <f t="shared" si="2"/>
        <v>0</v>
      </c>
      <c r="U19" s="84"/>
      <c r="V19" s="84"/>
      <c r="W19" s="99">
        <f t="shared" si="3"/>
        <v>8</v>
      </c>
      <c r="X19" s="100"/>
      <c r="Y19" s="100"/>
      <c r="Z19" s="101"/>
      <c r="AA19" s="72">
        <f>B13+4</f>
        <v>46318</v>
      </c>
      <c r="AB19" s="73"/>
      <c r="AC19" s="73"/>
      <c r="AD19" s="73"/>
      <c r="AE19" s="73"/>
      <c r="AF19" s="73"/>
      <c r="AG19" s="73"/>
      <c r="AH19" s="74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2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2</v>
      </c>
      <c r="X20" s="100"/>
      <c r="Y20" s="100"/>
      <c r="Z20" s="101"/>
      <c r="AA20" s="72">
        <f>B13+4</f>
        <v>46318</v>
      </c>
      <c r="AB20" s="73"/>
      <c r="AC20" s="73"/>
      <c r="AD20" s="73"/>
      <c r="AE20" s="73"/>
      <c r="AF20" s="73"/>
      <c r="AG20" s="73"/>
      <c r="AH20" s="74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15</v>
      </c>
      <c r="R21" s="96"/>
      <c r="S21" s="97"/>
      <c r="T21" s="98">
        <f t="shared" ref="T21" si="8">IFERROR(ROUNDDOWN(Q21/M21,0),"")</f>
        <v>0</v>
      </c>
      <c r="U21" s="84"/>
      <c r="V21" s="84"/>
      <c r="W21" s="99">
        <f t="shared" ref="W21" si="9">IFERROR(Q21-(T21*M21),"")</f>
        <v>15</v>
      </c>
      <c r="X21" s="100"/>
      <c r="Y21" s="100"/>
      <c r="Z21" s="101"/>
      <c r="AA21" s="72">
        <f>B13+5</f>
        <v>46319</v>
      </c>
      <c r="AB21" s="73"/>
      <c r="AC21" s="73"/>
      <c r="AD21" s="73"/>
      <c r="AE21" s="73"/>
      <c r="AF21" s="73"/>
      <c r="AG21" s="73"/>
      <c r="AH21" s="74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7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7</v>
      </c>
      <c r="X22" s="100"/>
      <c r="Y22" s="100"/>
      <c r="Z22" s="101"/>
      <c r="AA22" s="72">
        <f>B13+4</f>
        <v>46318</v>
      </c>
      <c r="AB22" s="73"/>
      <c r="AC22" s="73"/>
      <c r="AD22" s="73"/>
      <c r="AE22" s="73"/>
      <c r="AF22" s="73"/>
      <c r="AG22" s="73"/>
      <c r="AH22" s="74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72">
        <f>B13+4</f>
        <v>46318</v>
      </c>
      <c r="AB23" s="73"/>
      <c r="AC23" s="73"/>
      <c r="AD23" s="73"/>
      <c r="AE23" s="73"/>
      <c r="AF23" s="73"/>
      <c r="AG23" s="73"/>
      <c r="AH23" s="74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122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25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tr">
        <f>G8</f>
        <v xml:space="preserve">강원도 강릉시 사천면 과학단지로 137-49  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25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BGF로지스강릉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강원도 강릉시 사천면 과학단지로 137-49 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4</v>
      </c>
      <c r="R41" s="216"/>
      <c r="S41" s="216"/>
      <c r="T41" s="217">
        <f>T13</f>
        <v>0</v>
      </c>
      <c r="U41" s="217"/>
      <c r="V41" s="217"/>
      <c r="W41" s="218">
        <f>W13</f>
        <v>4</v>
      </c>
      <c r="X41" s="218"/>
      <c r="Y41" s="218"/>
      <c r="Z41" s="218"/>
      <c r="AA41" s="78">
        <f>AA13</f>
        <v>46319</v>
      </c>
      <c r="AB41" s="79"/>
      <c r="AC41" s="79"/>
      <c r="AD41" s="79"/>
      <c r="AE41" s="79"/>
      <c r="AF41" s="79"/>
      <c r="AG41" s="79"/>
      <c r="AH41" s="80"/>
    </row>
    <row r="42" spans="2:34" ht="21" customHeight="1" x14ac:dyDescent="0.15">
      <c r="B42" s="20"/>
      <c r="C42" s="21"/>
      <c r="D42" s="22"/>
      <c r="E42" s="81" t="str">
        <f t="shared" ref="E42:E50" si="12">E14</f>
        <v>도)리얼모짜치즈돈까스2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30</v>
      </c>
      <c r="N42" s="83"/>
      <c r="O42" s="83"/>
      <c r="P42" s="83"/>
      <c r="Q42" s="216">
        <f t="shared" ref="Q42:Q51" si="14">Q14</f>
        <v>54</v>
      </c>
      <c r="R42" s="216"/>
      <c r="S42" s="216"/>
      <c r="T42" s="217">
        <f t="shared" ref="T42:T51" si="15">T14</f>
        <v>1</v>
      </c>
      <c r="U42" s="217"/>
      <c r="V42" s="217"/>
      <c r="W42" s="218">
        <f t="shared" ref="W42:W50" si="16">W14</f>
        <v>24</v>
      </c>
      <c r="X42" s="218"/>
      <c r="Y42" s="218"/>
      <c r="Z42" s="218"/>
      <c r="AA42" s="78">
        <f t="shared" ref="AA42:AA51" si="17">AA14</f>
        <v>46319</v>
      </c>
      <c r="AB42" s="79"/>
      <c r="AC42" s="79"/>
      <c r="AD42" s="79"/>
      <c r="AE42" s="79"/>
      <c r="AF42" s="79"/>
      <c r="AG42" s="79"/>
      <c r="AH42" s="80"/>
    </row>
    <row r="43" spans="2:34" ht="20.25" customHeight="1" x14ac:dyDescent="0.15">
      <c r="B43" s="20"/>
      <c r="C43" s="21"/>
      <c r="D43" s="22"/>
      <c r="E43" s="81" t="str">
        <f t="shared" si="12"/>
        <v>도)리얼치즈고구마돈까스2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13</v>
      </c>
      <c r="R43" s="216"/>
      <c r="S43" s="216"/>
      <c r="T43" s="217">
        <f t="shared" si="15"/>
        <v>0</v>
      </c>
      <c r="U43" s="217"/>
      <c r="V43" s="217"/>
      <c r="W43" s="218">
        <f t="shared" si="16"/>
        <v>13</v>
      </c>
      <c r="X43" s="218"/>
      <c r="Y43" s="218"/>
      <c r="Z43" s="218"/>
      <c r="AA43" s="78">
        <f t="shared" si="17"/>
        <v>46318</v>
      </c>
      <c r="AB43" s="79"/>
      <c r="AC43" s="79"/>
      <c r="AD43" s="79"/>
      <c r="AE43" s="79"/>
      <c r="AF43" s="79"/>
      <c r="AG43" s="79"/>
      <c r="AH43" s="80"/>
    </row>
    <row r="44" spans="2:34" ht="20.25" customHeight="1" x14ac:dyDescent="0.15">
      <c r="B44" s="20"/>
      <c r="C44" s="21"/>
      <c r="D44" s="22"/>
      <c r="E44" s="81" t="str">
        <f t="shared" si="12"/>
        <v>도)윙봉칠리탕수득템2</v>
      </c>
      <c r="F44" s="82"/>
      <c r="G44" s="82"/>
      <c r="H44" s="82"/>
      <c r="I44" s="82"/>
      <c r="J44" s="82"/>
      <c r="K44" s="82"/>
      <c r="L44" s="82"/>
      <c r="M44" s="83">
        <f t="shared" si="13"/>
        <v>36</v>
      </c>
      <c r="N44" s="83"/>
      <c r="O44" s="83"/>
      <c r="P44" s="83"/>
      <c r="Q44" s="216">
        <f t="shared" si="14"/>
        <v>17</v>
      </c>
      <c r="R44" s="216"/>
      <c r="S44" s="216"/>
      <c r="T44" s="217">
        <f t="shared" si="15"/>
        <v>0</v>
      </c>
      <c r="U44" s="217"/>
      <c r="V44" s="217"/>
      <c r="W44" s="218">
        <f t="shared" si="16"/>
        <v>17</v>
      </c>
      <c r="X44" s="218"/>
      <c r="Y44" s="218"/>
      <c r="Z44" s="218"/>
      <c r="AA44" s="78">
        <f t="shared" si="17"/>
        <v>46318</v>
      </c>
      <c r="AB44" s="79"/>
      <c r="AC44" s="79"/>
      <c r="AD44" s="79"/>
      <c r="AE44" s="79"/>
      <c r="AF44" s="79"/>
      <c r="AG44" s="79"/>
      <c r="AH44" s="80"/>
    </row>
    <row r="45" spans="2:34" ht="20.25" customHeight="1" x14ac:dyDescent="0.15">
      <c r="B45" s="20"/>
      <c r="C45" s="21"/>
      <c r="D45" s="22"/>
      <c r="E45" s="81" t="str">
        <f t="shared" si="12"/>
        <v>도)찍먹윙봉2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1</v>
      </c>
      <c r="R45" s="216"/>
      <c r="S45" s="216"/>
      <c r="T45" s="217">
        <f t="shared" si="15"/>
        <v>0</v>
      </c>
      <c r="U45" s="217"/>
      <c r="V45" s="217"/>
      <c r="W45" s="218">
        <f t="shared" si="16"/>
        <v>1</v>
      </c>
      <c r="X45" s="218"/>
      <c r="Y45" s="218"/>
      <c r="Z45" s="218"/>
      <c r="AA45" s="78">
        <f t="shared" si="17"/>
        <v>46318</v>
      </c>
      <c r="AB45" s="79"/>
      <c r="AC45" s="79"/>
      <c r="AD45" s="79"/>
      <c r="AE45" s="79"/>
      <c r="AF45" s="79"/>
      <c r="AG45" s="79"/>
      <c r="AH45" s="80"/>
    </row>
    <row r="46" spans="2:34" ht="21" customHeight="1" x14ac:dyDescent="0.15">
      <c r="B46" s="25"/>
      <c r="C46" s="26"/>
      <c r="D46" s="27"/>
      <c r="E46" s="81" t="str">
        <f t="shared" si="12"/>
        <v>도)찍먹탕수육2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1</v>
      </c>
      <c r="R46" s="216"/>
      <c r="S46" s="216"/>
      <c r="T46" s="217">
        <f t="shared" si="15"/>
        <v>0</v>
      </c>
      <c r="U46" s="217"/>
      <c r="V46" s="217"/>
      <c r="W46" s="218">
        <f t="shared" si="16"/>
        <v>1</v>
      </c>
      <c r="X46" s="218"/>
      <c r="Y46" s="218"/>
      <c r="Z46" s="218"/>
      <c r="AA46" s="78">
        <f t="shared" si="17"/>
        <v>46318</v>
      </c>
      <c r="AB46" s="79"/>
      <c r="AC46" s="79"/>
      <c r="AD46" s="79"/>
      <c r="AE46" s="79"/>
      <c r="AF46" s="79"/>
      <c r="AG46" s="79"/>
      <c r="AH46" s="80"/>
    </row>
    <row r="47" spans="2:34" ht="21" customHeight="1" x14ac:dyDescent="0.15">
      <c r="B47" s="25"/>
      <c r="C47" s="26"/>
      <c r="D47" s="27"/>
      <c r="E47" s="81" t="str">
        <f t="shared" si="12"/>
        <v>도)치맥아보트러플치킨2</v>
      </c>
      <c r="F47" s="82"/>
      <c r="G47" s="82"/>
      <c r="H47" s="82"/>
      <c r="I47" s="82"/>
      <c r="J47" s="82"/>
      <c r="K47" s="82"/>
      <c r="L47" s="82"/>
      <c r="M47" s="83">
        <f t="shared" si="13"/>
        <v>32</v>
      </c>
      <c r="N47" s="83"/>
      <c r="O47" s="83"/>
      <c r="P47" s="83"/>
      <c r="Q47" s="216">
        <f t="shared" si="14"/>
        <v>8</v>
      </c>
      <c r="R47" s="216"/>
      <c r="S47" s="216"/>
      <c r="T47" s="217">
        <f t="shared" si="15"/>
        <v>0</v>
      </c>
      <c r="U47" s="217"/>
      <c r="V47" s="217"/>
      <c r="W47" s="218">
        <f t="shared" si="16"/>
        <v>8</v>
      </c>
      <c r="X47" s="218"/>
      <c r="Y47" s="218"/>
      <c r="Z47" s="218"/>
      <c r="AA47" s="78">
        <f t="shared" si="17"/>
        <v>46318</v>
      </c>
      <c r="AB47" s="79"/>
      <c r="AC47" s="79"/>
      <c r="AD47" s="79"/>
      <c r="AE47" s="79"/>
      <c r="AF47" s="79"/>
      <c r="AG47" s="79"/>
      <c r="AH47" s="80"/>
    </row>
    <row r="48" spans="2:34" ht="21" customHeight="1" x14ac:dyDescent="0.15">
      <c r="B48" s="25"/>
      <c r="C48" s="26"/>
      <c r="D48" s="27"/>
      <c r="E48" s="81" t="str">
        <f t="shared" si="12"/>
        <v>도)치즈매콤닭강정감자2</v>
      </c>
      <c r="F48" s="82"/>
      <c r="G48" s="82"/>
      <c r="H48" s="82"/>
      <c r="I48" s="82"/>
      <c r="J48" s="82"/>
      <c r="K48" s="82"/>
      <c r="L48" s="82"/>
      <c r="M48" s="83">
        <f t="shared" si="13"/>
        <v>30</v>
      </c>
      <c r="N48" s="83"/>
      <c r="O48" s="83"/>
      <c r="P48" s="83"/>
      <c r="Q48" s="216">
        <f t="shared" si="14"/>
        <v>2</v>
      </c>
      <c r="R48" s="216"/>
      <c r="S48" s="216"/>
      <c r="T48" s="217">
        <f t="shared" si="15"/>
        <v>0</v>
      </c>
      <c r="U48" s="217"/>
      <c r="V48" s="217"/>
      <c r="W48" s="218">
        <f t="shared" si="16"/>
        <v>2</v>
      </c>
      <c r="X48" s="218"/>
      <c r="Y48" s="218"/>
      <c r="Z48" s="218"/>
      <c r="AA48" s="78">
        <f t="shared" si="17"/>
        <v>46318</v>
      </c>
      <c r="AB48" s="79"/>
      <c r="AC48" s="79"/>
      <c r="AD48" s="79"/>
      <c r="AE48" s="79"/>
      <c r="AF48" s="79"/>
      <c r="AG48" s="79"/>
      <c r="AH48" s="80"/>
    </row>
    <row r="49" spans="2:34" ht="21" customHeight="1" x14ac:dyDescent="0.15">
      <c r="B49" s="25"/>
      <c r="C49" s="26"/>
      <c r="D49" s="27"/>
      <c r="E49" s="81" t="str">
        <f t="shared" si="12"/>
        <v>도)치즈청양간장닭강정2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15</v>
      </c>
      <c r="R49" s="216"/>
      <c r="S49" s="216"/>
      <c r="T49" s="217">
        <f t="shared" si="15"/>
        <v>0</v>
      </c>
      <c r="U49" s="217"/>
      <c r="V49" s="217"/>
      <c r="W49" s="218">
        <f t="shared" si="16"/>
        <v>15</v>
      </c>
      <c r="X49" s="218"/>
      <c r="Y49" s="218"/>
      <c r="Z49" s="218"/>
      <c r="AA49" s="78">
        <f t="shared" si="17"/>
        <v>46319</v>
      </c>
      <c r="AB49" s="79"/>
      <c r="AC49" s="79"/>
      <c r="AD49" s="79"/>
      <c r="AE49" s="79"/>
      <c r="AF49" s="79"/>
      <c r="AG49" s="79"/>
      <c r="AH49" s="80"/>
    </row>
    <row r="50" spans="2:34" ht="21" customHeight="1" x14ac:dyDescent="0.15">
      <c r="B50" s="25"/>
      <c r="C50" s="26"/>
      <c r="D50" s="27"/>
      <c r="E50" s="81" t="str">
        <f t="shared" si="12"/>
        <v>도)쿵야반반닭강정팩2</v>
      </c>
      <c r="F50" s="82"/>
      <c r="G50" s="82"/>
      <c r="H50" s="82"/>
      <c r="I50" s="82"/>
      <c r="J50" s="82"/>
      <c r="K50" s="82"/>
      <c r="L50" s="82"/>
      <c r="M50" s="83">
        <f t="shared" si="13"/>
        <v>36</v>
      </c>
      <c r="N50" s="83"/>
      <c r="O50" s="83"/>
      <c r="P50" s="83"/>
      <c r="Q50" s="216">
        <f t="shared" si="14"/>
        <v>7</v>
      </c>
      <c r="R50" s="216"/>
      <c r="S50" s="216"/>
      <c r="T50" s="217">
        <f t="shared" si="15"/>
        <v>0</v>
      </c>
      <c r="U50" s="217"/>
      <c r="V50" s="217"/>
      <c r="W50" s="218">
        <f t="shared" si="16"/>
        <v>7</v>
      </c>
      <c r="X50" s="218"/>
      <c r="Y50" s="218"/>
      <c r="Z50" s="218"/>
      <c r="AA50" s="78">
        <f t="shared" si="17"/>
        <v>46318</v>
      </c>
      <c r="AB50" s="79"/>
      <c r="AC50" s="79"/>
      <c r="AD50" s="79"/>
      <c r="AE50" s="79"/>
      <c r="AF50" s="79"/>
      <c r="AG50" s="79"/>
      <c r="AH50" s="80"/>
    </row>
    <row r="51" spans="2:34" ht="21" customHeight="1" x14ac:dyDescent="0.15">
      <c r="B51" s="20"/>
      <c r="C51" s="21"/>
      <c r="D51" s="22"/>
      <c r="E51" s="81" t="str">
        <f t="shared" ref="E51" si="18">E23</f>
        <v>APP)치맥아보트러플치킨2</v>
      </c>
      <c r="F51" s="82"/>
      <c r="G51" s="82"/>
      <c r="H51" s="82"/>
      <c r="I51" s="82"/>
      <c r="J51" s="82"/>
      <c r="K51" s="82"/>
      <c r="L51" s="82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78">
        <f t="shared" si="17"/>
        <v>46318</v>
      </c>
      <c r="AB51" s="79"/>
      <c r="AC51" s="79"/>
      <c r="AD51" s="79"/>
      <c r="AE51" s="79"/>
      <c r="AF51" s="79"/>
      <c r="AG51" s="79"/>
      <c r="AH51" s="80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122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25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 xml:space="preserve">강원도 강릉시 사천면 과학단지로 137-49  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25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H14">
    <cfRule type="expression" dxfId="235" priority="3097">
      <formula>Q13:S26=0</formula>
    </cfRule>
  </conditionalFormatting>
  <conditionalFormatting sqref="AA15:AH16">
    <cfRule type="expression" dxfId="234" priority="5">
      <formula>Q15:S26=0</formula>
    </cfRule>
  </conditionalFormatting>
  <conditionalFormatting sqref="AA17:AH18">
    <cfRule type="expression" dxfId="233" priority="3095">
      <formula>Q17:S27=0</formula>
    </cfRule>
  </conditionalFormatting>
  <conditionalFormatting sqref="AA19:AH21">
    <cfRule type="expression" dxfId="232" priority="2">
      <formula>Q19:S28=0</formula>
    </cfRule>
  </conditionalFormatting>
  <conditionalFormatting sqref="AA22:AH22">
    <cfRule type="expression" dxfId="231" priority="2467">
      <formula>Q22:S29=0</formula>
    </cfRule>
  </conditionalFormatting>
  <conditionalFormatting sqref="AA23:AH23">
    <cfRule type="expression" dxfId="230" priority="7">
      <formula>Q23:S31=0</formula>
    </cfRule>
  </conditionalFormatting>
  <conditionalFormatting sqref="AA24:AH24">
    <cfRule type="expression" dxfId="229" priority="27">
      <formula>Q24:S24=0</formula>
    </cfRule>
  </conditionalFormatting>
  <conditionalFormatting sqref="AA41:AH51">
    <cfRule type="expression" dxfId="228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Q41:Q51 E40:E52 M36:M52 T41:T51 AA40:AA51" xr:uid="{FC8B277A-E24E-4FB7-95D4-76C8901C9160}"/>
  </dataValidations>
  <printOptions horizontalCentered="1" verticalCentered="1"/>
  <pageMargins left="0" right="0" top="0.11811023622047245" bottom="0" header="0" footer="0"/>
  <pageSetup paperSize="9" scale="84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6C38-1C02-4B7D-B5E2-6CA44F4E2C71}">
  <sheetPr>
    <tabColor theme="9" tint="-0.249977111117893"/>
    <pageSetUpPr fitToPage="1"/>
  </sheetPr>
  <dimension ref="B1:AK54"/>
  <sheetViews>
    <sheetView zoomScale="85" zoomScaleNormal="85" workbookViewId="0">
      <selection activeCell="Q24" sqref="Q24:S2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33" width="2.33203125" style="1"/>
    <col min="34" max="34" width="2.33203125" style="1" customWidth="1"/>
    <col min="35" max="35" width="2.33203125" style="1"/>
    <col min="36" max="36" width="20.88671875" style="1" bestFit="1" customWidth="1"/>
    <col min="37" max="37" width="3.5546875" style="1" bestFit="1" customWidth="1"/>
    <col min="38" max="16384" width="2.33203125" style="1"/>
  </cols>
  <sheetData>
    <row r="1" spans="2:37" ht="14.25" thickBot="1" x14ac:dyDescent="0.2">
      <c r="B1" s="3" t="s">
        <v>26</v>
      </c>
    </row>
    <row r="2" spans="2:37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7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7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7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7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26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7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7" x14ac:dyDescent="0.15">
      <c r="B8" s="110"/>
      <c r="C8" s="113" t="s">
        <v>4</v>
      </c>
      <c r="D8" s="121"/>
      <c r="E8" s="121"/>
      <c r="F8" s="121"/>
      <c r="G8" s="148" t="s">
        <v>27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7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7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7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7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7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5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5</v>
      </c>
      <c r="X13" s="100"/>
      <c r="Y13" s="100"/>
      <c r="Z13" s="101"/>
      <c r="AA13" s="73">
        <f>B13+5</f>
        <v>46319</v>
      </c>
      <c r="AB13" s="84"/>
      <c r="AC13" s="84"/>
      <c r="AD13" s="84"/>
      <c r="AE13" s="84"/>
      <c r="AF13" s="84"/>
      <c r="AG13" s="84"/>
      <c r="AH13" s="85"/>
      <c r="AJ13" s="23"/>
      <c r="AK13"/>
    </row>
    <row r="14" spans="2:37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128</v>
      </c>
      <c r="R14" s="96"/>
      <c r="S14" s="97"/>
      <c r="T14" s="98">
        <f t="shared" ref="T14:T19" si="2">IFERROR(ROUNDDOWN(Q14/M14,0),"")</f>
        <v>4</v>
      </c>
      <c r="U14" s="84"/>
      <c r="V14" s="84"/>
      <c r="W14" s="99">
        <f t="shared" ref="W14:W19" si="3">IFERROR(Q14-(T14*M14),"")</f>
        <v>8</v>
      </c>
      <c r="X14" s="100"/>
      <c r="Y14" s="100"/>
      <c r="Z14" s="101"/>
      <c r="AA14" s="73">
        <f>B13+5</f>
        <v>46319</v>
      </c>
      <c r="AB14" s="84"/>
      <c r="AC14" s="84"/>
      <c r="AD14" s="84"/>
      <c r="AE14" s="84"/>
      <c r="AF14" s="84"/>
      <c r="AG14" s="84"/>
      <c r="AH14" s="85"/>
      <c r="AJ14" s="24"/>
      <c r="AK14"/>
    </row>
    <row r="15" spans="2:37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14</v>
      </c>
      <c r="R15" s="96"/>
      <c r="S15" s="97"/>
      <c r="T15" s="98">
        <f t="shared" si="2"/>
        <v>0</v>
      </c>
      <c r="U15" s="84"/>
      <c r="V15" s="84"/>
      <c r="W15" s="99">
        <f t="shared" si="3"/>
        <v>14</v>
      </c>
      <c r="X15" s="100"/>
      <c r="Y15" s="100"/>
      <c r="Z15" s="101"/>
      <c r="AA15" s="73">
        <f>B13+5-1</f>
        <v>46318</v>
      </c>
      <c r="AB15" s="84"/>
      <c r="AC15" s="84"/>
      <c r="AD15" s="84"/>
      <c r="AE15" s="84"/>
      <c r="AF15" s="84"/>
      <c r="AG15" s="84"/>
      <c r="AH15" s="85"/>
      <c r="AJ15" s="24"/>
      <c r="AK15"/>
    </row>
    <row r="16" spans="2:37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29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29</v>
      </c>
      <c r="X16" s="100"/>
      <c r="Y16" s="100"/>
      <c r="Z16" s="101"/>
      <c r="AA16" s="73">
        <f>B13+5-1</f>
        <v>46318</v>
      </c>
      <c r="AB16" s="84"/>
      <c r="AC16" s="84"/>
      <c r="AD16" s="84"/>
      <c r="AE16" s="84"/>
      <c r="AF16" s="84"/>
      <c r="AG16" s="84"/>
      <c r="AH16" s="85"/>
      <c r="AJ16" s="24"/>
      <c r="AK16"/>
    </row>
    <row r="17" spans="2:37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6</v>
      </c>
      <c r="R17" s="96"/>
      <c r="S17" s="97"/>
      <c r="T17" s="98">
        <f t="shared" si="2"/>
        <v>0</v>
      </c>
      <c r="U17" s="84"/>
      <c r="V17" s="84"/>
      <c r="W17" s="99">
        <f t="shared" si="3"/>
        <v>6</v>
      </c>
      <c r="X17" s="100"/>
      <c r="Y17" s="100"/>
      <c r="Z17" s="101"/>
      <c r="AA17" s="73">
        <f>B13+4</f>
        <v>46318</v>
      </c>
      <c r="AB17" s="84"/>
      <c r="AC17" s="84"/>
      <c r="AD17" s="84"/>
      <c r="AE17" s="84"/>
      <c r="AF17" s="84"/>
      <c r="AG17" s="84"/>
      <c r="AH17" s="85"/>
      <c r="AJ17" s="24"/>
      <c r="AK17"/>
    </row>
    <row r="18" spans="2:37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5</v>
      </c>
      <c r="R18" s="96"/>
      <c r="S18" s="97"/>
      <c r="T18" s="98">
        <f t="shared" si="2"/>
        <v>0</v>
      </c>
      <c r="U18" s="84"/>
      <c r="V18" s="84"/>
      <c r="W18" s="99">
        <f t="shared" si="3"/>
        <v>5</v>
      </c>
      <c r="X18" s="100"/>
      <c r="Y18" s="100"/>
      <c r="Z18" s="101"/>
      <c r="AA18" s="73">
        <f>B13+4</f>
        <v>46318</v>
      </c>
      <c r="AB18" s="84"/>
      <c r="AC18" s="84"/>
      <c r="AD18" s="84"/>
      <c r="AE18" s="84"/>
      <c r="AF18" s="84"/>
      <c r="AG18" s="84"/>
      <c r="AH18" s="85"/>
      <c r="AJ18" s="24"/>
      <c r="AK18"/>
    </row>
    <row r="19" spans="2:37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3</v>
      </c>
      <c r="R19" s="96"/>
      <c r="S19" s="97"/>
      <c r="T19" s="98">
        <f t="shared" si="2"/>
        <v>0</v>
      </c>
      <c r="U19" s="84"/>
      <c r="V19" s="84"/>
      <c r="W19" s="99">
        <f t="shared" si="3"/>
        <v>3</v>
      </c>
      <c r="X19" s="100"/>
      <c r="Y19" s="100"/>
      <c r="Z19" s="101"/>
      <c r="AA19" s="73">
        <f>B13+4</f>
        <v>46318</v>
      </c>
      <c r="AB19" s="84"/>
      <c r="AC19" s="84"/>
      <c r="AD19" s="84"/>
      <c r="AE19" s="84"/>
      <c r="AF19" s="84"/>
      <c r="AG19" s="84"/>
      <c r="AH19" s="85"/>
      <c r="AJ19" s="24"/>
      <c r="AK19"/>
    </row>
    <row r="20" spans="2:37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2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2</v>
      </c>
      <c r="X20" s="100"/>
      <c r="Y20" s="100"/>
      <c r="Z20" s="101"/>
      <c r="AA20" s="73">
        <f>B13+4</f>
        <v>46318</v>
      </c>
      <c r="AB20" s="84"/>
      <c r="AC20" s="84"/>
      <c r="AD20" s="84"/>
      <c r="AE20" s="84"/>
      <c r="AF20" s="84"/>
      <c r="AG20" s="84"/>
      <c r="AH20" s="85"/>
      <c r="AJ20" s="24"/>
      <c r="AK20"/>
    </row>
    <row r="21" spans="2:37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24</v>
      </c>
      <c r="R21" s="96"/>
      <c r="S21" s="97"/>
      <c r="T21" s="98">
        <f t="shared" ref="T21" si="8">IFERROR(ROUNDDOWN(Q21/M21,0),"")</f>
        <v>0</v>
      </c>
      <c r="U21" s="84"/>
      <c r="V21" s="84"/>
      <c r="W21" s="99">
        <f t="shared" ref="W21" si="9">IFERROR(Q21-(T21*M21),"")</f>
        <v>24</v>
      </c>
      <c r="X21" s="100"/>
      <c r="Y21" s="100"/>
      <c r="Z21" s="101"/>
      <c r="AA21" s="73">
        <f>B13+5</f>
        <v>46319</v>
      </c>
      <c r="AB21" s="84"/>
      <c r="AC21" s="84"/>
      <c r="AD21" s="84"/>
      <c r="AE21" s="84"/>
      <c r="AF21" s="84"/>
      <c r="AG21" s="84"/>
      <c r="AH21" s="85"/>
      <c r="AJ21" s="24"/>
      <c r="AK21"/>
    </row>
    <row r="22" spans="2:37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8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8</v>
      </c>
      <c r="X22" s="100"/>
      <c r="Y22" s="100"/>
      <c r="Z22" s="101"/>
      <c r="AA22" s="73">
        <f>B13+4</f>
        <v>46318</v>
      </c>
      <c r="AB22" s="84"/>
      <c r="AC22" s="84"/>
      <c r="AD22" s="84"/>
      <c r="AE22" s="84"/>
      <c r="AF22" s="84"/>
      <c r="AG22" s="84"/>
      <c r="AH22" s="85"/>
      <c r="AJ22" s="24"/>
      <c r="AK22"/>
    </row>
    <row r="23" spans="2:37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73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7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7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224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7" ht="17.25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28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7" ht="17.25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7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7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7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7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7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7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7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하이로지스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7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7" x14ac:dyDescent="0.15">
      <c r="B36" s="203"/>
      <c r="C36" s="75" t="s">
        <v>4</v>
      </c>
      <c r="D36" s="186"/>
      <c r="E36" s="186"/>
      <c r="F36" s="186"/>
      <c r="G36" s="206" t="str">
        <f>G8</f>
        <v xml:space="preserve">전라북도 완주군 봉동읍 
완주산단2로 282-21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7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7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7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7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7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5</v>
      </c>
      <c r="R41" s="216"/>
      <c r="S41" s="216"/>
      <c r="T41" s="217">
        <f>T13</f>
        <v>0</v>
      </c>
      <c r="U41" s="217"/>
      <c r="V41" s="217"/>
      <c r="W41" s="218">
        <f>W13</f>
        <v>5</v>
      </c>
      <c r="X41" s="218"/>
      <c r="Y41" s="218"/>
      <c r="Z41" s="218"/>
      <c r="AA41" s="78">
        <f>AA13</f>
        <v>46319</v>
      </c>
      <c r="AB41" s="79"/>
      <c r="AC41" s="79"/>
      <c r="AD41" s="79"/>
      <c r="AE41" s="79"/>
      <c r="AF41" s="79"/>
      <c r="AG41" s="79"/>
      <c r="AH41" s="80"/>
      <c r="AJ41" s="23"/>
      <c r="AK41"/>
    </row>
    <row r="42" spans="2:37" ht="21" customHeight="1" x14ac:dyDescent="0.15">
      <c r="B42" s="20"/>
      <c r="C42" s="21"/>
      <c r="D42" s="22"/>
      <c r="E42" s="81" t="str">
        <f t="shared" ref="E42:E50" si="12">E14</f>
        <v>도)리얼모짜치즈돈까스2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30</v>
      </c>
      <c r="N42" s="83"/>
      <c r="O42" s="83"/>
      <c r="P42" s="83"/>
      <c r="Q42" s="216">
        <f t="shared" ref="Q42:Q51" si="14">Q14</f>
        <v>128</v>
      </c>
      <c r="R42" s="216"/>
      <c r="S42" s="216"/>
      <c r="T42" s="217">
        <f t="shared" ref="T42:T51" si="15">T14</f>
        <v>4</v>
      </c>
      <c r="U42" s="217"/>
      <c r="V42" s="217"/>
      <c r="W42" s="218">
        <f t="shared" ref="W42:W50" si="16">W14</f>
        <v>8</v>
      </c>
      <c r="X42" s="218"/>
      <c r="Y42" s="218"/>
      <c r="Z42" s="218"/>
      <c r="AA42" s="78">
        <f t="shared" ref="AA42:AA51" si="17">AA14</f>
        <v>46319</v>
      </c>
      <c r="AB42" s="79"/>
      <c r="AC42" s="79"/>
      <c r="AD42" s="79"/>
      <c r="AE42" s="79"/>
      <c r="AF42" s="79"/>
      <c r="AG42" s="79"/>
      <c r="AH42" s="80"/>
      <c r="AJ42" s="24"/>
      <c r="AK42"/>
    </row>
    <row r="43" spans="2:37" ht="20.25" customHeight="1" x14ac:dyDescent="0.15">
      <c r="B43" s="20"/>
      <c r="C43" s="21"/>
      <c r="D43" s="22"/>
      <c r="E43" s="81" t="str">
        <f t="shared" si="12"/>
        <v>도)리얼치즈고구마돈까스2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14</v>
      </c>
      <c r="R43" s="216"/>
      <c r="S43" s="216"/>
      <c r="T43" s="217">
        <f t="shared" si="15"/>
        <v>0</v>
      </c>
      <c r="U43" s="217"/>
      <c r="V43" s="217"/>
      <c r="W43" s="218">
        <f t="shared" si="16"/>
        <v>14</v>
      </c>
      <c r="X43" s="218"/>
      <c r="Y43" s="218"/>
      <c r="Z43" s="218"/>
      <c r="AA43" s="78">
        <f t="shared" si="17"/>
        <v>46318</v>
      </c>
      <c r="AB43" s="79"/>
      <c r="AC43" s="79"/>
      <c r="AD43" s="79"/>
      <c r="AE43" s="79"/>
      <c r="AF43" s="79"/>
      <c r="AG43" s="79"/>
      <c r="AH43" s="80"/>
      <c r="AJ43" s="24"/>
      <c r="AK43"/>
    </row>
    <row r="44" spans="2:37" ht="20.25" customHeight="1" x14ac:dyDescent="0.15">
      <c r="B44" s="20"/>
      <c r="C44" s="21"/>
      <c r="D44" s="22"/>
      <c r="E44" s="81" t="str">
        <f t="shared" si="12"/>
        <v>도)윙봉칠리탕수득템2</v>
      </c>
      <c r="F44" s="82"/>
      <c r="G44" s="82"/>
      <c r="H44" s="82"/>
      <c r="I44" s="82"/>
      <c r="J44" s="82"/>
      <c r="K44" s="82"/>
      <c r="L44" s="82"/>
      <c r="M44" s="83">
        <f t="shared" si="13"/>
        <v>36</v>
      </c>
      <c r="N44" s="83"/>
      <c r="O44" s="83"/>
      <c r="P44" s="83"/>
      <c r="Q44" s="216">
        <f t="shared" si="14"/>
        <v>29</v>
      </c>
      <c r="R44" s="216"/>
      <c r="S44" s="216"/>
      <c r="T44" s="217">
        <f t="shared" si="15"/>
        <v>0</v>
      </c>
      <c r="U44" s="217"/>
      <c r="V44" s="217"/>
      <c r="W44" s="218">
        <f t="shared" si="16"/>
        <v>29</v>
      </c>
      <c r="X44" s="218"/>
      <c r="Y44" s="218"/>
      <c r="Z44" s="218"/>
      <c r="AA44" s="78">
        <f t="shared" si="17"/>
        <v>46318</v>
      </c>
      <c r="AB44" s="79"/>
      <c r="AC44" s="79"/>
      <c r="AD44" s="79"/>
      <c r="AE44" s="79"/>
      <c r="AF44" s="79"/>
      <c r="AG44" s="79"/>
      <c r="AH44" s="80"/>
      <c r="AJ44" s="24"/>
      <c r="AK44"/>
    </row>
    <row r="45" spans="2:37" ht="20.25" customHeight="1" x14ac:dyDescent="0.15">
      <c r="B45" s="20"/>
      <c r="C45" s="21"/>
      <c r="D45" s="22"/>
      <c r="E45" s="81" t="str">
        <f t="shared" si="12"/>
        <v>도)찍먹윙봉2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6</v>
      </c>
      <c r="R45" s="216"/>
      <c r="S45" s="216"/>
      <c r="T45" s="217">
        <f t="shared" si="15"/>
        <v>0</v>
      </c>
      <c r="U45" s="217"/>
      <c r="V45" s="217"/>
      <c r="W45" s="218">
        <f t="shared" si="16"/>
        <v>6</v>
      </c>
      <c r="X45" s="218"/>
      <c r="Y45" s="218"/>
      <c r="Z45" s="218"/>
      <c r="AA45" s="78">
        <f t="shared" si="17"/>
        <v>46318</v>
      </c>
      <c r="AB45" s="79"/>
      <c r="AC45" s="79"/>
      <c r="AD45" s="79"/>
      <c r="AE45" s="79"/>
      <c r="AF45" s="79"/>
      <c r="AG45" s="79"/>
      <c r="AH45" s="80"/>
      <c r="AJ45" s="24"/>
      <c r="AK45"/>
    </row>
    <row r="46" spans="2:37" ht="21" customHeight="1" x14ac:dyDescent="0.15">
      <c r="B46" s="25"/>
      <c r="C46" s="26"/>
      <c r="D46" s="27"/>
      <c r="E46" s="81" t="str">
        <f t="shared" si="12"/>
        <v>도)찍먹탕수육2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5</v>
      </c>
      <c r="R46" s="216"/>
      <c r="S46" s="216"/>
      <c r="T46" s="217">
        <f t="shared" si="15"/>
        <v>0</v>
      </c>
      <c r="U46" s="217"/>
      <c r="V46" s="217"/>
      <c r="W46" s="218">
        <f t="shared" si="16"/>
        <v>5</v>
      </c>
      <c r="X46" s="218"/>
      <c r="Y46" s="218"/>
      <c r="Z46" s="218"/>
      <c r="AA46" s="78">
        <f t="shared" si="17"/>
        <v>46318</v>
      </c>
      <c r="AB46" s="79"/>
      <c r="AC46" s="79"/>
      <c r="AD46" s="79"/>
      <c r="AE46" s="79"/>
      <c r="AF46" s="79"/>
      <c r="AG46" s="79"/>
      <c r="AH46" s="80"/>
      <c r="AJ46"/>
      <c r="AK46"/>
    </row>
    <row r="47" spans="2:37" ht="21" customHeight="1" x14ac:dyDescent="0.15">
      <c r="B47" s="25"/>
      <c r="C47" s="26"/>
      <c r="D47" s="27"/>
      <c r="E47" s="81" t="str">
        <f t="shared" si="12"/>
        <v>도)치맥아보트러플치킨2</v>
      </c>
      <c r="F47" s="82"/>
      <c r="G47" s="82"/>
      <c r="H47" s="82"/>
      <c r="I47" s="82"/>
      <c r="J47" s="82"/>
      <c r="K47" s="82"/>
      <c r="L47" s="82"/>
      <c r="M47" s="83">
        <f t="shared" si="13"/>
        <v>32</v>
      </c>
      <c r="N47" s="83"/>
      <c r="O47" s="83"/>
      <c r="P47" s="83"/>
      <c r="Q47" s="216">
        <f t="shared" si="14"/>
        <v>3</v>
      </c>
      <c r="R47" s="216"/>
      <c r="S47" s="216"/>
      <c r="T47" s="217">
        <f t="shared" si="15"/>
        <v>0</v>
      </c>
      <c r="U47" s="217"/>
      <c r="V47" s="217"/>
      <c r="W47" s="218">
        <f t="shared" si="16"/>
        <v>3</v>
      </c>
      <c r="X47" s="218"/>
      <c r="Y47" s="218"/>
      <c r="Z47" s="218"/>
      <c r="AA47" s="78">
        <f t="shared" si="17"/>
        <v>46318</v>
      </c>
      <c r="AB47" s="79"/>
      <c r="AC47" s="79"/>
      <c r="AD47" s="79"/>
      <c r="AE47" s="79"/>
      <c r="AF47" s="79"/>
      <c r="AG47" s="79"/>
      <c r="AH47" s="80"/>
      <c r="AJ47"/>
      <c r="AK47"/>
    </row>
    <row r="48" spans="2:37" ht="21" customHeight="1" x14ac:dyDescent="0.15">
      <c r="B48" s="25"/>
      <c r="C48" s="26"/>
      <c r="D48" s="27"/>
      <c r="E48" s="81" t="str">
        <f t="shared" si="12"/>
        <v>도)치즈매콤닭강정감자2</v>
      </c>
      <c r="F48" s="82"/>
      <c r="G48" s="82"/>
      <c r="H48" s="82"/>
      <c r="I48" s="82"/>
      <c r="J48" s="82"/>
      <c r="K48" s="82"/>
      <c r="L48" s="82"/>
      <c r="M48" s="83">
        <f t="shared" si="13"/>
        <v>30</v>
      </c>
      <c r="N48" s="83"/>
      <c r="O48" s="83"/>
      <c r="P48" s="83"/>
      <c r="Q48" s="216">
        <f t="shared" si="14"/>
        <v>2</v>
      </c>
      <c r="R48" s="216"/>
      <c r="S48" s="216"/>
      <c r="T48" s="217">
        <f t="shared" si="15"/>
        <v>0</v>
      </c>
      <c r="U48" s="217"/>
      <c r="V48" s="217"/>
      <c r="W48" s="218">
        <f t="shared" si="16"/>
        <v>2</v>
      </c>
      <c r="X48" s="218"/>
      <c r="Y48" s="218"/>
      <c r="Z48" s="218"/>
      <c r="AA48" s="78">
        <f t="shared" si="17"/>
        <v>46318</v>
      </c>
      <c r="AB48" s="79"/>
      <c r="AC48" s="79"/>
      <c r="AD48" s="79"/>
      <c r="AE48" s="79"/>
      <c r="AF48" s="79"/>
      <c r="AG48" s="79"/>
      <c r="AH48" s="80"/>
      <c r="AJ48"/>
      <c r="AK48"/>
    </row>
    <row r="49" spans="2:37" ht="21" customHeight="1" x14ac:dyDescent="0.15">
      <c r="B49" s="25"/>
      <c r="C49" s="26"/>
      <c r="D49" s="27"/>
      <c r="E49" s="81" t="str">
        <f t="shared" si="12"/>
        <v>도)치즈청양간장닭강정2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24</v>
      </c>
      <c r="R49" s="216"/>
      <c r="S49" s="216"/>
      <c r="T49" s="217">
        <f t="shared" si="15"/>
        <v>0</v>
      </c>
      <c r="U49" s="217"/>
      <c r="V49" s="217"/>
      <c r="W49" s="218">
        <f t="shared" si="16"/>
        <v>24</v>
      </c>
      <c r="X49" s="218"/>
      <c r="Y49" s="218"/>
      <c r="Z49" s="218"/>
      <c r="AA49" s="78">
        <f t="shared" si="17"/>
        <v>46319</v>
      </c>
      <c r="AB49" s="79"/>
      <c r="AC49" s="79"/>
      <c r="AD49" s="79"/>
      <c r="AE49" s="79"/>
      <c r="AF49" s="79"/>
      <c r="AG49" s="79"/>
      <c r="AH49" s="80"/>
      <c r="AJ49"/>
      <c r="AK49"/>
    </row>
    <row r="50" spans="2:37" ht="21" customHeight="1" x14ac:dyDescent="0.15">
      <c r="B50" s="25"/>
      <c r="C50" s="26"/>
      <c r="D50" s="27"/>
      <c r="E50" s="81" t="str">
        <f t="shared" si="12"/>
        <v>도)쿵야반반닭강정팩2</v>
      </c>
      <c r="F50" s="82"/>
      <c r="G50" s="82"/>
      <c r="H50" s="82"/>
      <c r="I50" s="82"/>
      <c r="J50" s="82"/>
      <c r="K50" s="82"/>
      <c r="L50" s="82"/>
      <c r="M50" s="83">
        <f t="shared" si="13"/>
        <v>36</v>
      </c>
      <c r="N50" s="83"/>
      <c r="O50" s="83"/>
      <c r="P50" s="83"/>
      <c r="Q50" s="216">
        <f t="shared" si="14"/>
        <v>8</v>
      </c>
      <c r="R50" s="216"/>
      <c r="S50" s="216"/>
      <c r="T50" s="217">
        <f t="shared" si="15"/>
        <v>0</v>
      </c>
      <c r="U50" s="217"/>
      <c r="V50" s="217"/>
      <c r="W50" s="218">
        <f t="shared" si="16"/>
        <v>8</v>
      </c>
      <c r="X50" s="218"/>
      <c r="Y50" s="218"/>
      <c r="Z50" s="218"/>
      <c r="AA50" s="78">
        <f t="shared" si="17"/>
        <v>46318</v>
      </c>
      <c r="AB50" s="79"/>
      <c r="AC50" s="79"/>
      <c r="AD50" s="79"/>
      <c r="AE50" s="79"/>
      <c r="AF50" s="79"/>
      <c r="AG50" s="79"/>
      <c r="AH50" s="80"/>
      <c r="AJ50"/>
      <c r="AK50"/>
    </row>
    <row r="51" spans="2:37" ht="21" customHeight="1" x14ac:dyDescent="0.15">
      <c r="B51" s="20"/>
      <c r="C51" s="21"/>
      <c r="D51" s="22"/>
      <c r="E51" s="81" t="str">
        <f t="shared" ref="E51" si="18">E23</f>
        <v>APP)치맥아보트러플치킨2</v>
      </c>
      <c r="F51" s="82"/>
      <c r="G51" s="82"/>
      <c r="H51" s="82"/>
      <c r="I51" s="82"/>
      <c r="J51" s="82"/>
      <c r="K51" s="82"/>
      <c r="L51" s="82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78">
        <f t="shared" si="17"/>
        <v>46318</v>
      </c>
      <c r="AB51" s="79"/>
      <c r="AC51" s="79"/>
      <c r="AD51" s="79"/>
      <c r="AE51" s="79"/>
      <c r="AF51" s="79"/>
      <c r="AG51" s="79"/>
      <c r="AH51" s="80"/>
    </row>
    <row r="52" spans="2:37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224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7" ht="17.25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전라북도 완주군 봉동읍 
완주산단2로282-21
063)262-8443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7" ht="17.25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H14">
    <cfRule type="expression" dxfId="227" priority="3093">
      <formula>Q13:S26=0</formula>
    </cfRule>
  </conditionalFormatting>
  <conditionalFormatting sqref="AA15:AH16">
    <cfRule type="expression" dxfId="226" priority="5">
      <formula>Q15:S26=0</formula>
    </cfRule>
  </conditionalFormatting>
  <conditionalFormatting sqref="AA17:AH18">
    <cfRule type="expression" dxfId="225" priority="3091">
      <formula>Q17:S27=0</formula>
    </cfRule>
  </conditionalFormatting>
  <conditionalFormatting sqref="AA19:AH21">
    <cfRule type="expression" dxfId="224" priority="2">
      <formula>Q19:S28=0</formula>
    </cfRule>
  </conditionalFormatting>
  <conditionalFormatting sqref="AA22:AH22">
    <cfRule type="expression" dxfId="223" priority="2464">
      <formula>Q22:S29=0</formula>
    </cfRule>
  </conditionalFormatting>
  <conditionalFormatting sqref="AA23:AH23">
    <cfRule type="expression" dxfId="222" priority="7">
      <formula>Q23:S31=0</formula>
    </cfRule>
  </conditionalFormatting>
  <conditionalFormatting sqref="AA24:AH24">
    <cfRule type="expression" dxfId="221" priority="26">
      <formula>Q24:S24=0</formula>
    </cfRule>
  </conditionalFormatting>
  <conditionalFormatting sqref="AA41:AH51">
    <cfRule type="expression" dxfId="220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Q41:Q51 M36:M52 E40:E52 T41:T51 AA40:AA51" xr:uid="{AD472E70-96CA-45DD-93A9-6A94B254A31B}"/>
  </dataValidations>
  <printOptions horizontalCentered="1"/>
  <pageMargins left="0" right="0" top="0.11811023622047245" bottom="0" header="0" footer="0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C6D7-64A7-4160-A02D-3936F9B3DA6E}">
  <sheetPr>
    <tabColor theme="9" tint="-0.249977111117893"/>
    <pageSetUpPr fitToPage="1"/>
  </sheetPr>
  <dimension ref="B1:AH54"/>
  <sheetViews>
    <sheetView topLeftCell="A6" zoomScale="85" zoomScaleNormal="85" workbookViewId="0">
      <selection activeCell="BE40" sqref="BE40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50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50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51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8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8</v>
      </c>
      <c r="X13" s="100"/>
      <c r="Y13" s="100"/>
      <c r="Z13" s="101"/>
      <c r="AA13" s="251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182</v>
      </c>
      <c r="R14" s="96"/>
      <c r="S14" s="97"/>
      <c r="T14" s="98">
        <f t="shared" ref="T14:T19" si="2">IFERROR(ROUNDDOWN(Q14/M14,0),"")</f>
        <v>6</v>
      </c>
      <c r="U14" s="84"/>
      <c r="V14" s="84"/>
      <c r="W14" s="99">
        <f t="shared" ref="W14:W19" si="3">IFERROR(Q14-(T14*M14),"")</f>
        <v>2</v>
      </c>
      <c r="X14" s="100"/>
      <c r="Y14" s="100"/>
      <c r="Z14" s="101"/>
      <c r="AA14" s="251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11</v>
      </c>
      <c r="R15" s="96"/>
      <c r="S15" s="97"/>
      <c r="T15" s="98">
        <f t="shared" si="2"/>
        <v>0</v>
      </c>
      <c r="U15" s="84"/>
      <c r="V15" s="84"/>
      <c r="W15" s="99">
        <f t="shared" si="3"/>
        <v>11</v>
      </c>
      <c r="X15" s="100"/>
      <c r="Y15" s="100"/>
      <c r="Z15" s="101"/>
      <c r="AA15" s="251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31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31</v>
      </c>
      <c r="X16" s="100"/>
      <c r="Y16" s="100"/>
      <c r="Z16" s="101"/>
      <c r="AA16" s="251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4</v>
      </c>
      <c r="R17" s="96"/>
      <c r="S17" s="97"/>
      <c r="T17" s="98">
        <f t="shared" si="2"/>
        <v>0</v>
      </c>
      <c r="U17" s="84"/>
      <c r="V17" s="84"/>
      <c r="W17" s="99">
        <f t="shared" si="3"/>
        <v>4</v>
      </c>
      <c r="X17" s="100"/>
      <c r="Y17" s="100"/>
      <c r="Z17" s="101"/>
      <c r="AA17" s="251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2</v>
      </c>
      <c r="R18" s="96"/>
      <c r="S18" s="97"/>
      <c r="T18" s="98">
        <f t="shared" si="2"/>
        <v>0</v>
      </c>
      <c r="U18" s="84"/>
      <c r="V18" s="84"/>
      <c r="W18" s="99">
        <f t="shared" si="3"/>
        <v>2</v>
      </c>
      <c r="X18" s="100"/>
      <c r="Y18" s="100"/>
      <c r="Z18" s="101"/>
      <c r="AA18" s="251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4</v>
      </c>
      <c r="R19" s="96"/>
      <c r="S19" s="97"/>
      <c r="T19" s="98">
        <f t="shared" si="2"/>
        <v>0</v>
      </c>
      <c r="U19" s="84"/>
      <c r="V19" s="84"/>
      <c r="W19" s="99">
        <f t="shared" si="3"/>
        <v>4</v>
      </c>
      <c r="X19" s="100"/>
      <c r="Y19" s="100"/>
      <c r="Z19" s="101"/>
      <c r="AA19" s="251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2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2</v>
      </c>
      <c r="X20" s="100"/>
      <c r="Y20" s="100"/>
      <c r="Z20" s="101"/>
      <c r="AA20" s="251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30</v>
      </c>
      <c r="R21" s="96"/>
      <c r="S21" s="97"/>
      <c r="T21" s="98">
        <f t="shared" ref="T21" si="8">IFERROR(ROUNDDOWN(Q21/M21,0),"")</f>
        <v>1</v>
      </c>
      <c r="U21" s="84"/>
      <c r="V21" s="84"/>
      <c r="W21" s="99">
        <f t="shared" ref="W21" si="9">IFERROR(Q21-(T21*M21),"")</f>
        <v>0</v>
      </c>
      <c r="X21" s="100"/>
      <c r="Y21" s="100"/>
      <c r="Z21" s="101"/>
      <c r="AA21" s="251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9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9</v>
      </c>
      <c r="X22" s="100"/>
      <c r="Y22" s="100"/>
      <c r="Z22" s="101"/>
      <c r="AA22" s="251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251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283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9.5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52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9.5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BGF로지스나주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전남 나주시 동수농공단지길 
62-237 (운곡동)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8</v>
      </c>
      <c r="R41" s="216"/>
      <c r="S41" s="216"/>
      <c r="T41" s="217">
        <f>T13</f>
        <v>0</v>
      </c>
      <c r="U41" s="217"/>
      <c r="V41" s="217"/>
      <c r="W41" s="218">
        <f>W13</f>
        <v>8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0" si="12">E14</f>
        <v>도)리얼모짜치즈돈까스2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30</v>
      </c>
      <c r="N42" s="83"/>
      <c r="O42" s="83"/>
      <c r="P42" s="83"/>
      <c r="Q42" s="216">
        <f t="shared" ref="Q42:Q51" si="14">Q14</f>
        <v>182</v>
      </c>
      <c r="R42" s="216"/>
      <c r="S42" s="216"/>
      <c r="T42" s="217">
        <f t="shared" ref="T42:T51" si="15">T14</f>
        <v>6</v>
      </c>
      <c r="U42" s="217"/>
      <c r="V42" s="217"/>
      <c r="W42" s="218">
        <f t="shared" ref="W42:W50" si="16">W14</f>
        <v>2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81" t="str">
        <f t="shared" si="12"/>
        <v>도)리얼치즈고구마돈까스2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11</v>
      </c>
      <c r="R43" s="216"/>
      <c r="S43" s="216"/>
      <c r="T43" s="217">
        <f t="shared" si="15"/>
        <v>0</v>
      </c>
      <c r="U43" s="217"/>
      <c r="V43" s="217"/>
      <c r="W43" s="218">
        <f t="shared" si="16"/>
        <v>11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81" t="str">
        <f t="shared" si="12"/>
        <v>도)윙봉칠리탕수득템2</v>
      </c>
      <c r="F44" s="82"/>
      <c r="G44" s="82"/>
      <c r="H44" s="82"/>
      <c r="I44" s="82"/>
      <c r="J44" s="82"/>
      <c r="K44" s="82"/>
      <c r="L44" s="82"/>
      <c r="M44" s="83">
        <f t="shared" si="13"/>
        <v>36</v>
      </c>
      <c r="N44" s="83"/>
      <c r="O44" s="83"/>
      <c r="P44" s="83"/>
      <c r="Q44" s="216">
        <f t="shared" si="14"/>
        <v>31</v>
      </c>
      <c r="R44" s="216"/>
      <c r="S44" s="216"/>
      <c r="T44" s="217">
        <f t="shared" si="15"/>
        <v>0</v>
      </c>
      <c r="U44" s="217"/>
      <c r="V44" s="217"/>
      <c r="W44" s="218">
        <f t="shared" si="16"/>
        <v>31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81" t="str">
        <f t="shared" si="12"/>
        <v>도)찍먹윙봉2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4</v>
      </c>
      <c r="R45" s="216"/>
      <c r="S45" s="216"/>
      <c r="T45" s="217">
        <f t="shared" si="15"/>
        <v>0</v>
      </c>
      <c r="U45" s="217"/>
      <c r="V45" s="217"/>
      <c r="W45" s="218">
        <f t="shared" si="16"/>
        <v>4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81" t="str">
        <f t="shared" si="12"/>
        <v>도)찍먹탕수육2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2</v>
      </c>
      <c r="R46" s="216"/>
      <c r="S46" s="216"/>
      <c r="T46" s="217">
        <f t="shared" si="15"/>
        <v>0</v>
      </c>
      <c r="U46" s="217"/>
      <c r="V46" s="217"/>
      <c r="W46" s="218">
        <f t="shared" si="16"/>
        <v>2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도)치맥아보트러플치킨2</v>
      </c>
      <c r="F47" s="82"/>
      <c r="G47" s="82"/>
      <c r="H47" s="82"/>
      <c r="I47" s="82"/>
      <c r="J47" s="82"/>
      <c r="K47" s="82"/>
      <c r="L47" s="82"/>
      <c r="M47" s="83">
        <f t="shared" si="13"/>
        <v>32</v>
      </c>
      <c r="N47" s="83"/>
      <c r="O47" s="83"/>
      <c r="P47" s="83"/>
      <c r="Q47" s="216">
        <f t="shared" si="14"/>
        <v>4</v>
      </c>
      <c r="R47" s="216"/>
      <c r="S47" s="216"/>
      <c r="T47" s="217">
        <f t="shared" si="15"/>
        <v>0</v>
      </c>
      <c r="U47" s="217"/>
      <c r="V47" s="217"/>
      <c r="W47" s="218">
        <f t="shared" si="16"/>
        <v>4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도)치즈매콤닭강정감자2</v>
      </c>
      <c r="F48" s="82"/>
      <c r="G48" s="82"/>
      <c r="H48" s="82"/>
      <c r="I48" s="82"/>
      <c r="J48" s="82"/>
      <c r="K48" s="82"/>
      <c r="L48" s="82"/>
      <c r="M48" s="83">
        <f t="shared" si="13"/>
        <v>30</v>
      </c>
      <c r="N48" s="83"/>
      <c r="O48" s="83"/>
      <c r="P48" s="83"/>
      <c r="Q48" s="216">
        <f t="shared" si="14"/>
        <v>2</v>
      </c>
      <c r="R48" s="216"/>
      <c r="S48" s="216"/>
      <c r="T48" s="217">
        <f t="shared" si="15"/>
        <v>0</v>
      </c>
      <c r="U48" s="217"/>
      <c r="V48" s="217"/>
      <c r="W48" s="218">
        <f t="shared" si="16"/>
        <v>2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도)치즈청양간장닭강정2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30</v>
      </c>
      <c r="R49" s="216"/>
      <c r="S49" s="216"/>
      <c r="T49" s="217">
        <f t="shared" si="15"/>
        <v>1</v>
      </c>
      <c r="U49" s="217"/>
      <c r="V49" s="217"/>
      <c r="W49" s="218">
        <f t="shared" si="16"/>
        <v>0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도)쿵야반반닭강정팩2</v>
      </c>
      <c r="F50" s="82"/>
      <c r="G50" s="82"/>
      <c r="H50" s="82"/>
      <c r="I50" s="82"/>
      <c r="J50" s="82"/>
      <c r="K50" s="82"/>
      <c r="L50" s="82"/>
      <c r="M50" s="83">
        <f t="shared" si="13"/>
        <v>36</v>
      </c>
      <c r="N50" s="83"/>
      <c r="O50" s="83"/>
      <c r="P50" s="83"/>
      <c r="Q50" s="216">
        <f t="shared" si="14"/>
        <v>9</v>
      </c>
      <c r="R50" s="216"/>
      <c r="S50" s="216"/>
      <c r="T50" s="217">
        <f t="shared" si="15"/>
        <v>0</v>
      </c>
      <c r="U50" s="217"/>
      <c r="V50" s="217"/>
      <c r="W50" s="218">
        <f t="shared" si="16"/>
        <v>9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81" t="str">
        <f>E23</f>
        <v>APP)치맥아보트러플치킨2</v>
      </c>
      <c r="F51" s="82"/>
      <c r="G51" s="82"/>
      <c r="H51" s="82"/>
      <c r="I51" s="82"/>
      <c r="J51" s="82"/>
      <c r="K51" s="82"/>
      <c r="L51" s="82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8">M25</f>
        <v>283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9.5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전남 나주시 동수농공단지길 
62-237 (운곡동)
061)334-3007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9.5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A14">
    <cfRule type="expression" dxfId="219" priority="3089">
      <formula>Q13:S26=0</formula>
    </cfRule>
  </conditionalFormatting>
  <conditionalFormatting sqref="AA15:AA16">
    <cfRule type="expression" dxfId="218" priority="5">
      <formula>Q15:S26=0</formula>
    </cfRule>
  </conditionalFormatting>
  <conditionalFormatting sqref="AA17:AA18">
    <cfRule type="expression" dxfId="217" priority="3087">
      <formula>Q17:S27=0</formula>
    </cfRule>
  </conditionalFormatting>
  <conditionalFormatting sqref="AA19:AA21">
    <cfRule type="expression" dxfId="216" priority="2">
      <formula>Q19:S28=0</formula>
    </cfRule>
  </conditionalFormatting>
  <conditionalFormatting sqref="AA22">
    <cfRule type="expression" dxfId="215" priority="2461">
      <formula>Q22:S29=0</formula>
    </cfRule>
  </conditionalFormatting>
  <conditionalFormatting sqref="AA23">
    <cfRule type="expression" dxfId="214" priority="7">
      <formula>Q23:S31=0</formula>
    </cfRule>
  </conditionalFormatting>
  <conditionalFormatting sqref="AA24:AH24">
    <cfRule type="expression" dxfId="213" priority="23">
      <formula>Q24:S24=0</formula>
    </cfRule>
  </conditionalFormatting>
  <conditionalFormatting sqref="AA41:AH51">
    <cfRule type="expression" dxfId="212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M36:M52 Q41:Q51 E40:E52 T41:T51 AA40:AA51" xr:uid="{0FEA5F37-AAB0-4427-8724-9426EC7BB4CC}"/>
  </dataValidations>
  <printOptions horizontalCentered="1"/>
  <pageMargins left="0" right="0" top="0.11811023622047245" bottom="0" header="0" footer="0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81B4-12A1-4634-BBDA-D3C3329971B3}">
  <sheetPr>
    <tabColor theme="9" tint="-0.249977111117893"/>
    <pageSetUpPr fitToPage="1"/>
  </sheetPr>
  <dimension ref="B1:AH54"/>
  <sheetViews>
    <sheetView zoomScale="85" zoomScaleNormal="85" workbookViewId="0">
      <selection activeCell="Q24" sqref="Q24:S2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84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84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85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4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4</v>
      </c>
      <c r="X13" s="100"/>
      <c r="Y13" s="100"/>
      <c r="Z13" s="101"/>
      <c r="AA13" s="251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123</v>
      </c>
      <c r="R14" s="96"/>
      <c r="S14" s="97"/>
      <c r="T14" s="98">
        <f t="shared" ref="T14:T19" si="2">IFERROR(ROUNDDOWN(Q14/M14,0),"")</f>
        <v>4</v>
      </c>
      <c r="U14" s="84"/>
      <c r="V14" s="84"/>
      <c r="W14" s="99">
        <f t="shared" ref="W14:W19" si="3">IFERROR(Q14-(T14*M14),"")</f>
        <v>3</v>
      </c>
      <c r="X14" s="100"/>
      <c r="Y14" s="100"/>
      <c r="Z14" s="101"/>
      <c r="AA14" s="251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13</v>
      </c>
      <c r="R15" s="96"/>
      <c r="S15" s="97"/>
      <c r="T15" s="98">
        <f t="shared" si="2"/>
        <v>0</v>
      </c>
      <c r="U15" s="84"/>
      <c r="V15" s="84"/>
      <c r="W15" s="99">
        <f t="shared" si="3"/>
        <v>13</v>
      </c>
      <c r="X15" s="100"/>
      <c r="Y15" s="100"/>
      <c r="Z15" s="101"/>
      <c r="AA15" s="251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32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32</v>
      </c>
      <c r="X16" s="100"/>
      <c r="Y16" s="100"/>
      <c r="Z16" s="101"/>
      <c r="AA16" s="251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3</v>
      </c>
      <c r="R17" s="96"/>
      <c r="S17" s="97"/>
      <c r="T17" s="98">
        <f t="shared" si="2"/>
        <v>0</v>
      </c>
      <c r="U17" s="84"/>
      <c r="V17" s="84"/>
      <c r="W17" s="99">
        <f t="shared" si="3"/>
        <v>3</v>
      </c>
      <c r="X17" s="100"/>
      <c r="Y17" s="100"/>
      <c r="Z17" s="101"/>
      <c r="AA17" s="251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0</v>
      </c>
      <c r="R18" s="96"/>
      <c r="S18" s="97"/>
      <c r="T18" s="98">
        <f t="shared" si="2"/>
        <v>0</v>
      </c>
      <c r="U18" s="84"/>
      <c r="V18" s="84"/>
      <c r="W18" s="99">
        <f t="shared" si="3"/>
        <v>0</v>
      </c>
      <c r="X18" s="100"/>
      <c r="Y18" s="100"/>
      <c r="Z18" s="101"/>
      <c r="AA18" s="251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2</v>
      </c>
      <c r="R19" s="96"/>
      <c r="S19" s="97"/>
      <c r="T19" s="98">
        <f t="shared" si="2"/>
        <v>0</v>
      </c>
      <c r="U19" s="84"/>
      <c r="V19" s="84"/>
      <c r="W19" s="99">
        <f t="shared" si="3"/>
        <v>2</v>
      </c>
      <c r="X19" s="100"/>
      <c r="Y19" s="100"/>
      <c r="Z19" s="101"/>
      <c r="AA19" s="251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2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2</v>
      </c>
      <c r="X20" s="100"/>
      <c r="Y20" s="100"/>
      <c r="Z20" s="101"/>
      <c r="AA20" s="251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33</v>
      </c>
      <c r="R21" s="96"/>
      <c r="S21" s="97"/>
      <c r="T21" s="98">
        <f t="shared" ref="T21" si="8">IFERROR(ROUNDDOWN(Q21/M21,0),"")</f>
        <v>1</v>
      </c>
      <c r="U21" s="84"/>
      <c r="V21" s="84"/>
      <c r="W21" s="99">
        <f t="shared" ref="W21" si="9">IFERROR(Q21-(T21*M21),"")</f>
        <v>3</v>
      </c>
      <c r="X21" s="100"/>
      <c r="Y21" s="100"/>
      <c r="Z21" s="101"/>
      <c r="AA21" s="251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6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6</v>
      </c>
      <c r="X22" s="100"/>
      <c r="Y22" s="100"/>
      <c r="Z22" s="101"/>
      <c r="AA22" s="251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251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218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86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씨제이김제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전북 김제시 금산면 금평로 313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4</v>
      </c>
      <c r="R41" s="216"/>
      <c r="S41" s="216"/>
      <c r="T41" s="217">
        <f>T13</f>
        <v>0</v>
      </c>
      <c r="U41" s="217"/>
      <c r="V41" s="217"/>
      <c r="W41" s="218">
        <f>W13</f>
        <v>4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0" si="12">E14</f>
        <v>도)리얼모짜치즈돈까스2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30</v>
      </c>
      <c r="N42" s="83"/>
      <c r="O42" s="83"/>
      <c r="P42" s="83"/>
      <c r="Q42" s="216">
        <f t="shared" ref="Q42:Q51" si="14">Q14</f>
        <v>123</v>
      </c>
      <c r="R42" s="216"/>
      <c r="S42" s="216"/>
      <c r="T42" s="217">
        <f t="shared" ref="T42:T51" si="15">T14</f>
        <v>4</v>
      </c>
      <c r="U42" s="217"/>
      <c r="V42" s="217"/>
      <c r="W42" s="218">
        <f t="shared" ref="W42:W50" si="16">W14</f>
        <v>3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81" t="str">
        <f t="shared" si="12"/>
        <v>도)리얼치즈고구마돈까스2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13</v>
      </c>
      <c r="R43" s="216"/>
      <c r="S43" s="216"/>
      <c r="T43" s="217">
        <f t="shared" si="15"/>
        <v>0</v>
      </c>
      <c r="U43" s="217"/>
      <c r="V43" s="217"/>
      <c r="W43" s="218">
        <f t="shared" si="16"/>
        <v>13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81" t="str">
        <f t="shared" si="12"/>
        <v>도)윙봉칠리탕수득템2</v>
      </c>
      <c r="F44" s="82"/>
      <c r="G44" s="82"/>
      <c r="H44" s="82"/>
      <c r="I44" s="82"/>
      <c r="J44" s="82"/>
      <c r="K44" s="82"/>
      <c r="L44" s="82"/>
      <c r="M44" s="83">
        <f t="shared" si="13"/>
        <v>36</v>
      </c>
      <c r="N44" s="83"/>
      <c r="O44" s="83"/>
      <c r="P44" s="83"/>
      <c r="Q44" s="216">
        <f t="shared" si="14"/>
        <v>32</v>
      </c>
      <c r="R44" s="216"/>
      <c r="S44" s="216"/>
      <c r="T44" s="217">
        <f t="shared" si="15"/>
        <v>0</v>
      </c>
      <c r="U44" s="217"/>
      <c r="V44" s="217"/>
      <c r="W44" s="218">
        <f t="shared" si="16"/>
        <v>32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81" t="str">
        <f t="shared" si="12"/>
        <v>도)찍먹윙봉2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3</v>
      </c>
      <c r="R45" s="216"/>
      <c r="S45" s="216"/>
      <c r="T45" s="217">
        <f t="shared" si="15"/>
        <v>0</v>
      </c>
      <c r="U45" s="217"/>
      <c r="V45" s="217"/>
      <c r="W45" s="218">
        <f t="shared" si="16"/>
        <v>3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81" t="str">
        <f t="shared" si="12"/>
        <v>도)찍먹탕수육2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0</v>
      </c>
      <c r="R46" s="216"/>
      <c r="S46" s="216"/>
      <c r="T46" s="217">
        <f t="shared" si="15"/>
        <v>0</v>
      </c>
      <c r="U46" s="217"/>
      <c r="V46" s="217"/>
      <c r="W46" s="218">
        <f t="shared" si="16"/>
        <v>0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도)치맥아보트러플치킨2</v>
      </c>
      <c r="F47" s="82"/>
      <c r="G47" s="82"/>
      <c r="H47" s="82"/>
      <c r="I47" s="82"/>
      <c r="J47" s="82"/>
      <c r="K47" s="82"/>
      <c r="L47" s="82"/>
      <c r="M47" s="83">
        <f t="shared" si="13"/>
        <v>32</v>
      </c>
      <c r="N47" s="83"/>
      <c r="O47" s="83"/>
      <c r="P47" s="83"/>
      <c r="Q47" s="216">
        <f t="shared" si="14"/>
        <v>2</v>
      </c>
      <c r="R47" s="216"/>
      <c r="S47" s="216"/>
      <c r="T47" s="217">
        <f t="shared" si="15"/>
        <v>0</v>
      </c>
      <c r="U47" s="217"/>
      <c r="V47" s="217"/>
      <c r="W47" s="218">
        <f t="shared" si="16"/>
        <v>2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도)치즈매콤닭강정감자2</v>
      </c>
      <c r="F48" s="82"/>
      <c r="G48" s="82"/>
      <c r="H48" s="82"/>
      <c r="I48" s="82"/>
      <c r="J48" s="82"/>
      <c r="K48" s="82"/>
      <c r="L48" s="82"/>
      <c r="M48" s="83">
        <f t="shared" si="13"/>
        <v>30</v>
      </c>
      <c r="N48" s="83"/>
      <c r="O48" s="83"/>
      <c r="P48" s="83"/>
      <c r="Q48" s="216">
        <f t="shared" si="14"/>
        <v>2</v>
      </c>
      <c r="R48" s="216"/>
      <c r="S48" s="216"/>
      <c r="T48" s="217">
        <f t="shared" si="15"/>
        <v>0</v>
      </c>
      <c r="U48" s="217"/>
      <c r="V48" s="217"/>
      <c r="W48" s="218">
        <f t="shared" si="16"/>
        <v>2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도)치즈청양간장닭강정2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33</v>
      </c>
      <c r="R49" s="216"/>
      <c r="S49" s="216"/>
      <c r="T49" s="217">
        <f t="shared" si="15"/>
        <v>1</v>
      </c>
      <c r="U49" s="217"/>
      <c r="V49" s="217"/>
      <c r="W49" s="218">
        <f t="shared" si="16"/>
        <v>3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도)쿵야반반닭강정팩2</v>
      </c>
      <c r="F50" s="82"/>
      <c r="G50" s="82"/>
      <c r="H50" s="82"/>
      <c r="I50" s="82"/>
      <c r="J50" s="82"/>
      <c r="K50" s="82"/>
      <c r="L50" s="82"/>
      <c r="M50" s="83">
        <f t="shared" si="13"/>
        <v>36</v>
      </c>
      <c r="N50" s="83"/>
      <c r="O50" s="83"/>
      <c r="P50" s="83"/>
      <c r="Q50" s="216">
        <f t="shared" si="14"/>
        <v>6</v>
      </c>
      <c r="R50" s="216"/>
      <c r="S50" s="216"/>
      <c r="T50" s="217">
        <f t="shared" si="15"/>
        <v>0</v>
      </c>
      <c r="U50" s="217"/>
      <c r="V50" s="217"/>
      <c r="W50" s="218">
        <f t="shared" si="16"/>
        <v>6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81" t="str">
        <f t="shared" ref="E51" si="18">E23</f>
        <v>APP)치맥아보트러플치킨2</v>
      </c>
      <c r="F51" s="82"/>
      <c r="G51" s="82"/>
      <c r="H51" s="82"/>
      <c r="I51" s="82"/>
      <c r="J51" s="82"/>
      <c r="K51" s="82"/>
      <c r="L51" s="82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218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100000000000001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전북 김제시 금산면 금평로 313
063-472-1651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100000000000001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A14">
    <cfRule type="expression" dxfId="211" priority="3085">
      <formula>Q13:S26=0</formula>
    </cfRule>
  </conditionalFormatting>
  <conditionalFormatting sqref="AA15:AA16">
    <cfRule type="expression" dxfId="210" priority="5">
      <formula>Q15:S26=0</formula>
    </cfRule>
  </conditionalFormatting>
  <conditionalFormatting sqref="AA17:AA18">
    <cfRule type="expression" dxfId="209" priority="3083">
      <formula>Q17:S27=0</formula>
    </cfRule>
  </conditionalFormatting>
  <conditionalFormatting sqref="AA19:AA21">
    <cfRule type="expression" dxfId="208" priority="2">
      <formula>Q19:S28=0</formula>
    </cfRule>
  </conditionalFormatting>
  <conditionalFormatting sqref="AA22">
    <cfRule type="expression" dxfId="207" priority="2458">
      <formula>Q22:S29=0</formula>
    </cfRule>
  </conditionalFormatting>
  <conditionalFormatting sqref="AA23">
    <cfRule type="expression" dxfId="206" priority="7">
      <formula>Q23:S31=0</formula>
    </cfRule>
  </conditionalFormatting>
  <conditionalFormatting sqref="AA24:AH24">
    <cfRule type="expression" dxfId="205" priority="23">
      <formula>Q24:S24=0</formula>
    </cfRule>
  </conditionalFormatting>
  <conditionalFormatting sqref="AA41:AH51">
    <cfRule type="expression" dxfId="204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L25 C14:D24 Q13:Q24 E12:E24 M8:M25 AA12:AA23 B12:B26 T13:T24 B40:B53 C42:D51 Q41:Q51 M36:M52 E40:E52 T41:T51 AA40:AA51" xr:uid="{CAB42AD3-E2EF-4F58-9D52-778EB5561028}"/>
  </dataValidations>
  <printOptions horizontalCentered="1"/>
  <pageMargins left="0" right="0" top="0.11811023622047245" bottom="0" header="0" footer="0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9D44-56B9-4504-97B5-499674D4EB5F}">
  <sheetPr>
    <tabColor theme="7" tint="0.59999389629810485"/>
    <pageSetUpPr fitToPage="1"/>
  </sheetPr>
  <dimension ref="B1:AK54"/>
  <sheetViews>
    <sheetView topLeftCell="A3" zoomScale="85" zoomScaleNormal="85" workbookViewId="0">
      <selection activeCell="Q24" sqref="Q24:S2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7" ht="14.25" thickBot="1" x14ac:dyDescent="0.2">
      <c r="B1" s="3" t="s">
        <v>29</v>
      </c>
    </row>
    <row r="2" spans="2:37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7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7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7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7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29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7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7" x14ac:dyDescent="0.15">
      <c r="B8" s="110"/>
      <c r="C8" s="113" t="s">
        <v>4</v>
      </c>
      <c r="D8" s="121"/>
      <c r="E8" s="121"/>
      <c r="F8" s="121"/>
      <c r="G8" s="148" t="s">
        <v>30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7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7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7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7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7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9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9</v>
      </c>
      <c r="X13" s="100"/>
      <c r="Y13" s="100"/>
      <c r="Z13" s="101"/>
      <c r="AA13" s="73">
        <f>B13+5</f>
        <v>46319</v>
      </c>
      <c r="AB13" s="84"/>
      <c r="AC13" s="84"/>
      <c r="AD13" s="84"/>
      <c r="AE13" s="84"/>
      <c r="AF13" s="84"/>
      <c r="AG13" s="84"/>
      <c r="AH13" s="85"/>
      <c r="AJ13" s="23"/>
      <c r="AK13"/>
    </row>
    <row r="14" spans="2:37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159</v>
      </c>
      <c r="R14" s="96"/>
      <c r="S14" s="97"/>
      <c r="T14" s="98">
        <f t="shared" ref="T14:T19" si="2">IFERROR(ROUNDDOWN(Q14/M14,0),"")</f>
        <v>5</v>
      </c>
      <c r="U14" s="84"/>
      <c r="V14" s="84"/>
      <c r="W14" s="99">
        <f t="shared" ref="W14:W19" si="3">IFERROR(Q14-(T14*M14),"")</f>
        <v>9</v>
      </c>
      <c r="X14" s="100"/>
      <c r="Y14" s="100"/>
      <c r="Z14" s="101"/>
      <c r="AA14" s="73">
        <f>B13+5</f>
        <v>46319</v>
      </c>
      <c r="AB14" s="84"/>
      <c r="AC14" s="84"/>
      <c r="AD14" s="84"/>
      <c r="AE14" s="84"/>
      <c r="AF14" s="84"/>
      <c r="AG14" s="84"/>
      <c r="AH14" s="85"/>
      <c r="AJ14" s="24"/>
      <c r="AK14"/>
    </row>
    <row r="15" spans="2:37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20</v>
      </c>
      <c r="R15" s="96"/>
      <c r="S15" s="97"/>
      <c r="T15" s="98">
        <f t="shared" si="2"/>
        <v>0</v>
      </c>
      <c r="U15" s="84"/>
      <c r="V15" s="84"/>
      <c r="W15" s="99">
        <f t="shared" si="3"/>
        <v>20</v>
      </c>
      <c r="X15" s="100"/>
      <c r="Y15" s="100"/>
      <c r="Z15" s="101"/>
      <c r="AA15" s="73">
        <f>B13+5-1</f>
        <v>46318</v>
      </c>
      <c r="AB15" s="84"/>
      <c r="AC15" s="84"/>
      <c r="AD15" s="84"/>
      <c r="AE15" s="84"/>
      <c r="AF15" s="84"/>
      <c r="AG15" s="84"/>
      <c r="AH15" s="85"/>
      <c r="AJ15" s="24"/>
      <c r="AK15"/>
    </row>
    <row r="16" spans="2:37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35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35</v>
      </c>
      <c r="X16" s="100"/>
      <c r="Y16" s="100"/>
      <c r="Z16" s="101"/>
      <c r="AA16" s="73">
        <f>B13+5-1</f>
        <v>46318</v>
      </c>
      <c r="AB16" s="84"/>
      <c r="AC16" s="84"/>
      <c r="AD16" s="84"/>
      <c r="AE16" s="84"/>
      <c r="AF16" s="84"/>
      <c r="AG16" s="84"/>
      <c r="AH16" s="85"/>
      <c r="AJ16" s="24"/>
      <c r="AK16"/>
    </row>
    <row r="17" spans="2:37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8</v>
      </c>
      <c r="R17" s="96"/>
      <c r="S17" s="97"/>
      <c r="T17" s="98">
        <f t="shared" si="2"/>
        <v>0</v>
      </c>
      <c r="U17" s="84"/>
      <c r="V17" s="84"/>
      <c r="W17" s="99">
        <f t="shared" si="3"/>
        <v>8</v>
      </c>
      <c r="X17" s="100"/>
      <c r="Y17" s="100"/>
      <c r="Z17" s="101"/>
      <c r="AA17" s="73">
        <f>B13+4</f>
        <v>46318</v>
      </c>
      <c r="AB17" s="84"/>
      <c r="AC17" s="84"/>
      <c r="AD17" s="84"/>
      <c r="AE17" s="84"/>
      <c r="AF17" s="84"/>
      <c r="AG17" s="84"/>
      <c r="AH17" s="85"/>
      <c r="AJ17" s="24"/>
      <c r="AK17"/>
    </row>
    <row r="18" spans="2:37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9</v>
      </c>
      <c r="R18" s="96"/>
      <c r="S18" s="97"/>
      <c r="T18" s="98">
        <f t="shared" si="2"/>
        <v>0</v>
      </c>
      <c r="U18" s="84"/>
      <c r="V18" s="84"/>
      <c r="W18" s="99">
        <f t="shared" si="3"/>
        <v>9</v>
      </c>
      <c r="X18" s="100"/>
      <c r="Y18" s="100"/>
      <c r="Z18" s="101"/>
      <c r="AA18" s="73">
        <f>B13+4</f>
        <v>46318</v>
      </c>
      <c r="AB18" s="84"/>
      <c r="AC18" s="84"/>
      <c r="AD18" s="84"/>
      <c r="AE18" s="84"/>
      <c r="AF18" s="84"/>
      <c r="AG18" s="84"/>
      <c r="AH18" s="85"/>
      <c r="AJ18" s="24"/>
      <c r="AK18"/>
    </row>
    <row r="19" spans="2:37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8</v>
      </c>
      <c r="R19" s="96"/>
      <c r="S19" s="97"/>
      <c r="T19" s="98">
        <f t="shared" si="2"/>
        <v>0</v>
      </c>
      <c r="U19" s="84"/>
      <c r="V19" s="84"/>
      <c r="W19" s="99">
        <f t="shared" si="3"/>
        <v>8</v>
      </c>
      <c r="X19" s="100"/>
      <c r="Y19" s="100"/>
      <c r="Z19" s="101"/>
      <c r="AA19" s="73">
        <f>B13+4</f>
        <v>46318</v>
      </c>
      <c r="AB19" s="84"/>
      <c r="AC19" s="84"/>
      <c r="AD19" s="84"/>
      <c r="AE19" s="84"/>
      <c r="AF19" s="84"/>
      <c r="AG19" s="84"/>
      <c r="AH19" s="85"/>
      <c r="AJ19" s="24"/>
      <c r="AK19"/>
    </row>
    <row r="20" spans="2:37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0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0</v>
      </c>
      <c r="X20" s="100"/>
      <c r="Y20" s="100"/>
      <c r="Z20" s="101"/>
      <c r="AA20" s="73">
        <f>B13+4</f>
        <v>46318</v>
      </c>
      <c r="AB20" s="84"/>
      <c r="AC20" s="84"/>
      <c r="AD20" s="84"/>
      <c r="AE20" s="84"/>
      <c r="AF20" s="84"/>
      <c r="AG20" s="84"/>
      <c r="AH20" s="85"/>
      <c r="AJ20" s="24"/>
      <c r="AK20"/>
    </row>
    <row r="21" spans="2:37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37</v>
      </c>
      <c r="R21" s="96"/>
      <c r="S21" s="97"/>
      <c r="T21" s="98">
        <f t="shared" ref="T21" si="8">IFERROR(ROUNDDOWN(Q21/M21,0),"")</f>
        <v>1</v>
      </c>
      <c r="U21" s="84"/>
      <c r="V21" s="84"/>
      <c r="W21" s="99">
        <f t="shared" ref="W21" si="9">IFERROR(Q21-(T21*M21),"")</f>
        <v>7</v>
      </c>
      <c r="X21" s="100"/>
      <c r="Y21" s="100"/>
      <c r="Z21" s="101"/>
      <c r="AA21" s="73">
        <f>B13+5</f>
        <v>46319</v>
      </c>
      <c r="AB21" s="84"/>
      <c r="AC21" s="84"/>
      <c r="AD21" s="84"/>
      <c r="AE21" s="84"/>
      <c r="AF21" s="84"/>
      <c r="AG21" s="84"/>
      <c r="AH21" s="85"/>
      <c r="AJ21" s="24"/>
      <c r="AK21"/>
    </row>
    <row r="22" spans="2:37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16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16</v>
      </c>
      <c r="X22" s="100"/>
      <c r="Y22" s="100"/>
      <c r="Z22" s="101"/>
      <c r="AA22" s="73">
        <f>B13+4</f>
        <v>46318</v>
      </c>
      <c r="AB22" s="84"/>
      <c r="AC22" s="84"/>
      <c r="AD22" s="84"/>
      <c r="AE22" s="84"/>
      <c r="AF22" s="84"/>
      <c r="AG22" s="84"/>
      <c r="AH22" s="85"/>
      <c r="AJ22" s="24"/>
      <c r="AK22"/>
    </row>
    <row r="23" spans="2:37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73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7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7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301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7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31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7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7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7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7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7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7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BGF로지스대구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경상북도 칠곡군 석적읍 호국로 608   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9</v>
      </c>
      <c r="R41" s="216"/>
      <c r="S41" s="216"/>
      <c r="T41" s="217">
        <f>T13</f>
        <v>0</v>
      </c>
      <c r="U41" s="217"/>
      <c r="V41" s="217"/>
      <c r="W41" s="218">
        <f>W13</f>
        <v>9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0" si="12">E14</f>
        <v>도)리얼모짜치즈돈까스2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30</v>
      </c>
      <c r="N42" s="83"/>
      <c r="O42" s="83"/>
      <c r="P42" s="83"/>
      <c r="Q42" s="216">
        <f t="shared" ref="Q42:Q51" si="14">Q14</f>
        <v>159</v>
      </c>
      <c r="R42" s="216"/>
      <c r="S42" s="216"/>
      <c r="T42" s="217">
        <f t="shared" ref="T42:T51" si="15">T14</f>
        <v>5</v>
      </c>
      <c r="U42" s="217"/>
      <c r="V42" s="217"/>
      <c r="W42" s="218">
        <f t="shared" ref="W42:W50" si="16">W14</f>
        <v>9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81" t="str">
        <f t="shared" si="12"/>
        <v>도)리얼치즈고구마돈까스2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20</v>
      </c>
      <c r="R43" s="216"/>
      <c r="S43" s="216"/>
      <c r="T43" s="217">
        <f t="shared" si="15"/>
        <v>0</v>
      </c>
      <c r="U43" s="217"/>
      <c r="V43" s="217"/>
      <c r="W43" s="218">
        <f t="shared" si="16"/>
        <v>20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81" t="str">
        <f t="shared" si="12"/>
        <v>도)윙봉칠리탕수득템2</v>
      </c>
      <c r="F44" s="82"/>
      <c r="G44" s="82"/>
      <c r="H44" s="82"/>
      <c r="I44" s="82"/>
      <c r="J44" s="82"/>
      <c r="K44" s="82"/>
      <c r="L44" s="82"/>
      <c r="M44" s="83">
        <f t="shared" si="13"/>
        <v>36</v>
      </c>
      <c r="N44" s="83"/>
      <c r="O44" s="83"/>
      <c r="P44" s="83"/>
      <c r="Q44" s="216">
        <f t="shared" si="14"/>
        <v>35</v>
      </c>
      <c r="R44" s="216"/>
      <c r="S44" s="216"/>
      <c r="T44" s="217">
        <f t="shared" si="15"/>
        <v>0</v>
      </c>
      <c r="U44" s="217"/>
      <c r="V44" s="217"/>
      <c r="W44" s="218">
        <f t="shared" si="16"/>
        <v>35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81" t="str">
        <f t="shared" si="12"/>
        <v>도)찍먹윙봉2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8</v>
      </c>
      <c r="R45" s="216"/>
      <c r="S45" s="216"/>
      <c r="T45" s="217">
        <f t="shared" si="15"/>
        <v>0</v>
      </c>
      <c r="U45" s="217"/>
      <c r="V45" s="217"/>
      <c r="W45" s="218">
        <f t="shared" si="16"/>
        <v>8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81" t="str">
        <f t="shared" si="12"/>
        <v>도)찍먹탕수육2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9</v>
      </c>
      <c r="R46" s="216"/>
      <c r="S46" s="216"/>
      <c r="T46" s="217">
        <f t="shared" si="15"/>
        <v>0</v>
      </c>
      <c r="U46" s="217"/>
      <c r="V46" s="217"/>
      <c r="W46" s="218">
        <f t="shared" si="16"/>
        <v>9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도)치맥아보트러플치킨2</v>
      </c>
      <c r="F47" s="82"/>
      <c r="G47" s="82"/>
      <c r="H47" s="82"/>
      <c r="I47" s="82"/>
      <c r="J47" s="82"/>
      <c r="K47" s="82"/>
      <c r="L47" s="82"/>
      <c r="M47" s="83">
        <f t="shared" si="13"/>
        <v>32</v>
      </c>
      <c r="N47" s="83"/>
      <c r="O47" s="83"/>
      <c r="P47" s="83"/>
      <c r="Q47" s="216">
        <f t="shared" si="14"/>
        <v>8</v>
      </c>
      <c r="R47" s="216"/>
      <c r="S47" s="216"/>
      <c r="T47" s="217">
        <f t="shared" si="15"/>
        <v>0</v>
      </c>
      <c r="U47" s="217"/>
      <c r="V47" s="217"/>
      <c r="W47" s="218">
        <f t="shared" si="16"/>
        <v>8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도)치즈매콤닭강정감자2</v>
      </c>
      <c r="F48" s="82"/>
      <c r="G48" s="82"/>
      <c r="H48" s="82"/>
      <c r="I48" s="82"/>
      <c r="J48" s="82"/>
      <c r="K48" s="82"/>
      <c r="L48" s="82"/>
      <c r="M48" s="83">
        <f t="shared" si="13"/>
        <v>30</v>
      </c>
      <c r="N48" s="83"/>
      <c r="O48" s="83"/>
      <c r="P48" s="83"/>
      <c r="Q48" s="216">
        <f t="shared" si="14"/>
        <v>0</v>
      </c>
      <c r="R48" s="216"/>
      <c r="S48" s="216"/>
      <c r="T48" s="217">
        <f t="shared" si="15"/>
        <v>0</v>
      </c>
      <c r="U48" s="217"/>
      <c r="V48" s="217"/>
      <c r="W48" s="218">
        <f t="shared" si="16"/>
        <v>0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도)치즈청양간장닭강정2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37</v>
      </c>
      <c r="R49" s="216"/>
      <c r="S49" s="216"/>
      <c r="T49" s="217">
        <f t="shared" si="15"/>
        <v>1</v>
      </c>
      <c r="U49" s="217"/>
      <c r="V49" s="217"/>
      <c r="W49" s="218">
        <f t="shared" si="16"/>
        <v>7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도)쿵야반반닭강정팩2</v>
      </c>
      <c r="F50" s="82"/>
      <c r="G50" s="82"/>
      <c r="H50" s="82"/>
      <c r="I50" s="82"/>
      <c r="J50" s="82"/>
      <c r="K50" s="82"/>
      <c r="L50" s="82"/>
      <c r="M50" s="83">
        <f t="shared" si="13"/>
        <v>36</v>
      </c>
      <c r="N50" s="83"/>
      <c r="O50" s="83"/>
      <c r="P50" s="83"/>
      <c r="Q50" s="216">
        <f t="shared" si="14"/>
        <v>16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16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81" t="str">
        <f t="shared" ref="E51" si="18">E23</f>
        <v>APP)치맥아보트러플치킨2</v>
      </c>
      <c r="F51" s="82"/>
      <c r="G51" s="82"/>
      <c r="H51" s="82"/>
      <c r="I51" s="82"/>
      <c r="J51" s="82"/>
      <c r="K51" s="82"/>
      <c r="L51" s="82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301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100000000000001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경상북도 칠곡군 석적읍 호국로 608 
054)974-7443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100000000000001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H14">
    <cfRule type="expression" dxfId="203" priority="3081">
      <formula>Q13:S26=0</formula>
    </cfRule>
  </conditionalFormatting>
  <conditionalFormatting sqref="AA15:AH16">
    <cfRule type="expression" dxfId="202" priority="5">
      <formula>Q15:S26=0</formula>
    </cfRule>
  </conditionalFormatting>
  <conditionalFormatting sqref="AA17:AH18">
    <cfRule type="expression" dxfId="201" priority="3079">
      <formula>Q17:S27=0</formula>
    </cfRule>
  </conditionalFormatting>
  <conditionalFormatting sqref="AA19:AH21">
    <cfRule type="expression" dxfId="200" priority="2">
      <formula>Q19:S28=0</formula>
    </cfRule>
  </conditionalFormatting>
  <conditionalFormatting sqref="AA22:AH22">
    <cfRule type="expression" dxfId="199" priority="2455">
      <formula>Q22:S29=0</formula>
    </cfRule>
  </conditionalFormatting>
  <conditionalFormatting sqref="AA23:AH23">
    <cfRule type="expression" dxfId="198" priority="7">
      <formula>Q23:S31=0</formula>
    </cfRule>
  </conditionalFormatting>
  <conditionalFormatting sqref="AA24:AH24">
    <cfRule type="expression" dxfId="197" priority="26">
      <formula>Q24:S24=0</formula>
    </cfRule>
  </conditionalFormatting>
  <conditionalFormatting sqref="AA41:AH51">
    <cfRule type="expression" dxfId="196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Q41:Q51 M36:M52 E40:E52 T41:T51 AA40:AA51" xr:uid="{4AE851CF-BCB4-4E96-9A3E-70199DD82FD0}"/>
  </dataValidations>
  <printOptions horizontalCentered="1"/>
  <pageMargins left="0" right="0" top="0.11811023622047245" bottom="0" header="0" footer="0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E0DF-8566-42B2-8385-B6893BE1CE77}">
  <sheetPr>
    <tabColor theme="7" tint="0.59999389629810485"/>
    <pageSetUpPr fitToPage="1"/>
  </sheetPr>
  <dimension ref="B1:AH54"/>
  <sheetViews>
    <sheetView zoomScale="85" zoomScaleNormal="85" workbookViewId="0">
      <selection activeCell="Q24" sqref="Q24:S2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38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38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39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5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5</v>
      </c>
      <c r="X13" s="100"/>
      <c r="Y13" s="100"/>
      <c r="Z13" s="101"/>
      <c r="AA13" s="153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111</v>
      </c>
      <c r="R14" s="96"/>
      <c r="S14" s="97"/>
      <c r="T14" s="98">
        <f t="shared" ref="T14:T19" si="2">IFERROR(ROUNDDOWN(Q14/M14,0),"")</f>
        <v>3</v>
      </c>
      <c r="U14" s="84"/>
      <c r="V14" s="84"/>
      <c r="W14" s="99">
        <f t="shared" ref="W14:W19" si="3">IFERROR(Q14-(T14*M14),"")</f>
        <v>21</v>
      </c>
      <c r="X14" s="100"/>
      <c r="Y14" s="100"/>
      <c r="Z14" s="101"/>
      <c r="AA14" s="153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3</v>
      </c>
      <c r="R15" s="96"/>
      <c r="S15" s="97"/>
      <c r="T15" s="98">
        <f t="shared" si="2"/>
        <v>0</v>
      </c>
      <c r="U15" s="84"/>
      <c r="V15" s="84"/>
      <c r="W15" s="99">
        <f t="shared" si="3"/>
        <v>3</v>
      </c>
      <c r="X15" s="100"/>
      <c r="Y15" s="100"/>
      <c r="Z15" s="101"/>
      <c r="AA15" s="153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30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30</v>
      </c>
      <c r="X16" s="100"/>
      <c r="Y16" s="100"/>
      <c r="Z16" s="101"/>
      <c r="AA16" s="153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0</v>
      </c>
      <c r="R17" s="96"/>
      <c r="S17" s="97"/>
      <c r="T17" s="98">
        <f t="shared" si="2"/>
        <v>0</v>
      </c>
      <c r="U17" s="84"/>
      <c r="V17" s="84"/>
      <c r="W17" s="99">
        <f t="shared" si="3"/>
        <v>0</v>
      </c>
      <c r="X17" s="100"/>
      <c r="Y17" s="100"/>
      <c r="Z17" s="101"/>
      <c r="AA17" s="153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4</v>
      </c>
      <c r="R18" s="96"/>
      <c r="S18" s="97"/>
      <c r="T18" s="98">
        <f t="shared" si="2"/>
        <v>0</v>
      </c>
      <c r="U18" s="84"/>
      <c r="V18" s="84"/>
      <c r="W18" s="99">
        <f t="shared" si="3"/>
        <v>4</v>
      </c>
      <c r="X18" s="100"/>
      <c r="Y18" s="100"/>
      <c r="Z18" s="101"/>
      <c r="AA18" s="153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6</v>
      </c>
      <c r="R19" s="96"/>
      <c r="S19" s="97"/>
      <c r="T19" s="98">
        <f t="shared" si="2"/>
        <v>0</v>
      </c>
      <c r="U19" s="84"/>
      <c r="V19" s="84"/>
      <c r="W19" s="99">
        <f t="shared" si="3"/>
        <v>6</v>
      </c>
      <c r="X19" s="100"/>
      <c r="Y19" s="100"/>
      <c r="Z19" s="101"/>
      <c r="AA19" s="153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1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1</v>
      </c>
      <c r="X20" s="100"/>
      <c r="Y20" s="100"/>
      <c r="Z20" s="101"/>
      <c r="AA20" s="153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17</v>
      </c>
      <c r="R21" s="96"/>
      <c r="S21" s="97"/>
      <c r="T21" s="98">
        <f t="shared" ref="T21" si="8">IFERROR(ROUNDDOWN(Q21/M21,0),"")</f>
        <v>0</v>
      </c>
      <c r="U21" s="84"/>
      <c r="V21" s="84"/>
      <c r="W21" s="99">
        <f t="shared" ref="W21" si="9">IFERROR(Q21-(T21*M21),"")</f>
        <v>17</v>
      </c>
      <c r="X21" s="100"/>
      <c r="Y21" s="100"/>
      <c r="Z21" s="101"/>
      <c r="AA21" s="153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6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6</v>
      </c>
      <c r="X22" s="100"/>
      <c r="Y22" s="100"/>
      <c r="Z22" s="101"/>
      <c r="AA22" s="153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153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183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40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극동로지스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경남 김해시 생림면 인제로 661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5</v>
      </c>
      <c r="R41" s="216"/>
      <c r="S41" s="216"/>
      <c r="T41" s="217">
        <f>T13</f>
        <v>0</v>
      </c>
      <c r="U41" s="217"/>
      <c r="V41" s="217"/>
      <c r="W41" s="218">
        <f>W13</f>
        <v>5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0" si="12">E14</f>
        <v>도)리얼모짜치즈돈까스2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30</v>
      </c>
      <c r="N42" s="83"/>
      <c r="O42" s="83"/>
      <c r="P42" s="83"/>
      <c r="Q42" s="216">
        <f t="shared" ref="Q42:Q51" si="14">Q14</f>
        <v>111</v>
      </c>
      <c r="R42" s="216"/>
      <c r="S42" s="216"/>
      <c r="T42" s="217">
        <f t="shared" ref="T42:T51" si="15">T14</f>
        <v>3</v>
      </c>
      <c r="U42" s="217"/>
      <c r="V42" s="217"/>
      <c r="W42" s="218">
        <f t="shared" ref="W42:W50" si="16">W14</f>
        <v>21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81" t="str">
        <f t="shared" si="12"/>
        <v>도)리얼치즈고구마돈까스2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3</v>
      </c>
      <c r="R43" s="216"/>
      <c r="S43" s="216"/>
      <c r="T43" s="217">
        <f t="shared" si="15"/>
        <v>0</v>
      </c>
      <c r="U43" s="217"/>
      <c r="V43" s="217"/>
      <c r="W43" s="218">
        <f t="shared" si="16"/>
        <v>3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81" t="str">
        <f t="shared" si="12"/>
        <v>도)윙봉칠리탕수득템2</v>
      </c>
      <c r="F44" s="82"/>
      <c r="G44" s="82"/>
      <c r="H44" s="82"/>
      <c r="I44" s="82"/>
      <c r="J44" s="82"/>
      <c r="K44" s="82"/>
      <c r="L44" s="82"/>
      <c r="M44" s="83">
        <f t="shared" si="13"/>
        <v>36</v>
      </c>
      <c r="N44" s="83"/>
      <c r="O44" s="83"/>
      <c r="P44" s="83"/>
      <c r="Q44" s="216">
        <f t="shared" si="14"/>
        <v>30</v>
      </c>
      <c r="R44" s="216"/>
      <c r="S44" s="216"/>
      <c r="T44" s="217">
        <f t="shared" si="15"/>
        <v>0</v>
      </c>
      <c r="U44" s="217"/>
      <c r="V44" s="217"/>
      <c r="W44" s="218">
        <f t="shared" si="16"/>
        <v>30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81" t="str">
        <f t="shared" si="12"/>
        <v>도)찍먹윙봉2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0</v>
      </c>
      <c r="R45" s="216"/>
      <c r="S45" s="216"/>
      <c r="T45" s="217">
        <f t="shared" si="15"/>
        <v>0</v>
      </c>
      <c r="U45" s="217"/>
      <c r="V45" s="217"/>
      <c r="W45" s="218">
        <f t="shared" si="16"/>
        <v>0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81" t="str">
        <f t="shared" si="12"/>
        <v>도)찍먹탕수육2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4</v>
      </c>
      <c r="R46" s="216"/>
      <c r="S46" s="216"/>
      <c r="T46" s="217">
        <f t="shared" si="15"/>
        <v>0</v>
      </c>
      <c r="U46" s="217"/>
      <c r="V46" s="217"/>
      <c r="W46" s="218">
        <f t="shared" si="16"/>
        <v>4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도)치맥아보트러플치킨2</v>
      </c>
      <c r="F47" s="82"/>
      <c r="G47" s="82"/>
      <c r="H47" s="82"/>
      <c r="I47" s="82"/>
      <c r="J47" s="82"/>
      <c r="K47" s="82"/>
      <c r="L47" s="82"/>
      <c r="M47" s="83">
        <f t="shared" si="13"/>
        <v>32</v>
      </c>
      <c r="N47" s="83"/>
      <c r="O47" s="83"/>
      <c r="P47" s="83"/>
      <c r="Q47" s="216">
        <f t="shared" si="14"/>
        <v>6</v>
      </c>
      <c r="R47" s="216"/>
      <c r="S47" s="216"/>
      <c r="T47" s="217">
        <f t="shared" si="15"/>
        <v>0</v>
      </c>
      <c r="U47" s="217"/>
      <c r="V47" s="217"/>
      <c r="W47" s="218">
        <f t="shared" si="16"/>
        <v>6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도)치즈매콤닭강정감자2</v>
      </c>
      <c r="F48" s="82"/>
      <c r="G48" s="82"/>
      <c r="H48" s="82"/>
      <c r="I48" s="82"/>
      <c r="J48" s="82"/>
      <c r="K48" s="82"/>
      <c r="L48" s="82"/>
      <c r="M48" s="83">
        <f t="shared" si="13"/>
        <v>30</v>
      </c>
      <c r="N48" s="83"/>
      <c r="O48" s="83"/>
      <c r="P48" s="83"/>
      <c r="Q48" s="216">
        <f t="shared" si="14"/>
        <v>1</v>
      </c>
      <c r="R48" s="216"/>
      <c r="S48" s="216"/>
      <c r="T48" s="217">
        <f t="shared" si="15"/>
        <v>0</v>
      </c>
      <c r="U48" s="217"/>
      <c r="V48" s="217"/>
      <c r="W48" s="218">
        <f t="shared" si="16"/>
        <v>1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도)치즈청양간장닭강정2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17</v>
      </c>
      <c r="R49" s="216"/>
      <c r="S49" s="216"/>
      <c r="T49" s="217">
        <f t="shared" si="15"/>
        <v>0</v>
      </c>
      <c r="U49" s="217"/>
      <c r="V49" s="217"/>
      <c r="W49" s="218">
        <f t="shared" si="16"/>
        <v>17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도)쿵야반반닭강정팩2</v>
      </c>
      <c r="F50" s="82"/>
      <c r="G50" s="82"/>
      <c r="H50" s="82"/>
      <c r="I50" s="82"/>
      <c r="J50" s="82"/>
      <c r="K50" s="82"/>
      <c r="L50" s="82"/>
      <c r="M50" s="83">
        <f t="shared" si="13"/>
        <v>36</v>
      </c>
      <c r="N50" s="83"/>
      <c r="O50" s="83"/>
      <c r="P50" s="83"/>
      <c r="Q50" s="216">
        <f t="shared" si="14"/>
        <v>6</v>
      </c>
      <c r="R50" s="216"/>
      <c r="S50" s="216"/>
      <c r="T50" s="217">
        <f t="shared" si="15"/>
        <v>0</v>
      </c>
      <c r="U50" s="217"/>
      <c r="V50" s="217"/>
      <c r="W50" s="218">
        <f t="shared" si="16"/>
        <v>6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81" t="str">
        <f t="shared" ref="E51" si="18">E23</f>
        <v>APP)치맥아보트러플치킨2</v>
      </c>
      <c r="F51" s="82"/>
      <c r="G51" s="82"/>
      <c r="H51" s="82"/>
      <c r="I51" s="82"/>
      <c r="J51" s="82"/>
      <c r="K51" s="82"/>
      <c r="L51" s="82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183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100000000000001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경남 김해시 생림면 인제로 661
055)325-4064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100000000000001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H14">
    <cfRule type="expression" dxfId="195" priority="3077">
      <formula>Q13:S26=0</formula>
    </cfRule>
  </conditionalFormatting>
  <conditionalFormatting sqref="AA15:AH16">
    <cfRule type="expression" dxfId="194" priority="5">
      <formula>Q15:S26=0</formula>
    </cfRule>
  </conditionalFormatting>
  <conditionalFormatting sqref="AA17:AH18">
    <cfRule type="expression" dxfId="193" priority="3075">
      <formula>Q17:S27=0</formula>
    </cfRule>
  </conditionalFormatting>
  <conditionalFormatting sqref="AA19:AH21">
    <cfRule type="expression" dxfId="192" priority="2">
      <formula>Q19:S28=0</formula>
    </cfRule>
  </conditionalFormatting>
  <conditionalFormatting sqref="AA22:AH22">
    <cfRule type="expression" dxfId="191" priority="2452">
      <formula>Q22:S29=0</formula>
    </cfRule>
  </conditionalFormatting>
  <conditionalFormatting sqref="AA23:AH23">
    <cfRule type="expression" dxfId="190" priority="7">
      <formula>Q23:S31=0</formula>
    </cfRule>
  </conditionalFormatting>
  <conditionalFormatting sqref="AA24:AH24">
    <cfRule type="expression" dxfId="189" priority="26">
      <formula>Q24:S24=0</formula>
    </cfRule>
  </conditionalFormatting>
  <conditionalFormatting sqref="AA41:AH51">
    <cfRule type="expression" dxfId="188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Q41:Q51 M36:M52 E40:E52 T41:T51 AA40:AA51" xr:uid="{07727EEF-F45B-4A73-86F0-FDFD7FBAB15F}"/>
  </dataValidations>
  <printOptions horizontalCentered="1"/>
  <pageMargins left="0" right="0" top="0.11811023622047245" bottom="0" header="0" footer="0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A16B-FF5F-40F3-B090-CFE230FD35FE}">
  <sheetPr>
    <tabColor theme="7" tint="0.59999389629810485"/>
    <pageSetUpPr fitToPage="1"/>
  </sheetPr>
  <dimension ref="B1:AH54"/>
  <sheetViews>
    <sheetView topLeftCell="A18" zoomScale="85" zoomScaleNormal="85" workbookViewId="0">
      <selection activeCell="Q24" sqref="Q24:S2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40" width="2.33203125" style="1"/>
    <col min="41" max="41" width="20.6640625" style="1" bestFit="1" customWidth="1"/>
    <col min="42" max="42" width="4.5546875" style="1" bestFit="1" customWidth="1"/>
    <col min="43" max="16384" width="2.33203125" style="1"/>
  </cols>
  <sheetData>
    <row r="1" spans="2:34" ht="14.25" thickBot="1" x14ac:dyDescent="0.2">
      <c r="B1" s="3" t="s">
        <v>53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53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54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3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3</v>
      </c>
      <c r="X13" s="100"/>
      <c r="Y13" s="100"/>
      <c r="Z13" s="101"/>
      <c r="AA13" s="251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121</v>
      </c>
      <c r="R14" s="96"/>
      <c r="S14" s="97"/>
      <c r="T14" s="98">
        <f t="shared" ref="T14:T19" si="2">IFERROR(ROUNDDOWN(Q14/M14,0),"")</f>
        <v>4</v>
      </c>
      <c r="U14" s="84"/>
      <c r="V14" s="84"/>
      <c r="W14" s="99">
        <f t="shared" ref="W14:W19" si="3">IFERROR(Q14-(T14*M14),"")</f>
        <v>1</v>
      </c>
      <c r="X14" s="100"/>
      <c r="Y14" s="100"/>
      <c r="Z14" s="101"/>
      <c r="AA14" s="251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12</v>
      </c>
      <c r="R15" s="96"/>
      <c r="S15" s="97"/>
      <c r="T15" s="98">
        <f t="shared" si="2"/>
        <v>0</v>
      </c>
      <c r="U15" s="84"/>
      <c r="V15" s="84"/>
      <c r="W15" s="99">
        <f t="shared" si="3"/>
        <v>12</v>
      </c>
      <c r="X15" s="100"/>
      <c r="Y15" s="100"/>
      <c r="Z15" s="101"/>
      <c r="AA15" s="251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26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26</v>
      </c>
      <c r="X16" s="100"/>
      <c r="Y16" s="100"/>
      <c r="Z16" s="101"/>
      <c r="AA16" s="251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2</v>
      </c>
      <c r="R17" s="96"/>
      <c r="S17" s="97"/>
      <c r="T17" s="98">
        <f t="shared" si="2"/>
        <v>0</v>
      </c>
      <c r="U17" s="84"/>
      <c r="V17" s="84"/>
      <c r="W17" s="99">
        <f t="shared" si="3"/>
        <v>2</v>
      </c>
      <c r="X17" s="100"/>
      <c r="Y17" s="100"/>
      <c r="Z17" s="101"/>
      <c r="AA17" s="251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0</v>
      </c>
      <c r="R18" s="96"/>
      <c r="S18" s="97"/>
      <c r="T18" s="98">
        <f t="shared" si="2"/>
        <v>0</v>
      </c>
      <c r="U18" s="84"/>
      <c r="V18" s="84"/>
      <c r="W18" s="99">
        <f t="shared" si="3"/>
        <v>0</v>
      </c>
      <c r="X18" s="100"/>
      <c r="Y18" s="100"/>
      <c r="Z18" s="101"/>
      <c r="AA18" s="251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4</v>
      </c>
      <c r="R19" s="96"/>
      <c r="S19" s="97"/>
      <c r="T19" s="98">
        <f t="shared" si="2"/>
        <v>0</v>
      </c>
      <c r="U19" s="84"/>
      <c r="V19" s="84"/>
      <c r="W19" s="99">
        <f t="shared" si="3"/>
        <v>4</v>
      </c>
      <c r="X19" s="100"/>
      <c r="Y19" s="100"/>
      <c r="Z19" s="101"/>
      <c r="AA19" s="251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3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3</v>
      </c>
      <c r="X20" s="100"/>
      <c r="Y20" s="100"/>
      <c r="Z20" s="101"/>
      <c r="AA20" s="251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25</v>
      </c>
      <c r="R21" s="96"/>
      <c r="S21" s="97"/>
      <c r="T21" s="98">
        <f t="shared" ref="T21" si="8">IFERROR(ROUNDDOWN(Q21/M21,0),"")</f>
        <v>0</v>
      </c>
      <c r="U21" s="84"/>
      <c r="V21" s="84"/>
      <c r="W21" s="99">
        <f t="shared" ref="W21" si="9">IFERROR(Q21-(T21*M21),"")</f>
        <v>25</v>
      </c>
      <c r="X21" s="100"/>
      <c r="Y21" s="100"/>
      <c r="Z21" s="101"/>
      <c r="AA21" s="251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5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5</v>
      </c>
      <c r="X22" s="100"/>
      <c r="Y22" s="100"/>
      <c r="Z22" s="101"/>
      <c r="AA22" s="251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251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201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55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BGF로지스진주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경남 진주시 정촌면 화개천로 50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3</v>
      </c>
      <c r="R41" s="216"/>
      <c r="S41" s="216"/>
      <c r="T41" s="217">
        <f>T13</f>
        <v>0</v>
      </c>
      <c r="U41" s="217"/>
      <c r="V41" s="217"/>
      <c r="W41" s="218">
        <f>W13</f>
        <v>3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0" si="12">E14</f>
        <v>도)리얼모짜치즈돈까스2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30</v>
      </c>
      <c r="N42" s="83"/>
      <c r="O42" s="83"/>
      <c r="P42" s="83"/>
      <c r="Q42" s="216">
        <f t="shared" ref="Q42:Q51" si="14">Q14</f>
        <v>121</v>
      </c>
      <c r="R42" s="216"/>
      <c r="S42" s="216"/>
      <c r="T42" s="217">
        <f t="shared" ref="T42:T51" si="15">T14</f>
        <v>4</v>
      </c>
      <c r="U42" s="217"/>
      <c r="V42" s="217"/>
      <c r="W42" s="218">
        <f t="shared" ref="W42:W50" si="16">W14</f>
        <v>1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81" t="str">
        <f t="shared" si="12"/>
        <v>도)리얼치즈고구마돈까스2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12</v>
      </c>
      <c r="R43" s="216"/>
      <c r="S43" s="216"/>
      <c r="T43" s="217">
        <f t="shared" si="15"/>
        <v>0</v>
      </c>
      <c r="U43" s="217"/>
      <c r="V43" s="217"/>
      <c r="W43" s="218">
        <f t="shared" si="16"/>
        <v>12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81" t="str">
        <f t="shared" si="12"/>
        <v>도)윙봉칠리탕수득템2</v>
      </c>
      <c r="F44" s="82"/>
      <c r="G44" s="82"/>
      <c r="H44" s="82"/>
      <c r="I44" s="82"/>
      <c r="J44" s="82"/>
      <c r="K44" s="82"/>
      <c r="L44" s="82"/>
      <c r="M44" s="83">
        <f t="shared" si="13"/>
        <v>36</v>
      </c>
      <c r="N44" s="83"/>
      <c r="O44" s="83"/>
      <c r="P44" s="83"/>
      <c r="Q44" s="216">
        <f t="shared" si="14"/>
        <v>26</v>
      </c>
      <c r="R44" s="216"/>
      <c r="S44" s="216"/>
      <c r="T44" s="217">
        <f t="shared" si="15"/>
        <v>0</v>
      </c>
      <c r="U44" s="217"/>
      <c r="V44" s="217"/>
      <c r="W44" s="218">
        <f t="shared" si="16"/>
        <v>26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81" t="str">
        <f t="shared" si="12"/>
        <v>도)찍먹윙봉2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2</v>
      </c>
      <c r="R45" s="216"/>
      <c r="S45" s="216"/>
      <c r="T45" s="217">
        <f t="shared" si="15"/>
        <v>0</v>
      </c>
      <c r="U45" s="217"/>
      <c r="V45" s="217"/>
      <c r="W45" s="218">
        <f t="shared" si="16"/>
        <v>2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81" t="str">
        <f t="shared" si="12"/>
        <v>도)찍먹탕수육2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0</v>
      </c>
      <c r="R46" s="216"/>
      <c r="S46" s="216"/>
      <c r="T46" s="217">
        <f t="shared" si="15"/>
        <v>0</v>
      </c>
      <c r="U46" s="217"/>
      <c r="V46" s="217"/>
      <c r="W46" s="218">
        <f t="shared" si="16"/>
        <v>0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도)치맥아보트러플치킨2</v>
      </c>
      <c r="F47" s="82"/>
      <c r="G47" s="82"/>
      <c r="H47" s="82"/>
      <c r="I47" s="82"/>
      <c r="J47" s="82"/>
      <c r="K47" s="82"/>
      <c r="L47" s="82"/>
      <c r="M47" s="83">
        <f t="shared" si="13"/>
        <v>32</v>
      </c>
      <c r="N47" s="83"/>
      <c r="O47" s="83"/>
      <c r="P47" s="83"/>
      <c r="Q47" s="216">
        <f t="shared" si="14"/>
        <v>4</v>
      </c>
      <c r="R47" s="216"/>
      <c r="S47" s="216"/>
      <c r="T47" s="217">
        <f t="shared" si="15"/>
        <v>0</v>
      </c>
      <c r="U47" s="217"/>
      <c r="V47" s="217"/>
      <c r="W47" s="218">
        <f t="shared" si="16"/>
        <v>4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도)치즈매콤닭강정감자2</v>
      </c>
      <c r="F48" s="82"/>
      <c r="G48" s="82"/>
      <c r="H48" s="82"/>
      <c r="I48" s="82"/>
      <c r="J48" s="82"/>
      <c r="K48" s="82"/>
      <c r="L48" s="82"/>
      <c r="M48" s="83">
        <f t="shared" si="13"/>
        <v>30</v>
      </c>
      <c r="N48" s="83"/>
      <c r="O48" s="83"/>
      <c r="P48" s="83"/>
      <c r="Q48" s="216">
        <f t="shared" si="14"/>
        <v>3</v>
      </c>
      <c r="R48" s="216"/>
      <c r="S48" s="216"/>
      <c r="T48" s="217">
        <f t="shared" si="15"/>
        <v>0</v>
      </c>
      <c r="U48" s="217"/>
      <c r="V48" s="217"/>
      <c r="W48" s="218">
        <f t="shared" si="16"/>
        <v>3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도)치즈청양간장닭강정2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25</v>
      </c>
      <c r="R49" s="216"/>
      <c r="S49" s="216"/>
      <c r="T49" s="217">
        <f t="shared" si="15"/>
        <v>0</v>
      </c>
      <c r="U49" s="217"/>
      <c r="V49" s="217"/>
      <c r="W49" s="218">
        <f t="shared" si="16"/>
        <v>25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도)쿵야반반닭강정팩2</v>
      </c>
      <c r="F50" s="82"/>
      <c r="G50" s="82"/>
      <c r="H50" s="82"/>
      <c r="I50" s="82"/>
      <c r="J50" s="82"/>
      <c r="K50" s="82"/>
      <c r="L50" s="82"/>
      <c r="M50" s="83">
        <f t="shared" si="13"/>
        <v>36</v>
      </c>
      <c r="N50" s="83"/>
      <c r="O50" s="83"/>
      <c r="P50" s="83"/>
      <c r="Q50" s="216">
        <f t="shared" si="14"/>
        <v>5</v>
      </c>
      <c r="R50" s="216"/>
      <c r="S50" s="216"/>
      <c r="T50" s="217">
        <f t="shared" si="15"/>
        <v>0</v>
      </c>
      <c r="U50" s="217"/>
      <c r="V50" s="217"/>
      <c r="W50" s="218">
        <f t="shared" si="16"/>
        <v>5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81" t="str">
        <f t="shared" ref="E51" si="18">E23</f>
        <v>APP)치맥아보트러플치킨2</v>
      </c>
      <c r="F51" s="82"/>
      <c r="G51" s="82"/>
      <c r="H51" s="82"/>
      <c r="I51" s="82"/>
      <c r="J51" s="82"/>
      <c r="K51" s="82"/>
      <c r="L51" s="82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201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100000000000001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 xml:space="preserve">경남 진주시 정촌면 화개천로 50
055)795-2500 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100000000000001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A14">
    <cfRule type="expression" dxfId="187" priority="3073">
      <formula>Q13:S26=0</formula>
    </cfRule>
  </conditionalFormatting>
  <conditionalFormatting sqref="AA15:AA16">
    <cfRule type="expression" dxfId="186" priority="5">
      <formula>Q15:S26=0</formula>
    </cfRule>
  </conditionalFormatting>
  <conditionalFormatting sqref="AA17:AA18">
    <cfRule type="expression" dxfId="185" priority="3071">
      <formula>Q17:S27=0</formula>
    </cfRule>
  </conditionalFormatting>
  <conditionalFormatting sqref="AA19:AA21">
    <cfRule type="expression" dxfId="184" priority="2">
      <formula>Q19:S28=0</formula>
    </cfRule>
  </conditionalFormatting>
  <conditionalFormatting sqref="AA22">
    <cfRule type="expression" dxfId="183" priority="2449">
      <formula>Q22:S29=0</formula>
    </cfRule>
  </conditionalFormatting>
  <conditionalFormatting sqref="AA23">
    <cfRule type="expression" dxfId="182" priority="7">
      <formula>Q23:S31=0</formula>
    </cfRule>
  </conditionalFormatting>
  <conditionalFormatting sqref="AA24:AH24">
    <cfRule type="expression" dxfId="181" priority="23">
      <formula>Q24:S24=0</formula>
    </cfRule>
  </conditionalFormatting>
  <conditionalFormatting sqref="AA41:AH51">
    <cfRule type="expression" dxfId="180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L25 C14:D24 Q13:Q24 E12:E24 M8:M25 AA12:AA23 B12:B26 T13:T24 B40:B53 C42:D51 Q41:Q51 M36:M52 E40:E52 T41:T51 AA40:AA51" xr:uid="{9EFD7381-06A8-48B3-9F0C-0FE223FD1B2F}"/>
  </dataValidations>
  <printOptions horizontalCentered="1"/>
  <pageMargins left="0" right="0" top="0.11811023622047245" bottom="0" header="0" footer="0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8EE9-C683-4F1C-B476-81B91EFC6E22}">
  <sheetPr>
    <tabColor theme="7" tint="0.59999389629810485"/>
    <pageSetUpPr fitToPage="1"/>
  </sheetPr>
  <dimension ref="B1:AH54"/>
  <sheetViews>
    <sheetView zoomScale="85" zoomScaleNormal="85" workbookViewId="0">
      <selection activeCell="BD24" sqref="BD2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58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58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59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8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8</v>
      </c>
      <c r="X13" s="100"/>
      <c r="Y13" s="100"/>
      <c r="Z13" s="101"/>
      <c r="AA13" s="251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175</v>
      </c>
      <c r="R14" s="96"/>
      <c r="S14" s="97"/>
      <c r="T14" s="98">
        <f t="shared" ref="T14:T19" si="2">IFERROR(ROUNDDOWN(Q14/M14,0),"")</f>
        <v>5</v>
      </c>
      <c r="U14" s="84"/>
      <c r="V14" s="84"/>
      <c r="W14" s="99">
        <f t="shared" ref="W14:W19" si="3">IFERROR(Q14-(T14*M14),"")</f>
        <v>25</v>
      </c>
      <c r="X14" s="100"/>
      <c r="Y14" s="100"/>
      <c r="Z14" s="101"/>
      <c r="AA14" s="251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18</v>
      </c>
      <c r="R15" s="96"/>
      <c r="S15" s="97"/>
      <c r="T15" s="98">
        <f t="shared" si="2"/>
        <v>0</v>
      </c>
      <c r="U15" s="84"/>
      <c r="V15" s="84"/>
      <c r="W15" s="99">
        <f t="shared" si="3"/>
        <v>18</v>
      </c>
      <c r="X15" s="100"/>
      <c r="Y15" s="100"/>
      <c r="Z15" s="101"/>
      <c r="AA15" s="251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30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30</v>
      </c>
      <c r="X16" s="100"/>
      <c r="Y16" s="100"/>
      <c r="Z16" s="101"/>
      <c r="AA16" s="251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3</v>
      </c>
      <c r="R17" s="96"/>
      <c r="S17" s="97"/>
      <c r="T17" s="98">
        <f t="shared" si="2"/>
        <v>0</v>
      </c>
      <c r="U17" s="84"/>
      <c r="V17" s="84"/>
      <c r="W17" s="99">
        <f t="shared" si="3"/>
        <v>3</v>
      </c>
      <c r="X17" s="100"/>
      <c r="Y17" s="100"/>
      <c r="Z17" s="101"/>
      <c r="AA17" s="251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4</v>
      </c>
      <c r="R18" s="96"/>
      <c r="S18" s="97"/>
      <c r="T18" s="98">
        <f t="shared" si="2"/>
        <v>0</v>
      </c>
      <c r="U18" s="84"/>
      <c r="V18" s="84"/>
      <c r="W18" s="99">
        <f t="shared" si="3"/>
        <v>4</v>
      </c>
      <c r="X18" s="100"/>
      <c r="Y18" s="100"/>
      <c r="Z18" s="101"/>
      <c r="AA18" s="251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7</v>
      </c>
      <c r="R19" s="96"/>
      <c r="S19" s="97"/>
      <c r="T19" s="98">
        <f t="shared" si="2"/>
        <v>0</v>
      </c>
      <c r="U19" s="84"/>
      <c r="V19" s="84"/>
      <c r="W19" s="99">
        <f t="shared" si="3"/>
        <v>7</v>
      </c>
      <c r="X19" s="100"/>
      <c r="Y19" s="100"/>
      <c r="Z19" s="101"/>
      <c r="AA19" s="251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2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2</v>
      </c>
      <c r="X20" s="100"/>
      <c r="Y20" s="100"/>
      <c r="Z20" s="101"/>
      <c r="AA20" s="251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32</v>
      </c>
      <c r="R21" s="96"/>
      <c r="S21" s="97"/>
      <c r="T21" s="98">
        <f t="shared" ref="T21" si="8">IFERROR(ROUNDDOWN(Q21/M21,0),"")</f>
        <v>1</v>
      </c>
      <c r="U21" s="84"/>
      <c r="V21" s="84"/>
      <c r="W21" s="99">
        <f t="shared" ref="W21" si="9">IFERROR(Q21-(T21*M21),"")</f>
        <v>2</v>
      </c>
      <c r="X21" s="100"/>
      <c r="Y21" s="100"/>
      <c r="Z21" s="101"/>
      <c r="AA21" s="251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9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9</v>
      </c>
      <c r="X22" s="100"/>
      <c r="Y22" s="100"/>
      <c r="Z22" s="101"/>
      <c r="AA22" s="251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251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288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8.75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60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8.75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엑소후레쉬양산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울산광역시 울주군 삼동면 조일리 1341-6번지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8</v>
      </c>
      <c r="R41" s="216"/>
      <c r="S41" s="216"/>
      <c r="T41" s="217">
        <f>T13</f>
        <v>0</v>
      </c>
      <c r="U41" s="217"/>
      <c r="V41" s="217"/>
      <c r="W41" s="218">
        <f>W13</f>
        <v>8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0" si="12">E14</f>
        <v>도)리얼모짜치즈돈까스2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30</v>
      </c>
      <c r="N42" s="83"/>
      <c r="O42" s="83"/>
      <c r="P42" s="83"/>
      <c r="Q42" s="216">
        <f t="shared" ref="Q42:Q51" si="14">Q14</f>
        <v>175</v>
      </c>
      <c r="R42" s="216"/>
      <c r="S42" s="216"/>
      <c r="T42" s="217">
        <f t="shared" ref="T42:T51" si="15">T14</f>
        <v>5</v>
      </c>
      <c r="U42" s="217"/>
      <c r="V42" s="217"/>
      <c r="W42" s="218">
        <f t="shared" ref="W42:W50" si="16">W14</f>
        <v>25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81" t="str">
        <f t="shared" si="12"/>
        <v>도)리얼치즈고구마돈까스2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18</v>
      </c>
      <c r="R43" s="216"/>
      <c r="S43" s="216"/>
      <c r="T43" s="217">
        <f t="shared" si="15"/>
        <v>0</v>
      </c>
      <c r="U43" s="217"/>
      <c r="V43" s="217"/>
      <c r="W43" s="218">
        <f t="shared" si="16"/>
        <v>18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81" t="str">
        <f t="shared" si="12"/>
        <v>도)윙봉칠리탕수득템2</v>
      </c>
      <c r="F44" s="82"/>
      <c r="G44" s="82"/>
      <c r="H44" s="82"/>
      <c r="I44" s="82"/>
      <c r="J44" s="82"/>
      <c r="K44" s="82"/>
      <c r="L44" s="82"/>
      <c r="M44" s="83">
        <f t="shared" si="13"/>
        <v>36</v>
      </c>
      <c r="N44" s="83"/>
      <c r="O44" s="83"/>
      <c r="P44" s="83"/>
      <c r="Q44" s="216">
        <f t="shared" si="14"/>
        <v>30</v>
      </c>
      <c r="R44" s="216"/>
      <c r="S44" s="216"/>
      <c r="T44" s="217">
        <f t="shared" si="15"/>
        <v>0</v>
      </c>
      <c r="U44" s="217"/>
      <c r="V44" s="217"/>
      <c r="W44" s="218">
        <f t="shared" si="16"/>
        <v>30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81" t="str">
        <f t="shared" si="12"/>
        <v>도)찍먹윙봉2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3</v>
      </c>
      <c r="R45" s="216"/>
      <c r="S45" s="216"/>
      <c r="T45" s="217">
        <f t="shared" si="15"/>
        <v>0</v>
      </c>
      <c r="U45" s="217"/>
      <c r="V45" s="217"/>
      <c r="W45" s="218">
        <f t="shared" si="16"/>
        <v>3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81" t="str">
        <f t="shared" si="12"/>
        <v>도)찍먹탕수육2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4</v>
      </c>
      <c r="R46" s="216"/>
      <c r="S46" s="216"/>
      <c r="T46" s="217">
        <f t="shared" si="15"/>
        <v>0</v>
      </c>
      <c r="U46" s="217"/>
      <c r="V46" s="217"/>
      <c r="W46" s="218">
        <f t="shared" si="16"/>
        <v>4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도)치맥아보트러플치킨2</v>
      </c>
      <c r="F47" s="82"/>
      <c r="G47" s="82"/>
      <c r="H47" s="82"/>
      <c r="I47" s="82"/>
      <c r="J47" s="82"/>
      <c r="K47" s="82"/>
      <c r="L47" s="82"/>
      <c r="M47" s="83">
        <f t="shared" si="13"/>
        <v>32</v>
      </c>
      <c r="N47" s="83"/>
      <c r="O47" s="83"/>
      <c r="P47" s="83"/>
      <c r="Q47" s="216">
        <f t="shared" si="14"/>
        <v>7</v>
      </c>
      <c r="R47" s="216"/>
      <c r="S47" s="216"/>
      <c r="T47" s="217">
        <f t="shared" si="15"/>
        <v>0</v>
      </c>
      <c r="U47" s="217"/>
      <c r="V47" s="217"/>
      <c r="W47" s="218">
        <f t="shared" si="16"/>
        <v>7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도)치즈매콤닭강정감자2</v>
      </c>
      <c r="F48" s="82"/>
      <c r="G48" s="82"/>
      <c r="H48" s="82"/>
      <c r="I48" s="82"/>
      <c r="J48" s="82"/>
      <c r="K48" s="82"/>
      <c r="L48" s="82"/>
      <c r="M48" s="83">
        <f t="shared" si="13"/>
        <v>30</v>
      </c>
      <c r="N48" s="83"/>
      <c r="O48" s="83"/>
      <c r="P48" s="83"/>
      <c r="Q48" s="216">
        <f t="shared" si="14"/>
        <v>2</v>
      </c>
      <c r="R48" s="216"/>
      <c r="S48" s="216"/>
      <c r="T48" s="217">
        <f t="shared" si="15"/>
        <v>0</v>
      </c>
      <c r="U48" s="217"/>
      <c r="V48" s="217"/>
      <c r="W48" s="218">
        <f t="shared" si="16"/>
        <v>2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도)치즈청양간장닭강정2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32</v>
      </c>
      <c r="R49" s="216"/>
      <c r="S49" s="216"/>
      <c r="T49" s="217">
        <f t="shared" si="15"/>
        <v>1</v>
      </c>
      <c r="U49" s="217"/>
      <c r="V49" s="217"/>
      <c r="W49" s="218">
        <f t="shared" si="16"/>
        <v>2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도)쿵야반반닭강정팩2</v>
      </c>
      <c r="F50" s="82"/>
      <c r="G50" s="82"/>
      <c r="H50" s="82"/>
      <c r="I50" s="82"/>
      <c r="J50" s="82"/>
      <c r="K50" s="82"/>
      <c r="L50" s="82"/>
      <c r="M50" s="83">
        <f t="shared" si="13"/>
        <v>36</v>
      </c>
      <c r="N50" s="83"/>
      <c r="O50" s="83"/>
      <c r="P50" s="83"/>
      <c r="Q50" s="216">
        <f t="shared" si="14"/>
        <v>9</v>
      </c>
      <c r="R50" s="216"/>
      <c r="S50" s="216"/>
      <c r="T50" s="217">
        <f t="shared" si="15"/>
        <v>0</v>
      </c>
      <c r="U50" s="217"/>
      <c r="V50" s="217"/>
      <c r="W50" s="218">
        <f t="shared" si="16"/>
        <v>9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81" t="str">
        <f t="shared" ref="E51" si="18">E23</f>
        <v>APP)치맥아보트러플치킨2</v>
      </c>
      <c r="F51" s="82"/>
      <c r="G51" s="82"/>
      <c r="H51" s="82"/>
      <c r="I51" s="82"/>
      <c r="J51" s="82"/>
      <c r="K51" s="82"/>
      <c r="L51" s="82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288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8.75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울산광역시 울주군 삼동면 조일리 
1341-6번지
070)7119-5178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8.75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A14">
    <cfRule type="expression" dxfId="179" priority="3069">
      <formula>Q13:S26=0</formula>
    </cfRule>
  </conditionalFormatting>
  <conditionalFormatting sqref="AA15:AA16">
    <cfRule type="expression" dxfId="178" priority="5">
      <formula>Q15:S26=0</formula>
    </cfRule>
  </conditionalFormatting>
  <conditionalFormatting sqref="AA17:AA18">
    <cfRule type="expression" dxfId="177" priority="3067">
      <formula>Q17:S27=0</formula>
    </cfRule>
  </conditionalFormatting>
  <conditionalFormatting sqref="AA19:AA21">
    <cfRule type="expression" dxfId="176" priority="2">
      <formula>Q19:S28=0</formula>
    </cfRule>
  </conditionalFormatting>
  <conditionalFormatting sqref="AA22">
    <cfRule type="expression" dxfId="175" priority="2446">
      <formula>Q22:S29=0</formula>
    </cfRule>
  </conditionalFormatting>
  <conditionalFormatting sqref="AA23">
    <cfRule type="expression" dxfId="174" priority="7">
      <formula>Q23:S31=0</formula>
    </cfRule>
  </conditionalFormatting>
  <conditionalFormatting sqref="AA24:AH24">
    <cfRule type="expression" dxfId="173" priority="23">
      <formula>Q24:S24=0</formula>
    </cfRule>
  </conditionalFormatting>
  <conditionalFormatting sqref="AA41:AH51">
    <cfRule type="expression" dxfId="172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Q41:Q51 M36:M52 E40:E52 T41:T51 AA40:AA51" xr:uid="{0BC864CF-A488-4656-B39B-84333F5AF485}"/>
  </dataValidations>
  <printOptions horizontalCentered="1"/>
  <pageMargins left="0" right="0" top="0.11811023622047245" bottom="0" header="0" footer="0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69E4-2460-4F23-A89B-77FACF12F4C6}">
  <sheetPr>
    <tabColor theme="7" tint="0.59999389629810485"/>
    <pageSetUpPr fitToPage="1"/>
  </sheetPr>
  <dimension ref="B1:AH54"/>
  <sheetViews>
    <sheetView topLeftCell="A16" zoomScale="85" zoomScaleNormal="85" workbookViewId="0">
      <selection activeCell="Q24" sqref="Q24:S2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62</v>
      </c>
      <c r="C1" s="2"/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62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61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0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0</v>
      </c>
      <c r="X13" s="100"/>
      <c r="Y13" s="100"/>
      <c r="Z13" s="101"/>
      <c r="AA13" s="251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0</v>
      </c>
      <c r="R14" s="96"/>
      <c r="S14" s="97"/>
      <c r="T14" s="98">
        <f t="shared" ref="T14:T19" si="2">IFERROR(ROUNDDOWN(Q14/M14,0),"")</f>
        <v>0</v>
      </c>
      <c r="U14" s="84"/>
      <c r="V14" s="84"/>
      <c r="W14" s="99">
        <f t="shared" ref="W14:W19" si="3">IFERROR(Q14-(T14*M14),"")</f>
        <v>0</v>
      </c>
      <c r="X14" s="100"/>
      <c r="Y14" s="100"/>
      <c r="Z14" s="101"/>
      <c r="AA14" s="251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0</v>
      </c>
      <c r="R15" s="96"/>
      <c r="S15" s="97"/>
      <c r="T15" s="98">
        <f t="shared" si="2"/>
        <v>0</v>
      </c>
      <c r="U15" s="84"/>
      <c r="V15" s="84"/>
      <c r="W15" s="99">
        <f t="shared" si="3"/>
        <v>0</v>
      </c>
      <c r="X15" s="100"/>
      <c r="Y15" s="100"/>
      <c r="Z15" s="101"/>
      <c r="AA15" s="251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0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0</v>
      </c>
      <c r="X16" s="100"/>
      <c r="Y16" s="100"/>
      <c r="Z16" s="101"/>
      <c r="AA16" s="251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0</v>
      </c>
      <c r="R17" s="96"/>
      <c r="S17" s="97"/>
      <c r="T17" s="98">
        <f t="shared" si="2"/>
        <v>0</v>
      </c>
      <c r="U17" s="84"/>
      <c r="V17" s="84"/>
      <c r="W17" s="99">
        <f t="shared" si="3"/>
        <v>0</v>
      </c>
      <c r="X17" s="100"/>
      <c r="Y17" s="100"/>
      <c r="Z17" s="101"/>
      <c r="AA17" s="251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0</v>
      </c>
      <c r="R18" s="96"/>
      <c r="S18" s="97"/>
      <c r="T18" s="98">
        <f t="shared" si="2"/>
        <v>0</v>
      </c>
      <c r="U18" s="84"/>
      <c r="V18" s="84"/>
      <c r="W18" s="99">
        <f t="shared" si="3"/>
        <v>0</v>
      </c>
      <c r="X18" s="100"/>
      <c r="Y18" s="100"/>
      <c r="Z18" s="101"/>
      <c r="AA18" s="251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0</v>
      </c>
      <c r="R19" s="96"/>
      <c r="S19" s="97"/>
      <c r="T19" s="98">
        <f t="shared" si="2"/>
        <v>0</v>
      </c>
      <c r="U19" s="84"/>
      <c r="V19" s="84"/>
      <c r="W19" s="99">
        <f t="shared" si="3"/>
        <v>0</v>
      </c>
      <c r="X19" s="100"/>
      <c r="Y19" s="100"/>
      <c r="Z19" s="101"/>
      <c r="AA19" s="251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0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0</v>
      </c>
      <c r="X20" s="100"/>
      <c r="Y20" s="100"/>
      <c r="Z20" s="101"/>
      <c r="AA20" s="251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0</v>
      </c>
      <c r="R21" s="96"/>
      <c r="S21" s="97"/>
      <c r="T21" s="98">
        <f t="shared" ref="T21" si="8">IFERROR(ROUNDDOWN(Q21/M21,0),"")</f>
        <v>0</v>
      </c>
      <c r="U21" s="84"/>
      <c r="V21" s="84"/>
      <c r="W21" s="99">
        <f t="shared" ref="W21" si="9">IFERROR(Q21-(T21*M21),"")</f>
        <v>0</v>
      </c>
      <c r="X21" s="100"/>
      <c r="Y21" s="100"/>
      <c r="Z21" s="101"/>
      <c r="AA21" s="251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0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0</v>
      </c>
      <c r="X22" s="100"/>
      <c r="Y22" s="100"/>
      <c r="Z22" s="101"/>
      <c r="AA22" s="251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251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0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63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김해물류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김해시 테크노밸리길 196 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0</v>
      </c>
      <c r="R41" s="216"/>
      <c r="S41" s="216"/>
      <c r="T41" s="217">
        <f>T13</f>
        <v>0</v>
      </c>
      <c r="U41" s="217"/>
      <c r="V41" s="217"/>
      <c r="W41" s="218">
        <f>W13</f>
        <v>0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0" si="12">E14</f>
        <v>도)리얼모짜치즈돈까스2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30</v>
      </c>
      <c r="N42" s="83"/>
      <c r="O42" s="83"/>
      <c r="P42" s="83"/>
      <c r="Q42" s="216">
        <f t="shared" ref="Q42:Q51" si="14">Q14</f>
        <v>0</v>
      </c>
      <c r="R42" s="216"/>
      <c r="S42" s="216"/>
      <c r="T42" s="217">
        <f t="shared" ref="T42:T51" si="15">T14</f>
        <v>0</v>
      </c>
      <c r="U42" s="217"/>
      <c r="V42" s="217"/>
      <c r="W42" s="218">
        <f t="shared" ref="W42:W50" si="16">W14</f>
        <v>0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81" t="str">
        <f t="shared" si="12"/>
        <v>도)리얼치즈고구마돈까스2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0</v>
      </c>
      <c r="R43" s="216"/>
      <c r="S43" s="216"/>
      <c r="T43" s="217">
        <f t="shared" si="15"/>
        <v>0</v>
      </c>
      <c r="U43" s="217"/>
      <c r="V43" s="217"/>
      <c r="W43" s="218">
        <f t="shared" si="16"/>
        <v>0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81" t="str">
        <f t="shared" si="12"/>
        <v>도)윙봉칠리탕수득템2</v>
      </c>
      <c r="F44" s="82"/>
      <c r="G44" s="82"/>
      <c r="H44" s="82"/>
      <c r="I44" s="82"/>
      <c r="J44" s="82"/>
      <c r="K44" s="82"/>
      <c r="L44" s="82"/>
      <c r="M44" s="83">
        <f t="shared" si="13"/>
        <v>36</v>
      </c>
      <c r="N44" s="83"/>
      <c r="O44" s="83"/>
      <c r="P44" s="83"/>
      <c r="Q44" s="216">
        <f t="shared" si="14"/>
        <v>0</v>
      </c>
      <c r="R44" s="216"/>
      <c r="S44" s="216"/>
      <c r="T44" s="217">
        <f t="shared" si="15"/>
        <v>0</v>
      </c>
      <c r="U44" s="217"/>
      <c r="V44" s="217"/>
      <c r="W44" s="218">
        <f t="shared" si="16"/>
        <v>0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81" t="str">
        <f t="shared" si="12"/>
        <v>도)찍먹윙봉2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0</v>
      </c>
      <c r="R45" s="216"/>
      <c r="S45" s="216"/>
      <c r="T45" s="217">
        <f t="shared" si="15"/>
        <v>0</v>
      </c>
      <c r="U45" s="217"/>
      <c r="V45" s="217"/>
      <c r="W45" s="218">
        <f t="shared" si="16"/>
        <v>0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81" t="str">
        <f t="shared" si="12"/>
        <v>도)찍먹탕수육2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0</v>
      </c>
      <c r="R46" s="216"/>
      <c r="S46" s="216"/>
      <c r="T46" s="217">
        <f t="shared" si="15"/>
        <v>0</v>
      </c>
      <c r="U46" s="217"/>
      <c r="V46" s="217"/>
      <c r="W46" s="218">
        <f t="shared" si="16"/>
        <v>0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도)치맥아보트러플치킨2</v>
      </c>
      <c r="F47" s="82"/>
      <c r="G47" s="82"/>
      <c r="H47" s="82"/>
      <c r="I47" s="82"/>
      <c r="J47" s="82"/>
      <c r="K47" s="82"/>
      <c r="L47" s="82"/>
      <c r="M47" s="83">
        <f t="shared" si="13"/>
        <v>32</v>
      </c>
      <c r="N47" s="83"/>
      <c r="O47" s="83"/>
      <c r="P47" s="83"/>
      <c r="Q47" s="216">
        <f t="shared" si="14"/>
        <v>0</v>
      </c>
      <c r="R47" s="216"/>
      <c r="S47" s="216"/>
      <c r="T47" s="217">
        <f t="shared" si="15"/>
        <v>0</v>
      </c>
      <c r="U47" s="217"/>
      <c r="V47" s="217"/>
      <c r="W47" s="218">
        <f t="shared" si="16"/>
        <v>0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도)치즈매콤닭강정감자2</v>
      </c>
      <c r="F48" s="82"/>
      <c r="G48" s="82"/>
      <c r="H48" s="82"/>
      <c r="I48" s="82"/>
      <c r="J48" s="82"/>
      <c r="K48" s="82"/>
      <c r="L48" s="82"/>
      <c r="M48" s="83">
        <f t="shared" si="13"/>
        <v>30</v>
      </c>
      <c r="N48" s="83"/>
      <c r="O48" s="83"/>
      <c r="P48" s="83"/>
      <c r="Q48" s="216">
        <f t="shared" si="14"/>
        <v>0</v>
      </c>
      <c r="R48" s="216"/>
      <c r="S48" s="216"/>
      <c r="T48" s="217">
        <f t="shared" si="15"/>
        <v>0</v>
      </c>
      <c r="U48" s="217"/>
      <c r="V48" s="217"/>
      <c r="W48" s="218">
        <f t="shared" si="16"/>
        <v>0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도)치즈청양간장닭강정2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0</v>
      </c>
      <c r="R49" s="216"/>
      <c r="S49" s="216"/>
      <c r="T49" s="217">
        <f t="shared" si="15"/>
        <v>0</v>
      </c>
      <c r="U49" s="217"/>
      <c r="V49" s="217"/>
      <c r="W49" s="218">
        <f t="shared" si="16"/>
        <v>0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도)쿵야반반닭강정팩2</v>
      </c>
      <c r="F50" s="82"/>
      <c r="G50" s="82"/>
      <c r="H50" s="82"/>
      <c r="I50" s="82"/>
      <c r="J50" s="82"/>
      <c r="K50" s="82"/>
      <c r="L50" s="82"/>
      <c r="M50" s="83">
        <f t="shared" si="13"/>
        <v>36</v>
      </c>
      <c r="N50" s="83"/>
      <c r="O50" s="83"/>
      <c r="P50" s="83"/>
      <c r="Q50" s="216">
        <f t="shared" si="14"/>
        <v>0</v>
      </c>
      <c r="R50" s="216"/>
      <c r="S50" s="216"/>
      <c r="T50" s="217">
        <f t="shared" si="15"/>
        <v>0</v>
      </c>
      <c r="U50" s="217"/>
      <c r="V50" s="217"/>
      <c r="W50" s="218">
        <f t="shared" si="16"/>
        <v>0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81" t="str">
        <f t="shared" ref="E51" si="18">E23</f>
        <v>APP)치맥아보트러플치킨2</v>
      </c>
      <c r="F51" s="82"/>
      <c r="G51" s="82"/>
      <c r="H51" s="82"/>
      <c r="I51" s="82"/>
      <c r="J51" s="82"/>
      <c r="K51" s="82"/>
      <c r="L51" s="82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0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100000000000001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김해시 테크노밸리길 196  
055)724-2130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100000000000001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A14">
    <cfRule type="expression" dxfId="171" priority="3065">
      <formula>Q13:S26=0</formula>
    </cfRule>
  </conditionalFormatting>
  <conditionalFormatting sqref="AA15:AA16">
    <cfRule type="expression" dxfId="170" priority="5">
      <formula>Q15:S26=0</formula>
    </cfRule>
  </conditionalFormatting>
  <conditionalFormatting sqref="AA17:AA18">
    <cfRule type="expression" dxfId="169" priority="3063">
      <formula>Q17:S27=0</formula>
    </cfRule>
  </conditionalFormatting>
  <conditionalFormatting sqref="AA19:AA21">
    <cfRule type="expression" dxfId="168" priority="2">
      <formula>Q19:S28=0</formula>
    </cfRule>
  </conditionalFormatting>
  <conditionalFormatting sqref="AA22">
    <cfRule type="expression" dxfId="167" priority="2443">
      <formula>Q22:S29=0</formula>
    </cfRule>
  </conditionalFormatting>
  <conditionalFormatting sqref="AA23">
    <cfRule type="expression" dxfId="166" priority="7">
      <formula>Q23:S31=0</formula>
    </cfRule>
  </conditionalFormatting>
  <conditionalFormatting sqref="AA24:AH24">
    <cfRule type="expression" dxfId="165" priority="23">
      <formula>Q24:S24=0</formula>
    </cfRule>
  </conditionalFormatting>
  <conditionalFormatting sqref="AA41:AH51">
    <cfRule type="expression" dxfId="164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Q41:Q51 M36:M52 E40:E52 T41:T51 AA40:AA51" xr:uid="{F538BFD5-509A-49A2-93AC-D7638105041E}"/>
  </dataValidations>
  <printOptions horizontalCentered="1"/>
  <pageMargins left="0" right="0" top="0.11811023622047245" bottom="0" header="0" footer="0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6A12-BD5F-4660-9871-3F0BD358514E}">
  <sheetPr>
    <tabColor theme="7" tint="0.59999389629810485"/>
    <pageSetUpPr fitToPage="1"/>
  </sheetPr>
  <dimension ref="B1:AH54"/>
  <sheetViews>
    <sheetView topLeftCell="A21" zoomScale="85" zoomScaleNormal="85" workbookViewId="0">
      <selection activeCell="Q24" sqref="Q24:S2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154</v>
      </c>
      <c r="C1" s="2"/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154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155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'하이로지스(호남) 날짜번경★'!B13</f>
        <v>46315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6</v>
      </c>
      <c r="R13" s="96"/>
      <c r="S13" s="97"/>
      <c r="T13" s="98">
        <f t="shared" ref="T13:T18" si="0">IFERROR(ROUNDDOWN(Q13/M13,0),"")</f>
        <v>0</v>
      </c>
      <c r="U13" s="84"/>
      <c r="V13" s="84"/>
      <c r="W13" s="99">
        <f t="shared" ref="W13:W18" si="1">IFERROR(Q13-(T13*M13),"")</f>
        <v>6</v>
      </c>
      <c r="X13" s="100"/>
      <c r="Y13" s="100"/>
      <c r="Z13" s="101"/>
      <c r="AA13" s="251">
        <f>$B$13+5</f>
        <v>46320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133</v>
      </c>
      <c r="R14" s="96"/>
      <c r="S14" s="97"/>
      <c r="T14" s="98">
        <f t="shared" si="0"/>
        <v>4</v>
      </c>
      <c r="U14" s="84"/>
      <c r="V14" s="84"/>
      <c r="W14" s="99">
        <f t="shared" si="1"/>
        <v>13</v>
      </c>
      <c r="X14" s="100"/>
      <c r="Y14" s="100"/>
      <c r="Z14" s="101"/>
      <c r="AA14" s="251">
        <f>$B$13+5</f>
        <v>46320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9</v>
      </c>
      <c r="R15" s="96"/>
      <c r="S15" s="97"/>
      <c r="T15" s="98">
        <f t="shared" si="0"/>
        <v>0</v>
      </c>
      <c r="U15" s="84"/>
      <c r="V15" s="84"/>
      <c r="W15" s="99">
        <f t="shared" si="1"/>
        <v>9</v>
      </c>
      <c r="X15" s="100"/>
      <c r="Y15" s="100"/>
      <c r="Z15" s="101"/>
      <c r="AA15" s="251">
        <f>B13+5-1</f>
        <v>46319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20</v>
      </c>
      <c r="R16" s="96"/>
      <c r="S16" s="97"/>
      <c r="T16" s="98">
        <f t="shared" ref="T16" si="2">IFERROR(ROUNDDOWN(Q16/M16,0),"")</f>
        <v>0</v>
      </c>
      <c r="U16" s="84"/>
      <c r="V16" s="84"/>
      <c r="W16" s="99">
        <f t="shared" ref="W16" si="3">IFERROR(Q16-(T16*M16),"")</f>
        <v>20</v>
      </c>
      <c r="X16" s="100"/>
      <c r="Y16" s="100"/>
      <c r="Z16" s="101"/>
      <c r="AA16" s="251">
        <f>B13+5-1</f>
        <v>46319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4</v>
      </c>
      <c r="R17" s="96"/>
      <c r="S17" s="97"/>
      <c r="T17" s="98">
        <f t="shared" si="0"/>
        <v>0</v>
      </c>
      <c r="U17" s="84"/>
      <c r="V17" s="84"/>
      <c r="W17" s="99">
        <f t="shared" si="1"/>
        <v>4</v>
      </c>
      <c r="X17" s="100"/>
      <c r="Y17" s="100"/>
      <c r="Z17" s="101"/>
      <c r="AA17" s="251">
        <f t="shared" ref="AA17:AA18" si="4">$B$13+4</f>
        <v>46319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6</v>
      </c>
      <c r="R18" s="96"/>
      <c r="S18" s="97"/>
      <c r="T18" s="98">
        <f t="shared" si="0"/>
        <v>0</v>
      </c>
      <c r="U18" s="84"/>
      <c r="V18" s="84"/>
      <c r="W18" s="99">
        <f t="shared" si="1"/>
        <v>6</v>
      </c>
      <c r="X18" s="100"/>
      <c r="Y18" s="100"/>
      <c r="Z18" s="101"/>
      <c r="AA18" s="251">
        <f t="shared" si="4"/>
        <v>46319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4</v>
      </c>
      <c r="R19" s="96"/>
      <c r="S19" s="97"/>
      <c r="T19" s="98">
        <f t="shared" ref="T19" si="5">IFERROR(ROUNDDOWN(Q19/M19,0),"")</f>
        <v>0</v>
      </c>
      <c r="U19" s="84"/>
      <c r="V19" s="84"/>
      <c r="W19" s="99">
        <f t="shared" ref="W19" si="6">IFERROR(Q19-(T19*M19),"")</f>
        <v>4</v>
      </c>
      <c r="X19" s="100"/>
      <c r="Y19" s="100"/>
      <c r="Z19" s="101"/>
      <c r="AA19" s="251">
        <f>B13+4</f>
        <v>46319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3</v>
      </c>
      <c r="R20" s="96"/>
      <c r="S20" s="97"/>
      <c r="T20" s="98">
        <f t="shared" ref="T20" si="7">IFERROR(ROUNDDOWN(Q20/M20,0),"")</f>
        <v>0</v>
      </c>
      <c r="U20" s="84"/>
      <c r="V20" s="84"/>
      <c r="W20" s="99">
        <f t="shared" ref="W20" si="8">IFERROR(Q20-(T20*M20),"")</f>
        <v>3</v>
      </c>
      <c r="X20" s="100"/>
      <c r="Y20" s="100"/>
      <c r="Z20" s="101"/>
      <c r="AA20" s="251">
        <f>B13+4</f>
        <v>46319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24</v>
      </c>
      <c r="R21" s="96"/>
      <c r="S21" s="97"/>
      <c r="T21" s="98">
        <f t="shared" ref="T21" si="9">IFERROR(ROUNDDOWN(Q21/M21,0),"")</f>
        <v>0</v>
      </c>
      <c r="U21" s="84"/>
      <c r="V21" s="84"/>
      <c r="W21" s="99">
        <f t="shared" ref="W21" si="10">IFERROR(Q21-(T21*M21),"")</f>
        <v>24</v>
      </c>
      <c r="X21" s="100"/>
      <c r="Y21" s="100"/>
      <c r="Z21" s="101"/>
      <c r="AA21" s="251">
        <f>B13+5</f>
        <v>46320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10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10</v>
      </c>
      <c r="X22" s="100"/>
      <c r="Y22" s="100"/>
      <c r="Z22" s="101"/>
      <c r="AA22" s="251">
        <f>B13+4</f>
        <v>46319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1">IFERROR(ROUNDDOWN(Q23/M23,0),"")</f>
        <v>0</v>
      </c>
      <c r="U23" s="84"/>
      <c r="V23" s="84"/>
      <c r="W23" s="99">
        <f t="shared" ref="W23" si="12">IFERROR(Q23-(T23*M23),"")</f>
        <v>0</v>
      </c>
      <c r="X23" s="100"/>
      <c r="Y23" s="100"/>
      <c r="Z23" s="101"/>
      <c r="AA23" s="251">
        <f>B13+4</f>
        <v>46319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219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156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BGF로지스부산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부산광역시 강서구 송정국제1로 69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46315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6</v>
      </c>
      <c r="R41" s="216"/>
      <c r="S41" s="216"/>
      <c r="T41" s="217">
        <f>T13</f>
        <v>0</v>
      </c>
      <c r="U41" s="217"/>
      <c r="V41" s="217"/>
      <c r="W41" s="218">
        <f>W13</f>
        <v>6</v>
      </c>
      <c r="X41" s="218"/>
      <c r="Y41" s="218"/>
      <c r="Z41" s="218"/>
      <c r="AA41" s="253">
        <f>AA13</f>
        <v>46320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0" si="13">E14</f>
        <v>도)리얼모짜치즈돈까스2</v>
      </c>
      <c r="F42" s="82"/>
      <c r="G42" s="82"/>
      <c r="H42" s="82"/>
      <c r="I42" s="82"/>
      <c r="J42" s="82"/>
      <c r="K42" s="82"/>
      <c r="L42" s="82"/>
      <c r="M42" s="83">
        <f t="shared" ref="M42:M51" si="14">M14</f>
        <v>30</v>
      </c>
      <c r="N42" s="83"/>
      <c r="O42" s="83"/>
      <c r="P42" s="83"/>
      <c r="Q42" s="216">
        <f t="shared" ref="Q42:Q51" si="15">Q14</f>
        <v>133</v>
      </c>
      <c r="R42" s="216"/>
      <c r="S42" s="216"/>
      <c r="T42" s="217">
        <f t="shared" ref="T42:T51" si="16">T14</f>
        <v>4</v>
      </c>
      <c r="U42" s="217"/>
      <c r="V42" s="217"/>
      <c r="W42" s="218">
        <f t="shared" ref="W42:W50" si="17">W14</f>
        <v>13</v>
      </c>
      <c r="X42" s="218"/>
      <c r="Y42" s="218"/>
      <c r="Z42" s="218"/>
      <c r="AA42" s="253">
        <f t="shared" ref="AA42:AA51" si="18">AA14</f>
        <v>46320</v>
      </c>
      <c r="AB42" s="217"/>
      <c r="AC42" s="217"/>
      <c r="AD42" s="217"/>
      <c r="AE42" s="217"/>
      <c r="AF42" s="217"/>
      <c r="AG42" s="217"/>
      <c r="AH42" s="243"/>
    </row>
    <row r="43" spans="2:34" ht="21" customHeight="1" x14ac:dyDescent="0.15">
      <c r="B43" s="20"/>
      <c r="C43" s="21"/>
      <c r="D43" s="22"/>
      <c r="E43" s="81" t="str">
        <f t="shared" si="13"/>
        <v>도)리얼치즈고구마돈까스2</v>
      </c>
      <c r="F43" s="82"/>
      <c r="G43" s="82"/>
      <c r="H43" s="82"/>
      <c r="I43" s="82"/>
      <c r="J43" s="82"/>
      <c r="K43" s="82"/>
      <c r="L43" s="82"/>
      <c r="M43" s="83">
        <f t="shared" si="14"/>
        <v>30</v>
      </c>
      <c r="N43" s="83"/>
      <c r="O43" s="83"/>
      <c r="P43" s="83"/>
      <c r="Q43" s="216">
        <f t="shared" si="15"/>
        <v>9</v>
      </c>
      <c r="R43" s="216"/>
      <c r="S43" s="216"/>
      <c r="T43" s="217">
        <f t="shared" si="16"/>
        <v>0</v>
      </c>
      <c r="U43" s="217"/>
      <c r="V43" s="217"/>
      <c r="W43" s="218">
        <f t="shared" si="17"/>
        <v>9</v>
      </c>
      <c r="X43" s="218"/>
      <c r="Y43" s="218"/>
      <c r="Z43" s="218"/>
      <c r="AA43" s="253">
        <f t="shared" si="18"/>
        <v>46319</v>
      </c>
      <c r="AB43" s="217"/>
      <c r="AC43" s="217"/>
      <c r="AD43" s="217"/>
      <c r="AE43" s="217"/>
      <c r="AF43" s="217"/>
      <c r="AG43" s="217"/>
      <c r="AH43" s="243"/>
    </row>
    <row r="44" spans="2:34" ht="21" customHeight="1" x14ac:dyDescent="0.15">
      <c r="B44" s="20"/>
      <c r="C44" s="21"/>
      <c r="D44" s="22"/>
      <c r="E44" s="81" t="str">
        <f t="shared" si="13"/>
        <v>도)윙봉칠리탕수득템2</v>
      </c>
      <c r="F44" s="82"/>
      <c r="G44" s="82"/>
      <c r="H44" s="82"/>
      <c r="I44" s="82"/>
      <c r="J44" s="82"/>
      <c r="K44" s="82"/>
      <c r="L44" s="82"/>
      <c r="M44" s="83">
        <f t="shared" si="14"/>
        <v>36</v>
      </c>
      <c r="N44" s="83"/>
      <c r="O44" s="83"/>
      <c r="P44" s="83"/>
      <c r="Q44" s="216">
        <f t="shared" si="15"/>
        <v>20</v>
      </c>
      <c r="R44" s="216"/>
      <c r="S44" s="216"/>
      <c r="T44" s="217">
        <f t="shared" si="16"/>
        <v>0</v>
      </c>
      <c r="U44" s="217"/>
      <c r="V44" s="217"/>
      <c r="W44" s="218">
        <f t="shared" si="17"/>
        <v>20</v>
      </c>
      <c r="X44" s="218"/>
      <c r="Y44" s="218"/>
      <c r="Z44" s="218"/>
      <c r="AA44" s="253">
        <f t="shared" si="18"/>
        <v>46319</v>
      </c>
      <c r="AB44" s="217"/>
      <c r="AC44" s="217"/>
      <c r="AD44" s="217"/>
      <c r="AE44" s="217"/>
      <c r="AF44" s="217"/>
      <c r="AG44" s="217"/>
      <c r="AH44" s="243"/>
    </row>
    <row r="45" spans="2:34" ht="21" customHeight="1" x14ac:dyDescent="0.15">
      <c r="B45" s="20"/>
      <c r="C45" s="21"/>
      <c r="D45" s="22"/>
      <c r="E45" s="81" t="str">
        <f t="shared" si="13"/>
        <v>도)찍먹윙봉2</v>
      </c>
      <c r="F45" s="82"/>
      <c r="G45" s="82"/>
      <c r="H45" s="82"/>
      <c r="I45" s="82"/>
      <c r="J45" s="82"/>
      <c r="K45" s="82"/>
      <c r="L45" s="82"/>
      <c r="M45" s="83">
        <f t="shared" si="14"/>
        <v>36</v>
      </c>
      <c r="N45" s="83"/>
      <c r="O45" s="83"/>
      <c r="P45" s="83"/>
      <c r="Q45" s="216">
        <f t="shared" si="15"/>
        <v>4</v>
      </c>
      <c r="R45" s="216"/>
      <c r="S45" s="216"/>
      <c r="T45" s="217">
        <f t="shared" si="16"/>
        <v>0</v>
      </c>
      <c r="U45" s="217"/>
      <c r="V45" s="217"/>
      <c r="W45" s="218">
        <f t="shared" si="17"/>
        <v>4</v>
      </c>
      <c r="X45" s="218"/>
      <c r="Y45" s="218"/>
      <c r="Z45" s="218"/>
      <c r="AA45" s="253">
        <f t="shared" si="18"/>
        <v>46319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81" t="str">
        <f t="shared" si="13"/>
        <v>도)찍먹탕수육2</v>
      </c>
      <c r="F46" s="82"/>
      <c r="G46" s="82"/>
      <c r="H46" s="82"/>
      <c r="I46" s="82"/>
      <c r="J46" s="82"/>
      <c r="K46" s="82"/>
      <c r="L46" s="82"/>
      <c r="M46" s="83">
        <f t="shared" si="14"/>
        <v>36</v>
      </c>
      <c r="N46" s="83"/>
      <c r="O46" s="83"/>
      <c r="P46" s="83"/>
      <c r="Q46" s="216">
        <f t="shared" si="15"/>
        <v>6</v>
      </c>
      <c r="R46" s="216"/>
      <c r="S46" s="216"/>
      <c r="T46" s="217">
        <f t="shared" si="16"/>
        <v>0</v>
      </c>
      <c r="U46" s="217"/>
      <c r="V46" s="217"/>
      <c r="W46" s="218">
        <f t="shared" si="17"/>
        <v>6</v>
      </c>
      <c r="X46" s="218"/>
      <c r="Y46" s="218"/>
      <c r="Z46" s="218"/>
      <c r="AA46" s="253">
        <f t="shared" si="18"/>
        <v>46319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3"/>
        <v>도)치맥아보트러플치킨2</v>
      </c>
      <c r="F47" s="82"/>
      <c r="G47" s="82"/>
      <c r="H47" s="82"/>
      <c r="I47" s="82"/>
      <c r="J47" s="82"/>
      <c r="K47" s="82"/>
      <c r="L47" s="82"/>
      <c r="M47" s="83">
        <f t="shared" si="14"/>
        <v>32</v>
      </c>
      <c r="N47" s="83"/>
      <c r="O47" s="83"/>
      <c r="P47" s="83"/>
      <c r="Q47" s="216">
        <f t="shared" si="15"/>
        <v>4</v>
      </c>
      <c r="R47" s="216"/>
      <c r="S47" s="216"/>
      <c r="T47" s="217">
        <f t="shared" si="16"/>
        <v>0</v>
      </c>
      <c r="U47" s="217"/>
      <c r="V47" s="217"/>
      <c r="W47" s="218">
        <f t="shared" si="17"/>
        <v>4</v>
      </c>
      <c r="X47" s="218"/>
      <c r="Y47" s="218"/>
      <c r="Z47" s="218"/>
      <c r="AA47" s="253">
        <f t="shared" si="18"/>
        <v>46319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3"/>
        <v>도)치즈매콤닭강정감자2</v>
      </c>
      <c r="F48" s="82"/>
      <c r="G48" s="82"/>
      <c r="H48" s="82"/>
      <c r="I48" s="82"/>
      <c r="J48" s="82"/>
      <c r="K48" s="82"/>
      <c r="L48" s="82"/>
      <c r="M48" s="83">
        <f t="shared" si="14"/>
        <v>30</v>
      </c>
      <c r="N48" s="83"/>
      <c r="O48" s="83"/>
      <c r="P48" s="83"/>
      <c r="Q48" s="216">
        <f t="shared" si="15"/>
        <v>3</v>
      </c>
      <c r="R48" s="216"/>
      <c r="S48" s="216"/>
      <c r="T48" s="217">
        <f t="shared" si="16"/>
        <v>0</v>
      </c>
      <c r="U48" s="217"/>
      <c r="V48" s="217"/>
      <c r="W48" s="218">
        <f t="shared" si="17"/>
        <v>3</v>
      </c>
      <c r="X48" s="218"/>
      <c r="Y48" s="218"/>
      <c r="Z48" s="218"/>
      <c r="AA48" s="253">
        <f t="shared" si="18"/>
        <v>46319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3"/>
        <v>도)치즈청양간장닭강정2</v>
      </c>
      <c r="F49" s="82"/>
      <c r="G49" s="82"/>
      <c r="H49" s="82"/>
      <c r="I49" s="82"/>
      <c r="J49" s="82"/>
      <c r="K49" s="82"/>
      <c r="L49" s="82"/>
      <c r="M49" s="83">
        <f t="shared" si="14"/>
        <v>30</v>
      </c>
      <c r="N49" s="83"/>
      <c r="O49" s="83"/>
      <c r="P49" s="83"/>
      <c r="Q49" s="216">
        <f t="shared" si="15"/>
        <v>24</v>
      </c>
      <c r="R49" s="216"/>
      <c r="S49" s="216"/>
      <c r="T49" s="217">
        <f t="shared" si="16"/>
        <v>0</v>
      </c>
      <c r="U49" s="217"/>
      <c r="V49" s="217"/>
      <c r="W49" s="218">
        <f t="shared" si="17"/>
        <v>24</v>
      </c>
      <c r="X49" s="218"/>
      <c r="Y49" s="218"/>
      <c r="Z49" s="218"/>
      <c r="AA49" s="253">
        <f t="shared" si="18"/>
        <v>46320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3"/>
        <v>도)쿵야반반닭강정팩2</v>
      </c>
      <c r="F50" s="82"/>
      <c r="G50" s="82"/>
      <c r="H50" s="82"/>
      <c r="I50" s="82"/>
      <c r="J50" s="82"/>
      <c r="K50" s="82"/>
      <c r="L50" s="82"/>
      <c r="M50" s="83">
        <f t="shared" si="14"/>
        <v>36</v>
      </c>
      <c r="N50" s="83"/>
      <c r="O50" s="83"/>
      <c r="P50" s="83"/>
      <c r="Q50" s="216">
        <f t="shared" si="15"/>
        <v>10</v>
      </c>
      <c r="R50" s="216"/>
      <c r="S50" s="216"/>
      <c r="T50" s="217">
        <f t="shared" si="16"/>
        <v>0</v>
      </c>
      <c r="U50" s="217"/>
      <c r="V50" s="217"/>
      <c r="W50" s="218">
        <f t="shared" si="17"/>
        <v>10</v>
      </c>
      <c r="X50" s="218"/>
      <c r="Y50" s="218"/>
      <c r="Z50" s="218"/>
      <c r="AA50" s="253">
        <f t="shared" si="18"/>
        <v>46319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81" t="str">
        <f t="shared" ref="E51" si="19">E23</f>
        <v>APP)치맥아보트러플치킨2</v>
      </c>
      <c r="F51" s="82"/>
      <c r="G51" s="82"/>
      <c r="H51" s="82"/>
      <c r="I51" s="82"/>
      <c r="J51" s="82"/>
      <c r="K51" s="82"/>
      <c r="L51" s="82"/>
      <c r="M51" s="83">
        <f t="shared" si="14"/>
        <v>32</v>
      </c>
      <c r="N51" s="83"/>
      <c r="O51" s="83"/>
      <c r="P51" s="83"/>
      <c r="Q51" s="216">
        <f t="shared" si="15"/>
        <v>0</v>
      </c>
      <c r="R51" s="216"/>
      <c r="S51" s="216"/>
      <c r="T51" s="217">
        <f t="shared" si="16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8"/>
        <v>46319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20">M25</f>
        <v>219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100000000000001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 xml:space="preserve">부산광역시 강서구 송정국제1로 69
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100000000000001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20:L20"/>
    <mergeCell ref="M20:P20"/>
    <mergeCell ref="Q20:S20"/>
    <mergeCell ref="T20:V20"/>
    <mergeCell ref="W20:Z20"/>
    <mergeCell ref="AA20:AH20"/>
    <mergeCell ref="E22:L22"/>
    <mergeCell ref="M22:P22"/>
    <mergeCell ref="Q22:S22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49:L49"/>
    <mergeCell ref="M49:P49"/>
    <mergeCell ref="Q49:S49"/>
    <mergeCell ref="T49:V49"/>
    <mergeCell ref="W49:Z49"/>
    <mergeCell ref="AA49:AH49"/>
    <mergeCell ref="E23:L23"/>
    <mergeCell ref="M23:P23"/>
    <mergeCell ref="Q23:S23"/>
    <mergeCell ref="T23:V23"/>
    <mergeCell ref="W23:Z23"/>
    <mergeCell ref="AA23:AH23"/>
    <mergeCell ref="R34:U35"/>
    <mergeCell ref="V34:AA35"/>
    <mergeCell ref="AB34:AC35"/>
    <mergeCell ref="AD34:AH35"/>
    <mergeCell ref="C36:F37"/>
    <mergeCell ref="G36:P37"/>
    <mergeCell ref="B25:D25"/>
    <mergeCell ref="E25:L25"/>
    <mergeCell ref="M25:Z25"/>
    <mergeCell ref="AA25:AH25"/>
    <mergeCell ref="B26:V27"/>
    <mergeCell ref="W26:AH27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7:L17"/>
    <mergeCell ref="M17:P17"/>
    <mergeCell ref="Q17:S17"/>
    <mergeCell ref="T17:V17"/>
    <mergeCell ref="W17:Z17"/>
    <mergeCell ref="AA17:AH17"/>
    <mergeCell ref="E15:L15"/>
    <mergeCell ref="M15:P15"/>
    <mergeCell ref="Q15:S15"/>
    <mergeCell ref="T15:V15"/>
    <mergeCell ref="W15:Z15"/>
    <mergeCell ref="AA15:AH15"/>
    <mergeCell ref="E16:L16"/>
    <mergeCell ref="M16:P16"/>
    <mergeCell ref="Q16:S16"/>
    <mergeCell ref="T16:V16"/>
    <mergeCell ref="W16:Z16"/>
    <mergeCell ref="AA16:AH16"/>
    <mergeCell ref="E18:L18"/>
    <mergeCell ref="M18:P18"/>
    <mergeCell ref="Q18:S18"/>
    <mergeCell ref="T18:V18"/>
    <mergeCell ref="W18:Z18"/>
    <mergeCell ref="AA18:AH18"/>
    <mergeCell ref="E19:L19"/>
    <mergeCell ref="M19:P19"/>
    <mergeCell ref="Q19:S19"/>
    <mergeCell ref="T19:V19"/>
    <mergeCell ref="W19:Z19"/>
    <mergeCell ref="AA19:AH19"/>
    <mergeCell ref="E24:L24"/>
    <mergeCell ref="M24:P24"/>
    <mergeCell ref="Q24:S24"/>
    <mergeCell ref="T24:V24"/>
    <mergeCell ref="W24:Z24"/>
    <mergeCell ref="AA24:AH24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AA41:AH41"/>
    <mergeCell ref="E42:L42"/>
    <mergeCell ref="M42:P42"/>
    <mergeCell ref="Q42:S42"/>
    <mergeCell ref="T42:V42"/>
    <mergeCell ref="W42:Z42"/>
    <mergeCell ref="AA42:AH42"/>
    <mergeCell ref="B41:D41"/>
    <mergeCell ref="E41:L41"/>
    <mergeCell ref="M41:P41"/>
    <mergeCell ref="Q41:S41"/>
    <mergeCell ref="T41:V41"/>
    <mergeCell ref="W41:Z41"/>
    <mergeCell ref="E45:L45"/>
    <mergeCell ref="M45:P45"/>
    <mergeCell ref="Q45:S45"/>
    <mergeCell ref="T45:V45"/>
    <mergeCell ref="W45:Z45"/>
    <mergeCell ref="AA45:AH45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46:L46"/>
    <mergeCell ref="M46:P46"/>
    <mergeCell ref="Q46:S46"/>
    <mergeCell ref="T46:V46"/>
    <mergeCell ref="W46:Z46"/>
    <mergeCell ref="AA46:AH46"/>
    <mergeCell ref="E47:L47"/>
    <mergeCell ref="M47:P47"/>
    <mergeCell ref="Q47:S47"/>
    <mergeCell ref="T47:V47"/>
    <mergeCell ref="W47:Z47"/>
    <mergeCell ref="AA47:AH47"/>
    <mergeCell ref="E48:L48"/>
    <mergeCell ref="M48:P48"/>
    <mergeCell ref="Q48:S48"/>
    <mergeCell ref="T48:V48"/>
    <mergeCell ref="W48:Z48"/>
    <mergeCell ref="AA48:AH48"/>
    <mergeCell ref="B53:V54"/>
    <mergeCell ref="W53:AH54"/>
    <mergeCell ref="E51:L51"/>
    <mergeCell ref="M51:P51"/>
    <mergeCell ref="Q51:S51"/>
    <mergeCell ref="T51:V51"/>
    <mergeCell ref="W51:Z51"/>
    <mergeCell ref="AA51:AH51"/>
    <mergeCell ref="E50:L50"/>
    <mergeCell ref="M50:P50"/>
    <mergeCell ref="Q50:S50"/>
    <mergeCell ref="T50:V50"/>
    <mergeCell ref="W50:Z50"/>
    <mergeCell ref="AA50:AH50"/>
    <mergeCell ref="B52:D52"/>
    <mergeCell ref="E52:L52"/>
    <mergeCell ref="M52:Z52"/>
    <mergeCell ref="AA52:AH52"/>
  </mergeCells>
  <phoneticPr fontId="2" type="noConversion"/>
  <conditionalFormatting sqref="AA13:AA16">
    <cfRule type="expression" dxfId="163" priority="5">
      <formula>Q13:S27=0</formula>
    </cfRule>
  </conditionalFormatting>
  <conditionalFormatting sqref="AA17:AA18">
    <cfRule type="expression" dxfId="162" priority="2788">
      <formula>Q17:S30=0</formula>
    </cfRule>
  </conditionalFormatting>
  <conditionalFormatting sqref="AA19:AA21">
    <cfRule type="expression" dxfId="161" priority="2">
      <formula>Q19:S31=0</formula>
    </cfRule>
  </conditionalFormatting>
  <conditionalFormatting sqref="AA22 AA41:AH51">
    <cfRule type="expression" dxfId="160" priority="2334">
      <formula>Q22:S32=0</formula>
    </cfRule>
  </conditionalFormatting>
  <conditionalFormatting sqref="AA23">
    <cfRule type="expression" dxfId="159" priority="7">
      <formula>Q23:S34=0</formula>
    </cfRule>
  </conditionalFormatting>
  <conditionalFormatting sqref="AA24:AH24">
    <cfRule type="expression" dxfId="158" priority="13">
      <formula>Q24:S24=0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T13:T24 Q13:Q24 M8:M24 E12:E24 B12:B26 AA12:AA23 B40:B53 C42:D51 Q41:Q51 E40:E52 M36:M52 T41:T51 AA40:AA51" xr:uid="{757B446E-B6B2-4D67-8D17-3F8DE03CA127}"/>
  </dataValidations>
  <printOptions horizontalCentered="1"/>
  <pageMargins left="0" right="0" top="0.11811023622047245" bottom="0" header="0" footer="0"/>
  <pageSetup paperSize="9" scale="9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6654-E51A-4035-A95B-FE1A79D6631F}">
  <sheetPr>
    <tabColor theme="7" tint="0.59999389629810485"/>
    <pageSetUpPr fitToPage="1"/>
  </sheetPr>
  <dimension ref="B1:AH54"/>
  <sheetViews>
    <sheetView topLeftCell="A6" zoomScale="85" zoomScaleNormal="85" workbookViewId="0">
      <selection activeCell="Q24" sqref="Q24:S24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64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64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65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5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5</v>
      </c>
      <c r="X13" s="100"/>
      <c r="Y13" s="100"/>
      <c r="Z13" s="101"/>
      <c r="AA13" s="251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181</v>
      </c>
      <c r="R14" s="96"/>
      <c r="S14" s="97"/>
      <c r="T14" s="98">
        <f t="shared" ref="T14:T19" si="2">IFERROR(ROUNDDOWN(Q14/M14,0),"")</f>
        <v>6</v>
      </c>
      <c r="U14" s="84"/>
      <c r="V14" s="84"/>
      <c r="W14" s="99">
        <f t="shared" ref="W14:W19" si="3">IFERROR(Q14-(T14*M14),"")</f>
        <v>1</v>
      </c>
      <c r="X14" s="100"/>
      <c r="Y14" s="100"/>
      <c r="Z14" s="101"/>
      <c r="AA14" s="251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10</v>
      </c>
      <c r="R15" s="96"/>
      <c r="S15" s="97"/>
      <c r="T15" s="98">
        <f t="shared" si="2"/>
        <v>0</v>
      </c>
      <c r="U15" s="84"/>
      <c r="V15" s="84"/>
      <c r="W15" s="99">
        <f t="shared" si="3"/>
        <v>10</v>
      </c>
      <c r="X15" s="100"/>
      <c r="Y15" s="100"/>
      <c r="Z15" s="101"/>
      <c r="AA15" s="251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49</v>
      </c>
      <c r="R16" s="96"/>
      <c r="S16" s="97"/>
      <c r="T16" s="98">
        <f t="shared" ref="T16" si="4">IFERROR(ROUNDDOWN(Q16/M16,0),"")</f>
        <v>1</v>
      </c>
      <c r="U16" s="84"/>
      <c r="V16" s="84"/>
      <c r="W16" s="99">
        <f t="shared" ref="W16" si="5">IFERROR(Q16-(T16*M16),"")</f>
        <v>13</v>
      </c>
      <c r="X16" s="100"/>
      <c r="Y16" s="100"/>
      <c r="Z16" s="101"/>
      <c r="AA16" s="251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2</v>
      </c>
      <c r="R17" s="96"/>
      <c r="S17" s="97"/>
      <c r="T17" s="98">
        <f t="shared" si="2"/>
        <v>0</v>
      </c>
      <c r="U17" s="84"/>
      <c r="V17" s="84"/>
      <c r="W17" s="99">
        <f t="shared" si="3"/>
        <v>2</v>
      </c>
      <c r="X17" s="100"/>
      <c r="Y17" s="100"/>
      <c r="Z17" s="101"/>
      <c r="AA17" s="251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3</v>
      </c>
      <c r="R18" s="96"/>
      <c r="S18" s="97"/>
      <c r="T18" s="98">
        <f t="shared" si="2"/>
        <v>0</v>
      </c>
      <c r="U18" s="84"/>
      <c r="V18" s="84"/>
      <c r="W18" s="99">
        <f t="shared" si="3"/>
        <v>3</v>
      </c>
      <c r="X18" s="100"/>
      <c r="Y18" s="100"/>
      <c r="Z18" s="101"/>
      <c r="AA18" s="251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1</v>
      </c>
      <c r="R19" s="96"/>
      <c r="S19" s="97"/>
      <c r="T19" s="98">
        <f t="shared" si="2"/>
        <v>0</v>
      </c>
      <c r="U19" s="84"/>
      <c r="V19" s="84"/>
      <c r="W19" s="99">
        <f t="shared" si="3"/>
        <v>1</v>
      </c>
      <c r="X19" s="100"/>
      <c r="Y19" s="100"/>
      <c r="Z19" s="101"/>
      <c r="AA19" s="251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0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0</v>
      </c>
      <c r="X20" s="100"/>
      <c r="Y20" s="100"/>
      <c r="Z20" s="101"/>
      <c r="AA20" s="251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33</v>
      </c>
      <c r="R21" s="96"/>
      <c r="S21" s="97"/>
      <c r="T21" s="98">
        <f t="shared" ref="T21" si="8">IFERROR(ROUNDDOWN(Q21/M21,0),"")</f>
        <v>1</v>
      </c>
      <c r="U21" s="84"/>
      <c r="V21" s="84"/>
      <c r="W21" s="99">
        <f t="shared" ref="W21" si="9">IFERROR(Q21-(T21*M21),"")</f>
        <v>3</v>
      </c>
      <c r="X21" s="100"/>
      <c r="Y21" s="100"/>
      <c r="Z21" s="101"/>
      <c r="AA21" s="251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13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13</v>
      </c>
      <c r="X22" s="100"/>
      <c r="Y22" s="100"/>
      <c r="Z22" s="101"/>
      <c r="AA22" s="251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251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297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66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씨제이경산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경상북도 하양읍 지식산업2로1길 63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5</v>
      </c>
      <c r="R41" s="216"/>
      <c r="S41" s="216"/>
      <c r="T41" s="217">
        <f>T13</f>
        <v>0</v>
      </c>
      <c r="U41" s="217"/>
      <c r="V41" s="217"/>
      <c r="W41" s="218">
        <f>W13</f>
        <v>5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0" si="12">E14</f>
        <v>도)리얼모짜치즈돈까스2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30</v>
      </c>
      <c r="N42" s="83"/>
      <c r="O42" s="83"/>
      <c r="P42" s="83"/>
      <c r="Q42" s="216">
        <f t="shared" ref="Q42:Q51" si="14">Q14</f>
        <v>181</v>
      </c>
      <c r="R42" s="216"/>
      <c r="S42" s="216"/>
      <c r="T42" s="217">
        <f t="shared" ref="T42:T51" si="15">T14</f>
        <v>6</v>
      </c>
      <c r="U42" s="217"/>
      <c r="V42" s="217"/>
      <c r="W42" s="218">
        <f t="shared" ref="W42:W50" si="16">W14</f>
        <v>1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81" t="str">
        <f t="shared" si="12"/>
        <v>도)리얼치즈고구마돈까스2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10</v>
      </c>
      <c r="R43" s="216"/>
      <c r="S43" s="216"/>
      <c r="T43" s="217">
        <f t="shared" si="15"/>
        <v>0</v>
      </c>
      <c r="U43" s="217"/>
      <c r="V43" s="217"/>
      <c r="W43" s="218">
        <f t="shared" si="16"/>
        <v>10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81" t="str">
        <f t="shared" si="12"/>
        <v>도)윙봉칠리탕수득템2</v>
      </c>
      <c r="F44" s="82"/>
      <c r="G44" s="82"/>
      <c r="H44" s="82"/>
      <c r="I44" s="82"/>
      <c r="J44" s="82"/>
      <c r="K44" s="82"/>
      <c r="L44" s="82"/>
      <c r="M44" s="83">
        <f t="shared" si="13"/>
        <v>36</v>
      </c>
      <c r="N44" s="83"/>
      <c r="O44" s="83"/>
      <c r="P44" s="83"/>
      <c r="Q44" s="216">
        <f t="shared" si="14"/>
        <v>49</v>
      </c>
      <c r="R44" s="216"/>
      <c r="S44" s="216"/>
      <c r="T44" s="217">
        <f t="shared" si="15"/>
        <v>1</v>
      </c>
      <c r="U44" s="217"/>
      <c r="V44" s="217"/>
      <c r="W44" s="218">
        <f t="shared" si="16"/>
        <v>13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81" t="str">
        <f t="shared" si="12"/>
        <v>도)찍먹윙봉2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2</v>
      </c>
      <c r="R45" s="216"/>
      <c r="S45" s="216"/>
      <c r="T45" s="217">
        <f t="shared" si="15"/>
        <v>0</v>
      </c>
      <c r="U45" s="217"/>
      <c r="V45" s="217"/>
      <c r="W45" s="218">
        <f t="shared" si="16"/>
        <v>2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81" t="str">
        <f t="shared" si="12"/>
        <v>도)찍먹탕수육2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3</v>
      </c>
      <c r="R46" s="216"/>
      <c r="S46" s="216"/>
      <c r="T46" s="217">
        <f t="shared" si="15"/>
        <v>0</v>
      </c>
      <c r="U46" s="217"/>
      <c r="V46" s="217"/>
      <c r="W46" s="218">
        <f t="shared" si="16"/>
        <v>3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도)치맥아보트러플치킨2</v>
      </c>
      <c r="F47" s="82"/>
      <c r="G47" s="82"/>
      <c r="H47" s="82"/>
      <c r="I47" s="82"/>
      <c r="J47" s="82"/>
      <c r="K47" s="82"/>
      <c r="L47" s="82"/>
      <c r="M47" s="83">
        <f t="shared" si="13"/>
        <v>32</v>
      </c>
      <c r="N47" s="83"/>
      <c r="O47" s="83"/>
      <c r="P47" s="83"/>
      <c r="Q47" s="216">
        <f t="shared" si="14"/>
        <v>1</v>
      </c>
      <c r="R47" s="216"/>
      <c r="S47" s="216"/>
      <c r="T47" s="217">
        <f t="shared" si="15"/>
        <v>0</v>
      </c>
      <c r="U47" s="217"/>
      <c r="V47" s="217"/>
      <c r="W47" s="218">
        <f t="shared" si="16"/>
        <v>1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도)치즈매콤닭강정감자2</v>
      </c>
      <c r="F48" s="82"/>
      <c r="G48" s="82"/>
      <c r="H48" s="82"/>
      <c r="I48" s="82"/>
      <c r="J48" s="82"/>
      <c r="K48" s="82"/>
      <c r="L48" s="82"/>
      <c r="M48" s="83">
        <f t="shared" si="13"/>
        <v>30</v>
      </c>
      <c r="N48" s="83"/>
      <c r="O48" s="83"/>
      <c r="P48" s="83"/>
      <c r="Q48" s="216">
        <f t="shared" si="14"/>
        <v>0</v>
      </c>
      <c r="R48" s="216"/>
      <c r="S48" s="216"/>
      <c r="T48" s="217">
        <f t="shared" si="15"/>
        <v>0</v>
      </c>
      <c r="U48" s="217"/>
      <c r="V48" s="217"/>
      <c r="W48" s="218">
        <f t="shared" si="16"/>
        <v>0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도)치즈청양간장닭강정2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33</v>
      </c>
      <c r="R49" s="216"/>
      <c r="S49" s="216"/>
      <c r="T49" s="217">
        <f t="shared" si="15"/>
        <v>1</v>
      </c>
      <c r="U49" s="217"/>
      <c r="V49" s="217"/>
      <c r="W49" s="218">
        <f t="shared" si="16"/>
        <v>3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도)쿵야반반닭강정팩2</v>
      </c>
      <c r="F50" s="82"/>
      <c r="G50" s="82"/>
      <c r="H50" s="82"/>
      <c r="I50" s="82"/>
      <c r="J50" s="82"/>
      <c r="K50" s="82"/>
      <c r="L50" s="82"/>
      <c r="M50" s="83">
        <f t="shared" si="13"/>
        <v>36</v>
      </c>
      <c r="N50" s="83"/>
      <c r="O50" s="83"/>
      <c r="P50" s="83"/>
      <c r="Q50" s="216">
        <f t="shared" si="14"/>
        <v>13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13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81" t="str">
        <f t="shared" ref="E51" si="18">E23</f>
        <v>APP)치맥아보트러플치킨2</v>
      </c>
      <c r="F51" s="82"/>
      <c r="G51" s="82"/>
      <c r="H51" s="82"/>
      <c r="I51" s="82"/>
      <c r="J51" s="82"/>
      <c r="K51" s="82"/>
      <c r="L51" s="82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297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100000000000001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 xml:space="preserve">경상북도 하양읍 지식산업2로1길 63
053)211-1333 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100000000000001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A14">
    <cfRule type="expression" dxfId="157" priority="3061">
      <formula>Q13:S26=0</formula>
    </cfRule>
  </conditionalFormatting>
  <conditionalFormatting sqref="AA15:AA16">
    <cfRule type="expression" dxfId="156" priority="5">
      <formula>Q15:S26=0</formula>
    </cfRule>
  </conditionalFormatting>
  <conditionalFormatting sqref="AA17:AA18">
    <cfRule type="expression" dxfId="155" priority="3059">
      <formula>Q17:S27=0</formula>
    </cfRule>
  </conditionalFormatting>
  <conditionalFormatting sqref="AA19:AA21">
    <cfRule type="expression" dxfId="154" priority="2">
      <formula>Q19:S28=0</formula>
    </cfRule>
  </conditionalFormatting>
  <conditionalFormatting sqref="AA22">
    <cfRule type="expression" dxfId="153" priority="2438">
      <formula>Q22:S29=0</formula>
    </cfRule>
  </conditionalFormatting>
  <conditionalFormatting sqref="AA23">
    <cfRule type="expression" dxfId="152" priority="7">
      <formula>Q23:S31=0</formula>
    </cfRule>
  </conditionalFormatting>
  <conditionalFormatting sqref="AA24:AH24">
    <cfRule type="expression" dxfId="151" priority="23">
      <formula>Q24:S24=0</formula>
    </cfRule>
  </conditionalFormatting>
  <conditionalFormatting sqref="AA41:AH51">
    <cfRule type="expression" dxfId="150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Q41:Q51 M36:M52 E40:E52 T41:T51 AA40:AA51" xr:uid="{C9B9E564-17B1-402D-901A-3D3BC791336E}"/>
  </dataValidations>
  <printOptions horizontalCentered="1"/>
  <pageMargins left="0" right="0" top="0.11811023622047245" bottom="0" header="0" footer="0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2C9B-4BB6-4E5C-953F-540E48027CB5}">
  <sheetPr>
    <pageSetUpPr fitToPage="1"/>
  </sheetPr>
  <dimension ref="B1:AH54"/>
  <sheetViews>
    <sheetView zoomScale="70" zoomScaleNormal="70" workbookViewId="0">
      <selection activeCell="BH42" sqref="BH42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23</v>
      </c>
      <c r="C1" s="2"/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23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264" t="s">
        <v>24</v>
      </c>
      <c r="H8" s="265"/>
      <c r="I8" s="265"/>
      <c r="J8" s="265"/>
      <c r="K8" s="265"/>
      <c r="L8" s="265"/>
      <c r="M8" s="265"/>
      <c r="N8" s="265"/>
      <c r="O8" s="265"/>
      <c r="P8" s="265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266"/>
      <c r="H9" s="267"/>
      <c r="I9" s="267"/>
      <c r="J9" s="267"/>
      <c r="K9" s="267"/>
      <c r="L9" s="267"/>
      <c r="M9" s="267"/>
      <c r="N9" s="267"/>
      <c r="O9" s="267"/>
      <c r="P9" s="267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3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3</v>
      </c>
      <c r="X13" s="100"/>
      <c r="Y13" s="100"/>
      <c r="Z13" s="101"/>
      <c r="AA13" s="73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107</v>
      </c>
      <c r="R14" s="96"/>
      <c r="S14" s="97"/>
      <c r="T14" s="98">
        <f t="shared" ref="T14:T19" si="2">IFERROR(ROUNDDOWN(Q14/M14,0),"")</f>
        <v>3</v>
      </c>
      <c r="U14" s="84"/>
      <c r="V14" s="84"/>
      <c r="W14" s="99">
        <f t="shared" ref="W14:W19" si="3">IFERROR(Q14-(T14*M14),"")</f>
        <v>17</v>
      </c>
      <c r="X14" s="100"/>
      <c r="Y14" s="100"/>
      <c r="Z14" s="101"/>
      <c r="AA14" s="73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9</v>
      </c>
      <c r="R15" s="96"/>
      <c r="S15" s="97"/>
      <c r="T15" s="98">
        <f t="shared" si="2"/>
        <v>0</v>
      </c>
      <c r="U15" s="84"/>
      <c r="V15" s="84"/>
      <c r="W15" s="99">
        <f t="shared" si="3"/>
        <v>9</v>
      </c>
      <c r="X15" s="100"/>
      <c r="Y15" s="100"/>
      <c r="Z15" s="101"/>
      <c r="AA15" s="73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18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18</v>
      </c>
      <c r="X16" s="100"/>
      <c r="Y16" s="100"/>
      <c r="Z16" s="101"/>
      <c r="AA16" s="73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3</v>
      </c>
      <c r="R17" s="96"/>
      <c r="S17" s="97"/>
      <c r="T17" s="98">
        <f t="shared" si="2"/>
        <v>0</v>
      </c>
      <c r="U17" s="84"/>
      <c r="V17" s="84"/>
      <c r="W17" s="99">
        <f t="shared" si="3"/>
        <v>3</v>
      </c>
      <c r="X17" s="100"/>
      <c r="Y17" s="100"/>
      <c r="Z17" s="101"/>
      <c r="AA17" s="73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6</v>
      </c>
      <c r="R18" s="96"/>
      <c r="S18" s="97"/>
      <c r="T18" s="98">
        <f t="shared" si="2"/>
        <v>0</v>
      </c>
      <c r="U18" s="84"/>
      <c r="V18" s="84"/>
      <c r="W18" s="99">
        <f t="shared" si="3"/>
        <v>6</v>
      </c>
      <c r="X18" s="100"/>
      <c r="Y18" s="100"/>
      <c r="Z18" s="101"/>
      <c r="AA18" s="73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2</v>
      </c>
      <c r="R19" s="96"/>
      <c r="S19" s="97"/>
      <c r="T19" s="98">
        <f t="shared" si="2"/>
        <v>0</v>
      </c>
      <c r="U19" s="84"/>
      <c r="V19" s="84"/>
      <c r="W19" s="99">
        <f t="shared" si="3"/>
        <v>2</v>
      </c>
      <c r="X19" s="100"/>
      <c r="Y19" s="100"/>
      <c r="Z19" s="101"/>
      <c r="AA19" s="73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1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1</v>
      </c>
      <c r="X20" s="100"/>
      <c r="Y20" s="100"/>
      <c r="Z20" s="101"/>
      <c r="AA20" s="73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23</v>
      </c>
      <c r="R21" s="96"/>
      <c r="S21" s="97"/>
      <c r="T21" s="98">
        <f t="shared" ref="T21" si="8">IFERROR(ROUNDDOWN(Q21/M21,0),"")</f>
        <v>0</v>
      </c>
      <c r="U21" s="84"/>
      <c r="V21" s="84"/>
      <c r="W21" s="99">
        <f t="shared" ref="W21" si="9">IFERROR(Q21-(T21*M21),"")</f>
        <v>23</v>
      </c>
      <c r="X21" s="100"/>
      <c r="Y21" s="100"/>
      <c r="Z21" s="101"/>
      <c r="AA21" s="73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9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9</v>
      </c>
      <c r="X22" s="100"/>
      <c r="Y22" s="100"/>
      <c r="Z22" s="101"/>
      <c r="AA22" s="73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73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181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25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BGF로지스양주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경기도 양주시 백석읍 양주산성로 572 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3</v>
      </c>
      <c r="R41" s="216"/>
      <c r="S41" s="216"/>
      <c r="T41" s="217">
        <f>T13</f>
        <v>0</v>
      </c>
      <c r="U41" s="217"/>
      <c r="V41" s="217"/>
      <c r="W41" s="218">
        <f>W13</f>
        <v>3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81" t="str">
        <f t="shared" ref="E42:E50" si="12">E14</f>
        <v>도)리얼모짜치즈돈까스2</v>
      </c>
      <c r="F42" s="82"/>
      <c r="G42" s="82"/>
      <c r="H42" s="82"/>
      <c r="I42" s="82"/>
      <c r="J42" s="82"/>
      <c r="K42" s="82"/>
      <c r="L42" s="82"/>
      <c r="M42" s="83">
        <f t="shared" ref="M42:M51" si="13">M14</f>
        <v>30</v>
      </c>
      <c r="N42" s="83"/>
      <c r="O42" s="83"/>
      <c r="P42" s="83"/>
      <c r="Q42" s="216">
        <f t="shared" ref="Q42:Q51" si="14">Q14</f>
        <v>107</v>
      </c>
      <c r="R42" s="216"/>
      <c r="S42" s="216"/>
      <c r="T42" s="217">
        <f t="shared" ref="T42:T51" si="15">T14</f>
        <v>3</v>
      </c>
      <c r="U42" s="217"/>
      <c r="V42" s="217"/>
      <c r="W42" s="218">
        <f t="shared" ref="W42:W50" si="16">W14</f>
        <v>17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81" t="str">
        <f t="shared" si="12"/>
        <v>도)리얼치즈고구마돈까스2</v>
      </c>
      <c r="F43" s="82"/>
      <c r="G43" s="82"/>
      <c r="H43" s="82"/>
      <c r="I43" s="82"/>
      <c r="J43" s="82"/>
      <c r="K43" s="82"/>
      <c r="L43" s="82"/>
      <c r="M43" s="83">
        <f t="shared" si="13"/>
        <v>30</v>
      </c>
      <c r="N43" s="83"/>
      <c r="O43" s="83"/>
      <c r="P43" s="83"/>
      <c r="Q43" s="216">
        <f t="shared" si="14"/>
        <v>9</v>
      </c>
      <c r="R43" s="216"/>
      <c r="S43" s="216"/>
      <c r="T43" s="217">
        <f t="shared" si="15"/>
        <v>0</v>
      </c>
      <c r="U43" s="217"/>
      <c r="V43" s="217"/>
      <c r="W43" s="218">
        <f t="shared" si="16"/>
        <v>9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81" t="str">
        <f t="shared" si="12"/>
        <v>도)윙봉칠리탕수득템2</v>
      </c>
      <c r="F44" s="82"/>
      <c r="G44" s="82"/>
      <c r="H44" s="82"/>
      <c r="I44" s="82"/>
      <c r="J44" s="82"/>
      <c r="K44" s="82"/>
      <c r="L44" s="82"/>
      <c r="M44" s="83">
        <f t="shared" si="13"/>
        <v>36</v>
      </c>
      <c r="N44" s="83"/>
      <c r="O44" s="83"/>
      <c r="P44" s="83"/>
      <c r="Q44" s="216">
        <f t="shared" si="14"/>
        <v>18</v>
      </c>
      <c r="R44" s="216"/>
      <c r="S44" s="216"/>
      <c r="T44" s="217">
        <f t="shared" si="15"/>
        <v>0</v>
      </c>
      <c r="U44" s="217"/>
      <c r="V44" s="217"/>
      <c r="W44" s="218">
        <f t="shared" si="16"/>
        <v>18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81" t="str">
        <f t="shared" si="12"/>
        <v>도)찍먹윙봉2</v>
      </c>
      <c r="F45" s="82"/>
      <c r="G45" s="82"/>
      <c r="H45" s="82"/>
      <c r="I45" s="82"/>
      <c r="J45" s="82"/>
      <c r="K45" s="82"/>
      <c r="L45" s="82"/>
      <c r="M45" s="83">
        <f t="shared" si="13"/>
        <v>36</v>
      </c>
      <c r="N45" s="83"/>
      <c r="O45" s="83"/>
      <c r="P45" s="83"/>
      <c r="Q45" s="216">
        <f t="shared" si="14"/>
        <v>3</v>
      </c>
      <c r="R45" s="216"/>
      <c r="S45" s="216"/>
      <c r="T45" s="217">
        <f t="shared" si="15"/>
        <v>0</v>
      </c>
      <c r="U45" s="217"/>
      <c r="V45" s="217"/>
      <c r="W45" s="218">
        <f t="shared" si="16"/>
        <v>3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81" t="str">
        <f t="shared" si="12"/>
        <v>도)찍먹탕수육2</v>
      </c>
      <c r="F46" s="82"/>
      <c r="G46" s="82"/>
      <c r="H46" s="82"/>
      <c r="I46" s="82"/>
      <c r="J46" s="82"/>
      <c r="K46" s="82"/>
      <c r="L46" s="82"/>
      <c r="M46" s="83">
        <f t="shared" si="13"/>
        <v>36</v>
      </c>
      <c r="N46" s="83"/>
      <c r="O46" s="83"/>
      <c r="P46" s="83"/>
      <c r="Q46" s="216">
        <f t="shared" si="14"/>
        <v>6</v>
      </c>
      <c r="R46" s="216"/>
      <c r="S46" s="216"/>
      <c r="T46" s="217">
        <f t="shared" si="15"/>
        <v>0</v>
      </c>
      <c r="U46" s="217"/>
      <c r="V46" s="217"/>
      <c r="W46" s="218">
        <f t="shared" si="16"/>
        <v>6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81" t="str">
        <f t="shared" si="12"/>
        <v>도)치맥아보트러플치킨2</v>
      </c>
      <c r="F47" s="82"/>
      <c r="G47" s="82"/>
      <c r="H47" s="82"/>
      <c r="I47" s="82"/>
      <c r="J47" s="82"/>
      <c r="K47" s="82"/>
      <c r="L47" s="82"/>
      <c r="M47" s="83">
        <f t="shared" si="13"/>
        <v>32</v>
      </c>
      <c r="N47" s="83"/>
      <c r="O47" s="83"/>
      <c r="P47" s="83"/>
      <c r="Q47" s="216">
        <f t="shared" si="14"/>
        <v>2</v>
      </c>
      <c r="R47" s="216"/>
      <c r="S47" s="216"/>
      <c r="T47" s="217">
        <f t="shared" si="15"/>
        <v>0</v>
      </c>
      <c r="U47" s="217"/>
      <c r="V47" s="217"/>
      <c r="W47" s="218">
        <f t="shared" si="16"/>
        <v>2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81" t="str">
        <f t="shared" si="12"/>
        <v>도)치즈매콤닭강정감자2</v>
      </c>
      <c r="F48" s="82"/>
      <c r="G48" s="82"/>
      <c r="H48" s="82"/>
      <c r="I48" s="82"/>
      <c r="J48" s="82"/>
      <c r="K48" s="82"/>
      <c r="L48" s="82"/>
      <c r="M48" s="83">
        <f t="shared" si="13"/>
        <v>30</v>
      </c>
      <c r="N48" s="83"/>
      <c r="O48" s="83"/>
      <c r="P48" s="83"/>
      <c r="Q48" s="216">
        <f t="shared" si="14"/>
        <v>1</v>
      </c>
      <c r="R48" s="216"/>
      <c r="S48" s="216"/>
      <c r="T48" s="217">
        <f t="shared" si="15"/>
        <v>0</v>
      </c>
      <c r="U48" s="217"/>
      <c r="V48" s="217"/>
      <c r="W48" s="218">
        <f t="shared" si="16"/>
        <v>1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81" t="str">
        <f t="shared" si="12"/>
        <v>도)치즈청양간장닭강정2</v>
      </c>
      <c r="F49" s="82"/>
      <c r="G49" s="82"/>
      <c r="H49" s="82"/>
      <c r="I49" s="82"/>
      <c r="J49" s="82"/>
      <c r="K49" s="82"/>
      <c r="L49" s="82"/>
      <c r="M49" s="83">
        <f t="shared" si="13"/>
        <v>30</v>
      </c>
      <c r="N49" s="83"/>
      <c r="O49" s="83"/>
      <c r="P49" s="83"/>
      <c r="Q49" s="216">
        <f t="shared" si="14"/>
        <v>23</v>
      </c>
      <c r="R49" s="216"/>
      <c r="S49" s="216"/>
      <c r="T49" s="217">
        <f t="shared" si="15"/>
        <v>0</v>
      </c>
      <c r="U49" s="217"/>
      <c r="V49" s="217"/>
      <c r="W49" s="218">
        <f t="shared" si="16"/>
        <v>23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81" t="str">
        <f t="shared" si="12"/>
        <v>도)쿵야반반닭강정팩2</v>
      </c>
      <c r="F50" s="82"/>
      <c r="G50" s="82"/>
      <c r="H50" s="82"/>
      <c r="I50" s="82"/>
      <c r="J50" s="82"/>
      <c r="K50" s="82"/>
      <c r="L50" s="82"/>
      <c r="M50" s="83">
        <f t="shared" si="13"/>
        <v>36</v>
      </c>
      <c r="N50" s="83"/>
      <c r="O50" s="83"/>
      <c r="P50" s="83"/>
      <c r="Q50" s="216">
        <f t="shared" si="14"/>
        <v>9</v>
      </c>
      <c r="R50" s="216"/>
      <c r="S50" s="216"/>
      <c r="T50" s="217">
        <f t="shared" si="15"/>
        <v>0</v>
      </c>
      <c r="U50" s="217"/>
      <c r="V50" s="217"/>
      <c r="W50" s="218">
        <f t="shared" si="16"/>
        <v>9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81" t="str">
        <f t="shared" ref="E51" si="18">E23</f>
        <v>APP)치맥아보트러플치킨2</v>
      </c>
      <c r="F51" s="82"/>
      <c r="G51" s="82"/>
      <c r="H51" s="82"/>
      <c r="I51" s="82"/>
      <c r="J51" s="82"/>
      <c r="K51" s="82"/>
      <c r="L51" s="82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181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100000000000001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경기도 양주시 백석읍 양주산성로 572
031)826-1262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100000000000001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H14">
    <cfRule type="expression" dxfId="149" priority="3057">
      <formula>Q13:S26=0</formula>
    </cfRule>
  </conditionalFormatting>
  <conditionalFormatting sqref="AA15:AH16">
    <cfRule type="expression" dxfId="148" priority="5">
      <formula>Q15:S26=0</formula>
    </cfRule>
  </conditionalFormatting>
  <conditionalFormatting sqref="AA17:AH18">
    <cfRule type="expression" dxfId="147" priority="3055">
      <formula>Q17:S27=0</formula>
    </cfRule>
  </conditionalFormatting>
  <conditionalFormatting sqref="AA19:AH21">
    <cfRule type="expression" dxfId="146" priority="2">
      <formula>Q19:S28=0</formula>
    </cfRule>
  </conditionalFormatting>
  <conditionalFormatting sqref="AA22:AH22">
    <cfRule type="expression" dxfId="145" priority="2435">
      <formula>Q22:S29=0</formula>
    </cfRule>
  </conditionalFormatting>
  <conditionalFormatting sqref="AA23:AH23">
    <cfRule type="expression" dxfId="144" priority="7">
      <formula>Q23:S31=0</formula>
    </cfRule>
  </conditionalFormatting>
  <conditionalFormatting sqref="AA24:AH24">
    <cfRule type="expression" dxfId="143" priority="26">
      <formula>Q24:S24=0</formula>
    </cfRule>
  </conditionalFormatting>
  <conditionalFormatting sqref="AA41:AH51">
    <cfRule type="expression" dxfId="142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Q41:Q51 M36:M52 E40:E52 T41:T51 AA40:AA51" xr:uid="{00113334-DF61-4957-8168-484779BB6CD8}"/>
  </dataValidations>
  <printOptions horizontalCentered="1"/>
  <pageMargins left="0" right="0" top="0.11811023622047245" bottom="0" header="0" footer="0"/>
  <pageSetup paperSize="9" scale="84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DBE2-7336-4D67-BC61-C340DD96AFFF}">
  <sheetPr>
    <pageSetUpPr fitToPage="1"/>
  </sheetPr>
  <dimension ref="B1:AH54"/>
  <sheetViews>
    <sheetView topLeftCell="A15" zoomScale="70" zoomScaleNormal="70" workbookViewId="0">
      <selection activeCell="BT40" sqref="BT40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32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32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33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10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10</v>
      </c>
      <c r="X13" s="100"/>
      <c r="Y13" s="100"/>
      <c r="Z13" s="101"/>
      <c r="AA13" s="153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111</v>
      </c>
      <c r="R14" s="96"/>
      <c r="S14" s="97"/>
      <c r="T14" s="98">
        <f t="shared" ref="T14:T19" si="2">IFERROR(ROUNDDOWN(Q14/M14,0),"")</f>
        <v>3</v>
      </c>
      <c r="U14" s="84"/>
      <c r="V14" s="84"/>
      <c r="W14" s="99">
        <f t="shared" ref="W14:W19" si="3">IFERROR(Q14-(T14*M14),"")</f>
        <v>21</v>
      </c>
      <c r="X14" s="100"/>
      <c r="Y14" s="100"/>
      <c r="Z14" s="101"/>
      <c r="AA14" s="153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13</v>
      </c>
      <c r="R15" s="96"/>
      <c r="S15" s="97"/>
      <c r="T15" s="98">
        <f t="shared" si="2"/>
        <v>0</v>
      </c>
      <c r="U15" s="84"/>
      <c r="V15" s="84"/>
      <c r="W15" s="99">
        <f t="shared" si="3"/>
        <v>13</v>
      </c>
      <c r="X15" s="100"/>
      <c r="Y15" s="100"/>
      <c r="Z15" s="101"/>
      <c r="AA15" s="153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26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26</v>
      </c>
      <c r="X16" s="100"/>
      <c r="Y16" s="100"/>
      <c r="Z16" s="101"/>
      <c r="AA16" s="153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2</v>
      </c>
      <c r="R17" s="96"/>
      <c r="S17" s="97"/>
      <c r="T17" s="98">
        <f t="shared" si="2"/>
        <v>0</v>
      </c>
      <c r="U17" s="84"/>
      <c r="V17" s="84"/>
      <c r="W17" s="99">
        <f t="shared" si="3"/>
        <v>2</v>
      </c>
      <c r="X17" s="100"/>
      <c r="Y17" s="100"/>
      <c r="Z17" s="101"/>
      <c r="AA17" s="153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7</v>
      </c>
      <c r="R18" s="96"/>
      <c r="S18" s="97"/>
      <c r="T18" s="98">
        <f t="shared" si="2"/>
        <v>0</v>
      </c>
      <c r="U18" s="84"/>
      <c r="V18" s="84"/>
      <c r="W18" s="99">
        <f t="shared" si="3"/>
        <v>7</v>
      </c>
      <c r="X18" s="100"/>
      <c r="Y18" s="100"/>
      <c r="Z18" s="101"/>
      <c r="AA18" s="153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7</v>
      </c>
      <c r="R19" s="96"/>
      <c r="S19" s="97"/>
      <c r="T19" s="98">
        <f t="shared" si="2"/>
        <v>0</v>
      </c>
      <c r="U19" s="84"/>
      <c r="V19" s="84"/>
      <c r="W19" s="99">
        <f t="shared" si="3"/>
        <v>7</v>
      </c>
      <c r="X19" s="100"/>
      <c r="Y19" s="100"/>
      <c r="Z19" s="101"/>
      <c r="AA19" s="153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3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3</v>
      </c>
      <c r="X20" s="100"/>
      <c r="Y20" s="100"/>
      <c r="Z20" s="101"/>
      <c r="AA20" s="153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22</v>
      </c>
      <c r="R21" s="96"/>
      <c r="S21" s="97"/>
      <c r="T21" s="98">
        <f t="shared" ref="T21" si="8">IFERROR(ROUNDDOWN(Q21/M21,0),"")</f>
        <v>0</v>
      </c>
      <c r="U21" s="84"/>
      <c r="V21" s="84"/>
      <c r="W21" s="99">
        <f t="shared" ref="W21" si="9">IFERROR(Q21-(T21*M21),"")</f>
        <v>22</v>
      </c>
      <c r="X21" s="100"/>
      <c r="Y21" s="100"/>
      <c r="Z21" s="101"/>
      <c r="AA21" s="153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10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10</v>
      </c>
      <c r="X22" s="100"/>
      <c r="Y22" s="100"/>
      <c r="Z22" s="101"/>
      <c r="AA22" s="153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153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211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34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319" t="s">
        <v>0</v>
      </c>
      <c r="C32" s="272" t="str">
        <f>C4</f>
        <v>등록번호</v>
      </c>
      <c r="D32" s="237"/>
      <c r="E32" s="237"/>
      <c r="F32" s="273"/>
      <c r="G32" s="322"/>
      <c r="H32" s="323"/>
      <c r="I32" s="323"/>
      <c r="J32" s="323"/>
      <c r="K32" s="323"/>
      <c r="L32" s="323"/>
      <c r="M32" s="323"/>
      <c r="N32" s="323"/>
      <c r="O32" s="323"/>
      <c r="P32" s="324"/>
      <c r="Q32" s="205" t="s">
        <v>2</v>
      </c>
      <c r="R32" s="281" t="s">
        <v>3</v>
      </c>
      <c r="S32" s="229"/>
      <c r="T32" s="229"/>
      <c r="U32" s="282"/>
      <c r="V32" s="286" t="str">
        <f>V4</f>
        <v>397-85-00686</v>
      </c>
      <c r="W32" s="287"/>
      <c r="X32" s="287"/>
      <c r="Y32" s="287"/>
      <c r="Z32" s="287"/>
      <c r="AA32" s="287"/>
      <c r="AB32" s="287"/>
      <c r="AC32" s="287"/>
      <c r="AD32" s="287"/>
      <c r="AE32" s="287"/>
      <c r="AF32" s="287"/>
      <c r="AG32" s="287"/>
      <c r="AH32" s="288"/>
    </row>
    <row r="33" spans="2:34" ht="13.5" customHeight="1" x14ac:dyDescent="0.15">
      <c r="B33" s="320"/>
      <c r="C33" s="274"/>
      <c r="D33" s="275"/>
      <c r="E33" s="275"/>
      <c r="F33" s="276"/>
      <c r="G33" s="325"/>
      <c r="H33" s="326"/>
      <c r="I33" s="326"/>
      <c r="J33" s="326"/>
      <c r="K33" s="326"/>
      <c r="L33" s="326"/>
      <c r="M33" s="326"/>
      <c r="N33" s="326"/>
      <c r="O33" s="326"/>
      <c r="P33" s="327"/>
      <c r="Q33" s="279"/>
      <c r="R33" s="283"/>
      <c r="S33" s="284"/>
      <c r="T33" s="284"/>
      <c r="U33" s="285"/>
      <c r="V33" s="289"/>
      <c r="W33" s="290"/>
      <c r="X33" s="290"/>
      <c r="Y33" s="290"/>
      <c r="Z33" s="290"/>
      <c r="AA33" s="290"/>
      <c r="AB33" s="290"/>
      <c r="AC33" s="290"/>
      <c r="AD33" s="290"/>
      <c r="AE33" s="290"/>
      <c r="AF33" s="290"/>
      <c r="AG33" s="290"/>
      <c r="AH33" s="291"/>
    </row>
    <row r="34" spans="2:34" ht="13.5" customHeight="1" x14ac:dyDescent="0.15">
      <c r="B34" s="320"/>
      <c r="C34" s="272" t="str">
        <f>C6</f>
        <v>상 호
(법인명)</v>
      </c>
      <c r="D34" s="237"/>
      <c r="E34" s="237"/>
      <c r="F34" s="273"/>
      <c r="G34" s="189" t="str">
        <f>G6</f>
        <v>CU (BGF)</v>
      </c>
      <c r="H34" s="190"/>
      <c r="I34" s="190"/>
      <c r="J34" s="190"/>
      <c r="K34" s="191"/>
      <c r="L34" s="189" t="str">
        <f>L6</f>
        <v>BGF로지스화성</v>
      </c>
      <c r="M34" s="190"/>
      <c r="N34" s="190"/>
      <c r="O34" s="190"/>
      <c r="P34" s="191"/>
      <c r="Q34" s="279"/>
      <c r="R34" s="272" t="s">
        <v>1</v>
      </c>
      <c r="S34" s="237"/>
      <c r="T34" s="237"/>
      <c r="U34" s="273"/>
      <c r="V34" s="297" t="str">
        <f>V6</f>
        <v>㈜대신에프에스</v>
      </c>
      <c r="W34" s="298"/>
      <c r="X34" s="298"/>
      <c r="Y34" s="298"/>
      <c r="Z34" s="298"/>
      <c r="AA34" s="299"/>
      <c r="AB34" s="281" t="s">
        <v>5</v>
      </c>
      <c r="AC34" s="282"/>
      <c r="AD34" s="297" t="str">
        <f>AD6</f>
        <v>신판철</v>
      </c>
      <c r="AE34" s="298"/>
      <c r="AF34" s="298"/>
      <c r="AG34" s="298"/>
      <c r="AH34" s="303"/>
    </row>
    <row r="35" spans="2:34" x14ac:dyDescent="0.15">
      <c r="B35" s="320"/>
      <c r="C35" s="274"/>
      <c r="D35" s="275"/>
      <c r="E35" s="275"/>
      <c r="F35" s="276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279"/>
      <c r="R35" s="274"/>
      <c r="S35" s="275"/>
      <c r="T35" s="275"/>
      <c r="U35" s="276"/>
      <c r="V35" s="300"/>
      <c r="W35" s="301"/>
      <c r="X35" s="301"/>
      <c r="Y35" s="301"/>
      <c r="Z35" s="301"/>
      <c r="AA35" s="302"/>
      <c r="AB35" s="283"/>
      <c r="AC35" s="285"/>
      <c r="AD35" s="300"/>
      <c r="AE35" s="301"/>
      <c r="AF35" s="301"/>
      <c r="AG35" s="301"/>
      <c r="AH35" s="304"/>
    </row>
    <row r="36" spans="2:34" ht="13.5" customHeight="1" x14ac:dyDescent="0.15">
      <c r="B36" s="320"/>
      <c r="C36" s="272" t="s">
        <v>4</v>
      </c>
      <c r="D36" s="237"/>
      <c r="E36" s="237"/>
      <c r="F36" s="273"/>
      <c r="G36" s="337" t="str">
        <f>G8</f>
        <v>경기도 화성시 팔탄면 
시청로721번길 25</v>
      </c>
      <c r="H36" s="338"/>
      <c r="I36" s="338"/>
      <c r="J36" s="338"/>
      <c r="K36" s="338"/>
      <c r="L36" s="338"/>
      <c r="M36" s="338"/>
      <c r="N36" s="338"/>
      <c r="O36" s="338"/>
      <c r="P36" s="339"/>
      <c r="Q36" s="279"/>
      <c r="R36" s="272" t="s">
        <v>4</v>
      </c>
      <c r="S36" s="237"/>
      <c r="T36" s="237"/>
      <c r="U36" s="273"/>
      <c r="V36" s="189" t="str">
        <f>V8</f>
        <v>전라북도 부안군 행안면 옥여길 32-76</v>
      </c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277"/>
    </row>
    <row r="37" spans="2:34" x14ac:dyDescent="0.15">
      <c r="B37" s="320"/>
      <c r="C37" s="274"/>
      <c r="D37" s="275"/>
      <c r="E37" s="275"/>
      <c r="F37" s="276"/>
      <c r="G37" s="340"/>
      <c r="H37" s="341"/>
      <c r="I37" s="341"/>
      <c r="J37" s="341"/>
      <c r="K37" s="341"/>
      <c r="L37" s="341"/>
      <c r="M37" s="341"/>
      <c r="N37" s="341"/>
      <c r="O37" s="341"/>
      <c r="P37" s="342"/>
      <c r="Q37" s="279"/>
      <c r="R37" s="274"/>
      <c r="S37" s="275"/>
      <c r="T37" s="275"/>
      <c r="U37" s="276"/>
      <c r="V37" s="192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278"/>
    </row>
    <row r="38" spans="2:34" ht="13.5" customHeight="1" x14ac:dyDescent="0.15">
      <c r="B38" s="320"/>
      <c r="C38" s="272" t="s">
        <v>6</v>
      </c>
      <c r="D38" s="237"/>
      <c r="E38" s="237"/>
      <c r="F38" s="273"/>
      <c r="G38" s="328"/>
      <c r="H38" s="329"/>
      <c r="I38" s="329"/>
      <c r="J38" s="329"/>
      <c r="K38" s="329"/>
      <c r="L38" s="329"/>
      <c r="M38" s="329"/>
      <c r="N38" s="329"/>
      <c r="O38" s="329"/>
      <c r="P38" s="330"/>
      <c r="Q38" s="279"/>
      <c r="R38" s="281" t="s">
        <v>11</v>
      </c>
      <c r="S38" s="229"/>
      <c r="T38" s="229"/>
      <c r="U38" s="282"/>
      <c r="V38" s="312" t="str">
        <f>V10</f>
        <v>도매및 소매업</v>
      </c>
      <c r="W38" s="313"/>
      <c r="X38" s="313"/>
      <c r="Y38" s="313"/>
      <c r="Z38" s="313"/>
      <c r="AA38" s="335"/>
      <c r="AB38" s="281" t="str">
        <f>AB10</f>
        <v>종 목</v>
      </c>
      <c r="AC38" s="282"/>
      <c r="AD38" s="312" t="str">
        <f>AD10</f>
        <v xml:space="preserve">빵 과자류 </v>
      </c>
      <c r="AE38" s="313"/>
      <c r="AF38" s="313"/>
      <c r="AG38" s="313"/>
      <c r="AH38" s="314"/>
    </row>
    <row r="39" spans="2:34" x14ac:dyDescent="0.15">
      <c r="B39" s="321"/>
      <c r="C39" s="274"/>
      <c r="D39" s="275"/>
      <c r="E39" s="275"/>
      <c r="F39" s="276"/>
      <c r="G39" s="331"/>
      <c r="H39" s="332"/>
      <c r="I39" s="332"/>
      <c r="J39" s="332"/>
      <c r="K39" s="332"/>
      <c r="L39" s="332"/>
      <c r="M39" s="332"/>
      <c r="N39" s="332"/>
      <c r="O39" s="332"/>
      <c r="P39" s="333"/>
      <c r="Q39" s="280"/>
      <c r="R39" s="310"/>
      <c r="S39" s="334"/>
      <c r="T39" s="334"/>
      <c r="U39" s="311"/>
      <c r="V39" s="315"/>
      <c r="W39" s="316"/>
      <c r="X39" s="316"/>
      <c r="Y39" s="316"/>
      <c r="Z39" s="316"/>
      <c r="AA39" s="336"/>
      <c r="AB39" s="310"/>
      <c r="AC39" s="311"/>
      <c r="AD39" s="315"/>
      <c r="AE39" s="316"/>
      <c r="AF39" s="316"/>
      <c r="AG39" s="316"/>
      <c r="AH39" s="317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305" t="s">
        <v>9</v>
      </c>
      <c r="F40" s="306"/>
      <c r="G40" s="306"/>
      <c r="H40" s="306"/>
      <c r="I40" s="306"/>
      <c r="J40" s="306"/>
      <c r="K40" s="306"/>
      <c r="L40" s="307"/>
      <c r="M40" s="308" t="s">
        <v>14</v>
      </c>
      <c r="N40" s="309"/>
      <c r="O40" s="309"/>
      <c r="P40" s="219"/>
      <c r="Q40" s="292" t="s">
        <v>17</v>
      </c>
      <c r="R40" s="293"/>
      <c r="S40" s="294"/>
      <c r="T40" s="292" t="s">
        <v>18</v>
      </c>
      <c r="U40" s="293"/>
      <c r="V40" s="294"/>
      <c r="W40" s="308" t="s">
        <v>19</v>
      </c>
      <c r="X40" s="309"/>
      <c r="Y40" s="309"/>
      <c r="Z40" s="219"/>
      <c r="AA40" s="308" t="s">
        <v>16</v>
      </c>
      <c r="AB40" s="309"/>
      <c r="AC40" s="309"/>
      <c r="AD40" s="309"/>
      <c r="AE40" s="309"/>
      <c r="AF40" s="309"/>
      <c r="AG40" s="309"/>
      <c r="AH40" s="318"/>
    </row>
    <row r="41" spans="2:34" ht="21" customHeight="1" x14ac:dyDescent="0.15">
      <c r="B41" s="222">
        <f>B13</f>
        <v>46314</v>
      </c>
      <c r="C41" s="270"/>
      <c r="D41" s="271"/>
      <c r="E41" s="295" t="str">
        <f>E13</f>
        <v>도)깐풍기&amp;표고탕수2</v>
      </c>
      <c r="F41" s="223"/>
      <c r="G41" s="223"/>
      <c r="H41" s="223"/>
      <c r="I41" s="223"/>
      <c r="J41" s="223"/>
      <c r="K41" s="223"/>
      <c r="L41" s="296"/>
      <c r="M41" s="254">
        <f>M13</f>
        <v>36</v>
      </c>
      <c r="N41" s="255"/>
      <c r="O41" s="255"/>
      <c r="P41" s="224"/>
      <c r="Q41" s="256">
        <f>Q13</f>
        <v>10</v>
      </c>
      <c r="R41" s="257"/>
      <c r="S41" s="258"/>
      <c r="T41" s="259">
        <f>T13</f>
        <v>0</v>
      </c>
      <c r="U41" s="260"/>
      <c r="V41" s="242"/>
      <c r="W41" s="261">
        <f>W13</f>
        <v>10</v>
      </c>
      <c r="X41" s="262"/>
      <c r="Y41" s="262"/>
      <c r="Z41" s="263"/>
      <c r="AA41" s="268">
        <f>AA13</f>
        <v>46319</v>
      </c>
      <c r="AB41" s="260"/>
      <c r="AC41" s="260"/>
      <c r="AD41" s="260"/>
      <c r="AE41" s="260"/>
      <c r="AF41" s="260"/>
      <c r="AG41" s="260"/>
      <c r="AH41" s="269"/>
    </row>
    <row r="42" spans="2:34" ht="21" customHeight="1" x14ac:dyDescent="0.15">
      <c r="B42" s="20"/>
      <c r="C42" s="21"/>
      <c r="D42" s="22"/>
      <c r="E42" s="295" t="str">
        <f t="shared" ref="E42:E51" si="12">E14</f>
        <v>도)리얼모짜치즈돈까스2</v>
      </c>
      <c r="F42" s="223"/>
      <c r="G42" s="223"/>
      <c r="H42" s="223"/>
      <c r="I42" s="223"/>
      <c r="J42" s="223"/>
      <c r="K42" s="223"/>
      <c r="L42" s="296"/>
      <c r="M42" s="254">
        <f t="shared" ref="M42:M51" si="13">M14</f>
        <v>30</v>
      </c>
      <c r="N42" s="255"/>
      <c r="O42" s="255"/>
      <c r="P42" s="224"/>
      <c r="Q42" s="256">
        <f t="shared" ref="Q42:Q51" si="14">Q14</f>
        <v>111</v>
      </c>
      <c r="R42" s="257"/>
      <c r="S42" s="258"/>
      <c r="T42" s="259">
        <f t="shared" ref="T42:T51" si="15">T14</f>
        <v>3</v>
      </c>
      <c r="U42" s="260"/>
      <c r="V42" s="242"/>
      <c r="W42" s="261">
        <f t="shared" ref="W42:W50" si="16">W14</f>
        <v>21</v>
      </c>
      <c r="X42" s="262"/>
      <c r="Y42" s="262"/>
      <c r="Z42" s="263"/>
      <c r="AA42" s="268">
        <f t="shared" ref="AA42:AA51" si="17">AA14</f>
        <v>46319</v>
      </c>
      <c r="AB42" s="260"/>
      <c r="AC42" s="260"/>
      <c r="AD42" s="260"/>
      <c r="AE42" s="260"/>
      <c r="AF42" s="260"/>
      <c r="AG42" s="260"/>
      <c r="AH42" s="269"/>
    </row>
    <row r="43" spans="2:34" ht="20.25" customHeight="1" x14ac:dyDescent="0.15">
      <c r="B43" s="20"/>
      <c r="C43" s="21"/>
      <c r="D43" s="22"/>
      <c r="E43" s="295" t="str">
        <f t="shared" si="12"/>
        <v>도)리얼치즈고구마돈까스2</v>
      </c>
      <c r="F43" s="223"/>
      <c r="G43" s="223"/>
      <c r="H43" s="223"/>
      <c r="I43" s="223"/>
      <c r="J43" s="223"/>
      <c r="K43" s="223"/>
      <c r="L43" s="296"/>
      <c r="M43" s="254">
        <f t="shared" si="13"/>
        <v>30</v>
      </c>
      <c r="N43" s="255"/>
      <c r="O43" s="255"/>
      <c r="P43" s="224"/>
      <c r="Q43" s="256">
        <f t="shared" si="14"/>
        <v>13</v>
      </c>
      <c r="R43" s="257"/>
      <c r="S43" s="258"/>
      <c r="T43" s="259">
        <f t="shared" si="15"/>
        <v>0</v>
      </c>
      <c r="U43" s="260"/>
      <c r="V43" s="242"/>
      <c r="W43" s="261">
        <f t="shared" si="16"/>
        <v>13</v>
      </c>
      <c r="X43" s="262"/>
      <c r="Y43" s="262"/>
      <c r="Z43" s="263"/>
      <c r="AA43" s="268">
        <f t="shared" si="17"/>
        <v>46318</v>
      </c>
      <c r="AB43" s="260"/>
      <c r="AC43" s="260"/>
      <c r="AD43" s="260"/>
      <c r="AE43" s="260"/>
      <c r="AF43" s="260"/>
      <c r="AG43" s="260"/>
      <c r="AH43" s="269"/>
    </row>
    <row r="44" spans="2:34" ht="20.25" customHeight="1" x14ac:dyDescent="0.15">
      <c r="B44" s="20"/>
      <c r="C44" s="21"/>
      <c r="D44" s="22"/>
      <c r="E44" s="295" t="str">
        <f t="shared" si="12"/>
        <v>도)윙봉칠리탕수득템2</v>
      </c>
      <c r="F44" s="223"/>
      <c r="G44" s="223"/>
      <c r="H44" s="223"/>
      <c r="I44" s="223"/>
      <c r="J44" s="223"/>
      <c r="K44" s="223"/>
      <c r="L44" s="296"/>
      <c r="M44" s="254">
        <f t="shared" si="13"/>
        <v>36</v>
      </c>
      <c r="N44" s="255"/>
      <c r="O44" s="255"/>
      <c r="P44" s="224"/>
      <c r="Q44" s="256">
        <f t="shared" si="14"/>
        <v>26</v>
      </c>
      <c r="R44" s="257"/>
      <c r="S44" s="258"/>
      <c r="T44" s="259">
        <f t="shared" si="15"/>
        <v>0</v>
      </c>
      <c r="U44" s="260"/>
      <c r="V44" s="242"/>
      <c r="W44" s="261">
        <f t="shared" si="16"/>
        <v>26</v>
      </c>
      <c r="X44" s="262"/>
      <c r="Y44" s="262"/>
      <c r="Z44" s="263"/>
      <c r="AA44" s="268">
        <f t="shared" si="17"/>
        <v>46318</v>
      </c>
      <c r="AB44" s="260"/>
      <c r="AC44" s="260"/>
      <c r="AD44" s="260"/>
      <c r="AE44" s="260"/>
      <c r="AF44" s="260"/>
      <c r="AG44" s="260"/>
      <c r="AH44" s="269"/>
    </row>
    <row r="45" spans="2:34" ht="20.25" customHeight="1" x14ac:dyDescent="0.15">
      <c r="B45" s="20"/>
      <c r="C45" s="21"/>
      <c r="D45" s="22"/>
      <c r="E45" s="295" t="str">
        <f t="shared" si="12"/>
        <v>도)찍먹윙봉2</v>
      </c>
      <c r="F45" s="223"/>
      <c r="G45" s="223"/>
      <c r="H45" s="223"/>
      <c r="I45" s="223"/>
      <c r="J45" s="223"/>
      <c r="K45" s="223"/>
      <c r="L45" s="296"/>
      <c r="M45" s="254">
        <f t="shared" si="13"/>
        <v>36</v>
      </c>
      <c r="N45" s="255"/>
      <c r="O45" s="255"/>
      <c r="P45" s="224"/>
      <c r="Q45" s="256">
        <f t="shared" si="14"/>
        <v>2</v>
      </c>
      <c r="R45" s="257"/>
      <c r="S45" s="258"/>
      <c r="T45" s="259">
        <f t="shared" si="15"/>
        <v>0</v>
      </c>
      <c r="U45" s="260"/>
      <c r="V45" s="242"/>
      <c r="W45" s="261">
        <f t="shared" si="16"/>
        <v>2</v>
      </c>
      <c r="X45" s="262"/>
      <c r="Y45" s="262"/>
      <c r="Z45" s="263"/>
      <c r="AA45" s="268">
        <f t="shared" si="17"/>
        <v>46318</v>
      </c>
      <c r="AB45" s="260"/>
      <c r="AC45" s="260"/>
      <c r="AD45" s="260"/>
      <c r="AE45" s="260"/>
      <c r="AF45" s="260"/>
      <c r="AG45" s="260"/>
      <c r="AH45" s="269"/>
    </row>
    <row r="46" spans="2:34" ht="21" customHeight="1" x14ac:dyDescent="0.15">
      <c r="B46" s="25"/>
      <c r="C46" s="26"/>
      <c r="D46" s="27"/>
      <c r="E46" s="295" t="str">
        <f t="shared" si="12"/>
        <v>도)찍먹탕수육2</v>
      </c>
      <c r="F46" s="223"/>
      <c r="G46" s="223"/>
      <c r="H46" s="223"/>
      <c r="I46" s="223"/>
      <c r="J46" s="223"/>
      <c r="K46" s="223"/>
      <c r="L46" s="296"/>
      <c r="M46" s="254">
        <f t="shared" si="13"/>
        <v>36</v>
      </c>
      <c r="N46" s="255"/>
      <c r="O46" s="255"/>
      <c r="P46" s="224"/>
      <c r="Q46" s="256">
        <f t="shared" si="14"/>
        <v>7</v>
      </c>
      <c r="R46" s="257"/>
      <c r="S46" s="258"/>
      <c r="T46" s="259">
        <f t="shared" si="15"/>
        <v>0</v>
      </c>
      <c r="U46" s="260"/>
      <c r="V46" s="242"/>
      <c r="W46" s="261">
        <f t="shared" si="16"/>
        <v>7</v>
      </c>
      <c r="X46" s="262"/>
      <c r="Y46" s="262"/>
      <c r="Z46" s="263"/>
      <c r="AA46" s="268">
        <f t="shared" si="17"/>
        <v>46318</v>
      </c>
      <c r="AB46" s="260"/>
      <c r="AC46" s="260"/>
      <c r="AD46" s="260"/>
      <c r="AE46" s="260"/>
      <c r="AF46" s="260"/>
      <c r="AG46" s="260"/>
      <c r="AH46" s="269"/>
    </row>
    <row r="47" spans="2:34" ht="21" customHeight="1" x14ac:dyDescent="0.15">
      <c r="B47" s="25"/>
      <c r="C47" s="26"/>
      <c r="D47" s="27"/>
      <c r="E47" s="295" t="str">
        <f t="shared" si="12"/>
        <v>도)치맥아보트러플치킨2</v>
      </c>
      <c r="F47" s="223"/>
      <c r="G47" s="223"/>
      <c r="H47" s="223"/>
      <c r="I47" s="223"/>
      <c r="J47" s="223"/>
      <c r="K47" s="223"/>
      <c r="L47" s="296"/>
      <c r="M47" s="254">
        <f t="shared" si="13"/>
        <v>32</v>
      </c>
      <c r="N47" s="255"/>
      <c r="O47" s="255"/>
      <c r="P47" s="224"/>
      <c r="Q47" s="256">
        <f t="shared" si="14"/>
        <v>7</v>
      </c>
      <c r="R47" s="257"/>
      <c r="S47" s="258"/>
      <c r="T47" s="259">
        <f t="shared" si="15"/>
        <v>0</v>
      </c>
      <c r="U47" s="260"/>
      <c r="V47" s="242"/>
      <c r="W47" s="261">
        <f t="shared" si="16"/>
        <v>7</v>
      </c>
      <c r="X47" s="262"/>
      <c r="Y47" s="262"/>
      <c r="Z47" s="263"/>
      <c r="AA47" s="268">
        <f t="shared" si="17"/>
        <v>46318</v>
      </c>
      <c r="AB47" s="260"/>
      <c r="AC47" s="260"/>
      <c r="AD47" s="260"/>
      <c r="AE47" s="260"/>
      <c r="AF47" s="260"/>
      <c r="AG47" s="260"/>
      <c r="AH47" s="269"/>
    </row>
    <row r="48" spans="2:34" ht="21" customHeight="1" x14ac:dyDescent="0.15">
      <c r="B48" s="25"/>
      <c r="C48" s="26"/>
      <c r="D48" s="27"/>
      <c r="E48" s="295" t="str">
        <f t="shared" si="12"/>
        <v>도)치즈매콤닭강정감자2</v>
      </c>
      <c r="F48" s="223"/>
      <c r="G48" s="223"/>
      <c r="H48" s="223"/>
      <c r="I48" s="223"/>
      <c r="J48" s="223"/>
      <c r="K48" s="223"/>
      <c r="L48" s="296"/>
      <c r="M48" s="254">
        <f t="shared" si="13"/>
        <v>30</v>
      </c>
      <c r="N48" s="255"/>
      <c r="O48" s="255"/>
      <c r="P48" s="224"/>
      <c r="Q48" s="256">
        <f t="shared" si="14"/>
        <v>3</v>
      </c>
      <c r="R48" s="257"/>
      <c r="S48" s="258"/>
      <c r="T48" s="259">
        <f t="shared" si="15"/>
        <v>0</v>
      </c>
      <c r="U48" s="260"/>
      <c r="V48" s="242"/>
      <c r="W48" s="261">
        <f t="shared" si="16"/>
        <v>3</v>
      </c>
      <c r="X48" s="262"/>
      <c r="Y48" s="262"/>
      <c r="Z48" s="263"/>
      <c r="AA48" s="268">
        <f t="shared" si="17"/>
        <v>46318</v>
      </c>
      <c r="AB48" s="260"/>
      <c r="AC48" s="260"/>
      <c r="AD48" s="260"/>
      <c r="AE48" s="260"/>
      <c r="AF48" s="260"/>
      <c r="AG48" s="260"/>
      <c r="AH48" s="269"/>
    </row>
    <row r="49" spans="2:34" ht="21" customHeight="1" x14ac:dyDescent="0.15">
      <c r="B49" s="25"/>
      <c r="C49" s="26"/>
      <c r="D49" s="27"/>
      <c r="E49" s="295" t="str">
        <f t="shared" si="12"/>
        <v>도)치즈청양간장닭강정2</v>
      </c>
      <c r="F49" s="223"/>
      <c r="G49" s="223"/>
      <c r="H49" s="223"/>
      <c r="I49" s="223"/>
      <c r="J49" s="223"/>
      <c r="K49" s="223"/>
      <c r="L49" s="296"/>
      <c r="M49" s="254">
        <f t="shared" si="13"/>
        <v>30</v>
      </c>
      <c r="N49" s="255"/>
      <c r="O49" s="255"/>
      <c r="P49" s="224"/>
      <c r="Q49" s="256">
        <f t="shared" si="14"/>
        <v>22</v>
      </c>
      <c r="R49" s="257"/>
      <c r="S49" s="258"/>
      <c r="T49" s="259">
        <f t="shared" si="15"/>
        <v>0</v>
      </c>
      <c r="U49" s="260"/>
      <c r="V49" s="242"/>
      <c r="W49" s="261">
        <f t="shared" si="16"/>
        <v>22</v>
      </c>
      <c r="X49" s="262"/>
      <c r="Y49" s="262"/>
      <c r="Z49" s="263"/>
      <c r="AA49" s="268">
        <f t="shared" si="17"/>
        <v>46319</v>
      </c>
      <c r="AB49" s="260"/>
      <c r="AC49" s="260"/>
      <c r="AD49" s="260"/>
      <c r="AE49" s="260"/>
      <c r="AF49" s="260"/>
      <c r="AG49" s="260"/>
      <c r="AH49" s="269"/>
    </row>
    <row r="50" spans="2:34" ht="21" customHeight="1" x14ac:dyDescent="0.15">
      <c r="B50" s="25"/>
      <c r="C50" s="26"/>
      <c r="D50" s="27"/>
      <c r="E50" s="295" t="str">
        <f t="shared" si="12"/>
        <v>도)쿵야반반닭강정팩2</v>
      </c>
      <c r="F50" s="223"/>
      <c r="G50" s="223"/>
      <c r="H50" s="223"/>
      <c r="I50" s="223"/>
      <c r="J50" s="223"/>
      <c r="K50" s="223"/>
      <c r="L50" s="296"/>
      <c r="M50" s="254">
        <f t="shared" si="13"/>
        <v>36</v>
      </c>
      <c r="N50" s="255"/>
      <c r="O50" s="255"/>
      <c r="P50" s="224"/>
      <c r="Q50" s="256">
        <f t="shared" si="14"/>
        <v>10</v>
      </c>
      <c r="R50" s="257"/>
      <c r="S50" s="258"/>
      <c r="T50" s="259">
        <f t="shared" si="15"/>
        <v>0</v>
      </c>
      <c r="U50" s="260"/>
      <c r="V50" s="242"/>
      <c r="W50" s="261">
        <f t="shared" si="16"/>
        <v>10</v>
      </c>
      <c r="X50" s="262"/>
      <c r="Y50" s="262"/>
      <c r="Z50" s="263"/>
      <c r="AA50" s="268">
        <f t="shared" si="17"/>
        <v>46318</v>
      </c>
      <c r="AB50" s="260"/>
      <c r="AC50" s="260"/>
      <c r="AD50" s="260"/>
      <c r="AE50" s="260"/>
      <c r="AF50" s="260"/>
      <c r="AG50" s="260"/>
      <c r="AH50" s="269"/>
    </row>
    <row r="51" spans="2:34" ht="21" customHeight="1" x14ac:dyDescent="0.15">
      <c r="B51" s="20"/>
      <c r="C51" s="21"/>
      <c r="D51" s="22"/>
      <c r="E51" s="295" t="str">
        <f t="shared" si="12"/>
        <v>APP)치맥아보트러플치킨2</v>
      </c>
      <c r="F51" s="223"/>
      <c r="G51" s="223"/>
      <c r="H51" s="223"/>
      <c r="I51" s="223"/>
      <c r="J51" s="223"/>
      <c r="K51" s="223"/>
      <c r="L51" s="296"/>
      <c r="M51" s="254">
        <f t="shared" si="13"/>
        <v>32</v>
      </c>
      <c r="N51" s="255"/>
      <c r="O51" s="255"/>
      <c r="P51" s="224"/>
      <c r="Q51" s="256">
        <f t="shared" si="14"/>
        <v>0</v>
      </c>
      <c r="R51" s="257"/>
      <c r="S51" s="258"/>
      <c r="T51" s="259">
        <f t="shared" si="15"/>
        <v>0</v>
      </c>
      <c r="U51" s="260"/>
      <c r="V51" s="242"/>
      <c r="W51" s="261">
        <f>W23</f>
        <v>0</v>
      </c>
      <c r="X51" s="262"/>
      <c r="Y51" s="262"/>
      <c r="Z51" s="263"/>
      <c r="AA51" s="268">
        <f t="shared" si="17"/>
        <v>46318</v>
      </c>
      <c r="AB51" s="260"/>
      <c r="AC51" s="260"/>
      <c r="AD51" s="260"/>
      <c r="AE51" s="260"/>
      <c r="AF51" s="260"/>
      <c r="AG51" s="260"/>
      <c r="AH51" s="269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8">M25</f>
        <v>211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100000000000001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경기도 화성시 팔탄면 시청로721번길 25
031)352-4535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100000000000001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H14">
    <cfRule type="expression" dxfId="141" priority="3053">
      <formula>Q13:S26=0</formula>
    </cfRule>
  </conditionalFormatting>
  <conditionalFormatting sqref="AA15:AH16">
    <cfRule type="expression" dxfId="140" priority="5">
      <formula>Q15:S26=0</formula>
    </cfRule>
  </conditionalFormatting>
  <conditionalFormatting sqref="AA17:AH18">
    <cfRule type="expression" dxfId="139" priority="3051">
      <formula>Q17:S27=0</formula>
    </cfRule>
  </conditionalFormatting>
  <conditionalFormatting sqref="AA19:AH21">
    <cfRule type="expression" dxfId="138" priority="2">
      <formula>Q19:S28=0</formula>
    </cfRule>
  </conditionalFormatting>
  <conditionalFormatting sqref="AA22:AH22">
    <cfRule type="expression" dxfId="137" priority="2432">
      <formula>Q22:S29=0</formula>
    </cfRule>
  </conditionalFormatting>
  <conditionalFormatting sqref="AA23:AH23">
    <cfRule type="expression" dxfId="136" priority="7">
      <formula>Q23:S31=0</formula>
    </cfRule>
  </conditionalFormatting>
  <conditionalFormatting sqref="AA24:AH24">
    <cfRule type="expression" dxfId="135" priority="26">
      <formula>Q24:S24=0</formula>
    </cfRule>
  </conditionalFormatting>
  <conditionalFormatting sqref="AA41:AH51">
    <cfRule type="expression" dxfId="134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M36:M52 T41:T51 E40:E52 Q41:Q51 AA40:AA51" xr:uid="{728A5CC6-E595-407F-ACCC-FC69355CF768}"/>
  </dataValidations>
  <printOptions horizontalCentered="1"/>
  <pageMargins left="0" right="0" top="0.11811023622047245" bottom="0" header="0" footer="0"/>
  <pageSetup paperSize="9" scale="84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2535-BAAC-46A4-9361-270B47A4B3A9}">
  <sheetPr>
    <pageSetUpPr fitToPage="1"/>
  </sheetPr>
  <dimension ref="B1:AH52"/>
  <sheetViews>
    <sheetView zoomScale="70" zoomScaleNormal="70" workbookViewId="0">
      <selection activeCell="BT40" sqref="BT40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35</v>
      </c>
    </row>
    <row r="2" spans="2:34" ht="20.100000000000001" customHeight="1" x14ac:dyDescent="0.15">
      <c r="B2" s="380" t="s">
        <v>21</v>
      </c>
      <c r="C2" s="381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  <c r="R2" s="382"/>
      <c r="S2" s="382"/>
      <c r="T2" s="382"/>
      <c r="U2" s="382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3"/>
    </row>
    <row r="3" spans="2:34" ht="20.100000000000001" customHeight="1" thickBot="1" x14ac:dyDescent="0.2">
      <c r="B3" s="384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385"/>
    </row>
    <row r="4" spans="2:34" ht="13.5" customHeight="1" x14ac:dyDescent="0.15">
      <c r="B4" s="386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389"/>
    </row>
    <row r="5" spans="2:34" x14ac:dyDescent="0.15">
      <c r="B5" s="387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390"/>
    </row>
    <row r="6" spans="2:34" ht="13.5" customHeight="1" x14ac:dyDescent="0.15">
      <c r="B6" s="387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35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391"/>
    </row>
    <row r="7" spans="2:34" x14ac:dyDescent="0.15">
      <c r="B7" s="387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391"/>
    </row>
    <row r="8" spans="2:34" x14ac:dyDescent="0.15">
      <c r="B8" s="387"/>
      <c r="C8" s="113" t="s">
        <v>4</v>
      </c>
      <c r="D8" s="121"/>
      <c r="E8" s="121"/>
      <c r="F8" s="121"/>
      <c r="G8" s="148" t="s">
        <v>36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393"/>
    </row>
    <row r="9" spans="2:34" x14ac:dyDescent="0.15">
      <c r="B9" s="387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393"/>
    </row>
    <row r="10" spans="2:34" ht="13.5" customHeight="1" x14ac:dyDescent="0.15">
      <c r="B10" s="387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391"/>
    </row>
    <row r="11" spans="2:34" ht="14.25" thickBot="1" x14ac:dyDescent="0.2">
      <c r="B11" s="388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392"/>
    </row>
    <row r="12" spans="2:34" ht="20.100000000000001" customHeight="1" x14ac:dyDescent="0.15">
      <c r="B12" s="30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378"/>
    </row>
    <row r="13" spans="2:34" ht="21" customHeight="1" x14ac:dyDescent="0.15">
      <c r="B13" s="379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5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5</v>
      </c>
      <c r="X13" s="100"/>
      <c r="Y13" s="100"/>
      <c r="Z13" s="101"/>
      <c r="AA13" s="153">
        <f>B13+5</f>
        <v>46319</v>
      </c>
      <c r="AB13" s="84"/>
      <c r="AC13" s="84"/>
      <c r="AD13" s="84"/>
      <c r="AE13" s="84"/>
      <c r="AF13" s="84"/>
      <c r="AG13" s="84"/>
      <c r="AH13" s="361"/>
    </row>
    <row r="14" spans="2:34" ht="21" customHeight="1" x14ac:dyDescent="0.15">
      <c r="B14" s="3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125</v>
      </c>
      <c r="R14" s="96"/>
      <c r="S14" s="97"/>
      <c r="T14" s="98">
        <f t="shared" ref="T14:T19" si="2">IFERROR(ROUNDDOWN(Q14/M14,0),"")</f>
        <v>4</v>
      </c>
      <c r="U14" s="84"/>
      <c r="V14" s="84"/>
      <c r="W14" s="99">
        <f t="shared" ref="W14:W19" si="3">IFERROR(Q14-(T14*M14),"")</f>
        <v>5</v>
      </c>
      <c r="X14" s="100"/>
      <c r="Y14" s="100"/>
      <c r="Z14" s="101"/>
      <c r="AA14" s="153">
        <f>B13+5</f>
        <v>46319</v>
      </c>
      <c r="AB14" s="84"/>
      <c r="AC14" s="84"/>
      <c r="AD14" s="84"/>
      <c r="AE14" s="84"/>
      <c r="AF14" s="84"/>
      <c r="AG14" s="84"/>
      <c r="AH14" s="361"/>
    </row>
    <row r="15" spans="2:34" ht="21" customHeight="1" x14ac:dyDescent="0.15">
      <c r="B15" s="3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15</v>
      </c>
      <c r="R15" s="96"/>
      <c r="S15" s="97"/>
      <c r="T15" s="98">
        <f t="shared" si="2"/>
        <v>0</v>
      </c>
      <c r="U15" s="84"/>
      <c r="V15" s="84"/>
      <c r="W15" s="99">
        <f t="shared" si="3"/>
        <v>15</v>
      </c>
      <c r="X15" s="100"/>
      <c r="Y15" s="100"/>
      <c r="Z15" s="101"/>
      <c r="AA15" s="153">
        <f>B13+5-1</f>
        <v>46318</v>
      </c>
      <c r="AB15" s="84"/>
      <c r="AC15" s="84"/>
      <c r="AD15" s="84"/>
      <c r="AE15" s="84"/>
      <c r="AF15" s="84"/>
      <c r="AG15" s="84"/>
      <c r="AH15" s="361"/>
    </row>
    <row r="16" spans="2:34" ht="21" customHeight="1" x14ac:dyDescent="0.15">
      <c r="B16" s="3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24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24</v>
      </c>
      <c r="X16" s="100"/>
      <c r="Y16" s="100"/>
      <c r="Z16" s="101"/>
      <c r="AA16" s="153">
        <f>B13+5-1</f>
        <v>46318</v>
      </c>
      <c r="AB16" s="84"/>
      <c r="AC16" s="84"/>
      <c r="AD16" s="84"/>
      <c r="AE16" s="84"/>
      <c r="AF16" s="84"/>
      <c r="AG16" s="84"/>
      <c r="AH16" s="361"/>
    </row>
    <row r="17" spans="2:34" ht="21" customHeight="1" x14ac:dyDescent="0.15">
      <c r="B17" s="3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5</v>
      </c>
      <c r="R17" s="96"/>
      <c r="S17" s="97"/>
      <c r="T17" s="98">
        <f t="shared" si="2"/>
        <v>0</v>
      </c>
      <c r="U17" s="84"/>
      <c r="V17" s="84"/>
      <c r="W17" s="99">
        <f t="shared" si="3"/>
        <v>5</v>
      </c>
      <c r="X17" s="100"/>
      <c r="Y17" s="100"/>
      <c r="Z17" s="101"/>
      <c r="AA17" s="153">
        <f>B13+4</f>
        <v>46318</v>
      </c>
      <c r="AB17" s="84"/>
      <c r="AC17" s="84"/>
      <c r="AD17" s="84"/>
      <c r="AE17" s="84"/>
      <c r="AF17" s="84"/>
      <c r="AG17" s="84"/>
      <c r="AH17" s="361"/>
    </row>
    <row r="18" spans="2:34" ht="21" customHeight="1" x14ac:dyDescent="0.15">
      <c r="B18" s="32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4</v>
      </c>
      <c r="R18" s="96"/>
      <c r="S18" s="97"/>
      <c r="T18" s="98">
        <f t="shared" si="2"/>
        <v>0</v>
      </c>
      <c r="U18" s="84"/>
      <c r="V18" s="84"/>
      <c r="W18" s="99">
        <f t="shared" si="3"/>
        <v>4</v>
      </c>
      <c r="X18" s="100"/>
      <c r="Y18" s="100"/>
      <c r="Z18" s="101"/>
      <c r="AA18" s="153">
        <f>B13+4</f>
        <v>46318</v>
      </c>
      <c r="AB18" s="84"/>
      <c r="AC18" s="84"/>
      <c r="AD18" s="84"/>
      <c r="AE18" s="84"/>
      <c r="AF18" s="84"/>
      <c r="AG18" s="84"/>
      <c r="AH18" s="361"/>
    </row>
    <row r="19" spans="2:34" ht="21" customHeight="1" x14ac:dyDescent="0.15">
      <c r="B19" s="32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10</v>
      </c>
      <c r="R19" s="96"/>
      <c r="S19" s="97"/>
      <c r="T19" s="98">
        <f t="shared" si="2"/>
        <v>0</v>
      </c>
      <c r="U19" s="84"/>
      <c r="V19" s="84"/>
      <c r="W19" s="99">
        <f t="shared" si="3"/>
        <v>10</v>
      </c>
      <c r="X19" s="100"/>
      <c r="Y19" s="100"/>
      <c r="Z19" s="101"/>
      <c r="AA19" s="153">
        <f>B13+4</f>
        <v>46318</v>
      </c>
      <c r="AB19" s="84"/>
      <c r="AC19" s="84"/>
      <c r="AD19" s="84"/>
      <c r="AE19" s="84"/>
      <c r="AF19" s="84"/>
      <c r="AG19" s="84"/>
      <c r="AH19" s="361"/>
    </row>
    <row r="20" spans="2:34" ht="21" customHeight="1" x14ac:dyDescent="0.15">
      <c r="B20" s="32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1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1</v>
      </c>
      <c r="X20" s="100"/>
      <c r="Y20" s="100"/>
      <c r="Z20" s="101"/>
      <c r="AA20" s="153">
        <f>B13+4</f>
        <v>46318</v>
      </c>
      <c r="AB20" s="84"/>
      <c r="AC20" s="84"/>
      <c r="AD20" s="84"/>
      <c r="AE20" s="84"/>
      <c r="AF20" s="84"/>
      <c r="AG20" s="84"/>
      <c r="AH20" s="361"/>
    </row>
    <row r="21" spans="2:34" ht="21" customHeight="1" x14ac:dyDescent="0.15">
      <c r="B21" s="32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34</v>
      </c>
      <c r="R21" s="96"/>
      <c r="S21" s="97"/>
      <c r="T21" s="98">
        <f t="shared" ref="T21" si="8">IFERROR(ROUNDDOWN(Q21/M21,0),"")</f>
        <v>1</v>
      </c>
      <c r="U21" s="84"/>
      <c r="V21" s="84"/>
      <c r="W21" s="99">
        <f t="shared" ref="W21" si="9">IFERROR(Q21-(T21*M21),"")</f>
        <v>4</v>
      </c>
      <c r="X21" s="100"/>
      <c r="Y21" s="100"/>
      <c r="Z21" s="101"/>
      <c r="AA21" s="153">
        <f>B13+5</f>
        <v>46319</v>
      </c>
      <c r="AB21" s="84"/>
      <c r="AC21" s="84"/>
      <c r="AD21" s="84"/>
      <c r="AE21" s="84"/>
      <c r="AF21" s="84"/>
      <c r="AG21" s="84"/>
      <c r="AH21" s="361"/>
    </row>
    <row r="22" spans="2:34" ht="21" customHeight="1" x14ac:dyDescent="0.15">
      <c r="B22" s="32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10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10</v>
      </c>
      <c r="X22" s="100"/>
      <c r="Y22" s="100"/>
      <c r="Z22" s="101"/>
      <c r="AA22" s="153">
        <f>B13+4</f>
        <v>46318</v>
      </c>
      <c r="AB22" s="84"/>
      <c r="AC22" s="84"/>
      <c r="AD22" s="84"/>
      <c r="AE22" s="84"/>
      <c r="AF22" s="84"/>
      <c r="AG22" s="84"/>
      <c r="AH22" s="361"/>
    </row>
    <row r="23" spans="2:34" ht="21" customHeight="1" x14ac:dyDescent="0.15">
      <c r="B23" s="31"/>
      <c r="C23" s="8"/>
      <c r="D23" s="7"/>
      <c r="E23" s="398" t="s">
        <v>161</v>
      </c>
      <c r="F23" s="399"/>
      <c r="G23" s="399"/>
      <c r="H23" s="399"/>
      <c r="I23" s="399"/>
      <c r="J23" s="399"/>
      <c r="K23" s="399"/>
      <c r="L23" s="400"/>
      <c r="M23" s="89">
        <v>32</v>
      </c>
      <c r="N23" s="90"/>
      <c r="O23" s="90"/>
      <c r="P23" s="91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153">
        <f>B13+4</f>
        <v>46318</v>
      </c>
      <c r="AB23" s="84"/>
      <c r="AC23" s="84"/>
      <c r="AD23" s="84"/>
      <c r="AE23" s="84"/>
      <c r="AF23" s="84"/>
      <c r="AG23" s="84"/>
      <c r="AH23" s="361"/>
    </row>
    <row r="24" spans="2:34" ht="21" customHeight="1" x14ac:dyDescent="0.15">
      <c r="B24" s="31"/>
      <c r="C24" s="8"/>
      <c r="D24" s="7"/>
      <c r="E24" s="398"/>
      <c r="F24" s="399"/>
      <c r="G24" s="399"/>
      <c r="H24" s="399"/>
      <c r="I24" s="399"/>
      <c r="J24" s="399"/>
      <c r="K24" s="399"/>
      <c r="L24" s="400"/>
      <c r="M24" s="89"/>
      <c r="N24" s="90"/>
      <c r="O24" s="90"/>
      <c r="P24" s="91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153"/>
      <c r="AB24" s="84"/>
      <c r="AC24" s="84"/>
      <c r="AD24" s="84"/>
      <c r="AE24" s="84"/>
      <c r="AF24" s="84"/>
      <c r="AG24" s="84"/>
      <c r="AH24" s="361"/>
    </row>
    <row r="25" spans="2:34" ht="20.100000000000001" customHeight="1" thickBot="1" x14ac:dyDescent="0.2">
      <c r="B25" s="396" t="s">
        <v>17</v>
      </c>
      <c r="C25" s="397"/>
      <c r="D25" s="397"/>
      <c r="E25" s="53"/>
      <c r="F25" s="53"/>
      <c r="G25" s="53"/>
      <c r="H25" s="53"/>
      <c r="I25" s="53"/>
      <c r="J25" s="53"/>
      <c r="K25" s="53"/>
      <c r="L25" s="54"/>
      <c r="M25" s="401">
        <f>SUM(Q13:S23)</f>
        <v>233</v>
      </c>
      <c r="N25" s="402"/>
      <c r="O25" s="402"/>
      <c r="P25" s="402"/>
      <c r="Q25" s="402"/>
      <c r="R25" s="402"/>
      <c r="S25" s="402"/>
      <c r="T25" s="402"/>
      <c r="U25" s="402"/>
      <c r="V25" s="402"/>
      <c r="W25" s="402"/>
      <c r="X25" s="402"/>
      <c r="Y25" s="402"/>
      <c r="Z25" s="403"/>
      <c r="AA25" s="404"/>
      <c r="AB25" s="404"/>
      <c r="AC25" s="404"/>
      <c r="AD25" s="404"/>
      <c r="AE25" s="404"/>
      <c r="AF25" s="404"/>
      <c r="AG25" s="404"/>
      <c r="AH25" s="405"/>
    </row>
    <row r="26" spans="2:34" ht="36.75" customHeight="1" thickBot="1" x14ac:dyDescent="0.2">
      <c r="B26" s="406" t="s">
        <v>15</v>
      </c>
      <c r="C26" s="407"/>
      <c r="D26" s="407"/>
      <c r="E26" s="407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407"/>
      <c r="S26" s="407"/>
      <c r="T26" s="407"/>
      <c r="U26" s="407"/>
      <c r="V26" s="408"/>
      <c r="W26" s="409" t="s">
        <v>37</v>
      </c>
      <c r="X26" s="410"/>
      <c r="Y26" s="410"/>
      <c r="Z26" s="410"/>
      <c r="AA26" s="410"/>
      <c r="AB26" s="410"/>
      <c r="AC26" s="410"/>
      <c r="AD26" s="410"/>
      <c r="AE26" s="410"/>
      <c r="AF26" s="410"/>
      <c r="AG26" s="410"/>
      <c r="AH26" s="411"/>
    </row>
    <row r="27" spans="2:34" ht="13.5" customHeight="1" x14ac:dyDescent="0.15">
      <c r="B27" s="41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52">
        <f>SUM(Q13:S26)</f>
        <v>233</v>
      </c>
      <c r="N27" s="38"/>
      <c r="O27" s="38"/>
      <c r="P27" s="38"/>
      <c r="Q27" s="38"/>
      <c r="R27" s="38"/>
      <c r="S27" s="38"/>
      <c r="T27" s="38"/>
      <c r="U27" s="38"/>
      <c r="V27" s="38"/>
      <c r="W27" s="39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</row>
    <row r="28" spans="2:34" ht="3" customHeight="1" x14ac:dyDescent="0.15"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56"/>
      <c r="N28" s="34"/>
      <c r="O28" s="34"/>
      <c r="P28" s="34"/>
      <c r="Q28" s="34"/>
      <c r="R28" s="34"/>
      <c r="S28" s="34"/>
      <c r="T28" s="34"/>
      <c r="U28" s="34"/>
      <c r="V28" s="34"/>
      <c r="W28" s="57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</row>
    <row r="29" spans="2:34" ht="9.75" customHeight="1" thickBot="1" x14ac:dyDescent="0.2"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6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</row>
    <row r="30" spans="2:34" ht="39.75" customHeight="1" x14ac:dyDescent="0.15">
      <c r="B30" s="365" t="s">
        <v>122</v>
      </c>
      <c r="C30" s="366"/>
      <c r="D30" s="366"/>
      <c r="E30" s="366"/>
      <c r="F30" s="366"/>
      <c r="G30" s="366"/>
      <c r="H30" s="366"/>
      <c r="I30" s="366"/>
      <c r="J30" s="366"/>
      <c r="K30" s="366"/>
      <c r="L30" s="366"/>
      <c r="M30" s="366"/>
      <c r="N30" s="366"/>
      <c r="O30" s="366"/>
      <c r="P30" s="366"/>
      <c r="Q30" s="366"/>
      <c r="R30" s="366"/>
      <c r="S30" s="366"/>
      <c r="T30" s="366"/>
      <c r="U30" s="366"/>
      <c r="V30" s="366"/>
      <c r="W30" s="366"/>
      <c r="X30" s="366"/>
      <c r="Y30" s="366"/>
      <c r="Z30" s="366"/>
      <c r="AA30" s="366"/>
      <c r="AB30" s="366"/>
      <c r="AC30" s="366"/>
      <c r="AD30" s="366"/>
      <c r="AE30" s="366"/>
      <c r="AF30" s="366"/>
      <c r="AG30" s="366"/>
      <c r="AH30" s="367"/>
    </row>
    <row r="31" spans="2:34" ht="13.5" customHeight="1" x14ac:dyDescent="0.15">
      <c r="B31" s="413" t="s">
        <v>0</v>
      </c>
      <c r="C31" s="416" t="str">
        <f>C4</f>
        <v>등록번호</v>
      </c>
      <c r="D31" s="417"/>
      <c r="E31" s="417"/>
      <c r="F31" s="418"/>
      <c r="G31" s="419"/>
      <c r="H31" s="420"/>
      <c r="I31" s="420"/>
      <c r="J31" s="420"/>
      <c r="K31" s="420"/>
      <c r="L31" s="420"/>
      <c r="M31" s="420"/>
      <c r="N31" s="420"/>
      <c r="O31" s="420"/>
      <c r="P31" s="421"/>
      <c r="Q31" s="422" t="s">
        <v>2</v>
      </c>
      <c r="R31" s="362" t="s">
        <v>3</v>
      </c>
      <c r="S31" s="363"/>
      <c r="T31" s="363"/>
      <c r="U31" s="364"/>
      <c r="V31" s="354" t="str">
        <f>V4</f>
        <v>397-85-00686</v>
      </c>
      <c r="W31" s="355"/>
      <c r="X31" s="355"/>
      <c r="Y31" s="355"/>
      <c r="Z31" s="355"/>
      <c r="AA31" s="355"/>
      <c r="AB31" s="355"/>
      <c r="AC31" s="355"/>
      <c r="AD31" s="355"/>
      <c r="AE31" s="355"/>
      <c r="AF31" s="355"/>
      <c r="AG31" s="355"/>
      <c r="AH31" s="356"/>
    </row>
    <row r="32" spans="2:34" ht="13.5" customHeight="1" x14ac:dyDescent="0.15">
      <c r="B32" s="414"/>
      <c r="C32" s="274"/>
      <c r="D32" s="275"/>
      <c r="E32" s="275"/>
      <c r="F32" s="276"/>
      <c r="G32" s="325"/>
      <c r="H32" s="326"/>
      <c r="I32" s="326"/>
      <c r="J32" s="326"/>
      <c r="K32" s="326"/>
      <c r="L32" s="326"/>
      <c r="M32" s="326"/>
      <c r="N32" s="326"/>
      <c r="O32" s="326"/>
      <c r="P32" s="327"/>
      <c r="Q32" s="279"/>
      <c r="R32" s="283"/>
      <c r="S32" s="284"/>
      <c r="T32" s="284"/>
      <c r="U32" s="285"/>
      <c r="V32" s="289"/>
      <c r="W32" s="290"/>
      <c r="X32" s="290"/>
      <c r="Y32" s="290"/>
      <c r="Z32" s="290"/>
      <c r="AA32" s="290"/>
      <c r="AB32" s="290"/>
      <c r="AC32" s="290"/>
      <c r="AD32" s="290"/>
      <c r="AE32" s="290"/>
      <c r="AF32" s="290"/>
      <c r="AG32" s="290"/>
      <c r="AH32" s="357"/>
    </row>
    <row r="33" spans="2:34" ht="13.5" customHeight="1" x14ac:dyDescent="0.15">
      <c r="B33" s="414"/>
      <c r="C33" s="272" t="str">
        <f>C6</f>
        <v>상 호
(법인명)</v>
      </c>
      <c r="D33" s="237"/>
      <c r="E33" s="237"/>
      <c r="F33" s="273"/>
      <c r="G33" s="189" t="str">
        <f>G6</f>
        <v>CU (BGF)</v>
      </c>
      <c r="H33" s="190"/>
      <c r="I33" s="190"/>
      <c r="J33" s="190"/>
      <c r="K33" s="191"/>
      <c r="L33" s="189" t="str">
        <f>L6</f>
        <v>동부로지스</v>
      </c>
      <c r="M33" s="190"/>
      <c r="N33" s="190"/>
      <c r="O33" s="190"/>
      <c r="P33" s="191"/>
      <c r="Q33" s="279"/>
      <c r="R33" s="272" t="s">
        <v>1</v>
      </c>
      <c r="S33" s="237"/>
      <c r="T33" s="237"/>
      <c r="U33" s="273"/>
      <c r="V33" s="297" t="str">
        <f>V6</f>
        <v>㈜대신에프에스</v>
      </c>
      <c r="W33" s="298"/>
      <c r="X33" s="298"/>
      <c r="Y33" s="298"/>
      <c r="Z33" s="298"/>
      <c r="AA33" s="299"/>
      <c r="AB33" s="281" t="s">
        <v>5</v>
      </c>
      <c r="AC33" s="282"/>
      <c r="AD33" s="297" t="str">
        <f>AD6</f>
        <v>신판철</v>
      </c>
      <c r="AE33" s="298"/>
      <c r="AF33" s="298"/>
      <c r="AG33" s="298"/>
      <c r="AH33" s="368"/>
    </row>
    <row r="34" spans="2:34" ht="13.5" customHeight="1" x14ac:dyDescent="0.15">
      <c r="B34" s="414"/>
      <c r="C34" s="274"/>
      <c r="D34" s="275"/>
      <c r="E34" s="275"/>
      <c r="F34" s="276"/>
      <c r="G34" s="192"/>
      <c r="H34" s="193"/>
      <c r="I34" s="193"/>
      <c r="J34" s="193"/>
      <c r="K34" s="194"/>
      <c r="L34" s="192"/>
      <c r="M34" s="193"/>
      <c r="N34" s="193"/>
      <c r="O34" s="193"/>
      <c r="P34" s="194"/>
      <c r="Q34" s="279"/>
      <c r="R34" s="274"/>
      <c r="S34" s="275"/>
      <c r="T34" s="275"/>
      <c r="U34" s="276"/>
      <c r="V34" s="300"/>
      <c r="W34" s="301"/>
      <c r="X34" s="301"/>
      <c r="Y34" s="301"/>
      <c r="Z34" s="301"/>
      <c r="AA34" s="302"/>
      <c r="AB34" s="283"/>
      <c r="AC34" s="285"/>
      <c r="AD34" s="300"/>
      <c r="AE34" s="301"/>
      <c r="AF34" s="301"/>
      <c r="AG34" s="301"/>
      <c r="AH34" s="369"/>
    </row>
    <row r="35" spans="2:34" x14ac:dyDescent="0.15">
      <c r="B35" s="414"/>
      <c r="C35" s="272" t="s">
        <v>4</v>
      </c>
      <c r="D35" s="237"/>
      <c r="E35" s="237"/>
      <c r="F35" s="273"/>
      <c r="G35" s="337" t="str">
        <f>G8</f>
        <v xml:space="preserve">강원도 원주시 문막읍 원문로 2057  </v>
      </c>
      <c r="H35" s="338"/>
      <c r="I35" s="338"/>
      <c r="J35" s="338"/>
      <c r="K35" s="338"/>
      <c r="L35" s="338"/>
      <c r="M35" s="338"/>
      <c r="N35" s="338"/>
      <c r="O35" s="338"/>
      <c r="P35" s="339"/>
      <c r="Q35" s="279"/>
      <c r="R35" s="272" t="s">
        <v>4</v>
      </c>
      <c r="S35" s="237"/>
      <c r="T35" s="237"/>
      <c r="U35" s="273"/>
      <c r="V35" s="189" t="str">
        <f>V8</f>
        <v>전라북도 부안군 행안면 옥여길 32-76</v>
      </c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394"/>
    </row>
    <row r="36" spans="2:34" ht="13.5" customHeight="1" x14ac:dyDescent="0.15">
      <c r="B36" s="414"/>
      <c r="C36" s="274"/>
      <c r="D36" s="275"/>
      <c r="E36" s="275"/>
      <c r="F36" s="276"/>
      <c r="G36" s="340"/>
      <c r="H36" s="341"/>
      <c r="I36" s="341"/>
      <c r="J36" s="341"/>
      <c r="K36" s="341"/>
      <c r="L36" s="341"/>
      <c r="M36" s="341"/>
      <c r="N36" s="341"/>
      <c r="O36" s="341"/>
      <c r="P36" s="342"/>
      <c r="Q36" s="279"/>
      <c r="R36" s="274"/>
      <c r="S36" s="275"/>
      <c r="T36" s="275"/>
      <c r="U36" s="276"/>
      <c r="V36" s="192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  <c r="AH36" s="395"/>
    </row>
    <row r="37" spans="2:34" x14ac:dyDescent="0.15">
      <c r="B37" s="414"/>
      <c r="C37" s="272" t="s">
        <v>6</v>
      </c>
      <c r="D37" s="237"/>
      <c r="E37" s="237"/>
      <c r="F37" s="273"/>
      <c r="G37" s="328"/>
      <c r="H37" s="329"/>
      <c r="I37" s="329"/>
      <c r="J37" s="329"/>
      <c r="K37" s="329"/>
      <c r="L37" s="329"/>
      <c r="M37" s="329"/>
      <c r="N37" s="329"/>
      <c r="O37" s="329"/>
      <c r="P37" s="330"/>
      <c r="Q37" s="279"/>
      <c r="R37" s="281" t="s">
        <v>11</v>
      </c>
      <c r="S37" s="229"/>
      <c r="T37" s="229"/>
      <c r="U37" s="282"/>
      <c r="V37" s="312" t="str">
        <f>V10</f>
        <v>도매및 소매업</v>
      </c>
      <c r="W37" s="313"/>
      <c r="X37" s="313"/>
      <c r="Y37" s="313"/>
      <c r="Z37" s="313"/>
      <c r="AA37" s="335"/>
      <c r="AB37" s="281" t="s">
        <v>123</v>
      </c>
      <c r="AC37" s="282"/>
      <c r="AD37" s="312" t="str">
        <f>AD10</f>
        <v xml:space="preserve">빵 과자류 </v>
      </c>
      <c r="AE37" s="313"/>
      <c r="AF37" s="313"/>
      <c r="AG37" s="313"/>
      <c r="AH37" s="370"/>
    </row>
    <row r="38" spans="2:34" ht="13.5" customHeight="1" x14ac:dyDescent="0.15">
      <c r="B38" s="415"/>
      <c r="C38" s="274"/>
      <c r="D38" s="275"/>
      <c r="E38" s="275"/>
      <c r="F38" s="276"/>
      <c r="G38" s="331"/>
      <c r="H38" s="332"/>
      <c r="I38" s="332"/>
      <c r="J38" s="332"/>
      <c r="K38" s="332"/>
      <c r="L38" s="332"/>
      <c r="M38" s="332"/>
      <c r="N38" s="332"/>
      <c r="O38" s="332"/>
      <c r="P38" s="333"/>
      <c r="Q38" s="280"/>
      <c r="R38" s="310"/>
      <c r="S38" s="334"/>
      <c r="T38" s="334"/>
      <c r="U38" s="311"/>
      <c r="V38" s="315"/>
      <c r="W38" s="316"/>
      <c r="X38" s="316"/>
      <c r="Y38" s="316"/>
      <c r="Z38" s="316"/>
      <c r="AA38" s="336"/>
      <c r="AB38" s="310"/>
      <c r="AC38" s="311"/>
      <c r="AD38" s="315"/>
      <c r="AE38" s="316"/>
      <c r="AF38" s="316"/>
      <c r="AG38" s="316"/>
      <c r="AH38" s="371"/>
    </row>
    <row r="39" spans="2:34" ht="20.100000000000001" customHeight="1" x14ac:dyDescent="0.15">
      <c r="B39" s="35" t="s">
        <v>10</v>
      </c>
      <c r="C39" s="17" t="s">
        <v>7</v>
      </c>
      <c r="D39" s="15" t="s">
        <v>8</v>
      </c>
      <c r="E39" s="305" t="s">
        <v>9</v>
      </c>
      <c r="F39" s="306"/>
      <c r="G39" s="306"/>
      <c r="H39" s="306"/>
      <c r="I39" s="306"/>
      <c r="J39" s="306"/>
      <c r="K39" s="306"/>
      <c r="L39" s="307"/>
      <c r="M39" s="308" t="s">
        <v>14</v>
      </c>
      <c r="N39" s="309"/>
      <c r="O39" s="309"/>
      <c r="P39" s="219"/>
      <c r="Q39" s="292" t="s">
        <v>17</v>
      </c>
      <c r="R39" s="293"/>
      <c r="S39" s="294"/>
      <c r="T39" s="292" t="s">
        <v>18</v>
      </c>
      <c r="U39" s="293"/>
      <c r="V39" s="294"/>
      <c r="W39" s="308" t="s">
        <v>19</v>
      </c>
      <c r="X39" s="309"/>
      <c r="Y39" s="309"/>
      <c r="Z39" s="219"/>
      <c r="AA39" s="308" t="s">
        <v>16</v>
      </c>
      <c r="AB39" s="309"/>
      <c r="AC39" s="309"/>
      <c r="AD39" s="309"/>
      <c r="AE39" s="309"/>
      <c r="AF39" s="309"/>
      <c r="AG39" s="309"/>
      <c r="AH39" s="318"/>
    </row>
    <row r="40" spans="2:34" ht="21" customHeight="1" x14ac:dyDescent="0.15">
      <c r="B40" s="412">
        <f>B13</f>
        <v>46314</v>
      </c>
      <c r="C40" s="270"/>
      <c r="D40" s="271"/>
      <c r="E40" s="295" t="str">
        <f>E13</f>
        <v>도)깐풍기&amp;표고탕수2</v>
      </c>
      <c r="F40" s="223"/>
      <c r="G40" s="223"/>
      <c r="H40" s="223"/>
      <c r="I40" s="223"/>
      <c r="J40" s="223"/>
      <c r="K40" s="223"/>
      <c r="L40" s="296"/>
      <c r="M40" s="254">
        <f>M13</f>
        <v>36</v>
      </c>
      <c r="N40" s="255"/>
      <c r="O40" s="255"/>
      <c r="P40" s="224"/>
      <c r="Q40" s="256">
        <f>Q13</f>
        <v>5</v>
      </c>
      <c r="R40" s="257"/>
      <c r="S40" s="258"/>
      <c r="T40" s="259">
        <f>T13</f>
        <v>0</v>
      </c>
      <c r="U40" s="260"/>
      <c r="V40" s="242"/>
      <c r="W40" s="261">
        <f>W13</f>
        <v>5</v>
      </c>
      <c r="X40" s="262"/>
      <c r="Y40" s="262"/>
      <c r="Z40" s="263"/>
      <c r="AA40" s="268">
        <f>AA13</f>
        <v>46319</v>
      </c>
      <c r="AB40" s="352"/>
      <c r="AC40" s="352"/>
      <c r="AD40" s="352"/>
      <c r="AE40" s="352"/>
      <c r="AF40" s="352"/>
      <c r="AG40" s="352"/>
      <c r="AH40" s="353"/>
    </row>
    <row r="41" spans="2:34" ht="21" customHeight="1" x14ac:dyDescent="0.15">
      <c r="B41" s="29"/>
      <c r="C41" s="18"/>
      <c r="D41" s="19"/>
      <c r="E41" s="295" t="str">
        <f t="shared" ref="E41:E50" si="12">E14</f>
        <v>도)리얼모짜치즈돈까스2</v>
      </c>
      <c r="F41" s="223"/>
      <c r="G41" s="223"/>
      <c r="H41" s="223"/>
      <c r="I41" s="223"/>
      <c r="J41" s="223"/>
      <c r="K41" s="223"/>
      <c r="L41" s="296"/>
      <c r="M41" s="254">
        <f t="shared" ref="M41:M50" si="13">M14</f>
        <v>30</v>
      </c>
      <c r="N41" s="255"/>
      <c r="O41" s="255"/>
      <c r="P41" s="224"/>
      <c r="Q41" s="256">
        <f t="shared" ref="Q41:Q50" si="14">Q14</f>
        <v>125</v>
      </c>
      <c r="R41" s="257"/>
      <c r="S41" s="258"/>
      <c r="T41" s="259">
        <f t="shared" ref="T41:T50" si="15">T14</f>
        <v>4</v>
      </c>
      <c r="U41" s="260"/>
      <c r="V41" s="242"/>
      <c r="W41" s="261">
        <f t="shared" ref="W41:W50" si="16">W14</f>
        <v>5</v>
      </c>
      <c r="X41" s="262"/>
      <c r="Y41" s="262"/>
      <c r="Z41" s="263"/>
      <c r="AA41" s="268">
        <f t="shared" ref="AA41:AA50" si="17">AA14</f>
        <v>46319</v>
      </c>
      <c r="AB41" s="352"/>
      <c r="AC41" s="352"/>
      <c r="AD41" s="352"/>
      <c r="AE41" s="352"/>
      <c r="AF41" s="352"/>
      <c r="AG41" s="352"/>
      <c r="AH41" s="353"/>
    </row>
    <row r="42" spans="2:34" ht="21" customHeight="1" x14ac:dyDescent="0.15">
      <c r="B42" s="29"/>
      <c r="C42" s="18"/>
      <c r="D42" s="19"/>
      <c r="E42" s="295" t="str">
        <f t="shared" si="12"/>
        <v>도)리얼치즈고구마돈까스2</v>
      </c>
      <c r="F42" s="223"/>
      <c r="G42" s="223"/>
      <c r="H42" s="223"/>
      <c r="I42" s="223"/>
      <c r="J42" s="223"/>
      <c r="K42" s="223"/>
      <c r="L42" s="296"/>
      <c r="M42" s="254">
        <f t="shared" si="13"/>
        <v>30</v>
      </c>
      <c r="N42" s="255"/>
      <c r="O42" s="255"/>
      <c r="P42" s="224"/>
      <c r="Q42" s="256">
        <f t="shared" si="14"/>
        <v>15</v>
      </c>
      <c r="R42" s="257"/>
      <c r="S42" s="258"/>
      <c r="T42" s="259">
        <f t="shared" si="15"/>
        <v>0</v>
      </c>
      <c r="U42" s="260"/>
      <c r="V42" s="242"/>
      <c r="W42" s="261">
        <f t="shared" si="16"/>
        <v>15</v>
      </c>
      <c r="X42" s="262"/>
      <c r="Y42" s="262"/>
      <c r="Z42" s="263"/>
      <c r="AA42" s="268">
        <f t="shared" si="17"/>
        <v>46318</v>
      </c>
      <c r="AB42" s="352"/>
      <c r="AC42" s="352"/>
      <c r="AD42" s="352"/>
      <c r="AE42" s="352"/>
      <c r="AF42" s="352"/>
      <c r="AG42" s="352"/>
      <c r="AH42" s="353"/>
    </row>
    <row r="43" spans="2:34" ht="21" customHeight="1" x14ac:dyDescent="0.15">
      <c r="B43" s="29"/>
      <c r="C43" s="18"/>
      <c r="D43" s="19"/>
      <c r="E43" s="295" t="str">
        <f t="shared" si="12"/>
        <v>도)윙봉칠리탕수득템2</v>
      </c>
      <c r="F43" s="223"/>
      <c r="G43" s="223"/>
      <c r="H43" s="223"/>
      <c r="I43" s="223"/>
      <c r="J43" s="223"/>
      <c r="K43" s="223"/>
      <c r="L43" s="296"/>
      <c r="M43" s="254">
        <f t="shared" si="13"/>
        <v>36</v>
      </c>
      <c r="N43" s="255"/>
      <c r="O43" s="255"/>
      <c r="P43" s="224"/>
      <c r="Q43" s="256">
        <f t="shared" si="14"/>
        <v>24</v>
      </c>
      <c r="R43" s="257"/>
      <c r="S43" s="258"/>
      <c r="T43" s="259">
        <f t="shared" si="15"/>
        <v>0</v>
      </c>
      <c r="U43" s="260"/>
      <c r="V43" s="242"/>
      <c r="W43" s="261">
        <f t="shared" si="16"/>
        <v>24</v>
      </c>
      <c r="X43" s="262"/>
      <c r="Y43" s="262"/>
      <c r="Z43" s="263"/>
      <c r="AA43" s="268">
        <f t="shared" si="17"/>
        <v>46318</v>
      </c>
      <c r="AB43" s="352"/>
      <c r="AC43" s="352"/>
      <c r="AD43" s="352"/>
      <c r="AE43" s="352"/>
      <c r="AF43" s="352"/>
      <c r="AG43" s="352"/>
      <c r="AH43" s="353"/>
    </row>
    <row r="44" spans="2:34" ht="21" customHeight="1" x14ac:dyDescent="0.15">
      <c r="B44" s="29"/>
      <c r="C44" s="18"/>
      <c r="D44" s="19"/>
      <c r="E44" s="295" t="str">
        <f t="shared" si="12"/>
        <v>도)찍먹윙봉2</v>
      </c>
      <c r="F44" s="223"/>
      <c r="G44" s="223"/>
      <c r="H44" s="223"/>
      <c r="I44" s="223"/>
      <c r="J44" s="223"/>
      <c r="K44" s="223"/>
      <c r="L44" s="296"/>
      <c r="M44" s="254">
        <f t="shared" si="13"/>
        <v>36</v>
      </c>
      <c r="N44" s="255"/>
      <c r="O44" s="255"/>
      <c r="P44" s="224"/>
      <c r="Q44" s="256">
        <f t="shared" si="14"/>
        <v>5</v>
      </c>
      <c r="R44" s="257"/>
      <c r="S44" s="258"/>
      <c r="T44" s="259">
        <f t="shared" si="15"/>
        <v>0</v>
      </c>
      <c r="U44" s="260"/>
      <c r="V44" s="242"/>
      <c r="W44" s="261">
        <f t="shared" si="16"/>
        <v>5</v>
      </c>
      <c r="X44" s="262"/>
      <c r="Y44" s="262"/>
      <c r="Z44" s="263"/>
      <c r="AA44" s="268">
        <f t="shared" si="17"/>
        <v>46318</v>
      </c>
      <c r="AB44" s="352"/>
      <c r="AC44" s="352"/>
      <c r="AD44" s="352"/>
      <c r="AE44" s="352"/>
      <c r="AF44" s="352"/>
      <c r="AG44" s="352"/>
      <c r="AH44" s="353"/>
    </row>
    <row r="45" spans="2:34" ht="21" customHeight="1" x14ac:dyDescent="0.15">
      <c r="B45" s="29"/>
      <c r="C45" s="18"/>
      <c r="D45" s="19"/>
      <c r="E45" s="295" t="str">
        <f t="shared" si="12"/>
        <v>도)찍먹탕수육2</v>
      </c>
      <c r="F45" s="223"/>
      <c r="G45" s="223"/>
      <c r="H45" s="223"/>
      <c r="I45" s="223"/>
      <c r="J45" s="223"/>
      <c r="K45" s="223"/>
      <c r="L45" s="296"/>
      <c r="M45" s="254">
        <f t="shared" si="13"/>
        <v>36</v>
      </c>
      <c r="N45" s="255"/>
      <c r="O45" s="255"/>
      <c r="P45" s="224"/>
      <c r="Q45" s="256">
        <f t="shared" si="14"/>
        <v>4</v>
      </c>
      <c r="R45" s="257"/>
      <c r="S45" s="258"/>
      <c r="T45" s="259">
        <f t="shared" si="15"/>
        <v>0</v>
      </c>
      <c r="U45" s="260"/>
      <c r="V45" s="242"/>
      <c r="W45" s="261">
        <f t="shared" si="16"/>
        <v>4</v>
      </c>
      <c r="X45" s="262"/>
      <c r="Y45" s="262"/>
      <c r="Z45" s="263"/>
      <c r="AA45" s="268">
        <f t="shared" si="17"/>
        <v>46318</v>
      </c>
      <c r="AB45" s="352"/>
      <c r="AC45" s="352"/>
      <c r="AD45" s="352"/>
      <c r="AE45" s="352"/>
      <c r="AF45" s="352"/>
      <c r="AG45" s="352"/>
      <c r="AH45" s="353"/>
    </row>
    <row r="46" spans="2:34" ht="21" customHeight="1" x14ac:dyDescent="0.15">
      <c r="B46" s="29"/>
      <c r="C46" s="18"/>
      <c r="D46" s="19"/>
      <c r="E46" s="295" t="str">
        <f t="shared" si="12"/>
        <v>도)치맥아보트러플치킨2</v>
      </c>
      <c r="F46" s="223"/>
      <c r="G46" s="223"/>
      <c r="H46" s="223"/>
      <c r="I46" s="223"/>
      <c r="J46" s="223"/>
      <c r="K46" s="223"/>
      <c r="L46" s="296"/>
      <c r="M46" s="254">
        <f t="shared" si="13"/>
        <v>32</v>
      </c>
      <c r="N46" s="255"/>
      <c r="O46" s="255"/>
      <c r="P46" s="224"/>
      <c r="Q46" s="256">
        <f t="shared" si="14"/>
        <v>10</v>
      </c>
      <c r="R46" s="257"/>
      <c r="S46" s="258"/>
      <c r="T46" s="259">
        <f t="shared" si="15"/>
        <v>0</v>
      </c>
      <c r="U46" s="260"/>
      <c r="V46" s="242"/>
      <c r="W46" s="261">
        <f t="shared" si="16"/>
        <v>10</v>
      </c>
      <c r="X46" s="262"/>
      <c r="Y46" s="262"/>
      <c r="Z46" s="263"/>
      <c r="AA46" s="268">
        <f t="shared" si="17"/>
        <v>46318</v>
      </c>
      <c r="AB46" s="352"/>
      <c r="AC46" s="352"/>
      <c r="AD46" s="352"/>
      <c r="AE46" s="352"/>
      <c r="AF46" s="352"/>
      <c r="AG46" s="352"/>
      <c r="AH46" s="353"/>
    </row>
    <row r="47" spans="2:34" ht="20.25" customHeight="1" x14ac:dyDescent="0.15">
      <c r="B47" s="28"/>
      <c r="C47" s="21"/>
      <c r="D47" s="22"/>
      <c r="E47" s="295" t="str">
        <f t="shared" si="12"/>
        <v>도)치즈매콤닭강정감자2</v>
      </c>
      <c r="F47" s="223"/>
      <c r="G47" s="223"/>
      <c r="H47" s="223"/>
      <c r="I47" s="223"/>
      <c r="J47" s="223"/>
      <c r="K47" s="223"/>
      <c r="L47" s="296"/>
      <c r="M47" s="254">
        <f t="shared" si="13"/>
        <v>30</v>
      </c>
      <c r="N47" s="255"/>
      <c r="O47" s="255"/>
      <c r="P47" s="224"/>
      <c r="Q47" s="256">
        <f t="shared" si="14"/>
        <v>1</v>
      </c>
      <c r="R47" s="257"/>
      <c r="S47" s="258"/>
      <c r="T47" s="259">
        <f t="shared" si="15"/>
        <v>0</v>
      </c>
      <c r="U47" s="260"/>
      <c r="V47" s="242"/>
      <c r="W47" s="261">
        <f t="shared" si="16"/>
        <v>1</v>
      </c>
      <c r="X47" s="262"/>
      <c r="Y47" s="262"/>
      <c r="Z47" s="263"/>
      <c r="AA47" s="268">
        <f t="shared" si="17"/>
        <v>46318</v>
      </c>
      <c r="AB47" s="352"/>
      <c r="AC47" s="352"/>
      <c r="AD47" s="352"/>
      <c r="AE47" s="352"/>
      <c r="AF47" s="352"/>
      <c r="AG47" s="352"/>
      <c r="AH47" s="353"/>
    </row>
    <row r="48" spans="2:34" ht="20.25" customHeight="1" x14ac:dyDescent="0.15">
      <c r="B48" s="28"/>
      <c r="C48" s="21"/>
      <c r="D48" s="22"/>
      <c r="E48" s="295" t="str">
        <f t="shared" si="12"/>
        <v>도)치즈청양간장닭강정2</v>
      </c>
      <c r="F48" s="223"/>
      <c r="G48" s="223"/>
      <c r="H48" s="223"/>
      <c r="I48" s="223"/>
      <c r="J48" s="223"/>
      <c r="K48" s="223"/>
      <c r="L48" s="296"/>
      <c r="M48" s="254">
        <f t="shared" si="13"/>
        <v>30</v>
      </c>
      <c r="N48" s="255"/>
      <c r="O48" s="255"/>
      <c r="P48" s="224"/>
      <c r="Q48" s="256">
        <f t="shared" si="14"/>
        <v>34</v>
      </c>
      <c r="R48" s="257"/>
      <c r="S48" s="258"/>
      <c r="T48" s="259">
        <f t="shared" si="15"/>
        <v>1</v>
      </c>
      <c r="U48" s="260"/>
      <c r="V48" s="242"/>
      <c r="W48" s="261">
        <f t="shared" si="16"/>
        <v>4</v>
      </c>
      <c r="X48" s="262"/>
      <c r="Y48" s="262"/>
      <c r="Z48" s="263"/>
      <c r="AA48" s="268">
        <f t="shared" si="17"/>
        <v>46319</v>
      </c>
      <c r="AB48" s="352"/>
      <c r="AC48" s="352"/>
      <c r="AD48" s="352"/>
      <c r="AE48" s="352"/>
      <c r="AF48" s="352"/>
      <c r="AG48" s="352"/>
      <c r="AH48" s="353"/>
    </row>
    <row r="49" spans="2:34" ht="21" customHeight="1" x14ac:dyDescent="0.15">
      <c r="B49" s="55"/>
      <c r="C49" s="26"/>
      <c r="D49" s="27"/>
      <c r="E49" s="295" t="str">
        <f t="shared" si="12"/>
        <v>도)쿵야반반닭강정팩2</v>
      </c>
      <c r="F49" s="223"/>
      <c r="G49" s="223"/>
      <c r="H49" s="223"/>
      <c r="I49" s="223"/>
      <c r="J49" s="223"/>
      <c r="K49" s="223"/>
      <c r="L49" s="296"/>
      <c r="M49" s="254">
        <f t="shared" si="13"/>
        <v>36</v>
      </c>
      <c r="N49" s="255"/>
      <c r="O49" s="255"/>
      <c r="P49" s="224"/>
      <c r="Q49" s="256">
        <f t="shared" si="14"/>
        <v>10</v>
      </c>
      <c r="R49" s="257"/>
      <c r="S49" s="258"/>
      <c r="T49" s="259">
        <f t="shared" si="15"/>
        <v>0</v>
      </c>
      <c r="U49" s="260"/>
      <c r="V49" s="242"/>
      <c r="W49" s="261">
        <f t="shared" si="16"/>
        <v>10</v>
      </c>
      <c r="X49" s="262"/>
      <c r="Y49" s="262"/>
      <c r="Z49" s="263"/>
      <c r="AA49" s="268">
        <f t="shared" si="17"/>
        <v>46318</v>
      </c>
      <c r="AB49" s="352"/>
      <c r="AC49" s="352"/>
      <c r="AD49" s="352"/>
      <c r="AE49" s="352"/>
      <c r="AF49" s="352"/>
      <c r="AG49" s="352"/>
      <c r="AH49" s="353"/>
    </row>
    <row r="50" spans="2:34" ht="21" customHeight="1" x14ac:dyDescent="0.15">
      <c r="B50" s="59"/>
      <c r="C50" s="60"/>
      <c r="D50" s="61"/>
      <c r="E50" s="295" t="str">
        <f t="shared" si="12"/>
        <v>APP)치맥아보트러플치킨2</v>
      </c>
      <c r="F50" s="223"/>
      <c r="G50" s="223"/>
      <c r="H50" s="223"/>
      <c r="I50" s="223"/>
      <c r="J50" s="223"/>
      <c r="K50" s="223"/>
      <c r="L50" s="296"/>
      <c r="M50" s="254">
        <f t="shared" si="13"/>
        <v>32</v>
      </c>
      <c r="N50" s="255"/>
      <c r="O50" s="255"/>
      <c r="P50" s="224"/>
      <c r="Q50" s="256">
        <f t="shared" si="14"/>
        <v>0</v>
      </c>
      <c r="R50" s="257"/>
      <c r="S50" s="258"/>
      <c r="T50" s="259">
        <f t="shared" si="15"/>
        <v>0</v>
      </c>
      <c r="U50" s="260"/>
      <c r="V50" s="242"/>
      <c r="W50" s="261">
        <f t="shared" si="16"/>
        <v>0</v>
      </c>
      <c r="X50" s="262"/>
      <c r="Y50" s="262"/>
      <c r="Z50" s="263"/>
      <c r="AA50" s="268">
        <f t="shared" si="17"/>
        <v>46318</v>
      </c>
      <c r="AB50" s="352"/>
      <c r="AC50" s="352"/>
      <c r="AD50" s="352"/>
      <c r="AE50" s="352"/>
      <c r="AF50" s="352"/>
      <c r="AG50" s="352"/>
      <c r="AH50" s="353"/>
    </row>
    <row r="51" spans="2:34" ht="21" customHeight="1" x14ac:dyDescent="0.15">
      <c r="B51" s="358" t="str">
        <f>B25</f>
        <v>총수량</v>
      </c>
      <c r="C51" s="359"/>
      <c r="D51" s="359"/>
      <c r="E51" s="359"/>
      <c r="F51" s="359"/>
      <c r="G51" s="359"/>
      <c r="H51" s="359"/>
      <c r="I51" s="359"/>
      <c r="J51" s="359"/>
      <c r="K51" s="359"/>
      <c r="L51" s="360"/>
      <c r="M51" s="259">
        <f>M25</f>
        <v>233</v>
      </c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24"/>
      <c r="AA51" s="268"/>
      <c r="AB51" s="352"/>
      <c r="AC51" s="352"/>
      <c r="AD51" s="352"/>
      <c r="AE51" s="352"/>
      <c r="AF51" s="352"/>
      <c r="AG51" s="352"/>
      <c r="AH51" s="353"/>
    </row>
    <row r="52" spans="2:34" ht="53.25" customHeight="1" thickBot="1" x14ac:dyDescent="0.2">
      <c r="B52" s="372" t="s">
        <v>15</v>
      </c>
      <c r="C52" s="373"/>
      <c r="D52" s="373"/>
      <c r="E52" s="373"/>
      <c r="F52" s="373"/>
      <c r="G52" s="373"/>
      <c r="H52" s="373"/>
      <c r="I52" s="373"/>
      <c r="J52" s="373"/>
      <c r="K52" s="373"/>
      <c r="L52" s="373"/>
      <c r="M52" s="373"/>
      <c r="N52" s="373"/>
      <c r="O52" s="373"/>
      <c r="P52" s="373"/>
      <c r="Q52" s="373"/>
      <c r="R52" s="373"/>
      <c r="S52" s="373"/>
      <c r="T52" s="373"/>
      <c r="U52" s="373"/>
      <c r="V52" s="374"/>
      <c r="W52" s="375" t="s">
        <v>37</v>
      </c>
      <c r="X52" s="376"/>
      <c r="Y52" s="376"/>
      <c r="Z52" s="376"/>
      <c r="AA52" s="376"/>
      <c r="AB52" s="376"/>
      <c r="AC52" s="376"/>
      <c r="AD52" s="376"/>
      <c r="AE52" s="376"/>
      <c r="AF52" s="376"/>
      <c r="AG52" s="376"/>
      <c r="AH52" s="377"/>
    </row>
  </sheetData>
  <mergeCells count="210">
    <mergeCell ref="B40:D40"/>
    <mergeCell ref="E40:L40"/>
    <mergeCell ref="E39:L39"/>
    <mergeCell ref="M39:P39"/>
    <mergeCell ref="Q39:S39"/>
    <mergeCell ref="T39:V39"/>
    <mergeCell ref="B31:B38"/>
    <mergeCell ref="C31:F32"/>
    <mergeCell ref="G31:P32"/>
    <mergeCell ref="Q31:Q38"/>
    <mergeCell ref="R33:U34"/>
    <mergeCell ref="V33:AA34"/>
    <mergeCell ref="T20:V20"/>
    <mergeCell ref="W20:Z20"/>
    <mergeCell ref="AA20:AH20"/>
    <mergeCell ref="G35:P36"/>
    <mergeCell ref="R35:U36"/>
    <mergeCell ref="V35:AH36"/>
    <mergeCell ref="C33:F34"/>
    <mergeCell ref="G33:K34"/>
    <mergeCell ref="L33:P34"/>
    <mergeCell ref="B25:D25"/>
    <mergeCell ref="E24:L24"/>
    <mergeCell ref="M25:Z25"/>
    <mergeCell ref="AA25:AH25"/>
    <mergeCell ref="B26:V26"/>
    <mergeCell ref="W26:AH26"/>
    <mergeCell ref="E23:L23"/>
    <mergeCell ref="M23:P2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AA12:AH12"/>
    <mergeCell ref="AA13:AH13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E16:L16"/>
    <mergeCell ref="M16:P16"/>
    <mergeCell ref="Q16:S16"/>
    <mergeCell ref="T16:V16"/>
    <mergeCell ref="AA16:AH16"/>
    <mergeCell ref="M24:P24"/>
    <mergeCell ref="Q24:S24"/>
    <mergeCell ref="T24:V24"/>
    <mergeCell ref="W24:Z24"/>
    <mergeCell ref="AA24:AH24"/>
    <mergeCell ref="W16:Z16"/>
    <mergeCell ref="E17:L17"/>
    <mergeCell ref="M17:P17"/>
    <mergeCell ref="Q17:S17"/>
    <mergeCell ref="T17:V17"/>
    <mergeCell ref="W17:Z17"/>
    <mergeCell ref="AA19:AH19"/>
    <mergeCell ref="E20:L20"/>
    <mergeCell ref="AA17:AH17"/>
    <mergeCell ref="Q23:S23"/>
    <mergeCell ref="T23:V23"/>
    <mergeCell ref="W23:Z23"/>
    <mergeCell ref="AA23:AH23"/>
    <mergeCell ref="E22:L22"/>
    <mergeCell ref="B52:V52"/>
    <mergeCell ref="W52:AH52"/>
    <mergeCell ref="M51:Z51"/>
    <mergeCell ref="AA45:AH45"/>
    <mergeCell ref="W45:Z45"/>
    <mergeCell ref="T45:V45"/>
    <mergeCell ref="Q45:S45"/>
    <mergeCell ref="M45:P45"/>
    <mergeCell ref="E45:L45"/>
    <mergeCell ref="Q50:S50"/>
    <mergeCell ref="AA51:AH51"/>
    <mergeCell ref="AA47:AH47"/>
    <mergeCell ref="Q48:S48"/>
    <mergeCell ref="E47:L47"/>
    <mergeCell ref="M47:P47"/>
    <mergeCell ref="T47:V47"/>
    <mergeCell ref="W47:Z47"/>
    <mergeCell ref="W48:Z48"/>
    <mergeCell ref="AA48:AH48"/>
    <mergeCell ref="E50:L50"/>
    <mergeCell ref="M50:P50"/>
    <mergeCell ref="T50:V50"/>
    <mergeCell ref="W50:Z50"/>
    <mergeCell ref="AA50:AH50"/>
    <mergeCell ref="E18:L18"/>
    <mergeCell ref="M18:P18"/>
    <mergeCell ref="Q18:S18"/>
    <mergeCell ref="T18:V18"/>
    <mergeCell ref="W18:Z18"/>
    <mergeCell ref="C37:F38"/>
    <mergeCell ref="G37:P38"/>
    <mergeCell ref="R37:U38"/>
    <mergeCell ref="Q19:S19"/>
    <mergeCell ref="T19:V19"/>
    <mergeCell ref="W19:Z19"/>
    <mergeCell ref="R31:U32"/>
    <mergeCell ref="B30:AH30"/>
    <mergeCell ref="M22:P22"/>
    <mergeCell ref="Q22:S22"/>
    <mergeCell ref="T22:V22"/>
    <mergeCell ref="W22:Z22"/>
    <mergeCell ref="AB33:AC34"/>
    <mergeCell ref="AD33:AH34"/>
    <mergeCell ref="C35:F36"/>
    <mergeCell ref="AB37:AC38"/>
    <mergeCell ref="AD37:AH38"/>
    <mergeCell ref="M20:P20"/>
    <mergeCell ref="Q20:S20"/>
    <mergeCell ref="W43:Z43"/>
    <mergeCell ref="W39:Z39"/>
    <mergeCell ref="E42:L42"/>
    <mergeCell ref="M42:P42"/>
    <mergeCell ref="Q42:S42"/>
    <mergeCell ref="T42:V42"/>
    <mergeCell ref="W42:Z42"/>
    <mergeCell ref="E46:L46"/>
    <mergeCell ref="M46:P46"/>
    <mergeCell ref="Q46:S46"/>
    <mergeCell ref="T46:V46"/>
    <mergeCell ref="W46:Z46"/>
    <mergeCell ref="E19:L19"/>
    <mergeCell ref="M19:P19"/>
    <mergeCell ref="V37:AA38"/>
    <mergeCell ref="AA22:AH22"/>
    <mergeCell ref="M40:P40"/>
    <mergeCell ref="Q40:S40"/>
    <mergeCell ref="T40:V40"/>
    <mergeCell ref="E48:L48"/>
    <mergeCell ref="M48:P48"/>
    <mergeCell ref="T48:V48"/>
    <mergeCell ref="Q47:S47"/>
    <mergeCell ref="E44:L44"/>
    <mergeCell ref="M44:P44"/>
    <mergeCell ref="Q44:S44"/>
    <mergeCell ref="T44:V44"/>
    <mergeCell ref="AA39:AH39"/>
    <mergeCell ref="W40:Z40"/>
    <mergeCell ref="E43:L43"/>
    <mergeCell ref="M43:P43"/>
    <mergeCell ref="Q43:S43"/>
    <mergeCell ref="T43:V43"/>
    <mergeCell ref="E41:L41"/>
    <mergeCell ref="M41:P41"/>
    <mergeCell ref="Q41:S41"/>
    <mergeCell ref="AA43:AH43"/>
    <mergeCell ref="AA40:AH40"/>
    <mergeCell ref="T41:V41"/>
    <mergeCell ref="W41:Z41"/>
    <mergeCell ref="AA41:AH41"/>
    <mergeCell ref="V31:AH32"/>
    <mergeCell ref="AA42:AH42"/>
    <mergeCell ref="B51:L51"/>
    <mergeCell ref="AA18:AH18"/>
    <mergeCell ref="E21:L21"/>
    <mergeCell ref="M21:P21"/>
    <mergeCell ref="Q21:S21"/>
    <mergeCell ref="T21:V21"/>
    <mergeCell ref="W21:Z21"/>
    <mergeCell ref="AA21:AH21"/>
    <mergeCell ref="E49:L49"/>
    <mergeCell ref="M49:P49"/>
    <mergeCell ref="Q49:S49"/>
    <mergeCell ref="T49:V49"/>
    <mergeCell ref="W49:Z49"/>
    <mergeCell ref="AA49:AH49"/>
    <mergeCell ref="AA46:AH46"/>
    <mergeCell ref="AA44:AH44"/>
    <mergeCell ref="W44:Z44"/>
  </mergeCells>
  <phoneticPr fontId="2" type="noConversion"/>
  <conditionalFormatting sqref="AA51">
    <cfRule type="expression" dxfId="133" priority="2291">
      <formula>Q51:S60=0</formula>
    </cfRule>
  </conditionalFormatting>
  <conditionalFormatting sqref="AA13:AH14">
    <cfRule type="expression" dxfId="132" priority="3049">
      <formula>Q13:S26=0</formula>
    </cfRule>
  </conditionalFormatting>
  <conditionalFormatting sqref="AA15:AH16">
    <cfRule type="expression" dxfId="131" priority="3048">
      <formula>Q15:S26=0</formula>
    </cfRule>
  </conditionalFormatting>
  <conditionalFormatting sqref="AA17:AH21">
    <cfRule type="expression" dxfId="130" priority="2">
      <formula>Q17:S27=0</formula>
    </cfRule>
  </conditionalFormatting>
  <conditionalFormatting sqref="AA22:AH22">
    <cfRule type="expression" dxfId="129" priority="2826">
      <formula>Q22:S30=0</formula>
    </cfRule>
  </conditionalFormatting>
  <conditionalFormatting sqref="AA23:AH24">
    <cfRule type="expression" dxfId="128" priority="4">
      <formula>Q23:S32=0</formula>
    </cfRule>
  </conditionalFormatting>
  <conditionalFormatting sqref="AA40:AH50">
    <cfRule type="expression" dxfId="127" priority="2832">
      <formula>Q40:S50=0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B2:B4 C2:F3 C6 C10 C4 C33 G8:L11 N8:P11 H2:K5 G2:G6 Q2:AH11 M2:P5 L2:L6 C12:D12 C39:D39 B31:C31 C35 C37 G35:L38 N35:P38 Q31:AH38 L31:L33 M31:P32 G31:G33 H31:K32 E12:E24 M8:M25 B12:B25 C14:D24 T13:T24 AA12:AA24 Q13:Q24 Q40:Q50 C41:D50 T40:T50 E39:E50 M35:M51 B39:B51 AA39:AA51" xr:uid="{1D49BA14-555C-486E-99D8-694172E3C546}"/>
  </dataValidations>
  <printOptions horizontalCentered="1"/>
  <pageMargins left="0" right="0" top="0.11811023622047245" bottom="0" header="0" footer="0"/>
  <pageSetup paperSize="9" scale="78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6E67-B80B-4128-A30D-12C7A0250972}">
  <sheetPr>
    <pageSetUpPr fitToPage="1"/>
  </sheetPr>
  <dimension ref="B1:AH54"/>
  <sheetViews>
    <sheetView topLeftCell="A15" zoomScale="70" zoomScaleNormal="70" workbookViewId="0">
      <selection activeCell="BT40" sqref="BT40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41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41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42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13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13</v>
      </c>
      <c r="X13" s="100"/>
      <c r="Y13" s="100"/>
      <c r="Z13" s="101"/>
      <c r="AA13" s="153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219</v>
      </c>
      <c r="R14" s="96"/>
      <c r="S14" s="97"/>
      <c r="T14" s="98">
        <f t="shared" ref="T14:T19" si="2">IFERROR(ROUNDDOWN(Q14/M14,0),"")</f>
        <v>7</v>
      </c>
      <c r="U14" s="84"/>
      <c r="V14" s="84"/>
      <c r="W14" s="99">
        <f t="shared" ref="W14:W19" si="3">IFERROR(Q14-(T14*M14),"")</f>
        <v>9</v>
      </c>
      <c r="X14" s="100"/>
      <c r="Y14" s="100"/>
      <c r="Z14" s="101"/>
      <c r="AA14" s="153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19</v>
      </c>
      <c r="R15" s="96"/>
      <c r="S15" s="97"/>
      <c r="T15" s="98">
        <f t="shared" si="2"/>
        <v>0</v>
      </c>
      <c r="U15" s="84"/>
      <c r="V15" s="84"/>
      <c r="W15" s="99">
        <f t="shared" si="3"/>
        <v>19</v>
      </c>
      <c r="X15" s="100"/>
      <c r="Y15" s="100"/>
      <c r="Z15" s="101"/>
      <c r="AA15" s="153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48</v>
      </c>
      <c r="R16" s="96"/>
      <c r="S16" s="97"/>
      <c r="T16" s="98">
        <f t="shared" ref="T16" si="4">IFERROR(ROUNDDOWN(Q16/M16,0),"")</f>
        <v>1</v>
      </c>
      <c r="U16" s="84"/>
      <c r="V16" s="84"/>
      <c r="W16" s="99">
        <f t="shared" ref="W16" si="5">IFERROR(Q16-(T16*M16),"")</f>
        <v>12</v>
      </c>
      <c r="X16" s="100"/>
      <c r="Y16" s="100"/>
      <c r="Z16" s="101"/>
      <c r="AA16" s="153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11</v>
      </c>
      <c r="R17" s="96"/>
      <c r="S17" s="97"/>
      <c r="T17" s="98">
        <f t="shared" si="2"/>
        <v>0</v>
      </c>
      <c r="U17" s="84"/>
      <c r="V17" s="84"/>
      <c r="W17" s="99">
        <f t="shared" si="3"/>
        <v>11</v>
      </c>
      <c r="X17" s="100"/>
      <c r="Y17" s="100"/>
      <c r="Z17" s="101"/>
      <c r="AA17" s="153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6</v>
      </c>
      <c r="R18" s="96"/>
      <c r="S18" s="97"/>
      <c r="T18" s="98">
        <f t="shared" si="2"/>
        <v>0</v>
      </c>
      <c r="U18" s="84"/>
      <c r="V18" s="84"/>
      <c r="W18" s="99">
        <f t="shared" si="3"/>
        <v>6</v>
      </c>
      <c r="X18" s="100"/>
      <c r="Y18" s="100"/>
      <c r="Z18" s="101"/>
      <c r="AA18" s="153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10</v>
      </c>
      <c r="R19" s="96"/>
      <c r="S19" s="97"/>
      <c r="T19" s="98">
        <f t="shared" si="2"/>
        <v>0</v>
      </c>
      <c r="U19" s="84"/>
      <c r="V19" s="84"/>
      <c r="W19" s="99">
        <f t="shared" si="3"/>
        <v>10</v>
      </c>
      <c r="X19" s="100"/>
      <c r="Y19" s="100"/>
      <c r="Z19" s="101"/>
      <c r="AA19" s="153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5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5</v>
      </c>
      <c r="X20" s="100"/>
      <c r="Y20" s="100"/>
      <c r="Z20" s="101"/>
      <c r="AA20" s="153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53</v>
      </c>
      <c r="R21" s="96"/>
      <c r="S21" s="97"/>
      <c r="T21" s="98">
        <f t="shared" ref="T21" si="8">IFERROR(ROUNDDOWN(Q21/M21,0),"")</f>
        <v>1</v>
      </c>
      <c r="U21" s="84"/>
      <c r="V21" s="84"/>
      <c r="W21" s="99">
        <f t="shared" ref="W21" si="9">IFERROR(Q21-(T21*M21),"")</f>
        <v>23</v>
      </c>
      <c r="X21" s="100"/>
      <c r="Y21" s="100"/>
      <c r="Z21" s="101"/>
      <c r="AA21" s="153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16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16</v>
      </c>
      <c r="X22" s="100"/>
      <c r="Y22" s="100"/>
      <c r="Z22" s="101"/>
      <c r="AA22" s="153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153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400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8.75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43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8.75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아신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경기도 용인시 기흥구 
하갈로15번길 34 (보라동)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13</v>
      </c>
      <c r="R41" s="216"/>
      <c r="S41" s="216"/>
      <c r="T41" s="217">
        <f>T13</f>
        <v>0</v>
      </c>
      <c r="U41" s="217"/>
      <c r="V41" s="217"/>
      <c r="W41" s="218">
        <f>W13</f>
        <v>13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351" t="str">
        <f t="shared" ref="E42:E50" si="12">E14</f>
        <v>도)리얼모짜치즈돈까스2</v>
      </c>
      <c r="F42" s="223"/>
      <c r="G42" s="223"/>
      <c r="H42" s="223"/>
      <c r="I42" s="223"/>
      <c r="J42" s="223"/>
      <c r="K42" s="223"/>
      <c r="L42" s="296"/>
      <c r="M42" s="83">
        <f t="shared" ref="M42:M51" si="13">M14</f>
        <v>30</v>
      </c>
      <c r="N42" s="83"/>
      <c r="O42" s="83"/>
      <c r="P42" s="83"/>
      <c r="Q42" s="216">
        <f t="shared" ref="Q42:Q51" si="14">Q14</f>
        <v>219</v>
      </c>
      <c r="R42" s="216"/>
      <c r="S42" s="216"/>
      <c r="T42" s="217">
        <f t="shared" ref="T42:T51" si="15">T14</f>
        <v>7</v>
      </c>
      <c r="U42" s="217"/>
      <c r="V42" s="217"/>
      <c r="W42" s="218">
        <f t="shared" ref="W42:W50" si="16">W14</f>
        <v>9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351" t="str">
        <f t="shared" si="12"/>
        <v>도)리얼치즈고구마돈까스2</v>
      </c>
      <c r="F43" s="223"/>
      <c r="G43" s="223"/>
      <c r="H43" s="223"/>
      <c r="I43" s="223"/>
      <c r="J43" s="223"/>
      <c r="K43" s="223"/>
      <c r="L43" s="296"/>
      <c r="M43" s="83">
        <f t="shared" si="13"/>
        <v>30</v>
      </c>
      <c r="N43" s="83"/>
      <c r="O43" s="83"/>
      <c r="P43" s="83"/>
      <c r="Q43" s="216">
        <f t="shared" si="14"/>
        <v>19</v>
      </c>
      <c r="R43" s="216"/>
      <c r="S43" s="216"/>
      <c r="T43" s="217">
        <f t="shared" si="15"/>
        <v>0</v>
      </c>
      <c r="U43" s="217"/>
      <c r="V43" s="217"/>
      <c r="W43" s="218">
        <f t="shared" si="16"/>
        <v>19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351" t="str">
        <f t="shared" si="12"/>
        <v>도)윙봉칠리탕수득템2</v>
      </c>
      <c r="F44" s="223"/>
      <c r="G44" s="223"/>
      <c r="H44" s="223"/>
      <c r="I44" s="223"/>
      <c r="J44" s="223"/>
      <c r="K44" s="223"/>
      <c r="L44" s="296"/>
      <c r="M44" s="83">
        <f t="shared" si="13"/>
        <v>36</v>
      </c>
      <c r="N44" s="83"/>
      <c r="O44" s="83"/>
      <c r="P44" s="83"/>
      <c r="Q44" s="216">
        <f t="shared" si="14"/>
        <v>48</v>
      </c>
      <c r="R44" s="216"/>
      <c r="S44" s="216"/>
      <c r="T44" s="217">
        <f t="shared" si="15"/>
        <v>1</v>
      </c>
      <c r="U44" s="217"/>
      <c r="V44" s="217"/>
      <c r="W44" s="218">
        <f t="shared" si="16"/>
        <v>12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351" t="str">
        <f t="shared" si="12"/>
        <v>도)찍먹윙봉2</v>
      </c>
      <c r="F45" s="223"/>
      <c r="G45" s="223"/>
      <c r="H45" s="223"/>
      <c r="I45" s="223"/>
      <c r="J45" s="223"/>
      <c r="K45" s="223"/>
      <c r="L45" s="296"/>
      <c r="M45" s="83">
        <f t="shared" si="13"/>
        <v>36</v>
      </c>
      <c r="N45" s="83"/>
      <c r="O45" s="83"/>
      <c r="P45" s="83"/>
      <c r="Q45" s="216">
        <f t="shared" si="14"/>
        <v>11</v>
      </c>
      <c r="R45" s="216"/>
      <c r="S45" s="216"/>
      <c r="T45" s="217">
        <f t="shared" si="15"/>
        <v>0</v>
      </c>
      <c r="U45" s="217"/>
      <c r="V45" s="217"/>
      <c r="W45" s="218">
        <f t="shared" si="16"/>
        <v>11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351" t="str">
        <f t="shared" si="12"/>
        <v>도)찍먹탕수육2</v>
      </c>
      <c r="F46" s="223"/>
      <c r="G46" s="223"/>
      <c r="H46" s="223"/>
      <c r="I46" s="223"/>
      <c r="J46" s="223"/>
      <c r="K46" s="223"/>
      <c r="L46" s="296"/>
      <c r="M46" s="83">
        <f t="shared" si="13"/>
        <v>36</v>
      </c>
      <c r="N46" s="83"/>
      <c r="O46" s="83"/>
      <c r="P46" s="83"/>
      <c r="Q46" s="216">
        <f t="shared" si="14"/>
        <v>6</v>
      </c>
      <c r="R46" s="216"/>
      <c r="S46" s="216"/>
      <c r="T46" s="217">
        <f t="shared" si="15"/>
        <v>0</v>
      </c>
      <c r="U46" s="217"/>
      <c r="V46" s="217"/>
      <c r="W46" s="218">
        <f t="shared" si="16"/>
        <v>6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351" t="str">
        <f t="shared" si="12"/>
        <v>도)치맥아보트러플치킨2</v>
      </c>
      <c r="F47" s="223"/>
      <c r="G47" s="223"/>
      <c r="H47" s="223"/>
      <c r="I47" s="223"/>
      <c r="J47" s="223"/>
      <c r="K47" s="223"/>
      <c r="L47" s="296"/>
      <c r="M47" s="83">
        <f t="shared" si="13"/>
        <v>32</v>
      </c>
      <c r="N47" s="83"/>
      <c r="O47" s="83"/>
      <c r="P47" s="83"/>
      <c r="Q47" s="216">
        <f t="shared" si="14"/>
        <v>10</v>
      </c>
      <c r="R47" s="216"/>
      <c r="S47" s="216"/>
      <c r="T47" s="217">
        <f t="shared" si="15"/>
        <v>0</v>
      </c>
      <c r="U47" s="217"/>
      <c r="V47" s="217"/>
      <c r="W47" s="218">
        <f t="shared" si="16"/>
        <v>10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351" t="str">
        <f t="shared" si="12"/>
        <v>도)치즈매콤닭강정감자2</v>
      </c>
      <c r="F48" s="223"/>
      <c r="G48" s="223"/>
      <c r="H48" s="223"/>
      <c r="I48" s="223"/>
      <c r="J48" s="223"/>
      <c r="K48" s="223"/>
      <c r="L48" s="296"/>
      <c r="M48" s="83">
        <f t="shared" si="13"/>
        <v>30</v>
      </c>
      <c r="N48" s="83"/>
      <c r="O48" s="83"/>
      <c r="P48" s="83"/>
      <c r="Q48" s="216">
        <f t="shared" si="14"/>
        <v>5</v>
      </c>
      <c r="R48" s="216"/>
      <c r="S48" s="216"/>
      <c r="T48" s="217">
        <f t="shared" si="15"/>
        <v>0</v>
      </c>
      <c r="U48" s="217"/>
      <c r="V48" s="217"/>
      <c r="W48" s="218">
        <f t="shared" si="16"/>
        <v>5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351" t="str">
        <f t="shared" si="12"/>
        <v>도)치즈청양간장닭강정2</v>
      </c>
      <c r="F49" s="223"/>
      <c r="G49" s="223"/>
      <c r="H49" s="223"/>
      <c r="I49" s="223"/>
      <c r="J49" s="223"/>
      <c r="K49" s="223"/>
      <c r="L49" s="296"/>
      <c r="M49" s="83">
        <f t="shared" si="13"/>
        <v>30</v>
      </c>
      <c r="N49" s="83"/>
      <c r="O49" s="83"/>
      <c r="P49" s="83"/>
      <c r="Q49" s="216">
        <f t="shared" si="14"/>
        <v>53</v>
      </c>
      <c r="R49" s="216"/>
      <c r="S49" s="216"/>
      <c r="T49" s="217">
        <f t="shared" si="15"/>
        <v>1</v>
      </c>
      <c r="U49" s="217"/>
      <c r="V49" s="217"/>
      <c r="W49" s="218">
        <f t="shared" si="16"/>
        <v>23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351" t="str">
        <f t="shared" si="12"/>
        <v>도)쿵야반반닭강정팩2</v>
      </c>
      <c r="F50" s="223"/>
      <c r="G50" s="223"/>
      <c r="H50" s="223"/>
      <c r="I50" s="223"/>
      <c r="J50" s="223"/>
      <c r="K50" s="223"/>
      <c r="L50" s="296"/>
      <c r="M50" s="83">
        <f t="shared" si="13"/>
        <v>36</v>
      </c>
      <c r="N50" s="83"/>
      <c r="O50" s="83"/>
      <c r="P50" s="83"/>
      <c r="Q50" s="216">
        <f t="shared" si="14"/>
        <v>16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16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351" t="str">
        <f t="shared" ref="E51" si="18">E23</f>
        <v>APP)치맥아보트러플치킨2</v>
      </c>
      <c r="F51" s="223"/>
      <c r="G51" s="223"/>
      <c r="H51" s="223"/>
      <c r="I51" s="223"/>
      <c r="J51" s="223"/>
      <c r="K51" s="223"/>
      <c r="L51" s="296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>M25</f>
        <v>400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8.75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경기도 용인시 기흥구 
하갈로15번길 34 (보라동) 
031)260-1660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8.75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H14">
    <cfRule type="expression" dxfId="126" priority="3044">
      <formula>Q13:S26=0</formula>
    </cfRule>
  </conditionalFormatting>
  <conditionalFormatting sqref="AA15:AH16">
    <cfRule type="expression" dxfId="125" priority="5">
      <formula>Q15:S26=0</formula>
    </cfRule>
  </conditionalFormatting>
  <conditionalFormatting sqref="AA17:AH18">
    <cfRule type="expression" dxfId="124" priority="3042">
      <formula>Q17:S27=0</formula>
    </cfRule>
  </conditionalFormatting>
  <conditionalFormatting sqref="AA19:AH21">
    <cfRule type="expression" dxfId="123" priority="2">
      <formula>Q19:S28=0</formula>
    </cfRule>
  </conditionalFormatting>
  <conditionalFormatting sqref="AA22:AH22">
    <cfRule type="expression" dxfId="122" priority="2426">
      <formula>Q22:S29=0</formula>
    </cfRule>
  </conditionalFormatting>
  <conditionalFormatting sqref="AA23:AH23">
    <cfRule type="expression" dxfId="121" priority="7">
      <formula>Q23:S31=0</formula>
    </cfRule>
  </conditionalFormatting>
  <conditionalFormatting sqref="AA24:AH24">
    <cfRule type="expression" dxfId="120" priority="26">
      <formula>Q24:S24=0</formula>
    </cfRule>
  </conditionalFormatting>
  <conditionalFormatting sqref="AA41:AH51">
    <cfRule type="expression" dxfId="119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Q41:Q51 M36:M52 E40:E52 T41:T51 AA40:AA51" xr:uid="{F97289AA-91D4-4628-B64C-C62A029C8DE5}"/>
  </dataValidations>
  <printOptions horizontalCentered="1"/>
  <pageMargins left="0" right="0" top="0.11811023622047245" bottom="0" header="0" footer="0"/>
  <pageSetup paperSize="9" scale="83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3532-CDA0-457B-8B87-976BCC92D16B}">
  <sheetPr>
    <pageSetUpPr fitToPage="1"/>
  </sheetPr>
  <dimension ref="B1:AH54"/>
  <sheetViews>
    <sheetView topLeftCell="A13" zoomScale="70" zoomScaleNormal="70" workbookViewId="0">
      <selection activeCell="BT40" sqref="BT40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33" width="2.33203125" style="1"/>
    <col min="34" max="34" width="6" style="1" customWidth="1"/>
    <col min="35" max="16384" width="2.33203125" style="1"/>
  </cols>
  <sheetData>
    <row r="1" spans="2:34" ht="14.25" thickBot="1" x14ac:dyDescent="0.2">
      <c r="B1" s="3" t="s">
        <v>44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44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45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10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10</v>
      </c>
      <c r="X13" s="100"/>
      <c r="Y13" s="100"/>
      <c r="Z13" s="101"/>
      <c r="AA13" s="73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141</v>
      </c>
      <c r="R14" s="96"/>
      <c r="S14" s="97"/>
      <c r="T14" s="98">
        <f t="shared" ref="T14:T19" si="2">IFERROR(ROUNDDOWN(Q14/M14,0),"")</f>
        <v>4</v>
      </c>
      <c r="U14" s="84"/>
      <c r="V14" s="84"/>
      <c r="W14" s="99">
        <f t="shared" ref="W14:W19" si="3">IFERROR(Q14-(T14*M14),"")</f>
        <v>21</v>
      </c>
      <c r="X14" s="100"/>
      <c r="Y14" s="100"/>
      <c r="Z14" s="101"/>
      <c r="AA14" s="73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11</v>
      </c>
      <c r="R15" s="96"/>
      <c r="S15" s="97"/>
      <c r="T15" s="98">
        <f t="shared" si="2"/>
        <v>0</v>
      </c>
      <c r="U15" s="84"/>
      <c r="V15" s="84"/>
      <c r="W15" s="99">
        <f t="shared" si="3"/>
        <v>11</v>
      </c>
      <c r="X15" s="100"/>
      <c r="Y15" s="100"/>
      <c r="Z15" s="101"/>
      <c r="AA15" s="73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31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31</v>
      </c>
      <c r="X16" s="100"/>
      <c r="Y16" s="100"/>
      <c r="Z16" s="101"/>
      <c r="AA16" s="73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6</v>
      </c>
      <c r="R17" s="96"/>
      <c r="S17" s="97"/>
      <c r="T17" s="98">
        <f t="shared" si="2"/>
        <v>0</v>
      </c>
      <c r="U17" s="84"/>
      <c r="V17" s="84"/>
      <c r="W17" s="99">
        <f t="shared" si="3"/>
        <v>6</v>
      </c>
      <c r="X17" s="100"/>
      <c r="Y17" s="100"/>
      <c r="Z17" s="101"/>
      <c r="AA17" s="73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4</v>
      </c>
      <c r="R18" s="96"/>
      <c r="S18" s="97"/>
      <c r="T18" s="98">
        <f t="shared" si="2"/>
        <v>0</v>
      </c>
      <c r="U18" s="84"/>
      <c r="V18" s="84"/>
      <c r="W18" s="99">
        <f t="shared" si="3"/>
        <v>4</v>
      </c>
      <c r="X18" s="100"/>
      <c r="Y18" s="100"/>
      <c r="Z18" s="101"/>
      <c r="AA18" s="73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7</v>
      </c>
      <c r="R19" s="96"/>
      <c r="S19" s="97"/>
      <c r="T19" s="98">
        <f t="shared" si="2"/>
        <v>0</v>
      </c>
      <c r="U19" s="84"/>
      <c r="V19" s="84"/>
      <c r="W19" s="99">
        <f t="shared" si="3"/>
        <v>7</v>
      </c>
      <c r="X19" s="100"/>
      <c r="Y19" s="100"/>
      <c r="Z19" s="101"/>
      <c r="AA19" s="73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3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3</v>
      </c>
      <c r="X20" s="100"/>
      <c r="Y20" s="100"/>
      <c r="Z20" s="101"/>
      <c r="AA20" s="73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19</v>
      </c>
      <c r="R21" s="96"/>
      <c r="S21" s="97"/>
      <c r="T21" s="98">
        <f t="shared" ref="T21" si="8">IFERROR(ROUNDDOWN(Q21/M21,0),"")</f>
        <v>0</v>
      </c>
      <c r="U21" s="84"/>
      <c r="V21" s="84"/>
      <c r="W21" s="99">
        <f t="shared" ref="W21" si="9">IFERROR(Q21-(T21*M21),"")</f>
        <v>19</v>
      </c>
      <c r="X21" s="100"/>
      <c r="Y21" s="100"/>
      <c r="Z21" s="101"/>
      <c r="AA21" s="73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9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9</v>
      </c>
      <c r="X22" s="100"/>
      <c r="Y22" s="100"/>
      <c r="Z22" s="101"/>
      <c r="AA22" s="73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73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241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46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화인로지텍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경기도 남양주시 수동면 비룡로 958 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10</v>
      </c>
      <c r="R41" s="216"/>
      <c r="S41" s="216"/>
      <c r="T41" s="217">
        <f>T13</f>
        <v>0</v>
      </c>
      <c r="U41" s="217"/>
      <c r="V41" s="217"/>
      <c r="W41" s="218">
        <f>W13</f>
        <v>10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351" t="str">
        <f t="shared" ref="E42:E50" si="12">E14</f>
        <v>도)리얼모짜치즈돈까스2</v>
      </c>
      <c r="F42" s="223"/>
      <c r="G42" s="223"/>
      <c r="H42" s="223"/>
      <c r="I42" s="223"/>
      <c r="J42" s="223"/>
      <c r="K42" s="223"/>
      <c r="L42" s="296"/>
      <c r="M42" s="83">
        <f t="shared" ref="M42:M51" si="13">M14</f>
        <v>30</v>
      </c>
      <c r="N42" s="83"/>
      <c r="O42" s="83"/>
      <c r="P42" s="83"/>
      <c r="Q42" s="216">
        <f t="shared" ref="Q42:Q51" si="14">Q14</f>
        <v>141</v>
      </c>
      <c r="R42" s="216"/>
      <c r="S42" s="216"/>
      <c r="T42" s="217">
        <f t="shared" ref="T42:T51" si="15">T14</f>
        <v>4</v>
      </c>
      <c r="U42" s="217"/>
      <c r="V42" s="217"/>
      <c r="W42" s="218">
        <f t="shared" ref="W42:W50" si="16">W14</f>
        <v>21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351" t="str">
        <f t="shared" si="12"/>
        <v>도)리얼치즈고구마돈까스2</v>
      </c>
      <c r="F43" s="223"/>
      <c r="G43" s="223"/>
      <c r="H43" s="223"/>
      <c r="I43" s="223"/>
      <c r="J43" s="223"/>
      <c r="K43" s="223"/>
      <c r="L43" s="296"/>
      <c r="M43" s="83">
        <f t="shared" si="13"/>
        <v>30</v>
      </c>
      <c r="N43" s="83"/>
      <c r="O43" s="83"/>
      <c r="P43" s="83"/>
      <c r="Q43" s="216">
        <f t="shared" si="14"/>
        <v>11</v>
      </c>
      <c r="R43" s="216"/>
      <c r="S43" s="216"/>
      <c r="T43" s="217">
        <f t="shared" si="15"/>
        <v>0</v>
      </c>
      <c r="U43" s="217"/>
      <c r="V43" s="217"/>
      <c r="W43" s="218">
        <f t="shared" si="16"/>
        <v>11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351" t="str">
        <f t="shared" si="12"/>
        <v>도)윙봉칠리탕수득템2</v>
      </c>
      <c r="F44" s="223"/>
      <c r="G44" s="223"/>
      <c r="H44" s="223"/>
      <c r="I44" s="223"/>
      <c r="J44" s="223"/>
      <c r="K44" s="223"/>
      <c r="L44" s="296"/>
      <c r="M44" s="83">
        <f t="shared" si="13"/>
        <v>36</v>
      </c>
      <c r="N44" s="83"/>
      <c r="O44" s="83"/>
      <c r="P44" s="83"/>
      <c r="Q44" s="216">
        <f t="shared" si="14"/>
        <v>31</v>
      </c>
      <c r="R44" s="216"/>
      <c r="S44" s="216"/>
      <c r="T44" s="217">
        <f t="shared" si="15"/>
        <v>0</v>
      </c>
      <c r="U44" s="217"/>
      <c r="V44" s="217"/>
      <c r="W44" s="218">
        <f t="shared" si="16"/>
        <v>31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351" t="str">
        <f t="shared" si="12"/>
        <v>도)찍먹윙봉2</v>
      </c>
      <c r="F45" s="223"/>
      <c r="G45" s="223"/>
      <c r="H45" s="223"/>
      <c r="I45" s="223"/>
      <c r="J45" s="223"/>
      <c r="K45" s="223"/>
      <c r="L45" s="296"/>
      <c r="M45" s="83">
        <f t="shared" si="13"/>
        <v>36</v>
      </c>
      <c r="N45" s="83"/>
      <c r="O45" s="83"/>
      <c r="P45" s="83"/>
      <c r="Q45" s="216">
        <f t="shared" si="14"/>
        <v>6</v>
      </c>
      <c r="R45" s="216"/>
      <c r="S45" s="216"/>
      <c r="T45" s="217">
        <f t="shared" si="15"/>
        <v>0</v>
      </c>
      <c r="U45" s="217"/>
      <c r="V45" s="217"/>
      <c r="W45" s="218">
        <f t="shared" si="16"/>
        <v>6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351" t="str">
        <f t="shared" si="12"/>
        <v>도)찍먹탕수육2</v>
      </c>
      <c r="F46" s="223"/>
      <c r="G46" s="223"/>
      <c r="H46" s="223"/>
      <c r="I46" s="223"/>
      <c r="J46" s="223"/>
      <c r="K46" s="223"/>
      <c r="L46" s="296"/>
      <c r="M46" s="83">
        <f t="shared" si="13"/>
        <v>36</v>
      </c>
      <c r="N46" s="83"/>
      <c r="O46" s="83"/>
      <c r="P46" s="83"/>
      <c r="Q46" s="216">
        <f t="shared" si="14"/>
        <v>4</v>
      </c>
      <c r="R46" s="216"/>
      <c r="S46" s="216"/>
      <c r="T46" s="217">
        <f t="shared" si="15"/>
        <v>0</v>
      </c>
      <c r="U46" s="217"/>
      <c r="V46" s="217"/>
      <c r="W46" s="218">
        <f t="shared" si="16"/>
        <v>4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351" t="str">
        <f t="shared" si="12"/>
        <v>도)치맥아보트러플치킨2</v>
      </c>
      <c r="F47" s="223"/>
      <c r="G47" s="223"/>
      <c r="H47" s="223"/>
      <c r="I47" s="223"/>
      <c r="J47" s="223"/>
      <c r="K47" s="223"/>
      <c r="L47" s="296"/>
      <c r="M47" s="83">
        <f t="shared" si="13"/>
        <v>32</v>
      </c>
      <c r="N47" s="83"/>
      <c r="O47" s="83"/>
      <c r="P47" s="83"/>
      <c r="Q47" s="216">
        <f t="shared" si="14"/>
        <v>7</v>
      </c>
      <c r="R47" s="216"/>
      <c r="S47" s="216"/>
      <c r="T47" s="217">
        <f t="shared" si="15"/>
        <v>0</v>
      </c>
      <c r="U47" s="217"/>
      <c r="V47" s="217"/>
      <c r="W47" s="218">
        <f t="shared" si="16"/>
        <v>7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351" t="str">
        <f t="shared" si="12"/>
        <v>도)치즈매콤닭강정감자2</v>
      </c>
      <c r="F48" s="223"/>
      <c r="G48" s="223"/>
      <c r="H48" s="223"/>
      <c r="I48" s="223"/>
      <c r="J48" s="223"/>
      <c r="K48" s="223"/>
      <c r="L48" s="296"/>
      <c r="M48" s="83">
        <f t="shared" si="13"/>
        <v>30</v>
      </c>
      <c r="N48" s="83"/>
      <c r="O48" s="83"/>
      <c r="P48" s="83"/>
      <c r="Q48" s="216">
        <f t="shared" si="14"/>
        <v>3</v>
      </c>
      <c r="R48" s="216"/>
      <c r="S48" s="216"/>
      <c r="T48" s="217">
        <f t="shared" si="15"/>
        <v>0</v>
      </c>
      <c r="U48" s="217"/>
      <c r="V48" s="217"/>
      <c r="W48" s="218">
        <f t="shared" si="16"/>
        <v>3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351" t="str">
        <f t="shared" si="12"/>
        <v>도)치즈청양간장닭강정2</v>
      </c>
      <c r="F49" s="223"/>
      <c r="G49" s="223"/>
      <c r="H49" s="223"/>
      <c r="I49" s="223"/>
      <c r="J49" s="223"/>
      <c r="K49" s="223"/>
      <c r="L49" s="296"/>
      <c r="M49" s="83">
        <f t="shared" si="13"/>
        <v>30</v>
      </c>
      <c r="N49" s="83"/>
      <c r="O49" s="83"/>
      <c r="P49" s="83"/>
      <c r="Q49" s="216">
        <f t="shared" si="14"/>
        <v>19</v>
      </c>
      <c r="R49" s="216"/>
      <c r="S49" s="216"/>
      <c r="T49" s="217">
        <f t="shared" si="15"/>
        <v>0</v>
      </c>
      <c r="U49" s="217"/>
      <c r="V49" s="217"/>
      <c r="W49" s="218">
        <f t="shared" si="16"/>
        <v>19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351" t="str">
        <f t="shared" si="12"/>
        <v>도)쿵야반반닭강정팩2</v>
      </c>
      <c r="F50" s="223"/>
      <c r="G50" s="223"/>
      <c r="H50" s="223"/>
      <c r="I50" s="223"/>
      <c r="J50" s="223"/>
      <c r="K50" s="223"/>
      <c r="L50" s="296"/>
      <c r="M50" s="83">
        <f t="shared" si="13"/>
        <v>36</v>
      </c>
      <c r="N50" s="83"/>
      <c r="O50" s="83"/>
      <c r="P50" s="83"/>
      <c r="Q50" s="216">
        <f t="shared" si="14"/>
        <v>9</v>
      </c>
      <c r="R50" s="216"/>
      <c r="S50" s="216"/>
      <c r="T50" s="217">
        <f t="shared" si="15"/>
        <v>0</v>
      </c>
      <c r="U50" s="217"/>
      <c r="V50" s="217"/>
      <c r="W50" s="218">
        <f t="shared" si="16"/>
        <v>9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351" t="str">
        <f t="shared" ref="E51" si="18">E23</f>
        <v>APP)치맥아보트러플치킨2</v>
      </c>
      <c r="F51" s="223"/>
      <c r="G51" s="223"/>
      <c r="H51" s="223"/>
      <c r="I51" s="223"/>
      <c r="J51" s="223"/>
      <c r="K51" s="223"/>
      <c r="L51" s="296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241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100000000000001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 xml:space="preserve">경기도 남양주시 수동면 비룡로 958 
031)594-7533 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100000000000001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H14">
    <cfRule type="expression" dxfId="118" priority="3040">
      <formula>Q13:S26=0</formula>
    </cfRule>
  </conditionalFormatting>
  <conditionalFormatting sqref="AA15:AH16">
    <cfRule type="expression" dxfId="117" priority="5">
      <formula>Q15:S26=0</formula>
    </cfRule>
  </conditionalFormatting>
  <conditionalFormatting sqref="AA17:AH18">
    <cfRule type="expression" dxfId="116" priority="3038">
      <formula>Q17:S27=0</formula>
    </cfRule>
  </conditionalFormatting>
  <conditionalFormatting sqref="AA19:AH21">
    <cfRule type="expression" dxfId="115" priority="2">
      <formula>Q19:S28=0</formula>
    </cfRule>
  </conditionalFormatting>
  <conditionalFormatting sqref="AA22:AH22">
    <cfRule type="expression" dxfId="114" priority="2423">
      <formula>Q22:S29=0</formula>
    </cfRule>
  </conditionalFormatting>
  <conditionalFormatting sqref="AA23:AH23">
    <cfRule type="expression" dxfId="113" priority="7">
      <formula>Q23:S31=0</formula>
    </cfRule>
  </conditionalFormatting>
  <conditionalFormatting sqref="AA24:AH24">
    <cfRule type="expression" dxfId="112" priority="26">
      <formula>Q24:S24=0</formula>
    </cfRule>
  </conditionalFormatting>
  <conditionalFormatting sqref="AA41:AH51">
    <cfRule type="expression" dxfId="111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Q41:Q51 M36:M52 E40:E52 T41:T51 AA40:AA51" xr:uid="{7E70C74D-8C83-41B2-ADA8-A870A64D208B}"/>
  </dataValidations>
  <printOptions horizontalCentered="1"/>
  <pageMargins left="0" right="0" top="0.11811023622047245" bottom="0" header="0" footer="0"/>
  <pageSetup paperSize="9" scale="84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6EFB-07C5-43A8-ABF6-F2FBB617C516}">
  <sheetPr>
    <pageSetUpPr fitToPage="1"/>
  </sheetPr>
  <dimension ref="B1:AH54"/>
  <sheetViews>
    <sheetView zoomScale="70" zoomScaleNormal="70" workbookViewId="0">
      <selection activeCell="BT40" sqref="BT40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47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47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48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3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3</v>
      </c>
      <c r="X13" s="100"/>
      <c r="Y13" s="100"/>
      <c r="Z13" s="101"/>
      <c r="AA13" s="251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122</v>
      </c>
      <c r="R14" s="96"/>
      <c r="S14" s="97"/>
      <c r="T14" s="98">
        <f t="shared" ref="T14:T19" si="2">IFERROR(ROUNDDOWN(Q14/M14,0),"")</f>
        <v>4</v>
      </c>
      <c r="U14" s="84"/>
      <c r="V14" s="84"/>
      <c r="W14" s="99">
        <f t="shared" ref="W14:W19" si="3">IFERROR(Q14-(T14*M14),"")</f>
        <v>2</v>
      </c>
      <c r="X14" s="100"/>
      <c r="Y14" s="100"/>
      <c r="Z14" s="101"/>
      <c r="AA14" s="251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14</v>
      </c>
      <c r="R15" s="96"/>
      <c r="S15" s="97"/>
      <c r="T15" s="98">
        <f t="shared" si="2"/>
        <v>0</v>
      </c>
      <c r="U15" s="84"/>
      <c r="V15" s="84"/>
      <c r="W15" s="99">
        <f t="shared" si="3"/>
        <v>14</v>
      </c>
      <c r="X15" s="100"/>
      <c r="Y15" s="100"/>
      <c r="Z15" s="101"/>
      <c r="AA15" s="251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25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25</v>
      </c>
      <c r="X16" s="100"/>
      <c r="Y16" s="100"/>
      <c r="Z16" s="101"/>
      <c r="AA16" s="251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6</v>
      </c>
      <c r="R17" s="96"/>
      <c r="S17" s="97"/>
      <c r="T17" s="98">
        <f t="shared" si="2"/>
        <v>0</v>
      </c>
      <c r="U17" s="84"/>
      <c r="V17" s="84"/>
      <c r="W17" s="99">
        <f t="shared" si="3"/>
        <v>6</v>
      </c>
      <c r="X17" s="100"/>
      <c r="Y17" s="100"/>
      <c r="Z17" s="101"/>
      <c r="AA17" s="251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12</v>
      </c>
      <c r="R18" s="96"/>
      <c r="S18" s="97"/>
      <c r="T18" s="98">
        <f t="shared" si="2"/>
        <v>0</v>
      </c>
      <c r="U18" s="84"/>
      <c r="V18" s="84"/>
      <c r="W18" s="99">
        <f t="shared" si="3"/>
        <v>12</v>
      </c>
      <c r="X18" s="100"/>
      <c r="Y18" s="100"/>
      <c r="Z18" s="101"/>
      <c r="AA18" s="251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3</v>
      </c>
      <c r="R19" s="96"/>
      <c r="S19" s="97"/>
      <c r="T19" s="98">
        <f t="shared" si="2"/>
        <v>0</v>
      </c>
      <c r="U19" s="84"/>
      <c r="V19" s="84"/>
      <c r="W19" s="99">
        <f t="shared" si="3"/>
        <v>3</v>
      </c>
      <c r="X19" s="100"/>
      <c r="Y19" s="100"/>
      <c r="Z19" s="101"/>
      <c r="AA19" s="251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2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2</v>
      </c>
      <c r="X20" s="100"/>
      <c r="Y20" s="100"/>
      <c r="Z20" s="101"/>
      <c r="AA20" s="251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26</v>
      </c>
      <c r="R21" s="96"/>
      <c r="S21" s="97"/>
      <c r="T21" s="98">
        <f t="shared" ref="T21" si="8">IFERROR(ROUNDDOWN(Q21/M21,0),"")</f>
        <v>0</v>
      </c>
      <c r="U21" s="84"/>
      <c r="V21" s="84"/>
      <c r="W21" s="99">
        <f t="shared" ref="W21" si="9">IFERROR(Q21-(T21*M21),"")</f>
        <v>26</v>
      </c>
      <c r="X21" s="100"/>
      <c r="Y21" s="100"/>
      <c r="Z21" s="101"/>
      <c r="AA21" s="251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13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13</v>
      </c>
      <c r="X22" s="100"/>
      <c r="Y22" s="100"/>
      <c r="Z22" s="101"/>
      <c r="AA22" s="251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251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226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49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BGF로지스안성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경기도 안성시 대덕면 서동대로 4672-32 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3</v>
      </c>
      <c r="R41" s="216"/>
      <c r="S41" s="216"/>
      <c r="T41" s="217">
        <f>T13</f>
        <v>0</v>
      </c>
      <c r="U41" s="217"/>
      <c r="V41" s="217"/>
      <c r="W41" s="218">
        <f>W13</f>
        <v>3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351" t="str">
        <f t="shared" ref="E42:E50" si="12">E14</f>
        <v>도)리얼모짜치즈돈까스2</v>
      </c>
      <c r="F42" s="223"/>
      <c r="G42" s="223"/>
      <c r="H42" s="223"/>
      <c r="I42" s="223"/>
      <c r="J42" s="223"/>
      <c r="K42" s="223"/>
      <c r="L42" s="296"/>
      <c r="M42" s="83">
        <f t="shared" ref="M42:M51" si="13">M14</f>
        <v>30</v>
      </c>
      <c r="N42" s="83"/>
      <c r="O42" s="83"/>
      <c r="P42" s="83"/>
      <c r="Q42" s="216">
        <f t="shared" ref="Q42:Q51" si="14">Q14</f>
        <v>122</v>
      </c>
      <c r="R42" s="216"/>
      <c r="S42" s="216"/>
      <c r="T42" s="217">
        <f t="shared" ref="T42:T51" si="15">T14</f>
        <v>4</v>
      </c>
      <c r="U42" s="217"/>
      <c r="V42" s="217"/>
      <c r="W42" s="218">
        <f t="shared" ref="W42:W50" si="16">W14</f>
        <v>2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351" t="str">
        <f t="shared" si="12"/>
        <v>도)리얼치즈고구마돈까스2</v>
      </c>
      <c r="F43" s="223"/>
      <c r="G43" s="223"/>
      <c r="H43" s="223"/>
      <c r="I43" s="223"/>
      <c r="J43" s="223"/>
      <c r="K43" s="223"/>
      <c r="L43" s="296"/>
      <c r="M43" s="83">
        <f t="shared" si="13"/>
        <v>30</v>
      </c>
      <c r="N43" s="83"/>
      <c r="O43" s="83"/>
      <c r="P43" s="83"/>
      <c r="Q43" s="216">
        <f t="shared" si="14"/>
        <v>14</v>
      </c>
      <c r="R43" s="216"/>
      <c r="S43" s="216"/>
      <c r="T43" s="217">
        <f t="shared" si="15"/>
        <v>0</v>
      </c>
      <c r="U43" s="217"/>
      <c r="V43" s="217"/>
      <c r="W43" s="218">
        <f t="shared" si="16"/>
        <v>14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351" t="str">
        <f t="shared" si="12"/>
        <v>도)윙봉칠리탕수득템2</v>
      </c>
      <c r="F44" s="223"/>
      <c r="G44" s="223"/>
      <c r="H44" s="223"/>
      <c r="I44" s="223"/>
      <c r="J44" s="223"/>
      <c r="K44" s="223"/>
      <c r="L44" s="296"/>
      <c r="M44" s="83">
        <f t="shared" si="13"/>
        <v>36</v>
      </c>
      <c r="N44" s="83"/>
      <c r="O44" s="83"/>
      <c r="P44" s="83"/>
      <c r="Q44" s="216">
        <f t="shared" si="14"/>
        <v>25</v>
      </c>
      <c r="R44" s="216"/>
      <c r="S44" s="216"/>
      <c r="T44" s="217">
        <f t="shared" si="15"/>
        <v>0</v>
      </c>
      <c r="U44" s="217"/>
      <c r="V44" s="217"/>
      <c r="W44" s="218">
        <f t="shared" si="16"/>
        <v>25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351" t="str">
        <f t="shared" si="12"/>
        <v>도)찍먹윙봉2</v>
      </c>
      <c r="F45" s="223"/>
      <c r="G45" s="223"/>
      <c r="H45" s="223"/>
      <c r="I45" s="223"/>
      <c r="J45" s="223"/>
      <c r="K45" s="223"/>
      <c r="L45" s="296"/>
      <c r="M45" s="83">
        <f t="shared" si="13"/>
        <v>36</v>
      </c>
      <c r="N45" s="83"/>
      <c r="O45" s="83"/>
      <c r="P45" s="83"/>
      <c r="Q45" s="216">
        <f t="shared" si="14"/>
        <v>6</v>
      </c>
      <c r="R45" s="216"/>
      <c r="S45" s="216"/>
      <c r="T45" s="217">
        <f t="shared" si="15"/>
        <v>0</v>
      </c>
      <c r="U45" s="217"/>
      <c r="V45" s="217"/>
      <c r="W45" s="218">
        <f t="shared" si="16"/>
        <v>6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351" t="str">
        <f t="shared" si="12"/>
        <v>도)찍먹탕수육2</v>
      </c>
      <c r="F46" s="223"/>
      <c r="G46" s="223"/>
      <c r="H46" s="223"/>
      <c r="I46" s="223"/>
      <c r="J46" s="223"/>
      <c r="K46" s="223"/>
      <c r="L46" s="296"/>
      <c r="M46" s="83">
        <f t="shared" si="13"/>
        <v>36</v>
      </c>
      <c r="N46" s="83"/>
      <c r="O46" s="83"/>
      <c r="P46" s="83"/>
      <c r="Q46" s="216">
        <f t="shared" si="14"/>
        <v>12</v>
      </c>
      <c r="R46" s="216"/>
      <c r="S46" s="216"/>
      <c r="T46" s="217">
        <f t="shared" si="15"/>
        <v>0</v>
      </c>
      <c r="U46" s="217"/>
      <c r="V46" s="217"/>
      <c r="W46" s="218">
        <f t="shared" si="16"/>
        <v>12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351" t="str">
        <f t="shared" si="12"/>
        <v>도)치맥아보트러플치킨2</v>
      </c>
      <c r="F47" s="223"/>
      <c r="G47" s="223"/>
      <c r="H47" s="223"/>
      <c r="I47" s="223"/>
      <c r="J47" s="223"/>
      <c r="K47" s="223"/>
      <c r="L47" s="296"/>
      <c r="M47" s="83">
        <f t="shared" si="13"/>
        <v>32</v>
      </c>
      <c r="N47" s="83"/>
      <c r="O47" s="83"/>
      <c r="P47" s="83"/>
      <c r="Q47" s="216">
        <f t="shared" si="14"/>
        <v>3</v>
      </c>
      <c r="R47" s="216"/>
      <c r="S47" s="216"/>
      <c r="T47" s="217">
        <f t="shared" si="15"/>
        <v>0</v>
      </c>
      <c r="U47" s="217"/>
      <c r="V47" s="217"/>
      <c r="W47" s="218">
        <f t="shared" si="16"/>
        <v>3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351" t="str">
        <f t="shared" si="12"/>
        <v>도)치즈매콤닭강정감자2</v>
      </c>
      <c r="F48" s="223"/>
      <c r="G48" s="223"/>
      <c r="H48" s="223"/>
      <c r="I48" s="223"/>
      <c r="J48" s="223"/>
      <c r="K48" s="223"/>
      <c r="L48" s="296"/>
      <c r="M48" s="83">
        <f t="shared" si="13"/>
        <v>30</v>
      </c>
      <c r="N48" s="83"/>
      <c r="O48" s="83"/>
      <c r="P48" s="83"/>
      <c r="Q48" s="216">
        <f t="shared" si="14"/>
        <v>2</v>
      </c>
      <c r="R48" s="216"/>
      <c r="S48" s="216"/>
      <c r="T48" s="217">
        <f t="shared" si="15"/>
        <v>0</v>
      </c>
      <c r="U48" s="217"/>
      <c r="V48" s="217"/>
      <c r="W48" s="218">
        <f t="shared" si="16"/>
        <v>2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351" t="str">
        <f t="shared" si="12"/>
        <v>도)치즈청양간장닭강정2</v>
      </c>
      <c r="F49" s="223"/>
      <c r="G49" s="223"/>
      <c r="H49" s="223"/>
      <c r="I49" s="223"/>
      <c r="J49" s="223"/>
      <c r="K49" s="223"/>
      <c r="L49" s="296"/>
      <c r="M49" s="83">
        <f t="shared" si="13"/>
        <v>30</v>
      </c>
      <c r="N49" s="83"/>
      <c r="O49" s="83"/>
      <c r="P49" s="83"/>
      <c r="Q49" s="216">
        <f t="shared" si="14"/>
        <v>26</v>
      </c>
      <c r="R49" s="216"/>
      <c r="S49" s="216"/>
      <c r="T49" s="217">
        <f t="shared" si="15"/>
        <v>0</v>
      </c>
      <c r="U49" s="217"/>
      <c r="V49" s="217"/>
      <c r="W49" s="218">
        <f t="shared" si="16"/>
        <v>26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351" t="str">
        <f t="shared" si="12"/>
        <v>도)쿵야반반닭강정팩2</v>
      </c>
      <c r="F50" s="223"/>
      <c r="G50" s="223"/>
      <c r="H50" s="223"/>
      <c r="I50" s="223"/>
      <c r="J50" s="223"/>
      <c r="K50" s="223"/>
      <c r="L50" s="296"/>
      <c r="M50" s="83">
        <f t="shared" si="13"/>
        <v>36</v>
      </c>
      <c r="N50" s="83"/>
      <c r="O50" s="83"/>
      <c r="P50" s="83"/>
      <c r="Q50" s="216">
        <f t="shared" si="14"/>
        <v>13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13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351" t="str">
        <f t="shared" ref="E51" si="18">E23</f>
        <v>APP)치맥아보트러플치킨2</v>
      </c>
      <c r="F51" s="223"/>
      <c r="G51" s="223"/>
      <c r="H51" s="223"/>
      <c r="I51" s="223"/>
      <c r="J51" s="223"/>
      <c r="K51" s="223"/>
      <c r="L51" s="296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226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100000000000001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경기도 안성시 대덕면 서동대로 4672-32
 031)676-8311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100000000000001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A14">
    <cfRule type="expression" dxfId="110" priority="3036">
      <formula>Q13:S26=0</formula>
    </cfRule>
  </conditionalFormatting>
  <conditionalFormatting sqref="AA15:AA16">
    <cfRule type="expression" dxfId="109" priority="5">
      <formula>Q15:S26=0</formula>
    </cfRule>
  </conditionalFormatting>
  <conditionalFormatting sqref="AA17:AA18">
    <cfRule type="expression" dxfId="108" priority="3034">
      <formula>Q17:S27=0</formula>
    </cfRule>
  </conditionalFormatting>
  <conditionalFormatting sqref="AA19:AA21">
    <cfRule type="expression" dxfId="107" priority="2">
      <formula>Q19:S28=0</formula>
    </cfRule>
  </conditionalFormatting>
  <conditionalFormatting sqref="AA22">
    <cfRule type="expression" dxfId="106" priority="2420">
      <formula>Q22:S29=0</formula>
    </cfRule>
  </conditionalFormatting>
  <conditionalFormatting sqref="AA23">
    <cfRule type="expression" dxfId="105" priority="7">
      <formula>Q23:S31=0</formula>
    </cfRule>
  </conditionalFormatting>
  <conditionalFormatting sqref="AA24:AH24">
    <cfRule type="expression" dxfId="104" priority="23">
      <formula>Q24:S24=0</formula>
    </cfRule>
  </conditionalFormatting>
  <conditionalFormatting sqref="AA41:AH51">
    <cfRule type="expression" dxfId="103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Q41:Q51 M36:M52 E40:E52 T41:T51 AA40:AA51" xr:uid="{271DD5A7-8FA5-4091-AA23-2B723F5A32E0}"/>
  </dataValidations>
  <printOptions horizontalCentered="1"/>
  <pageMargins left="0" right="0" top="0.11811023622047245" bottom="0" header="0" footer="0"/>
  <pageSetup paperSize="9" scale="84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B9E5B-FD0B-46A5-9782-802E8EE17CF7}">
  <sheetPr>
    <pageSetUpPr fitToPage="1"/>
  </sheetPr>
  <dimension ref="B1:AH54"/>
  <sheetViews>
    <sheetView topLeftCell="A3" zoomScale="70" zoomScaleNormal="70" workbookViewId="0">
      <selection activeCell="BT40" sqref="BT40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5" width="1.44140625" style="1" customWidth="1"/>
    <col min="16" max="16" width="2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126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423" t="s">
        <v>126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127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12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12</v>
      </c>
      <c r="X13" s="100"/>
      <c r="Y13" s="100"/>
      <c r="Z13" s="101"/>
      <c r="AA13" s="251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195</v>
      </c>
      <c r="R14" s="96"/>
      <c r="S14" s="97"/>
      <c r="T14" s="98">
        <f t="shared" ref="T14:T19" si="2">IFERROR(ROUNDDOWN(Q14/M14,0),"")</f>
        <v>6</v>
      </c>
      <c r="U14" s="84"/>
      <c r="V14" s="84"/>
      <c r="W14" s="99">
        <f t="shared" ref="W14:W19" si="3">IFERROR(Q14-(T14*M14),"")</f>
        <v>15</v>
      </c>
      <c r="X14" s="100"/>
      <c r="Y14" s="100"/>
      <c r="Z14" s="101"/>
      <c r="AA14" s="251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17</v>
      </c>
      <c r="R15" s="96"/>
      <c r="S15" s="97"/>
      <c r="T15" s="98">
        <f t="shared" si="2"/>
        <v>0</v>
      </c>
      <c r="U15" s="84"/>
      <c r="V15" s="84"/>
      <c r="W15" s="99">
        <f t="shared" si="3"/>
        <v>17</v>
      </c>
      <c r="X15" s="100"/>
      <c r="Y15" s="100"/>
      <c r="Z15" s="101"/>
      <c r="AA15" s="251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49</v>
      </c>
      <c r="R16" s="96"/>
      <c r="S16" s="97"/>
      <c r="T16" s="98">
        <f t="shared" ref="T16" si="4">IFERROR(ROUNDDOWN(Q16/M16,0),"")</f>
        <v>1</v>
      </c>
      <c r="U16" s="84"/>
      <c r="V16" s="84"/>
      <c r="W16" s="99">
        <f t="shared" ref="W16" si="5">IFERROR(Q16-(T16*M16),"")</f>
        <v>13</v>
      </c>
      <c r="X16" s="100"/>
      <c r="Y16" s="100"/>
      <c r="Z16" s="101"/>
      <c r="AA16" s="251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5</v>
      </c>
      <c r="R17" s="96"/>
      <c r="S17" s="97"/>
      <c r="T17" s="98">
        <f t="shared" si="2"/>
        <v>0</v>
      </c>
      <c r="U17" s="84"/>
      <c r="V17" s="84"/>
      <c r="W17" s="99">
        <f t="shared" si="3"/>
        <v>5</v>
      </c>
      <c r="X17" s="100"/>
      <c r="Y17" s="100"/>
      <c r="Z17" s="101"/>
      <c r="AA17" s="251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8</v>
      </c>
      <c r="R18" s="96"/>
      <c r="S18" s="97"/>
      <c r="T18" s="98">
        <f t="shared" si="2"/>
        <v>0</v>
      </c>
      <c r="U18" s="84"/>
      <c r="V18" s="84"/>
      <c r="W18" s="99">
        <f t="shared" si="3"/>
        <v>8</v>
      </c>
      <c r="X18" s="100"/>
      <c r="Y18" s="100"/>
      <c r="Z18" s="101"/>
      <c r="AA18" s="251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19</v>
      </c>
      <c r="R19" s="96"/>
      <c r="S19" s="97"/>
      <c r="T19" s="98">
        <f t="shared" si="2"/>
        <v>0</v>
      </c>
      <c r="U19" s="84"/>
      <c r="V19" s="84"/>
      <c r="W19" s="99">
        <f t="shared" si="3"/>
        <v>19</v>
      </c>
      <c r="X19" s="100"/>
      <c r="Y19" s="100"/>
      <c r="Z19" s="101"/>
      <c r="AA19" s="251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3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3</v>
      </c>
      <c r="X20" s="100"/>
      <c r="Y20" s="100"/>
      <c r="Z20" s="101"/>
      <c r="AA20" s="251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49</v>
      </c>
      <c r="R21" s="96"/>
      <c r="S21" s="97"/>
      <c r="T21" s="98">
        <f t="shared" ref="T21" si="8">IFERROR(ROUNDDOWN(Q21/M21,0),"")</f>
        <v>1</v>
      </c>
      <c r="U21" s="84"/>
      <c r="V21" s="84"/>
      <c r="W21" s="99">
        <f t="shared" ref="W21" si="9">IFERROR(Q21-(T21*M21),"")</f>
        <v>19</v>
      </c>
      <c r="X21" s="100"/>
      <c r="Y21" s="100"/>
      <c r="Z21" s="101"/>
      <c r="AA21" s="251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9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9</v>
      </c>
      <c r="X22" s="100"/>
      <c r="Y22" s="100"/>
      <c r="Z22" s="101"/>
      <c r="AA22" s="251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251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366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8.75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tr">
        <f>G8</f>
        <v>인천광역시 서구 원창동 488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8.75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BGF로지스서인천1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인천광역시 서구 원창동 488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12</v>
      </c>
      <c r="R41" s="216"/>
      <c r="S41" s="216"/>
      <c r="T41" s="217">
        <f>T13</f>
        <v>0</v>
      </c>
      <c r="U41" s="217"/>
      <c r="V41" s="217"/>
      <c r="W41" s="218">
        <f>W13</f>
        <v>12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351" t="str">
        <f t="shared" ref="E42:E50" si="12">E14</f>
        <v>도)리얼모짜치즈돈까스2</v>
      </c>
      <c r="F42" s="223"/>
      <c r="G42" s="223"/>
      <c r="H42" s="223"/>
      <c r="I42" s="223"/>
      <c r="J42" s="223"/>
      <c r="K42" s="223"/>
      <c r="L42" s="296"/>
      <c r="M42" s="83">
        <f t="shared" ref="M42:M51" si="13">M14</f>
        <v>30</v>
      </c>
      <c r="N42" s="83"/>
      <c r="O42" s="83"/>
      <c r="P42" s="83"/>
      <c r="Q42" s="216">
        <f t="shared" ref="Q42:Q51" si="14">Q14</f>
        <v>195</v>
      </c>
      <c r="R42" s="216"/>
      <c r="S42" s="216"/>
      <c r="T42" s="217">
        <f t="shared" ref="T42:T51" si="15">T14</f>
        <v>6</v>
      </c>
      <c r="U42" s="217"/>
      <c r="V42" s="217"/>
      <c r="W42" s="218">
        <f t="shared" ref="W42:W50" si="16">W14</f>
        <v>15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351" t="str">
        <f t="shared" si="12"/>
        <v>도)리얼치즈고구마돈까스2</v>
      </c>
      <c r="F43" s="223"/>
      <c r="G43" s="223"/>
      <c r="H43" s="223"/>
      <c r="I43" s="223"/>
      <c r="J43" s="223"/>
      <c r="K43" s="223"/>
      <c r="L43" s="296"/>
      <c r="M43" s="83">
        <f t="shared" si="13"/>
        <v>30</v>
      </c>
      <c r="N43" s="83"/>
      <c r="O43" s="83"/>
      <c r="P43" s="83"/>
      <c r="Q43" s="216">
        <f t="shared" si="14"/>
        <v>17</v>
      </c>
      <c r="R43" s="216"/>
      <c r="S43" s="216"/>
      <c r="T43" s="217">
        <f t="shared" si="15"/>
        <v>0</v>
      </c>
      <c r="U43" s="217"/>
      <c r="V43" s="217"/>
      <c r="W43" s="218">
        <f t="shared" si="16"/>
        <v>17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351" t="str">
        <f t="shared" si="12"/>
        <v>도)윙봉칠리탕수득템2</v>
      </c>
      <c r="F44" s="223"/>
      <c r="G44" s="223"/>
      <c r="H44" s="223"/>
      <c r="I44" s="223"/>
      <c r="J44" s="223"/>
      <c r="K44" s="223"/>
      <c r="L44" s="296"/>
      <c r="M44" s="83">
        <f t="shared" si="13"/>
        <v>36</v>
      </c>
      <c r="N44" s="83"/>
      <c r="O44" s="83"/>
      <c r="P44" s="83"/>
      <c r="Q44" s="216">
        <f t="shared" si="14"/>
        <v>49</v>
      </c>
      <c r="R44" s="216"/>
      <c r="S44" s="216"/>
      <c r="T44" s="217">
        <f t="shared" si="15"/>
        <v>1</v>
      </c>
      <c r="U44" s="217"/>
      <c r="V44" s="217"/>
      <c r="W44" s="218">
        <f t="shared" si="16"/>
        <v>13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351" t="str">
        <f t="shared" si="12"/>
        <v>도)찍먹윙봉2</v>
      </c>
      <c r="F45" s="223"/>
      <c r="G45" s="223"/>
      <c r="H45" s="223"/>
      <c r="I45" s="223"/>
      <c r="J45" s="223"/>
      <c r="K45" s="223"/>
      <c r="L45" s="296"/>
      <c r="M45" s="83">
        <f t="shared" si="13"/>
        <v>36</v>
      </c>
      <c r="N45" s="83"/>
      <c r="O45" s="83"/>
      <c r="P45" s="83"/>
      <c r="Q45" s="216">
        <f t="shared" si="14"/>
        <v>5</v>
      </c>
      <c r="R45" s="216"/>
      <c r="S45" s="216"/>
      <c r="T45" s="217">
        <f t="shared" si="15"/>
        <v>0</v>
      </c>
      <c r="U45" s="217"/>
      <c r="V45" s="217"/>
      <c r="W45" s="218">
        <f t="shared" si="16"/>
        <v>5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351" t="str">
        <f t="shared" si="12"/>
        <v>도)찍먹탕수육2</v>
      </c>
      <c r="F46" s="223"/>
      <c r="G46" s="223"/>
      <c r="H46" s="223"/>
      <c r="I46" s="223"/>
      <c r="J46" s="223"/>
      <c r="K46" s="223"/>
      <c r="L46" s="296"/>
      <c r="M46" s="83">
        <f t="shared" si="13"/>
        <v>36</v>
      </c>
      <c r="N46" s="83"/>
      <c r="O46" s="83"/>
      <c r="P46" s="83"/>
      <c r="Q46" s="216">
        <f t="shared" si="14"/>
        <v>8</v>
      </c>
      <c r="R46" s="216"/>
      <c r="S46" s="216"/>
      <c r="T46" s="217">
        <f t="shared" si="15"/>
        <v>0</v>
      </c>
      <c r="U46" s="217"/>
      <c r="V46" s="217"/>
      <c r="W46" s="218">
        <f t="shared" si="16"/>
        <v>8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351" t="str">
        <f t="shared" si="12"/>
        <v>도)치맥아보트러플치킨2</v>
      </c>
      <c r="F47" s="223"/>
      <c r="G47" s="223"/>
      <c r="H47" s="223"/>
      <c r="I47" s="223"/>
      <c r="J47" s="223"/>
      <c r="K47" s="223"/>
      <c r="L47" s="296"/>
      <c r="M47" s="83">
        <f t="shared" si="13"/>
        <v>32</v>
      </c>
      <c r="N47" s="83"/>
      <c r="O47" s="83"/>
      <c r="P47" s="83"/>
      <c r="Q47" s="216">
        <f t="shared" si="14"/>
        <v>19</v>
      </c>
      <c r="R47" s="216"/>
      <c r="S47" s="216"/>
      <c r="T47" s="217">
        <f t="shared" si="15"/>
        <v>0</v>
      </c>
      <c r="U47" s="217"/>
      <c r="V47" s="217"/>
      <c r="W47" s="218">
        <f t="shared" si="16"/>
        <v>19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351" t="str">
        <f t="shared" si="12"/>
        <v>도)치즈매콤닭강정감자2</v>
      </c>
      <c r="F48" s="223"/>
      <c r="G48" s="223"/>
      <c r="H48" s="223"/>
      <c r="I48" s="223"/>
      <c r="J48" s="223"/>
      <c r="K48" s="223"/>
      <c r="L48" s="296"/>
      <c r="M48" s="83">
        <f t="shared" si="13"/>
        <v>30</v>
      </c>
      <c r="N48" s="83"/>
      <c r="O48" s="83"/>
      <c r="P48" s="83"/>
      <c r="Q48" s="216">
        <f t="shared" si="14"/>
        <v>3</v>
      </c>
      <c r="R48" s="216"/>
      <c r="S48" s="216"/>
      <c r="T48" s="217">
        <f t="shared" si="15"/>
        <v>0</v>
      </c>
      <c r="U48" s="217"/>
      <c r="V48" s="217"/>
      <c r="W48" s="218">
        <f t="shared" si="16"/>
        <v>3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351" t="str">
        <f t="shared" si="12"/>
        <v>도)치즈청양간장닭강정2</v>
      </c>
      <c r="F49" s="223"/>
      <c r="G49" s="223"/>
      <c r="H49" s="223"/>
      <c r="I49" s="223"/>
      <c r="J49" s="223"/>
      <c r="K49" s="223"/>
      <c r="L49" s="296"/>
      <c r="M49" s="83">
        <f t="shared" si="13"/>
        <v>30</v>
      </c>
      <c r="N49" s="83"/>
      <c r="O49" s="83"/>
      <c r="P49" s="83"/>
      <c r="Q49" s="216">
        <f t="shared" si="14"/>
        <v>49</v>
      </c>
      <c r="R49" s="216"/>
      <c r="S49" s="216"/>
      <c r="T49" s="217">
        <f t="shared" si="15"/>
        <v>1</v>
      </c>
      <c r="U49" s="217"/>
      <c r="V49" s="217"/>
      <c r="W49" s="218">
        <f t="shared" si="16"/>
        <v>19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351" t="str">
        <f t="shared" si="12"/>
        <v>도)쿵야반반닭강정팩2</v>
      </c>
      <c r="F50" s="223"/>
      <c r="G50" s="223"/>
      <c r="H50" s="223"/>
      <c r="I50" s="223"/>
      <c r="J50" s="223"/>
      <c r="K50" s="223"/>
      <c r="L50" s="296"/>
      <c r="M50" s="83">
        <f t="shared" si="13"/>
        <v>36</v>
      </c>
      <c r="N50" s="83"/>
      <c r="O50" s="83"/>
      <c r="P50" s="83"/>
      <c r="Q50" s="216">
        <f t="shared" si="14"/>
        <v>9</v>
      </c>
      <c r="R50" s="216"/>
      <c r="S50" s="216"/>
      <c r="T50" s="217">
        <f t="shared" si="15"/>
        <v>0</v>
      </c>
      <c r="U50" s="217"/>
      <c r="V50" s="217"/>
      <c r="W50" s="218">
        <f t="shared" si="16"/>
        <v>9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351" t="str">
        <f t="shared" ref="E51" si="18">E23</f>
        <v>APP)치맥아보트러플치킨2</v>
      </c>
      <c r="F51" s="223"/>
      <c r="G51" s="223"/>
      <c r="H51" s="223"/>
      <c r="I51" s="223"/>
      <c r="J51" s="223"/>
      <c r="K51" s="223"/>
      <c r="L51" s="296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366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8.75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인천광역시 서구 원창동 488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8.75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A14">
    <cfRule type="expression" dxfId="102" priority="3032">
      <formula>Q13:S26=0</formula>
    </cfRule>
  </conditionalFormatting>
  <conditionalFormatting sqref="AA15:AA16">
    <cfRule type="expression" dxfId="101" priority="5">
      <formula>Q15:S26=0</formula>
    </cfRule>
  </conditionalFormatting>
  <conditionalFormatting sqref="AA17:AA18">
    <cfRule type="expression" dxfId="100" priority="3030">
      <formula>Q17:S27=0</formula>
    </cfRule>
  </conditionalFormatting>
  <conditionalFormatting sqref="AA19:AA21">
    <cfRule type="expression" dxfId="99" priority="2">
      <formula>Q19:S28=0</formula>
    </cfRule>
  </conditionalFormatting>
  <conditionalFormatting sqref="AA22">
    <cfRule type="expression" dxfId="98" priority="2417">
      <formula>Q22:S29=0</formula>
    </cfRule>
  </conditionalFormatting>
  <conditionalFormatting sqref="AA23">
    <cfRule type="expression" dxfId="97" priority="7">
      <formula>Q23:S31=0</formula>
    </cfRule>
  </conditionalFormatting>
  <conditionalFormatting sqref="AA24:AH24">
    <cfRule type="expression" dxfId="96" priority="23">
      <formula>Q24:S24=0</formula>
    </cfRule>
  </conditionalFormatting>
  <conditionalFormatting sqref="AA41:AH51">
    <cfRule type="expression" dxfId="95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Q41:Q51 M36:M52 E40:E52 T41:T51 AA40:AA51" xr:uid="{4DCA2A13-074A-4F15-A464-FE14EC9CBD77}"/>
  </dataValidations>
  <printOptions horizontalCentered="1"/>
  <pageMargins left="0" right="0" top="0.11811023622047245" bottom="0" header="0" footer="0"/>
  <pageSetup paperSize="9" scale="83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DE95-67FF-411E-904D-28B4CFF956D2}">
  <sheetPr>
    <pageSetUpPr fitToPage="1"/>
  </sheetPr>
  <dimension ref="B1:AH54"/>
  <sheetViews>
    <sheetView topLeftCell="A8" zoomScale="70" zoomScaleNormal="70" workbookViewId="0">
      <selection activeCell="BT40" sqref="BT40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128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128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140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16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16</v>
      </c>
      <c r="X13" s="100"/>
      <c r="Y13" s="100"/>
      <c r="Z13" s="101"/>
      <c r="AA13" s="251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207</v>
      </c>
      <c r="R14" s="96"/>
      <c r="S14" s="97"/>
      <c r="T14" s="98">
        <f t="shared" ref="T14:T19" si="2">IFERROR(ROUNDDOWN(Q14/M14,0),"")</f>
        <v>6</v>
      </c>
      <c r="U14" s="84"/>
      <c r="V14" s="84"/>
      <c r="W14" s="99">
        <f t="shared" ref="W14:W19" si="3">IFERROR(Q14-(T14*M14),"")</f>
        <v>27</v>
      </c>
      <c r="X14" s="100"/>
      <c r="Y14" s="100"/>
      <c r="Z14" s="101"/>
      <c r="AA14" s="251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16</v>
      </c>
      <c r="R15" s="96"/>
      <c r="S15" s="97"/>
      <c r="T15" s="98">
        <f t="shared" si="2"/>
        <v>0</v>
      </c>
      <c r="U15" s="84"/>
      <c r="V15" s="84"/>
      <c r="W15" s="99">
        <f t="shared" si="3"/>
        <v>16</v>
      </c>
      <c r="X15" s="100"/>
      <c r="Y15" s="100"/>
      <c r="Z15" s="101"/>
      <c r="AA15" s="251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59</v>
      </c>
      <c r="R16" s="96"/>
      <c r="S16" s="97"/>
      <c r="T16" s="98">
        <f t="shared" ref="T16" si="4">IFERROR(ROUNDDOWN(Q16/M16,0),"")</f>
        <v>1</v>
      </c>
      <c r="U16" s="84"/>
      <c r="V16" s="84"/>
      <c r="W16" s="99">
        <f t="shared" ref="W16" si="5">IFERROR(Q16-(T16*M16),"")</f>
        <v>23</v>
      </c>
      <c r="X16" s="100"/>
      <c r="Y16" s="100"/>
      <c r="Z16" s="101"/>
      <c r="AA16" s="251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15</v>
      </c>
      <c r="R17" s="96"/>
      <c r="S17" s="97"/>
      <c r="T17" s="98">
        <f t="shared" si="2"/>
        <v>0</v>
      </c>
      <c r="U17" s="84"/>
      <c r="V17" s="84"/>
      <c r="W17" s="99">
        <f t="shared" si="3"/>
        <v>15</v>
      </c>
      <c r="X17" s="100"/>
      <c r="Y17" s="100"/>
      <c r="Z17" s="101"/>
      <c r="AA17" s="251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10</v>
      </c>
      <c r="R18" s="96"/>
      <c r="S18" s="97"/>
      <c r="T18" s="98">
        <f t="shared" si="2"/>
        <v>0</v>
      </c>
      <c r="U18" s="84"/>
      <c r="V18" s="84"/>
      <c r="W18" s="99">
        <f t="shared" si="3"/>
        <v>10</v>
      </c>
      <c r="X18" s="100"/>
      <c r="Y18" s="100"/>
      <c r="Z18" s="101"/>
      <c r="AA18" s="251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12</v>
      </c>
      <c r="R19" s="96"/>
      <c r="S19" s="97"/>
      <c r="T19" s="98">
        <f t="shared" si="2"/>
        <v>0</v>
      </c>
      <c r="U19" s="84"/>
      <c r="V19" s="84"/>
      <c r="W19" s="99">
        <f t="shared" si="3"/>
        <v>12</v>
      </c>
      <c r="X19" s="100"/>
      <c r="Y19" s="100"/>
      <c r="Z19" s="101"/>
      <c r="AA19" s="251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5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5</v>
      </c>
      <c r="X20" s="100"/>
      <c r="Y20" s="100"/>
      <c r="Z20" s="101"/>
      <c r="AA20" s="251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46</v>
      </c>
      <c r="R21" s="96"/>
      <c r="S21" s="97"/>
      <c r="T21" s="98">
        <f t="shared" ref="T21" si="8">IFERROR(ROUNDDOWN(Q21/M21,0),"")</f>
        <v>1</v>
      </c>
      <c r="U21" s="84"/>
      <c r="V21" s="84"/>
      <c r="W21" s="99">
        <f t="shared" ref="W21" si="9">IFERROR(Q21-(T21*M21),"")</f>
        <v>16</v>
      </c>
      <c r="X21" s="100"/>
      <c r="Y21" s="100"/>
      <c r="Z21" s="101"/>
      <c r="AA21" s="251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12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12</v>
      </c>
      <c r="X22" s="100"/>
      <c r="Y22" s="100"/>
      <c r="Z22" s="101"/>
      <c r="AA22" s="251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251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398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129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BGF로지스서인천2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인천 서구 원창동 488, 1층 서인천2센터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16</v>
      </c>
      <c r="R41" s="216"/>
      <c r="S41" s="216"/>
      <c r="T41" s="217">
        <f>T13</f>
        <v>0</v>
      </c>
      <c r="U41" s="217"/>
      <c r="V41" s="217"/>
      <c r="W41" s="218">
        <f>W13</f>
        <v>16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351" t="str">
        <f t="shared" ref="E42:E50" si="12">E14</f>
        <v>도)리얼모짜치즈돈까스2</v>
      </c>
      <c r="F42" s="223"/>
      <c r="G42" s="223"/>
      <c r="H42" s="223"/>
      <c r="I42" s="223"/>
      <c r="J42" s="223"/>
      <c r="K42" s="223"/>
      <c r="L42" s="296"/>
      <c r="M42" s="83">
        <f t="shared" ref="M42:M51" si="13">M14</f>
        <v>30</v>
      </c>
      <c r="N42" s="83"/>
      <c r="O42" s="83"/>
      <c r="P42" s="83"/>
      <c r="Q42" s="216">
        <f t="shared" ref="Q42:Q51" si="14">Q14</f>
        <v>207</v>
      </c>
      <c r="R42" s="216"/>
      <c r="S42" s="216"/>
      <c r="T42" s="217">
        <f t="shared" ref="T42:T51" si="15">T14</f>
        <v>6</v>
      </c>
      <c r="U42" s="217"/>
      <c r="V42" s="217"/>
      <c r="W42" s="218">
        <f t="shared" ref="W42:W50" si="16">W14</f>
        <v>27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351" t="str">
        <f t="shared" si="12"/>
        <v>도)리얼치즈고구마돈까스2</v>
      </c>
      <c r="F43" s="223"/>
      <c r="G43" s="223"/>
      <c r="H43" s="223"/>
      <c r="I43" s="223"/>
      <c r="J43" s="223"/>
      <c r="K43" s="223"/>
      <c r="L43" s="296"/>
      <c r="M43" s="83">
        <f t="shared" si="13"/>
        <v>30</v>
      </c>
      <c r="N43" s="83"/>
      <c r="O43" s="83"/>
      <c r="P43" s="83"/>
      <c r="Q43" s="216">
        <f t="shared" si="14"/>
        <v>16</v>
      </c>
      <c r="R43" s="216"/>
      <c r="S43" s="216"/>
      <c r="T43" s="217">
        <f t="shared" si="15"/>
        <v>0</v>
      </c>
      <c r="U43" s="217"/>
      <c r="V43" s="217"/>
      <c r="W43" s="218">
        <f t="shared" si="16"/>
        <v>16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351" t="str">
        <f t="shared" si="12"/>
        <v>도)윙봉칠리탕수득템2</v>
      </c>
      <c r="F44" s="223"/>
      <c r="G44" s="223"/>
      <c r="H44" s="223"/>
      <c r="I44" s="223"/>
      <c r="J44" s="223"/>
      <c r="K44" s="223"/>
      <c r="L44" s="296"/>
      <c r="M44" s="83">
        <f t="shared" si="13"/>
        <v>36</v>
      </c>
      <c r="N44" s="83"/>
      <c r="O44" s="83"/>
      <c r="P44" s="83"/>
      <c r="Q44" s="216">
        <f t="shared" si="14"/>
        <v>59</v>
      </c>
      <c r="R44" s="216"/>
      <c r="S44" s="216"/>
      <c r="T44" s="217">
        <f t="shared" si="15"/>
        <v>1</v>
      </c>
      <c r="U44" s="217"/>
      <c r="V44" s="217"/>
      <c r="W44" s="218">
        <f t="shared" si="16"/>
        <v>23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351" t="str">
        <f t="shared" si="12"/>
        <v>도)찍먹윙봉2</v>
      </c>
      <c r="F45" s="223"/>
      <c r="G45" s="223"/>
      <c r="H45" s="223"/>
      <c r="I45" s="223"/>
      <c r="J45" s="223"/>
      <c r="K45" s="223"/>
      <c r="L45" s="296"/>
      <c r="M45" s="83">
        <f t="shared" si="13"/>
        <v>36</v>
      </c>
      <c r="N45" s="83"/>
      <c r="O45" s="83"/>
      <c r="P45" s="83"/>
      <c r="Q45" s="216">
        <f t="shared" si="14"/>
        <v>15</v>
      </c>
      <c r="R45" s="216"/>
      <c r="S45" s="216"/>
      <c r="T45" s="217">
        <f t="shared" si="15"/>
        <v>0</v>
      </c>
      <c r="U45" s="217"/>
      <c r="V45" s="217"/>
      <c r="W45" s="218">
        <f t="shared" si="16"/>
        <v>15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351" t="str">
        <f t="shared" si="12"/>
        <v>도)찍먹탕수육2</v>
      </c>
      <c r="F46" s="223"/>
      <c r="G46" s="223"/>
      <c r="H46" s="223"/>
      <c r="I46" s="223"/>
      <c r="J46" s="223"/>
      <c r="K46" s="223"/>
      <c r="L46" s="296"/>
      <c r="M46" s="83">
        <f t="shared" si="13"/>
        <v>36</v>
      </c>
      <c r="N46" s="83"/>
      <c r="O46" s="83"/>
      <c r="P46" s="83"/>
      <c r="Q46" s="216">
        <f t="shared" si="14"/>
        <v>10</v>
      </c>
      <c r="R46" s="216"/>
      <c r="S46" s="216"/>
      <c r="T46" s="217">
        <f t="shared" si="15"/>
        <v>0</v>
      </c>
      <c r="U46" s="217"/>
      <c r="V46" s="217"/>
      <c r="W46" s="218">
        <f t="shared" si="16"/>
        <v>10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351" t="str">
        <f t="shared" si="12"/>
        <v>도)치맥아보트러플치킨2</v>
      </c>
      <c r="F47" s="223"/>
      <c r="G47" s="223"/>
      <c r="H47" s="223"/>
      <c r="I47" s="223"/>
      <c r="J47" s="223"/>
      <c r="K47" s="223"/>
      <c r="L47" s="296"/>
      <c r="M47" s="83">
        <f t="shared" si="13"/>
        <v>32</v>
      </c>
      <c r="N47" s="83"/>
      <c r="O47" s="83"/>
      <c r="P47" s="83"/>
      <c r="Q47" s="216">
        <f t="shared" si="14"/>
        <v>12</v>
      </c>
      <c r="R47" s="216"/>
      <c r="S47" s="216"/>
      <c r="T47" s="217">
        <f t="shared" si="15"/>
        <v>0</v>
      </c>
      <c r="U47" s="217"/>
      <c r="V47" s="217"/>
      <c r="W47" s="218">
        <f t="shared" si="16"/>
        <v>12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351" t="str">
        <f t="shared" si="12"/>
        <v>도)치즈매콤닭강정감자2</v>
      </c>
      <c r="F48" s="223"/>
      <c r="G48" s="223"/>
      <c r="H48" s="223"/>
      <c r="I48" s="223"/>
      <c r="J48" s="223"/>
      <c r="K48" s="223"/>
      <c r="L48" s="296"/>
      <c r="M48" s="83">
        <f t="shared" si="13"/>
        <v>30</v>
      </c>
      <c r="N48" s="83"/>
      <c r="O48" s="83"/>
      <c r="P48" s="83"/>
      <c r="Q48" s="216">
        <f t="shared" si="14"/>
        <v>5</v>
      </c>
      <c r="R48" s="216"/>
      <c r="S48" s="216"/>
      <c r="T48" s="217">
        <f t="shared" si="15"/>
        <v>0</v>
      </c>
      <c r="U48" s="217"/>
      <c r="V48" s="217"/>
      <c r="W48" s="218">
        <f t="shared" si="16"/>
        <v>5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351" t="str">
        <f t="shared" si="12"/>
        <v>도)치즈청양간장닭강정2</v>
      </c>
      <c r="F49" s="223"/>
      <c r="G49" s="223"/>
      <c r="H49" s="223"/>
      <c r="I49" s="223"/>
      <c r="J49" s="223"/>
      <c r="K49" s="223"/>
      <c r="L49" s="296"/>
      <c r="M49" s="83">
        <f t="shared" si="13"/>
        <v>30</v>
      </c>
      <c r="N49" s="83"/>
      <c r="O49" s="83"/>
      <c r="P49" s="83"/>
      <c r="Q49" s="216">
        <f t="shared" si="14"/>
        <v>46</v>
      </c>
      <c r="R49" s="216"/>
      <c r="S49" s="216"/>
      <c r="T49" s="217">
        <f t="shared" si="15"/>
        <v>1</v>
      </c>
      <c r="U49" s="217"/>
      <c r="V49" s="217"/>
      <c r="W49" s="218">
        <f t="shared" si="16"/>
        <v>16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351" t="str">
        <f t="shared" si="12"/>
        <v>도)쿵야반반닭강정팩2</v>
      </c>
      <c r="F50" s="223"/>
      <c r="G50" s="223"/>
      <c r="H50" s="223"/>
      <c r="I50" s="223"/>
      <c r="J50" s="223"/>
      <c r="K50" s="223"/>
      <c r="L50" s="296"/>
      <c r="M50" s="83">
        <f t="shared" si="13"/>
        <v>36</v>
      </c>
      <c r="N50" s="83"/>
      <c r="O50" s="83"/>
      <c r="P50" s="83"/>
      <c r="Q50" s="216">
        <f t="shared" si="14"/>
        <v>12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12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351" t="str">
        <f t="shared" ref="E51" si="18">E23</f>
        <v>APP)치맥아보트러플치킨2</v>
      </c>
      <c r="F51" s="223"/>
      <c r="G51" s="223"/>
      <c r="H51" s="223"/>
      <c r="I51" s="223"/>
      <c r="J51" s="223"/>
      <c r="K51" s="223"/>
      <c r="L51" s="296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398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100000000000001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인천 서구 원창동 488, 1층 서인천2센터
032-724-9051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100000000000001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A14">
    <cfRule type="expression" dxfId="94" priority="3028">
      <formula>Q13:S26=0</formula>
    </cfRule>
  </conditionalFormatting>
  <conditionalFormatting sqref="AA15:AA16">
    <cfRule type="expression" dxfId="93" priority="5">
      <formula>Q15:S26=0</formula>
    </cfRule>
  </conditionalFormatting>
  <conditionalFormatting sqref="AA17:AA18">
    <cfRule type="expression" dxfId="92" priority="3026">
      <formula>Q17:S27=0</formula>
    </cfRule>
  </conditionalFormatting>
  <conditionalFormatting sqref="AA19:AA21">
    <cfRule type="expression" dxfId="91" priority="2">
      <formula>Q19:S28=0</formula>
    </cfRule>
  </conditionalFormatting>
  <conditionalFormatting sqref="AA22">
    <cfRule type="expression" dxfId="90" priority="2414">
      <formula>Q22:S29=0</formula>
    </cfRule>
  </conditionalFormatting>
  <conditionalFormatting sqref="AA23">
    <cfRule type="expression" dxfId="89" priority="7">
      <formula>Q23:S31=0</formula>
    </cfRule>
  </conditionalFormatting>
  <conditionalFormatting sqref="AA24:AH24">
    <cfRule type="expression" dxfId="88" priority="23">
      <formula>Q24:S24=0</formula>
    </cfRule>
  </conditionalFormatting>
  <conditionalFormatting sqref="AA41:AH51">
    <cfRule type="expression" dxfId="87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L25 C14:D24 Q13:Q24 E12:E24 M8:M25 AA12:AA23 B12:B26 T13:T24 B40:B53 C42:D51 Q41:Q51 M36:M52 E40:E52 T41:T51 AA40:AA51" xr:uid="{FC580FC1-E2C3-4FA2-B24F-36D4CEB6A2A1}"/>
  </dataValidations>
  <printOptions horizontalCentered="1"/>
  <pageMargins left="0" right="0" top="0.11811023622047245" bottom="0" header="0" footer="0"/>
  <pageSetup paperSize="9" scale="84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4D8F-24E8-441A-86BD-FABEE17FAAFE}">
  <sheetPr>
    <pageSetUpPr fitToPage="1"/>
  </sheetPr>
  <dimension ref="B1:AH54"/>
  <sheetViews>
    <sheetView topLeftCell="A15" zoomScale="70" zoomScaleNormal="70" workbookViewId="0">
      <selection activeCell="BT40" sqref="BT40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67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67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68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5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5</v>
      </c>
      <c r="X13" s="100"/>
      <c r="Y13" s="100"/>
      <c r="Z13" s="101"/>
      <c r="AA13" s="251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185</v>
      </c>
      <c r="R14" s="96"/>
      <c r="S14" s="97"/>
      <c r="T14" s="98">
        <f t="shared" ref="T14:T19" si="2">IFERROR(ROUNDDOWN(Q14/M14,0),"")</f>
        <v>6</v>
      </c>
      <c r="U14" s="84"/>
      <c r="V14" s="84"/>
      <c r="W14" s="99">
        <f t="shared" ref="W14:W19" si="3">IFERROR(Q14-(T14*M14),"")</f>
        <v>5</v>
      </c>
      <c r="X14" s="100"/>
      <c r="Y14" s="100"/>
      <c r="Z14" s="101"/>
      <c r="AA14" s="251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9</v>
      </c>
      <c r="R15" s="96"/>
      <c r="S15" s="97"/>
      <c r="T15" s="98">
        <f t="shared" si="2"/>
        <v>0</v>
      </c>
      <c r="U15" s="84"/>
      <c r="V15" s="84"/>
      <c r="W15" s="99">
        <f t="shared" si="3"/>
        <v>9</v>
      </c>
      <c r="X15" s="100"/>
      <c r="Y15" s="100"/>
      <c r="Z15" s="101"/>
      <c r="AA15" s="251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25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25</v>
      </c>
      <c r="X16" s="100"/>
      <c r="Y16" s="100"/>
      <c r="Z16" s="101"/>
      <c r="AA16" s="251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1</v>
      </c>
      <c r="R17" s="96"/>
      <c r="S17" s="97"/>
      <c r="T17" s="98">
        <f t="shared" si="2"/>
        <v>0</v>
      </c>
      <c r="U17" s="84"/>
      <c r="V17" s="84"/>
      <c r="W17" s="99">
        <f t="shared" si="3"/>
        <v>1</v>
      </c>
      <c r="X17" s="100"/>
      <c r="Y17" s="100"/>
      <c r="Z17" s="101"/>
      <c r="AA17" s="251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2</v>
      </c>
      <c r="R18" s="96"/>
      <c r="S18" s="97"/>
      <c r="T18" s="98">
        <f t="shared" si="2"/>
        <v>0</v>
      </c>
      <c r="U18" s="84"/>
      <c r="V18" s="84"/>
      <c r="W18" s="99">
        <f t="shared" si="3"/>
        <v>2</v>
      </c>
      <c r="X18" s="100"/>
      <c r="Y18" s="100"/>
      <c r="Z18" s="101"/>
      <c r="AA18" s="251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5</v>
      </c>
      <c r="R19" s="96"/>
      <c r="S19" s="97"/>
      <c r="T19" s="98">
        <f t="shared" si="2"/>
        <v>0</v>
      </c>
      <c r="U19" s="84"/>
      <c r="V19" s="84"/>
      <c r="W19" s="99">
        <f t="shared" si="3"/>
        <v>5</v>
      </c>
      <c r="X19" s="100"/>
      <c r="Y19" s="100"/>
      <c r="Z19" s="101"/>
      <c r="AA19" s="251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3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3</v>
      </c>
      <c r="X20" s="100"/>
      <c r="Y20" s="100"/>
      <c r="Z20" s="101"/>
      <c r="AA20" s="251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26</v>
      </c>
      <c r="R21" s="96"/>
      <c r="S21" s="97"/>
      <c r="T21" s="98">
        <f t="shared" ref="T21" si="8">IFERROR(ROUNDDOWN(Q21/M21,0),"")</f>
        <v>0</v>
      </c>
      <c r="U21" s="84"/>
      <c r="V21" s="84"/>
      <c r="W21" s="99">
        <f t="shared" ref="W21" si="9">IFERROR(Q21-(T21*M21),"")</f>
        <v>26</v>
      </c>
      <c r="X21" s="100"/>
      <c r="Y21" s="100"/>
      <c r="Z21" s="101"/>
      <c r="AA21" s="251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14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14</v>
      </c>
      <c r="X22" s="100"/>
      <c r="Y22" s="100"/>
      <c r="Z22" s="101"/>
      <c r="AA22" s="251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251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275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129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BGF로지스진천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충청북도 진천군 덕산면 
산수산단3로 66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5</v>
      </c>
      <c r="R41" s="216"/>
      <c r="S41" s="216"/>
      <c r="T41" s="217">
        <f>T13</f>
        <v>0</v>
      </c>
      <c r="U41" s="217"/>
      <c r="V41" s="217"/>
      <c r="W41" s="218">
        <f>W13</f>
        <v>5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351" t="str">
        <f t="shared" ref="E42:E50" si="12">E14</f>
        <v>도)리얼모짜치즈돈까스2</v>
      </c>
      <c r="F42" s="223"/>
      <c r="G42" s="223"/>
      <c r="H42" s="223"/>
      <c r="I42" s="223"/>
      <c r="J42" s="223"/>
      <c r="K42" s="223"/>
      <c r="L42" s="296"/>
      <c r="M42" s="83">
        <f t="shared" ref="M42:M51" si="13">M14</f>
        <v>30</v>
      </c>
      <c r="N42" s="83"/>
      <c r="O42" s="83"/>
      <c r="P42" s="83"/>
      <c r="Q42" s="216">
        <f t="shared" ref="Q42:Q51" si="14">Q14</f>
        <v>185</v>
      </c>
      <c r="R42" s="216"/>
      <c r="S42" s="216"/>
      <c r="T42" s="217">
        <f t="shared" ref="T42:T51" si="15">T14</f>
        <v>6</v>
      </c>
      <c r="U42" s="217"/>
      <c r="V42" s="217"/>
      <c r="W42" s="218">
        <f t="shared" ref="W42:W50" si="16">W14</f>
        <v>5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351" t="str">
        <f t="shared" si="12"/>
        <v>도)리얼치즈고구마돈까스2</v>
      </c>
      <c r="F43" s="223"/>
      <c r="G43" s="223"/>
      <c r="H43" s="223"/>
      <c r="I43" s="223"/>
      <c r="J43" s="223"/>
      <c r="K43" s="223"/>
      <c r="L43" s="296"/>
      <c r="M43" s="83">
        <f t="shared" si="13"/>
        <v>30</v>
      </c>
      <c r="N43" s="83"/>
      <c r="O43" s="83"/>
      <c r="P43" s="83"/>
      <c r="Q43" s="216">
        <f t="shared" si="14"/>
        <v>9</v>
      </c>
      <c r="R43" s="216"/>
      <c r="S43" s="216"/>
      <c r="T43" s="217">
        <f t="shared" si="15"/>
        <v>0</v>
      </c>
      <c r="U43" s="217"/>
      <c r="V43" s="217"/>
      <c r="W43" s="218">
        <f t="shared" si="16"/>
        <v>9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351" t="str">
        <f t="shared" si="12"/>
        <v>도)윙봉칠리탕수득템2</v>
      </c>
      <c r="F44" s="223"/>
      <c r="G44" s="223"/>
      <c r="H44" s="223"/>
      <c r="I44" s="223"/>
      <c r="J44" s="223"/>
      <c r="K44" s="223"/>
      <c r="L44" s="296"/>
      <c r="M44" s="83">
        <f t="shared" si="13"/>
        <v>36</v>
      </c>
      <c r="N44" s="83"/>
      <c r="O44" s="83"/>
      <c r="P44" s="83"/>
      <c r="Q44" s="216">
        <f t="shared" si="14"/>
        <v>25</v>
      </c>
      <c r="R44" s="216"/>
      <c r="S44" s="216"/>
      <c r="T44" s="217">
        <f t="shared" si="15"/>
        <v>0</v>
      </c>
      <c r="U44" s="217"/>
      <c r="V44" s="217"/>
      <c r="W44" s="218">
        <f t="shared" si="16"/>
        <v>25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351" t="str">
        <f t="shared" si="12"/>
        <v>도)찍먹윙봉2</v>
      </c>
      <c r="F45" s="223"/>
      <c r="G45" s="223"/>
      <c r="H45" s="223"/>
      <c r="I45" s="223"/>
      <c r="J45" s="223"/>
      <c r="K45" s="223"/>
      <c r="L45" s="296"/>
      <c r="M45" s="83">
        <f t="shared" si="13"/>
        <v>36</v>
      </c>
      <c r="N45" s="83"/>
      <c r="O45" s="83"/>
      <c r="P45" s="83"/>
      <c r="Q45" s="216">
        <f t="shared" si="14"/>
        <v>1</v>
      </c>
      <c r="R45" s="216"/>
      <c r="S45" s="216"/>
      <c r="T45" s="217">
        <f t="shared" si="15"/>
        <v>0</v>
      </c>
      <c r="U45" s="217"/>
      <c r="V45" s="217"/>
      <c r="W45" s="218">
        <f t="shared" si="16"/>
        <v>1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351" t="str">
        <f t="shared" si="12"/>
        <v>도)찍먹탕수육2</v>
      </c>
      <c r="F46" s="223"/>
      <c r="G46" s="223"/>
      <c r="H46" s="223"/>
      <c r="I46" s="223"/>
      <c r="J46" s="223"/>
      <c r="K46" s="223"/>
      <c r="L46" s="296"/>
      <c r="M46" s="83">
        <f t="shared" si="13"/>
        <v>36</v>
      </c>
      <c r="N46" s="83"/>
      <c r="O46" s="83"/>
      <c r="P46" s="83"/>
      <c r="Q46" s="216">
        <f t="shared" si="14"/>
        <v>2</v>
      </c>
      <c r="R46" s="216"/>
      <c r="S46" s="216"/>
      <c r="T46" s="217">
        <f t="shared" si="15"/>
        <v>0</v>
      </c>
      <c r="U46" s="217"/>
      <c r="V46" s="217"/>
      <c r="W46" s="218">
        <f t="shared" si="16"/>
        <v>2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351" t="str">
        <f t="shared" si="12"/>
        <v>도)치맥아보트러플치킨2</v>
      </c>
      <c r="F47" s="223"/>
      <c r="G47" s="223"/>
      <c r="H47" s="223"/>
      <c r="I47" s="223"/>
      <c r="J47" s="223"/>
      <c r="K47" s="223"/>
      <c r="L47" s="296"/>
      <c r="M47" s="83">
        <f t="shared" si="13"/>
        <v>32</v>
      </c>
      <c r="N47" s="83"/>
      <c r="O47" s="83"/>
      <c r="P47" s="83"/>
      <c r="Q47" s="216">
        <f t="shared" si="14"/>
        <v>5</v>
      </c>
      <c r="R47" s="216"/>
      <c r="S47" s="216"/>
      <c r="T47" s="217">
        <f t="shared" si="15"/>
        <v>0</v>
      </c>
      <c r="U47" s="217"/>
      <c r="V47" s="217"/>
      <c r="W47" s="218">
        <f t="shared" si="16"/>
        <v>5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351" t="str">
        <f t="shared" si="12"/>
        <v>도)치즈매콤닭강정감자2</v>
      </c>
      <c r="F48" s="223"/>
      <c r="G48" s="223"/>
      <c r="H48" s="223"/>
      <c r="I48" s="223"/>
      <c r="J48" s="223"/>
      <c r="K48" s="223"/>
      <c r="L48" s="296"/>
      <c r="M48" s="83">
        <f t="shared" si="13"/>
        <v>30</v>
      </c>
      <c r="N48" s="83"/>
      <c r="O48" s="83"/>
      <c r="P48" s="83"/>
      <c r="Q48" s="216">
        <f t="shared" si="14"/>
        <v>3</v>
      </c>
      <c r="R48" s="216"/>
      <c r="S48" s="216"/>
      <c r="T48" s="217">
        <f t="shared" si="15"/>
        <v>0</v>
      </c>
      <c r="U48" s="217"/>
      <c r="V48" s="217"/>
      <c r="W48" s="218">
        <f t="shared" si="16"/>
        <v>3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351" t="str">
        <f t="shared" si="12"/>
        <v>도)치즈청양간장닭강정2</v>
      </c>
      <c r="F49" s="223"/>
      <c r="G49" s="223"/>
      <c r="H49" s="223"/>
      <c r="I49" s="223"/>
      <c r="J49" s="223"/>
      <c r="K49" s="223"/>
      <c r="L49" s="296"/>
      <c r="M49" s="83">
        <f t="shared" si="13"/>
        <v>30</v>
      </c>
      <c r="N49" s="83"/>
      <c r="O49" s="83"/>
      <c r="P49" s="83"/>
      <c r="Q49" s="216">
        <f t="shared" si="14"/>
        <v>26</v>
      </c>
      <c r="R49" s="216"/>
      <c r="S49" s="216"/>
      <c r="T49" s="217">
        <f t="shared" si="15"/>
        <v>0</v>
      </c>
      <c r="U49" s="217"/>
      <c r="V49" s="217"/>
      <c r="W49" s="218">
        <f t="shared" si="16"/>
        <v>26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351" t="str">
        <f t="shared" si="12"/>
        <v>도)쿵야반반닭강정팩2</v>
      </c>
      <c r="F50" s="223"/>
      <c r="G50" s="223"/>
      <c r="H50" s="223"/>
      <c r="I50" s="223"/>
      <c r="J50" s="223"/>
      <c r="K50" s="223"/>
      <c r="L50" s="296"/>
      <c r="M50" s="83">
        <f t="shared" si="13"/>
        <v>36</v>
      </c>
      <c r="N50" s="83"/>
      <c r="O50" s="83"/>
      <c r="P50" s="83"/>
      <c r="Q50" s="216">
        <f t="shared" si="14"/>
        <v>14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14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351" t="str">
        <f t="shared" ref="E51" si="18">E23</f>
        <v>APP)치맥아보트러플치킨2</v>
      </c>
      <c r="F51" s="223"/>
      <c r="G51" s="223"/>
      <c r="H51" s="223"/>
      <c r="I51" s="223"/>
      <c r="J51" s="223"/>
      <c r="K51" s="223"/>
      <c r="L51" s="296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275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100000000000001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인천 서구 원창동 488, 1층 서인천2센터
032-724-9051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100000000000001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5:L45"/>
    <mergeCell ref="M45:P45"/>
    <mergeCell ref="Q45:S45"/>
    <mergeCell ref="T45:V45"/>
    <mergeCell ref="W45:Z45"/>
    <mergeCell ref="Q49:S49"/>
    <mergeCell ref="T49:V49"/>
    <mergeCell ref="W49:Z49"/>
    <mergeCell ref="AA49:AH49"/>
    <mergeCell ref="E47:L47"/>
    <mergeCell ref="M47:P47"/>
    <mergeCell ref="Q47:S47"/>
    <mergeCell ref="T47:V47"/>
    <mergeCell ref="W47:Z47"/>
    <mergeCell ref="AA47:AH47"/>
    <mergeCell ref="E49:L49"/>
    <mergeCell ref="M49:P49"/>
    <mergeCell ref="AA45:AH45"/>
    <mergeCell ref="E48:L48"/>
    <mergeCell ref="M48:P48"/>
    <mergeCell ref="Q48:S48"/>
    <mergeCell ref="T48:V48"/>
    <mergeCell ref="W48:Z48"/>
    <mergeCell ref="AA48:AH48"/>
    <mergeCell ref="B53:V54"/>
    <mergeCell ref="W53:AH54"/>
    <mergeCell ref="E51:L51"/>
    <mergeCell ref="M51:P51"/>
    <mergeCell ref="Q51:S51"/>
    <mergeCell ref="T51:V51"/>
    <mergeCell ref="W51:Z51"/>
    <mergeCell ref="AA51:AH51"/>
    <mergeCell ref="M46:P46"/>
    <mergeCell ref="Q46:S46"/>
    <mergeCell ref="T46:V46"/>
    <mergeCell ref="W46:Z46"/>
    <mergeCell ref="AA46:AH46"/>
    <mergeCell ref="E46:L46"/>
    <mergeCell ref="B52:D52"/>
    <mergeCell ref="E52:L52"/>
    <mergeCell ref="M52:Z52"/>
    <mergeCell ref="AA52:AH52"/>
    <mergeCell ref="E50:L50"/>
    <mergeCell ref="M50:P50"/>
    <mergeCell ref="Q50:S50"/>
    <mergeCell ref="T50:V50"/>
    <mergeCell ref="W50:Z50"/>
    <mergeCell ref="AA50:AH50"/>
    <mergeCell ref="AA43:AH43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1:AH41"/>
    <mergeCell ref="AA42:AH42"/>
    <mergeCell ref="E43:L43"/>
    <mergeCell ref="M43:P43"/>
    <mergeCell ref="Q43:S43"/>
    <mergeCell ref="T43:V43"/>
    <mergeCell ref="E44:L44"/>
    <mergeCell ref="M44:P44"/>
    <mergeCell ref="Q44:S44"/>
    <mergeCell ref="T44:V44"/>
    <mergeCell ref="W44:Z44"/>
    <mergeCell ref="E40:L40"/>
    <mergeCell ref="M40:P40"/>
    <mergeCell ref="Q40:S40"/>
    <mergeCell ref="T40:V40"/>
    <mergeCell ref="W40:Z40"/>
    <mergeCell ref="W43:Z43"/>
    <mergeCell ref="AA40:AH40"/>
    <mergeCell ref="C38:F39"/>
    <mergeCell ref="G38:P39"/>
    <mergeCell ref="R38:U39"/>
    <mergeCell ref="V38:AA39"/>
    <mergeCell ref="AB38:AC39"/>
    <mergeCell ref="AD38:AH39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AA19:AH19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AA21:AH21"/>
    <mergeCell ref="T15:V15"/>
    <mergeCell ref="W15:Z15"/>
    <mergeCell ref="E19:L19"/>
    <mergeCell ref="M19:P19"/>
    <mergeCell ref="Q19:S19"/>
    <mergeCell ref="T19:V19"/>
    <mergeCell ref="W19:Z19"/>
    <mergeCell ref="E16:L16"/>
    <mergeCell ref="M16:P16"/>
    <mergeCell ref="Q16:S16"/>
    <mergeCell ref="T16:V16"/>
    <mergeCell ref="W16:Z16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6:AH16"/>
    <mergeCell ref="B13:D13"/>
    <mergeCell ref="E13:L13"/>
    <mergeCell ref="E12:L12"/>
    <mergeCell ref="M12:P12"/>
    <mergeCell ref="Q12:S12"/>
    <mergeCell ref="T12:V12"/>
    <mergeCell ref="W12:Z12"/>
    <mergeCell ref="AA12:AH12"/>
    <mergeCell ref="AA13:AH13"/>
    <mergeCell ref="E14:L14"/>
    <mergeCell ref="AA14:AH14"/>
    <mergeCell ref="AA15:AH15"/>
    <mergeCell ref="M13:P13"/>
    <mergeCell ref="Q13:S13"/>
    <mergeCell ref="T13:V13"/>
    <mergeCell ref="W13:Z13"/>
    <mergeCell ref="M14:P14"/>
    <mergeCell ref="Q14:S14"/>
    <mergeCell ref="T14:V14"/>
    <mergeCell ref="W14:Z14"/>
    <mergeCell ref="E15:L15"/>
    <mergeCell ref="M15:P15"/>
    <mergeCell ref="Q15:S15"/>
    <mergeCell ref="AA44:AH44"/>
    <mergeCell ref="E17:L17"/>
    <mergeCell ref="M17:P17"/>
    <mergeCell ref="Q17:S17"/>
    <mergeCell ref="T17:V17"/>
    <mergeCell ref="W17:Z17"/>
    <mergeCell ref="AA17:AH17"/>
    <mergeCell ref="E23:L23"/>
    <mergeCell ref="M23:P23"/>
    <mergeCell ref="Q23:S23"/>
    <mergeCell ref="T23:V23"/>
    <mergeCell ref="W23:Z23"/>
    <mergeCell ref="AA23:AH23"/>
    <mergeCell ref="E21:L21"/>
    <mergeCell ref="M21:P21"/>
    <mergeCell ref="Q21:S21"/>
    <mergeCell ref="T21:V21"/>
    <mergeCell ref="W21:Z21"/>
    <mergeCell ref="E18:L18"/>
    <mergeCell ref="M18:P18"/>
    <mergeCell ref="Q18:S18"/>
    <mergeCell ref="T18:V18"/>
    <mergeCell ref="W18:Z18"/>
    <mergeCell ref="AA18:AH18"/>
  </mergeCells>
  <phoneticPr fontId="2" type="noConversion"/>
  <conditionalFormatting sqref="AA13:AA14">
    <cfRule type="expression" dxfId="86" priority="3024">
      <formula>Q13:S26=0</formula>
    </cfRule>
  </conditionalFormatting>
  <conditionalFormatting sqref="AA15:AA16">
    <cfRule type="expression" dxfId="85" priority="5">
      <formula>Q15:S26=0</formula>
    </cfRule>
  </conditionalFormatting>
  <conditionalFormatting sqref="AA17:AA18">
    <cfRule type="expression" dxfId="84" priority="3022">
      <formula>Q17:S27=0</formula>
    </cfRule>
  </conditionalFormatting>
  <conditionalFormatting sqref="AA19:AA21">
    <cfRule type="expression" dxfId="83" priority="2">
      <formula>Q19:S28=0</formula>
    </cfRule>
  </conditionalFormatting>
  <conditionalFormatting sqref="AA22">
    <cfRule type="expression" dxfId="82" priority="2411">
      <formula>Q22:S29=0</formula>
    </cfRule>
  </conditionalFormatting>
  <conditionalFormatting sqref="AA23">
    <cfRule type="expression" dxfId="81" priority="7">
      <formula>Q23:S31=0</formula>
    </cfRule>
  </conditionalFormatting>
  <conditionalFormatting sqref="AA24:AH24">
    <cfRule type="expression" dxfId="80" priority="17">
      <formula>Q24:S24=0</formula>
    </cfRule>
  </conditionalFormatting>
  <conditionalFormatting sqref="AA41:AH51">
    <cfRule type="expression" dxfId="79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L25 C14:D24 Q13:Q24 E12:E24 M8:M25 AA12:AA23 B12:B26 T13:T24 B40:B53 C42:D51 Q41:Q51 M36:M52 E40:E52 T41:T51 AA40:AA51" xr:uid="{D3D08CFF-8361-4361-894D-9594D5802FDE}"/>
  </dataValidations>
  <printOptions horizontalCentered="1"/>
  <pageMargins left="0" right="0" top="0.11811023622047245" bottom="0" header="0" footer="0"/>
  <pageSetup paperSize="9" scale="84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6D61-3678-42F9-B1B0-DB4CE34126C1}">
  <sheetPr>
    <pageSetUpPr fitToPage="1"/>
  </sheetPr>
  <dimension ref="B1:AH54"/>
  <sheetViews>
    <sheetView topLeftCell="A13" zoomScale="70" zoomScaleNormal="70" workbookViewId="0">
      <selection activeCell="BT40" sqref="BT40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69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69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70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20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20</v>
      </c>
      <c r="X13" s="100"/>
      <c r="Y13" s="100"/>
      <c r="Z13" s="101"/>
      <c r="AA13" s="251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292</v>
      </c>
      <c r="R14" s="96"/>
      <c r="S14" s="97"/>
      <c r="T14" s="98">
        <f t="shared" ref="T14:T19" si="2">IFERROR(ROUNDDOWN(Q14/M14,0),"")</f>
        <v>9</v>
      </c>
      <c r="U14" s="84"/>
      <c r="V14" s="84"/>
      <c r="W14" s="99">
        <f t="shared" ref="W14:W19" si="3">IFERROR(Q14-(T14*M14),"")</f>
        <v>22</v>
      </c>
      <c r="X14" s="100"/>
      <c r="Y14" s="100"/>
      <c r="Z14" s="101"/>
      <c r="AA14" s="251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20</v>
      </c>
      <c r="R15" s="96"/>
      <c r="S15" s="97"/>
      <c r="T15" s="98">
        <f t="shared" si="2"/>
        <v>0</v>
      </c>
      <c r="U15" s="84"/>
      <c r="V15" s="84"/>
      <c r="W15" s="99">
        <f t="shared" si="3"/>
        <v>20</v>
      </c>
      <c r="X15" s="100"/>
      <c r="Y15" s="100"/>
      <c r="Z15" s="101"/>
      <c r="AA15" s="251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68</v>
      </c>
      <c r="R16" s="96"/>
      <c r="S16" s="97"/>
      <c r="T16" s="98">
        <f t="shared" ref="T16" si="4">IFERROR(ROUNDDOWN(Q16/M16,0),"")</f>
        <v>1</v>
      </c>
      <c r="U16" s="84"/>
      <c r="V16" s="84"/>
      <c r="W16" s="99">
        <f t="shared" ref="W16" si="5">IFERROR(Q16-(T16*M16),"")</f>
        <v>32</v>
      </c>
      <c r="X16" s="100"/>
      <c r="Y16" s="100"/>
      <c r="Z16" s="101"/>
      <c r="AA16" s="251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10</v>
      </c>
      <c r="R17" s="96"/>
      <c r="S17" s="97"/>
      <c r="T17" s="98">
        <f t="shared" si="2"/>
        <v>0</v>
      </c>
      <c r="U17" s="84"/>
      <c r="V17" s="84"/>
      <c r="W17" s="99">
        <f t="shared" si="3"/>
        <v>10</v>
      </c>
      <c r="X17" s="100"/>
      <c r="Y17" s="100"/>
      <c r="Z17" s="101"/>
      <c r="AA17" s="251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12</v>
      </c>
      <c r="R18" s="96"/>
      <c r="S18" s="97"/>
      <c r="T18" s="98">
        <f t="shared" si="2"/>
        <v>0</v>
      </c>
      <c r="U18" s="84"/>
      <c r="V18" s="84"/>
      <c r="W18" s="99">
        <f t="shared" si="3"/>
        <v>12</v>
      </c>
      <c r="X18" s="100"/>
      <c r="Y18" s="100"/>
      <c r="Z18" s="101"/>
      <c r="AA18" s="251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24</v>
      </c>
      <c r="R19" s="96"/>
      <c r="S19" s="97"/>
      <c r="T19" s="98">
        <f t="shared" si="2"/>
        <v>0</v>
      </c>
      <c r="U19" s="84"/>
      <c r="V19" s="84"/>
      <c r="W19" s="99">
        <f t="shared" si="3"/>
        <v>24</v>
      </c>
      <c r="X19" s="100"/>
      <c r="Y19" s="100"/>
      <c r="Z19" s="101"/>
      <c r="AA19" s="251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5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5</v>
      </c>
      <c r="X20" s="100"/>
      <c r="Y20" s="100"/>
      <c r="Z20" s="101"/>
      <c r="AA20" s="251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76</v>
      </c>
      <c r="R21" s="96"/>
      <c r="S21" s="97"/>
      <c r="T21" s="98">
        <f t="shared" ref="T21" si="8">IFERROR(ROUNDDOWN(Q21/M21,0),"")</f>
        <v>2</v>
      </c>
      <c r="U21" s="84"/>
      <c r="V21" s="84"/>
      <c r="W21" s="99">
        <f t="shared" ref="W21" si="9">IFERROR(Q21-(T21*M21),"")</f>
        <v>16</v>
      </c>
      <c r="X21" s="100"/>
      <c r="Y21" s="100"/>
      <c r="Z21" s="101"/>
      <c r="AA21" s="251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23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23</v>
      </c>
      <c r="X22" s="100"/>
      <c r="Y22" s="100"/>
      <c r="Z22" s="101"/>
      <c r="AA22" s="251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251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550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71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BGF로지스광주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경기도 광주시 초월읍 경충대로 1337-21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20</v>
      </c>
      <c r="R41" s="216"/>
      <c r="S41" s="216"/>
      <c r="T41" s="217">
        <f>T13</f>
        <v>0</v>
      </c>
      <c r="U41" s="217"/>
      <c r="V41" s="217"/>
      <c r="W41" s="218">
        <f>W13</f>
        <v>20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351" t="str">
        <f t="shared" ref="E42:E50" si="12">E14</f>
        <v>도)리얼모짜치즈돈까스2</v>
      </c>
      <c r="F42" s="223"/>
      <c r="G42" s="223"/>
      <c r="H42" s="223"/>
      <c r="I42" s="223"/>
      <c r="J42" s="223"/>
      <c r="K42" s="223"/>
      <c r="L42" s="296"/>
      <c r="M42" s="83">
        <f t="shared" ref="M42:M51" si="13">M14</f>
        <v>30</v>
      </c>
      <c r="N42" s="83"/>
      <c r="O42" s="83"/>
      <c r="P42" s="83"/>
      <c r="Q42" s="216">
        <f t="shared" ref="Q42:Q51" si="14">Q14</f>
        <v>292</v>
      </c>
      <c r="R42" s="216"/>
      <c r="S42" s="216"/>
      <c r="T42" s="217">
        <f t="shared" ref="T42:T51" si="15">T14</f>
        <v>9</v>
      </c>
      <c r="U42" s="217"/>
      <c r="V42" s="217"/>
      <c r="W42" s="218">
        <f t="shared" ref="W42:W50" si="16">W14</f>
        <v>22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351" t="str">
        <f t="shared" si="12"/>
        <v>도)리얼치즈고구마돈까스2</v>
      </c>
      <c r="F43" s="223"/>
      <c r="G43" s="223"/>
      <c r="H43" s="223"/>
      <c r="I43" s="223"/>
      <c r="J43" s="223"/>
      <c r="K43" s="223"/>
      <c r="L43" s="296"/>
      <c r="M43" s="83">
        <f t="shared" si="13"/>
        <v>30</v>
      </c>
      <c r="N43" s="83"/>
      <c r="O43" s="83"/>
      <c r="P43" s="83"/>
      <c r="Q43" s="216">
        <f t="shared" si="14"/>
        <v>20</v>
      </c>
      <c r="R43" s="216"/>
      <c r="S43" s="216"/>
      <c r="T43" s="217">
        <f t="shared" si="15"/>
        <v>0</v>
      </c>
      <c r="U43" s="217"/>
      <c r="V43" s="217"/>
      <c r="W43" s="218">
        <f t="shared" si="16"/>
        <v>20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351" t="str">
        <f t="shared" si="12"/>
        <v>도)윙봉칠리탕수득템2</v>
      </c>
      <c r="F44" s="223"/>
      <c r="G44" s="223"/>
      <c r="H44" s="223"/>
      <c r="I44" s="223"/>
      <c r="J44" s="223"/>
      <c r="K44" s="223"/>
      <c r="L44" s="296"/>
      <c r="M44" s="83">
        <f t="shared" si="13"/>
        <v>36</v>
      </c>
      <c r="N44" s="83"/>
      <c r="O44" s="83"/>
      <c r="P44" s="83"/>
      <c r="Q44" s="216">
        <f t="shared" si="14"/>
        <v>68</v>
      </c>
      <c r="R44" s="216"/>
      <c r="S44" s="216"/>
      <c r="T44" s="217">
        <f t="shared" si="15"/>
        <v>1</v>
      </c>
      <c r="U44" s="217"/>
      <c r="V44" s="217"/>
      <c r="W44" s="218">
        <f t="shared" si="16"/>
        <v>32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351" t="str">
        <f t="shared" si="12"/>
        <v>도)찍먹윙봉2</v>
      </c>
      <c r="F45" s="223"/>
      <c r="G45" s="223"/>
      <c r="H45" s="223"/>
      <c r="I45" s="223"/>
      <c r="J45" s="223"/>
      <c r="K45" s="223"/>
      <c r="L45" s="296"/>
      <c r="M45" s="83">
        <f t="shared" si="13"/>
        <v>36</v>
      </c>
      <c r="N45" s="83"/>
      <c r="O45" s="83"/>
      <c r="P45" s="83"/>
      <c r="Q45" s="216">
        <f t="shared" si="14"/>
        <v>10</v>
      </c>
      <c r="R45" s="216"/>
      <c r="S45" s="216"/>
      <c r="T45" s="217">
        <f t="shared" si="15"/>
        <v>0</v>
      </c>
      <c r="U45" s="217"/>
      <c r="V45" s="217"/>
      <c r="W45" s="218">
        <f t="shared" si="16"/>
        <v>10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351" t="str">
        <f t="shared" si="12"/>
        <v>도)찍먹탕수육2</v>
      </c>
      <c r="F46" s="223"/>
      <c r="G46" s="223"/>
      <c r="H46" s="223"/>
      <c r="I46" s="223"/>
      <c r="J46" s="223"/>
      <c r="K46" s="223"/>
      <c r="L46" s="296"/>
      <c r="M46" s="83">
        <f t="shared" si="13"/>
        <v>36</v>
      </c>
      <c r="N46" s="83"/>
      <c r="O46" s="83"/>
      <c r="P46" s="83"/>
      <c r="Q46" s="216">
        <f t="shared" si="14"/>
        <v>12</v>
      </c>
      <c r="R46" s="216"/>
      <c r="S46" s="216"/>
      <c r="T46" s="217">
        <f t="shared" si="15"/>
        <v>0</v>
      </c>
      <c r="U46" s="217"/>
      <c r="V46" s="217"/>
      <c r="W46" s="218">
        <f t="shared" si="16"/>
        <v>12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351" t="str">
        <f t="shared" si="12"/>
        <v>도)치맥아보트러플치킨2</v>
      </c>
      <c r="F47" s="223"/>
      <c r="G47" s="223"/>
      <c r="H47" s="223"/>
      <c r="I47" s="223"/>
      <c r="J47" s="223"/>
      <c r="K47" s="223"/>
      <c r="L47" s="296"/>
      <c r="M47" s="83">
        <f t="shared" si="13"/>
        <v>32</v>
      </c>
      <c r="N47" s="83"/>
      <c r="O47" s="83"/>
      <c r="P47" s="83"/>
      <c r="Q47" s="216">
        <f t="shared" si="14"/>
        <v>24</v>
      </c>
      <c r="R47" s="216"/>
      <c r="S47" s="216"/>
      <c r="T47" s="217">
        <f t="shared" si="15"/>
        <v>0</v>
      </c>
      <c r="U47" s="217"/>
      <c r="V47" s="217"/>
      <c r="W47" s="218">
        <f t="shared" si="16"/>
        <v>24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351" t="str">
        <f t="shared" si="12"/>
        <v>도)치즈매콤닭강정감자2</v>
      </c>
      <c r="F48" s="223"/>
      <c r="G48" s="223"/>
      <c r="H48" s="223"/>
      <c r="I48" s="223"/>
      <c r="J48" s="223"/>
      <c r="K48" s="223"/>
      <c r="L48" s="296"/>
      <c r="M48" s="83">
        <f t="shared" si="13"/>
        <v>30</v>
      </c>
      <c r="N48" s="83"/>
      <c r="O48" s="83"/>
      <c r="P48" s="83"/>
      <c r="Q48" s="216">
        <f t="shared" si="14"/>
        <v>5</v>
      </c>
      <c r="R48" s="216"/>
      <c r="S48" s="216"/>
      <c r="T48" s="217">
        <f t="shared" si="15"/>
        <v>0</v>
      </c>
      <c r="U48" s="217"/>
      <c r="V48" s="217"/>
      <c r="W48" s="218">
        <f t="shared" si="16"/>
        <v>5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351" t="str">
        <f t="shared" si="12"/>
        <v>도)치즈청양간장닭강정2</v>
      </c>
      <c r="F49" s="223"/>
      <c r="G49" s="223"/>
      <c r="H49" s="223"/>
      <c r="I49" s="223"/>
      <c r="J49" s="223"/>
      <c r="K49" s="223"/>
      <c r="L49" s="296"/>
      <c r="M49" s="83">
        <f t="shared" si="13"/>
        <v>30</v>
      </c>
      <c r="N49" s="83"/>
      <c r="O49" s="83"/>
      <c r="P49" s="83"/>
      <c r="Q49" s="216">
        <f t="shared" si="14"/>
        <v>76</v>
      </c>
      <c r="R49" s="216"/>
      <c r="S49" s="216"/>
      <c r="T49" s="217">
        <f t="shared" si="15"/>
        <v>2</v>
      </c>
      <c r="U49" s="217"/>
      <c r="V49" s="217"/>
      <c r="W49" s="218">
        <f t="shared" si="16"/>
        <v>16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351" t="str">
        <f t="shared" si="12"/>
        <v>도)쿵야반반닭강정팩2</v>
      </c>
      <c r="F50" s="223"/>
      <c r="G50" s="223"/>
      <c r="H50" s="223"/>
      <c r="I50" s="223"/>
      <c r="J50" s="223"/>
      <c r="K50" s="223"/>
      <c r="L50" s="296"/>
      <c r="M50" s="83">
        <f t="shared" si="13"/>
        <v>36</v>
      </c>
      <c r="N50" s="83"/>
      <c r="O50" s="83"/>
      <c r="P50" s="83"/>
      <c r="Q50" s="216">
        <f t="shared" si="14"/>
        <v>23</v>
      </c>
      <c r="R50" s="216"/>
      <c r="S50" s="216"/>
      <c r="T50" s="217">
        <f t="shared" si="15"/>
        <v>0</v>
      </c>
      <c r="U50" s="217"/>
      <c r="V50" s="217"/>
      <c r="W50" s="218">
        <f t="shared" si="16"/>
        <v>23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351" t="str">
        <f t="shared" ref="E51" si="18">E23</f>
        <v>APP)치맥아보트러플치킨2</v>
      </c>
      <c r="F51" s="223"/>
      <c r="G51" s="223"/>
      <c r="H51" s="223"/>
      <c r="I51" s="223"/>
      <c r="J51" s="223"/>
      <c r="K51" s="223"/>
      <c r="L51" s="296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550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100000000000001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경기도 광주시 초월읍 경충대로 1337-21
031)8027-4510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100000000000001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A14">
    <cfRule type="expression" dxfId="78" priority="3020">
      <formula>Q13:S26=0</formula>
    </cfRule>
  </conditionalFormatting>
  <conditionalFormatting sqref="AA15:AA16">
    <cfRule type="expression" dxfId="77" priority="5">
      <formula>Q15:S26=0</formula>
    </cfRule>
  </conditionalFormatting>
  <conditionalFormatting sqref="AA17:AA18">
    <cfRule type="expression" dxfId="76" priority="3018">
      <formula>Q17:S27=0</formula>
    </cfRule>
  </conditionalFormatting>
  <conditionalFormatting sqref="AA19:AA21">
    <cfRule type="expression" dxfId="75" priority="2">
      <formula>Q19:S28=0</formula>
    </cfRule>
  </conditionalFormatting>
  <conditionalFormatting sqref="AA22">
    <cfRule type="expression" dxfId="74" priority="2408">
      <formula>Q22:S29=0</formula>
    </cfRule>
  </conditionalFormatting>
  <conditionalFormatting sqref="AA23">
    <cfRule type="expression" dxfId="73" priority="7">
      <formula>Q23:S31=0</formula>
    </cfRule>
  </conditionalFormatting>
  <conditionalFormatting sqref="AA24:AH24">
    <cfRule type="expression" dxfId="72" priority="23">
      <formula>Q24:S24=0</formula>
    </cfRule>
  </conditionalFormatting>
  <conditionalFormatting sqref="AA41:AH51">
    <cfRule type="expression" dxfId="71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Q41:Q51 M36:M52 E40:E52 T41:T51 AA40:AA51" xr:uid="{E2A77978-B10C-463F-9881-95835CAF86A0}"/>
  </dataValidations>
  <printOptions horizontalCentered="1"/>
  <pageMargins left="0" right="0" top="0.11811023622047245" bottom="0" header="0" footer="0"/>
  <pageSetup paperSize="9" scale="84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60A9-06FA-47AC-A362-52443FA61BD5}">
  <sheetPr>
    <pageSetUpPr fitToPage="1"/>
  </sheetPr>
  <dimension ref="B1:AH54"/>
  <sheetViews>
    <sheetView zoomScale="70" zoomScaleNormal="70" workbookViewId="0">
      <selection activeCell="BT40" sqref="BT40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72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72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73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6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6</v>
      </c>
      <c r="X13" s="100"/>
      <c r="Y13" s="100"/>
      <c r="Z13" s="101"/>
      <c r="AA13" s="251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129</v>
      </c>
      <c r="R14" s="96"/>
      <c r="S14" s="97"/>
      <c r="T14" s="98">
        <f t="shared" ref="T14:T19" si="2">IFERROR(ROUNDDOWN(Q14/M14,0),"")</f>
        <v>4</v>
      </c>
      <c r="U14" s="84"/>
      <c r="V14" s="84"/>
      <c r="W14" s="99">
        <f t="shared" ref="W14:W19" si="3">IFERROR(Q14-(T14*M14),"")</f>
        <v>9</v>
      </c>
      <c r="X14" s="100"/>
      <c r="Y14" s="100"/>
      <c r="Z14" s="101"/>
      <c r="AA14" s="251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11</v>
      </c>
      <c r="R15" s="96"/>
      <c r="S15" s="97"/>
      <c r="T15" s="98">
        <f t="shared" si="2"/>
        <v>0</v>
      </c>
      <c r="U15" s="84"/>
      <c r="V15" s="84"/>
      <c r="W15" s="99">
        <f t="shared" si="3"/>
        <v>11</v>
      </c>
      <c r="X15" s="100"/>
      <c r="Y15" s="100"/>
      <c r="Z15" s="101"/>
      <c r="AA15" s="251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28</v>
      </c>
      <c r="R16" s="96"/>
      <c r="S16" s="97"/>
      <c r="T16" s="98">
        <f t="shared" ref="T16" si="4">IFERROR(ROUNDDOWN(Q16/M16,0),"")</f>
        <v>0</v>
      </c>
      <c r="U16" s="84"/>
      <c r="V16" s="84"/>
      <c r="W16" s="99">
        <f t="shared" ref="W16" si="5">IFERROR(Q16-(T16*M16),"")</f>
        <v>28</v>
      </c>
      <c r="X16" s="100"/>
      <c r="Y16" s="100"/>
      <c r="Z16" s="101"/>
      <c r="AA16" s="251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2</v>
      </c>
      <c r="R17" s="96"/>
      <c r="S17" s="97"/>
      <c r="T17" s="98">
        <f t="shared" si="2"/>
        <v>0</v>
      </c>
      <c r="U17" s="84"/>
      <c r="V17" s="84"/>
      <c r="W17" s="99">
        <f t="shared" si="3"/>
        <v>2</v>
      </c>
      <c r="X17" s="100"/>
      <c r="Y17" s="100"/>
      <c r="Z17" s="101"/>
      <c r="AA17" s="251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2</v>
      </c>
      <c r="R18" s="96"/>
      <c r="S18" s="97"/>
      <c r="T18" s="98">
        <f t="shared" si="2"/>
        <v>0</v>
      </c>
      <c r="U18" s="84"/>
      <c r="V18" s="84"/>
      <c r="W18" s="99">
        <f t="shared" si="3"/>
        <v>2</v>
      </c>
      <c r="X18" s="100"/>
      <c r="Y18" s="100"/>
      <c r="Z18" s="101"/>
      <c r="AA18" s="251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6</v>
      </c>
      <c r="R19" s="96"/>
      <c r="S19" s="97"/>
      <c r="T19" s="98">
        <f t="shared" si="2"/>
        <v>0</v>
      </c>
      <c r="U19" s="84"/>
      <c r="V19" s="84"/>
      <c r="W19" s="99">
        <f t="shared" si="3"/>
        <v>6</v>
      </c>
      <c r="X19" s="100"/>
      <c r="Y19" s="100"/>
      <c r="Z19" s="101"/>
      <c r="AA19" s="251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3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3</v>
      </c>
      <c r="X20" s="100"/>
      <c r="Y20" s="100"/>
      <c r="Z20" s="101"/>
      <c r="AA20" s="251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16</v>
      </c>
      <c r="R21" s="96"/>
      <c r="S21" s="97"/>
      <c r="T21" s="98">
        <f t="shared" ref="T21" si="8">IFERROR(ROUNDDOWN(Q21/M21,0),"")</f>
        <v>0</v>
      </c>
      <c r="U21" s="84"/>
      <c r="V21" s="84"/>
      <c r="W21" s="99">
        <f t="shared" ref="W21" si="9">IFERROR(Q21-(T21*M21),"")</f>
        <v>16</v>
      </c>
      <c r="X21" s="100"/>
      <c r="Y21" s="100"/>
      <c r="Z21" s="101"/>
      <c r="AA21" s="251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14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14</v>
      </c>
      <c r="X22" s="100"/>
      <c r="Y22" s="100"/>
      <c r="Z22" s="101"/>
      <c r="AA22" s="251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251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217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74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BGF로지스아산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충청북도 아산시 염치읍 아산로 624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6</v>
      </c>
      <c r="R41" s="216"/>
      <c r="S41" s="216"/>
      <c r="T41" s="217">
        <f>T13</f>
        <v>0</v>
      </c>
      <c r="U41" s="217"/>
      <c r="V41" s="217"/>
      <c r="W41" s="218">
        <f>W13</f>
        <v>6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351" t="str">
        <f t="shared" ref="E42:E50" si="12">E14</f>
        <v>도)리얼모짜치즈돈까스2</v>
      </c>
      <c r="F42" s="223"/>
      <c r="G42" s="223"/>
      <c r="H42" s="223"/>
      <c r="I42" s="223"/>
      <c r="J42" s="223"/>
      <c r="K42" s="223"/>
      <c r="L42" s="296"/>
      <c r="M42" s="83">
        <f t="shared" ref="M42:M51" si="13">M14</f>
        <v>30</v>
      </c>
      <c r="N42" s="83"/>
      <c r="O42" s="83"/>
      <c r="P42" s="83"/>
      <c r="Q42" s="216">
        <f t="shared" ref="Q42:Q51" si="14">Q14</f>
        <v>129</v>
      </c>
      <c r="R42" s="216"/>
      <c r="S42" s="216"/>
      <c r="T42" s="217">
        <f t="shared" ref="T42:T51" si="15">T14</f>
        <v>4</v>
      </c>
      <c r="U42" s="217"/>
      <c r="V42" s="217"/>
      <c r="W42" s="218">
        <f t="shared" ref="W42:W50" si="16">W14</f>
        <v>9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351" t="str">
        <f t="shared" si="12"/>
        <v>도)리얼치즈고구마돈까스2</v>
      </c>
      <c r="F43" s="223"/>
      <c r="G43" s="223"/>
      <c r="H43" s="223"/>
      <c r="I43" s="223"/>
      <c r="J43" s="223"/>
      <c r="K43" s="223"/>
      <c r="L43" s="296"/>
      <c r="M43" s="83">
        <f t="shared" si="13"/>
        <v>30</v>
      </c>
      <c r="N43" s="83"/>
      <c r="O43" s="83"/>
      <c r="P43" s="83"/>
      <c r="Q43" s="216">
        <f t="shared" si="14"/>
        <v>11</v>
      </c>
      <c r="R43" s="216"/>
      <c r="S43" s="216"/>
      <c r="T43" s="217">
        <f t="shared" si="15"/>
        <v>0</v>
      </c>
      <c r="U43" s="217"/>
      <c r="V43" s="217"/>
      <c r="W43" s="218">
        <f t="shared" si="16"/>
        <v>11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351" t="str">
        <f t="shared" si="12"/>
        <v>도)윙봉칠리탕수득템2</v>
      </c>
      <c r="F44" s="223"/>
      <c r="G44" s="223"/>
      <c r="H44" s="223"/>
      <c r="I44" s="223"/>
      <c r="J44" s="223"/>
      <c r="K44" s="223"/>
      <c r="L44" s="296"/>
      <c r="M44" s="83">
        <f t="shared" si="13"/>
        <v>36</v>
      </c>
      <c r="N44" s="83"/>
      <c r="O44" s="83"/>
      <c r="P44" s="83"/>
      <c r="Q44" s="216">
        <f t="shared" si="14"/>
        <v>28</v>
      </c>
      <c r="R44" s="216"/>
      <c r="S44" s="216"/>
      <c r="T44" s="217">
        <f t="shared" si="15"/>
        <v>0</v>
      </c>
      <c r="U44" s="217"/>
      <c r="V44" s="217"/>
      <c r="W44" s="218">
        <f t="shared" si="16"/>
        <v>28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351" t="str">
        <f t="shared" si="12"/>
        <v>도)찍먹윙봉2</v>
      </c>
      <c r="F45" s="223"/>
      <c r="G45" s="223"/>
      <c r="H45" s="223"/>
      <c r="I45" s="223"/>
      <c r="J45" s="223"/>
      <c r="K45" s="223"/>
      <c r="L45" s="296"/>
      <c r="M45" s="83">
        <f t="shared" si="13"/>
        <v>36</v>
      </c>
      <c r="N45" s="83"/>
      <c r="O45" s="83"/>
      <c r="P45" s="83"/>
      <c r="Q45" s="216">
        <f t="shared" si="14"/>
        <v>2</v>
      </c>
      <c r="R45" s="216"/>
      <c r="S45" s="216"/>
      <c r="T45" s="217">
        <f t="shared" si="15"/>
        <v>0</v>
      </c>
      <c r="U45" s="217"/>
      <c r="V45" s="217"/>
      <c r="W45" s="218">
        <f t="shared" si="16"/>
        <v>2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351" t="str">
        <f t="shared" si="12"/>
        <v>도)찍먹탕수육2</v>
      </c>
      <c r="F46" s="223"/>
      <c r="G46" s="223"/>
      <c r="H46" s="223"/>
      <c r="I46" s="223"/>
      <c r="J46" s="223"/>
      <c r="K46" s="223"/>
      <c r="L46" s="296"/>
      <c r="M46" s="83">
        <f t="shared" si="13"/>
        <v>36</v>
      </c>
      <c r="N46" s="83"/>
      <c r="O46" s="83"/>
      <c r="P46" s="83"/>
      <c r="Q46" s="216">
        <f t="shared" si="14"/>
        <v>2</v>
      </c>
      <c r="R46" s="216"/>
      <c r="S46" s="216"/>
      <c r="T46" s="217">
        <f t="shared" si="15"/>
        <v>0</v>
      </c>
      <c r="U46" s="217"/>
      <c r="V46" s="217"/>
      <c r="W46" s="218">
        <f t="shared" si="16"/>
        <v>2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351" t="str">
        <f t="shared" si="12"/>
        <v>도)치맥아보트러플치킨2</v>
      </c>
      <c r="F47" s="223"/>
      <c r="G47" s="223"/>
      <c r="H47" s="223"/>
      <c r="I47" s="223"/>
      <c r="J47" s="223"/>
      <c r="K47" s="223"/>
      <c r="L47" s="296"/>
      <c r="M47" s="83">
        <f t="shared" si="13"/>
        <v>32</v>
      </c>
      <c r="N47" s="83"/>
      <c r="O47" s="83"/>
      <c r="P47" s="83"/>
      <c r="Q47" s="216">
        <f t="shared" si="14"/>
        <v>6</v>
      </c>
      <c r="R47" s="216"/>
      <c r="S47" s="216"/>
      <c r="T47" s="217">
        <f t="shared" si="15"/>
        <v>0</v>
      </c>
      <c r="U47" s="217"/>
      <c r="V47" s="217"/>
      <c r="W47" s="218">
        <f t="shared" si="16"/>
        <v>6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351" t="str">
        <f t="shared" si="12"/>
        <v>도)치즈매콤닭강정감자2</v>
      </c>
      <c r="F48" s="223"/>
      <c r="G48" s="223"/>
      <c r="H48" s="223"/>
      <c r="I48" s="223"/>
      <c r="J48" s="223"/>
      <c r="K48" s="223"/>
      <c r="L48" s="296"/>
      <c r="M48" s="83">
        <f t="shared" si="13"/>
        <v>30</v>
      </c>
      <c r="N48" s="83"/>
      <c r="O48" s="83"/>
      <c r="P48" s="83"/>
      <c r="Q48" s="216">
        <f t="shared" si="14"/>
        <v>3</v>
      </c>
      <c r="R48" s="216"/>
      <c r="S48" s="216"/>
      <c r="T48" s="217">
        <f t="shared" si="15"/>
        <v>0</v>
      </c>
      <c r="U48" s="217"/>
      <c r="V48" s="217"/>
      <c r="W48" s="218">
        <f t="shared" si="16"/>
        <v>3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351" t="str">
        <f t="shared" si="12"/>
        <v>도)치즈청양간장닭강정2</v>
      </c>
      <c r="F49" s="223"/>
      <c r="G49" s="223"/>
      <c r="H49" s="223"/>
      <c r="I49" s="223"/>
      <c r="J49" s="223"/>
      <c r="K49" s="223"/>
      <c r="L49" s="296"/>
      <c r="M49" s="83">
        <f t="shared" si="13"/>
        <v>30</v>
      </c>
      <c r="N49" s="83"/>
      <c r="O49" s="83"/>
      <c r="P49" s="83"/>
      <c r="Q49" s="216">
        <f t="shared" si="14"/>
        <v>16</v>
      </c>
      <c r="R49" s="216"/>
      <c r="S49" s="216"/>
      <c r="T49" s="217">
        <f t="shared" si="15"/>
        <v>0</v>
      </c>
      <c r="U49" s="217"/>
      <c r="V49" s="217"/>
      <c r="W49" s="218">
        <f t="shared" si="16"/>
        <v>16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351" t="str">
        <f t="shared" si="12"/>
        <v>도)쿵야반반닭강정팩2</v>
      </c>
      <c r="F50" s="223"/>
      <c r="G50" s="223"/>
      <c r="H50" s="223"/>
      <c r="I50" s="223"/>
      <c r="J50" s="223"/>
      <c r="K50" s="223"/>
      <c r="L50" s="296"/>
      <c r="M50" s="83">
        <f t="shared" si="13"/>
        <v>36</v>
      </c>
      <c r="N50" s="83"/>
      <c r="O50" s="83"/>
      <c r="P50" s="83"/>
      <c r="Q50" s="216">
        <f t="shared" si="14"/>
        <v>14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14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351" t="str">
        <f t="shared" ref="E51" si="18">E23</f>
        <v>APP)치맥아보트러플치킨2</v>
      </c>
      <c r="F51" s="223"/>
      <c r="G51" s="223"/>
      <c r="H51" s="223"/>
      <c r="I51" s="223"/>
      <c r="J51" s="223"/>
      <c r="K51" s="223"/>
      <c r="L51" s="296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217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100000000000001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충청북도 아산시 염치읍 아산로 624
041)428-9470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100000000000001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A14">
    <cfRule type="expression" dxfId="70" priority="3016">
      <formula>Q13:S26=0</formula>
    </cfRule>
  </conditionalFormatting>
  <conditionalFormatting sqref="AA15:AA16">
    <cfRule type="expression" dxfId="69" priority="5">
      <formula>Q15:S26=0</formula>
    </cfRule>
  </conditionalFormatting>
  <conditionalFormatting sqref="AA17:AA18">
    <cfRule type="expression" dxfId="68" priority="3014">
      <formula>Q17:S27=0</formula>
    </cfRule>
  </conditionalFormatting>
  <conditionalFormatting sqref="AA19:AA21">
    <cfRule type="expression" dxfId="67" priority="2">
      <formula>Q19:S28=0</formula>
    </cfRule>
  </conditionalFormatting>
  <conditionalFormatting sqref="AA22">
    <cfRule type="expression" dxfId="66" priority="2405">
      <formula>Q22:S29=0</formula>
    </cfRule>
  </conditionalFormatting>
  <conditionalFormatting sqref="AA23">
    <cfRule type="expression" dxfId="65" priority="7">
      <formula>Q23:S31=0</formula>
    </cfRule>
  </conditionalFormatting>
  <conditionalFormatting sqref="AA24:AH24">
    <cfRule type="expression" dxfId="64" priority="23">
      <formula>Q24:S24=0</formula>
    </cfRule>
  </conditionalFormatting>
  <conditionalFormatting sqref="AA41:AH51">
    <cfRule type="expression" dxfId="63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Q41:Q51 M36:M52 E40:E52 T41:T51 AA40:AA51" xr:uid="{61A98E91-3755-423A-B35E-FFEA06936485}"/>
  </dataValidations>
  <printOptions horizontalCentered="1"/>
  <pageMargins left="0" right="0" top="0.11811023622047245" bottom="0" header="0" footer="0"/>
  <pageSetup paperSize="9" scale="84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A313-364C-4985-B511-52E23C3C5F04}">
  <sheetPr>
    <pageSetUpPr fitToPage="1"/>
  </sheetPr>
  <dimension ref="B1:AH54"/>
  <sheetViews>
    <sheetView zoomScale="70" zoomScaleNormal="70" workbookViewId="0">
      <selection activeCell="BT40" sqref="BT40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75</v>
      </c>
      <c r="C1" s="2"/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75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76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18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18</v>
      </c>
      <c r="X13" s="100"/>
      <c r="Y13" s="100"/>
      <c r="Z13" s="101"/>
      <c r="AA13" s="251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276</v>
      </c>
      <c r="R14" s="96"/>
      <c r="S14" s="97"/>
      <c r="T14" s="98">
        <f t="shared" ref="T14:T19" si="2">IFERROR(ROUNDDOWN(Q14/M14,0),"")</f>
        <v>9</v>
      </c>
      <c r="U14" s="84"/>
      <c r="V14" s="84"/>
      <c r="W14" s="99">
        <f t="shared" ref="W14:W19" si="3">IFERROR(Q14-(T14*M14),"")</f>
        <v>6</v>
      </c>
      <c r="X14" s="100"/>
      <c r="Y14" s="100"/>
      <c r="Z14" s="101"/>
      <c r="AA14" s="251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14</v>
      </c>
      <c r="R15" s="96"/>
      <c r="S15" s="97"/>
      <c r="T15" s="98">
        <f t="shared" si="2"/>
        <v>0</v>
      </c>
      <c r="U15" s="84"/>
      <c r="V15" s="84"/>
      <c r="W15" s="99">
        <f t="shared" si="3"/>
        <v>14</v>
      </c>
      <c r="X15" s="100"/>
      <c r="Y15" s="100"/>
      <c r="Z15" s="101"/>
      <c r="AA15" s="251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52</v>
      </c>
      <c r="R16" s="96"/>
      <c r="S16" s="97"/>
      <c r="T16" s="98">
        <f t="shared" ref="T16" si="4">IFERROR(ROUNDDOWN(Q16/M16,0),"")</f>
        <v>1</v>
      </c>
      <c r="U16" s="84"/>
      <c r="V16" s="84"/>
      <c r="W16" s="99">
        <f t="shared" ref="W16" si="5">IFERROR(Q16-(T16*M16),"")</f>
        <v>16</v>
      </c>
      <c r="X16" s="100"/>
      <c r="Y16" s="100"/>
      <c r="Z16" s="101"/>
      <c r="AA16" s="251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8</v>
      </c>
      <c r="R17" s="96"/>
      <c r="S17" s="97"/>
      <c r="T17" s="98">
        <f t="shared" si="2"/>
        <v>0</v>
      </c>
      <c r="U17" s="84"/>
      <c r="V17" s="84"/>
      <c r="W17" s="99">
        <f t="shared" si="3"/>
        <v>8</v>
      </c>
      <c r="X17" s="100"/>
      <c r="Y17" s="100"/>
      <c r="Z17" s="101"/>
      <c r="AA17" s="251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7</v>
      </c>
      <c r="R18" s="96"/>
      <c r="S18" s="97"/>
      <c r="T18" s="98">
        <f t="shared" si="2"/>
        <v>0</v>
      </c>
      <c r="U18" s="84"/>
      <c r="V18" s="84"/>
      <c r="W18" s="99">
        <f t="shared" si="3"/>
        <v>7</v>
      </c>
      <c r="X18" s="100"/>
      <c r="Y18" s="100"/>
      <c r="Z18" s="101"/>
      <c r="AA18" s="251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17</v>
      </c>
      <c r="R19" s="96"/>
      <c r="S19" s="97"/>
      <c r="T19" s="98">
        <f t="shared" si="2"/>
        <v>0</v>
      </c>
      <c r="U19" s="84"/>
      <c r="V19" s="84"/>
      <c r="W19" s="99">
        <f t="shared" si="3"/>
        <v>17</v>
      </c>
      <c r="X19" s="100"/>
      <c r="Y19" s="100"/>
      <c r="Z19" s="101"/>
      <c r="AA19" s="251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14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14</v>
      </c>
      <c r="X20" s="100"/>
      <c r="Y20" s="100"/>
      <c r="Z20" s="101"/>
      <c r="AA20" s="251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58</v>
      </c>
      <c r="R21" s="96"/>
      <c r="S21" s="97"/>
      <c r="T21" s="98">
        <f t="shared" ref="T21" si="8">IFERROR(ROUNDDOWN(Q21/M21,0),"")</f>
        <v>1</v>
      </c>
      <c r="U21" s="84"/>
      <c r="V21" s="84"/>
      <c r="W21" s="99">
        <f t="shared" ref="W21" si="9">IFERROR(Q21-(T21*M21),"")</f>
        <v>28</v>
      </c>
      <c r="X21" s="100"/>
      <c r="Y21" s="100"/>
      <c r="Z21" s="101"/>
      <c r="AA21" s="251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18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18</v>
      </c>
      <c r="X22" s="100"/>
      <c r="Y22" s="100"/>
      <c r="Z22" s="101"/>
      <c r="AA22" s="251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251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482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77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씨제이군포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 xml:space="preserve">경기도 군포시 번영로 82
 한국복합물류 P동 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18</v>
      </c>
      <c r="R41" s="216"/>
      <c r="S41" s="216"/>
      <c r="T41" s="217">
        <f>T13</f>
        <v>0</v>
      </c>
      <c r="U41" s="217"/>
      <c r="V41" s="217"/>
      <c r="W41" s="218">
        <f>W13</f>
        <v>18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351" t="str">
        <f t="shared" ref="E42:E50" si="12">E14</f>
        <v>도)리얼모짜치즈돈까스2</v>
      </c>
      <c r="F42" s="223"/>
      <c r="G42" s="223"/>
      <c r="H42" s="223"/>
      <c r="I42" s="223"/>
      <c r="J42" s="223"/>
      <c r="K42" s="223"/>
      <c r="L42" s="296"/>
      <c r="M42" s="83">
        <f t="shared" ref="M42:M51" si="13">M14</f>
        <v>30</v>
      </c>
      <c r="N42" s="83"/>
      <c r="O42" s="83"/>
      <c r="P42" s="83"/>
      <c r="Q42" s="216">
        <f t="shared" ref="Q42:Q51" si="14">Q14</f>
        <v>276</v>
      </c>
      <c r="R42" s="216"/>
      <c r="S42" s="216"/>
      <c r="T42" s="217">
        <f t="shared" ref="T42:T51" si="15">T14</f>
        <v>9</v>
      </c>
      <c r="U42" s="217"/>
      <c r="V42" s="217"/>
      <c r="W42" s="218">
        <f t="shared" ref="W42:W50" si="16">W14</f>
        <v>6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351" t="str">
        <f t="shared" si="12"/>
        <v>도)리얼치즈고구마돈까스2</v>
      </c>
      <c r="F43" s="223"/>
      <c r="G43" s="223"/>
      <c r="H43" s="223"/>
      <c r="I43" s="223"/>
      <c r="J43" s="223"/>
      <c r="K43" s="223"/>
      <c r="L43" s="296"/>
      <c r="M43" s="83">
        <f t="shared" si="13"/>
        <v>30</v>
      </c>
      <c r="N43" s="83"/>
      <c r="O43" s="83"/>
      <c r="P43" s="83"/>
      <c r="Q43" s="216">
        <f t="shared" si="14"/>
        <v>14</v>
      </c>
      <c r="R43" s="216"/>
      <c r="S43" s="216"/>
      <c r="T43" s="217">
        <f t="shared" si="15"/>
        <v>0</v>
      </c>
      <c r="U43" s="217"/>
      <c r="V43" s="217"/>
      <c r="W43" s="218">
        <f t="shared" si="16"/>
        <v>14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351" t="str">
        <f t="shared" si="12"/>
        <v>도)윙봉칠리탕수득템2</v>
      </c>
      <c r="F44" s="223"/>
      <c r="G44" s="223"/>
      <c r="H44" s="223"/>
      <c r="I44" s="223"/>
      <c r="J44" s="223"/>
      <c r="K44" s="223"/>
      <c r="L44" s="296"/>
      <c r="M44" s="83">
        <f t="shared" si="13"/>
        <v>36</v>
      </c>
      <c r="N44" s="83"/>
      <c r="O44" s="83"/>
      <c r="P44" s="83"/>
      <c r="Q44" s="216">
        <f t="shared" si="14"/>
        <v>52</v>
      </c>
      <c r="R44" s="216"/>
      <c r="S44" s="216"/>
      <c r="T44" s="217">
        <f t="shared" si="15"/>
        <v>1</v>
      </c>
      <c r="U44" s="217"/>
      <c r="V44" s="217"/>
      <c r="W44" s="218">
        <f t="shared" si="16"/>
        <v>16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351" t="str">
        <f t="shared" si="12"/>
        <v>도)찍먹윙봉2</v>
      </c>
      <c r="F45" s="223"/>
      <c r="G45" s="223"/>
      <c r="H45" s="223"/>
      <c r="I45" s="223"/>
      <c r="J45" s="223"/>
      <c r="K45" s="223"/>
      <c r="L45" s="296"/>
      <c r="M45" s="83">
        <f t="shared" si="13"/>
        <v>36</v>
      </c>
      <c r="N45" s="83"/>
      <c r="O45" s="83"/>
      <c r="P45" s="83"/>
      <c r="Q45" s="216">
        <f t="shared" si="14"/>
        <v>8</v>
      </c>
      <c r="R45" s="216"/>
      <c r="S45" s="216"/>
      <c r="T45" s="217">
        <f t="shared" si="15"/>
        <v>0</v>
      </c>
      <c r="U45" s="217"/>
      <c r="V45" s="217"/>
      <c r="W45" s="218">
        <f t="shared" si="16"/>
        <v>8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351" t="str">
        <f t="shared" si="12"/>
        <v>도)찍먹탕수육2</v>
      </c>
      <c r="F46" s="223"/>
      <c r="G46" s="223"/>
      <c r="H46" s="223"/>
      <c r="I46" s="223"/>
      <c r="J46" s="223"/>
      <c r="K46" s="223"/>
      <c r="L46" s="296"/>
      <c r="M46" s="83">
        <f t="shared" si="13"/>
        <v>36</v>
      </c>
      <c r="N46" s="83"/>
      <c r="O46" s="83"/>
      <c r="P46" s="83"/>
      <c r="Q46" s="216">
        <f t="shared" si="14"/>
        <v>7</v>
      </c>
      <c r="R46" s="216"/>
      <c r="S46" s="216"/>
      <c r="T46" s="217">
        <f t="shared" si="15"/>
        <v>0</v>
      </c>
      <c r="U46" s="217"/>
      <c r="V46" s="217"/>
      <c r="W46" s="218">
        <f t="shared" si="16"/>
        <v>7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351" t="str">
        <f t="shared" si="12"/>
        <v>도)치맥아보트러플치킨2</v>
      </c>
      <c r="F47" s="223"/>
      <c r="G47" s="223"/>
      <c r="H47" s="223"/>
      <c r="I47" s="223"/>
      <c r="J47" s="223"/>
      <c r="K47" s="223"/>
      <c r="L47" s="296"/>
      <c r="M47" s="83">
        <f t="shared" si="13"/>
        <v>32</v>
      </c>
      <c r="N47" s="83"/>
      <c r="O47" s="83"/>
      <c r="P47" s="83"/>
      <c r="Q47" s="216">
        <f t="shared" si="14"/>
        <v>17</v>
      </c>
      <c r="R47" s="216"/>
      <c r="S47" s="216"/>
      <c r="T47" s="217">
        <f t="shared" si="15"/>
        <v>0</v>
      </c>
      <c r="U47" s="217"/>
      <c r="V47" s="217"/>
      <c r="W47" s="218">
        <f t="shared" si="16"/>
        <v>17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351" t="str">
        <f t="shared" si="12"/>
        <v>도)치즈매콤닭강정감자2</v>
      </c>
      <c r="F48" s="223"/>
      <c r="G48" s="223"/>
      <c r="H48" s="223"/>
      <c r="I48" s="223"/>
      <c r="J48" s="223"/>
      <c r="K48" s="223"/>
      <c r="L48" s="296"/>
      <c r="M48" s="83">
        <f t="shared" si="13"/>
        <v>30</v>
      </c>
      <c r="N48" s="83"/>
      <c r="O48" s="83"/>
      <c r="P48" s="83"/>
      <c r="Q48" s="216">
        <f t="shared" si="14"/>
        <v>14</v>
      </c>
      <c r="R48" s="216"/>
      <c r="S48" s="216"/>
      <c r="T48" s="217">
        <f t="shared" si="15"/>
        <v>0</v>
      </c>
      <c r="U48" s="217"/>
      <c r="V48" s="217"/>
      <c r="W48" s="218">
        <f t="shared" si="16"/>
        <v>14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351" t="str">
        <f t="shared" si="12"/>
        <v>도)치즈청양간장닭강정2</v>
      </c>
      <c r="F49" s="223"/>
      <c r="G49" s="223"/>
      <c r="H49" s="223"/>
      <c r="I49" s="223"/>
      <c r="J49" s="223"/>
      <c r="K49" s="223"/>
      <c r="L49" s="296"/>
      <c r="M49" s="83">
        <f t="shared" si="13"/>
        <v>30</v>
      </c>
      <c r="N49" s="83"/>
      <c r="O49" s="83"/>
      <c r="P49" s="83"/>
      <c r="Q49" s="216">
        <f t="shared" si="14"/>
        <v>58</v>
      </c>
      <c r="R49" s="216"/>
      <c r="S49" s="216"/>
      <c r="T49" s="217">
        <f t="shared" si="15"/>
        <v>1</v>
      </c>
      <c r="U49" s="217"/>
      <c r="V49" s="217"/>
      <c r="W49" s="218">
        <f t="shared" si="16"/>
        <v>28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351" t="str">
        <f t="shared" si="12"/>
        <v>도)쿵야반반닭강정팩2</v>
      </c>
      <c r="F50" s="223"/>
      <c r="G50" s="223"/>
      <c r="H50" s="223"/>
      <c r="I50" s="223"/>
      <c r="J50" s="223"/>
      <c r="K50" s="223"/>
      <c r="L50" s="296"/>
      <c r="M50" s="83">
        <f t="shared" si="13"/>
        <v>36</v>
      </c>
      <c r="N50" s="83"/>
      <c r="O50" s="83"/>
      <c r="P50" s="83"/>
      <c r="Q50" s="216">
        <f t="shared" si="14"/>
        <v>18</v>
      </c>
      <c r="R50" s="216"/>
      <c r="S50" s="216"/>
      <c r="T50" s="217">
        <f t="shared" si="15"/>
        <v>0</v>
      </c>
      <c r="U50" s="217"/>
      <c r="V50" s="217"/>
      <c r="W50" s="218">
        <f t="shared" si="16"/>
        <v>18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351" t="str">
        <f t="shared" ref="E51" si="18">E23</f>
        <v>APP)치맥아보트러플치킨2</v>
      </c>
      <c r="F51" s="223"/>
      <c r="G51" s="223"/>
      <c r="H51" s="223"/>
      <c r="I51" s="223"/>
      <c r="J51" s="223"/>
      <c r="K51" s="223"/>
      <c r="L51" s="296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482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100000000000001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 xml:space="preserve">경기도 군포시 번영로 82 한국복합물류P동
031)460-2208 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100000000000001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A14">
    <cfRule type="expression" dxfId="62" priority="3012">
      <formula>Q13:S26=0</formula>
    </cfRule>
  </conditionalFormatting>
  <conditionalFormatting sqref="AA15:AA16">
    <cfRule type="expression" dxfId="61" priority="5">
      <formula>Q15:S26=0</formula>
    </cfRule>
  </conditionalFormatting>
  <conditionalFormatting sqref="AA17:AA18">
    <cfRule type="expression" dxfId="60" priority="3010">
      <formula>Q17:S27=0</formula>
    </cfRule>
  </conditionalFormatting>
  <conditionalFormatting sqref="AA19:AA21">
    <cfRule type="expression" dxfId="59" priority="2">
      <formula>Q19:S28=0</formula>
    </cfRule>
  </conditionalFormatting>
  <conditionalFormatting sqref="AA22">
    <cfRule type="expression" dxfId="58" priority="2402">
      <formula>Q22:S29=0</formula>
    </cfRule>
  </conditionalFormatting>
  <conditionalFormatting sqref="AA23">
    <cfRule type="expression" dxfId="57" priority="7">
      <formula>Q23:S31=0</formula>
    </cfRule>
  </conditionalFormatting>
  <conditionalFormatting sqref="AA24:AH24">
    <cfRule type="expression" dxfId="56" priority="23">
      <formula>Q24:S24=0</formula>
    </cfRule>
  </conditionalFormatting>
  <conditionalFormatting sqref="AA41:AH51">
    <cfRule type="expression" dxfId="55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Q41:Q51 M36:M52 E40:E52 T41:T51 AA40:AA51" xr:uid="{7983C1B6-A9B4-41A6-AC37-FD136FA543E3}"/>
  </dataValidations>
  <printOptions horizontalCentered="1"/>
  <pageMargins left="0" right="0" top="0.11811023622047245" bottom="0" header="0" footer="0"/>
  <pageSetup paperSize="9" scale="84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EF9D-CD77-456C-89A2-81C6DC5E5826}">
  <sheetPr>
    <pageSetUpPr fitToPage="1"/>
  </sheetPr>
  <dimension ref="B1:AH54"/>
  <sheetViews>
    <sheetView topLeftCell="A13" zoomScale="70" zoomScaleNormal="70" workbookViewId="0">
      <selection activeCell="BT40" sqref="BT40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79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79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78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15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15</v>
      </c>
      <c r="X13" s="100"/>
      <c r="Y13" s="100"/>
      <c r="Z13" s="101"/>
      <c r="AA13" s="251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283</v>
      </c>
      <c r="R14" s="96"/>
      <c r="S14" s="97"/>
      <c r="T14" s="98">
        <f t="shared" ref="T14:T19" si="2">IFERROR(ROUNDDOWN(Q14/M14,0),"")</f>
        <v>9</v>
      </c>
      <c r="U14" s="84"/>
      <c r="V14" s="84"/>
      <c r="W14" s="99">
        <f t="shared" ref="W14:W19" si="3">IFERROR(Q14-(T14*M14),"")</f>
        <v>13</v>
      </c>
      <c r="X14" s="100"/>
      <c r="Y14" s="100"/>
      <c r="Z14" s="101"/>
      <c r="AA14" s="251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28</v>
      </c>
      <c r="R15" s="96"/>
      <c r="S15" s="97"/>
      <c r="T15" s="98">
        <f t="shared" si="2"/>
        <v>0</v>
      </c>
      <c r="U15" s="84"/>
      <c r="V15" s="84"/>
      <c r="W15" s="99">
        <f t="shared" si="3"/>
        <v>28</v>
      </c>
      <c r="X15" s="100"/>
      <c r="Y15" s="100"/>
      <c r="Z15" s="101"/>
      <c r="AA15" s="251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65</v>
      </c>
      <c r="R16" s="96"/>
      <c r="S16" s="97"/>
      <c r="T16" s="98">
        <f t="shared" ref="T16" si="4">IFERROR(ROUNDDOWN(Q16/M16,0),"")</f>
        <v>1</v>
      </c>
      <c r="U16" s="84"/>
      <c r="V16" s="84"/>
      <c r="W16" s="99">
        <f t="shared" ref="W16" si="5">IFERROR(Q16-(T16*M16),"")</f>
        <v>29</v>
      </c>
      <c r="X16" s="100"/>
      <c r="Y16" s="100"/>
      <c r="Z16" s="101"/>
      <c r="AA16" s="251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8</v>
      </c>
      <c r="R17" s="96"/>
      <c r="S17" s="97"/>
      <c r="T17" s="98">
        <f t="shared" si="2"/>
        <v>0</v>
      </c>
      <c r="U17" s="84"/>
      <c r="V17" s="84"/>
      <c r="W17" s="99">
        <f t="shared" si="3"/>
        <v>8</v>
      </c>
      <c r="X17" s="100"/>
      <c r="Y17" s="100"/>
      <c r="Z17" s="101"/>
      <c r="AA17" s="251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11</v>
      </c>
      <c r="R18" s="96"/>
      <c r="S18" s="97"/>
      <c r="T18" s="98">
        <f t="shared" si="2"/>
        <v>0</v>
      </c>
      <c r="U18" s="84"/>
      <c r="V18" s="84"/>
      <c r="W18" s="99">
        <f t="shared" si="3"/>
        <v>11</v>
      </c>
      <c r="X18" s="100"/>
      <c r="Y18" s="100"/>
      <c r="Z18" s="101"/>
      <c r="AA18" s="251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13</v>
      </c>
      <c r="R19" s="96"/>
      <c r="S19" s="97"/>
      <c r="T19" s="98">
        <f t="shared" si="2"/>
        <v>0</v>
      </c>
      <c r="U19" s="84"/>
      <c r="V19" s="84"/>
      <c r="W19" s="99">
        <f t="shared" si="3"/>
        <v>13</v>
      </c>
      <c r="X19" s="100"/>
      <c r="Y19" s="100"/>
      <c r="Z19" s="101"/>
      <c r="AA19" s="251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13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13</v>
      </c>
      <c r="X20" s="100"/>
      <c r="Y20" s="100"/>
      <c r="Z20" s="101"/>
      <c r="AA20" s="251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65</v>
      </c>
      <c r="R21" s="96"/>
      <c r="S21" s="97"/>
      <c r="T21" s="98">
        <f t="shared" ref="T21" si="8">IFERROR(ROUNDDOWN(Q21/M21,0),"")</f>
        <v>2</v>
      </c>
      <c r="U21" s="84"/>
      <c r="V21" s="84"/>
      <c r="W21" s="99">
        <f t="shared" ref="W21" si="9">IFERROR(Q21-(T21*M21),"")</f>
        <v>5</v>
      </c>
      <c r="X21" s="100"/>
      <c r="Y21" s="100"/>
      <c r="Z21" s="101"/>
      <c r="AA21" s="251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21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21</v>
      </c>
      <c r="X22" s="100"/>
      <c r="Y22" s="100"/>
      <c r="Z22" s="101"/>
      <c r="AA22" s="251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251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522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100000000000001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80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100000000000001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씨제이오산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경기도 오산시 가수동 379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15</v>
      </c>
      <c r="R41" s="216"/>
      <c r="S41" s="216"/>
      <c r="T41" s="217">
        <f>T13</f>
        <v>0</v>
      </c>
      <c r="U41" s="217"/>
      <c r="V41" s="217"/>
      <c r="W41" s="218">
        <f>W13</f>
        <v>15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351" t="str">
        <f t="shared" ref="E42:E50" si="12">E14</f>
        <v>도)리얼모짜치즈돈까스2</v>
      </c>
      <c r="F42" s="223"/>
      <c r="G42" s="223"/>
      <c r="H42" s="223"/>
      <c r="I42" s="223"/>
      <c r="J42" s="223"/>
      <c r="K42" s="223"/>
      <c r="L42" s="296"/>
      <c r="M42" s="83">
        <f t="shared" ref="M42:M51" si="13">M14</f>
        <v>30</v>
      </c>
      <c r="N42" s="83"/>
      <c r="O42" s="83"/>
      <c r="P42" s="83"/>
      <c r="Q42" s="216">
        <f t="shared" ref="Q42:Q51" si="14">Q14</f>
        <v>283</v>
      </c>
      <c r="R42" s="216"/>
      <c r="S42" s="216"/>
      <c r="T42" s="217">
        <f t="shared" ref="T42:T51" si="15">T14</f>
        <v>9</v>
      </c>
      <c r="U42" s="217"/>
      <c r="V42" s="217"/>
      <c r="W42" s="218">
        <f t="shared" ref="W42:W50" si="16">W14</f>
        <v>13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351" t="str">
        <f t="shared" si="12"/>
        <v>도)리얼치즈고구마돈까스2</v>
      </c>
      <c r="F43" s="223"/>
      <c r="G43" s="223"/>
      <c r="H43" s="223"/>
      <c r="I43" s="223"/>
      <c r="J43" s="223"/>
      <c r="K43" s="223"/>
      <c r="L43" s="296"/>
      <c r="M43" s="83">
        <f t="shared" si="13"/>
        <v>30</v>
      </c>
      <c r="N43" s="83"/>
      <c r="O43" s="83"/>
      <c r="P43" s="83"/>
      <c r="Q43" s="216">
        <f t="shared" si="14"/>
        <v>28</v>
      </c>
      <c r="R43" s="216"/>
      <c r="S43" s="216"/>
      <c r="T43" s="217">
        <f t="shared" si="15"/>
        <v>0</v>
      </c>
      <c r="U43" s="217"/>
      <c r="V43" s="217"/>
      <c r="W43" s="218">
        <f t="shared" si="16"/>
        <v>28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351" t="str">
        <f t="shared" si="12"/>
        <v>도)윙봉칠리탕수득템2</v>
      </c>
      <c r="F44" s="223"/>
      <c r="G44" s="223"/>
      <c r="H44" s="223"/>
      <c r="I44" s="223"/>
      <c r="J44" s="223"/>
      <c r="K44" s="223"/>
      <c r="L44" s="296"/>
      <c r="M44" s="83">
        <f t="shared" si="13"/>
        <v>36</v>
      </c>
      <c r="N44" s="83"/>
      <c r="O44" s="83"/>
      <c r="P44" s="83"/>
      <c r="Q44" s="216">
        <f t="shared" si="14"/>
        <v>65</v>
      </c>
      <c r="R44" s="216"/>
      <c r="S44" s="216"/>
      <c r="T44" s="217">
        <f t="shared" si="15"/>
        <v>1</v>
      </c>
      <c r="U44" s="217"/>
      <c r="V44" s="217"/>
      <c r="W44" s="218">
        <f t="shared" si="16"/>
        <v>29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351" t="str">
        <f t="shared" si="12"/>
        <v>도)찍먹윙봉2</v>
      </c>
      <c r="F45" s="223"/>
      <c r="G45" s="223"/>
      <c r="H45" s="223"/>
      <c r="I45" s="223"/>
      <c r="J45" s="223"/>
      <c r="K45" s="223"/>
      <c r="L45" s="296"/>
      <c r="M45" s="83">
        <f t="shared" si="13"/>
        <v>36</v>
      </c>
      <c r="N45" s="83"/>
      <c r="O45" s="83"/>
      <c r="P45" s="83"/>
      <c r="Q45" s="216">
        <f t="shared" si="14"/>
        <v>8</v>
      </c>
      <c r="R45" s="216"/>
      <c r="S45" s="216"/>
      <c r="T45" s="217">
        <f t="shared" si="15"/>
        <v>0</v>
      </c>
      <c r="U45" s="217"/>
      <c r="V45" s="217"/>
      <c r="W45" s="218">
        <f t="shared" si="16"/>
        <v>8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351" t="str">
        <f t="shared" si="12"/>
        <v>도)찍먹탕수육2</v>
      </c>
      <c r="F46" s="223"/>
      <c r="G46" s="223"/>
      <c r="H46" s="223"/>
      <c r="I46" s="223"/>
      <c r="J46" s="223"/>
      <c r="K46" s="223"/>
      <c r="L46" s="296"/>
      <c r="M46" s="83">
        <f t="shared" si="13"/>
        <v>36</v>
      </c>
      <c r="N46" s="83"/>
      <c r="O46" s="83"/>
      <c r="P46" s="83"/>
      <c r="Q46" s="216">
        <f t="shared" si="14"/>
        <v>11</v>
      </c>
      <c r="R46" s="216"/>
      <c r="S46" s="216"/>
      <c r="T46" s="217">
        <f t="shared" si="15"/>
        <v>0</v>
      </c>
      <c r="U46" s="217"/>
      <c r="V46" s="217"/>
      <c r="W46" s="218">
        <f t="shared" si="16"/>
        <v>11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351" t="str">
        <f t="shared" si="12"/>
        <v>도)치맥아보트러플치킨2</v>
      </c>
      <c r="F47" s="223"/>
      <c r="G47" s="223"/>
      <c r="H47" s="223"/>
      <c r="I47" s="223"/>
      <c r="J47" s="223"/>
      <c r="K47" s="223"/>
      <c r="L47" s="296"/>
      <c r="M47" s="83">
        <f t="shared" si="13"/>
        <v>32</v>
      </c>
      <c r="N47" s="83"/>
      <c r="O47" s="83"/>
      <c r="P47" s="83"/>
      <c r="Q47" s="216">
        <f t="shared" si="14"/>
        <v>13</v>
      </c>
      <c r="R47" s="216"/>
      <c r="S47" s="216"/>
      <c r="T47" s="217">
        <f t="shared" si="15"/>
        <v>0</v>
      </c>
      <c r="U47" s="217"/>
      <c r="V47" s="217"/>
      <c r="W47" s="218">
        <f t="shared" si="16"/>
        <v>13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351" t="str">
        <f t="shared" si="12"/>
        <v>도)치즈매콤닭강정감자2</v>
      </c>
      <c r="F48" s="223"/>
      <c r="G48" s="223"/>
      <c r="H48" s="223"/>
      <c r="I48" s="223"/>
      <c r="J48" s="223"/>
      <c r="K48" s="223"/>
      <c r="L48" s="296"/>
      <c r="M48" s="83">
        <f t="shared" si="13"/>
        <v>30</v>
      </c>
      <c r="N48" s="83"/>
      <c r="O48" s="83"/>
      <c r="P48" s="83"/>
      <c r="Q48" s="216">
        <f t="shared" si="14"/>
        <v>13</v>
      </c>
      <c r="R48" s="216"/>
      <c r="S48" s="216"/>
      <c r="T48" s="217">
        <f t="shared" si="15"/>
        <v>0</v>
      </c>
      <c r="U48" s="217"/>
      <c r="V48" s="217"/>
      <c r="W48" s="218">
        <f t="shared" si="16"/>
        <v>13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351" t="str">
        <f t="shared" si="12"/>
        <v>도)치즈청양간장닭강정2</v>
      </c>
      <c r="F49" s="223"/>
      <c r="G49" s="223"/>
      <c r="H49" s="223"/>
      <c r="I49" s="223"/>
      <c r="J49" s="223"/>
      <c r="K49" s="223"/>
      <c r="L49" s="296"/>
      <c r="M49" s="83">
        <f t="shared" si="13"/>
        <v>30</v>
      </c>
      <c r="N49" s="83"/>
      <c r="O49" s="83"/>
      <c r="P49" s="83"/>
      <c r="Q49" s="216">
        <f t="shared" si="14"/>
        <v>65</v>
      </c>
      <c r="R49" s="216"/>
      <c r="S49" s="216"/>
      <c r="T49" s="217">
        <f t="shared" si="15"/>
        <v>2</v>
      </c>
      <c r="U49" s="217"/>
      <c r="V49" s="217"/>
      <c r="W49" s="218">
        <f t="shared" si="16"/>
        <v>5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351" t="str">
        <f t="shared" si="12"/>
        <v>도)쿵야반반닭강정팩2</v>
      </c>
      <c r="F50" s="223"/>
      <c r="G50" s="223"/>
      <c r="H50" s="223"/>
      <c r="I50" s="223"/>
      <c r="J50" s="223"/>
      <c r="K50" s="223"/>
      <c r="L50" s="296"/>
      <c r="M50" s="83">
        <f t="shared" si="13"/>
        <v>36</v>
      </c>
      <c r="N50" s="83"/>
      <c r="O50" s="83"/>
      <c r="P50" s="83"/>
      <c r="Q50" s="216">
        <f t="shared" si="14"/>
        <v>21</v>
      </c>
      <c r="R50" s="216"/>
      <c r="S50" s="216"/>
      <c r="T50" s="217">
        <f t="shared" si="15"/>
        <v>0</v>
      </c>
      <c r="U50" s="217"/>
      <c r="V50" s="217"/>
      <c r="W50" s="218">
        <f t="shared" si="16"/>
        <v>21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351" t="str">
        <f t="shared" ref="E51" si="18">E23</f>
        <v>APP)치맥아보트러플치킨2</v>
      </c>
      <c r="F51" s="223"/>
      <c r="G51" s="223"/>
      <c r="H51" s="223"/>
      <c r="I51" s="223"/>
      <c r="J51" s="223"/>
      <c r="K51" s="223"/>
      <c r="L51" s="296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522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100000000000001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경기도 오산시 가수동 379
031)620-7440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100000000000001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A14">
    <cfRule type="expression" dxfId="54" priority="3008">
      <formula>Q13:S26=0</formula>
    </cfRule>
  </conditionalFormatting>
  <conditionalFormatting sqref="AA15:AA16">
    <cfRule type="expression" dxfId="53" priority="5">
      <formula>Q15:S26=0</formula>
    </cfRule>
  </conditionalFormatting>
  <conditionalFormatting sqref="AA17:AA18">
    <cfRule type="expression" dxfId="52" priority="3006">
      <formula>Q17:S27=0</formula>
    </cfRule>
  </conditionalFormatting>
  <conditionalFormatting sqref="AA19:AA21">
    <cfRule type="expression" dxfId="51" priority="2">
      <formula>Q19:S28=0</formula>
    </cfRule>
  </conditionalFormatting>
  <conditionalFormatting sqref="AA22">
    <cfRule type="expression" dxfId="50" priority="2399">
      <formula>Q22:S29=0</formula>
    </cfRule>
  </conditionalFormatting>
  <conditionalFormatting sqref="AA23">
    <cfRule type="expression" dxfId="49" priority="7">
      <formula>Q23:S31=0</formula>
    </cfRule>
  </conditionalFormatting>
  <conditionalFormatting sqref="AA24:AH24">
    <cfRule type="expression" dxfId="48" priority="23">
      <formula>Q24:S24=0</formula>
    </cfRule>
  </conditionalFormatting>
  <conditionalFormatting sqref="AA41:AH51">
    <cfRule type="expression" dxfId="47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Q41:Q51 M36:M52 E40:E52 T41:T51 AA40:AA51" xr:uid="{A777F8B3-357A-4307-98D1-447F4B53ADE6}"/>
  </dataValidations>
  <printOptions horizontalCentered="1"/>
  <pageMargins left="0" right="0" top="0.11811023622047245" bottom="0" header="0" footer="0"/>
  <pageSetup paperSize="9" scale="84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4C48-AB94-4652-9E4F-826BD5DD2625}">
  <sheetPr>
    <pageSetUpPr fitToPage="1"/>
  </sheetPr>
  <dimension ref="B1:AH54"/>
  <sheetViews>
    <sheetView zoomScale="70" zoomScaleNormal="70" zoomScalePageLayoutView="85" workbookViewId="0">
      <selection activeCell="CT43" sqref="CT43"/>
    </sheetView>
  </sheetViews>
  <sheetFormatPr defaultColWidth="2.33203125" defaultRowHeight="13.5" x14ac:dyDescent="0.15"/>
  <cols>
    <col min="1" max="1" width="2.33203125" style="1"/>
    <col min="2" max="4" width="3" style="1" customWidth="1"/>
    <col min="5" max="11" width="2.33203125" style="1"/>
    <col min="12" max="12" width="5.77734375" style="1" customWidth="1"/>
    <col min="13" max="16" width="1.44140625" style="1" customWidth="1"/>
    <col min="17" max="21" width="2.33203125" style="1"/>
    <col min="22" max="25" width="1.6640625" style="1" customWidth="1"/>
    <col min="26" max="16384" width="2.33203125" style="1"/>
  </cols>
  <sheetData>
    <row r="1" spans="2:34" ht="14.25" thickBot="1" x14ac:dyDescent="0.2">
      <c r="B1" s="3" t="s">
        <v>81</v>
      </c>
    </row>
    <row r="2" spans="2:34" ht="20.100000000000001" customHeight="1" x14ac:dyDescent="0.15">
      <c r="B2" s="102" t="s">
        <v>21</v>
      </c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5"/>
    </row>
    <row r="3" spans="2:34" ht="20.100000000000001" customHeight="1" thickBot="1" x14ac:dyDescent="0.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8"/>
    </row>
    <row r="4" spans="2:34" ht="13.5" customHeight="1" x14ac:dyDescent="0.15">
      <c r="B4" s="109" t="s">
        <v>0</v>
      </c>
      <c r="C4" s="112" t="s">
        <v>3</v>
      </c>
      <c r="D4" s="112"/>
      <c r="E4" s="112"/>
      <c r="F4" s="112"/>
      <c r="G4" s="114"/>
      <c r="H4" s="115"/>
      <c r="I4" s="115"/>
      <c r="J4" s="115"/>
      <c r="K4" s="115"/>
      <c r="L4" s="115"/>
      <c r="M4" s="115"/>
      <c r="N4" s="115"/>
      <c r="O4" s="115"/>
      <c r="P4" s="116"/>
      <c r="Q4" s="109" t="s">
        <v>2</v>
      </c>
      <c r="R4" s="120" t="s">
        <v>3</v>
      </c>
      <c r="S4" s="120"/>
      <c r="T4" s="120"/>
      <c r="U4" s="120"/>
      <c r="V4" s="122" t="s">
        <v>113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4"/>
    </row>
    <row r="5" spans="2:34" x14ac:dyDescent="0.15">
      <c r="B5" s="110"/>
      <c r="C5" s="113"/>
      <c r="D5" s="113"/>
      <c r="E5" s="113"/>
      <c r="F5" s="113"/>
      <c r="G5" s="117"/>
      <c r="H5" s="118"/>
      <c r="I5" s="118"/>
      <c r="J5" s="118"/>
      <c r="K5" s="118"/>
      <c r="L5" s="118"/>
      <c r="M5" s="118"/>
      <c r="N5" s="118"/>
      <c r="O5" s="118"/>
      <c r="P5" s="119"/>
      <c r="Q5" s="110"/>
      <c r="R5" s="121"/>
      <c r="S5" s="121"/>
      <c r="T5" s="121"/>
      <c r="U5" s="121"/>
      <c r="V5" s="125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/>
    </row>
    <row r="6" spans="2:34" ht="13.5" customHeight="1" x14ac:dyDescent="0.15">
      <c r="B6" s="110"/>
      <c r="C6" s="113" t="s">
        <v>13</v>
      </c>
      <c r="D6" s="113"/>
      <c r="E6" s="113"/>
      <c r="F6" s="113"/>
      <c r="G6" s="128" t="s">
        <v>20</v>
      </c>
      <c r="H6" s="129"/>
      <c r="I6" s="129"/>
      <c r="J6" s="129"/>
      <c r="K6" s="130"/>
      <c r="L6" s="128" t="s">
        <v>81</v>
      </c>
      <c r="M6" s="129"/>
      <c r="N6" s="129"/>
      <c r="O6" s="129"/>
      <c r="P6" s="134"/>
      <c r="Q6" s="110"/>
      <c r="R6" s="113" t="s">
        <v>1</v>
      </c>
      <c r="S6" s="113"/>
      <c r="T6" s="113"/>
      <c r="U6" s="113"/>
      <c r="V6" s="144" t="s">
        <v>114</v>
      </c>
      <c r="W6" s="144"/>
      <c r="X6" s="144"/>
      <c r="Y6" s="144"/>
      <c r="Z6" s="144"/>
      <c r="AA6" s="144"/>
      <c r="AB6" s="121" t="s">
        <v>5</v>
      </c>
      <c r="AC6" s="121"/>
      <c r="AD6" s="144" t="s">
        <v>115</v>
      </c>
      <c r="AE6" s="144"/>
      <c r="AF6" s="144"/>
      <c r="AG6" s="144"/>
      <c r="AH6" s="146"/>
    </row>
    <row r="7" spans="2:34" x14ac:dyDescent="0.15">
      <c r="B7" s="110"/>
      <c r="C7" s="113"/>
      <c r="D7" s="113"/>
      <c r="E7" s="113"/>
      <c r="F7" s="113"/>
      <c r="G7" s="131"/>
      <c r="H7" s="132"/>
      <c r="I7" s="132"/>
      <c r="J7" s="132"/>
      <c r="K7" s="133"/>
      <c r="L7" s="131"/>
      <c r="M7" s="132"/>
      <c r="N7" s="132"/>
      <c r="O7" s="132"/>
      <c r="P7" s="135"/>
      <c r="Q7" s="110"/>
      <c r="R7" s="113"/>
      <c r="S7" s="113"/>
      <c r="T7" s="113"/>
      <c r="U7" s="113"/>
      <c r="V7" s="144"/>
      <c r="W7" s="144"/>
      <c r="X7" s="144"/>
      <c r="Y7" s="144"/>
      <c r="Z7" s="144"/>
      <c r="AA7" s="144"/>
      <c r="AB7" s="121"/>
      <c r="AC7" s="121"/>
      <c r="AD7" s="144"/>
      <c r="AE7" s="144"/>
      <c r="AF7" s="144"/>
      <c r="AG7" s="144"/>
      <c r="AH7" s="146"/>
    </row>
    <row r="8" spans="2:34" x14ac:dyDescent="0.15">
      <c r="B8" s="110"/>
      <c r="C8" s="113" t="s">
        <v>4</v>
      </c>
      <c r="D8" s="121"/>
      <c r="E8" s="121"/>
      <c r="F8" s="121"/>
      <c r="G8" s="148" t="s">
        <v>82</v>
      </c>
      <c r="H8" s="149"/>
      <c r="I8" s="149"/>
      <c r="J8" s="149"/>
      <c r="K8" s="149"/>
      <c r="L8" s="149"/>
      <c r="M8" s="149"/>
      <c r="N8" s="149"/>
      <c r="O8" s="149"/>
      <c r="P8" s="149"/>
      <c r="Q8" s="110"/>
      <c r="R8" s="113" t="s">
        <v>4</v>
      </c>
      <c r="S8" s="113"/>
      <c r="T8" s="113"/>
      <c r="U8" s="113"/>
      <c r="V8" s="155" t="s">
        <v>116</v>
      </c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6"/>
    </row>
    <row r="9" spans="2:34" x14ac:dyDescent="0.15">
      <c r="B9" s="110"/>
      <c r="C9" s="121"/>
      <c r="D9" s="121"/>
      <c r="E9" s="121"/>
      <c r="F9" s="121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10"/>
      <c r="R9" s="113"/>
      <c r="S9" s="113"/>
      <c r="T9" s="113"/>
      <c r="U9" s="113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6"/>
    </row>
    <row r="10" spans="2:34" ht="13.5" customHeight="1" x14ac:dyDescent="0.15">
      <c r="B10" s="110"/>
      <c r="C10" s="113" t="s">
        <v>6</v>
      </c>
      <c r="D10" s="113"/>
      <c r="E10" s="113"/>
      <c r="F10" s="113"/>
      <c r="G10" s="137"/>
      <c r="H10" s="138"/>
      <c r="I10" s="138"/>
      <c r="J10" s="138"/>
      <c r="K10" s="138"/>
      <c r="L10" s="138"/>
      <c r="M10" s="138"/>
      <c r="N10" s="138"/>
      <c r="O10" s="138"/>
      <c r="P10" s="139"/>
      <c r="Q10" s="110"/>
      <c r="R10" s="121" t="s">
        <v>11</v>
      </c>
      <c r="S10" s="121"/>
      <c r="T10" s="121"/>
      <c r="U10" s="121"/>
      <c r="V10" s="143" t="s">
        <v>117</v>
      </c>
      <c r="W10" s="144"/>
      <c r="X10" s="144"/>
      <c r="Y10" s="144"/>
      <c r="Z10" s="144"/>
      <c r="AA10" s="144"/>
      <c r="AB10" s="121" t="s">
        <v>12</v>
      </c>
      <c r="AC10" s="121"/>
      <c r="AD10" s="143" t="s">
        <v>118</v>
      </c>
      <c r="AE10" s="144"/>
      <c r="AF10" s="144"/>
      <c r="AG10" s="144"/>
      <c r="AH10" s="146"/>
    </row>
    <row r="11" spans="2:34" ht="14.25" thickBot="1" x14ac:dyDescent="0.2">
      <c r="B11" s="111"/>
      <c r="C11" s="136"/>
      <c r="D11" s="136"/>
      <c r="E11" s="136"/>
      <c r="F11" s="136"/>
      <c r="G11" s="140"/>
      <c r="H11" s="140"/>
      <c r="I11" s="140"/>
      <c r="J11" s="140"/>
      <c r="K11" s="140"/>
      <c r="L11" s="140"/>
      <c r="M11" s="140"/>
      <c r="N11" s="140"/>
      <c r="O11" s="140"/>
      <c r="P11" s="141"/>
      <c r="Q11" s="111"/>
      <c r="R11" s="142"/>
      <c r="S11" s="142"/>
      <c r="T11" s="142"/>
      <c r="U11" s="142"/>
      <c r="V11" s="145"/>
      <c r="W11" s="145"/>
      <c r="X11" s="145"/>
      <c r="Y11" s="145"/>
      <c r="Z11" s="145"/>
      <c r="AA11" s="145"/>
      <c r="AB11" s="142"/>
      <c r="AC11" s="142"/>
      <c r="AD11" s="145"/>
      <c r="AE11" s="145"/>
      <c r="AF11" s="145"/>
      <c r="AG11" s="145"/>
      <c r="AH11" s="147"/>
    </row>
    <row r="12" spans="2:34" ht="20.100000000000001" customHeight="1" x14ac:dyDescent="0.15">
      <c r="B12" s="5" t="s">
        <v>10</v>
      </c>
      <c r="C12" s="6" t="s">
        <v>7</v>
      </c>
      <c r="D12" s="4" t="s">
        <v>8</v>
      </c>
      <c r="E12" s="120" t="s">
        <v>9</v>
      </c>
      <c r="F12" s="157"/>
      <c r="G12" s="157"/>
      <c r="H12" s="157"/>
      <c r="I12" s="157"/>
      <c r="J12" s="157"/>
      <c r="K12" s="157"/>
      <c r="L12" s="157"/>
      <c r="M12" s="86" t="s">
        <v>14</v>
      </c>
      <c r="N12" s="87"/>
      <c r="O12" s="87"/>
      <c r="P12" s="158"/>
      <c r="Q12" s="159" t="s">
        <v>17</v>
      </c>
      <c r="R12" s="160"/>
      <c r="S12" s="161"/>
      <c r="T12" s="159" t="s">
        <v>18</v>
      </c>
      <c r="U12" s="160"/>
      <c r="V12" s="161"/>
      <c r="W12" s="162" t="s">
        <v>19</v>
      </c>
      <c r="X12" s="162"/>
      <c r="Y12" s="162"/>
      <c r="Z12" s="163"/>
      <c r="AA12" s="86" t="s">
        <v>16</v>
      </c>
      <c r="AB12" s="87"/>
      <c r="AC12" s="87"/>
      <c r="AD12" s="87"/>
      <c r="AE12" s="87"/>
      <c r="AF12" s="87"/>
      <c r="AG12" s="87"/>
      <c r="AH12" s="88"/>
    </row>
    <row r="13" spans="2:34" ht="21" customHeight="1" x14ac:dyDescent="0.15">
      <c r="B13" s="152">
        <f>'BGF로지스제주(더원) 날짜변경★'!B13</f>
        <v>46314</v>
      </c>
      <c r="C13" s="153"/>
      <c r="D13" s="154"/>
      <c r="E13" s="89" t="s">
        <v>151</v>
      </c>
      <c r="F13" s="90"/>
      <c r="G13" s="90"/>
      <c r="H13" s="90"/>
      <c r="I13" s="90"/>
      <c r="J13" s="90"/>
      <c r="K13" s="90"/>
      <c r="L13" s="91"/>
      <c r="M13" s="92">
        <v>36</v>
      </c>
      <c r="N13" s="93"/>
      <c r="O13" s="93"/>
      <c r="P13" s="94"/>
      <c r="Q13" s="95">
        <f>IFERROR(VLOOKUP($B$1,대신피벗발주량2편!$A:$ZZ,2,FALSE),0)</f>
        <v>20</v>
      </c>
      <c r="R13" s="96"/>
      <c r="S13" s="97"/>
      <c r="T13" s="98">
        <f t="shared" ref="T13" si="0">IFERROR(ROUNDDOWN(Q13/M13,0),"")</f>
        <v>0</v>
      </c>
      <c r="U13" s="84"/>
      <c r="V13" s="84"/>
      <c r="W13" s="99">
        <f t="shared" ref="W13" si="1">IFERROR(Q13-(T13*M13),"")</f>
        <v>20</v>
      </c>
      <c r="X13" s="100"/>
      <c r="Y13" s="100"/>
      <c r="Z13" s="101"/>
      <c r="AA13" s="251">
        <f>B13+5</f>
        <v>46319</v>
      </c>
      <c r="AB13" s="84"/>
      <c r="AC13" s="84"/>
      <c r="AD13" s="84"/>
      <c r="AE13" s="84"/>
      <c r="AF13" s="84"/>
      <c r="AG13" s="84"/>
      <c r="AH13" s="85"/>
    </row>
    <row r="14" spans="2:34" ht="21" customHeight="1" x14ac:dyDescent="0.15">
      <c r="B14" s="11"/>
      <c r="C14" s="8"/>
      <c r="D14" s="7"/>
      <c r="E14" s="89" t="s">
        <v>121</v>
      </c>
      <c r="F14" s="90"/>
      <c r="G14" s="90"/>
      <c r="H14" s="90"/>
      <c r="I14" s="90"/>
      <c r="J14" s="90"/>
      <c r="K14" s="90"/>
      <c r="L14" s="91"/>
      <c r="M14" s="92">
        <v>30</v>
      </c>
      <c r="N14" s="93"/>
      <c r="O14" s="93"/>
      <c r="P14" s="94"/>
      <c r="Q14" s="95">
        <f>IFERROR(VLOOKUP($B$1,대신피벗발주량2편!$A:$ZZ,4,FALSE),0)</f>
        <v>359</v>
      </c>
      <c r="R14" s="96"/>
      <c r="S14" s="97"/>
      <c r="T14" s="98">
        <f t="shared" ref="T14:T19" si="2">IFERROR(ROUNDDOWN(Q14/M14,0),"")</f>
        <v>11</v>
      </c>
      <c r="U14" s="84"/>
      <c r="V14" s="84"/>
      <c r="W14" s="99">
        <f t="shared" ref="W14:W19" si="3">IFERROR(Q14-(T14*M14),"")</f>
        <v>29</v>
      </c>
      <c r="X14" s="100"/>
      <c r="Y14" s="100"/>
      <c r="Z14" s="101"/>
      <c r="AA14" s="251">
        <f>B13+5</f>
        <v>46319</v>
      </c>
      <c r="AB14" s="84"/>
      <c r="AC14" s="84"/>
      <c r="AD14" s="84"/>
      <c r="AE14" s="84"/>
      <c r="AF14" s="84"/>
      <c r="AG14" s="84"/>
      <c r="AH14" s="85"/>
    </row>
    <row r="15" spans="2:34" ht="21" customHeight="1" x14ac:dyDescent="0.15">
      <c r="B15" s="11"/>
      <c r="C15" s="8"/>
      <c r="D15" s="7"/>
      <c r="E15" s="89" t="s">
        <v>174</v>
      </c>
      <c r="F15" s="90"/>
      <c r="G15" s="90"/>
      <c r="H15" s="90"/>
      <c r="I15" s="90"/>
      <c r="J15" s="90"/>
      <c r="K15" s="90"/>
      <c r="L15" s="91"/>
      <c r="M15" s="92">
        <v>30</v>
      </c>
      <c r="N15" s="93"/>
      <c r="O15" s="93"/>
      <c r="P15" s="94"/>
      <c r="Q15" s="95">
        <f>IFERROR(VLOOKUP($B$1,대신피벗발주량2편!$A:$ZZ,5,FALSE),0)</f>
        <v>19</v>
      </c>
      <c r="R15" s="96"/>
      <c r="S15" s="97"/>
      <c r="T15" s="98">
        <f t="shared" si="2"/>
        <v>0</v>
      </c>
      <c r="U15" s="84"/>
      <c r="V15" s="84"/>
      <c r="W15" s="99">
        <f t="shared" si="3"/>
        <v>19</v>
      </c>
      <c r="X15" s="100"/>
      <c r="Y15" s="100"/>
      <c r="Z15" s="101"/>
      <c r="AA15" s="251">
        <f>B13+5-1</f>
        <v>46318</v>
      </c>
      <c r="AB15" s="84"/>
      <c r="AC15" s="84"/>
      <c r="AD15" s="84"/>
      <c r="AE15" s="84"/>
      <c r="AF15" s="84"/>
      <c r="AG15" s="84"/>
      <c r="AH15" s="85"/>
    </row>
    <row r="16" spans="2:34" ht="21" customHeight="1" x14ac:dyDescent="0.15">
      <c r="B16" s="11"/>
      <c r="C16" s="8"/>
      <c r="D16" s="7"/>
      <c r="E16" s="89" t="s">
        <v>133</v>
      </c>
      <c r="F16" s="90"/>
      <c r="G16" s="90"/>
      <c r="H16" s="90"/>
      <c r="I16" s="90"/>
      <c r="J16" s="90"/>
      <c r="K16" s="90"/>
      <c r="L16" s="91"/>
      <c r="M16" s="92">
        <v>36</v>
      </c>
      <c r="N16" s="93"/>
      <c r="O16" s="93"/>
      <c r="P16" s="94"/>
      <c r="Q16" s="95">
        <f>IFERROR(VLOOKUP($B$1,대신피벗발주량2편!$A:$ZZ,6,FALSE),0)</f>
        <v>68</v>
      </c>
      <c r="R16" s="96"/>
      <c r="S16" s="97"/>
      <c r="T16" s="98">
        <f t="shared" ref="T16" si="4">IFERROR(ROUNDDOWN(Q16/M16,0),"")</f>
        <v>1</v>
      </c>
      <c r="U16" s="84"/>
      <c r="V16" s="84"/>
      <c r="W16" s="99">
        <f t="shared" ref="W16" si="5">IFERROR(Q16-(T16*M16),"")</f>
        <v>32</v>
      </c>
      <c r="X16" s="100"/>
      <c r="Y16" s="100"/>
      <c r="Z16" s="101"/>
      <c r="AA16" s="251">
        <f>B13+5-1</f>
        <v>46318</v>
      </c>
      <c r="AB16" s="84"/>
      <c r="AC16" s="84"/>
      <c r="AD16" s="84"/>
      <c r="AE16" s="84"/>
      <c r="AF16" s="84"/>
      <c r="AG16" s="84"/>
      <c r="AH16" s="85"/>
    </row>
    <row r="17" spans="2:34" ht="21" customHeight="1" x14ac:dyDescent="0.15">
      <c r="B17" s="11"/>
      <c r="C17" s="8"/>
      <c r="D17" s="7"/>
      <c r="E17" s="89" t="s">
        <v>143</v>
      </c>
      <c r="F17" s="90"/>
      <c r="G17" s="90"/>
      <c r="H17" s="90"/>
      <c r="I17" s="90"/>
      <c r="J17" s="90"/>
      <c r="K17" s="90"/>
      <c r="L17" s="91"/>
      <c r="M17" s="92">
        <v>36</v>
      </c>
      <c r="N17" s="93"/>
      <c r="O17" s="93"/>
      <c r="P17" s="94"/>
      <c r="Q17" s="95">
        <f>IFERROR(VLOOKUP($B$1,대신피벗발주량2편!$A:$ZZ,7,FALSE),0)</f>
        <v>5</v>
      </c>
      <c r="R17" s="96"/>
      <c r="S17" s="97"/>
      <c r="T17" s="98">
        <f t="shared" si="2"/>
        <v>0</v>
      </c>
      <c r="U17" s="84"/>
      <c r="V17" s="84"/>
      <c r="W17" s="99">
        <f t="shared" si="3"/>
        <v>5</v>
      </c>
      <c r="X17" s="100"/>
      <c r="Y17" s="100"/>
      <c r="Z17" s="101"/>
      <c r="AA17" s="251">
        <f>B13+4</f>
        <v>46318</v>
      </c>
      <c r="AB17" s="84"/>
      <c r="AC17" s="84"/>
      <c r="AD17" s="84"/>
      <c r="AE17" s="84"/>
      <c r="AF17" s="84"/>
      <c r="AG17" s="84"/>
      <c r="AH17" s="85"/>
    </row>
    <row r="18" spans="2:34" ht="21" customHeight="1" x14ac:dyDescent="0.15">
      <c r="B18" s="9"/>
      <c r="C18" s="10"/>
      <c r="D18" s="10"/>
      <c r="E18" s="89" t="s">
        <v>144</v>
      </c>
      <c r="F18" s="90"/>
      <c r="G18" s="90"/>
      <c r="H18" s="90"/>
      <c r="I18" s="90"/>
      <c r="J18" s="90"/>
      <c r="K18" s="90"/>
      <c r="L18" s="91"/>
      <c r="M18" s="92">
        <v>36</v>
      </c>
      <c r="N18" s="93"/>
      <c r="O18" s="93"/>
      <c r="P18" s="94"/>
      <c r="Q18" s="95">
        <f>IFERROR(VLOOKUP($B$1,대신피벗발주량2편!$A:$ZZ,8,FALSE),0)</f>
        <v>11</v>
      </c>
      <c r="R18" s="96"/>
      <c r="S18" s="97"/>
      <c r="T18" s="98">
        <f t="shared" si="2"/>
        <v>0</v>
      </c>
      <c r="U18" s="84"/>
      <c r="V18" s="84"/>
      <c r="W18" s="99">
        <f t="shared" si="3"/>
        <v>11</v>
      </c>
      <c r="X18" s="100"/>
      <c r="Y18" s="100"/>
      <c r="Z18" s="101"/>
      <c r="AA18" s="251">
        <f>B13+4</f>
        <v>46318</v>
      </c>
      <c r="AB18" s="84"/>
      <c r="AC18" s="84"/>
      <c r="AD18" s="84"/>
      <c r="AE18" s="84"/>
      <c r="AF18" s="84"/>
      <c r="AG18" s="84"/>
      <c r="AH18" s="85"/>
    </row>
    <row r="19" spans="2:34" ht="21" customHeight="1" x14ac:dyDescent="0.15">
      <c r="B19" s="9"/>
      <c r="C19" s="10"/>
      <c r="D19" s="10"/>
      <c r="E19" s="89" t="s">
        <v>160</v>
      </c>
      <c r="F19" s="90"/>
      <c r="G19" s="90"/>
      <c r="H19" s="90"/>
      <c r="I19" s="90"/>
      <c r="J19" s="90"/>
      <c r="K19" s="90"/>
      <c r="L19" s="91"/>
      <c r="M19" s="92">
        <v>32</v>
      </c>
      <c r="N19" s="93"/>
      <c r="O19" s="93"/>
      <c r="P19" s="94"/>
      <c r="Q19" s="95">
        <f>IFERROR(VLOOKUP($B$1,대신피벗발주량2편!$A:$ZZ,9,FALSE),0)</f>
        <v>19</v>
      </c>
      <c r="R19" s="96"/>
      <c r="S19" s="97"/>
      <c r="T19" s="98">
        <f t="shared" si="2"/>
        <v>0</v>
      </c>
      <c r="U19" s="84"/>
      <c r="V19" s="84"/>
      <c r="W19" s="99">
        <f t="shared" si="3"/>
        <v>19</v>
      </c>
      <c r="X19" s="100"/>
      <c r="Y19" s="100"/>
      <c r="Z19" s="101"/>
      <c r="AA19" s="251">
        <f>B13+4</f>
        <v>46318</v>
      </c>
      <c r="AB19" s="84"/>
      <c r="AC19" s="84"/>
      <c r="AD19" s="84"/>
      <c r="AE19" s="84"/>
      <c r="AF19" s="84"/>
      <c r="AG19" s="84"/>
      <c r="AH19" s="85"/>
    </row>
    <row r="20" spans="2:34" ht="21" customHeight="1" x14ac:dyDescent="0.15">
      <c r="B20" s="9"/>
      <c r="C20" s="10"/>
      <c r="D20" s="10"/>
      <c r="E20" s="89" t="s">
        <v>178</v>
      </c>
      <c r="F20" s="90"/>
      <c r="G20" s="90"/>
      <c r="H20" s="90"/>
      <c r="I20" s="90"/>
      <c r="J20" s="90"/>
      <c r="K20" s="90"/>
      <c r="L20" s="91"/>
      <c r="M20" s="92">
        <v>30</v>
      </c>
      <c r="N20" s="93"/>
      <c r="O20" s="93"/>
      <c r="P20" s="94"/>
      <c r="Q20" s="95">
        <f>IFERROR(VLOOKUP($B$1,대신피벗발주량2편!$A:$ZZ,10,FALSE),0)</f>
        <v>9</v>
      </c>
      <c r="R20" s="96"/>
      <c r="S20" s="97"/>
      <c r="T20" s="98">
        <f t="shared" ref="T20" si="6">IFERROR(ROUNDDOWN(Q20/M20,0),"")</f>
        <v>0</v>
      </c>
      <c r="U20" s="84"/>
      <c r="V20" s="84"/>
      <c r="W20" s="99">
        <f t="shared" ref="W20" si="7">IFERROR(Q20-(T20*M20),"")</f>
        <v>9</v>
      </c>
      <c r="X20" s="100"/>
      <c r="Y20" s="100"/>
      <c r="Z20" s="101"/>
      <c r="AA20" s="251">
        <f>B13+4</f>
        <v>46318</v>
      </c>
      <c r="AB20" s="84"/>
      <c r="AC20" s="84"/>
      <c r="AD20" s="84"/>
      <c r="AE20" s="84"/>
      <c r="AF20" s="84"/>
      <c r="AG20" s="84"/>
      <c r="AH20" s="85"/>
    </row>
    <row r="21" spans="2:34" ht="21" customHeight="1" x14ac:dyDescent="0.15">
      <c r="B21" s="9"/>
      <c r="C21" s="10"/>
      <c r="D21" s="10"/>
      <c r="E21" s="89" t="s">
        <v>170</v>
      </c>
      <c r="F21" s="90"/>
      <c r="G21" s="90"/>
      <c r="H21" s="90"/>
      <c r="I21" s="90"/>
      <c r="J21" s="90"/>
      <c r="K21" s="90"/>
      <c r="L21" s="91"/>
      <c r="M21" s="92">
        <v>30</v>
      </c>
      <c r="N21" s="93"/>
      <c r="O21" s="93"/>
      <c r="P21" s="94"/>
      <c r="Q21" s="95">
        <f>IFERROR(VLOOKUP($B$1,대신피벗발주량2편!$A:$ZZ,11,FALSE),0)</f>
        <v>75</v>
      </c>
      <c r="R21" s="96"/>
      <c r="S21" s="97"/>
      <c r="T21" s="98">
        <f t="shared" ref="T21" si="8">IFERROR(ROUNDDOWN(Q21/M21,0),"")</f>
        <v>2</v>
      </c>
      <c r="U21" s="84"/>
      <c r="V21" s="84"/>
      <c r="W21" s="99">
        <f t="shared" ref="W21" si="9">IFERROR(Q21-(T21*M21),"")</f>
        <v>15</v>
      </c>
      <c r="X21" s="100"/>
      <c r="Y21" s="100"/>
      <c r="Z21" s="101"/>
      <c r="AA21" s="251">
        <f>B13+5</f>
        <v>46319</v>
      </c>
      <c r="AB21" s="84"/>
      <c r="AC21" s="84"/>
      <c r="AD21" s="84"/>
      <c r="AE21" s="84"/>
      <c r="AF21" s="84"/>
      <c r="AG21" s="84"/>
      <c r="AH21" s="85"/>
    </row>
    <row r="22" spans="2:34" ht="21" customHeight="1" x14ac:dyDescent="0.15">
      <c r="B22" s="9"/>
      <c r="C22" s="10"/>
      <c r="D22" s="10"/>
      <c r="E22" s="89" t="s">
        <v>166</v>
      </c>
      <c r="F22" s="90"/>
      <c r="G22" s="90"/>
      <c r="H22" s="90"/>
      <c r="I22" s="90"/>
      <c r="J22" s="90"/>
      <c r="K22" s="90"/>
      <c r="L22" s="91"/>
      <c r="M22" s="92">
        <v>36</v>
      </c>
      <c r="N22" s="93"/>
      <c r="O22" s="93"/>
      <c r="P22" s="94"/>
      <c r="Q22" s="95">
        <f>IFERROR(VLOOKUP($B$1,대신피벗발주량2편!$A:$ZZ,12,FALSE),0)</f>
        <v>25</v>
      </c>
      <c r="R22" s="96"/>
      <c r="S22" s="97"/>
      <c r="T22" s="98">
        <f>IFERROR(ROUNDDOWN(Q22/M22,0),"")</f>
        <v>0</v>
      </c>
      <c r="U22" s="84"/>
      <c r="V22" s="84"/>
      <c r="W22" s="99">
        <f>IFERROR(Q22-(T22*M22),"")</f>
        <v>25</v>
      </c>
      <c r="X22" s="100"/>
      <c r="Y22" s="100"/>
      <c r="Z22" s="101"/>
      <c r="AA22" s="251">
        <f>B13+4</f>
        <v>46318</v>
      </c>
      <c r="AB22" s="84"/>
      <c r="AC22" s="84"/>
      <c r="AD22" s="84"/>
      <c r="AE22" s="84"/>
      <c r="AF22" s="84"/>
      <c r="AG22" s="84"/>
      <c r="AH22" s="85"/>
    </row>
    <row r="23" spans="2:34" ht="21" customHeight="1" x14ac:dyDescent="0.15">
      <c r="B23" s="11"/>
      <c r="C23" s="8"/>
      <c r="D23" s="7"/>
      <c r="E23" s="89" t="s">
        <v>161</v>
      </c>
      <c r="F23" s="90"/>
      <c r="G23" s="90"/>
      <c r="H23" s="90"/>
      <c r="I23" s="90"/>
      <c r="J23" s="90"/>
      <c r="K23" s="90"/>
      <c r="L23" s="91"/>
      <c r="M23" s="92">
        <v>32</v>
      </c>
      <c r="N23" s="93"/>
      <c r="O23" s="93"/>
      <c r="P23" s="94"/>
      <c r="Q23" s="95">
        <f>IFERROR(VLOOKUP($B$1,'대신 사전예약피벗발주량2편'!$A:$ZZ,2,FALSE),0)</f>
        <v>0</v>
      </c>
      <c r="R23" s="96"/>
      <c r="S23" s="97"/>
      <c r="T23" s="98">
        <f t="shared" ref="T23" si="10">IFERROR(ROUNDDOWN(Q23/M23,0),"")</f>
        <v>0</v>
      </c>
      <c r="U23" s="84"/>
      <c r="V23" s="84"/>
      <c r="W23" s="99">
        <f t="shared" ref="W23" si="11">IFERROR(Q23-(T23*M23),"")</f>
        <v>0</v>
      </c>
      <c r="X23" s="100"/>
      <c r="Y23" s="100"/>
      <c r="Z23" s="101"/>
      <c r="AA23" s="251">
        <f>B13+4</f>
        <v>46318</v>
      </c>
      <c r="AB23" s="84"/>
      <c r="AC23" s="84"/>
      <c r="AD23" s="84"/>
      <c r="AE23" s="84"/>
      <c r="AF23" s="84"/>
      <c r="AG23" s="84"/>
      <c r="AH23" s="85"/>
    </row>
    <row r="24" spans="2:34" ht="21" customHeight="1" x14ac:dyDescent="0.15">
      <c r="B24" s="9"/>
      <c r="C24" s="10"/>
      <c r="D24" s="10"/>
      <c r="E24" s="89"/>
      <c r="F24" s="90"/>
      <c r="G24" s="90"/>
      <c r="H24" s="90"/>
      <c r="I24" s="90"/>
      <c r="J24" s="90"/>
      <c r="K24" s="90"/>
      <c r="L24" s="91"/>
      <c r="M24" s="92"/>
      <c r="N24" s="93"/>
      <c r="O24" s="93"/>
      <c r="P24" s="94"/>
      <c r="Q24" s="95"/>
      <c r="R24" s="96"/>
      <c r="S24" s="97"/>
      <c r="T24" s="98"/>
      <c r="U24" s="84"/>
      <c r="V24" s="84"/>
      <c r="W24" s="99"/>
      <c r="X24" s="100"/>
      <c r="Y24" s="100"/>
      <c r="Z24" s="101"/>
      <c r="AA24" s="84"/>
      <c r="AB24" s="84"/>
      <c r="AC24" s="84"/>
      <c r="AD24" s="84"/>
      <c r="AE24" s="84"/>
      <c r="AF24" s="84"/>
      <c r="AG24" s="84"/>
      <c r="AH24" s="85"/>
    </row>
    <row r="25" spans="2:34" ht="20.100000000000001" customHeight="1" thickBot="1" x14ac:dyDescent="0.2">
      <c r="B25" s="164" t="s">
        <v>17</v>
      </c>
      <c r="C25" s="165"/>
      <c r="D25" s="166"/>
      <c r="E25" s="167"/>
      <c r="F25" s="168"/>
      <c r="G25" s="168"/>
      <c r="H25" s="168"/>
      <c r="I25" s="168"/>
      <c r="J25" s="168"/>
      <c r="K25" s="168"/>
      <c r="L25" s="168"/>
      <c r="M25" s="169">
        <f>SUM(Q13:S24)</f>
        <v>610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1"/>
      <c r="AA25" s="172"/>
      <c r="AB25" s="172"/>
      <c r="AC25" s="172"/>
      <c r="AD25" s="172"/>
      <c r="AE25" s="172"/>
      <c r="AF25" s="172"/>
      <c r="AG25" s="172"/>
      <c r="AH25" s="173"/>
    </row>
    <row r="26" spans="2:34" ht="17.25" customHeight="1" x14ac:dyDescent="0.15">
      <c r="B26" s="174" t="s">
        <v>15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6"/>
      <c r="W26" s="180" t="s">
        <v>83</v>
      </c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2"/>
    </row>
    <row r="27" spans="2:34" ht="17.25" customHeight="1" thickBot="1" x14ac:dyDescent="0.2"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9"/>
      <c r="W27" s="183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5"/>
    </row>
    <row r="28" spans="2:34" ht="9.9499999999999993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</row>
    <row r="29" spans="2:34" ht="9.9499999999999993" customHeight="1" thickBo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2:34" ht="20.100000000000001" customHeight="1" x14ac:dyDescent="0.15">
      <c r="B30" s="195" t="s">
        <v>22</v>
      </c>
      <c r="C30" s="196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8"/>
    </row>
    <row r="31" spans="2:34" ht="20.100000000000001" customHeight="1" x14ac:dyDescent="0.15">
      <c r="B31" s="199"/>
      <c r="C31" s="200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2"/>
    </row>
    <row r="32" spans="2:34" ht="13.5" customHeight="1" x14ac:dyDescent="0.15">
      <c r="B32" s="203" t="s">
        <v>0</v>
      </c>
      <c r="C32" s="75" t="str">
        <f>C4</f>
        <v>등록번호</v>
      </c>
      <c r="D32" s="75"/>
      <c r="E32" s="75"/>
      <c r="F32" s="75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75" t="s">
        <v>2</v>
      </c>
      <c r="R32" s="186" t="s">
        <v>3</v>
      </c>
      <c r="S32" s="186"/>
      <c r="T32" s="186"/>
      <c r="U32" s="186"/>
      <c r="V32" s="187" t="str">
        <f>V4</f>
        <v>397-85-00686</v>
      </c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8"/>
    </row>
    <row r="33" spans="2:34" x14ac:dyDescent="0.15">
      <c r="B33" s="203"/>
      <c r="C33" s="75"/>
      <c r="D33" s="75"/>
      <c r="E33" s="75"/>
      <c r="F33" s="75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75"/>
      <c r="R33" s="186"/>
      <c r="S33" s="186"/>
      <c r="T33" s="186"/>
      <c r="U33" s="186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</row>
    <row r="34" spans="2:34" ht="13.5" customHeight="1" x14ac:dyDescent="0.15">
      <c r="B34" s="203"/>
      <c r="C34" s="75" t="str">
        <f>C6</f>
        <v>상 호
(법인명)</v>
      </c>
      <c r="D34" s="75"/>
      <c r="E34" s="75"/>
      <c r="F34" s="75"/>
      <c r="G34" s="189" t="str">
        <f>G6</f>
        <v>CU (BGF)</v>
      </c>
      <c r="H34" s="190"/>
      <c r="I34" s="190"/>
      <c r="J34" s="190"/>
      <c r="K34" s="191"/>
      <c r="L34" s="189" t="str">
        <f>L6</f>
        <v>BGF로지스검단</v>
      </c>
      <c r="M34" s="190"/>
      <c r="N34" s="190"/>
      <c r="O34" s="190"/>
      <c r="P34" s="191"/>
      <c r="Q34" s="75"/>
      <c r="R34" s="75" t="s">
        <v>1</v>
      </c>
      <c r="S34" s="75"/>
      <c r="T34" s="75"/>
      <c r="U34" s="75"/>
      <c r="V34" s="212" t="str">
        <f>V6</f>
        <v>㈜대신에프에스</v>
      </c>
      <c r="W34" s="212"/>
      <c r="X34" s="212"/>
      <c r="Y34" s="212"/>
      <c r="Z34" s="212"/>
      <c r="AA34" s="212"/>
      <c r="AB34" s="186" t="s">
        <v>5</v>
      </c>
      <c r="AC34" s="186"/>
      <c r="AD34" s="212" t="str">
        <f>AD6</f>
        <v>신판철</v>
      </c>
      <c r="AE34" s="212"/>
      <c r="AF34" s="212"/>
      <c r="AG34" s="212"/>
      <c r="AH34" s="214"/>
    </row>
    <row r="35" spans="2:34" x14ac:dyDescent="0.15">
      <c r="B35" s="203"/>
      <c r="C35" s="75"/>
      <c r="D35" s="75"/>
      <c r="E35" s="75"/>
      <c r="F35" s="75"/>
      <c r="G35" s="192"/>
      <c r="H35" s="193"/>
      <c r="I35" s="193"/>
      <c r="J35" s="193"/>
      <c r="K35" s="194"/>
      <c r="L35" s="192"/>
      <c r="M35" s="193"/>
      <c r="N35" s="193"/>
      <c r="O35" s="193"/>
      <c r="P35" s="194"/>
      <c r="Q35" s="75"/>
      <c r="R35" s="75"/>
      <c r="S35" s="75"/>
      <c r="T35" s="75"/>
      <c r="U35" s="75"/>
      <c r="V35" s="212"/>
      <c r="W35" s="212"/>
      <c r="X35" s="212"/>
      <c r="Y35" s="212"/>
      <c r="Z35" s="212"/>
      <c r="AA35" s="212"/>
      <c r="AB35" s="186"/>
      <c r="AC35" s="186"/>
      <c r="AD35" s="212"/>
      <c r="AE35" s="212"/>
      <c r="AF35" s="212"/>
      <c r="AG35" s="212"/>
      <c r="AH35" s="214"/>
    </row>
    <row r="36" spans="2:34" x14ac:dyDescent="0.15">
      <c r="B36" s="203"/>
      <c r="C36" s="75" t="s">
        <v>4</v>
      </c>
      <c r="D36" s="186"/>
      <c r="E36" s="186"/>
      <c r="F36" s="186"/>
      <c r="G36" s="206" t="str">
        <f>G8</f>
        <v>인천광역시 서구 드림로 700
 (당하동 457-1)</v>
      </c>
      <c r="H36" s="206"/>
      <c r="I36" s="206"/>
      <c r="J36" s="206"/>
      <c r="K36" s="206"/>
      <c r="L36" s="206"/>
      <c r="M36" s="206"/>
      <c r="N36" s="206"/>
      <c r="O36" s="206"/>
      <c r="P36" s="206"/>
      <c r="Q36" s="75"/>
      <c r="R36" s="75" t="s">
        <v>4</v>
      </c>
      <c r="S36" s="75"/>
      <c r="T36" s="75"/>
      <c r="U36" s="75"/>
      <c r="V36" s="76" t="str">
        <f>V8</f>
        <v>전라북도 부안군 행안면 옥여길 32-76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7"/>
    </row>
    <row r="37" spans="2:34" x14ac:dyDescent="0.15">
      <c r="B37" s="203"/>
      <c r="C37" s="186"/>
      <c r="D37" s="186"/>
      <c r="E37" s="186"/>
      <c r="F37" s="18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75"/>
      <c r="R37" s="75"/>
      <c r="S37" s="75"/>
      <c r="T37" s="75"/>
      <c r="U37" s="75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7"/>
    </row>
    <row r="38" spans="2:34" ht="13.5" customHeight="1" x14ac:dyDescent="0.15">
      <c r="B38" s="203"/>
      <c r="C38" s="75" t="s">
        <v>6</v>
      </c>
      <c r="D38" s="75"/>
      <c r="E38" s="75"/>
      <c r="F38" s="75"/>
      <c r="G38" s="207"/>
      <c r="H38" s="208"/>
      <c r="I38" s="208"/>
      <c r="J38" s="208"/>
      <c r="K38" s="208"/>
      <c r="L38" s="208"/>
      <c r="M38" s="208"/>
      <c r="N38" s="208"/>
      <c r="O38" s="208"/>
      <c r="P38" s="208"/>
      <c r="Q38" s="75"/>
      <c r="R38" s="186" t="s">
        <v>11</v>
      </c>
      <c r="S38" s="186"/>
      <c r="T38" s="186"/>
      <c r="U38" s="186"/>
      <c r="V38" s="211" t="str">
        <f>V10</f>
        <v>도매및 소매업</v>
      </c>
      <c r="W38" s="212"/>
      <c r="X38" s="212"/>
      <c r="Y38" s="212"/>
      <c r="Z38" s="212"/>
      <c r="AA38" s="212"/>
      <c r="AB38" s="186" t="str">
        <f>AB10</f>
        <v>종 목</v>
      </c>
      <c r="AC38" s="186"/>
      <c r="AD38" s="211" t="str">
        <f>AD10</f>
        <v xml:space="preserve">빵 과자류 </v>
      </c>
      <c r="AE38" s="212"/>
      <c r="AF38" s="212"/>
      <c r="AG38" s="212"/>
      <c r="AH38" s="214"/>
    </row>
    <row r="39" spans="2:34" x14ac:dyDescent="0.15">
      <c r="B39" s="203"/>
      <c r="C39" s="75"/>
      <c r="D39" s="75"/>
      <c r="E39" s="75"/>
      <c r="F39" s="75"/>
      <c r="G39" s="208"/>
      <c r="H39" s="208"/>
      <c r="I39" s="208"/>
      <c r="J39" s="208"/>
      <c r="K39" s="208"/>
      <c r="L39" s="208"/>
      <c r="M39" s="209"/>
      <c r="N39" s="209"/>
      <c r="O39" s="209"/>
      <c r="P39" s="209"/>
      <c r="Q39" s="205"/>
      <c r="R39" s="210"/>
      <c r="S39" s="210"/>
      <c r="T39" s="210"/>
      <c r="U39" s="210"/>
      <c r="V39" s="213"/>
      <c r="W39" s="213"/>
      <c r="X39" s="213"/>
      <c r="Y39" s="213"/>
      <c r="Z39" s="213"/>
      <c r="AA39" s="213"/>
      <c r="AB39" s="210"/>
      <c r="AC39" s="210"/>
      <c r="AD39" s="213"/>
      <c r="AE39" s="213"/>
      <c r="AF39" s="213"/>
      <c r="AG39" s="213"/>
      <c r="AH39" s="215"/>
    </row>
    <row r="40" spans="2:34" ht="20.100000000000001" customHeight="1" x14ac:dyDescent="0.15">
      <c r="B40" s="16" t="s">
        <v>10</v>
      </c>
      <c r="C40" s="17" t="s">
        <v>7</v>
      </c>
      <c r="D40" s="15" t="s">
        <v>8</v>
      </c>
      <c r="E40" s="186" t="s">
        <v>9</v>
      </c>
      <c r="F40" s="225"/>
      <c r="G40" s="225"/>
      <c r="H40" s="225"/>
      <c r="I40" s="225"/>
      <c r="J40" s="225"/>
      <c r="K40" s="225"/>
      <c r="L40" s="226"/>
      <c r="M40" s="220" t="s">
        <v>14</v>
      </c>
      <c r="N40" s="220"/>
      <c r="O40" s="220"/>
      <c r="P40" s="220"/>
      <c r="Q40" s="227" t="s">
        <v>17</v>
      </c>
      <c r="R40" s="227"/>
      <c r="S40" s="227"/>
      <c r="T40" s="227" t="s">
        <v>18</v>
      </c>
      <c r="U40" s="227"/>
      <c r="V40" s="227"/>
      <c r="W40" s="220" t="s">
        <v>19</v>
      </c>
      <c r="X40" s="220"/>
      <c r="Y40" s="220"/>
      <c r="Z40" s="220"/>
      <c r="AA40" s="219" t="s">
        <v>16</v>
      </c>
      <c r="AB40" s="220"/>
      <c r="AC40" s="220"/>
      <c r="AD40" s="220"/>
      <c r="AE40" s="220"/>
      <c r="AF40" s="220"/>
      <c r="AG40" s="220"/>
      <c r="AH40" s="221"/>
    </row>
    <row r="41" spans="2:34" ht="21" customHeight="1" x14ac:dyDescent="0.15">
      <c r="B41" s="222">
        <f>B13</f>
        <v>46314</v>
      </c>
      <c r="C41" s="223"/>
      <c r="D41" s="224"/>
      <c r="E41" s="81" t="str">
        <f>E13</f>
        <v>도)깐풍기&amp;표고탕수2</v>
      </c>
      <c r="F41" s="82"/>
      <c r="G41" s="82"/>
      <c r="H41" s="82"/>
      <c r="I41" s="82"/>
      <c r="J41" s="82"/>
      <c r="K41" s="82"/>
      <c r="L41" s="82"/>
      <c r="M41" s="83">
        <f>M13</f>
        <v>36</v>
      </c>
      <c r="N41" s="83"/>
      <c r="O41" s="83"/>
      <c r="P41" s="83"/>
      <c r="Q41" s="216">
        <f>Q13</f>
        <v>20</v>
      </c>
      <c r="R41" s="216"/>
      <c r="S41" s="216"/>
      <c r="T41" s="217">
        <f>T13</f>
        <v>0</v>
      </c>
      <c r="U41" s="217"/>
      <c r="V41" s="217"/>
      <c r="W41" s="218">
        <f>W13</f>
        <v>20</v>
      </c>
      <c r="X41" s="218"/>
      <c r="Y41" s="218"/>
      <c r="Z41" s="218"/>
      <c r="AA41" s="253">
        <f>AA13</f>
        <v>46319</v>
      </c>
      <c r="AB41" s="217"/>
      <c r="AC41" s="217"/>
      <c r="AD41" s="217"/>
      <c r="AE41" s="217"/>
      <c r="AF41" s="217"/>
      <c r="AG41" s="217"/>
      <c r="AH41" s="243"/>
    </row>
    <row r="42" spans="2:34" ht="21" customHeight="1" x14ac:dyDescent="0.15">
      <c r="B42" s="20"/>
      <c r="C42" s="21"/>
      <c r="D42" s="22"/>
      <c r="E42" s="351" t="str">
        <f t="shared" ref="E42:E50" si="12">E14</f>
        <v>도)리얼모짜치즈돈까스2</v>
      </c>
      <c r="F42" s="223"/>
      <c r="G42" s="223"/>
      <c r="H42" s="223"/>
      <c r="I42" s="223"/>
      <c r="J42" s="223"/>
      <c r="K42" s="223"/>
      <c r="L42" s="296"/>
      <c r="M42" s="83">
        <f t="shared" ref="M42:M51" si="13">M14</f>
        <v>30</v>
      </c>
      <c r="N42" s="83"/>
      <c r="O42" s="83"/>
      <c r="P42" s="83"/>
      <c r="Q42" s="216">
        <f t="shared" ref="Q42:Q51" si="14">Q14</f>
        <v>359</v>
      </c>
      <c r="R42" s="216"/>
      <c r="S42" s="216"/>
      <c r="T42" s="217">
        <f t="shared" ref="T42:T51" si="15">T14</f>
        <v>11</v>
      </c>
      <c r="U42" s="217"/>
      <c r="V42" s="217"/>
      <c r="W42" s="218">
        <f t="shared" ref="W42:W50" si="16">W14</f>
        <v>29</v>
      </c>
      <c r="X42" s="218"/>
      <c r="Y42" s="218"/>
      <c r="Z42" s="218"/>
      <c r="AA42" s="253">
        <f t="shared" ref="AA42:AA51" si="17">AA14</f>
        <v>46319</v>
      </c>
      <c r="AB42" s="217"/>
      <c r="AC42" s="217"/>
      <c r="AD42" s="217"/>
      <c r="AE42" s="217"/>
      <c r="AF42" s="217"/>
      <c r="AG42" s="217"/>
      <c r="AH42" s="243"/>
    </row>
    <row r="43" spans="2:34" ht="20.25" customHeight="1" x14ac:dyDescent="0.15">
      <c r="B43" s="20"/>
      <c r="C43" s="21"/>
      <c r="D43" s="22"/>
      <c r="E43" s="351" t="str">
        <f t="shared" si="12"/>
        <v>도)리얼치즈고구마돈까스2</v>
      </c>
      <c r="F43" s="223"/>
      <c r="G43" s="223"/>
      <c r="H43" s="223"/>
      <c r="I43" s="223"/>
      <c r="J43" s="223"/>
      <c r="K43" s="223"/>
      <c r="L43" s="296"/>
      <c r="M43" s="83">
        <f t="shared" si="13"/>
        <v>30</v>
      </c>
      <c r="N43" s="83"/>
      <c r="O43" s="83"/>
      <c r="P43" s="83"/>
      <c r="Q43" s="216">
        <f t="shared" si="14"/>
        <v>19</v>
      </c>
      <c r="R43" s="216"/>
      <c r="S43" s="216"/>
      <c r="T43" s="217">
        <f t="shared" si="15"/>
        <v>0</v>
      </c>
      <c r="U43" s="217"/>
      <c r="V43" s="217"/>
      <c r="W43" s="218">
        <f t="shared" si="16"/>
        <v>19</v>
      </c>
      <c r="X43" s="218"/>
      <c r="Y43" s="218"/>
      <c r="Z43" s="218"/>
      <c r="AA43" s="253">
        <f t="shared" si="17"/>
        <v>46318</v>
      </c>
      <c r="AB43" s="217"/>
      <c r="AC43" s="217"/>
      <c r="AD43" s="217"/>
      <c r="AE43" s="217"/>
      <c r="AF43" s="217"/>
      <c r="AG43" s="217"/>
      <c r="AH43" s="243"/>
    </row>
    <row r="44" spans="2:34" ht="20.25" customHeight="1" x14ac:dyDescent="0.15">
      <c r="B44" s="20"/>
      <c r="C44" s="21"/>
      <c r="D44" s="22"/>
      <c r="E44" s="351" t="str">
        <f t="shared" si="12"/>
        <v>도)윙봉칠리탕수득템2</v>
      </c>
      <c r="F44" s="223"/>
      <c r="G44" s="223"/>
      <c r="H44" s="223"/>
      <c r="I44" s="223"/>
      <c r="J44" s="223"/>
      <c r="K44" s="223"/>
      <c r="L44" s="296"/>
      <c r="M44" s="83">
        <f t="shared" si="13"/>
        <v>36</v>
      </c>
      <c r="N44" s="83"/>
      <c r="O44" s="83"/>
      <c r="P44" s="83"/>
      <c r="Q44" s="216">
        <f t="shared" si="14"/>
        <v>68</v>
      </c>
      <c r="R44" s="216"/>
      <c r="S44" s="216"/>
      <c r="T44" s="217">
        <f t="shared" si="15"/>
        <v>1</v>
      </c>
      <c r="U44" s="217"/>
      <c r="V44" s="217"/>
      <c r="W44" s="218">
        <f t="shared" si="16"/>
        <v>32</v>
      </c>
      <c r="X44" s="218"/>
      <c r="Y44" s="218"/>
      <c r="Z44" s="218"/>
      <c r="AA44" s="253">
        <f t="shared" si="17"/>
        <v>46318</v>
      </c>
      <c r="AB44" s="217"/>
      <c r="AC44" s="217"/>
      <c r="AD44" s="217"/>
      <c r="AE44" s="217"/>
      <c r="AF44" s="217"/>
      <c r="AG44" s="217"/>
      <c r="AH44" s="243"/>
    </row>
    <row r="45" spans="2:34" ht="20.25" customHeight="1" x14ac:dyDescent="0.15">
      <c r="B45" s="20"/>
      <c r="C45" s="21"/>
      <c r="D45" s="22"/>
      <c r="E45" s="351" t="str">
        <f t="shared" si="12"/>
        <v>도)찍먹윙봉2</v>
      </c>
      <c r="F45" s="223"/>
      <c r="G45" s="223"/>
      <c r="H45" s="223"/>
      <c r="I45" s="223"/>
      <c r="J45" s="223"/>
      <c r="K45" s="223"/>
      <c r="L45" s="296"/>
      <c r="M45" s="83">
        <f t="shared" si="13"/>
        <v>36</v>
      </c>
      <c r="N45" s="83"/>
      <c r="O45" s="83"/>
      <c r="P45" s="83"/>
      <c r="Q45" s="216">
        <f t="shared" si="14"/>
        <v>5</v>
      </c>
      <c r="R45" s="216"/>
      <c r="S45" s="216"/>
      <c r="T45" s="217">
        <f t="shared" si="15"/>
        <v>0</v>
      </c>
      <c r="U45" s="217"/>
      <c r="V45" s="217"/>
      <c r="W45" s="218">
        <f t="shared" si="16"/>
        <v>5</v>
      </c>
      <c r="X45" s="218"/>
      <c r="Y45" s="218"/>
      <c r="Z45" s="218"/>
      <c r="AA45" s="253">
        <f t="shared" si="17"/>
        <v>46318</v>
      </c>
      <c r="AB45" s="217"/>
      <c r="AC45" s="217"/>
      <c r="AD45" s="217"/>
      <c r="AE45" s="217"/>
      <c r="AF45" s="217"/>
      <c r="AG45" s="217"/>
      <c r="AH45" s="243"/>
    </row>
    <row r="46" spans="2:34" ht="21" customHeight="1" x14ac:dyDescent="0.15">
      <c r="B46" s="25"/>
      <c r="C46" s="26"/>
      <c r="D46" s="27"/>
      <c r="E46" s="351" t="str">
        <f t="shared" si="12"/>
        <v>도)찍먹탕수육2</v>
      </c>
      <c r="F46" s="223"/>
      <c r="G46" s="223"/>
      <c r="H46" s="223"/>
      <c r="I46" s="223"/>
      <c r="J46" s="223"/>
      <c r="K46" s="223"/>
      <c r="L46" s="296"/>
      <c r="M46" s="83">
        <f t="shared" si="13"/>
        <v>36</v>
      </c>
      <c r="N46" s="83"/>
      <c r="O46" s="83"/>
      <c r="P46" s="83"/>
      <c r="Q46" s="216">
        <f t="shared" si="14"/>
        <v>11</v>
      </c>
      <c r="R46" s="216"/>
      <c r="S46" s="216"/>
      <c r="T46" s="217">
        <f t="shared" si="15"/>
        <v>0</v>
      </c>
      <c r="U46" s="217"/>
      <c r="V46" s="217"/>
      <c r="W46" s="218">
        <f t="shared" si="16"/>
        <v>11</v>
      </c>
      <c r="X46" s="218"/>
      <c r="Y46" s="218"/>
      <c r="Z46" s="218"/>
      <c r="AA46" s="253">
        <f t="shared" si="17"/>
        <v>46318</v>
      </c>
      <c r="AB46" s="217"/>
      <c r="AC46" s="217"/>
      <c r="AD46" s="217"/>
      <c r="AE46" s="217"/>
      <c r="AF46" s="217"/>
      <c r="AG46" s="217"/>
      <c r="AH46" s="243"/>
    </row>
    <row r="47" spans="2:34" ht="21" customHeight="1" x14ac:dyDescent="0.15">
      <c r="B47" s="25"/>
      <c r="C47" s="26"/>
      <c r="D47" s="27"/>
      <c r="E47" s="351" t="str">
        <f t="shared" si="12"/>
        <v>도)치맥아보트러플치킨2</v>
      </c>
      <c r="F47" s="223"/>
      <c r="G47" s="223"/>
      <c r="H47" s="223"/>
      <c r="I47" s="223"/>
      <c r="J47" s="223"/>
      <c r="K47" s="223"/>
      <c r="L47" s="296"/>
      <c r="M47" s="83">
        <f t="shared" si="13"/>
        <v>32</v>
      </c>
      <c r="N47" s="83"/>
      <c r="O47" s="83"/>
      <c r="P47" s="83"/>
      <c r="Q47" s="216">
        <f t="shared" si="14"/>
        <v>19</v>
      </c>
      <c r="R47" s="216"/>
      <c r="S47" s="216"/>
      <c r="T47" s="217">
        <f t="shared" si="15"/>
        <v>0</v>
      </c>
      <c r="U47" s="217"/>
      <c r="V47" s="217"/>
      <c r="W47" s="218">
        <f t="shared" si="16"/>
        <v>19</v>
      </c>
      <c r="X47" s="218"/>
      <c r="Y47" s="218"/>
      <c r="Z47" s="218"/>
      <c r="AA47" s="253">
        <f t="shared" si="17"/>
        <v>46318</v>
      </c>
      <c r="AB47" s="217"/>
      <c r="AC47" s="217"/>
      <c r="AD47" s="217"/>
      <c r="AE47" s="217"/>
      <c r="AF47" s="217"/>
      <c r="AG47" s="217"/>
      <c r="AH47" s="243"/>
    </row>
    <row r="48" spans="2:34" ht="21" customHeight="1" x14ac:dyDescent="0.15">
      <c r="B48" s="25"/>
      <c r="C48" s="26"/>
      <c r="D48" s="27"/>
      <c r="E48" s="351" t="str">
        <f t="shared" si="12"/>
        <v>도)치즈매콤닭강정감자2</v>
      </c>
      <c r="F48" s="223"/>
      <c r="G48" s="223"/>
      <c r="H48" s="223"/>
      <c r="I48" s="223"/>
      <c r="J48" s="223"/>
      <c r="K48" s="223"/>
      <c r="L48" s="296"/>
      <c r="M48" s="83">
        <f t="shared" si="13"/>
        <v>30</v>
      </c>
      <c r="N48" s="83"/>
      <c r="O48" s="83"/>
      <c r="P48" s="83"/>
      <c r="Q48" s="216">
        <f t="shared" si="14"/>
        <v>9</v>
      </c>
      <c r="R48" s="216"/>
      <c r="S48" s="216"/>
      <c r="T48" s="217">
        <f t="shared" si="15"/>
        <v>0</v>
      </c>
      <c r="U48" s="217"/>
      <c r="V48" s="217"/>
      <c r="W48" s="218">
        <f t="shared" si="16"/>
        <v>9</v>
      </c>
      <c r="X48" s="218"/>
      <c r="Y48" s="218"/>
      <c r="Z48" s="218"/>
      <c r="AA48" s="253">
        <f t="shared" si="17"/>
        <v>46318</v>
      </c>
      <c r="AB48" s="217"/>
      <c r="AC48" s="217"/>
      <c r="AD48" s="217"/>
      <c r="AE48" s="217"/>
      <c r="AF48" s="217"/>
      <c r="AG48" s="217"/>
      <c r="AH48" s="243"/>
    </row>
    <row r="49" spans="2:34" ht="21" customHeight="1" x14ac:dyDescent="0.15">
      <c r="B49" s="25"/>
      <c r="C49" s="26"/>
      <c r="D49" s="27"/>
      <c r="E49" s="351" t="str">
        <f t="shared" si="12"/>
        <v>도)치즈청양간장닭강정2</v>
      </c>
      <c r="F49" s="223"/>
      <c r="G49" s="223"/>
      <c r="H49" s="223"/>
      <c r="I49" s="223"/>
      <c r="J49" s="223"/>
      <c r="K49" s="223"/>
      <c r="L49" s="296"/>
      <c r="M49" s="83">
        <f t="shared" si="13"/>
        <v>30</v>
      </c>
      <c r="N49" s="83"/>
      <c r="O49" s="83"/>
      <c r="P49" s="83"/>
      <c r="Q49" s="216">
        <f t="shared" si="14"/>
        <v>75</v>
      </c>
      <c r="R49" s="216"/>
      <c r="S49" s="216"/>
      <c r="T49" s="217">
        <f t="shared" si="15"/>
        <v>2</v>
      </c>
      <c r="U49" s="217"/>
      <c r="V49" s="217"/>
      <c r="W49" s="218">
        <f t="shared" si="16"/>
        <v>15</v>
      </c>
      <c r="X49" s="218"/>
      <c r="Y49" s="218"/>
      <c r="Z49" s="218"/>
      <c r="AA49" s="253">
        <f t="shared" si="17"/>
        <v>46319</v>
      </c>
      <c r="AB49" s="217"/>
      <c r="AC49" s="217"/>
      <c r="AD49" s="217"/>
      <c r="AE49" s="217"/>
      <c r="AF49" s="217"/>
      <c r="AG49" s="217"/>
      <c r="AH49" s="243"/>
    </row>
    <row r="50" spans="2:34" ht="21" customHeight="1" x14ac:dyDescent="0.15">
      <c r="B50" s="25"/>
      <c r="C50" s="26"/>
      <c r="D50" s="27"/>
      <c r="E50" s="351" t="str">
        <f t="shared" si="12"/>
        <v>도)쿵야반반닭강정팩2</v>
      </c>
      <c r="F50" s="223"/>
      <c r="G50" s="223"/>
      <c r="H50" s="223"/>
      <c r="I50" s="223"/>
      <c r="J50" s="223"/>
      <c r="K50" s="223"/>
      <c r="L50" s="296"/>
      <c r="M50" s="83">
        <f t="shared" si="13"/>
        <v>36</v>
      </c>
      <c r="N50" s="83"/>
      <c r="O50" s="83"/>
      <c r="P50" s="83"/>
      <c r="Q50" s="216">
        <f t="shared" si="14"/>
        <v>25</v>
      </c>
      <c r="R50" s="216"/>
      <c r="S50" s="216"/>
      <c r="T50" s="217">
        <f t="shared" si="15"/>
        <v>0</v>
      </c>
      <c r="U50" s="217"/>
      <c r="V50" s="217"/>
      <c r="W50" s="218">
        <f t="shared" si="16"/>
        <v>25</v>
      </c>
      <c r="X50" s="218"/>
      <c r="Y50" s="218"/>
      <c r="Z50" s="218"/>
      <c r="AA50" s="253">
        <f t="shared" si="17"/>
        <v>46318</v>
      </c>
      <c r="AB50" s="217"/>
      <c r="AC50" s="217"/>
      <c r="AD50" s="217"/>
      <c r="AE50" s="217"/>
      <c r="AF50" s="217"/>
      <c r="AG50" s="217"/>
      <c r="AH50" s="243"/>
    </row>
    <row r="51" spans="2:34" ht="21" customHeight="1" x14ac:dyDescent="0.15">
      <c r="B51" s="20"/>
      <c r="C51" s="21"/>
      <c r="D51" s="22"/>
      <c r="E51" s="351" t="str">
        <f t="shared" ref="E51" si="18">E23</f>
        <v>APP)치맥아보트러플치킨2</v>
      </c>
      <c r="F51" s="223"/>
      <c r="G51" s="223"/>
      <c r="H51" s="223"/>
      <c r="I51" s="223"/>
      <c r="J51" s="223"/>
      <c r="K51" s="223"/>
      <c r="L51" s="296"/>
      <c r="M51" s="83">
        <f t="shared" si="13"/>
        <v>32</v>
      </c>
      <c r="N51" s="83"/>
      <c r="O51" s="83"/>
      <c r="P51" s="83"/>
      <c r="Q51" s="216">
        <f t="shared" si="14"/>
        <v>0</v>
      </c>
      <c r="R51" s="216"/>
      <c r="S51" s="216"/>
      <c r="T51" s="217">
        <f t="shared" si="15"/>
        <v>0</v>
      </c>
      <c r="U51" s="217"/>
      <c r="V51" s="217"/>
      <c r="W51" s="218">
        <f>W23</f>
        <v>0</v>
      </c>
      <c r="X51" s="218"/>
      <c r="Y51" s="218"/>
      <c r="Z51" s="218"/>
      <c r="AA51" s="253">
        <f t="shared" si="17"/>
        <v>46318</v>
      </c>
      <c r="AB51" s="217"/>
      <c r="AC51" s="217"/>
      <c r="AD51" s="217"/>
      <c r="AE51" s="217"/>
      <c r="AF51" s="217"/>
      <c r="AG51" s="217"/>
      <c r="AH51" s="243"/>
    </row>
    <row r="52" spans="2:34" ht="21" customHeight="1" x14ac:dyDescent="0.15">
      <c r="B52" s="244" t="str">
        <f>B25</f>
        <v>총수량</v>
      </c>
      <c r="C52" s="245"/>
      <c r="D52" s="246"/>
      <c r="E52" s="81"/>
      <c r="F52" s="82"/>
      <c r="G52" s="82"/>
      <c r="H52" s="82"/>
      <c r="I52" s="82"/>
      <c r="J52" s="82"/>
      <c r="K52" s="82"/>
      <c r="L52" s="82"/>
      <c r="M52" s="247">
        <f t="shared" ref="M52" si="19">M25</f>
        <v>610</v>
      </c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8"/>
      <c r="AB52" s="249"/>
      <c r="AC52" s="249"/>
      <c r="AD52" s="249"/>
      <c r="AE52" s="249"/>
      <c r="AF52" s="249"/>
      <c r="AG52" s="249"/>
      <c r="AH52" s="250"/>
    </row>
    <row r="53" spans="2:34" ht="17.25" customHeight="1" x14ac:dyDescent="0.15">
      <c r="B53" s="228" t="str">
        <f>B26</f>
        <v>3자물류 (더원물류)
담당자 박병선이사  010-4448-1456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30"/>
      <c r="N53" s="230"/>
      <c r="O53" s="230"/>
      <c r="P53" s="230"/>
      <c r="Q53" s="230"/>
      <c r="R53" s="230"/>
      <c r="S53" s="230"/>
      <c r="T53" s="230"/>
      <c r="U53" s="230"/>
      <c r="V53" s="231"/>
      <c r="W53" s="235" t="str">
        <f>W26</f>
        <v>인천광역시 서구 드림로 700 
(당하동 457-1)
032-713-4050</v>
      </c>
      <c r="X53" s="236"/>
      <c r="Y53" s="236"/>
      <c r="Z53" s="236"/>
      <c r="AA53" s="237"/>
      <c r="AB53" s="237"/>
      <c r="AC53" s="237"/>
      <c r="AD53" s="237"/>
      <c r="AE53" s="237"/>
      <c r="AF53" s="237"/>
      <c r="AG53" s="237"/>
      <c r="AH53" s="238"/>
    </row>
    <row r="54" spans="2:34" ht="17.25" customHeight="1" thickBot="1" x14ac:dyDescent="0.2">
      <c r="B54" s="232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4"/>
      <c r="W54" s="239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1"/>
    </row>
  </sheetData>
  <mergeCells count="212">
    <mergeCell ref="E47:L47"/>
    <mergeCell ref="M47:P47"/>
    <mergeCell ref="Q47:S47"/>
    <mergeCell ref="T47:V47"/>
    <mergeCell ref="W47:Z47"/>
    <mergeCell ref="AA47:AH47"/>
    <mergeCell ref="E49:L49"/>
    <mergeCell ref="M49:P49"/>
    <mergeCell ref="Q49:S49"/>
    <mergeCell ref="T49:V49"/>
    <mergeCell ref="W49:Z49"/>
    <mergeCell ref="AA49:AH49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7:L17"/>
    <mergeCell ref="M17:P17"/>
    <mergeCell ref="Q17:S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T17:V17"/>
    <mergeCell ref="W17:Z17"/>
    <mergeCell ref="AA17:AH17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23:L23"/>
    <mergeCell ref="M23:P23"/>
    <mergeCell ref="Q23:S23"/>
    <mergeCell ref="T23:V23"/>
    <mergeCell ref="W23:Z23"/>
    <mergeCell ref="AA23:AH23"/>
    <mergeCell ref="E22:L22"/>
    <mergeCell ref="M22:P22"/>
    <mergeCell ref="Q22:S22"/>
    <mergeCell ref="T22:V22"/>
    <mergeCell ref="W22:Z22"/>
    <mergeCell ref="AA22:AH22"/>
    <mergeCell ref="E20:L20"/>
    <mergeCell ref="M20:P20"/>
    <mergeCell ref="Q20:S20"/>
    <mergeCell ref="T20:V20"/>
    <mergeCell ref="W20:Z20"/>
    <mergeCell ref="AA20:AH20"/>
    <mergeCell ref="B25:D25"/>
    <mergeCell ref="E25:L25"/>
    <mergeCell ref="M25:Z25"/>
    <mergeCell ref="AA25:AH25"/>
    <mergeCell ref="B26:V27"/>
    <mergeCell ref="W26:AH27"/>
    <mergeCell ref="E24:L24"/>
    <mergeCell ref="M24:P24"/>
    <mergeCell ref="Q24:S24"/>
    <mergeCell ref="T24:V24"/>
    <mergeCell ref="W24:Z24"/>
    <mergeCell ref="AA24:AH24"/>
    <mergeCell ref="R34:U35"/>
    <mergeCell ref="V34:AA35"/>
    <mergeCell ref="AB34:AC35"/>
    <mergeCell ref="AD34:AH35"/>
    <mergeCell ref="C36:F37"/>
    <mergeCell ref="G36:P37"/>
    <mergeCell ref="R36:U37"/>
    <mergeCell ref="V36:AH37"/>
    <mergeCell ref="B30:AH31"/>
    <mergeCell ref="B32:B39"/>
    <mergeCell ref="C32:F33"/>
    <mergeCell ref="G32:P33"/>
    <mergeCell ref="Q32:Q39"/>
    <mergeCell ref="R32:U33"/>
    <mergeCell ref="V32:AH33"/>
    <mergeCell ref="C34:F35"/>
    <mergeCell ref="G34:K35"/>
    <mergeCell ref="L34:P35"/>
    <mergeCell ref="E40:L40"/>
    <mergeCell ref="M40:P40"/>
    <mergeCell ref="Q40:S40"/>
    <mergeCell ref="T40:V40"/>
    <mergeCell ref="W40:Z40"/>
    <mergeCell ref="AA40:AH40"/>
    <mergeCell ref="C38:F39"/>
    <mergeCell ref="G38:P39"/>
    <mergeCell ref="R38:U39"/>
    <mergeCell ref="V38:AA39"/>
    <mergeCell ref="AB38:AC39"/>
    <mergeCell ref="AD38:AH39"/>
    <mergeCell ref="B41:D41"/>
    <mergeCell ref="E41:L41"/>
    <mergeCell ref="M41:P41"/>
    <mergeCell ref="Q41:S41"/>
    <mergeCell ref="T41:V41"/>
    <mergeCell ref="W41:Z41"/>
    <mergeCell ref="E42:L42"/>
    <mergeCell ref="M42:P42"/>
    <mergeCell ref="Q42:S42"/>
    <mergeCell ref="T42:V42"/>
    <mergeCell ref="W42:Z42"/>
    <mergeCell ref="AA45:AH45"/>
    <mergeCell ref="AA42:AH42"/>
    <mergeCell ref="E43:L43"/>
    <mergeCell ref="M43:P43"/>
    <mergeCell ref="Q43:S43"/>
    <mergeCell ref="T43:V43"/>
    <mergeCell ref="W43:Z43"/>
    <mergeCell ref="AA43:AH43"/>
    <mergeCell ref="E44:L44"/>
    <mergeCell ref="M44:P44"/>
    <mergeCell ref="Q44:S44"/>
    <mergeCell ref="T44:V44"/>
    <mergeCell ref="W44:Z44"/>
    <mergeCell ref="AA44:AH44"/>
    <mergeCell ref="E50:L50"/>
    <mergeCell ref="M50:P50"/>
    <mergeCell ref="Q50:S50"/>
    <mergeCell ref="T50:V50"/>
    <mergeCell ref="B53:V54"/>
    <mergeCell ref="W53:AH54"/>
    <mergeCell ref="E51:L51"/>
    <mergeCell ref="M51:P51"/>
    <mergeCell ref="Q51:S51"/>
    <mergeCell ref="T51:V51"/>
    <mergeCell ref="W51:Z51"/>
    <mergeCell ref="AA51:AH51"/>
    <mergeCell ref="B52:D52"/>
    <mergeCell ref="E52:L52"/>
    <mergeCell ref="M52:Z52"/>
    <mergeCell ref="AA52:AH52"/>
    <mergeCell ref="W50:Z50"/>
    <mergeCell ref="AA50:AH50"/>
    <mergeCell ref="E21:L21"/>
    <mergeCell ref="M21:P21"/>
    <mergeCell ref="Q21:S21"/>
    <mergeCell ref="T21:V21"/>
    <mergeCell ref="W21:Z21"/>
    <mergeCell ref="AA21:AH21"/>
    <mergeCell ref="E48:L48"/>
    <mergeCell ref="M48:P48"/>
    <mergeCell ref="Q48:S48"/>
    <mergeCell ref="T48:V48"/>
    <mergeCell ref="W48:Z48"/>
    <mergeCell ref="AA48:AH48"/>
    <mergeCell ref="M46:P46"/>
    <mergeCell ref="Q46:S46"/>
    <mergeCell ref="T46:V46"/>
    <mergeCell ref="W46:Z46"/>
    <mergeCell ref="AA46:AH46"/>
    <mergeCell ref="E46:L46"/>
    <mergeCell ref="AA41:AH41"/>
    <mergeCell ref="E45:L45"/>
    <mergeCell ref="M45:P45"/>
    <mergeCell ref="Q45:S45"/>
    <mergeCell ref="T45:V45"/>
    <mergeCell ref="W45:Z45"/>
  </mergeCells>
  <phoneticPr fontId="2" type="noConversion"/>
  <conditionalFormatting sqref="AA13:AA14">
    <cfRule type="expression" dxfId="46" priority="3004">
      <formula>Q13:S26=0</formula>
    </cfRule>
  </conditionalFormatting>
  <conditionalFormatting sqref="AA15:AA16">
    <cfRule type="expression" dxfId="45" priority="5">
      <formula>Q15:S26=0</formula>
    </cfRule>
  </conditionalFormatting>
  <conditionalFormatting sqref="AA17:AA18">
    <cfRule type="expression" dxfId="44" priority="3002">
      <formula>Q17:S27=0</formula>
    </cfRule>
  </conditionalFormatting>
  <conditionalFormatting sqref="AA19:AA21">
    <cfRule type="expression" dxfId="43" priority="2">
      <formula>Q19:S28=0</formula>
    </cfRule>
  </conditionalFormatting>
  <conditionalFormatting sqref="AA22">
    <cfRule type="expression" dxfId="42" priority="2396">
      <formula>Q22:S29=0</formula>
    </cfRule>
  </conditionalFormatting>
  <conditionalFormatting sqref="AA23">
    <cfRule type="expression" dxfId="41" priority="7">
      <formula>Q23:S31=0</formula>
    </cfRule>
  </conditionalFormatting>
  <conditionalFormatting sqref="AA24:AH24">
    <cfRule type="expression" dxfId="40" priority="23">
      <formula>Q24:S24=0</formula>
    </cfRule>
  </conditionalFormatting>
  <conditionalFormatting sqref="AA41:AH51">
    <cfRule type="expression" dxfId="39" priority="4">
      <formula>Q41:S51=0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6 W53 B2:B4 C38 C2:F3 C6 C10 C4 C34 D28:F31 B28:C32 W26 G8:L11 N8:P11 H2:K5 G2:G6 Q2:AH11 M2:P5 L2:L6 G36:L39 N36:P39 H28:K33 G28:G34 Q28:AH39 M28:P33 L28:L34 C12:D12 C40:D40 E25:M25 C14:D24 Q13:Q24 E12:E24 M8:M24 AA12:AA23 B12:B26 T13:T24 B40:B53 C42:D51 Q41:Q51 M36:M52 E40:E52 T41:T51 AA40:AA51" xr:uid="{E84D192A-2000-4571-BF93-8934B2C468E3}"/>
  </dataValidations>
  <printOptions horizontalCentered="1"/>
  <pageMargins left="0" right="0" top="0.11811023622047245" bottom="0" header="0" footer="0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김도희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거래명세표</dc:title>
  <dc:creator>(주)예스폼-김도희</dc:creator>
  <cp:keywords>www.yesform.com</cp:keywords>
  <dc:description>본 문서의 저작권은 예스폼에 있으며 무단복제 배포시 법적인 처벌을 받을 수 있습니다.</dc:description>
  <cp:lastModifiedBy>윤아 김</cp:lastModifiedBy>
  <cp:lastPrinted>2026-10-18T03:43:11Z</cp:lastPrinted>
  <dcterms:created xsi:type="dcterms:W3CDTF">2010-01-19T05:17:14Z</dcterms:created>
  <dcterms:modified xsi:type="dcterms:W3CDTF">2026-10-20T07:18:44Z</dcterms:modified>
</cp:coreProperties>
</file>