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35\공유폴더\상온및냉동\3. BGF-세븐냉동(4시 이후)\1.BGF-(냉동)피킹검수\"/>
    </mc:Choice>
  </mc:AlternateContent>
  <xr:revisionPtr revIDLastSave="0" documentId="13_ncr:1_{78271971-5520-4072-99FC-81F1E6B19192}" xr6:coauthVersionLast="47" xr6:coauthVersionMax="47" xr10:uidLastSave="{00000000-0000-0000-0000-000000000000}"/>
  <bookViews>
    <workbookView xWindow="33930" yWindow="0" windowWidth="22725" windowHeight="15420" tabRatio="905" firstSheet="0" activeTab="1" xr2:uid="{00000000-000D-0000-FFFF-FFFF00000000}"/>
  </bookViews>
  <sheets>
    <sheet name="★참조은 피벗( 냉동)3438600" sheetId="1715" r:id="rId4"/>
    <sheet name="당과점)냉동옥수수타르트" sheetId="2068" r:id="rId5"/>
    <sheet name="참조은)끼리치즈타르트" sheetId="1729" r:id="rId6"/>
    <sheet name="★참조은 피벗( 냉동) (3546200)" sheetId="2141" r:id="rId7"/>
    <sheet name="특)뉴욕베이글블루베리" sheetId="2142" r:id="rId8"/>
    <sheet name="특)뉴욕베이글쿠앤크" sheetId="2143" r:id="rId9"/>
    <sheet name="특)뉴욕베이글플레인" sheetId="2144" r:id="rId10"/>
    <sheet name="특)뉴욕베이글피넛버터" sheetId="2145" r:id="rId11"/>
    <sheet name="스위트조이 피벗" sheetId="2111" r:id="rId12"/>
    <sheet name="스위트)미니언즈스탬프바" sheetId="2112" r:id="rId13"/>
    <sheet name="스위트)아이스딸기바" sheetId="2148" r:id="rId14"/>
    <sheet name="스위트)아이스복숭아바" sheetId="2113" r:id="rId15"/>
    <sheet name="스위트)아이스파인애플바" sheetId="2114" r:id="rId16"/>
    <sheet name="스위트)아이스포도바" sheetId="2115" r:id="rId17"/>
    <sheet name="스위트)주토피아아이스바" sheetId="2116" r:id="rId18"/>
    <sheet name="스위트)토이스토리아이스" sheetId="2146" r:id="rId19"/>
    <sheet name="메롱바 피벗 (2)" sheetId="2150" r:id="rId20"/>
    <sheet name="스위트)메롱바복숭아" sheetId="2149" r:id="rId21"/>
    <sheet name="제주권(AZ공유)" sheetId="2147" r:id="rId22"/>
  </sheets>
  <definedNames>
    <definedName name="_xlnm._FilterDatabase" localSheetId="9" hidden="1">'스위트)미니언즈스탬프바'!$A$3:$F$20</definedName>
    <definedName name="_xlnm._FilterDatabase" localSheetId="10" hidden="1">'스위트)아이스딸기바'!$A$3:$F$20</definedName>
    <definedName name="_xlnm._FilterDatabase" localSheetId="12" hidden="1">'스위트)아이스파인애플바'!$A$3:$F$20</definedName>
    <definedName name="_xlnm.Print_Area" localSheetId="3">'★참조은 피벗( 냉동) (3546200)'!$A$1:$A$2</definedName>
    <definedName name="_xlnm.Print_Area" localSheetId="0">'★참조은 피벗( 냉동)3438600'!$A$1:$A$4</definedName>
    <definedName name="_xlnm.Print_Area" localSheetId="1">'당과점)냉동옥수수타르트'!$A$2:$F$45</definedName>
    <definedName name="_xlnm.Print_Area" localSheetId="16">'메롱바 피벗 (2)'!$A$1:$A$6</definedName>
    <definedName name="_xlnm.Print_Area" localSheetId="17">'스위트)메롱바복숭아'!$A$2:$F$45</definedName>
    <definedName name="_xlnm.Print_Area" localSheetId="9">'스위트)미니언즈스탬프바'!$A$2:$F$45</definedName>
    <definedName name="_xlnm.Print_Area" localSheetId="10">'스위트)아이스딸기바'!$A$2:$F$45</definedName>
    <definedName name="_xlnm.Print_Area" localSheetId="11">'스위트)아이스복숭아바'!$A$2:$F$45</definedName>
    <definedName name="_xlnm.Print_Area" localSheetId="12">'스위트)아이스파인애플바'!$A$2:$F$45</definedName>
    <definedName name="_xlnm.Print_Area" localSheetId="13">'스위트)아이스포도바'!$A$2:$F$45</definedName>
    <definedName name="_xlnm.Print_Area" localSheetId="14">'스위트)주토피아아이스바'!$A$2:$F$45</definedName>
    <definedName name="_xlnm.Print_Area" localSheetId="15">'스위트)토이스토리아이스'!$A$2:$F$45</definedName>
    <definedName name="_xlnm.Print_Area" localSheetId="8">'스위트조이 피벗'!$A$1:$A$6</definedName>
    <definedName name="_xlnm.Print_Area" localSheetId="18">'제주권(AZ공유)'!$A$1:$F$63</definedName>
    <definedName name="_xlnm.Print_Area" localSheetId="2">'참조은)끼리치즈타르트'!$A$2:$F$45</definedName>
    <definedName name="_xlnm.Print_Area" localSheetId="4">'특)뉴욕베이글블루베리'!$A$2:$F$45</definedName>
    <definedName name="_xlnm.Print_Area" localSheetId="5">'특)뉴욕베이글쿠앤크'!$A$2:$F$45</definedName>
    <definedName name="_xlnm.Print_Area" localSheetId="6">'특)뉴욕베이글플레인'!$A$2:$F$45</definedName>
    <definedName name="_xlnm.Print_Area" localSheetId="7">'특)뉴욕베이글피넛버터'!$A$2:$F$45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<sst xmlns="http://schemas.openxmlformats.org/spreadsheetml/2006/main" count="3556" uniqueCount="328">
  <si>
    <t>샐만사)리코타닭가슴살에그</t>
  </si>
  <si>
    <t>카카오)라이언초코케이크</t>
  </si>
  <si>
    <t>박스</t>
  </si>
  <si>
    <t>총합계</t>
  </si>
  <si>
    <t>족발</t>
  </si>
  <si>
    <t>익산</t>
  </si>
  <si>
    <t>고양2</t>
  </si>
  <si>
    <t>김포2</t>
  </si>
  <si>
    <t>도화</t>
  </si>
  <si>
    <t>도화2</t>
  </si>
  <si>
    <t>강릉</t>
  </si>
  <si>
    <t>고양</t>
  </si>
  <si>
    <t>김포3</t>
  </si>
  <si>
    <t>입수</t>
  </si>
  <si>
    <t>낱개</t>
  </si>
  <si>
    <t>껍데기</t>
  </si>
  <si>
    <t>발안</t>
  </si>
  <si>
    <t>원주</t>
  </si>
  <si>
    <t>경산2</t>
  </si>
  <si>
    <t>송파</t>
  </si>
  <si>
    <t>송파2</t>
  </si>
  <si>
    <t>아신A</t>
  </si>
  <si>
    <t>경산</t>
  </si>
  <si>
    <t>센터명</t>
  </si>
  <si>
    <t>발안2</t>
  </si>
  <si>
    <t>곤지암</t>
  </si>
  <si>
    <t>모서리족발
(냉장)</t>
  </si>
  <si>
    <t>소시지콘
치즈그라탕</t>
  </si>
  <si>
    <t>치킨에그콥
샐러드</t>
  </si>
  <si>
    <t>진가쭈꾸미 짬뽕</t>
  </si>
  <si>
    <t>쉬림프레몬콥샐러드</t>
  </si>
  <si>
    <t>직화)모둠햄부대찌개</t>
  </si>
  <si>
    <t>직화)스팸김치찌개</t>
  </si>
  <si>
    <t>케이준치킨에그샐러드</t>
  </si>
  <si>
    <t>VV68 ㈜지에스리테일경산일배센터</t>
  </si>
  <si>
    <t>VV69 ㈜지에스리테일강릉일배센터</t>
  </si>
  <si>
    <t>총 박스 수량  / 총 낱개 수량</t>
  </si>
  <si>
    <t>VV70 ㈜지에스리테일김포3일배</t>
  </si>
  <si>
    <t>VV71 (주)지에스리테일발안2일배</t>
  </si>
  <si>
    <t>VV55 (주)지에스리테일송파2일배</t>
  </si>
  <si>
    <t>VV17 (주)지에스리테일발안일배</t>
  </si>
  <si>
    <t>VV25 (주)지에스리테일진주일배</t>
  </si>
  <si>
    <t>VV11 (주)지에스리테일장성일배</t>
  </si>
  <si>
    <t>VV18 (주)지에스리테일이천일배</t>
  </si>
  <si>
    <t>VV52 (주)지에스리테일남양주일배</t>
  </si>
  <si>
    <t>VV53 (주)지에스리테일송파일배</t>
  </si>
  <si>
    <t>VV57 (주)지에스리테일김해일배</t>
  </si>
  <si>
    <t>VV50 (주)지에스리테일(제성)</t>
  </si>
  <si>
    <t>VV04 (주)지에스리테일공주일배</t>
  </si>
  <si>
    <t>VV60 ㈜지에스리테일오산일배</t>
  </si>
  <si>
    <t>VV16 (주)지에스리테일원주일배</t>
  </si>
  <si>
    <t>VV62 (주)지에스리테일김포2일배</t>
  </si>
  <si>
    <t>VV65 ㈜지에스리테일익산일배</t>
  </si>
  <si>
    <t>VV64 ㈜지에스리테일고양일배2</t>
  </si>
  <si>
    <t>VV66 지에스리테일인천도화일배</t>
  </si>
  <si>
    <t>VV03 (주)지에스리테일(아신A)</t>
  </si>
  <si>
    <t>VV58 (주)지에스리테일김해2일배</t>
  </si>
  <si>
    <t>VV75 (주)지에스리테일공주2일배</t>
  </si>
  <si>
    <t>VV63 ㈜지에스리테일고양일배센터</t>
  </si>
  <si>
    <t>VV34 (주)지에스리테일청주일배</t>
  </si>
  <si>
    <t>VV67 지에스리테일인천도화2일배</t>
  </si>
  <si>
    <t>VV40 (주)지에스리테일(해인경산)</t>
  </si>
  <si>
    <t>VV20 (주)지에스리테일(해인CVS)</t>
  </si>
  <si>
    <t>VV23 (주)지에스리테일(해인FF)</t>
  </si>
  <si>
    <t>돼지갈비</t>
  </si>
  <si>
    <t>반반족보세트</t>
  </si>
  <si>
    <t>검수 리스트</t>
  </si>
  <si>
    <t>행 레이블</t>
  </si>
  <si>
    <t>수제치즈돈까스</t>
  </si>
  <si>
    <t>직화불닭발</t>
  </si>
  <si>
    <t>고양3</t>
  </si>
  <si>
    <t>VV81 (주)지에스리테일고양저온3</t>
  </si>
  <si>
    <t>곤지암2</t>
  </si>
  <si>
    <t>VV83 지에스리테일경산저온</t>
  </si>
  <si>
    <t>VV84 ㈜지에스리테일경산2저온</t>
  </si>
  <si>
    <t>VV85 지에스리테일신오산1저온</t>
  </si>
  <si>
    <t>VV86 지에스리테일신오산2저온</t>
  </si>
  <si>
    <t>VV87 지에스리테일신오산3저온</t>
  </si>
  <si>
    <t>신오산1</t>
  </si>
  <si>
    <t>신오산2</t>
  </si>
  <si>
    <t>신오산3</t>
  </si>
  <si>
    <t>VV90 (주)지에스리테일포천저온</t>
  </si>
  <si>
    <t>VV91 (주)지에스리테일포천2저온</t>
  </si>
  <si>
    <t>낱개</t>
    <phoneticPr fontId="13" type="noConversion"/>
  </si>
  <si>
    <t>VV92 (주)지에스리테일신제주저온</t>
  </si>
  <si>
    <t>VV93 (주)지에스리테일곤지암센터</t>
  </si>
  <si>
    <t>VV94 (주)지에스리테일곤지암2센</t>
  </si>
  <si>
    <t>고기</t>
    <phoneticPr fontId="13" type="noConversion"/>
  </si>
  <si>
    <t>디저트</t>
    <phoneticPr fontId="13" type="noConversion"/>
  </si>
  <si>
    <t>열 레이블</t>
  </si>
  <si>
    <t>VV95 (주)지에스리테일신광주저온</t>
  </si>
  <si>
    <t>VV96 (주)지에스리테일신광주2저</t>
  </si>
  <si>
    <t>박스</t>
    <phoneticPr fontId="13" type="noConversion"/>
  </si>
  <si>
    <t>VV97 (주)지에스리테일경산3저온</t>
  </si>
  <si>
    <t>신광주</t>
  </si>
  <si>
    <t>신광주2</t>
  </si>
  <si>
    <t>포천</t>
  </si>
  <si>
    <t>포천2</t>
  </si>
  <si>
    <t>경산3</t>
  </si>
  <si>
    <t>고촌</t>
    <phoneticPr fontId="13" type="noConversion"/>
  </si>
  <si>
    <t>VV98 (주)지에스리테일고촌저온</t>
  </si>
  <si>
    <t>VV98 (주)지에스리테일고촌저온</t>
    <phoneticPr fontId="13" type="noConversion"/>
  </si>
  <si>
    <t>고촌2</t>
    <phoneticPr fontId="13" type="noConversion"/>
  </si>
  <si>
    <t>VV99 (주)지에스리테일고촌2저온</t>
  </si>
  <si>
    <t>VV99 (주)지에스리테일고촌2저온</t>
    <phoneticPr fontId="13" type="noConversion"/>
  </si>
  <si>
    <t>VV16 (주)지에스리테일원주일배</t>
    <phoneticPr fontId="13" type="noConversion"/>
  </si>
  <si>
    <t>김해</t>
    <phoneticPr fontId="13" type="noConversion"/>
  </si>
  <si>
    <t>김해2</t>
    <phoneticPr fontId="13" type="noConversion"/>
  </si>
  <si>
    <t>원주</t>
    <phoneticPr fontId="13" type="noConversion"/>
  </si>
  <si>
    <t>강릉</t>
    <phoneticPr fontId="13" type="noConversion"/>
  </si>
  <si>
    <t>소분박스</t>
    <phoneticPr fontId="13" type="noConversion"/>
  </si>
  <si>
    <t>소분낱개</t>
    <phoneticPr fontId="13" type="noConversion"/>
  </si>
  <si>
    <t>신광주</t>
    <phoneticPr fontId="13" type="noConversion"/>
  </si>
  <si>
    <t>신광주2</t>
    <phoneticPr fontId="13" type="noConversion"/>
  </si>
  <si>
    <t>익산</t>
    <phoneticPr fontId="13" type="noConversion"/>
  </si>
  <si>
    <t>공주</t>
    <phoneticPr fontId="13" type="noConversion"/>
  </si>
  <si>
    <t>공주2</t>
    <phoneticPr fontId="13" type="noConversion"/>
  </si>
  <si>
    <t>청주</t>
    <phoneticPr fontId="13" type="noConversion"/>
  </si>
  <si>
    <t>진주</t>
    <phoneticPr fontId="13" type="noConversion"/>
  </si>
  <si>
    <t>CVS</t>
    <phoneticPr fontId="13" type="noConversion"/>
  </si>
  <si>
    <t>신제주</t>
    <phoneticPr fontId="13" type="noConversion"/>
  </si>
  <si>
    <t>영남 합계</t>
    <phoneticPr fontId="13" type="noConversion"/>
  </si>
  <si>
    <t>수도권 합계</t>
    <phoneticPr fontId="13" type="noConversion"/>
  </si>
  <si>
    <t>호남 합계</t>
    <phoneticPr fontId="13" type="noConversion"/>
  </si>
  <si>
    <t>VV92 (주)지에스리테일신제주저온</t>
    <phoneticPr fontId="13" type="noConversion"/>
  </si>
  <si>
    <t>신라명과</t>
    <phoneticPr fontId="13" type="noConversion"/>
  </si>
  <si>
    <t>리얼)모닝롤208G</t>
    <phoneticPr fontId="13" type="noConversion"/>
  </si>
  <si>
    <t>리얼)모닝롤208G</t>
  </si>
  <si>
    <t>12/17</t>
  </si>
  <si>
    <t>NEW직화석쇠불고기버거1편</t>
    <phoneticPr fontId="13" type="noConversion"/>
  </si>
  <si>
    <t>NEW직화석쇠불고기버거2편</t>
    <phoneticPr fontId="13" type="noConversion"/>
  </si>
  <si>
    <t>2300원굿딜)매콤불고기1</t>
  </si>
  <si>
    <t>2300원굿딜)매콤불고기2</t>
  </si>
  <si>
    <t>2300원굿딜)불갈비버거1</t>
  </si>
  <si>
    <t>2300원굿딜)불갈비버거2</t>
  </si>
  <si>
    <t>(주)지에스리테일원주일배</t>
    <phoneticPr fontId="13" type="noConversion"/>
  </si>
  <si>
    <t>㈜지에스리테일강릉일배센터</t>
    <phoneticPr fontId="13" type="noConversion"/>
  </si>
  <si>
    <t>(주)지에스리테일김해일배</t>
    <phoneticPr fontId="13" type="noConversion"/>
  </si>
  <si>
    <t>(주)지에스리테일김해2일배</t>
    <phoneticPr fontId="13" type="noConversion"/>
  </si>
  <si>
    <t>(주)지에스리테일공주일배</t>
    <phoneticPr fontId="13" type="noConversion"/>
  </si>
  <si>
    <t>(주)지에스리테일공주2일배</t>
    <phoneticPr fontId="13" type="noConversion"/>
  </si>
  <si>
    <t>(주)지에스리테일청주일배</t>
    <phoneticPr fontId="13" type="noConversion"/>
  </si>
  <si>
    <t>(주)지에스리테일신제주저온</t>
    <phoneticPr fontId="13" type="noConversion"/>
  </si>
  <si>
    <t>(주)지에스리테일진주일배</t>
    <phoneticPr fontId="13" type="noConversion"/>
  </si>
  <si>
    <t>(주)지에스리테일(해인CVS)</t>
    <phoneticPr fontId="13" type="noConversion"/>
  </si>
  <si>
    <t>(주)지에스리테일신광주저온</t>
    <phoneticPr fontId="13" type="noConversion"/>
  </si>
  <si>
    <t>(주)지에스리테일신광주2저</t>
    <phoneticPr fontId="13" type="noConversion"/>
  </si>
  <si>
    <t>지에스리테일경산저온</t>
    <phoneticPr fontId="13" type="noConversion"/>
  </si>
  <si>
    <t>㈜지에스리테일경산2저온</t>
    <phoneticPr fontId="13" type="noConversion"/>
  </si>
  <si>
    <t>(주)지에스리테일경산3저온</t>
    <phoneticPr fontId="13" type="noConversion"/>
  </si>
  <si>
    <t>(주)지에스리테일(아신A)</t>
    <phoneticPr fontId="13" type="noConversion"/>
  </si>
  <si>
    <t>(주)지에스리테일포천저온</t>
    <phoneticPr fontId="13" type="noConversion"/>
  </si>
  <si>
    <t>(주)지에스리테일포천2저온</t>
    <phoneticPr fontId="13" type="noConversion"/>
  </si>
  <si>
    <t>(주)지에스리테일고촌저온</t>
    <phoneticPr fontId="13" type="noConversion"/>
  </si>
  <si>
    <t>(주)지에스리테일고촌2저온</t>
    <phoneticPr fontId="13" type="noConversion"/>
  </si>
  <si>
    <t>㈜지에스리테일고양일배센터</t>
    <phoneticPr fontId="13" type="noConversion"/>
  </si>
  <si>
    <t>㈜지에스리테일고양일배2</t>
    <phoneticPr fontId="13" type="noConversion"/>
  </si>
  <si>
    <t>(주)지에스리테일고양저온3</t>
    <phoneticPr fontId="13" type="noConversion"/>
  </si>
  <si>
    <t>(주)지에스리테일김포2일배</t>
    <phoneticPr fontId="13" type="noConversion"/>
  </si>
  <si>
    <t>㈜지에스리테일김포3일배</t>
    <phoneticPr fontId="13" type="noConversion"/>
  </si>
  <si>
    <t>지에스리테일인천도화일배</t>
    <phoneticPr fontId="13" type="noConversion"/>
  </si>
  <si>
    <t>지에스리테일인천도화2일배</t>
    <phoneticPr fontId="13" type="noConversion"/>
  </si>
  <si>
    <t>(주)지에스리테일발안일배</t>
    <phoneticPr fontId="13" type="noConversion"/>
  </si>
  <si>
    <t>(주)지에스리테일발안2일배</t>
    <phoneticPr fontId="13" type="noConversion"/>
  </si>
  <si>
    <t>(주)지에스리테일송파일배</t>
    <phoneticPr fontId="13" type="noConversion"/>
  </si>
  <si>
    <t>(주)지에스리테일송파2일배</t>
    <phoneticPr fontId="13" type="noConversion"/>
  </si>
  <si>
    <t>(주)지에스리테일곤지암센터</t>
    <phoneticPr fontId="13" type="noConversion"/>
  </si>
  <si>
    <t>(주)지에스리테일곤지암2센</t>
    <phoneticPr fontId="13" type="noConversion"/>
  </si>
  <si>
    <t>지에스리테일신오산1저온</t>
    <phoneticPr fontId="13" type="noConversion"/>
  </si>
  <si>
    <t>지에스리테일신오산2저온</t>
    <phoneticPr fontId="13" type="noConversion"/>
  </si>
  <si>
    <t>㈜지에스리테일익산일배</t>
    <phoneticPr fontId="13" type="noConversion"/>
  </si>
  <si>
    <t>A구역 합계</t>
    <phoneticPr fontId="13" type="noConversion"/>
  </si>
  <si>
    <t>B구역 합계</t>
    <phoneticPr fontId="13" type="noConversion"/>
  </si>
  <si>
    <t>□</t>
  </si>
  <si>
    <t>대신 □</t>
    <phoneticPr fontId="13" type="noConversion"/>
  </si>
  <si>
    <t>황치즈직화석쇠불고기버거1편</t>
  </si>
  <si>
    <t>황치즈직화석쇠불고기버거2편</t>
  </si>
  <si>
    <t>김하나</t>
    <phoneticPr fontId="13" type="noConversion"/>
  </si>
  <si>
    <t>예)그릭샐러드</t>
    <phoneticPr fontId="13" type="noConversion"/>
  </si>
  <si>
    <t>예)닭가슴살샐러드</t>
    <phoneticPr fontId="13" type="noConversion"/>
  </si>
  <si>
    <t>예)들기름막국수샐러드</t>
    <phoneticPr fontId="13" type="noConversion"/>
  </si>
  <si>
    <t>예)모짜렐라샐러드</t>
    <phoneticPr fontId="13" type="noConversion"/>
  </si>
  <si>
    <t>예)새우샐러드</t>
    <phoneticPr fontId="13" type="noConversion"/>
  </si>
  <si>
    <t>예)연어샐러드</t>
    <phoneticPr fontId="13" type="noConversion"/>
  </si>
  <si>
    <t>예)직화불고기샐러드</t>
    <phoneticPr fontId="13" type="noConversion"/>
  </si>
  <si>
    <t>예)칠리치킨샐러드</t>
    <phoneticPr fontId="13" type="noConversion"/>
  </si>
  <si>
    <t>샐러드판다 □</t>
    <phoneticPr fontId="13" type="noConversion"/>
  </si>
  <si>
    <t>(주)지에스리테일(아신A)</t>
  </si>
  <si>
    <t>(주)지에스리테일(해인CVS)</t>
  </si>
  <si>
    <t>(주)지에스리테일경산3저온</t>
  </si>
  <si>
    <t>(주)지에스리테일고양저온3</t>
  </si>
  <si>
    <t>(주)지에스리테일고촌2저온</t>
  </si>
  <si>
    <t>(주)지에스리테일고촌저온</t>
  </si>
  <si>
    <t>(주)지에스리테일곤지암2센</t>
  </si>
  <si>
    <t>(주)지에스리테일곤지암센터</t>
  </si>
  <si>
    <t>(주)지에스리테일공주2일배</t>
  </si>
  <si>
    <t>(주)지에스리테일공주일배</t>
  </si>
  <si>
    <t>(주)지에스리테일김포2일배</t>
  </si>
  <si>
    <t>(주)지에스리테일김해2일배</t>
  </si>
  <si>
    <t>(주)지에스리테일김해일배</t>
  </si>
  <si>
    <t>(주)지에스리테일발안2일배</t>
  </si>
  <si>
    <t>(주)지에스리테일발안일배</t>
  </si>
  <si>
    <t>(주)지에스리테일송파2일배</t>
  </si>
  <si>
    <t>(주)지에스리테일송파일배</t>
  </si>
  <si>
    <t>(주)지에스리테일신광주2저</t>
  </si>
  <si>
    <t>(주)지에스리테일신광주저온</t>
  </si>
  <si>
    <t>(주)지에스리테일원주일배</t>
  </si>
  <si>
    <t>(주)지에스리테일진주일배</t>
  </si>
  <si>
    <t>(주)지에스리테일청주일배</t>
  </si>
  <si>
    <t>(주)지에스리테일포천2저온</t>
  </si>
  <si>
    <t>(주)지에스리테일포천저온</t>
  </si>
  <si>
    <t>지에스리테일신오산3저온</t>
  </si>
  <si>
    <t>㈜지에스리테일강릉일배센터</t>
  </si>
  <si>
    <t>㈜지에스리테일경산2저온</t>
  </si>
  <si>
    <t>㈜지에스리테일고양일배2</t>
  </si>
  <si>
    <t>㈜지에스리테일고양일배센터</t>
  </si>
  <si>
    <t>㈜지에스리테일김포3일배</t>
  </si>
  <si>
    <t>㈜지에스리테일익산일배</t>
  </si>
  <si>
    <t>지에스리테일경산저온</t>
  </si>
  <si>
    <t>지에스리테일신오산1저온</t>
  </si>
  <si>
    <t>지에스리테일신오산2저온</t>
  </si>
  <si>
    <t>지에스리테일인천도화2일배</t>
  </si>
  <si>
    <t>지에스리테일인천도화일배</t>
  </si>
  <si>
    <t>지에스리테일신오산3저온</t>
    <phoneticPr fontId="13" type="noConversion"/>
  </si>
  <si>
    <t>(주)지에스리테일신제주저온</t>
  </si>
  <si>
    <t>치즈왕돈까스버거1편</t>
  </si>
  <si>
    <t>치즈왕돈까스버거2편</t>
  </si>
  <si>
    <t>매콤직화석쇠불고기버거1편</t>
  </si>
  <si>
    <t>매콤직화석쇠불고기버거2편</t>
    <phoneticPr fontId="13" type="noConversion"/>
  </si>
  <si>
    <t>골든에프앤디 □</t>
    <phoneticPr fontId="13" type="noConversion"/>
  </si>
  <si>
    <t>예약)26년한마리민물장어덮밥</t>
    <phoneticPr fontId="13" type="noConversion"/>
  </si>
  <si>
    <t>예약)26년순살갈비탕</t>
    <phoneticPr fontId="13" type="noConversion"/>
  </si>
  <si>
    <t>예약)26년스지도가니탕</t>
    <phoneticPr fontId="13" type="noConversion"/>
  </si>
  <si>
    <t>예약)26년전통추어탕</t>
    <phoneticPr fontId="13" type="noConversion"/>
  </si>
  <si>
    <t>BGF로지스나주</t>
  </si>
  <si>
    <t>하이로지스</t>
  </si>
  <si>
    <t>씨제이김제</t>
  </si>
  <si>
    <t>씨제이경산</t>
  </si>
  <si>
    <t>BGF로지스대구</t>
  </si>
  <si>
    <t>엑소후레쉬양산</t>
  </si>
  <si>
    <t>극동로지스</t>
  </si>
  <si>
    <t>김해물류</t>
  </si>
  <si>
    <t>BGF로지스부산</t>
  </si>
  <si>
    <t>BGF로지스진주</t>
  </si>
  <si>
    <t>BGF로지스안성</t>
  </si>
  <si>
    <t>화인로지텍</t>
  </si>
  <si>
    <t>BGF로지스진천</t>
  </si>
  <si>
    <t>BGF로지스서인천1</t>
  </si>
  <si>
    <t>BGF로지스서인천2</t>
  </si>
  <si>
    <t>아신</t>
  </si>
  <si>
    <t>씨제이오산</t>
  </si>
  <si>
    <t>씨제이군포</t>
  </si>
  <si>
    <t>BGF로지스광주</t>
  </si>
  <si>
    <t>BGF로지스검단</t>
  </si>
  <si>
    <t>BGF로지스아산</t>
  </si>
  <si>
    <t>BGF로지스양주</t>
  </si>
  <si>
    <t>BGF로지스화성</t>
  </si>
  <si>
    <t>동부로지스</t>
  </si>
  <si>
    <t>BGF로지스강릉</t>
  </si>
  <si>
    <t>BGF로지스서귀포</t>
  </si>
  <si>
    <t>BGF로지스제주</t>
  </si>
  <si>
    <t>나주</t>
    <phoneticPr fontId="13" type="noConversion"/>
  </si>
  <si>
    <t>완주</t>
    <phoneticPr fontId="13" type="noConversion"/>
  </si>
  <si>
    <t>김제</t>
    <phoneticPr fontId="13" type="noConversion"/>
  </si>
  <si>
    <t>경산</t>
    <phoneticPr fontId="13" type="noConversion"/>
  </si>
  <si>
    <t>대구</t>
    <phoneticPr fontId="13" type="noConversion"/>
  </si>
  <si>
    <t>양산</t>
    <phoneticPr fontId="13" type="noConversion"/>
  </si>
  <si>
    <t>극동김해</t>
    <phoneticPr fontId="13" type="noConversion"/>
  </si>
  <si>
    <t>부산</t>
    <phoneticPr fontId="13" type="noConversion"/>
  </si>
  <si>
    <t>안성</t>
    <phoneticPr fontId="13" type="noConversion"/>
  </si>
  <si>
    <t>진천</t>
    <phoneticPr fontId="13" type="noConversion"/>
  </si>
  <si>
    <t>서인천1</t>
    <phoneticPr fontId="13" type="noConversion"/>
  </si>
  <si>
    <t>서인천2</t>
    <phoneticPr fontId="13" type="noConversion"/>
  </si>
  <si>
    <t>아신</t>
    <phoneticPr fontId="13" type="noConversion"/>
  </si>
  <si>
    <t>오산</t>
    <phoneticPr fontId="13" type="noConversion"/>
  </si>
  <si>
    <t>군포</t>
    <phoneticPr fontId="13" type="noConversion"/>
  </si>
  <si>
    <t>광주</t>
    <phoneticPr fontId="13" type="noConversion"/>
  </si>
  <si>
    <t>아산</t>
    <phoneticPr fontId="13" type="noConversion"/>
  </si>
  <si>
    <t>양주</t>
    <phoneticPr fontId="13" type="noConversion"/>
  </si>
  <si>
    <t>화성</t>
    <phoneticPr fontId="13" type="noConversion"/>
  </si>
  <si>
    <t>서귀포</t>
    <phoneticPr fontId="13" type="noConversion"/>
  </si>
  <si>
    <t>제주</t>
    <phoneticPr fontId="13" type="noConversion"/>
  </si>
  <si>
    <t>호남권 합계</t>
    <phoneticPr fontId="13" type="noConversion"/>
  </si>
  <si>
    <t>경북(칠곡)합계</t>
    <phoneticPr fontId="13" type="noConversion"/>
  </si>
  <si>
    <t>경남(김해)합계</t>
    <phoneticPr fontId="13" type="noConversion"/>
  </si>
  <si>
    <t>총 박스/총 낱개수량</t>
    <phoneticPr fontId="13" type="noConversion"/>
  </si>
  <si>
    <t>당과점)냉동옥수수타르트</t>
    <phoneticPr fontId="13" type="noConversion"/>
  </si>
  <si>
    <t>참조은)끼리치즈타르트</t>
    <phoneticPr fontId="13" type="noConversion"/>
  </si>
  <si>
    <t>스위트)아이스포도바</t>
  </si>
  <si>
    <t>스위트)아이스딸기바</t>
    <phoneticPr fontId="13" type="noConversion"/>
  </si>
  <si>
    <t>스위트)아이스복숭아바</t>
    <phoneticPr fontId="13" type="noConversion"/>
  </si>
  <si>
    <t>스위트)아이스파인애플바</t>
    <phoneticPr fontId="13" type="noConversion"/>
  </si>
  <si>
    <t>스위트)아이스포도바</t>
    <phoneticPr fontId="13" type="noConversion"/>
  </si>
  <si>
    <t>스위트)주토피아아이스바</t>
    <phoneticPr fontId="13" type="noConversion"/>
  </si>
  <si>
    <t>스위트)토이스토리아이스</t>
    <phoneticPr fontId="13" type="noConversion"/>
  </si>
  <si>
    <t>스위트조이□</t>
    <phoneticPr fontId="13" type="noConversion"/>
  </si>
  <si>
    <t>파렛트
수량</t>
    <phoneticPr fontId="13" type="noConversion"/>
  </si>
  <si>
    <t>1P</t>
    <phoneticPr fontId="13" type="noConversion"/>
  </si>
  <si>
    <t>BGF 냉동 참조은 □</t>
    <phoneticPr fontId="13" type="noConversion"/>
  </si>
  <si>
    <t>BGF 스위트조이 □ 냉동</t>
    <phoneticPr fontId="13" type="noConversion"/>
  </si>
  <si>
    <t>특)뉴욕베이글블루베리</t>
    <phoneticPr fontId="13" type="noConversion"/>
  </si>
  <si>
    <t>특)뉴욕베이글쿠앤크</t>
    <phoneticPr fontId="13" type="noConversion"/>
  </si>
  <si>
    <t>특)뉴욕베이글플레인</t>
    <phoneticPr fontId="13" type="noConversion"/>
  </si>
  <si>
    <t>특)뉴욕베이글피넛버터</t>
    <phoneticPr fontId="13" type="noConversion"/>
  </si>
  <si>
    <t>납품일</t>
    <phoneticPr fontId="13" type="noConversion"/>
  </si>
  <si>
    <t>검단</t>
    <phoneticPr fontId="13" type="noConversion"/>
  </si>
  <si>
    <t>동부</t>
    <phoneticPr fontId="13" type="noConversion"/>
  </si>
  <si>
    <t>화인</t>
    <phoneticPr fontId="13" type="noConversion"/>
  </si>
  <si>
    <t>스위트)미니언즈스탬프바</t>
  </si>
  <si>
    <t>1P=135BOX</t>
    <phoneticPr fontId="13" type="noConversion"/>
  </si>
  <si>
    <t>2P</t>
    <phoneticPr fontId="13" type="noConversion"/>
  </si>
  <si>
    <t>3P</t>
    <phoneticPr fontId="13" type="noConversion"/>
  </si>
  <si>
    <t>10/12</t>
  </si>
  <si>
    <t>10/15 납품</t>
  </si>
  <si>
    <t>스위트)아이스딸기바</t>
  </si>
  <si>
    <t>스위트)아이스복숭아바</t>
  </si>
  <si>
    <t>스위트)아이스파인애플바</t>
  </si>
  <si>
    <t>스위트)토이스토리아이스</t>
  </si>
  <si>
    <t>10/15 납품</t>
    <phoneticPr fontId="13" type="noConversion"/>
  </si>
  <si>
    <t>10/16 납품</t>
    <phoneticPr fontId="13" type="noConversion"/>
  </si>
  <si>
    <t>스위트)메롱바복숭아</t>
  </si>
  <si>
    <t>스위트)메롱바복숭아</t>
    <phoneticPr fontId="13" type="noConversion"/>
  </si>
  <si>
    <t>BGF로지스부산</t>
    <phoneticPr fontId="13" type="noConversion"/>
  </si>
  <si>
    <t>당과점)냉동옥수수타르트</t>
  </si>
  <si>
    <t>10/19</t>
  </si>
  <si>
    <t>10/20 납품</t>
  </si>
  <si>
    <t>10/20 납품</t>
    <phoneticPr fontId="13" type="noConversion"/>
  </si>
  <si>
    <t>특)뉴욕베이글플레인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</si>
</sst>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mm&quot;월&quot;\ dd&quot;일&quot;"/>
    <numFmt numFmtId="177" formatCode="0_);[Red]\(0\)"/>
  </numFmts>
  <fonts count="43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26"/>
      <color rgb="FF00000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18"/>
      <color rgb="FF000000"/>
      <name val="맑은 고딕"/>
      <family val="3"/>
      <charset val="129"/>
    </font>
  </fonts>
  <fills count="56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B7DEE8"/>
        <bgColor rgb="FFDCE6F1"/>
      </patternFill>
    </fill>
    <fill>
      <patternFill patternType="solid">
        <fgColor rgb="FF92D050"/>
        <bgColor rgb="FFDCE6F1"/>
      </patternFill>
    </fill>
    <fill>
      <patternFill patternType="solid">
        <fgColor rgb="FF568ED4"/>
        <bgColor rgb="FFDCE6F1"/>
      </patternFill>
    </fill>
    <fill>
      <patternFill patternType="solid">
        <fgColor rgb="FFFFC000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FFF00"/>
        <bgColor rgb="FFDCE6F1"/>
      </patternFill>
    </fill>
    <fill>
      <patternFill patternType="solid">
        <fgColor rgb="FF7030A0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1F9C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48FFF"/>
        <bgColor indexed="64"/>
      </patternFill>
    </fill>
    <fill>
      <patternFill patternType="solid">
        <fgColor theme="2" tint="-9.9978637043366805E-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1">
    <xf numFmtId="0" fontId="0" fillId="0" borderId="0">
      <alignment vertical="center"/>
    </xf>
    <xf numFmtId="41" fontId="12" fillId="0" borderId="0">
      <alignment vertical="center"/>
    </xf>
    <xf numFmtId="0" fontId="1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31" applyNumberFormat="0" applyAlignment="0" applyProtection="0">
      <alignment vertical="center"/>
    </xf>
    <xf numFmtId="0" fontId="28" fillId="17" borderId="32" applyNumberFormat="0" applyAlignment="0" applyProtection="0">
      <alignment vertical="center"/>
    </xf>
    <xf numFmtId="0" fontId="29" fillId="17" borderId="31" applyNumberFormat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18" borderId="34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6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9" borderId="35" applyNumberFormat="0" applyFont="0" applyAlignment="0" applyProtection="0">
      <alignment vertical="center"/>
    </xf>
    <xf numFmtId="0" fontId="2" fillId="0" borderId="0">
      <alignment vertical="center"/>
    </xf>
    <xf numFmtId="0" fontId="2" fillId="19" borderId="3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41" fontId="12" fillId="0" borderId="0">
      <alignment vertical="center"/>
    </xf>
    <xf numFmtId="0" fontId="1" fillId="0" borderId="0">
      <alignment vertical="center"/>
    </xf>
  </cellStyleXfs>
  <cellXfs count="38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41" fontId="0" fillId="0" borderId="0" xfId="1" applyFont="1">
      <alignment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2" borderId="8" xfId="0" applyFont="1" applyFill="1" applyBorder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41" fontId="0" fillId="0" borderId="6" xfId="1" applyFont="1" applyBorder="1" applyAlignment="1">
      <alignment horizontal="right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8" fillId="0" borderId="1" xfId="1" applyFont="1" applyBorder="1">
      <alignment vertical="center"/>
    </xf>
    <xf numFmtId="176" fontId="0" fillId="0" borderId="0" xfId="0" applyNumberFormat="1">
      <alignment vertical="center"/>
    </xf>
    <xf numFmtId="41" fontId="5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10" fillId="0" borderId="1" xfId="1" applyFont="1" applyBorder="1">
      <alignment vertical="center"/>
    </xf>
    <xf numFmtId="41" fontId="5" fillId="0" borderId="15" xfId="1" applyFont="1" applyBorder="1" applyAlignment="1">
      <alignment horizontal="center" vertical="center"/>
    </xf>
    <xf numFmtId="41" fontId="8" fillId="0" borderId="15" xfId="1" applyFont="1" applyBorder="1">
      <alignment vertical="center"/>
    </xf>
    <xf numFmtId="41" fontId="10" fillId="10" borderId="1" xfId="1" applyFont="1" applyFill="1" applyBorder="1">
      <alignment vertical="center"/>
    </xf>
    <xf numFmtId="41" fontId="8" fillId="10" borderId="1" xfId="1" applyFont="1" applyFill="1" applyBorder="1">
      <alignment vertical="center"/>
    </xf>
    <xf numFmtId="41" fontId="12" fillId="0" borderId="0" xfId="1">
      <alignment vertical="center"/>
    </xf>
    <xf numFmtId="0" fontId="12" fillId="0" borderId="0" xfId="0" applyFont="1">
      <alignment vertical="center"/>
    </xf>
    <xf numFmtId="41" fontId="8" fillId="10" borderId="15" xfId="1" applyFont="1" applyFill="1" applyBorder="1">
      <alignment vertical="center"/>
    </xf>
    <xf numFmtId="41" fontId="12" fillId="0" borderId="0" xfId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12" fillId="0" borderId="0" xfId="2">
      <alignment vertical="center"/>
    </xf>
    <xf numFmtId="0" fontId="4" fillId="0" borderId="1" xfId="2" applyFont="1" applyBorder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12" fillId="10" borderId="1" xfId="2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0" fontId="12" fillId="11" borderId="0" xfId="2" applyFill="1">
      <alignment vertical="center"/>
    </xf>
    <xf numFmtId="41" fontId="16" fillId="11" borderId="4" xfId="1" applyFont="1" applyFill="1" applyBorder="1">
      <alignment vertical="center"/>
    </xf>
    <xf numFmtId="41" fontId="6" fillId="11" borderId="4" xfId="1" applyFont="1" applyFill="1" applyBorder="1">
      <alignment vertical="center"/>
    </xf>
    <xf numFmtId="0" fontId="11" fillId="11" borderId="3" xfId="2" applyFont="1" applyFill="1" applyBorder="1" applyAlignment="1">
      <alignment horizontal="left" vertical="center"/>
    </xf>
    <xf numFmtId="0" fontId="10" fillId="11" borderId="4" xfId="2" applyFont="1" applyFill="1" applyBorder="1" applyAlignment="1">
      <alignment horizontal="center" vertical="center"/>
    </xf>
    <xf numFmtId="0" fontId="4" fillId="0" borderId="2" xfId="2" applyFont="1" applyBorder="1">
      <alignment vertical="center"/>
    </xf>
    <xf numFmtId="41" fontId="11" fillId="0" borderId="15" xfId="1" applyFont="1" applyBorder="1" applyAlignment="1">
      <alignment horizontal="center" vertical="center"/>
    </xf>
    <xf numFmtId="0" fontId="12" fillId="10" borderId="2" xfId="2" applyFill="1" applyBorder="1">
      <alignment vertical="center"/>
    </xf>
    <xf numFmtId="0" fontId="12" fillId="10" borderId="2" xfId="2" applyFill="1" applyBorder="1" applyAlignment="1">
      <alignment horizontal="left" vertical="center"/>
    </xf>
    <xf numFmtId="0" fontId="6" fillId="11" borderId="4" xfId="2" applyFont="1" applyFill="1" applyBorder="1" applyAlignment="1">
      <alignment horizontal="left" vertical="center"/>
    </xf>
    <xf numFmtId="0" fontId="12" fillId="0" borderId="2" xfId="2" applyBorder="1" applyAlignment="1">
      <alignment horizontal="left" vertical="center"/>
    </xf>
    <xf numFmtId="0" fontId="12" fillId="0" borderId="1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2" fillId="0" borderId="2" xfId="2" applyBorder="1">
      <alignment vertical="center"/>
    </xf>
    <xf numFmtId="14" fontId="12" fillId="0" borderId="0" xfId="2" applyNumberFormat="1">
      <alignment vertical="center"/>
    </xf>
    <xf numFmtId="41" fontId="6" fillId="10" borderId="1" xfId="1" applyFont="1" applyFill="1" applyBorder="1">
      <alignment vertical="center"/>
    </xf>
    <xf numFmtId="41" fontId="17" fillId="10" borderId="1" xfId="1" applyFont="1" applyFill="1" applyBorder="1">
      <alignment vertical="center"/>
    </xf>
    <xf numFmtId="0" fontId="6" fillId="10" borderId="1" xfId="2" applyFont="1" applyFill="1" applyBorder="1" applyAlignment="1">
      <alignment horizontal="left" vertical="center"/>
    </xf>
    <xf numFmtId="0" fontId="10" fillId="10" borderId="1" xfId="2" applyFont="1" applyFill="1" applyBorder="1" applyAlignment="1">
      <alignment horizontal="center" vertical="center"/>
    </xf>
    <xf numFmtId="0" fontId="15" fillId="0" borderId="0" xfId="2" applyFont="1">
      <alignment vertical="center"/>
    </xf>
    <xf numFmtId="0" fontId="7" fillId="0" borderId="0" xfId="0" applyFont="1" applyAlignment="1">
      <alignment horizontal="center" vertical="center"/>
    </xf>
    <xf numFmtId="14" fontId="7" fillId="0" borderId="22" xfId="2" applyNumberFormat="1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14" fontId="12" fillId="0" borderId="0" xfId="1" applyNumberFormat="1">
      <alignment vertical="center"/>
    </xf>
    <xf numFmtId="0" fontId="11" fillId="0" borderId="26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0" fillId="0" borderId="0" xfId="2" applyFont="1">
      <alignment vertical="center"/>
    </xf>
    <xf numFmtId="0" fontId="11" fillId="0" borderId="2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6" fillId="0" borderId="21" xfId="2" applyFont="1" applyBorder="1" applyAlignment="1">
      <alignment horizontal="center" vertical="center"/>
    </xf>
    <xf numFmtId="0" fontId="36" fillId="0" borderId="1" xfId="2" applyFont="1" applyBorder="1" applyAlignment="1">
      <alignment horizontal="center" vertical="center"/>
    </xf>
    <xf numFmtId="0" fontId="16" fillId="0" borderId="0" xfId="2" applyFont="1">
      <alignment vertical="center"/>
    </xf>
    <xf numFmtId="0" fontId="5" fillId="12" borderId="24" xfId="0" applyFont="1" applyFill="1" applyBorder="1">
      <alignment vertical="center"/>
    </xf>
    <xf numFmtId="0" fontId="19" fillId="12" borderId="19" xfId="0" applyFont="1" applyFill="1" applyBorder="1" applyAlignment="1">
      <alignment horizontal="center" vertical="center"/>
    </xf>
    <xf numFmtId="41" fontId="6" fillId="10" borderId="1" xfId="2" applyNumberFormat="1" applyFont="1" applyFill="1" applyBorder="1">
      <alignment vertical="center"/>
    </xf>
    <xf numFmtId="41" fontId="12" fillId="0" borderId="0" xfId="2" applyNumberFormat="1">
      <alignment vertical="center"/>
    </xf>
    <xf numFmtId="0" fontId="12" fillId="0" borderId="0" xfId="2" applyAlignment="1">
      <alignment horizontal="left" vertical="center"/>
    </xf>
    <xf numFmtId="0" fontId="5" fillId="12" borderId="38" xfId="0" applyFont="1" applyFill="1" applyBorder="1">
      <alignment vertical="center"/>
    </xf>
    <xf numFmtId="0" fontId="19" fillId="12" borderId="39" xfId="0" applyFont="1" applyFill="1" applyBorder="1" applyAlignment="1">
      <alignment horizontal="center" vertical="center"/>
    </xf>
    <xf numFmtId="0" fontId="11" fillId="11" borderId="40" xfId="2" applyFont="1" applyFill="1" applyBorder="1" applyAlignment="1">
      <alignment horizontal="left" vertical="center"/>
    </xf>
    <xf numFmtId="0" fontId="10" fillId="11" borderId="41" xfId="2" applyFont="1" applyFill="1" applyBorder="1" applyAlignment="1">
      <alignment horizontal="center" vertical="center"/>
    </xf>
    <xf numFmtId="41" fontId="16" fillId="11" borderId="41" xfId="1" applyFont="1" applyFill="1" applyBorder="1">
      <alignment vertical="center"/>
    </xf>
    <xf numFmtId="41" fontId="6" fillId="11" borderId="41" xfId="1" applyFont="1" applyFill="1" applyBorder="1">
      <alignment vertical="center"/>
    </xf>
    <xf numFmtId="0" fontId="6" fillId="11" borderId="41" xfId="2" applyFont="1" applyFill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11" fillId="10" borderId="2" xfId="2" applyFont="1" applyFill="1" applyBorder="1" applyAlignment="1">
      <alignment horizontal="left" vertical="center"/>
    </xf>
    <xf numFmtId="0" fontId="38" fillId="12" borderId="24" xfId="2" applyFont="1" applyFill="1" applyBorder="1">
      <alignment vertical="center"/>
    </xf>
    <xf numFmtId="0" fontId="38" fillId="12" borderId="3" xfId="2" applyFont="1" applyFill="1" applyBorder="1">
      <alignment vertical="center"/>
    </xf>
    <xf numFmtId="0" fontId="38" fillId="12" borderId="19" xfId="2" applyFont="1" applyFill="1" applyBorder="1">
      <alignment vertical="center"/>
    </xf>
    <xf numFmtId="0" fontId="4" fillId="0" borderId="11" xfId="2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1" fontId="6" fillId="11" borderId="19" xfId="1" applyFont="1" applyFill="1" applyBorder="1">
      <alignment vertical="center"/>
    </xf>
    <xf numFmtId="0" fontId="11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horizontal="center" vertical="center"/>
    </xf>
    <xf numFmtId="41" fontId="6" fillId="0" borderId="4" xfId="1" applyFont="1" applyBorder="1">
      <alignment vertical="center"/>
    </xf>
    <xf numFmtId="0" fontId="6" fillId="0" borderId="4" xfId="2" applyFont="1" applyBorder="1" applyAlignment="1">
      <alignment horizontal="left" vertical="center"/>
    </xf>
    <xf numFmtId="41" fontId="6" fillId="0" borderId="19" xfId="1" applyFont="1" applyBorder="1">
      <alignment vertical="center"/>
    </xf>
    <xf numFmtId="0" fontId="11" fillId="44" borderId="46" xfId="2" applyFont="1" applyFill="1" applyBorder="1" applyAlignment="1">
      <alignment horizontal="left" vertical="center"/>
    </xf>
    <xf numFmtId="0" fontId="10" fillId="44" borderId="47" xfId="2" applyFont="1" applyFill="1" applyBorder="1" applyAlignment="1">
      <alignment horizontal="center" vertical="center"/>
    </xf>
    <xf numFmtId="41" fontId="6" fillId="44" borderId="47" xfId="1" applyFont="1" applyFill="1" applyBorder="1">
      <alignment vertical="center"/>
    </xf>
    <xf numFmtId="0" fontId="6" fillId="44" borderId="47" xfId="2" applyFont="1" applyFill="1" applyBorder="1" applyAlignment="1">
      <alignment horizontal="left" vertical="center"/>
    </xf>
    <xf numFmtId="0" fontId="12" fillId="0" borderId="45" xfId="2" applyBorder="1" applyAlignment="1">
      <alignment horizontal="center" vertical="center"/>
    </xf>
    <xf numFmtId="41" fontId="10" fillId="0" borderId="45" xfId="1" applyFont="1" applyBorder="1">
      <alignment vertical="center"/>
    </xf>
    <xf numFmtId="41" fontId="8" fillId="0" borderId="45" xfId="1" applyFont="1" applyBorder="1">
      <alignment vertical="center"/>
    </xf>
    <xf numFmtId="0" fontId="6" fillId="0" borderId="45" xfId="2" applyFont="1" applyBorder="1" applyAlignment="1">
      <alignment horizontal="center" vertical="center"/>
    </xf>
    <xf numFmtId="0" fontId="12" fillId="45" borderId="6" xfId="2" applyFill="1" applyBorder="1" applyAlignment="1">
      <alignment horizontal="center" vertical="center"/>
    </xf>
    <xf numFmtId="41" fontId="10" fillId="45" borderId="6" xfId="1" applyFont="1" applyFill="1" applyBorder="1">
      <alignment vertical="center"/>
    </xf>
    <xf numFmtId="41" fontId="8" fillId="45" borderId="6" xfId="1" applyFont="1" applyFill="1" applyBorder="1">
      <alignment vertical="center"/>
    </xf>
    <xf numFmtId="0" fontId="6" fillId="45" borderId="6" xfId="2" applyFont="1" applyFill="1" applyBorder="1" applyAlignment="1">
      <alignment horizontal="center" vertical="center"/>
    </xf>
    <xf numFmtId="41" fontId="10" fillId="45" borderId="1" xfId="1" applyFont="1" applyFill="1" applyBorder="1">
      <alignment vertical="center"/>
    </xf>
    <xf numFmtId="41" fontId="8" fillId="45" borderId="1" xfId="1" applyFont="1" applyFill="1" applyBorder="1">
      <alignment vertical="center"/>
    </xf>
    <xf numFmtId="0" fontId="6" fillId="45" borderId="1" xfId="2" applyFont="1" applyFill="1" applyBorder="1" applyAlignment="1">
      <alignment horizontal="center" vertical="center"/>
    </xf>
    <xf numFmtId="0" fontId="12" fillId="45" borderId="1" xfId="2" applyFill="1" applyBorder="1" applyAlignment="1">
      <alignment horizontal="center" vertical="center"/>
    </xf>
    <xf numFmtId="0" fontId="11" fillId="10" borderId="22" xfId="2" applyFont="1" applyFill="1" applyBorder="1" applyAlignment="1">
      <alignment horizontal="left" vertical="center"/>
    </xf>
    <xf numFmtId="0" fontId="10" fillId="10" borderId="23" xfId="2" applyFont="1" applyFill="1" applyBorder="1" applyAlignment="1">
      <alignment horizontal="center" vertical="center"/>
    </xf>
    <xf numFmtId="41" fontId="6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left" vertical="center"/>
    </xf>
    <xf numFmtId="0" fontId="6" fillId="0" borderId="1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41" fontId="6" fillId="10" borderId="15" xfId="1" applyFont="1" applyFill="1" applyBorder="1">
      <alignment vertical="center"/>
    </xf>
    <xf numFmtId="0" fontId="11" fillId="0" borderId="50" xfId="2" applyFont="1" applyBorder="1" applyAlignment="1">
      <alignment horizontal="left" vertical="center"/>
    </xf>
    <xf numFmtId="0" fontId="10" fillId="0" borderId="51" xfId="2" applyFont="1" applyBorder="1" applyAlignment="1">
      <alignment horizontal="center" vertical="center"/>
    </xf>
    <xf numFmtId="41" fontId="6" fillId="0" borderId="51" xfId="1" applyFont="1" applyBorder="1">
      <alignment vertical="center"/>
    </xf>
    <xf numFmtId="0" fontId="6" fillId="0" borderId="51" xfId="2" applyFont="1" applyBorder="1" applyAlignment="1">
      <alignment horizontal="left" vertical="center"/>
    </xf>
    <xf numFmtId="41" fontId="6" fillId="0" borderId="52" xfId="1" applyFont="1" applyBorder="1">
      <alignment vertical="center"/>
    </xf>
    <xf numFmtId="0" fontId="4" fillId="0" borderId="16" xfId="2" applyFont="1" applyBorder="1">
      <alignment vertical="center"/>
    </xf>
    <xf numFmtId="41" fontId="5" fillId="0" borderId="17" xfId="1" applyFont="1" applyBorder="1" applyAlignment="1">
      <alignment horizontal="center" vertical="center"/>
    </xf>
    <xf numFmtId="0" fontId="12" fillId="0" borderId="53" xfId="2" applyBorder="1" applyAlignment="1">
      <alignment horizontal="left" vertical="center"/>
    </xf>
    <xf numFmtId="41" fontId="8" fillId="0" borderId="54" xfId="1" applyFont="1" applyBorder="1">
      <alignment vertical="center"/>
    </xf>
    <xf numFmtId="0" fontId="12" fillId="45" borderId="5" xfId="2" applyFill="1" applyBorder="1" applyAlignment="1">
      <alignment horizontal="left" vertical="center"/>
    </xf>
    <xf numFmtId="41" fontId="8" fillId="45" borderId="7" xfId="1" applyFont="1" applyFill="1" applyBorder="1">
      <alignment vertical="center"/>
    </xf>
    <xf numFmtId="0" fontId="12" fillId="45" borderId="2" xfId="2" applyFill="1" applyBorder="1">
      <alignment vertical="center"/>
    </xf>
    <xf numFmtId="41" fontId="8" fillId="45" borderId="15" xfId="1" applyFont="1" applyFill="1" applyBorder="1">
      <alignment vertical="center"/>
    </xf>
    <xf numFmtId="0" fontId="12" fillId="45" borderId="2" xfId="2" applyFill="1" applyBorder="1" applyAlignment="1">
      <alignment horizontal="left" vertical="center"/>
    </xf>
    <xf numFmtId="0" fontId="11" fillId="0" borderId="57" xfId="2" applyFont="1" applyBorder="1" applyAlignment="1">
      <alignment horizontal="left" vertical="center"/>
    </xf>
    <xf numFmtId="0" fontId="10" fillId="0" borderId="55" xfId="2" applyFont="1" applyBorder="1" applyAlignment="1">
      <alignment horizontal="center" vertical="center"/>
    </xf>
    <xf numFmtId="41" fontId="6" fillId="0" borderId="55" xfId="1" applyFont="1" applyBorder="1">
      <alignment vertical="center"/>
    </xf>
    <xf numFmtId="0" fontId="6" fillId="0" borderId="55" xfId="2" applyFont="1" applyBorder="1" applyAlignment="1">
      <alignment horizontal="left" vertical="center"/>
    </xf>
    <xf numFmtId="41" fontId="6" fillId="0" borderId="56" xfId="1" applyFont="1" applyBorder="1">
      <alignment vertical="center"/>
    </xf>
    <xf numFmtId="0" fontId="16" fillId="0" borderId="20" xfId="2" applyFont="1" applyBorder="1" applyAlignment="1">
      <alignment horizontal="center" vertical="center"/>
    </xf>
    <xf numFmtId="41" fontId="6" fillId="44" borderId="58" xfId="1" applyFont="1" applyFill="1" applyBorder="1">
      <alignment vertical="center"/>
    </xf>
    <xf numFmtId="41" fontId="6" fillId="11" borderId="59" xfId="1" applyFont="1" applyFill="1" applyBorder="1">
      <alignment vertical="center"/>
    </xf>
    <xf numFmtId="0" fontId="16" fillId="12" borderId="20" xfId="2" applyFont="1" applyFill="1" applyBorder="1" applyAlignment="1">
      <alignment horizontal="center" vertical="center"/>
    </xf>
    <xf numFmtId="41" fontId="6" fillId="10" borderId="24" xfId="1" applyFont="1" applyFill="1" applyBorder="1">
      <alignment vertical="center"/>
    </xf>
    <xf numFmtId="0" fontId="14" fillId="0" borderId="0" xfId="0" applyFont="1">
      <alignment vertical="center"/>
    </xf>
    <xf numFmtId="0" fontId="12" fillId="10" borderId="22" xfId="2" applyFill="1" applyBorder="1" applyAlignment="1">
      <alignment horizontal="left" vertical="center"/>
    </xf>
    <xf numFmtId="0" fontId="12" fillId="10" borderId="23" xfId="2" applyFill="1" applyBorder="1" applyAlignment="1">
      <alignment horizontal="center" vertical="center"/>
    </xf>
    <xf numFmtId="41" fontId="10" fillId="10" borderId="23" xfId="1" applyFont="1" applyFill="1" applyBorder="1">
      <alignment vertical="center"/>
    </xf>
    <xf numFmtId="41" fontId="8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center" vertical="center"/>
    </xf>
    <xf numFmtId="0" fontId="16" fillId="0" borderId="60" xfId="2" applyFont="1" applyBorder="1" applyAlignment="1">
      <alignment horizontal="center" vertical="center"/>
    </xf>
    <xf numFmtId="41" fontId="8" fillId="10" borderId="24" xfId="1" applyFont="1" applyFill="1" applyBorder="1">
      <alignment vertical="center"/>
    </xf>
    <xf numFmtId="0" fontId="12" fillId="0" borderId="3" xfId="2" applyBorder="1" applyAlignment="1">
      <alignment horizontal="left" vertical="center"/>
    </xf>
    <xf numFmtId="41" fontId="10" fillId="0" borderId="4" xfId="1" applyFont="1" applyBorder="1">
      <alignment vertical="center"/>
    </xf>
    <xf numFmtId="41" fontId="8" fillId="0" borderId="4" xfId="1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41" fontId="8" fillId="0" borderId="19" xfId="1" applyFont="1" applyBorder="1">
      <alignment vertical="center"/>
    </xf>
    <xf numFmtId="0" fontId="12" fillId="0" borderId="4" xfId="2" applyBorder="1" applyAlignment="1">
      <alignment horizontal="center" vertical="center"/>
    </xf>
    <xf numFmtId="0" fontId="12" fillId="0" borderId="6" xfId="2" applyBorder="1" applyAlignment="1">
      <alignment horizontal="center" vertical="center"/>
    </xf>
    <xf numFmtId="0" fontId="37" fillId="12" borderId="19" xfId="2" applyFont="1" applyFill="1" applyBorder="1">
      <alignment vertical="center"/>
    </xf>
    <xf numFmtId="0" fontId="9" fillId="12" borderId="1" xfId="2" applyFont="1" applyFill="1" applyBorder="1" applyAlignment="1">
      <alignment horizontal="center" vertical="center" wrapText="1"/>
    </xf>
    <xf numFmtId="0" fontId="36" fillId="0" borderId="0" xfId="2" applyFont="1" applyAlignment="1">
      <alignment horizontal="center" vertical="center"/>
    </xf>
    <xf numFmtId="41" fontId="10" fillId="0" borderId="0" xfId="1" applyFont="1">
      <alignment vertical="center"/>
    </xf>
    <xf numFmtId="41" fontId="8" fillId="0" borderId="0" xfId="1" applyFont="1">
      <alignment vertical="center"/>
    </xf>
    <xf numFmtId="0" fontId="6" fillId="0" borderId="0" xfId="2" applyFont="1" applyAlignment="1">
      <alignment horizontal="center" vertical="center"/>
    </xf>
    <xf numFmtId="0" fontId="12" fillId="0" borderId="64" xfId="2" applyBorder="1">
      <alignment vertical="center"/>
    </xf>
    <xf numFmtId="41" fontId="8" fillId="0" borderId="65" xfId="1" applyFont="1" applyBorder="1">
      <alignment vertical="center"/>
    </xf>
    <xf numFmtId="0" fontId="17" fillId="0" borderId="3" xfId="2" applyFont="1" applyBorder="1">
      <alignment vertical="center"/>
    </xf>
    <xf numFmtId="0" fontId="38" fillId="12" borderId="38" xfId="2" applyFont="1" applyFill="1" applyBorder="1">
      <alignment vertical="center"/>
    </xf>
    <xf numFmtId="0" fontId="17" fillId="0" borderId="3" xfId="2" applyFont="1" applyBorder="1" applyAlignment="1">
      <alignment horizontal="center" vertical="center"/>
    </xf>
    <xf numFmtId="0" fontId="12" fillId="0" borderId="22" xfId="2" applyBorder="1" applyAlignment="1">
      <alignment horizontal="left" vertical="center"/>
    </xf>
    <xf numFmtId="0" fontId="6" fillId="0" borderId="23" xfId="2" applyFont="1" applyBorder="1" applyAlignment="1">
      <alignment horizontal="center" vertical="center"/>
    </xf>
    <xf numFmtId="0" fontId="12" fillId="0" borderId="23" xfId="2" applyBorder="1" applyAlignment="1">
      <alignment horizontal="center" vertical="center"/>
    </xf>
    <xf numFmtId="41" fontId="10" fillId="0" borderId="23" xfId="1" applyFont="1" applyBorder="1">
      <alignment vertical="center"/>
    </xf>
    <xf numFmtId="41" fontId="8" fillId="0" borderId="23" xfId="1" applyFont="1" applyBorder="1">
      <alignment vertical="center"/>
    </xf>
    <xf numFmtId="41" fontId="8" fillId="0" borderId="24" xfId="1" applyFont="1" applyBorder="1">
      <alignment vertical="center"/>
    </xf>
    <xf numFmtId="0" fontId="4" fillId="0" borderId="4" xfId="2" applyFont="1" applyBorder="1" applyAlignment="1">
      <alignment horizontal="center" vertical="center"/>
    </xf>
    <xf numFmtId="41" fontId="11" fillId="0" borderId="4" xfId="1" applyFont="1" applyBorder="1">
      <alignment vertical="center"/>
    </xf>
    <xf numFmtId="41" fontId="6" fillId="0" borderId="4" xfId="2" applyNumberFormat="1" applyFont="1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0" fontId="12" fillId="0" borderId="5" xfId="2" applyBorder="1" applyAlignment="1">
      <alignment horizontal="left" vertical="center"/>
    </xf>
    <xf numFmtId="41" fontId="10" fillId="0" borderId="6" xfId="1" applyFont="1" applyBorder="1">
      <alignment vertical="center"/>
    </xf>
    <xf numFmtId="41" fontId="8" fillId="0" borderId="6" xfId="1" applyFont="1" applyBorder="1">
      <alignment vertical="center"/>
    </xf>
    <xf numFmtId="0" fontId="6" fillId="0" borderId="6" xfId="2" applyFont="1" applyBorder="1" applyAlignment="1">
      <alignment horizontal="center" vertical="center"/>
    </xf>
    <xf numFmtId="41" fontId="8" fillId="0" borderId="7" xfId="1" applyFont="1" applyBorder="1">
      <alignment vertical="center"/>
    </xf>
    <xf numFmtId="41" fontId="6" fillId="10" borderId="23" xfId="2" applyNumberFormat="1" applyFont="1" applyFill="1" applyBorder="1">
      <alignment vertical="center"/>
    </xf>
    <xf numFmtId="0" fontId="11" fillId="0" borderId="55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64" xfId="2" applyBorder="1" applyAlignment="1">
      <alignment horizontal="center" vertical="center"/>
    </xf>
    <xf numFmtId="0" fontId="12" fillId="0" borderId="65" xfId="2" applyBorder="1" applyAlignment="1">
      <alignment horizontal="center" vertical="center"/>
    </xf>
    <xf numFmtId="0" fontId="11" fillId="10" borderId="2" xfId="2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2" applyFont="1">
      <alignment vertical="center"/>
    </xf>
    <xf numFmtId="0" fontId="11" fillId="0" borderId="68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37" fillId="12" borderId="39" xfId="2" applyFont="1" applyFill="1" applyBorder="1">
      <alignment vertical="center"/>
    </xf>
    <xf numFmtId="0" fontId="39" fillId="0" borderId="0" xfId="2" applyFont="1">
      <alignment vertical="center"/>
    </xf>
    <xf numFmtId="0" fontId="39" fillId="0" borderId="0" xfId="0" applyFont="1">
      <alignment vertical="center"/>
    </xf>
    <xf numFmtId="0" fontId="12" fillId="46" borderId="1" xfId="2" applyFill="1" applyBorder="1" applyAlignment="1">
      <alignment horizontal="center" vertical="center"/>
    </xf>
    <xf numFmtId="0" fontId="9" fillId="48" borderId="1" xfId="2" applyFont="1" applyFill="1" applyBorder="1" applyAlignment="1">
      <alignment horizontal="center" vertical="center" wrapText="1"/>
    </xf>
    <xf numFmtId="0" fontId="12" fillId="10" borderId="16" xfId="2" applyFill="1" applyBorder="1">
      <alignment vertical="center"/>
    </xf>
    <xf numFmtId="0" fontId="4" fillId="47" borderId="1" xfId="2" applyFont="1" applyFill="1" applyBorder="1" applyAlignment="1">
      <alignment horizontal="center" vertical="center"/>
    </xf>
    <xf numFmtId="41" fontId="5" fillId="47" borderId="1" xfId="1" applyFont="1" applyFill="1" applyBorder="1" applyAlignment="1">
      <alignment horizontal="center" vertical="center"/>
    </xf>
    <xf numFmtId="41" fontId="5" fillId="47" borderId="15" xfId="1" applyFont="1" applyFill="1" applyBorder="1" applyAlignment="1">
      <alignment horizontal="center" vertical="center"/>
    </xf>
    <xf numFmtId="0" fontId="6" fillId="10" borderId="2" xfId="2" applyFont="1" applyFill="1" applyBorder="1" applyAlignment="1">
      <alignment horizontal="left" vertical="center"/>
    </xf>
    <xf numFmtId="41" fontId="6" fillId="10" borderId="1" xfId="2" applyNumberFormat="1" applyFont="1" applyFill="1" applyBorder="1" applyAlignment="1">
      <alignment horizontal="center" vertical="center"/>
    </xf>
    <xf numFmtId="0" fontId="17" fillId="10" borderId="2" xfId="2" applyFont="1" applyFill="1" applyBorder="1" applyAlignment="1">
      <alignment horizontal="left" vertical="center"/>
    </xf>
    <xf numFmtId="41" fontId="17" fillId="10" borderId="1" xfId="2" applyNumberFormat="1" applyFont="1" applyFill="1" applyBorder="1" applyAlignment="1">
      <alignment horizontal="center" vertical="center"/>
    </xf>
    <xf numFmtId="0" fontId="17" fillId="10" borderId="1" xfId="2" applyFont="1" applyFill="1" applyBorder="1" applyAlignment="1">
      <alignment horizontal="center" vertical="center"/>
    </xf>
    <xf numFmtId="41" fontId="17" fillId="10" borderId="15" xfId="1" applyFont="1" applyFill="1" applyBorder="1">
      <alignment vertical="center"/>
    </xf>
    <xf numFmtId="14" fontId="7" fillId="47" borderId="22" xfId="2" applyNumberFormat="1" applyFont="1" applyFill="1" applyBorder="1" applyAlignment="1">
      <alignment horizontal="left" vertical="center"/>
    </xf>
    <xf numFmtId="0" fontId="9" fillId="47" borderId="1" xfId="2" applyFont="1" applyFill="1" applyBorder="1" applyAlignment="1">
      <alignment horizontal="center" vertical="center"/>
    </xf>
    <xf numFmtId="14" fontId="4" fillId="47" borderId="2" xfId="2" applyNumberFormat="1" applyFont="1" applyFill="1" applyBorder="1">
      <alignment vertical="center"/>
    </xf>
    <xf numFmtId="0" fontId="10" fillId="11" borderId="0" xfId="2" applyFont="1" applyFill="1" applyAlignment="1">
      <alignment horizontal="center" vertical="center"/>
    </xf>
    <xf numFmtId="41" fontId="6" fillId="49" borderId="15" xfId="1" applyFont="1" applyFill="1" applyBorder="1">
      <alignment vertical="center"/>
    </xf>
    <xf numFmtId="41" fontId="6" fillId="49" borderId="1" xfId="1" applyFont="1" applyFill="1" applyBorder="1">
      <alignment vertical="center"/>
    </xf>
    <xf numFmtId="0" fontId="5" fillId="11" borderId="3" xfId="2" applyFont="1" applyFill="1" applyBorder="1" applyAlignment="1">
      <alignment horizontal="left" vertical="center"/>
    </xf>
    <xf numFmtId="14" fontId="4" fillId="50" borderId="2" xfId="2" applyNumberFormat="1" applyFont="1" applyFill="1" applyBorder="1">
      <alignment vertical="center"/>
    </xf>
    <xf numFmtId="0" fontId="4" fillId="50" borderId="1" xfId="2" applyFont="1" applyFill="1" applyBorder="1" applyAlignment="1">
      <alignment horizontal="center" vertical="center"/>
    </xf>
    <xf numFmtId="0" fontId="9" fillId="50" borderId="1" xfId="2" applyFont="1" applyFill="1" applyBorder="1" applyAlignment="1">
      <alignment horizontal="center" vertical="center" wrapText="1"/>
    </xf>
    <xf numFmtId="41" fontId="5" fillId="50" borderId="1" xfId="1" applyFont="1" applyFill="1" applyBorder="1" applyAlignment="1">
      <alignment horizontal="center" vertical="center"/>
    </xf>
    <xf numFmtId="41" fontId="5" fillId="50" borderId="15" xfId="1" applyFont="1" applyFill="1" applyBorder="1" applyAlignment="1">
      <alignment horizontal="center" vertical="center"/>
    </xf>
    <xf numFmtId="41" fontId="6" fillId="50" borderId="1" xfId="1" applyFont="1" applyFill="1" applyBorder="1">
      <alignment vertical="center"/>
    </xf>
    <xf numFmtId="41" fontId="6" fillId="50" borderId="15" xfId="1" applyFont="1" applyFill="1" applyBorder="1">
      <alignment vertical="center"/>
    </xf>
    <xf numFmtId="41" fontId="6" fillId="12" borderId="1" xfId="1" applyFont="1" applyFill="1" applyBorder="1">
      <alignment vertical="center"/>
    </xf>
    <xf numFmtId="41" fontId="6" fillId="12" borderId="15" xfId="1" applyFont="1" applyFill="1" applyBorder="1">
      <alignment vertical="center"/>
    </xf>
    <xf numFmtId="0" fontId="11" fillId="51" borderId="2" xfId="2" applyFont="1" applyFill="1" applyBorder="1" applyAlignment="1">
      <alignment horizontal="left" vertical="center"/>
    </xf>
    <xf numFmtId="41" fontId="6" fillId="51" borderId="1" xfId="1" applyFont="1" applyFill="1" applyBorder="1">
      <alignment vertical="center"/>
    </xf>
    <xf numFmtId="0" fontId="6" fillId="51" borderId="1" xfId="2" applyFont="1" applyFill="1" applyBorder="1" applyAlignment="1">
      <alignment horizontal="left" vertical="center"/>
    </xf>
    <xf numFmtId="41" fontId="6" fillId="51" borderId="15" xfId="1" applyFont="1" applyFill="1" applyBorder="1">
      <alignment vertical="center"/>
    </xf>
    <xf numFmtId="14" fontId="4" fillId="52" borderId="2" xfId="2" applyNumberFormat="1" applyFont="1" applyFill="1" applyBorder="1">
      <alignment vertical="center"/>
    </xf>
    <xf numFmtId="0" fontId="4" fillId="52" borderId="1" xfId="2" applyFont="1" applyFill="1" applyBorder="1" applyAlignment="1">
      <alignment horizontal="center" vertical="center"/>
    </xf>
    <xf numFmtId="0" fontId="9" fillId="52" borderId="1" xfId="2" applyFont="1" applyFill="1" applyBorder="1" applyAlignment="1">
      <alignment horizontal="center" vertical="center" wrapText="1"/>
    </xf>
    <xf numFmtId="41" fontId="5" fillId="52" borderId="1" xfId="1" applyFont="1" applyFill="1" applyBorder="1" applyAlignment="1">
      <alignment horizontal="center" vertical="center"/>
    </xf>
    <xf numFmtId="41" fontId="5" fillId="52" borderId="15" xfId="1" applyFont="1" applyFill="1" applyBorder="1" applyAlignment="1">
      <alignment horizontal="center" vertical="center"/>
    </xf>
    <xf numFmtId="0" fontId="11" fillId="52" borderId="2" xfId="2" applyFont="1" applyFill="1" applyBorder="1" applyAlignment="1">
      <alignment horizontal="left" vertical="center"/>
    </xf>
    <xf numFmtId="0" fontId="10" fillId="52" borderId="1" xfId="2" applyFont="1" applyFill="1" applyBorder="1" applyAlignment="1">
      <alignment horizontal="center" vertical="center"/>
    </xf>
    <xf numFmtId="41" fontId="6" fillId="52" borderId="1" xfId="1" applyFont="1" applyFill="1" applyBorder="1">
      <alignment vertical="center"/>
    </xf>
    <xf numFmtId="0" fontId="6" fillId="52" borderId="1" xfId="2" applyFont="1" applyFill="1" applyBorder="1" applyAlignment="1">
      <alignment horizontal="left" vertical="center"/>
    </xf>
    <xf numFmtId="41" fontId="6" fillId="52" borderId="15" xfId="1" applyFont="1" applyFill="1" applyBorder="1">
      <alignment vertical="center"/>
    </xf>
    <xf numFmtId="0" fontId="8" fillId="0" borderId="2" xfId="2" applyFont="1" applyBorder="1">
      <alignment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40" fillId="10" borderId="2" xfId="2" applyFont="1" applyFill="1" applyBorder="1" applyAlignment="1">
      <alignment horizontal="left" vertical="center"/>
    </xf>
    <xf numFmtId="0" fontId="40" fillId="10" borderId="1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7" fillId="50" borderId="2" xfId="2" applyFont="1" applyFill="1" applyBorder="1" applyAlignment="1">
      <alignment horizontal="left" vertical="center"/>
    </xf>
    <xf numFmtId="0" fontId="7" fillId="50" borderId="1" xfId="2" applyFont="1" applyFill="1" applyBorder="1" applyAlignment="1">
      <alignment horizontal="left" vertical="center"/>
    </xf>
    <xf numFmtId="0" fontId="7" fillId="11" borderId="3" xfId="2" applyFont="1" applyFill="1" applyBorder="1" applyAlignment="1">
      <alignment horizontal="left" vertical="center"/>
    </xf>
    <xf numFmtId="0" fontId="7" fillId="11" borderId="4" xfId="2" applyFont="1" applyFill="1" applyBorder="1" applyAlignment="1">
      <alignment horizontal="left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7" fillId="0" borderId="0" xfId="2" applyFont="1">
      <alignment vertical="center"/>
    </xf>
    <xf numFmtId="0" fontId="8" fillId="11" borderId="0" xfId="2" applyFont="1" applyFill="1" applyAlignment="1">
      <alignment horizontal="center" vertical="center"/>
    </xf>
    <xf numFmtId="0" fontId="7" fillId="49" borderId="1" xfId="2" applyFont="1" applyFill="1" applyBorder="1" applyAlignment="1">
      <alignment horizontal="center" vertical="center"/>
    </xf>
    <xf numFmtId="0" fontId="7" fillId="49" borderId="2" xfId="2" applyFont="1" applyFill="1" applyBorder="1" applyAlignment="1">
      <alignment horizontal="left" vertical="center"/>
    </xf>
    <xf numFmtId="0" fontId="7" fillId="49" borderId="1" xfId="2" applyFont="1" applyFill="1" applyBorder="1" applyAlignment="1">
      <alignment horizontal="left" vertical="center"/>
    </xf>
    <xf numFmtId="0" fontId="7" fillId="12" borderId="1" xfId="2" applyFont="1" applyFill="1" applyBorder="1" applyAlignment="1">
      <alignment horizontal="center" vertical="center"/>
    </xf>
    <xf numFmtId="0" fontId="7" fillId="12" borderId="1" xfId="2" applyFont="1" applyFill="1" applyBorder="1" applyAlignment="1">
      <alignment horizontal="center" vertical="center" wrapText="1"/>
    </xf>
    <xf numFmtId="41" fontId="7" fillId="12" borderId="1" xfId="1" applyFont="1" applyFill="1" applyBorder="1" applyAlignment="1">
      <alignment horizontal="center" vertical="center"/>
    </xf>
    <xf numFmtId="41" fontId="7" fillId="12" borderId="15" xfId="1" applyFont="1" applyFill="1" applyBorder="1" applyAlignment="1">
      <alignment horizontal="center" vertical="center"/>
    </xf>
    <xf numFmtId="0" fontId="7" fillId="12" borderId="2" xfId="2" applyFont="1" applyFill="1" applyBorder="1" applyAlignment="1">
      <alignment horizontal="left" vertical="center"/>
    </xf>
    <xf numFmtId="0" fontId="7" fillId="12" borderId="1" xfId="2" applyFont="1" applyFill="1" applyBorder="1" applyAlignment="1">
      <alignment horizontal="left" vertical="center"/>
    </xf>
    <xf numFmtId="0" fontId="7" fillId="47" borderId="1" xfId="2" applyFont="1" applyFill="1" applyBorder="1" applyAlignment="1">
      <alignment horizontal="center" vertical="center"/>
    </xf>
    <xf numFmtId="0" fontId="7" fillId="47" borderId="2" xfId="2" applyFont="1" applyFill="1" applyBorder="1" applyAlignment="1">
      <alignment horizontal="left" vertical="center"/>
    </xf>
    <xf numFmtId="0" fontId="8" fillId="47" borderId="1" xfId="2" applyFont="1" applyFill="1" applyBorder="1" applyAlignment="1">
      <alignment horizontal="center" vertical="center"/>
    </xf>
    <xf numFmtId="41" fontId="7" fillId="47" borderId="1" xfId="1" applyFont="1" applyFill="1" applyBorder="1">
      <alignment vertical="center"/>
    </xf>
    <xf numFmtId="0" fontId="7" fillId="47" borderId="1" xfId="2" applyFont="1" applyFill="1" applyBorder="1" applyAlignment="1">
      <alignment horizontal="left" vertical="center"/>
    </xf>
    <xf numFmtId="41" fontId="7" fillId="47" borderId="15" xfId="1" applyFont="1" applyFill="1" applyBorder="1">
      <alignment vertical="center"/>
    </xf>
    <xf numFmtId="0" fontId="7" fillId="51" borderId="1" xfId="2" applyFont="1" applyFill="1" applyBorder="1" applyAlignment="1">
      <alignment horizontal="center" vertical="center"/>
    </xf>
    <xf numFmtId="0" fontId="7" fillId="10" borderId="2" xfId="2" applyFont="1" applyFill="1" applyBorder="1" applyAlignment="1">
      <alignment horizontal="left" vertical="center"/>
    </xf>
    <xf numFmtId="0" fontId="7" fillId="10" borderId="1" xfId="2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41" fontId="16" fillId="0" borderId="1" xfId="1" applyFont="1" applyBorder="1">
      <alignment vertical="center"/>
    </xf>
    <xf numFmtId="0" fontId="16" fillId="50" borderId="1" xfId="2" applyFont="1" applyFill="1" applyBorder="1" applyAlignment="1">
      <alignment horizontal="center" vertical="center"/>
    </xf>
    <xf numFmtId="0" fontId="16" fillId="11" borderId="4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41" fontId="16" fillId="0" borderId="0" xfId="1" applyFont="1">
      <alignment vertical="center"/>
    </xf>
    <xf numFmtId="0" fontId="6" fillId="49" borderId="1" xfId="2" applyFont="1" applyFill="1" applyBorder="1" applyAlignment="1">
      <alignment horizontal="center" vertical="center"/>
    </xf>
    <xf numFmtId="0" fontId="6" fillId="49" borderId="1" xfId="2" applyFont="1" applyFill="1" applyBorder="1" applyAlignment="1">
      <alignment horizontal="center" vertical="center" wrapText="1"/>
    </xf>
    <xf numFmtId="41" fontId="6" fillId="49" borderId="1" xfId="1" applyFont="1" applyFill="1" applyBorder="1" applyAlignment="1">
      <alignment horizontal="center" vertical="center"/>
    </xf>
    <xf numFmtId="0" fontId="16" fillId="49" borderId="1" xfId="2" applyFont="1" applyFill="1" applyBorder="1" applyAlignment="1">
      <alignment horizontal="center" vertical="center"/>
    </xf>
    <xf numFmtId="0" fontId="41" fillId="10" borderId="1" xfId="2" applyFont="1" applyFill="1" applyBorder="1" applyAlignment="1">
      <alignment horizontal="center" vertical="center"/>
    </xf>
    <xf numFmtId="0" fontId="41" fillId="0" borderId="1" xfId="2" applyFont="1" applyBorder="1" applyAlignment="1">
      <alignment horizontal="center" vertical="center"/>
    </xf>
    <xf numFmtId="0" fontId="16" fillId="12" borderId="1" xfId="2" applyFont="1" applyFill="1" applyBorder="1" applyAlignment="1">
      <alignment horizontal="center" vertical="center"/>
    </xf>
    <xf numFmtId="0" fontId="17" fillId="47" borderId="1" xfId="2" applyFont="1" applyFill="1" applyBorder="1" applyAlignment="1">
      <alignment horizontal="center" vertical="center"/>
    </xf>
    <xf numFmtId="0" fontId="41" fillId="11" borderId="4" xfId="2" applyFont="1" applyFill="1" applyBorder="1" applyAlignment="1">
      <alignment horizontal="center" vertical="center"/>
    </xf>
    <xf numFmtId="0" fontId="6" fillId="51" borderId="1" xfId="2" applyFont="1" applyFill="1" applyBorder="1" applyAlignment="1">
      <alignment horizontal="center" vertical="center"/>
    </xf>
    <xf numFmtId="41" fontId="6" fillId="51" borderId="1" xfId="1" applyFont="1" applyFill="1" applyBorder="1" applyAlignment="1">
      <alignment horizontal="center" vertical="center"/>
    </xf>
    <xf numFmtId="0" fontId="16" fillId="10" borderId="1" xfId="2" applyFont="1" applyFill="1" applyBorder="1" applyAlignment="1">
      <alignment horizontal="center" vertical="center"/>
    </xf>
    <xf numFmtId="0" fontId="16" fillId="51" borderId="1" xfId="2" applyFont="1" applyFill="1" applyBorder="1" applyAlignment="1">
      <alignment horizontal="center" vertical="center"/>
    </xf>
    <xf numFmtId="0" fontId="6" fillId="47" borderId="1" xfId="2" applyFont="1" applyFill="1" applyBorder="1" applyAlignment="1">
      <alignment horizontal="center" vertical="center" wrapText="1"/>
    </xf>
    <xf numFmtId="41" fontId="6" fillId="47" borderId="1" xfId="1" applyFont="1" applyFill="1" applyBorder="1" applyAlignment="1">
      <alignment horizontal="center" vertical="center"/>
    </xf>
    <xf numFmtId="41" fontId="16" fillId="0" borderId="15" xfId="1" applyFont="1" applyBorder="1">
      <alignment vertical="center"/>
    </xf>
    <xf numFmtId="41" fontId="6" fillId="47" borderId="15" xfId="1" applyFont="1" applyFill="1" applyBorder="1" applyAlignment="1">
      <alignment horizontal="center" vertical="center"/>
    </xf>
    <xf numFmtId="0" fontId="16" fillId="11" borderId="0" xfId="2" applyFont="1" applyFill="1" applyAlignment="1">
      <alignment horizontal="center" vertical="center"/>
    </xf>
    <xf numFmtId="41" fontId="6" fillId="49" borderId="15" xfId="1" applyFont="1" applyFill="1" applyBorder="1" applyAlignment="1">
      <alignment horizontal="center" vertical="center"/>
    </xf>
    <xf numFmtId="41" fontId="6" fillId="51" borderId="15" xfId="1" applyFont="1" applyFill="1" applyBorder="1" applyAlignment="1">
      <alignment horizontal="center" vertical="center"/>
    </xf>
    <xf numFmtId="14" fontId="4" fillId="49" borderId="2" xfId="2" applyNumberFormat="1" applyFont="1" applyFill="1" applyBorder="1">
      <alignment vertical="center"/>
    </xf>
    <xf numFmtId="14" fontId="4" fillId="12" borderId="2" xfId="2" applyNumberFormat="1" applyFont="1" applyFill="1" applyBorder="1">
      <alignment vertical="center"/>
    </xf>
    <xf numFmtId="14" fontId="4" fillId="51" borderId="2" xfId="2" applyNumberFormat="1" applyFont="1" applyFill="1" applyBorder="1">
      <alignment vertical="center"/>
    </xf>
    <xf numFmtId="0" fontId="7" fillId="51" borderId="1" xfId="2" applyFont="1" applyFill="1" applyBorder="1" applyAlignment="1">
      <alignment horizontal="center" vertical="center" wrapText="1"/>
    </xf>
    <xf numFmtId="14" fontId="4" fillId="53" borderId="2" xfId="2" applyNumberFormat="1" applyFont="1" applyFill="1" applyBorder="1">
      <alignment vertical="center"/>
    </xf>
    <xf numFmtId="0" fontId="4" fillId="53" borderId="1" xfId="2" applyFont="1" applyFill="1" applyBorder="1" applyAlignment="1">
      <alignment horizontal="center" vertical="center"/>
    </xf>
    <xf numFmtId="0" fontId="9" fillId="53" borderId="1" xfId="2" applyFont="1" applyFill="1" applyBorder="1" applyAlignment="1">
      <alignment horizontal="center" vertical="center" wrapText="1"/>
    </xf>
    <xf numFmtId="41" fontId="5" fillId="53" borderId="1" xfId="1" applyFont="1" applyFill="1" applyBorder="1" applyAlignment="1">
      <alignment horizontal="center" vertical="center"/>
    </xf>
    <xf numFmtId="41" fontId="5" fillId="53" borderId="15" xfId="1" applyFont="1" applyFill="1" applyBorder="1" applyAlignment="1">
      <alignment horizontal="center" vertical="center"/>
    </xf>
    <xf numFmtId="0" fontId="7" fillId="53" borderId="2" xfId="2" applyFont="1" applyFill="1" applyBorder="1" applyAlignment="1">
      <alignment horizontal="left" vertical="center"/>
    </xf>
    <xf numFmtId="0" fontId="16" fillId="53" borderId="1" xfId="2" applyFont="1" applyFill="1" applyBorder="1" applyAlignment="1">
      <alignment horizontal="center" vertical="center"/>
    </xf>
    <xf numFmtId="41" fontId="6" fillId="53" borderId="1" xfId="1" applyFont="1" applyFill="1" applyBorder="1">
      <alignment vertical="center"/>
    </xf>
    <xf numFmtId="0" fontId="7" fillId="53" borderId="1" xfId="2" applyFont="1" applyFill="1" applyBorder="1" applyAlignment="1">
      <alignment horizontal="left" vertical="center"/>
    </xf>
    <xf numFmtId="41" fontId="6" fillId="53" borderId="15" xfId="1" applyFont="1" applyFill="1" applyBorder="1">
      <alignment vertical="center"/>
    </xf>
    <xf numFmtId="14" fontId="7" fillId="54" borderId="2" xfId="2" applyNumberFormat="1" applyFont="1" applyFill="1" applyBorder="1">
      <alignment vertical="center"/>
    </xf>
    <xf numFmtId="0" fontId="8" fillId="0" borderId="21" xfId="2" applyFont="1" applyBorder="1" applyAlignment="1">
      <alignment horizontal="center" vertical="center" wrapText="1"/>
    </xf>
    <xf numFmtId="0" fontId="42" fillId="0" borderId="21" xfId="2" applyFont="1" applyBorder="1" applyAlignment="1">
      <alignment horizontal="center" vertical="center"/>
    </xf>
    <xf numFmtId="49" fontId="7" fillId="0" borderId="0" xfId="2" applyNumberFormat="1" applyFont="1">
      <alignment vertical="center"/>
    </xf>
    <xf numFmtId="0" fontId="14" fillId="0" borderId="0" xfId="2" applyFont="1">
      <alignment vertical="center"/>
    </xf>
    <xf numFmtId="14" fontId="4" fillId="55" borderId="2" xfId="2" applyNumberFormat="1" applyFont="1" applyFill="1" applyBorder="1">
      <alignment vertical="center"/>
    </xf>
    <xf numFmtId="0" fontId="4" fillId="55" borderId="1" xfId="2" applyFont="1" applyFill="1" applyBorder="1" applyAlignment="1">
      <alignment horizontal="center" vertical="center"/>
    </xf>
    <xf numFmtId="0" fontId="9" fillId="55" borderId="1" xfId="2" applyFont="1" applyFill="1" applyBorder="1" applyAlignment="1">
      <alignment horizontal="center" vertical="center" wrapText="1"/>
    </xf>
    <xf numFmtId="41" fontId="5" fillId="55" borderId="1" xfId="1" applyFont="1" applyFill="1" applyBorder="1" applyAlignment="1">
      <alignment horizontal="center" vertical="center"/>
    </xf>
    <xf numFmtId="41" fontId="5" fillId="55" borderId="15" xfId="1" applyFont="1" applyFill="1" applyBorder="1" applyAlignment="1">
      <alignment horizontal="center" vertical="center"/>
    </xf>
    <xf numFmtId="0" fontId="11" fillId="55" borderId="2" xfId="2" applyFont="1" applyFill="1" applyBorder="1" applyAlignment="1">
      <alignment horizontal="left" vertical="center"/>
    </xf>
    <xf numFmtId="0" fontId="10" fillId="55" borderId="1" xfId="2" applyFont="1" applyFill="1" applyBorder="1" applyAlignment="1">
      <alignment horizontal="center" vertical="center"/>
    </xf>
    <xf numFmtId="41" fontId="6" fillId="55" borderId="1" xfId="1" applyFont="1" applyFill="1" applyBorder="1">
      <alignment vertical="center"/>
    </xf>
    <xf numFmtId="0" fontId="6" fillId="55" borderId="1" xfId="2" applyFont="1" applyFill="1" applyBorder="1" applyAlignment="1">
      <alignment horizontal="left" vertical="center"/>
    </xf>
    <xf numFmtId="41" fontId="6" fillId="55" borderId="15" xfId="1" applyFont="1" applyFill="1" applyBorder="1">
      <alignment vertical="center"/>
    </xf>
    <xf numFmtId="0" fontId="12" fillId="12" borderId="0" xfId="2" applyFill="1">
      <alignment vertical="center"/>
    </xf>
    <xf numFmtId="14" fontId="12" fillId="0" borderId="0" xfId="1" quotePrefix="1" applyNumberFormat="1">
      <alignment vertical="center"/>
    </xf>
    <xf numFmtId="177" fontId="12" fillId="0" borderId="0" xfId="2" applyNumberFormat="1">
      <alignment vertical="center"/>
    </xf>
    <xf numFmtId="0" fontId="12" fillId="0" borderId="0" xfId="2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12" fillId="0" borderId="3" xfId="2" applyBorder="1" applyAlignment="1">
      <alignment horizontal="center" vertical="center"/>
    </xf>
    <xf numFmtId="0" fontId="12" fillId="0" borderId="4" xfId="2" applyBorder="1" applyAlignment="1">
      <alignment horizontal="center" vertical="center"/>
    </xf>
    <xf numFmtId="0" fontId="12" fillId="0" borderId="19" xfId="2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57" xfId="2" applyBorder="1" applyAlignment="1">
      <alignment horizontal="center" vertical="center"/>
    </xf>
    <xf numFmtId="0" fontId="12" fillId="0" borderId="55" xfId="2" applyBorder="1" applyAlignment="1">
      <alignment horizontal="center" vertical="center"/>
    </xf>
    <xf numFmtId="0" fontId="12" fillId="0" borderId="56" xfId="2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14" fontId="11" fillId="0" borderId="0" xfId="2" applyNumberFormat="1" applyFont="1" applyAlignment="1">
      <alignment horizontal="center" vertical="center"/>
    </xf>
    <xf numFmtId="0" fontId="7" fillId="47" borderId="23" xfId="2" applyFont="1" applyFill="1" applyBorder="1" applyAlignment="1">
      <alignment horizontal="center" vertical="center"/>
    </xf>
    <xf numFmtId="0" fontId="7" fillId="47" borderId="24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12" fillId="0" borderId="48" xfId="2" applyBorder="1" applyAlignment="1">
      <alignment horizontal="center" vertical="center"/>
    </xf>
    <xf numFmtId="0" fontId="12" fillId="0" borderId="27" xfId="2" applyBorder="1" applyAlignment="1">
      <alignment horizontal="center" vertical="center"/>
    </xf>
    <xf numFmtId="0" fontId="12" fillId="0" borderId="49" xfId="2" applyBorder="1" applyAlignment="1">
      <alignment horizontal="center" vertical="center"/>
    </xf>
    <xf numFmtId="0" fontId="7" fillId="47" borderId="25" xfId="2" applyFont="1" applyFill="1" applyBorder="1" applyAlignment="1">
      <alignment horizontal="center" vertical="center"/>
    </xf>
    <xf numFmtId="0" fontId="7" fillId="47" borderId="14" xfId="2" applyFont="1" applyFill="1" applyBorder="1" applyAlignment="1">
      <alignment horizontal="center" vertical="center"/>
    </xf>
    <xf numFmtId="0" fontId="7" fillId="47" borderId="18" xfId="2" applyFont="1" applyFill="1" applyBorder="1" applyAlignment="1">
      <alignment horizontal="center" vertical="center"/>
    </xf>
    <xf numFmtId="0" fontId="8" fillId="0" borderId="48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49" xfId="2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16" fillId="0" borderId="27" xfId="2" applyFont="1" applyBorder="1" applyAlignment="1">
      <alignment horizontal="center" vertical="center"/>
    </xf>
    <xf numFmtId="0" fontId="16" fillId="0" borderId="49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2" fillId="0" borderId="16" xfId="2" applyBorder="1" applyAlignment="1">
      <alignment horizontal="center" vertical="center"/>
    </xf>
    <xf numFmtId="0" fontId="12" fillId="0" borderId="11" xfId="2" applyBorder="1" applyAlignment="1">
      <alignment horizontal="center" vertical="center"/>
    </xf>
    <xf numFmtId="0" fontId="12" fillId="0" borderId="17" xfId="2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12" fillId="0" borderId="66" xfId="2" applyBorder="1" applyAlignment="1">
      <alignment horizontal="center" vertical="center"/>
    </xf>
    <xf numFmtId="0" fontId="12" fillId="0" borderId="67" xfId="2" applyBorder="1" applyAlignment="1">
      <alignment horizontal="center" vertical="center"/>
    </xf>
    <xf numFmtId="0" fontId="12" fillId="0" borderId="69" xfId="2" applyBorder="1" applyAlignment="1">
      <alignment horizontal="center" vertical="center"/>
    </xf>
    <xf numFmtId="14" fontId="11" fillId="0" borderId="61" xfId="2" applyNumberFormat="1" applyFont="1" applyBorder="1" applyAlignment="1">
      <alignment horizontal="center" vertical="center"/>
    </xf>
    <xf numFmtId="14" fontId="11" fillId="0" borderId="62" xfId="2" applyNumberFormat="1" applyFont="1" applyBorder="1" applyAlignment="1">
      <alignment horizontal="center" vertical="center"/>
    </xf>
    <xf numFmtId="14" fontId="11" fillId="0" borderId="63" xfId="2" applyNumberFormat="1" applyFont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14" fontId="11" fillId="0" borderId="42" xfId="2" applyNumberFormat="1" applyFont="1" applyBorder="1" applyAlignment="1">
      <alignment horizontal="center" vertical="center"/>
    </xf>
    <xf numFmtId="14" fontId="11" fillId="0" borderId="43" xfId="2" applyNumberFormat="1" applyFont="1" applyBorder="1" applyAlignment="1">
      <alignment horizontal="center" vertical="center"/>
    </xf>
    <xf numFmtId="14" fontId="11" fillId="0" borderId="44" xfId="2" applyNumberFormat="1" applyFont="1" applyBorder="1" applyAlignment="1">
      <alignment horizontal="center" vertical="center"/>
    </xf>
  </cellXfs>
  <cellStyles count="61">
    <cellStyle name="20% - 강조색1" xfId="20" builtinId="30" customBuiltin="1"/>
    <cellStyle name="20% - 강조색1 2" xfId="47" xr:uid="{00000000-0005-0000-0000-000001000000}"/>
    <cellStyle name="20% - 강조색2" xfId="24" builtinId="34" customBuiltin="1"/>
    <cellStyle name="20% - 강조색2 2" xfId="49" xr:uid="{00000000-0005-0000-0000-000003000000}"/>
    <cellStyle name="20% - 강조색3" xfId="28" builtinId="38" customBuiltin="1"/>
    <cellStyle name="20% - 강조색3 2" xfId="51" xr:uid="{00000000-0005-0000-0000-000005000000}"/>
    <cellStyle name="20% - 강조색4" xfId="32" builtinId="42" customBuiltin="1"/>
    <cellStyle name="20% - 강조색4 2" xfId="53" xr:uid="{00000000-0005-0000-0000-000007000000}"/>
    <cellStyle name="20% - 강조색5" xfId="36" builtinId="46" customBuiltin="1"/>
    <cellStyle name="20% - 강조색5 2" xfId="55" xr:uid="{00000000-0005-0000-0000-000009000000}"/>
    <cellStyle name="20% - 강조색6" xfId="40" builtinId="50" customBuiltin="1"/>
    <cellStyle name="20% - 강조색6 2" xfId="57" xr:uid="{00000000-0005-0000-0000-00000B000000}"/>
    <cellStyle name="40% - 강조색1" xfId="21" builtinId="31" customBuiltin="1"/>
    <cellStyle name="40% - 강조색1 2" xfId="48" xr:uid="{00000000-0005-0000-0000-00000D000000}"/>
    <cellStyle name="40% - 강조색2" xfId="25" builtinId="35" customBuiltin="1"/>
    <cellStyle name="40% - 강조색2 2" xfId="50" xr:uid="{00000000-0005-0000-0000-00000F000000}"/>
    <cellStyle name="40% - 강조색3" xfId="29" builtinId="39" customBuiltin="1"/>
    <cellStyle name="40% - 강조색3 2" xfId="52" xr:uid="{00000000-0005-0000-0000-000011000000}"/>
    <cellStyle name="40% - 강조색4" xfId="33" builtinId="43" customBuiltin="1"/>
    <cellStyle name="40% - 강조색4 2" xfId="54" xr:uid="{00000000-0005-0000-0000-000013000000}"/>
    <cellStyle name="40% - 강조색5" xfId="37" builtinId="47" customBuiltin="1"/>
    <cellStyle name="40% - 강조색5 2" xfId="56" xr:uid="{00000000-0005-0000-0000-000015000000}"/>
    <cellStyle name="40% - 강조색6" xfId="41" builtinId="51" customBuiltin="1"/>
    <cellStyle name="40% - 강조색6 2" xfId="58" xr:uid="{00000000-0005-0000-0000-000017000000}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4" xr:uid="{00000000-0005-0000-0000-000027000000}"/>
    <cellStyle name="메모 3" xfId="46" xr:uid="{00000000-0005-0000-0000-000028000000}"/>
    <cellStyle name="보통" xfId="10" builtinId="28" customBuiltin="1"/>
    <cellStyle name="설명 텍스트" xfId="17" builtinId="53" customBuiltin="1"/>
    <cellStyle name="셀 확인" xfId="15" builtinId="23" customBuiltin="1"/>
    <cellStyle name="쉼표 [0]" xfId="1" builtinId="6"/>
    <cellStyle name="쉼표 [0] 2" xfId="59" xr:uid="{00000000-0005-0000-0000-00002D000000}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2" xr:uid="{00000000-0005-0000-0000-000039000000}"/>
    <cellStyle name="표준 3" xfId="43" xr:uid="{00000000-0005-0000-0000-00003A000000}"/>
    <cellStyle name="표준 4" xfId="45" xr:uid="{00000000-0005-0000-0000-00003B000000}"/>
    <cellStyle name="표준 5" xfId="60" xr:uid="{00000000-0005-0000-0000-00003C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D48FFF"/>
      <color rgb="FFE977DB"/>
      <color rgb="FFF9BFEE"/>
      <color rgb="FFFFD85D"/>
      <color rgb="FFB1F9C6"/>
      <color rgb="FFCCFF33"/>
      <color rgb="FFF599E3"/>
      <color rgb="FF8E5A54"/>
      <color rgb="FFFF5050"/>
      <color rgb="FFB89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worksheet" Target="worksheets/sheet21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0" Type="http://schemas.openxmlformats.org/officeDocument/2006/relationships/worksheet" Target="worksheets/sheet20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5" tint="0.59999389629810485"/>
  </sheetPr>
  <dimension ref="A1:SQ9"/>
  <sheetViews>
    <sheetView tabSelected="1" zoomScale="55" zoomScaleNormal="55" zoomScaleSheetLayoutView="75" workbookViewId="0">
      <selection activeCell="B54" sqref="B54"/>
    </sheetView>
  </sheetViews>
  <sheetFormatPr defaultColWidth="9" defaultRowHeight="15" customHeight="1" x14ac:dyDescent="0.3"/>
  <cols>
    <col min="1" max="21" width="37.625" style="34" customWidth="1"/>
    <col min="22" max="22" width="22.25" style="34" bestFit="1" customWidth="1"/>
    <col min="23" max="25" width="18.375" style="34" customWidth="1"/>
    <col min="26" max="26" width="27.625" style="34" bestFit="1" customWidth="1"/>
    <col min="27" max="28" width="18.375" style="34" customWidth="1"/>
    <col min="29" max="29" width="27.625" style="34" bestFit="1" customWidth="1"/>
    <col min="30" max="30" width="18.375" style="34" customWidth="1"/>
    <col min="31" max="31" width="25.375" style="34" bestFit="1" customWidth="1"/>
    <col min="32" max="32" width="21" style="34" bestFit="1" customWidth="1"/>
    <col min="33" max="33" width="27.625" style="34" bestFit="1" customWidth="1"/>
    <col min="34" max="34" width="18.375" style="34" customWidth="1"/>
    <col min="35" max="35" width="27.625" style="34" bestFit="1" customWidth="1"/>
    <col min="36" max="389" width="30.375" style="34" customWidth="1"/>
    <col min="390" max="391" width="21.25" style="34" customWidth="1"/>
    <col min="392" max="407" width="20.5" style="34" customWidth="1"/>
    <col min="408" max="408" width="21" style="34" bestFit="1" customWidth="1"/>
    <col min="409" max="409" width="25.125" style="34" bestFit="1" customWidth="1"/>
    <col min="410" max="410" width="23" style="34" bestFit="1" customWidth="1"/>
    <col min="411" max="411" width="33.375" style="34" bestFit="1" customWidth="1"/>
    <col min="412" max="412" width="25.125" style="34" bestFit="1" customWidth="1"/>
    <col min="413" max="413" width="28.875" style="34" bestFit="1" customWidth="1"/>
    <col min="414" max="414" width="23" style="34" bestFit="1" customWidth="1"/>
    <col min="415" max="415" width="18.875" style="34" customWidth="1"/>
    <col min="416" max="416" width="23" style="34" bestFit="1" customWidth="1"/>
    <col min="417" max="417" width="25.125" style="34" bestFit="1" customWidth="1"/>
    <col min="418" max="418" width="18.875" style="34" customWidth="1"/>
    <col min="419" max="419" width="19.125" style="34" customWidth="1"/>
    <col min="420" max="420" width="18.125" style="34" customWidth="1"/>
    <col min="421" max="421" width="18.875" style="34" customWidth="1"/>
    <col min="422" max="422" width="26.625" style="34" customWidth="1"/>
    <col min="423" max="423" width="22.125" style="34" customWidth="1"/>
    <col min="424" max="424" width="24.125" style="34" customWidth="1"/>
    <col min="425" max="425" width="21.375" style="34" customWidth="1"/>
    <col min="426" max="426" width="19.375" style="34" customWidth="1"/>
    <col min="427" max="427" width="20" style="34" customWidth="1"/>
    <col min="428" max="428" width="23.25" style="34" customWidth="1"/>
    <col min="429" max="429" width="18" style="34" customWidth="1"/>
    <col min="430" max="460" width="19" style="34" customWidth="1"/>
    <col min="461" max="465" width="20.25" style="34" customWidth="1"/>
    <col min="466" max="466" width="17.25" style="34" customWidth="1"/>
    <col min="467" max="467" width="17.75" style="34" customWidth="1"/>
    <col min="468" max="468" width="16.5" style="34" customWidth="1"/>
    <col min="469" max="471" width="21" style="34" customWidth="1"/>
    <col min="472" max="472" width="18.5" style="34" customWidth="1"/>
    <col min="473" max="477" width="21" style="34" customWidth="1"/>
    <col min="478" max="478" width="15.125" style="34" customWidth="1"/>
    <col min="479" max="494" width="21" style="34" customWidth="1"/>
    <col min="495" max="495" width="24.25" style="34" customWidth="1"/>
    <col min="496" max="496" width="18.875" style="34" bestFit="1" customWidth="1"/>
    <col min="497" max="497" width="21" style="34" bestFit="1" customWidth="1"/>
    <col min="498" max="498" width="23" style="38" bestFit="1" customWidth="1"/>
    <col min="499" max="499" width="8.625" style="38" bestFit="1" customWidth="1"/>
    <col min="500" max="500" width="21" style="38" bestFit="1" customWidth="1"/>
    <col min="501" max="501" width="23" style="38" bestFit="1" customWidth="1"/>
    <col min="502" max="502" width="8.625" style="38" bestFit="1" customWidth="1"/>
    <col min="503" max="503" width="22.875" style="34" customWidth="1"/>
    <col min="504" max="510" width="20.875" style="38" customWidth="1"/>
    <col min="511" max="511" width="23.25" style="38" customWidth="1"/>
    <col min="512" max="16384" width="9" style="34"/>
  </cols>
  <sheetData>
    <row r="1" spans="1:503" s="38" customFormat="1" ht="15" customHeight="1" x14ac:dyDescent="0.3">
      <c r="A1" s="334" t="s">
        <v>324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2"/>
      <c r="AK1" s="2"/>
      <c r="AL1" s="2"/>
      <c r="AM1" s="2"/>
      <c r="AN1" s="2"/>
      <c r="AO1" s="2"/>
      <c r="AP1" s="2"/>
      <c r="AQ1" s="2"/>
      <c r="AR1" s="29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32"/>
      <c r="MH1" s="23"/>
      <c r="MI1" s="23"/>
      <c r="MJ1" s="23"/>
      <c r="MK1" s="23"/>
      <c r="ML1" s="32"/>
      <c r="MM1" s="32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32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32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32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</row>
    <row r="2" spans="1:503" s="38" customFormat="1" ht="15" customHeight="1" x14ac:dyDescent="0.3">
      <c r="A2" s="53" t="s">
        <v>326</v>
      </c>
      <c r="B2" s="335" t="s">
        <v>323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</row>
    <row r="3" spans="1:503" s="38" customFormat="1" ht="15" customHeight="1" x14ac:dyDescent="0.3">
      <c r="A3" s="34" t="s">
        <v>242</v>
      </c>
      <c r="B3" s="34">
        <v>6000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</row>
    <row r="4" spans="1:503" s="38" customFormat="1" ht="15" customHeight="1" x14ac:dyDescent="0.3">
      <c r="A4" s="34" t="s">
        <v>3</v>
      </c>
      <c r="B4" s="34">
        <v>6000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</row>
    <row r="5" spans="1:503" ht="15" customHeight="1" x14ac:dyDescent="0.3"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</row>
    <row r="6" spans="1:503" ht="15" customHeight="1" x14ac:dyDescent="0.3"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</row>
    <row r="7" spans="1:503" ht="15" customHeight="1" x14ac:dyDescent="0.3"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</row>
    <row r="8" spans="1:503" ht="15" customHeight="1" x14ac:dyDescent="0.3"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K8" s="39"/>
    </row>
    <row r="9" spans="1:503" ht="15" customHeight="1" x14ac:dyDescent="0.3"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5882-8822-485E-9E1A-234956980374}">
  <sheetPr>
    <tabColor theme="5" tint="0.59999389629810485"/>
    <pageSetUpPr fitToPage="1"/>
  </sheetPr>
  <dimension ref="A1:I46"/>
  <sheetViews>
    <sheetView zoomScale="50" zoomScaleNormal="50" zoomScaleSheetLayoutView="75" workbookViewId="0">
      <selection activeCell="A2" sqref="A2:F44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350"/>
      <c r="B1" s="350"/>
      <c r="C1" s="350"/>
      <c r="D1" s="350"/>
      <c r="E1" s="350"/>
      <c r="F1" s="350"/>
    </row>
    <row r="2" spans="1:9" ht="25.9" customHeight="1" x14ac:dyDescent="0.3">
      <c r="A2" s="214">
        <f ca="1">TODAY()</f>
        <v>46314</v>
      </c>
      <c r="B2" s="351" t="s">
        <v>298</v>
      </c>
      <c r="C2" s="351"/>
      <c r="D2" s="351"/>
      <c r="E2" s="351"/>
      <c r="F2" s="352"/>
    </row>
    <row r="3" spans="1:9" ht="40.5" customHeight="1" x14ac:dyDescent="0.3">
      <c r="A3" s="216" t="str">
        <f>'★참조은 피벗( 냉동)3438600'!A2</f>
        <v>10/20 납품</v>
      </c>
      <c r="B3" s="205" t="s">
        <v>13</v>
      </c>
      <c r="C3" s="215" t="s">
        <v>286</v>
      </c>
      <c r="D3" s="206" t="s">
        <v>2</v>
      </c>
      <c r="E3" s="205" t="s">
        <v>23</v>
      </c>
      <c r="F3" s="207" t="s">
        <v>14</v>
      </c>
    </row>
    <row r="4" spans="1:9" ht="25.35" customHeight="1" x14ac:dyDescent="0.3">
      <c r="A4" s="244" t="s">
        <v>258</v>
      </c>
      <c r="B4" s="278">
        <v>60</v>
      </c>
      <c r="C4" s="279">
        <f>IFERROR(VLOOKUP(A4,'★참조은 피벗( 냉동)3438600'!A:SE,2,FALSE),0)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  <c r="H4" s="71"/>
      <c r="I4" s="71"/>
    </row>
    <row r="5" spans="1:9" ht="25.35" customHeight="1" x14ac:dyDescent="0.3">
      <c r="A5" s="244" t="s">
        <v>259</v>
      </c>
      <c r="B5" s="278">
        <f>$B$4</f>
        <v>60</v>
      </c>
      <c r="C5" s="279">
        <f>IFERROR(VLOOKUP(A5,'★참조은 피벗( 냉동)3438600'!A:SE,2,FALSE),0)</f>
        <v>0</v>
      </c>
      <c r="D5" s="279">
        <f t="shared" si="0"/>
        <v>0</v>
      </c>
      <c r="E5" s="246" t="s">
        <v>280</v>
      </c>
      <c r="F5" s="299">
        <f t="shared" si="1"/>
        <v>0</v>
      </c>
      <c r="H5" s="71"/>
      <c r="I5" s="71"/>
    </row>
    <row r="6" spans="1:9" ht="25.35" customHeight="1" x14ac:dyDescent="0.3">
      <c r="A6" s="247" t="s">
        <v>260</v>
      </c>
      <c r="B6" s="278">
        <f t="shared" ref="B6:B20" si="2">$B$4</f>
        <v>60</v>
      </c>
      <c r="C6" s="279">
        <f>IFERROR(VLOOKUP(A6,'★참조은 피벗( 냉동)3438600'!A:SE,2,FALSE),0)</f>
        <v>0</v>
      </c>
      <c r="D6" s="279">
        <f t="shared" si="0"/>
        <v>0</v>
      </c>
      <c r="E6" s="246" t="s">
        <v>281</v>
      </c>
      <c r="F6" s="299">
        <f t="shared" si="1"/>
        <v>0</v>
      </c>
      <c r="H6" s="71"/>
      <c r="I6" s="71"/>
    </row>
    <row r="7" spans="1:9" ht="25.35" customHeight="1" x14ac:dyDescent="0.3">
      <c r="A7" s="247" t="s">
        <v>244</v>
      </c>
      <c r="B7" s="278">
        <f t="shared" si="2"/>
        <v>60</v>
      </c>
      <c r="C7" s="279">
        <f>IFERROR(VLOOKUP(A7,'★참조은 피벗( 냉동)3438600'!A:SE,2,FALSE),0)</f>
        <v>0</v>
      </c>
      <c r="D7" s="279">
        <f t="shared" si="0"/>
        <v>0</v>
      </c>
      <c r="E7" s="246" t="s">
        <v>269</v>
      </c>
      <c r="F7" s="299">
        <f t="shared" si="1"/>
        <v>0</v>
      </c>
      <c r="H7" s="71"/>
      <c r="I7" s="71"/>
    </row>
    <row r="8" spans="1:9" ht="25.35" customHeight="1" x14ac:dyDescent="0.3">
      <c r="A8" s="247" t="s">
        <v>245</v>
      </c>
      <c r="B8" s="278">
        <f t="shared" si="2"/>
        <v>60</v>
      </c>
      <c r="C8" s="279">
        <f>IFERROR(VLOOKUP(A8,'★참조은 피벗( 냉동)3438600'!A:SE,2,FALSE),0)</f>
        <v>0</v>
      </c>
      <c r="D8" s="279">
        <f t="shared" si="0"/>
        <v>0</v>
      </c>
      <c r="E8" s="246" t="s">
        <v>307</v>
      </c>
      <c r="F8" s="299">
        <f t="shared" si="1"/>
        <v>0</v>
      </c>
      <c r="H8" s="71"/>
      <c r="I8" s="71"/>
    </row>
    <row r="9" spans="1:9" ht="25.35" customHeight="1" x14ac:dyDescent="0.3">
      <c r="A9" s="247" t="s">
        <v>246</v>
      </c>
      <c r="B9" s="278">
        <f t="shared" si="2"/>
        <v>60</v>
      </c>
      <c r="C9" s="279">
        <f>IFERROR(VLOOKUP(A9,'★참조은 피벗( 냉동)3438600'!A:SE,2,FALSE),0)</f>
        <v>0</v>
      </c>
      <c r="D9" s="279">
        <f t="shared" si="0"/>
        <v>0</v>
      </c>
      <c r="E9" s="246" t="s">
        <v>270</v>
      </c>
      <c r="F9" s="299">
        <f t="shared" si="1"/>
        <v>0</v>
      </c>
      <c r="H9" s="71"/>
      <c r="I9" s="71"/>
    </row>
    <row r="10" spans="1:9" ht="25.35" customHeight="1" x14ac:dyDescent="0.3">
      <c r="A10" s="247" t="s">
        <v>247</v>
      </c>
      <c r="B10" s="278">
        <f t="shared" si="2"/>
        <v>60</v>
      </c>
      <c r="C10" s="279">
        <f>IFERROR(VLOOKUP(A10,'★참조은 피벗( 냉동)3438600'!A:SE,2,FALSE),0)</f>
        <v>0</v>
      </c>
      <c r="D10" s="279">
        <f t="shared" si="0"/>
        <v>0</v>
      </c>
      <c r="E10" s="246" t="s">
        <v>271</v>
      </c>
      <c r="F10" s="299">
        <f t="shared" si="1"/>
        <v>0</v>
      </c>
      <c r="H10" s="71"/>
      <c r="I10" s="71"/>
    </row>
    <row r="11" spans="1:9" ht="25.35" customHeight="1" x14ac:dyDescent="0.3">
      <c r="A11" s="247" t="s">
        <v>248</v>
      </c>
      <c r="B11" s="278">
        <f t="shared" si="2"/>
        <v>60</v>
      </c>
      <c r="C11" s="279">
        <f>IFERROR(VLOOKUP(A11,'★참조은 피벗( 냉동)3438600'!A:SE,2,FALSE),0)</f>
        <v>0</v>
      </c>
      <c r="D11" s="279">
        <f t="shared" si="0"/>
        <v>0</v>
      </c>
      <c r="E11" s="246" t="s">
        <v>272</v>
      </c>
      <c r="F11" s="299">
        <f t="shared" si="1"/>
        <v>0</v>
      </c>
      <c r="H11" s="71"/>
      <c r="I11" s="71"/>
    </row>
    <row r="12" spans="1:9" ht="25.35" customHeight="1" x14ac:dyDescent="0.3">
      <c r="A12" s="247" t="s">
        <v>249</v>
      </c>
      <c r="B12" s="278">
        <f t="shared" si="2"/>
        <v>60</v>
      </c>
      <c r="C12" s="279">
        <f>IFERROR(VLOOKUP(A12,'★참조은 피벗( 냉동)3438600'!A:SE,2,FALSE),0)</f>
        <v>0</v>
      </c>
      <c r="D12" s="279">
        <f t="shared" si="0"/>
        <v>0</v>
      </c>
      <c r="E12" s="246" t="s">
        <v>273</v>
      </c>
      <c r="F12" s="299">
        <f t="shared" si="1"/>
        <v>0</v>
      </c>
      <c r="H12" s="71"/>
      <c r="I12" s="71"/>
    </row>
    <row r="13" spans="1:9" ht="25.35" customHeight="1" x14ac:dyDescent="0.3">
      <c r="A13" s="244" t="s">
        <v>250</v>
      </c>
      <c r="B13" s="278">
        <f t="shared" si="2"/>
        <v>60</v>
      </c>
      <c r="C13" s="279">
        <f>IFERROR(VLOOKUP(A13,'★참조은 피벗( 냉동)3438600'!A:SE,2,FALSE),0)</f>
        <v>0</v>
      </c>
      <c r="D13" s="279">
        <f t="shared" si="0"/>
        <v>0</v>
      </c>
      <c r="E13" s="246" t="s">
        <v>274</v>
      </c>
      <c r="F13" s="299">
        <f t="shared" si="1"/>
        <v>0</v>
      </c>
      <c r="H13" s="71"/>
      <c r="I13" s="71"/>
    </row>
    <row r="14" spans="1:9" ht="25.35" customHeight="1" x14ac:dyDescent="0.3">
      <c r="A14" s="247" t="s">
        <v>251</v>
      </c>
      <c r="B14" s="278">
        <f t="shared" si="2"/>
        <v>60</v>
      </c>
      <c r="C14" s="279">
        <f>IFERROR(VLOOKUP(A14,'★참조은 피벗( 냉동)3438600'!A:SE,2,FALSE),0)</f>
        <v>0</v>
      </c>
      <c r="D14" s="279">
        <f t="shared" si="0"/>
        <v>0</v>
      </c>
      <c r="E14" s="246" t="s">
        <v>275</v>
      </c>
      <c r="F14" s="299">
        <f t="shared" si="1"/>
        <v>0</v>
      </c>
      <c r="H14" s="71"/>
      <c r="I14" s="71"/>
    </row>
    <row r="15" spans="1:9" ht="25.35" customHeight="1" x14ac:dyDescent="0.3">
      <c r="A15" s="247" t="s">
        <v>252</v>
      </c>
      <c r="B15" s="278">
        <f t="shared" si="2"/>
        <v>60</v>
      </c>
      <c r="C15" s="279">
        <f>IFERROR(VLOOKUP(A15,'★참조은 피벗( 냉동)3438600'!A:SE,2,FALSE),0)</f>
        <v>0</v>
      </c>
      <c r="D15" s="279">
        <f t="shared" si="0"/>
        <v>0</v>
      </c>
      <c r="E15" s="246" t="s">
        <v>276</v>
      </c>
      <c r="F15" s="299">
        <f t="shared" si="1"/>
        <v>0</v>
      </c>
      <c r="H15" s="71"/>
      <c r="I15" s="71"/>
    </row>
    <row r="16" spans="1:9" ht="25.35" customHeight="1" x14ac:dyDescent="0.3">
      <c r="A16" s="247" t="s">
        <v>253</v>
      </c>
      <c r="B16" s="278">
        <f t="shared" si="2"/>
        <v>60</v>
      </c>
      <c r="C16" s="279">
        <f>IFERROR(VLOOKUP(A16,'★참조은 피벗( 냉동)3438600'!A:SE,2,FALSE),0)</f>
        <v>0</v>
      </c>
      <c r="D16" s="279">
        <f t="shared" si="0"/>
        <v>0</v>
      </c>
      <c r="E16" s="246" t="s">
        <v>305</v>
      </c>
      <c r="F16" s="299">
        <f t="shared" si="1"/>
        <v>0</v>
      </c>
      <c r="H16" s="71"/>
      <c r="I16" s="71"/>
    </row>
    <row r="17" spans="1:9" ht="25.35" customHeight="1" x14ac:dyDescent="0.3">
      <c r="A17" s="247" t="s">
        <v>254</v>
      </c>
      <c r="B17" s="278">
        <f t="shared" si="2"/>
        <v>60</v>
      </c>
      <c r="C17" s="279">
        <f>IFERROR(VLOOKUP(A17,'★참조은 피벗( 냉동)3438600'!A:SE,2,FALSE),0)</f>
        <v>0</v>
      </c>
      <c r="D17" s="279">
        <f t="shared" si="0"/>
        <v>0</v>
      </c>
      <c r="E17" s="246" t="s">
        <v>277</v>
      </c>
      <c r="F17" s="299">
        <f t="shared" si="1"/>
        <v>0</v>
      </c>
      <c r="H17" s="71"/>
      <c r="I17" s="71"/>
    </row>
    <row r="18" spans="1:9" ht="25.35" customHeight="1" x14ac:dyDescent="0.3">
      <c r="A18" s="247" t="s">
        <v>255</v>
      </c>
      <c r="B18" s="278">
        <f t="shared" si="2"/>
        <v>60</v>
      </c>
      <c r="C18" s="279">
        <f>IFERROR(VLOOKUP(A18,'★참조은 피벗( 냉동)3438600'!A:SE,2,FALSE),0)</f>
        <v>0</v>
      </c>
      <c r="D18" s="279">
        <f t="shared" si="0"/>
        <v>0</v>
      </c>
      <c r="E18" s="246" t="s">
        <v>278</v>
      </c>
      <c r="F18" s="299">
        <f t="shared" si="1"/>
        <v>0</v>
      </c>
      <c r="H18" s="71"/>
      <c r="I18" s="71"/>
    </row>
    <row r="19" spans="1:9" ht="25.35" customHeight="1" x14ac:dyDescent="0.3">
      <c r="A19" s="247" t="s">
        <v>256</v>
      </c>
      <c r="B19" s="278">
        <f t="shared" si="2"/>
        <v>60</v>
      </c>
      <c r="C19" s="279">
        <f>IFERROR(VLOOKUP(A19,'★참조은 피벗( 냉동)3438600'!A:SE,2,FALSE),0)</f>
        <v>0</v>
      </c>
      <c r="D19" s="279">
        <f t="shared" si="0"/>
        <v>0</v>
      </c>
      <c r="E19" s="246" t="s">
        <v>279</v>
      </c>
      <c r="F19" s="299">
        <f t="shared" si="1"/>
        <v>0</v>
      </c>
      <c r="H19" s="71"/>
      <c r="I19" s="71"/>
    </row>
    <row r="20" spans="1:9" ht="25.35" customHeight="1" x14ac:dyDescent="0.3">
      <c r="A20" s="247" t="s">
        <v>257</v>
      </c>
      <c r="B20" s="278">
        <f t="shared" si="2"/>
        <v>60</v>
      </c>
      <c r="C20" s="279">
        <f>IFERROR(VLOOKUP(A20,'★참조은 피벗( 냉동)3438600'!A:SE,2,FALSE),0)</f>
        <v>0</v>
      </c>
      <c r="D20" s="279">
        <f t="shared" si="0"/>
        <v>0</v>
      </c>
      <c r="E20" s="246" t="s">
        <v>306</v>
      </c>
      <c r="F20" s="299">
        <f t="shared" si="1"/>
        <v>0</v>
      </c>
      <c r="H20" s="71"/>
      <c r="I20" s="71"/>
    </row>
    <row r="21" spans="1:9" ht="4.5" customHeight="1" x14ac:dyDescent="0.3">
      <c r="A21" s="353"/>
      <c r="B21" s="354"/>
      <c r="C21" s="354"/>
      <c r="D21" s="354"/>
      <c r="E21" s="354"/>
      <c r="F21" s="355"/>
      <c r="H21" s="71"/>
      <c r="I21" s="71"/>
    </row>
    <row r="22" spans="1:9" ht="32.450000000000003" customHeight="1" x14ac:dyDescent="0.3">
      <c r="A22" s="248" t="s">
        <v>122</v>
      </c>
      <c r="B22" s="288">
        <f>$B$4</f>
        <v>60</v>
      </c>
      <c r="C22" s="211">
        <f>SUM(C4:C20)</f>
        <v>0</v>
      </c>
      <c r="D22" s="55">
        <f>IFERROR(ROUNDDOWN(C22/B22,0),"")</f>
        <v>0</v>
      </c>
      <c r="E22" s="249"/>
      <c r="F22" s="213">
        <f>IFERROR(C22-(D22*B22),"")</f>
        <v>0</v>
      </c>
      <c r="H22" s="71"/>
      <c r="I22" s="71"/>
    </row>
    <row r="23" spans="1:9" ht="4.5" customHeight="1" x14ac:dyDescent="0.3">
      <c r="A23" s="250"/>
      <c r="B23" s="245"/>
      <c r="C23" s="245"/>
      <c r="D23" s="245"/>
      <c r="E23" s="245"/>
      <c r="F23" s="251"/>
      <c r="H23" s="71"/>
      <c r="I23" s="71"/>
    </row>
    <row r="24" spans="1:9" ht="25.35" customHeight="1" x14ac:dyDescent="0.3">
      <c r="A24" s="247" t="s">
        <v>239</v>
      </c>
      <c r="B24" s="278">
        <f t="shared" ref="B24:B28" si="3">$B$4</f>
        <v>60</v>
      </c>
      <c r="C24" s="279">
        <f>IFERROR(VLOOKUP(A24,'★참조은 피벗( 냉동)3438600'!A:SE,2,FALSE),0)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  <c r="H24" s="71"/>
      <c r="I24" s="71"/>
    </row>
    <row r="25" spans="1:9" ht="25.35" customHeight="1" x14ac:dyDescent="0.3">
      <c r="A25" s="247" t="s">
        <v>240</v>
      </c>
      <c r="B25" s="278">
        <f t="shared" si="3"/>
        <v>60</v>
      </c>
      <c r="C25" s="279">
        <f>IFERROR(VLOOKUP(A25,'★참조은 피벗( 냉동)3438600'!A:SE,2,FALSE),0)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  <c r="H25" s="71"/>
      <c r="I25" s="71"/>
    </row>
    <row r="26" spans="1:9" ht="25.35" customHeight="1" x14ac:dyDescent="0.3">
      <c r="A26" s="247" t="s">
        <v>241</v>
      </c>
      <c r="B26" s="278">
        <f t="shared" si="3"/>
        <v>60</v>
      </c>
      <c r="C26" s="279">
        <f>IFERROR(VLOOKUP(A26,'★참조은 피벗( 냉동)3438600'!A:SE,2,FALSE),0)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  <c r="H26" s="71"/>
      <c r="I26" s="71"/>
    </row>
    <row r="27" spans="1:9" ht="25.35" customHeight="1" x14ac:dyDescent="0.3">
      <c r="A27" s="247" t="s">
        <v>322</v>
      </c>
      <c r="B27" s="278">
        <f t="shared" si="3"/>
        <v>60</v>
      </c>
      <c r="C27" s="279">
        <f>IFERROR(VLOOKUP(A27,'★참조은 피벗( 냉동)3438600'!A:SE,2,FALSE),0)</f>
        <v>6000</v>
      </c>
      <c r="D27" s="279">
        <f>IFERROR(ROUNDDOWN(C27/B27,0),"")</f>
        <v>100</v>
      </c>
      <c r="E27" s="246" t="s">
        <v>268</v>
      </c>
      <c r="F27" s="299">
        <f>IFERROR(C27-(D27*B27),"")</f>
        <v>0</v>
      </c>
      <c r="H27" s="71"/>
      <c r="I27" s="71"/>
    </row>
    <row r="28" spans="1:9" ht="25.35" customHeight="1" x14ac:dyDescent="0.3">
      <c r="A28" s="247" t="s">
        <v>243</v>
      </c>
      <c r="B28" s="278">
        <f t="shared" si="3"/>
        <v>60</v>
      </c>
      <c r="C28" s="279">
        <f>IFERROR(VLOOKUP(A28,'★참조은 피벗( 냉동)3438600'!A:SE,2,FALSE),0)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  <c r="H28" s="71"/>
      <c r="I28" s="71"/>
    </row>
    <row r="29" spans="1:9" ht="4.5" customHeight="1" x14ac:dyDescent="0.3">
      <c r="A29" s="353"/>
      <c r="B29" s="354"/>
      <c r="C29" s="354"/>
      <c r="D29" s="354"/>
      <c r="E29" s="354"/>
      <c r="F29" s="355"/>
      <c r="H29" s="71"/>
      <c r="I29" s="71"/>
    </row>
    <row r="30" spans="1:9" ht="32.450000000000003" customHeight="1" x14ac:dyDescent="0.3">
      <c r="A30" s="248" t="s">
        <v>284</v>
      </c>
      <c r="B30" s="288">
        <f>$B$4</f>
        <v>60</v>
      </c>
      <c r="C30" s="211">
        <f>SUM(C24:C28)</f>
        <v>6000</v>
      </c>
      <c r="D30" s="55">
        <f>IFERROR(ROUNDDOWN(C30/B30,0),"")</f>
        <v>100</v>
      </c>
      <c r="E30" s="249"/>
      <c r="F30" s="213">
        <f>IFERROR(C30-(D30*B30),"")</f>
        <v>0</v>
      </c>
      <c r="H30" s="71"/>
      <c r="I30" s="71"/>
    </row>
    <row r="31" spans="1:9" ht="4.5" customHeight="1" x14ac:dyDescent="0.3">
      <c r="A31" s="353"/>
      <c r="B31" s="354"/>
      <c r="C31" s="354"/>
      <c r="D31" s="354"/>
      <c r="E31" s="354"/>
      <c r="F31" s="355"/>
      <c r="H31" s="71"/>
      <c r="I31" s="71"/>
    </row>
    <row r="32" spans="1:9" ht="25.35" customHeight="1" x14ac:dyDescent="0.3">
      <c r="A32" s="247" t="s">
        <v>237</v>
      </c>
      <c r="B32" s="278">
        <f t="shared" ref="B32:B33" si="4">$B$4</f>
        <v>60</v>
      </c>
      <c r="C32" s="279">
        <f>IFERROR(VLOOKUP(A32,'★참조은 피벗( 냉동)3438600'!A:SE,2,FALSE),0)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  <c r="H32" s="71"/>
      <c r="I32" s="71"/>
    </row>
    <row r="33" spans="1:9" ht="25.35" customHeight="1" x14ac:dyDescent="0.3">
      <c r="A33" s="247" t="s">
        <v>238</v>
      </c>
      <c r="B33" s="278">
        <f t="shared" si="4"/>
        <v>60</v>
      </c>
      <c r="C33" s="279">
        <f>IFERROR(VLOOKUP(A33,'★참조은 피벗( 냉동)3438600'!A:SE,2,FALSE),0)</f>
        <v>0</v>
      </c>
      <c r="D33" s="279">
        <f t="shared" si="5"/>
        <v>0</v>
      </c>
      <c r="E33" s="246" t="s">
        <v>265</v>
      </c>
      <c r="F33" s="299">
        <f t="shared" si="6"/>
        <v>0</v>
      </c>
      <c r="H33" s="71"/>
      <c r="I33" s="71"/>
    </row>
    <row r="34" spans="1:9" ht="4.5" customHeight="1" x14ac:dyDescent="0.3">
      <c r="A34" s="353"/>
      <c r="B34" s="354"/>
      <c r="C34" s="354"/>
      <c r="D34" s="354"/>
      <c r="E34" s="354"/>
      <c r="F34" s="355"/>
      <c r="H34" s="71"/>
      <c r="I34" s="71"/>
    </row>
    <row r="35" spans="1:9" ht="32.450000000000003" customHeight="1" x14ac:dyDescent="0.3">
      <c r="A35" s="248" t="s">
        <v>283</v>
      </c>
      <c r="B35" s="288">
        <f>$B$4</f>
        <v>60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  <c r="H35" s="71"/>
      <c r="I35" s="71"/>
    </row>
    <row r="36" spans="1:9" ht="4.5" customHeight="1" x14ac:dyDescent="0.3">
      <c r="A36" s="250"/>
      <c r="B36" s="245"/>
      <c r="C36" s="245"/>
      <c r="D36" s="245"/>
      <c r="E36" s="245"/>
      <c r="F36" s="251"/>
      <c r="H36" s="71"/>
      <c r="I36" s="71"/>
    </row>
    <row r="37" spans="1:9" ht="25.35" customHeight="1" x14ac:dyDescent="0.3">
      <c r="A37" s="247" t="s">
        <v>234</v>
      </c>
      <c r="B37" s="278">
        <f t="shared" ref="B37:B39" si="7">$B$4</f>
        <v>60</v>
      </c>
      <c r="C37" s="279">
        <f>IFERROR(VLOOKUP(A37,'★참조은 피벗( 냉동)3438600'!A:SE,2,FALSE),0)</f>
        <v>0</v>
      </c>
      <c r="D37" s="279">
        <f>IFERROR(ROUNDDOWN(C37/B37,0),"")</f>
        <v>0</v>
      </c>
      <c r="E37" s="246" t="s">
        <v>261</v>
      </c>
      <c r="F37" s="299">
        <f>IFERROR(C37-(D37*B37),"")</f>
        <v>0</v>
      </c>
      <c r="H37" s="71"/>
      <c r="I37" s="71"/>
    </row>
    <row r="38" spans="1:9" ht="25.35" customHeight="1" x14ac:dyDescent="0.3">
      <c r="A38" s="247" t="s">
        <v>235</v>
      </c>
      <c r="B38" s="278">
        <f t="shared" si="7"/>
        <v>60</v>
      </c>
      <c r="C38" s="279">
        <f>IFERROR(VLOOKUP(A38,'★참조은 피벗( 냉동)3438600'!A:SE,2,FALSE),0)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  <c r="H38" s="71"/>
      <c r="I38" s="71"/>
    </row>
    <row r="39" spans="1:9" ht="25.35" customHeight="1" x14ac:dyDescent="0.3">
      <c r="A39" s="247" t="s">
        <v>236</v>
      </c>
      <c r="B39" s="278">
        <f t="shared" si="7"/>
        <v>60</v>
      </c>
      <c r="C39" s="279">
        <f>IFERROR(VLOOKUP(A39,'★참조은 피벗( 냉동)3438600'!A:SE,2,FALSE),0)</f>
        <v>0</v>
      </c>
      <c r="D39" s="279">
        <f t="shared" si="8"/>
        <v>0</v>
      </c>
      <c r="E39" s="246" t="s">
        <v>263</v>
      </c>
      <c r="F39" s="299">
        <f t="shared" si="9"/>
        <v>0</v>
      </c>
      <c r="H39" s="71"/>
      <c r="I39" s="71"/>
    </row>
    <row r="40" spans="1:9" ht="4.5" customHeight="1" x14ac:dyDescent="0.3">
      <c r="A40" s="347"/>
      <c r="B40" s="348"/>
      <c r="C40" s="348"/>
      <c r="D40" s="348"/>
      <c r="E40" s="348"/>
      <c r="F40" s="349"/>
      <c r="H40" s="71"/>
      <c r="I40" s="71"/>
    </row>
    <row r="41" spans="1:9" ht="32.450000000000003" customHeight="1" x14ac:dyDescent="0.3">
      <c r="A41" s="210" t="s">
        <v>282</v>
      </c>
      <c r="B41" s="288">
        <f>$B$4</f>
        <v>60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  <c r="H41" s="71"/>
      <c r="I41" s="71"/>
    </row>
    <row r="42" spans="1:9" ht="4.5" customHeight="1" x14ac:dyDescent="0.3">
      <c r="A42" s="179"/>
      <c r="B42" s="50"/>
      <c r="C42" s="50"/>
      <c r="D42" s="50"/>
      <c r="E42" s="50"/>
      <c r="F42" s="180"/>
      <c r="H42" s="71"/>
      <c r="I42" s="71"/>
    </row>
    <row r="43" spans="1:9" ht="26.25" x14ac:dyDescent="0.3">
      <c r="A43" s="85" t="s">
        <v>3</v>
      </c>
      <c r="B43" s="295">
        <f>$B$4</f>
        <v>60</v>
      </c>
      <c r="C43" s="55">
        <f>SUM(C4:C20,C37:C39,C32:C33,C24:C28)</f>
        <v>6000</v>
      </c>
      <c r="D43" s="54">
        <f>IFERROR(ROUNDDOWN(C43/B43,0),"")</f>
        <v>100</v>
      </c>
      <c r="E43" s="56"/>
      <c r="F43" s="119">
        <f>IFERROR(C43-(D43*B43),"")</f>
        <v>0</v>
      </c>
      <c r="H43" s="71"/>
      <c r="I43" s="71"/>
    </row>
    <row r="44" spans="1:9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100</v>
      </c>
      <c r="E44" s="48"/>
      <c r="F44" s="91">
        <f>SUM(F4:F20,F37:F39,F32:F33,F24:F28)</f>
        <v>0</v>
      </c>
    </row>
    <row r="45" spans="1:9" ht="22.5" customHeight="1" x14ac:dyDescent="0.3">
      <c r="C45" s="75">
        <f>C22+C30+C35+C41</f>
        <v>6000</v>
      </c>
    </row>
    <row r="46" spans="1:9" x14ac:dyDescent="0.3">
      <c r="C46" s="34" t="b">
        <f>C45=C43</f>
        <v>1</v>
      </c>
    </row>
  </sheetData>
  <mergeCells count="7">
    <mergeCell ref="A1:F1"/>
    <mergeCell ref="B2:F2"/>
    <mergeCell ref="A40:F40"/>
    <mergeCell ref="A34:F34"/>
    <mergeCell ref="A29:F29"/>
    <mergeCell ref="A31:F31"/>
    <mergeCell ref="A21:F21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5" tint="0.59999389629810485"/>
    <pageSetUpPr fitToPage="1"/>
  </sheetPr>
  <dimension ref="A1:F46"/>
  <sheetViews>
    <sheetView zoomScale="50" zoomScaleNormal="50" zoomScaleSheetLayoutView="75" workbookViewId="0">
      <selection activeCell="N41" sqref="N41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1" t="s">
        <v>298</v>
      </c>
      <c r="C2" s="351"/>
      <c r="D2" s="351"/>
      <c r="E2" s="351"/>
      <c r="F2" s="352"/>
    </row>
    <row r="3" spans="1:6" ht="40.5" customHeight="1" x14ac:dyDescent="0.3">
      <c r="A3" s="216" t="str">
        <f>'★참조은 피벗( 냉동)3438600'!A2</f>
        <v>10/20 납품</v>
      </c>
      <c r="B3" s="205" t="s">
        <v>13</v>
      </c>
      <c r="C3" s="215" t="s">
        <v>287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60</v>
      </c>
      <c r="C4" s="279">
        <f>IFERROR(VLOOKUP(A4,'★참조은 피벗( 냉동)3438600'!A:SE,3,FALSE),0)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60</v>
      </c>
      <c r="C5" s="279">
        <f>IFERROR(VLOOKUP(A5,'★참조은 피벗( 냉동)3438600'!A:SE,3,FALSE),0)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60</v>
      </c>
      <c r="C6" s="279">
        <f>IFERROR(VLOOKUP(A6,'★참조은 피벗( 냉동)3438600'!A:SE,3,FALSE),0)</f>
        <v>0</v>
      </c>
      <c r="D6" s="279">
        <f t="shared" si="0"/>
        <v>0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60</v>
      </c>
      <c r="C7" s="279">
        <f>IFERROR(VLOOKUP(A7,'★참조은 피벗( 냉동)3438600'!A:SE,3,FALSE),0)</f>
        <v>0</v>
      </c>
      <c r="D7" s="279">
        <f t="shared" si="0"/>
        <v>0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60</v>
      </c>
      <c r="C8" s="279">
        <f>IFERROR(VLOOKUP(A8,'★참조은 피벗( 냉동)3438600'!A:SE,3,FALSE),0)</f>
        <v>0</v>
      </c>
      <c r="D8" s="279">
        <f t="shared" si="0"/>
        <v>0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60</v>
      </c>
      <c r="C9" s="279">
        <f>IFERROR(VLOOKUP(A9,'★참조은 피벗( 냉동)3438600'!A:SE,3,FALSE),0)</f>
        <v>0</v>
      </c>
      <c r="D9" s="279">
        <f t="shared" si="0"/>
        <v>0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60</v>
      </c>
      <c r="C10" s="279">
        <f>IFERROR(VLOOKUP(A10,'★참조은 피벗( 냉동)3438600'!A:SE,3,FALSE),0)</f>
        <v>0</v>
      </c>
      <c r="D10" s="279">
        <f t="shared" si="0"/>
        <v>0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60</v>
      </c>
      <c r="C11" s="279">
        <f>IFERROR(VLOOKUP(A11,'★참조은 피벗( 냉동)3438600'!A:SE,3,FALSE),0)</f>
        <v>0</v>
      </c>
      <c r="D11" s="279">
        <f t="shared" si="0"/>
        <v>0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60</v>
      </c>
      <c r="C12" s="279">
        <f>IFERROR(VLOOKUP(A12,'★참조은 피벗( 냉동)3438600'!A:SE,3,FALSE),0)</f>
        <v>0</v>
      </c>
      <c r="D12" s="279">
        <f t="shared" si="0"/>
        <v>0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60</v>
      </c>
      <c r="C13" s="279">
        <f>IFERROR(VLOOKUP(A13,'★참조은 피벗( 냉동)3438600'!A:SE,3,FALSE),0)</f>
        <v>0</v>
      </c>
      <c r="D13" s="279">
        <f t="shared" si="0"/>
        <v>0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60</v>
      </c>
      <c r="C14" s="279">
        <f>IFERROR(VLOOKUP(A14,'★참조은 피벗( 냉동)3438600'!A:SE,3,FALSE),0)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60</v>
      </c>
      <c r="C15" s="279">
        <f>IFERROR(VLOOKUP(A15,'★참조은 피벗( 냉동)3438600'!A:SE,3,FALSE),0)</f>
        <v>0</v>
      </c>
      <c r="D15" s="279">
        <f t="shared" si="0"/>
        <v>0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60</v>
      </c>
      <c r="C16" s="279">
        <f>IFERROR(VLOOKUP(A16,'★참조은 피벗( 냉동)3438600'!A:SE,3,FALSE),0)</f>
        <v>0</v>
      </c>
      <c r="D16" s="279">
        <f t="shared" si="0"/>
        <v>0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60</v>
      </c>
      <c r="C17" s="279">
        <f>IFERROR(VLOOKUP(A17,'★참조은 피벗( 냉동)3438600'!A:SE,3,FALSE),0)</f>
        <v>0</v>
      </c>
      <c r="D17" s="279">
        <f t="shared" si="0"/>
        <v>0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60</v>
      </c>
      <c r="C18" s="279">
        <f>IFERROR(VLOOKUP(A18,'★참조은 피벗( 냉동)3438600'!A:SE,3,FALSE),0)</f>
        <v>0</v>
      </c>
      <c r="D18" s="279">
        <f t="shared" si="0"/>
        <v>0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60</v>
      </c>
      <c r="C19" s="279">
        <f>IFERROR(VLOOKUP(A19,'★참조은 피벗( 냉동)3438600'!A:SE,3,FALSE),0)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60</v>
      </c>
      <c r="C20" s="279">
        <f>IFERROR(VLOOKUP(A20,'★참조은 피벗( 냉동)3438600'!A:SE,3,FALSE),0)</f>
        <v>0</v>
      </c>
      <c r="D20" s="279">
        <f t="shared" si="0"/>
        <v>0</v>
      </c>
      <c r="E20" s="246" t="s">
        <v>306</v>
      </c>
      <c r="F20" s="299">
        <f t="shared" si="1"/>
        <v>0</v>
      </c>
    </row>
    <row r="21" spans="1:6" ht="4.5" customHeight="1" x14ac:dyDescent="0.3">
      <c r="A21" s="353"/>
      <c r="B21" s="354"/>
      <c r="C21" s="354"/>
      <c r="D21" s="354"/>
      <c r="E21" s="354"/>
      <c r="F21" s="355"/>
    </row>
    <row r="22" spans="1:6" ht="32.450000000000003" customHeight="1" x14ac:dyDescent="0.3">
      <c r="A22" s="248" t="s">
        <v>122</v>
      </c>
      <c r="B22" s="288">
        <f>$B$4</f>
        <v>60</v>
      </c>
      <c r="C22" s="211">
        <f>SUM(C4:C20)</f>
        <v>0</v>
      </c>
      <c r="D22" s="55">
        <f>IFERROR(ROUNDDOWN(C22/B22,0),"")</f>
        <v>0</v>
      </c>
      <c r="E22" s="249"/>
      <c r="F22" s="213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60</v>
      </c>
      <c r="C24" s="279">
        <f>IFERROR(VLOOKUP(A24,'★참조은 피벗( 냉동)3438600'!A:SE,3,FALSE),0)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60</v>
      </c>
      <c r="C25" s="279">
        <f>IFERROR(VLOOKUP(A25,'★참조은 피벗( 냉동)3438600'!A:SE,3,FALSE),0)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60</v>
      </c>
      <c r="C26" s="279">
        <f>IFERROR(VLOOKUP(A26,'★참조은 피벗( 냉동)3438600'!A:SE,3,FALSE),0)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60</v>
      </c>
      <c r="C27" s="279">
        <f>IFERROR(VLOOKUP(A27,'★참조은 피벗( 냉동)3438600'!A:SE,3,FALSE),0)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60</v>
      </c>
      <c r="C28" s="279">
        <f>IFERROR(VLOOKUP(A28,'★참조은 피벗( 냉동)3438600'!A:SE,3,FALSE),0)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53"/>
      <c r="B29" s="354"/>
      <c r="C29" s="354"/>
      <c r="D29" s="354"/>
      <c r="E29" s="354"/>
      <c r="F29" s="355"/>
    </row>
    <row r="30" spans="1:6" ht="32.450000000000003" customHeight="1" x14ac:dyDescent="0.3">
      <c r="A30" s="248" t="s">
        <v>284</v>
      </c>
      <c r="B30" s="288">
        <f>$B$4</f>
        <v>60</v>
      </c>
      <c r="C30" s="211">
        <f>SUM(C24:C28)</f>
        <v>0</v>
      </c>
      <c r="D30" s="55">
        <f>IFERROR(ROUNDDOWN(C30/B30,0),"")</f>
        <v>0</v>
      </c>
      <c r="E30" s="249"/>
      <c r="F30" s="213">
        <f>IFERROR(C30-(D30*B30),"")</f>
        <v>0</v>
      </c>
    </row>
    <row r="31" spans="1:6" ht="4.5" customHeight="1" x14ac:dyDescent="0.3">
      <c r="A31" s="353"/>
      <c r="B31" s="354"/>
      <c r="C31" s="354"/>
      <c r="D31" s="354"/>
      <c r="E31" s="354"/>
      <c r="F31" s="355"/>
    </row>
    <row r="32" spans="1:6" ht="25.35" customHeight="1" x14ac:dyDescent="0.3">
      <c r="A32" s="247" t="s">
        <v>237</v>
      </c>
      <c r="B32" s="278">
        <f t="shared" ref="B32:B33" si="4">$B$4</f>
        <v>60</v>
      </c>
      <c r="C32" s="279">
        <f>IFERROR(VLOOKUP(A32,'★참조은 피벗( 냉동)3438600'!A:SE,3,FALSE),0)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60</v>
      </c>
      <c r="C33" s="279">
        <f>IFERROR(VLOOKUP(A33,'★참조은 피벗( 냉동)3438600'!A:SE,3,FALSE),0)</f>
        <v>0</v>
      </c>
      <c r="D33" s="279">
        <f t="shared" si="5"/>
        <v>0</v>
      </c>
      <c r="E33" s="246" t="s">
        <v>265</v>
      </c>
      <c r="F33" s="299">
        <f t="shared" si="6"/>
        <v>0</v>
      </c>
    </row>
    <row r="34" spans="1:6" ht="4.5" customHeight="1" x14ac:dyDescent="0.3">
      <c r="A34" s="353"/>
      <c r="B34" s="354"/>
      <c r="C34" s="354"/>
      <c r="D34" s="354"/>
      <c r="E34" s="354"/>
      <c r="F34" s="355"/>
    </row>
    <row r="35" spans="1:6" ht="32.450000000000003" customHeight="1" x14ac:dyDescent="0.3">
      <c r="A35" s="248" t="s">
        <v>283</v>
      </c>
      <c r="B35" s="288">
        <f>$B$4</f>
        <v>60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60</v>
      </c>
      <c r="C37" s="279">
        <f>IFERROR(VLOOKUP(A37,'★참조은 피벗( 냉동)3438600'!A:SE,3,FALSE),0)</f>
        <v>0</v>
      </c>
      <c r="D37" s="279">
        <f t="shared" ref="D37:D39" si="8">IFERROR(ROUNDDOWN(C37/B37,0),"")</f>
        <v>0</v>
      </c>
      <c r="E37" s="246" t="s">
        <v>261</v>
      </c>
      <c r="F37" s="299">
        <f t="shared" ref="F37:F39" si="9">IFERROR(C37-(D37*B37),"")</f>
        <v>0</v>
      </c>
    </row>
    <row r="38" spans="1:6" ht="25.35" customHeight="1" x14ac:dyDescent="0.3">
      <c r="A38" s="247" t="s">
        <v>235</v>
      </c>
      <c r="B38" s="278">
        <f t="shared" si="7"/>
        <v>60</v>
      </c>
      <c r="C38" s="279">
        <f>IFERROR(VLOOKUP(A38,'★참조은 피벗( 냉동)3438600'!A:SE,3,FALSE),0)</f>
        <v>0</v>
      </c>
      <c r="D38" s="279">
        <f t="shared" si="8"/>
        <v>0</v>
      </c>
      <c r="E38" s="246" t="s">
        <v>262</v>
      </c>
      <c r="F38" s="299">
        <f t="shared" si="9"/>
        <v>0</v>
      </c>
    </row>
    <row r="39" spans="1:6" ht="25.35" customHeight="1" x14ac:dyDescent="0.3">
      <c r="A39" s="247" t="s">
        <v>236</v>
      </c>
      <c r="B39" s="278">
        <f t="shared" si="7"/>
        <v>60</v>
      </c>
      <c r="C39" s="279">
        <f>IFERROR(VLOOKUP(A39,'★참조은 피벗( 냉동)3438600'!A:SE,3,FALSE),0)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47"/>
      <c r="B40" s="348"/>
      <c r="C40" s="348"/>
      <c r="D40" s="348"/>
      <c r="E40" s="348"/>
      <c r="F40" s="349"/>
    </row>
    <row r="41" spans="1:6" ht="32.450000000000003" customHeight="1" x14ac:dyDescent="0.3">
      <c r="A41" s="210" t="s">
        <v>282</v>
      </c>
      <c r="B41" s="288">
        <f>$B$4</f>
        <v>60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60</v>
      </c>
      <c r="C43" s="55">
        <f>SUM(C4:C20,C37:C39,C32:C33,C24:C28)</f>
        <v>0</v>
      </c>
      <c r="D43" s="54">
        <f>IFERROR(ROUNDDOWN(C43/B43,0),"")</f>
        <v>0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0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0</v>
      </c>
    </row>
    <row r="46" spans="1:6" x14ac:dyDescent="0.3">
      <c r="C46" s="34" t="b">
        <f>C45=C43</f>
        <v>1</v>
      </c>
    </row>
  </sheetData>
  <sortState xmlns:xlrd2="http://schemas.microsoft.com/office/spreadsheetml/2017/richdata2" ref="A37:P42">
    <sortCondition ref="A37:A42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7">
    <mergeCell ref="A1:F1"/>
    <mergeCell ref="B2:F2"/>
    <mergeCell ref="A40:F40"/>
    <mergeCell ref="A34:F34"/>
    <mergeCell ref="A29:F29"/>
    <mergeCell ref="A31:F31"/>
    <mergeCell ref="A21:F21"/>
  </mergeCells>
  <phoneticPr fontId="13" type="noConversion"/>
  <printOptions horizontalCentered="1" verticalCentered="1"/>
  <pageMargins left="0" right="0" top="0" bottom="0" header="0" footer="0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F151-76FA-499B-8C57-39B7ABA17452}">
  <sheetPr>
    <tabColor theme="5" tint="-0.249977111117893"/>
  </sheetPr>
  <dimension ref="A1:TT4"/>
  <sheetViews>
    <sheetView zoomScale="55" zoomScaleNormal="55" zoomScaleSheetLayoutView="75" workbookViewId="0">
      <selection activeCell="B18" sqref="B18"/>
    </sheetView>
  </sheetViews>
  <sheetFormatPr defaultColWidth="9" defaultRowHeight="15" customHeight="1" x14ac:dyDescent="0.3"/>
  <cols>
    <col min="1" max="50" width="37.625" style="34" customWidth="1"/>
    <col min="51" max="51" width="22.25" style="34" bestFit="1" customWidth="1"/>
    <col min="52" max="54" width="18.375" style="34" customWidth="1"/>
    <col min="55" max="55" width="27.625" style="34" bestFit="1" customWidth="1"/>
    <col min="56" max="57" width="18.375" style="34" customWidth="1"/>
    <col min="58" max="58" width="27.625" style="34" bestFit="1" customWidth="1"/>
    <col min="59" max="59" width="18.375" style="34" customWidth="1"/>
    <col min="60" max="60" width="25.375" style="34" bestFit="1" customWidth="1"/>
    <col min="61" max="61" width="21" style="34" bestFit="1" customWidth="1"/>
    <col min="62" max="62" width="27.625" style="34" bestFit="1" customWidth="1"/>
    <col min="63" max="63" width="18.375" style="34" customWidth="1"/>
    <col min="64" max="64" width="27.625" style="34" bestFit="1" customWidth="1"/>
    <col min="65" max="418" width="30.375" style="34" customWidth="1"/>
    <col min="419" max="420" width="21.25" style="34" customWidth="1"/>
    <col min="421" max="436" width="20.5" style="34" customWidth="1"/>
    <col min="437" max="437" width="21" style="34" bestFit="1" customWidth="1"/>
    <col min="438" max="438" width="25.125" style="34" bestFit="1" customWidth="1"/>
    <col min="439" max="439" width="23" style="34" bestFit="1" customWidth="1"/>
    <col min="440" max="440" width="33.375" style="34" bestFit="1" customWidth="1"/>
    <col min="441" max="441" width="25.125" style="34" bestFit="1" customWidth="1"/>
    <col min="442" max="442" width="28.875" style="34" bestFit="1" customWidth="1"/>
    <col min="443" max="443" width="23" style="34" bestFit="1" customWidth="1"/>
    <col min="444" max="444" width="18.875" style="34" customWidth="1"/>
    <col min="445" max="445" width="23" style="34" bestFit="1" customWidth="1"/>
    <col min="446" max="446" width="25.125" style="34" bestFit="1" customWidth="1"/>
    <col min="447" max="447" width="18.875" style="34" customWidth="1"/>
    <col min="448" max="448" width="19.125" style="34" customWidth="1"/>
    <col min="449" max="449" width="18.125" style="34" customWidth="1"/>
    <col min="450" max="450" width="18.875" style="34" customWidth="1"/>
    <col min="451" max="451" width="26.625" style="34" customWidth="1"/>
    <col min="452" max="452" width="22.125" style="34" customWidth="1"/>
    <col min="453" max="453" width="24.125" style="34" customWidth="1"/>
    <col min="454" max="454" width="21.375" style="34" customWidth="1"/>
    <col min="455" max="455" width="19.375" style="34" customWidth="1"/>
    <col min="456" max="456" width="20" style="34" customWidth="1"/>
    <col min="457" max="457" width="23.25" style="34" customWidth="1"/>
    <col min="458" max="458" width="18" style="34" customWidth="1"/>
    <col min="459" max="489" width="19" style="34" customWidth="1"/>
    <col min="490" max="494" width="20.25" style="34" customWidth="1"/>
    <col min="495" max="495" width="17.25" style="34" customWidth="1"/>
    <col min="496" max="496" width="17.75" style="34" customWidth="1"/>
    <col min="497" max="497" width="16.5" style="34" customWidth="1"/>
    <col min="498" max="500" width="21" style="34" customWidth="1"/>
    <col min="501" max="501" width="18.5" style="34" customWidth="1"/>
    <col min="502" max="506" width="21" style="34" customWidth="1"/>
    <col min="507" max="507" width="15.125" style="34" customWidth="1"/>
    <col min="508" max="523" width="21" style="34" customWidth="1"/>
    <col min="524" max="524" width="24.25" style="34" customWidth="1"/>
    <col min="525" max="525" width="18.875" style="34" bestFit="1" customWidth="1"/>
    <col min="526" max="526" width="21" style="34" bestFit="1" customWidth="1"/>
    <col min="527" max="527" width="23" style="38" bestFit="1" customWidth="1"/>
    <col min="528" max="528" width="8.625" style="38" bestFit="1" customWidth="1"/>
    <col min="529" max="529" width="21" style="38" bestFit="1" customWidth="1"/>
    <col min="530" max="530" width="23" style="38" bestFit="1" customWidth="1"/>
    <col min="531" max="531" width="8.625" style="38" bestFit="1" customWidth="1"/>
    <col min="532" max="532" width="22.875" style="34" customWidth="1"/>
    <col min="533" max="539" width="20.875" style="38" customWidth="1"/>
    <col min="540" max="540" width="23.25" style="38" customWidth="1"/>
    <col min="541" max="16384" width="9" style="34"/>
  </cols>
  <sheetData>
    <row r="1" spans="1:532" s="38" customFormat="1" ht="15" customHeight="1" x14ac:dyDescent="0.3">
      <c r="A1" s="30" t="s">
        <v>324</v>
      </c>
      <c r="B1" s="30"/>
      <c r="C1" s="30"/>
      <c r="D1" s="30" t="s">
        <v>89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/>
      <c r="P1"/>
      <c r="Q1"/>
      <c r="R1"/>
      <c r="S1"/>
      <c r="T1"/>
      <c r="U1"/>
      <c r="V1"/>
      <c r="W1"/>
      <c r="X1"/>
      <c r="Y1"/>
      <c r="Z1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2"/>
      <c r="BN1" s="2"/>
      <c r="BO1" s="2"/>
      <c r="BP1" s="2"/>
      <c r="BQ1" s="2"/>
      <c r="BR1" s="2"/>
      <c r="BS1" s="2"/>
      <c r="BT1" s="2"/>
      <c r="BU1" s="29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32"/>
      <c r="NK1" s="23"/>
      <c r="NL1" s="23"/>
      <c r="NM1" s="23"/>
      <c r="NN1" s="23"/>
      <c r="NO1" s="32"/>
      <c r="NP1" s="32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32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32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32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</row>
    <row r="2" spans="1:532" s="38" customFormat="1" ht="15" customHeight="1" x14ac:dyDescent="0.3">
      <c r="A2" t="s">
        <v>325</v>
      </c>
      <c r="B2"/>
      <c r="C2"/>
      <c r="D2" t="s">
        <v>327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</row>
    <row r="3" spans="1:532" ht="15" customHeight="1" x14ac:dyDescent="0.3">
      <c r="A3" t="s">
        <v>243</v>
      </c>
      <c r="B3"/>
      <c r="C3"/>
      <c r="D3">
        <v>48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 s="256"/>
      <c r="AB3" s="256"/>
      <c r="AC3" s="256"/>
      <c r="AD3" s="256"/>
      <c r="AE3" s="256"/>
      <c r="AF3" s="256"/>
      <c r="AG3" s="256"/>
      <c r="AH3" s="71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532" ht="15" customHeight="1" x14ac:dyDescent="0.3">
      <c r="A4" t="s">
        <v>3</v>
      </c>
      <c r="B4"/>
      <c r="C4"/>
      <c r="D4">
        <v>48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 s="256"/>
      <c r="AB4" s="256"/>
      <c r="AC4" s="256"/>
      <c r="AD4" s="256"/>
      <c r="AE4" s="256"/>
      <c r="AF4" s="256"/>
      <c r="AG4" s="256"/>
      <c r="AH4" s="71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N4" s="39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19AD-66FD-4BDC-9165-DC7B1077D9E5}">
  <sheetPr>
    <tabColor theme="5" tint="-0.249977111117893"/>
    <pageSetUpPr fitToPage="1"/>
  </sheetPr>
  <dimension ref="A1:I46"/>
  <sheetViews>
    <sheetView zoomScale="50" zoomScaleNormal="50" zoomScaleSheetLayoutView="75" workbookViewId="0">
      <selection activeCell="A2" sqref="A2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350"/>
      <c r="B1" s="350"/>
      <c r="C1" s="350"/>
      <c r="D1" s="350"/>
      <c r="E1" s="350"/>
      <c r="F1" s="350"/>
    </row>
    <row r="2" spans="1:9" ht="25.9" customHeight="1" x14ac:dyDescent="0.3">
      <c r="A2" s="214">
        <f ca="1">TODAY()</f>
        <v>46314</v>
      </c>
      <c r="B2" s="351" t="s">
        <v>298</v>
      </c>
      <c r="C2" s="351"/>
      <c r="D2" s="351"/>
      <c r="E2" s="351"/>
      <c r="F2" s="352"/>
    </row>
    <row r="3" spans="1:9" ht="40.5" customHeight="1" x14ac:dyDescent="0.3">
      <c r="A3" s="216" t="str">
        <f>'★참조은 피벗( 냉동) (3546200)'!A2</f>
        <v>10/20 납품</v>
      </c>
      <c r="B3" s="205" t="s">
        <v>13</v>
      </c>
      <c r="C3" s="215" t="s">
        <v>300</v>
      </c>
      <c r="D3" s="206" t="s">
        <v>2</v>
      </c>
      <c r="E3" s="205" t="s">
        <v>23</v>
      </c>
      <c r="F3" s="207" t="s">
        <v>14</v>
      </c>
    </row>
    <row r="4" spans="1:9" ht="25.35" customHeight="1" x14ac:dyDescent="0.3">
      <c r="A4" s="244" t="s">
        <v>258</v>
      </c>
      <c r="B4" s="278">
        <v>48</v>
      </c>
      <c r="C4" s="279">
        <f>IFERROR(VLOOKUP(A4,'★참조은 피벗( 냉동) (3546200)'!A:TH,2,FALSE),0)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  <c r="H4" s="71"/>
      <c r="I4" s="71"/>
    </row>
    <row r="5" spans="1:9" ht="25.35" customHeight="1" x14ac:dyDescent="0.3">
      <c r="A5" s="244" t="s">
        <v>259</v>
      </c>
      <c r="B5" s="278">
        <f>$B$4</f>
        <v>48</v>
      </c>
      <c r="C5" s="279">
        <f>IFERROR(VLOOKUP(A5,'★참조은 피벗( 냉동) (3546200)'!A:TH,2,FALSE),0)</f>
        <v>0</v>
      </c>
      <c r="D5" s="279">
        <f t="shared" si="0"/>
        <v>0</v>
      </c>
      <c r="E5" s="246" t="s">
        <v>280</v>
      </c>
      <c r="F5" s="299">
        <f t="shared" si="1"/>
        <v>0</v>
      </c>
      <c r="H5" s="71"/>
      <c r="I5" s="71"/>
    </row>
    <row r="6" spans="1:9" ht="25.35" customHeight="1" x14ac:dyDescent="0.3">
      <c r="A6" s="247" t="s">
        <v>260</v>
      </c>
      <c r="B6" s="278">
        <f t="shared" ref="B6:B20" si="2">$B$4</f>
        <v>48</v>
      </c>
      <c r="C6" s="279">
        <f>IFERROR(VLOOKUP(A6,'★참조은 피벗( 냉동) (3546200)'!A:TH,2,FALSE),0)</f>
        <v>0</v>
      </c>
      <c r="D6" s="279">
        <f t="shared" si="0"/>
        <v>0</v>
      </c>
      <c r="E6" s="246" t="s">
        <v>281</v>
      </c>
      <c r="F6" s="299">
        <f t="shared" si="1"/>
        <v>0</v>
      </c>
      <c r="H6" s="71"/>
      <c r="I6" s="71"/>
    </row>
    <row r="7" spans="1:9" ht="25.35" customHeight="1" x14ac:dyDescent="0.3">
      <c r="A7" s="247" t="s">
        <v>244</v>
      </c>
      <c r="B7" s="278">
        <f t="shared" si="2"/>
        <v>48</v>
      </c>
      <c r="C7" s="279">
        <f>IFERROR(VLOOKUP(A7,'★참조은 피벗( 냉동) (3546200)'!A:TH,2,FALSE),0)</f>
        <v>0</v>
      </c>
      <c r="D7" s="279">
        <f t="shared" si="0"/>
        <v>0</v>
      </c>
      <c r="E7" s="246" t="s">
        <v>269</v>
      </c>
      <c r="F7" s="299">
        <f t="shared" si="1"/>
        <v>0</v>
      </c>
      <c r="H7" s="71"/>
      <c r="I7" s="71"/>
    </row>
    <row r="8" spans="1:9" ht="25.35" customHeight="1" x14ac:dyDescent="0.3">
      <c r="A8" s="247" t="s">
        <v>245</v>
      </c>
      <c r="B8" s="278">
        <f t="shared" si="2"/>
        <v>48</v>
      </c>
      <c r="C8" s="279">
        <f>IFERROR(VLOOKUP(A8,'★참조은 피벗( 냉동) (3546200)'!A:TH,2,FALSE),0)</f>
        <v>0</v>
      </c>
      <c r="D8" s="279">
        <f t="shared" si="0"/>
        <v>0</v>
      </c>
      <c r="E8" s="246" t="s">
        <v>307</v>
      </c>
      <c r="F8" s="299">
        <f t="shared" si="1"/>
        <v>0</v>
      </c>
      <c r="H8" s="71"/>
      <c r="I8" s="71"/>
    </row>
    <row r="9" spans="1:9" ht="25.35" customHeight="1" x14ac:dyDescent="0.3">
      <c r="A9" s="247" t="s">
        <v>246</v>
      </c>
      <c r="B9" s="278">
        <f t="shared" si="2"/>
        <v>48</v>
      </c>
      <c r="C9" s="279">
        <f>IFERROR(VLOOKUP(A9,'★참조은 피벗( 냉동) (3546200)'!A:TH,2,FALSE),0)</f>
        <v>0</v>
      </c>
      <c r="D9" s="279">
        <f t="shared" si="0"/>
        <v>0</v>
      </c>
      <c r="E9" s="246" t="s">
        <v>270</v>
      </c>
      <c r="F9" s="299">
        <f t="shared" si="1"/>
        <v>0</v>
      </c>
      <c r="H9" s="71"/>
      <c r="I9" s="71"/>
    </row>
    <row r="10" spans="1:9" ht="25.35" customHeight="1" x14ac:dyDescent="0.3">
      <c r="A10" s="247" t="s">
        <v>247</v>
      </c>
      <c r="B10" s="278">
        <f t="shared" si="2"/>
        <v>48</v>
      </c>
      <c r="C10" s="279">
        <f>IFERROR(VLOOKUP(A10,'★참조은 피벗( 냉동) (3546200)'!A:TH,2,FALSE),0)</f>
        <v>0</v>
      </c>
      <c r="D10" s="279">
        <f t="shared" si="0"/>
        <v>0</v>
      </c>
      <c r="E10" s="246" t="s">
        <v>271</v>
      </c>
      <c r="F10" s="299">
        <f t="shared" si="1"/>
        <v>0</v>
      </c>
      <c r="H10" s="71"/>
      <c r="I10" s="71"/>
    </row>
    <row r="11" spans="1:9" ht="25.35" customHeight="1" x14ac:dyDescent="0.3">
      <c r="A11" s="247" t="s">
        <v>248</v>
      </c>
      <c r="B11" s="278">
        <f t="shared" si="2"/>
        <v>48</v>
      </c>
      <c r="C11" s="279">
        <f>IFERROR(VLOOKUP(A11,'★참조은 피벗( 냉동) (3546200)'!A:TH,2,FALSE),0)</f>
        <v>0</v>
      </c>
      <c r="D11" s="279">
        <f t="shared" si="0"/>
        <v>0</v>
      </c>
      <c r="E11" s="246" t="s">
        <v>272</v>
      </c>
      <c r="F11" s="299">
        <f t="shared" si="1"/>
        <v>0</v>
      </c>
      <c r="H11" s="71"/>
      <c r="I11" s="71"/>
    </row>
    <row r="12" spans="1:9" ht="25.35" customHeight="1" x14ac:dyDescent="0.3">
      <c r="A12" s="247" t="s">
        <v>249</v>
      </c>
      <c r="B12" s="278">
        <f t="shared" si="2"/>
        <v>48</v>
      </c>
      <c r="C12" s="279">
        <f>IFERROR(VLOOKUP(A12,'★참조은 피벗( 냉동) (3546200)'!A:TH,2,FALSE),0)</f>
        <v>0</v>
      </c>
      <c r="D12" s="279">
        <f t="shared" si="0"/>
        <v>0</v>
      </c>
      <c r="E12" s="246" t="s">
        <v>273</v>
      </c>
      <c r="F12" s="299">
        <f t="shared" si="1"/>
        <v>0</v>
      </c>
      <c r="H12" s="71"/>
      <c r="I12" s="71"/>
    </row>
    <row r="13" spans="1:9" ht="25.35" customHeight="1" x14ac:dyDescent="0.3">
      <c r="A13" s="244" t="s">
        <v>250</v>
      </c>
      <c r="B13" s="278">
        <f t="shared" si="2"/>
        <v>48</v>
      </c>
      <c r="C13" s="279">
        <f>IFERROR(VLOOKUP(A13,'★참조은 피벗( 냉동) (3546200)'!A:TH,2,FALSE),0)</f>
        <v>0</v>
      </c>
      <c r="D13" s="279">
        <f t="shared" si="0"/>
        <v>0</v>
      </c>
      <c r="E13" s="246" t="s">
        <v>274</v>
      </c>
      <c r="F13" s="299">
        <f t="shared" si="1"/>
        <v>0</v>
      </c>
      <c r="H13" s="71"/>
      <c r="I13" s="71"/>
    </row>
    <row r="14" spans="1:9" ht="25.35" customHeight="1" x14ac:dyDescent="0.3">
      <c r="A14" s="247" t="s">
        <v>251</v>
      </c>
      <c r="B14" s="278">
        <f t="shared" si="2"/>
        <v>48</v>
      </c>
      <c r="C14" s="279">
        <f>IFERROR(VLOOKUP(A14,'★참조은 피벗( 냉동) (3546200)'!A:TH,2,FALSE),0)</f>
        <v>0</v>
      </c>
      <c r="D14" s="279">
        <f t="shared" si="0"/>
        <v>0</v>
      </c>
      <c r="E14" s="246" t="s">
        <v>275</v>
      </c>
      <c r="F14" s="299">
        <f t="shared" si="1"/>
        <v>0</v>
      </c>
      <c r="H14" s="71"/>
      <c r="I14" s="71"/>
    </row>
    <row r="15" spans="1:9" ht="25.35" customHeight="1" x14ac:dyDescent="0.3">
      <c r="A15" s="247" t="s">
        <v>252</v>
      </c>
      <c r="B15" s="278">
        <f t="shared" si="2"/>
        <v>48</v>
      </c>
      <c r="C15" s="279">
        <f>IFERROR(VLOOKUP(A15,'★참조은 피벗( 냉동) (3546200)'!A:TH,2,FALSE),0)</f>
        <v>0</v>
      </c>
      <c r="D15" s="279">
        <f t="shared" si="0"/>
        <v>0</v>
      </c>
      <c r="E15" s="246" t="s">
        <v>276</v>
      </c>
      <c r="F15" s="299">
        <f t="shared" si="1"/>
        <v>0</v>
      </c>
      <c r="H15" s="71"/>
      <c r="I15" s="71"/>
    </row>
    <row r="16" spans="1:9" ht="25.35" customHeight="1" x14ac:dyDescent="0.3">
      <c r="A16" s="247" t="s">
        <v>253</v>
      </c>
      <c r="B16" s="278">
        <f t="shared" si="2"/>
        <v>48</v>
      </c>
      <c r="C16" s="279">
        <f>IFERROR(VLOOKUP(A16,'★참조은 피벗( 냉동) (3546200)'!A:TH,2,FALSE),0)</f>
        <v>0</v>
      </c>
      <c r="D16" s="279">
        <f t="shared" si="0"/>
        <v>0</v>
      </c>
      <c r="E16" s="246" t="s">
        <v>305</v>
      </c>
      <c r="F16" s="299">
        <f t="shared" si="1"/>
        <v>0</v>
      </c>
      <c r="H16" s="71"/>
      <c r="I16" s="71"/>
    </row>
    <row r="17" spans="1:9" ht="25.35" customHeight="1" x14ac:dyDescent="0.3">
      <c r="A17" s="247" t="s">
        <v>254</v>
      </c>
      <c r="B17" s="278">
        <f t="shared" si="2"/>
        <v>48</v>
      </c>
      <c r="C17" s="279">
        <f>IFERROR(VLOOKUP(A17,'★참조은 피벗( 냉동) (3546200)'!A:TH,2,FALSE),0)</f>
        <v>0</v>
      </c>
      <c r="D17" s="279">
        <f t="shared" si="0"/>
        <v>0</v>
      </c>
      <c r="E17" s="246" t="s">
        <v>277</v>
      </c>
      <c r="F17" s="299">
        <f t="shared" si="1"/>
        <v>0</v>
      </c>
      <c r="H17" s="71"/>
      <c r="I17" s="71"/>
    </row>
    <row r="18" spans="1:9" ht="25.35" customHeight="1" x14ac:dyDescent="0.3">
      <c r="A18" s="247" t="s">
        <v>255</v>
      </c>
      <c r="B18" s="278">
        <f t="shared" si="2"/>
        <v>48</v>
      </c>
      <c r="C18" s="279">
        <f>IFERROR(VLOOKUP(A18,'★참조은 피벗( 냉동) (3546200)'!A:TH,2,FALSE),0)</f>
        <v>0</v>
      </c>
      <c r="D18" s="279">
        <f t="shared" si="0"/>
        <v>0</v>
      </c>
      <c r="E18" s="246" t="s">
        <v>278</v>
      </c>
      <c r="F18" s="299">
        <f t="shared" si="1"/>
        <v>0</v>
      </c>
      <c r="H18" s="71"/>
      <c r="I18" s="71"/>
    </row>
    <row r="19" spans="1:9" ht="25.35" customHeight="1" x14ac:dyDescent="0.3">
      <c r="A19" s="247" t="s">
        <v>256</v>
      </c>
      <c r="B19" s="278">
        <f t="shared" si="2"/>
        <v>48</v>
      </c>
      <c r="C19" s="279">
        <f>IFERROR(VLOOKUP(A19,'★참조은 피벗( 냉동) (3546200)'!A:TH,2,FALSE),0)</f>
        <v>0</v>
      </c>
      <c r="D19" s="279">
        <f t="shared" si="0"/>
        <v>0</v>
      </c>
      <c r="E19" s="246" t="s">
        <v>279</v>
      </c>
      <c r="F19" s="299">
        <f t="shared" si="1"/>
        <v>0</v>
      </c>
      <c r="H19" s="71"/>
      <c r="I19" s="71"/>
    </row>
    <row r="20" spans="1:9" ht="25.35" customHeight="1" x14ac:dyDescent="0.3">
      <c r="A20" s="247" t="s">
        <v>257</v>
      </c>
      <c r="B20" s="278">
        <f t="shared" si="2"/>
        <v>48</v>
      </c>
      <c r="C20" s="279">
        <f>IFERROR(VLOOKUP(A20,'★참조은 피벗( 냉동) (3546200)'!A:TH,2,FALSE),0)</f>
        <v>0</v>
      </c>
      <c r="D20" s="279">
        <f t="shared" si="0"/>
        <v>0</v>
      </c>
      <c r="E20" s="246" t="s">
        <v>306</v>
      </c>
      <c r="F20" s="299">
        <f t="shared" si="1"/>
        <v>0</v>
      </c>
      <c r="H20" s="71"/>
      <c r="I20" s="71"/>
    </row>
    <row r="21" spans="1:9" ht="4.5" customHeight="1" x14ac:dyDescent="0.3">
      <c r="A21" s="353"/>
      <c r="B21" s="354"/>
      <c r="C21" s="354"/>
      <c r="D21" s="354"/>
      <c r="E21" s="354"/>
      <c r="F21" s="355"/>
      <c r="H21" s="71"/>
      <c r="I21" s="71"/>
    </row>
    <row r="22" spans="1:9" ht="32.450000000000003" customHeight="1" x14ac:dyDescent="0.3">
      <c r="A22" s="248" t="s">
        <v>122</v>
      </c>
      <c r="B22" s="288">
        <f>$B$4</f>
        <v>48</v>
      </c>
      <c r="C22" s="211">
        <f>SUM(C4:C20)</f>
        <v>0</v>
      </c>
      <c r="D22" s="55">
        <f>IFERROR(ROUNDDOWN(C22/B22,0),"")</f>
        <v>0</v>
      </c>
      <c r="E22" s="249"/>
      <c r="F22" s="213">
        <f>IFERROR(C22-(D22*B22),"")</f>
        <v>0</v>
      </c>
      <c r="H22" s="71"/>
      <c r="I22" s="71"/>
    </row>
    <row r="23" spans="1:9" ht="4.5" customHeight="1" x14ac:dyDescent="0.3">
      <c r="A23" s="250"/>
      <c r="B23" s="245"/>
      <c r="C23" s="245"/>
      <c r="D23" s="245"/>
      <c r="E23" s="245"/>
      <c r="F23" s="251"/>
      <c r="H23" s="71"/>
      <c r="I23" s="71"/>
    </row>
    <row r="24" spans="1:9" ht="25.35" customHeight="1" x14ac:dyDescent="0.3">
      <c r="A24" s="247" t="s">
        <v>239</v>
      </c>
      <c r="B24" s="278">
        <f t="shared" ref="B24:B28" si="3">$B$4</f>
        <v>48</v>
      </c>
      <c r="C24" s="279">
        <f>IFERROR(VLOOKUP(A24,'★참조은 피벗( 냉동) (3546200)'!A:TH,2,FALSE),0)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  <c r="H24" s="71"/>
      <c r="I24" s="71"/>
    </row>
    <row r="25" spans="1:9" ht="25.35" customHeight="1" x14ac:dyDescent="0.3">
      <c r="A25" s="247" t="s">
        <v>240</v>
      </c>
      <c r="B25" s="278">
        <f t="shared" si="3"/>
        <v>48</v>
      </c>
      <c r="C25" s="279">
        <f>IFERROR(VLOOKUP(A25,'★참조은 피벗( 냉동) (3546200)'!A:TH,2,FALSE),0)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  <c r="H25" s="71"/>
      <c r="I25" s="71"/>
    </row>
    <row r="26" spans="1:9" ht="25.35" customHeight="1" x14ac:dyDescent="0.3">
      <c r="A26" s="247" t="s">
        <v>241</v>
      </c>
      <c r="B26" s="278">
        <f t="shared" si="3"/>
        <v>48</v>
      </c>
      <c r="C26" s="279">
        <f>IFERROR(VLOOKUP(A26,'★참조은 피벗( 냉동) (3546200)'!A:TH,2,FALSE),0)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  <c r="H26" s="71"/>
      <c r="I26" s="71"/>
    </row>
    <row r="27" spans="1:9" ht="25.35" customHeight="1" x14ac:dyDescent="0.3">
      <c r="A27" s="247" t="s">
        <v>242</v>
      </c>
      <c r="B27" s="278">
        <f t="shared" si="3"/>
        <v>48</v>
      </c>
      <c r="C27" s="279">
        <f>IFERROR(VLOOKUP(A27,'★참조은 피벗( 냉동) (3546200)'!A:TH,2,FALSE),0)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  <c r="H27" s="71"/>
      <c r="I27" s="71"/>
    </row>
    <row r="28" spans="1:9" ht="25.35" customHeight="1" x14ac:dyDescent="0.3">
      <c r="A28" s="247" t="s">
        <v>243</v>
      </c>
      <c r="B28" s="278">
        <f t="shared" si="3"/>
        <v>48</v>
      </c>
      <c r="C28" s="279">
        <f>IFERROR(VLOOKUP(A28,'★참조은 피벗( 냉동) (3546200)'!A:TH,2,FALSE),0)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  <c r="H28" s="71"/>
      <c r="I28" s="71"/>
    </row>
    <row r="29" spans="1:9" ht="4.5" customHeight="1" x14ac:dyDescent="0.3">
      <c r="A29" s="353"/>
      <c r="B29" s="354"/>
      <c r="C29" s="354"/>
      <c r="D29" s="354"/>
      <c r="E29" s="354"/>
      <c r="F29" s="355"/>
      <c r="H29" s="71"/>
      <c r="I29" s="71"/>
    </row>
    <row r="30" spans="1:9" ht="32.450000000000003" customHeight="1" x14ac:dyDescent="0.3">
      <c r="A30" s="248" t="s">
        <v>284</v>
      </c>
      <c r="B30" s="288">
        <f>$B$4</f>
        <v>48</v>
      </c>
      <c r="C30" s="211">
        <f>SUM(C24:C28)</f>
        <v>0</v>
      </c>
      <c r="D30" s="55">
        <f>IFERROR(ROUNDDOWN(C30/B30,0),"")</f>
        <v>0</v>
      </c>
      <c r="E30" s="249"/>
      <c r="F30" s="213">
        <f>IFERROR(C30-(D30*B30),"")</f>
        <v>0</v>
      </c>
      <c r="H30" s="71"/>
      <c r="I30" s="71"/>
    </row>
    <row r="31" spans="1:9" ht="4.5" customHeight="1" x14ac:dyDescent="0.3">
      <c r="A31" s="353"/>
      <c r="B31" s="354"/>
      <c r="C31" s="354"/>
      <c r="D31" s="354"/>
      <c r="E31" s="354"/>
      <c r="F31" s="355"/>
      <c r="H31" s="71"/>
      <c r="I31" s="71"/>
    </row>
    <row r="32" spans="1:9" ht="25.35" customHeight="1" x14ac:dyDescent="0.3">
      <c r="A32" s="247" t="s">
        <v>237</v>
      </c>
      <c r="B32" s="278">
        <f t="shared" ref="B32:B33" si="4">$B$4</f>
        <v>48</v>
      </c>
      <c r="C32" s="279">
        <f>IFERROR(VLOOKUP(A32,'★참조은 피벗( 냉동) (3546200)'!A:TH,2,FALSE),0)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  <c r="H32" s="71"/>
      <c r="I32" s="71"/>
    </row>
    <row r="33" spans="1:9" ht="25.35" customHeight="1" x14ac:dyDescent="0.3">
      <c r="A33" s="247" t="s">
        <v>238</v>
      </c>
      <c r="B33" s="278">
        <f t="shared" si="4"/>
        <v>48</v>
      </c>
      <c r="C33" s="279">
        <f>IFERROR(VLOOKUP(A33,'★참조은 피벗( 냉동) (3546200)'!A:TH,2,FALSE),0)</f>
        <v>0</v>
      </c>
      <c r="D33" s="279">
        <f t="shared" si="5"/>
        <v>0</v>
      </c>
      <c r="E33" s="246" t="s">
        <v>265</v>
      </c>
      <c r="F33" s="299">
        <f t="shared" si="6"/>
        <v>0</v>
      </c>
      <c r="H33" s="71"/>
      <c r="I33" s="71"/>
    </row>
    <row r="34" spans="1:9" ht="4.5" customHeight="1" x14ac:dyDescent="0.3">
      <c r="A34" s="353"/>
      <c r="B34" s="354"/>
      <c r="C34" s="354"/>
      <c r="D34" s="354"/>
      <c r="E34" s="354"/>
      <c r="F34" s="355"/>
      <c r="H34" s="71"/>
      <c r="I34" s="71"/>
    </row>
    <row r="35" spans="1:9" ht="32.450000000000003" customHeight="1" x14ac:dyDescent="0.3">
      <c r="A35" s="248" t="s">
        <v>283</v>
      </c>
      <c r="B35" s="288">
        <f>$B$4</f>
        <v>48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  <c r="H35" s="71"/>
      <c r="I35" s="71"/>
    </row>
    <row r="36" spans="1:9" ht="4.5" customHeight="1" x14ac:dyDescent="0.3">
      <c r="A36" s="250"/>
      <c r="B36" s="245"/>
      <c r="C36" s="245"/>
      <c r="D36" s="245"/>
      <c r="E36" s="245"/>
      <c r="F36" s="251"/>
      <c r="H36" s="71"/>
      <c r="I36" s="71"/>
    </row>
    <row r="37" spans="1:9" ht="25.35" customHeight="1" x14ac:dyDescent="0.3">
      <c r="A37" s="247" t="s">
        <v>234</v>
      </c>
      <c r="B37" s="278">
        <f t="shared" ref="B37:B39" si="7">$B$4</f>
        <v>48</v>
      </c>
      <c r="C37" s="279">
        <f>IFERROR(VLOOKUP(A37,'★참조은 피벗( 냉동) (3546200)'!A:TH,2,FALSE),0)</f>
        <v>0</v>
      </c>
      <c r="D37" s="279">
        <f>IFERROR(ROUNDDOWN(C37/B37,0),"")</f>
        <v>0</v>
      </c>
      <c r="E37" s="246" t="s">
        <v>261</v>
      </c>
      <c r="F37" s="299">
        <f>IFERROR(C37-(D37*B37),"")</f>
        <v>0</v>
      </c>
      <c r="H37" s="71"/>
      <c r="I37" s="71"/>
    </row>
    <row r="38" spans="1:9" ht="25.35" customHeight="1" x14ac:dyDescent="0.3">
      <c r="A38" s="247" t="s">
        <v>235</v>
      </c>
      <c r="B38" s="278">
        <f t="shared" si="7"/>
        <v>48</v>
      </c>
      <c r="C38" s="279">
        <f>IFERROR(VLOOKUP(A38,'★참조은 피벗( 냉동) (3546200)'!A:TH,2,FALSE),0)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  <c r="H38" s="71"/>
      <c r="I38" s="71"/>
    </row>
    <row r="39" spans="1:9" ht="25.35" customHeight="1" x14ac:dyDescent="0.3">
      <c r="A39" s="247" t="s">
        <v>236</v>
      </c>
      <c r="B39" s="278">
        <f t="shared" si="7"/>
        <v>48</v>
      </c>
      <c r="C39" s="279">
        <f>IFERROR(VLOOKUP(A39,'★참조은 피벗( 냉동) (3546200)'!A:TH,2,FALSE),0)</f>
        <v>0</v>
      </c>
      <c r="D39" s="279">
        <f t="shared" si="8"/>
        <v>0</v>
      </c>
      <c r="E39" s="246" t="s">
        <v>263</v>
      </c>
      <c r="F39" s="299">
        <f t="shared" si="9"/>
        <v>0</v>
      </c>
      <c r="H39" s="71"/>
      <c r="I39" s="71"/>
    </row>
    <row r="40" spans="1:9" ht="4.5" customHeight="1" x14ac:dyDescent="0.3">
      <c r="A40" s="347"/>
      <c r="B40" s="348"/>
      <c r="C40" s="348"/>
      <c r="D40" s="348"/>
      <c r="E40" s="348"/>
      <c r="F40" s="349"/>
      <c r="H40" s="71"/>
      <c r="I40" s="71"/>
    </row>
    <row r="41" spans="1:9" ht="32.450000000000003" customHeight="1" x14ac:dyDescent="0.3">
      <c r="A41" s="210" t="s">
        <v>282</v>
      </c>
      <c r="B41" s="288">
        <f>$B$4</f>
        <v>48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  <c r="H41" s="71"/>
      <c r="I41" s="71"/>
    </row>
    <row r="42" spans="1:9" ht="4.5" customHeight="1" x14ac:dyDescent="0.3">
      <c r="A42" s="179"/>
      <c r="B42" s="50"/>
      <c r="C42" s="50"/>
      <c r="D42" s="50"/>
      <c r="E42" s="50"/>
      <c r="F42" s="180"/>
      <c r="H42" s="71"/>
      <c r="I42" s="71"/>
    </row>
    <row r="43" spans="1:9" ht="26.25" x14ac:dyDescent="0.3">
      <c r="A43" s="85" t="s">
        <v>3</v>
      </c>
      <c r="B43" s="295">
        <f>$B$4</f>
        <v>48</v>
      </c>
      <c r="C43" s="55">
        <f>SUM(C4:C20,C37:C39,C32:C33,C24:C28)</f>
        <v>0</v>
      </c>
      <c r="D43" s="54">
        <f>IFERROR(ROUNDDOWN(C43/B43,0),"")</f>
        <v>0</v>
      </c>
      <c r="E43" s="56"/>
      <c r="F43" s="119">
        <f>IFERROR(C43-(D43*B43),"")</f>
        <v>0</v>
      </c>
      <c r="H43" s="71"/>
      <c r="I43" s="71"/>
    </row>
    <row r="44" spans="1:9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0</v>
      </c>
      <c r="E44" s="48"/>
      <c r="F44" s="91">
        <f>SUM(F4:F20,F37:F39,F32:F33,F24:F28)</f>
        <v>0</v>
      </c>
    </row>
    <row r="45" spans="1:9" ht="22.5" customHeight="1" x14ac:dyDescent="0.3">
      <c r="C45" s="75">
        <f>C22+C30+C35+C41</f>
        <v>0</v>
      </c>
    </row>
    <row r="46" spans="1:9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BC39-A240-43D8-BB8C-98CA860DF1EF}">
  <sheetPr>
    <tabColor theme="5" tint="-0.249977111117893"/>
    <pageSetUpPr fitToPage="1"/>
  </sheetPr>
  <dimension ref="A1:F46"/>
  <sheetViews>
    <sheetView zoomScale="50" zoomScaleNormal="50" zoomScaleSheetLayoutView="75" workbookViewId="0">
      <selection activeCell="N38" sqref="N38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1" t="s">
        <v>298</v>
      </c>
      <c r="C2" s="351"/>
      <c r="D2" s="351"/>
      <c r="E2" s="351"/>
      <c r="F2" s="352"/>
    </row>
    <row r="3" spans="1:6" ht="40.5" customHeight="1" x14ac:dyDescent="0.3">
      <c r="A3" s="216" t="str">
        <f>'★참조은 피벗( 냉동) (3546200)'!A2</f>
        <v>10/20 납품</v>
      </c>
      <c r="B3" s="205" t="s">
        <v>13</v>
      </c>
      <c r="C3" s="215" t="s">
        <v>301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48</v>
      </c>
      <c r="C4" s="279">
        <f>IFERROR(VLOOKUP(A4,'★참조은 피벗( 냉동) (3546200)'!A:TH,3,FALSE),0)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48</v>
      </c>
      <c r="C5" s="279">
        <f>IFERROR(VLOOKUP(A5,'★참조은 피벗( 냉동) (3546200)'!A:TH,3,FALSE),0)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48</v>
      </c>
      <c r="C6" s="279">
        <f>IFERROR(VLOOKUP(A6,'★참조은 피벗( 냉동) (3546200)'!A:TH,3,FALSE),0)</f>
        <v>0</v>
      </c>
      <c r="D6" s="279">
        <f t="shared" si="0"/>
        <v>0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48</v>
      </c>
      <c r="C7" s="279">
        <f>IFERROR(VLOOKUP(A7,'★참조은 피벗( 냉동) (3546200)'!A:TH,3,FALSE),0)</f>
        <v>0</v>
      </c>
      <c r="D7" s="279">
        <f t="shared" si="0"/>
        <v>0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48</v>
      </c>
      <c r="C8" s="279">
        <f>IFERROR(VLOOKUP(A8,'★참조은 피벗( 냉동) (3546200)'!A:TH,3,FALSE),0)</f>
        <v>0</v>
      </c>
      <c r="D8" s="279">
        <f t="shared" si="0"/>
        <v>0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48</v>
      </c>
      <c r="C9" s="279">
        <f>IFERROR(VLOOKUP(A9,'★참조은 피벗( 냉동) (3546200)'!A:TH,3,FALSE),0)</f>
        <v>0</v>
      </c>
      <c r="D9" s="279">
        <f t="shared" si="0"/>
        <v>0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48</v>
      </c>
      <c r="C10" s="279">
        <f>IFERROR(VLOOKUP(A10,'★참조은 피벗( 냉동) (3546200)'!A:TH,3,FALSE),0)</f>
        <v>0</v>
      </c>
      <c r="D10" s="279">
        <f t="shared" si="0"/>
        <v>0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48</v>
      </c>
      <c r="C11" s="279">
        <f>IFERROR(VLOOKUP(A11,'★참조은 피벗( 냉동) (3546200)'!A:TH,3,FALSE),0)</f>
        <v>0</v>
      </c>
      <c r="D11" s="279">
        <f t="shared" si="0"/>
        <v>0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48</v>
      </c>
      <c r="C12" s="279">
        <f>IFERROR(VLOOKUP(A12,'★참조은 피벗( 냉동) (3546200)'!A:TH,3,FALSE),0)</f>
        <v>0</v>
      </c>
      <c r="D12" s="279">
        <f t="shared" si="0"/>
        <v>0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48</v>
      </c>
      <c r="C13" s="279">
        <f>IFERROR(VLOOKUP(A13,'★참조은 피벗( 냉동) (3546200)'!A:TH,3,FALSE),0)</f>
        <v>0</v>
      </c>
      <c r="D13" s="279">
        <f t="shared" si="0"/>
        <v>0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48</v>
      </c>
      <c r="C14" s="279">
        <f>IFERROR(VLOOKUP(A14,'★참조은 피벗( 냉동) (3546200)'!A:TH,3,FALSE),0)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48</v>
      </c>
      <c r="C15" s="279">
        <f>IFERROR(VLOOKUP(A15,'★참조은 피벗( 냉동) (3546200)'!A:TH,3,FALSE),0)</f>
        <v>0</v>
      </c>
      <c r="D15" s="279">
        <f t="shared" si="0"/>
        <v>0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48</v>
      </c>
      <c r="C16" s="279">
        <f>IFERROR(VLOOKUP(A16,'★참조은 피벗( 냉동) (3546200)'!A:TH,3,FALSE),0)</f>
        <v>0</v>
      </c>
      <c r="D16" s="279">
        <f t="shared" si="0"/>
        <v>0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48</v>
      </c>
      <c r="C17" s="279">
        <f>IFERROR(VLOOKUP(A17,'★참조은 피벗( 냉동) (3546200)'!A:TH,3,FALSE),0)</f>
        <v>0</v>
      </c>
      <c r="D17" s="279">
        <f t="shared" si="0"/>
        <v>0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48</v>
      </c>
      <c r="C18" s="279">
        <f>IFERROR(VLOOKUP(A18,'★참조은 피벗( 냉동) (3546200)'!A:TH,3,FALSE),0)</f>
        <v>0</v>
      </c>
      <c r="D18" s="279">
        <f t="shared" si="0"/>
        <v>0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48</v>
      </c>
      <c r="C19" s="279">
        <f>IFERROR(VLOOKUP(A19,'★참조은 피벗( 냉동) (3546200)'!A:TH,3,FALSE),0)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48</v>
      </c>
      <c r="C20" s="279">
        <f>IFERROR(VLOOKUP(A20,'★참조은 피벗( 냉동) (3546200)'!A:TH,3,FALSE),0)</f>
        <v>0</v>
      </c>
      <c r="D20" s="279">
        <f t="shared" si="0"/>
        <v>0</v>
      </c>
      <c r="E20" s="246" t="s">
        <v>306</v>
      </c>
      <c r="F20" s="299">
        <f t="shared" si="1"/>
        <v>0</v>
      </c>
    </row>
    <row r="21" spans="1:6" ht="4.5" customHeight="1" x14ac:dyDescent="0.3">
      <c r="A21" s="353"/>
      <c r="B21" s="354"/>
      <c r="C21" s="354"/>
      <c r="D21" s="354"/>
      <c r="E21" s="354"/>
      <c r="F21" s="355"/>
    </row>
    <row r="22" spans="1:6" ht="32.450000000000003" customHeight="1" x14ac:dyDescent="0.3">
      <c r="A22" s="248" t="s">
        <v>122</v>
      </c>
      <c r="B22" s="288">
        <f>$B$4</f>
        <v>48</v>
      </c>
      <c r="C22" s="211">
        <f>SUM(C4:C20)</f>
        <v>0</v>
      </c>
      <c r="D22" s="55">
        <f>IFERROR(ROUNDDOWN(C22/B22,0),"")</f>
        <v>0</v>
      </c>
      <c r="E22" s="249"/>
      <c r="F22" s="213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48</v>
      </c>
      <c r="C24" s="279">
        <f>IFERROR(VLOOKUP(A24,'★참조은 피벗( 냉동) (3546200)'!A:TH,3,FALSE),0)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48</v>
      </c>
      <c r="C25" s="279">
        <f>IFERROR(VLOOKUP(A25,'★참조은 피벗( 냉동) (3546200)'!A:TH,3,FALSE),0)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48</v>
      </c>
      <c r="C26" s="279">
        <f>IFERROR(VLOOKUP(A26,'★참조은 피벗( 냉동) (3546200)'!A:TH,3,FALSE),0)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48</v>
      </c>
      <c r="C27" s="279">
        <f>IFERROR(VLOOKUP(A27,'★참조은 피벗( 냉동) (3546200)'!A:TH,3,FALSE),0)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48</v>
      </c>
      <c r="C28" s="279">
        <f>IFERROR(VLOOKUP(A28,'★참조은 피벗( 냉동) (3546200)'!A:TH,3,FALSE),0)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53"/>
      <c r="B29" s="354"/>
      <c r="C29" s="354"/>
      <c r="D29" s="354"/>
      <c r="E29" s="354"/>
      <c r="F29" s="355"/>
    </row>
    <row r="30" spans="1:6" ht="32.450000000000003" customHeight="1" x14ac:dyDescent="0.3">
      <c r="A30" s="248" t="s">
        <v>284</v>
      </c>
      <c r="B30" s="288">
        <f>$B$4</f>
        <v>48</v>
      </c>
      <c r="C30" s="211">
        <f>SUM(C24:C28)</f>
        <v>0</v>
      </c>
      <c r="D30" s="55">
        <f>IFERROR(ROUNDDOWN(C30/B30,0),"")</f>
        <v>0</v>
      </c>
      <c r="E30" s="249"/>
      <c r="F30" s="213">
        <f>IFERROR(C30-(D30*B30),"")</f>
        <v>0</v>
      </c>
    </row>
    <row r="31" spans="1:6" ht="4.5" customHeight="1" x14ac:dyDescent="0.3">
      <c r="A31" s="353"/>
      <c r="B31" s="354"/>
      <c r="C31" s="354"/>
      <c r="D31" s="354"/>
      <c r="E31" s="354"/>
      <c r="F31" s="355"/>
    </row>
    <row r="32" spans="1:6" ht="25.35" customHeight="1" x14ac:dyDescent="0.3">
      <c r="A32" s="247" t="s">
        <v>237</v>
      </c>
      <c r="B32" s="278">
        <f t="shared" ref="B32:B33" si="4">$B$4</f>
        <v>48</v>
      </c>
      <c r="C32" s="279">
        <f>IFERROR(VLOOKUP(A32,'★참조은 피벗( 냉동) (3546200)'!A:TH,3,FALSE),0)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48</v>
      </c>
      <c r="C33" s="279">
        <f>IFERROR(VLOOKUP(A33,'★참조은 피벗( 냉동) (3546200)'!A:TH,3,FALSE),0)</f>
        <v>0</v>
      </c>
      <c r="D33" s="279">
        <f t="shared" si="5"/>
        <v>0</v>
      </c>
      <c r="E33" s="246" t="s">
        <v>265</v>
      </c>
      <c r="F33" s="299">
        <f t="shared" si="6"/>
        <v>0</v>
      </c>
    </row>
    <row r="34" spans="1:6" ht="4.5" customHeight="1" x14ac:dyDescent="0.3">
      <c r="A34" s="353"/>
      <c r="B34" s="354"/>
      <c r="C34" s="354"/>
      <c r="D34" s="354"/>
      <c r="E34" s="354"/>
      <c r="F34" s="355"/>
    </row>
    <row r="35" spans="1:6" ht="32.450000000000003" customHeight="1" x14ac:dyDescent="0.3">
      <c r="A35" s="248" t="s">
        <v>283</v>
      </c>
      <c r="B35" s="288">
        <f>$B$4</f>
        <v>48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48</v>
      </c>
      <c r="C37" s="279">
        <f>IFERROR(VLOOKUP(A37,'★참조은 피벗( 냉동) (3546200)'!A:TH,3,FALSE),0)</f>
        <v>0</v>
      </c>
      <c r="D37" s="279">
        <f t="shared" ref="D37:D39" si="8">IFERROR(ROUNDDOWN(C37/B37,0),"")</f>
        <v>0</v>
      </c>
      <c r="E37" s="246" t="s">
        <v>261</v>
      </c>
      <c r="F37" s="299">
        <f t="shared" ref="F37:F39" si="9">IFERROR(C37-(D37*B37),"")</f>
        <v>0</v>
      </c>
    </row>
    <row r="38" spans="1:6" ht="25.35" customHeight="1" x14ac:dyDescent="0.3">
      <c r="A38" s="247" t="s">
        <v>235</v>
      </c>
      <c r="B38" s="278">
        <f t="shared" si="7"/>
        <v>48</v>
      </c>
      <c r="C38" s="279">
        <f>IFERROR(VLOOKUP(A38,'★참조은 피벗( 냉동) (3546200)'!A:TH,3,FALSE),0)</f>
        <v>0</v>
      </c>
      <c r="D38" s="279">
        <f t="shared" si="8"/>
        <v>0</v>
      </c>
      <c r="E38" s="246" t="s">
        <v>262</v>
      </c>
      <c r="F38" s="299">
        <f t="shared" si="9"/>
        <v>0</v>
      </c>
    </row>
    <row r="39" spans="1:6" ht="25.35" customHeight="1" x14ac:dyDescent="0.3">
      <c r="A39" s="247" t="s">
        <v>236</v>
      </c>
      <c r="B39" s="278">
        <f t="shared" si="7"/>
        <v>48</v>
      </c>
      <c r="C39" s="279">
        <f>IFERROR(VLOOKUP(A39,'★참조은 피벗( 냉동) (3546200)'!A:TH,3,FALSE),0)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47"/>
      <c r="B40" s="348"/>
      <c r="C40" s="348"/>
      <c r="D40" s="348"/>
      <c r="E40" s="348"/>
      <c r="F40" s="349"/>
    </row>
    <row r="41" spans="1:6" ht="32.450000000000003" customHeight="1" x14ac:dyDescent="0.3">
      <c r="A41" s="210" t="s">
        <v>282</v>
      </c>
      <c r="B41" s="288">
        <f>$B$4</f>
        <v>48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48</v>
      </c>
      <c r="C43" s="55">
        <f>SUM(C4:C20,C37:C39,C32:C33,C24:C28)</f>
        <v>0</v>
      </c>
      <c r="D43" s="54">
        <f>IFERROR(ROUNDDOWN(C43/B43,0),"")</f>
        <v>0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0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0</v>
      </c>
    </row>
    <row r="46" spans="1:6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1F31-D65F-46D5-9C40-8C106C93441D}">
  <sheetPr>
    <tabColor theme="5" tint="-0.249977111117893"/>
    <pageSetUpPr fitToPage="1"/>
  </sheetPr>
  <dimension ref="A1:F46"/>
  <sheetViews>
    <sheetView zoomScale="50" zoomScaleNormal="50" zoomScaleSheetLayoutView="75" workbookViewId="0">
      <selection activeCell="J11" sqref="J11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1" t="s">
        <v>298</v>
      </c>
      <c r="C2" s="351"/>
      <c r="D2" s="351"/>
      <c r="E2" s="351"/>
      <c r="F2" s="352"/>
    </row>
    <row r="3" spans="1:6" ht="40.5" customHeight="1" x14ac:dyDescent="0.3">
      <c r="A3" s="216" t="str">
        <f>'★참조은 피벗( 냉동) (3546200)'!A2</f>
        <v>10/20 납품</v>
      </c>
      <c r="B3" s="205" t="s">
        <v>13</v>
      </c>
      <c r="C3" s="215" t="s">
        <v>302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48</v>
      </c>
      <c r="C4" s="279">
        <f>IFERROR(VLOOKUP(A4,'★참조은 피벗( 냉동) (3546200)'!A:TH,4,FALSE),0)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48</v>
      </c>
      <c r="C5" s="279">
        <f>IFERROR(VLOOKUP(A5,'★참조은 피벗( 냉동) (3546200)'!A:TH,4,FALSE),0)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48</v>
      </c>
      <c r="C6" s="279">
        <f>IFERROR(VLOOKUP(A6,'★참조은 피벗( 냉동) (3546200)'!A:TH,4,FALSE),0)</f>
        <v>0</v>
      </c>
      <c r="D6" s="279">
        <f t="shared" si="0"/>
        <v>0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48</v>
      </c>
      <c r="C7" s="279">
        <f>IFERROR(VLOOKUP(A7,'★참조은 피벗( 냉동) (3546200)'!A:TH,4,FALSE),0)</f>
        <v>0</v>
      </c>
      <c r="D7" s="279">
        <f t="shared" si="0"/>
        <v>0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48</v>
      </c>
      <c r="C8" s="279">
        <f>IFERROR(VLOOKUP(A8,'★참조은 피벗( 냉동) (3546200)'!A:TH,4,FALSE),0)</f>
        <v>0</v>
      </c>
      <c r="D8" s="279">
        <f t="shared" si="0"/>
        <v>0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48</v>
      </c>
      <c r="C9" s="279">
        <f>IFERROR(VLOOKUP(A9,'★참조은 피벗( 냉동) (3546200)'!A:TH,4,FALSE),0)</f>
        <v>0</v>
      </c>
      <c r="D9" s="279">
        <f t="shared" si="0"/>
        <v>0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48</v>
      </c>
      <c r="C10" s="279">
        <f>IFERROR(VLOOKUP(A10,'★참조은 피벗( 냉동) (3546200)'!A:TH,4,FALSE),0)</f>
        <v>0</v>
      </c>
      <c r="D10" s="279">
        <f t="shared" si="0"/>
        <v>0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48</v>
      </c>
      <c r="C11" s="279">
        <f>IFERROR(VLOOKUP(A11,'★참조은 피벗( 냉동) (3546200)'!A:TH,4,FALSE),0)</f>
        <v>0</v>
      </c>
      <c r="D11" s="279">
        <f t="shared" si="0"/>
        <v>0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48</v>
      </c>
      <c r="C12" s="279">
        <f>IFERROR(VLOOKUP(A12,'★참조은 피벗( 냉동) (3546200)'!A:TH,4,FALSE),0)</f>
        <v>0</v>
      </c>
      <c r="D12" s="279">
        <f t="shared" si="0"/>
        <v>0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48</v>
      </c>
      <c r="C13" s="279">
        <f>IFERROR(VLOOKUP(A13,'★참조은 피벗( 냉동) (3546200)'!A:TH,4,FALSE),0)</f>
        <v>0</v>
      </c>
      <c r="D13" s="279">
        <f t="shared" si="0"/>
        <v>0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48</v>
      </c>
      <c r="C14" s="279">
        <f>IFERROR(VLOOKUP(A14,'★참조은 피벗( 냉동) (3546200)'!A:TH,4,FALSE),0)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48</v>
      </c>
      <c r="C15" s="279">
        <f>IFERROR(VLOOKUP(A15,'★참조은 피벗( 냉동) (3546200)'!A:TH,4,FALSE),0)</f>
        <v>0</v>
      </c>
      <c r="D15" s="279">
        <f t="shared" si="0"/>
        <v>0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48</v>
      </c>
      <c r="C16" s="279">
        <f>IFERROR(VLOOKUP(A16,'★참조은 피벗( 냉동) (3546200)'!A:TH,4,FALSE),0)</f>
        <v>0</v>
      </c>
      <c r="D16" s="279">
        <f t="shared" si="0"/>
        <v>0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48</v>
      </c>
      <c r="C17" s="279">
        <f>IFERROR(VLOOKUP(A17,'★참조은 피벗( 냉동) (3546200)'!A:TH,4,FALSE),0)</f>
        <v>0</v>
      </c>
      <c r="D17" s="279">
        <f t="shared" si="0"/>
        <v>0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48</v>
      </c>
      <c r="C18" s="279">
        <f>IFERROR(VLOOKUP(A18,'★참조은 피벗( 냉동) (3546200)'!A:TH,4,FALSE),0)</f>
        <v>0</v>
      </c>
      <c r="D18" s="279">
        <f t="shared" si="0"/>
        <v>0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48</v>
      </c>
      <c r="C19" s="279">
        <f>IFERROR(VLOOKUP(A19,'★참조은 피벗( 냉동) (3546200)'!A:TH,4,FALSE),0)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48</v>
      </c>
      <c r="C20" s="279">
        <f>IFERROR(VLOOKUP(A20,'★참조은 피벗( 냉동) (3546200)'!A:TH,4,FALSE),0)</f>
        <v>0</v>
      </c>
      <c r="D20" s="279">
        <f t="shared" si="0"/>
        <v>0</v>
      </c>
      <c r="E20" s="246" t="s">
        <v>306</v>
      </c>
      <c r="F20" s="299">
        <f t="shared" si="1"/>
        <v>0</v>
      </c>
    </row>
    <row r="21" spans="1:6" ht="4.5" customHeight="1" x14ac:dyDescent="0.3">
      <c r="A21" s="353"/>
      <c r="B21" s="354"/>
      <c r="C21" s="354"/>
      <c r="D21" s="354"/>
      <c r="E21" s="354"/>
      <c r="F21" s="355"/>
    </row>
    <row r="22" spans="1:6" ht="32.450000000000003" customHeight="1" x14ac:dyDescent="0.3">
      <c r="A22" s="248" t="s">
        <v>122</v>
      </c>
      <c r="B22" s="288">
        <f>$B$4</f>
        <v>48</v>
      </c>
      <c r="C22" s="211">
        <f>SUM(C4:C20)</f>
        <v>0</v>
      </c>
      <c r="D22" s="55">
        <f>IFERROR(ROUNDDOWN(C22/B22,0),"")</f>
        <v>0</v>
      </c>
      <c r="E22" s="249"/>
      <c r="F22" s="213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48</v>
      </c>
      <c r="C24" s="279">
        <f>IFERROR(VLOOKUP(A24,'★참조은 피벗( 냉동) (3546200)'!A:TH,4,FALSE),0)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48</v>
      </c>
      <c r="C25" s="279">
        <f>IFERROR(VLOOKUP(A25,'★참조은 피벗( 냉동) (3546200)'!A:TH,4,FALSE),0)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48</v>
      </c>
      <c r="C26" s="279">
        <f>IFERROR(VLOOKUP(A26,'★참조은 피벗( 냉동) (3546200)'!A:TH,4,FALSE),0)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48</v>
      </c>
      <c r="C27" s="279">
        <f>IFERROR(VLOOKUP(A27,'★참조은 피벗( 냉동) (3546200)'!A:TH,4,FALSE),0)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48</v>
      </c>
      <c r="C28" s="279">
        <f>IFERROR(VLOOKUP(A28,'★참조은 피벗( 냉동) (3546200)'!A:TH,4,FALSE),0)</f>
        <v>48</v>
      </c>
      <c r="D28" s="279">
        <f>IFERROR(ROUNDDOWN(C28/B28,0),"")</f>
        <v>1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53"/>
      <c r="B29" s="354"/>
      <c r="C29" s="354"/>
      <c r="D29" s="354"/>
      <c r="E29" s="354"/>
      <c r="F29" s="355"/>
    </row>
    <row r="30" spans="1:6" ht="32.450000000000003" customHeight="1" x14ac:dyDescent="0.3">
      <c r="A30" s="248" t="s">
        <v>284</v>
      </c>
      <c r="B30" s="288">
        <f>$B$4</f>
        <v>48</v>
      </c>
      <c r="C30" s="211">
        <f>SUM(C24:C28)</f>
        <v>48</v>
      </c>
      <c r="D30" s="55">
        <f>IFERROR(ROUNDDOWN(C30/B30,0),"")</f>
        <v>1</v>
      </c>
      <c r="E30" s="249"/>
      <c r="F30" s="213">
        <f>IFERROR(C30-(D30*B30),"")</f>
        <v>0</v>
      </c>
    </row>
    <row r="31" spans="1:6" ht="4.5" customHeight="1" x14ac:dyDescent="0.3">
      <c r="A31" s="353"/>
      <c r="B31" s="354"/>
      <c r="C31" s="354"/>
      <c r="D31" s="354"/>
      <c r="E31" s="354"/>
      <c r="F31" s="355"/>
    </row>
    <row r="32" spans="1:6" ht="25.35" customHeight="1" x14ac:dyDescent="0.3">
      <c r="A32" s="247" t="s">
        <v>237</v>
      </c>
      <c r="B32" s="278">
        <f t="shared" ref="B32:B33" si="4">$B$4</f>
        <v>48</v>
      </c>
      <c r="C32" s="279">
        <f>IFERROR(VLOOKUP(A32,'★참조은 피벗( 냉동) (3546200)'!A:TH,4,FALSE),0)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48</v>
      </c>
      <c r="C33" s="279">
        <f>IFERROR(VLOOKUP(A33,'★참조은 피벗( 냉동) (3546200)'!A:TH,4,FALSE),0)</f>
        <v>0</v>
      </c>
      <c r="D33" s="279">
        <f t="shared" si="5"/>
        <v>0</v>
      </c>
      <c r="E33" s="246" t="s">
        <v>265</v>
      </c>
      <c r="F33" s="299">
        <f t="shared" si="6"/>
        <v>0</v>
      </c>
    </row>
    <row r="34" spans="1:6" ht="4.5" customHeight="1" x14ac:dyDescent="0.3">
      <c r="A34" s="353"/>
      <c r="B34" s="354"/>
      <c r="C34" s="354"/>
      <c r="D34" s="354"/>
      <c r="E34" s="354"/>
      <c r="F34" s="355"/>
    </row>
    <row r="35" spans="1:6" ht="32.450000000000003" customHeight="1" x14ac:dyDescent="0.3">
      <c r="A35" s="248" t="s">
        <v>283</v>
      </c>
      <c r="B35" s="288">
        <f>$B$4</f>
        <v>48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48</v>
      </c>
      <c r="C37" s="279">
        <f>IFERROR(VLOOKUP(A37,'★참조은 피벗( 냉동) (3546200)'!A:TH,4,FALSE),0)</f>
        <v>0</v>
      </c>
      <c r="D37" s="279">
        <f t="shared" ref="D37:D39" si="8">IFERROR(ROUNDDOWN(C37/B37,0),"")</f>
        <v>0</v>
      </c>
      <c r="E37" s="246" t="s">
        <v>261</v>
      </c>
      <c r="F37" s="299">
        <f t="shared" ref="F37:F39" si="9">IFERROR(C37-(D37*B37),"")</f>
        <v>0</v>
      </c>
    </row>
    <row r="38" spans="1:6" ht="25.35" customHeight="1" x14ac:dyDescent="0.3">
      <c r="A38" s="247" t="s">
        <v>235</v>
      </c>
      <c r="B38" s="278">
        <f t="shared" si="7"/>
        <v>48</v>
      </c>
      <c r="C38" s="279">
        <f>IFERROR(VLOOKUP(A38,'★참조은 피벗( 냉동) (3546200)'!A:TH,4,FALSE),0)</f>
        <v>0</v>
      </c>
      <c r="D38" s="279">
        <f t="shared" si="8"/>
        <v>0</v>
      </c>
      <c r="E38" s="246" t="s">
        <v>262</v>
      </c>
      <c r="F38" s="299">
        <f t="shared" si="9"/>
        <v>0</v>
      </c>
    </row>
    <row r="39" spans="1:6" ht="25.35" customHeight="1" x14ac:dyDescent="0.3">
      <c r="A39" s="247" t="s">
        <v>236</v>
      </c>
      <c r="B39" s="278">
        <f t="shared" si="7"/>
        <v>48</v>
      </c>
      <c r="C39" s="279">
        <f>IFERROR(VLOOKUP(A39,'★참조은 피벗( 냉동) (3546200)'!A:TH,4,FALSE),0)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47"/>
      <c r="B40" s="348"/>
      <c r="C40" s="348"/>
      <c r="D40" s="348"/>
      <c r="E40" s="348"/>
      <c r="F40" s="349"/>
    </row>
    <row r="41" spans="1:6" ht="32.450000000000003" customHeight="1" x14ac:dyDescent="0.3">
      <c r="A41" s="210" t="s">
        <v>282</v>
      </c>
      <c r="B41" s="288">
        <f>$B$4</f>
        <v>48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48</v>
      </c>
      <c r="C43" s="55">
        <f>SUM(C4:C20,C37:C39,C32:C33,C24:C28)</f>
        <v>48</v>
      </c>
      <c r="D43" s="54">
        <f>IFERROR(ROUNDDOWN(C43/B43,0),"")</f>
        <v>1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1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48</v>
      </c>
    </row>
    <row r="46" spans="1:6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F878-9377-447B-AB3E-B17EC640E7B5}">
  <sheetPr>
    <tabColor theme="5" tint="-0.249977111117893"/>
    <pageSetUpPr fitToPage="1"/>
  </sheetPr>
  <dimension ref="A1:F46"/>
  <sheetViews>
    <sheetView zoomScale="50" zoomScaleNormal="50" zoomScaleSheetLayoutView="75" workbookViewId="0">
      <selection activeCell="A2" sqref="A2:F44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1" t="s">
        <v>298</v>
      </c>
      <c r="C2" s="351"/>
      <c r="D2" s="351"/>
      <c r="E2" s="351"/>
      <c r="F2" s="352"/>
    </row>
    <row r="3" spans="1:6" ht="40.5" customHeight="1" x14ac:dyDescent="0.3">
      <c r="A3" s="216" t="str">
        <f>'★참조은 피벗( 냉동) (3546200)'!A2</f>
        <v>10/20 납품</v>
      </c>
      <c r="B3" s="205" t="s">
        <v>13</v>
      </c>
      <c r="C3" s="215" t="s">
        <v>303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48</v>
      </c>
      <c r="C4" s="279">
        <f>IFERROR(VLOOKUP(A4,'★참조은 피벗( 냉동) (3546200)'!A:TH,5,FALSE),0)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48</v>
      </c>
      <c r="C5" s="279">
        <f>IFERROR(VLOOKUP(A5,'★참조은 피벗( 냉동) (3546200)'!A:TH,5,FALSE),0)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48</v>
      </c>
      <c r="C6" s="279">
        <f>IFERROR(VLOOKUP(A6,'★참조은 피벗( 냉동) (3546200)'!A:TH,5,FALSE),0)</f>
        <v>0</v>
      </c>
      <c r="D6" s="279">
        <f t="shared" si="0"/>
        <v>0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48</v>
      </c>
      <c r="C7" s="279">
        <f>IFERROR(VLOOKUP(A7,'★참조은 피벗( 냉동) (3546200)'!A:TH,5,FALSE),0)</f>
        <v>0</v>
      </c>
      <c r="D7" s="279">
        <f t="shared" si="0"/>
        <v>0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48</v>
      </c>
      <c r="C8" s="279">
        <f>IFERROR(VLOOKUP(A8,'★참조은 피벗( 냉동) (3546200)'!A:TH,5,FALSE),0)</f>
        <v>0</v>
      </c>
      <c r="D8" s="279">
        <f t="shared" si="0"/>
        <v>0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48</v>
      </c>
      <c r="C9" s="279">
        <f>IFERROR(VLOOKUP(A9,'★참조은 피벗( 냉동) (3546200)'!A:TH,5,FALSE),0)</f>
        <v>0</v>
      </c>
      <c r="D9" s="279">
        <f t="shared" si="0"/>
        <v>0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48</v>
      </c>
      <c r="C10" s="279">
        <f>IFERROR(VLOOKUP(A10,'★참조은 피벗( 냉동) (3546200)'!A:TH,5,FALSE),0)</f>
        <v>0</v>
      </c>
      <c r="D10" s="279">
        <f t="shared" si="0"/>
        <v>0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48</v>
      </c>
      <c r="C11" s="279">
        <f>IFERROR(VLOOKUP(A11,'★참조은 피벗( 냉동) (3546200)'!A:TH,5,FALSE),0)</f>
        <v>0</v>
      </c>
      <c r="D11" s="279">
        <f t="shared" si="0"/>
        <v>0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48</v>
      </c>
      <c r="C12" s="279">
        <f>IFERROR(VLOOKUP(A12,'★참조은 피벗( 냉동) (3546200)'!A:TH,5,FALSE),0)</f>
        <v>0</v>
      </c>
      <c r="D12" s="279">
        <f t="shared" si="0"/>
        <v>0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48</v>
      </c>
      <c r="C13" s="279">
        <f>IFERROR(VLOOKUP(A13,'★참조은 피벗( 냉동) (3546200)'!A:TH,5,FALSE),0)</f>
        <v>0</v>
      </c>
      <c r="D13" s="279">
        <f t="shared" si="0"/>
        <v>0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48</v>
      </c>
      <c r="C14" s="279">
        <f>IFERROR(VLOOKUP(A14,'★참조은 피벗( 냉동) (3546200)'!A:TH,5,FALSE),0)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48</v>
      </c>
      <c r="C15" s="279">
        <f>IFERROR(VLOOKUP(A15,'★참조은 피벗( 냉동) (3546200)'!A:TH,5,FALSE),0)</f>
        <v>0</v>
      </c>
      <c r="D15" s="279">
        <f t="shared" si="0"/>
        <v>0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48</v>
      </c>
      <c r="C16" s="279">
        <f>IFERROR(VLOOKUP(A16,'★참조은 피벗( 냉동) (3546200)'!A:TH,5,FALSE),0)</f>
        <v>0</v>
      </c>
      <c r="D16" s="279">
        <f t="shared" si="0"/>
        <v>0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48</v>
      </c>
      <c r="C17" s="279">
        <f>IFERROR(VLOOKUP(A17,'★참조은 피벗( 냉동) (3546200)'!A:TH,5,FALSE),0)</f>
        <v>0</v>
      </c>
      <c r="D17" s="279">
        <f t="shared" si="0"/>
        <v>0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48</v>
      </c>
      <c r="C18" s="279">
        <f>IFERROR(VLOOKUP(A18,'★참조은 피벗( 냉동) (3546200)'!A:TH,5,FALSE),0)</f>
        <v>0</v>
      </c>
      <c r="D18" s="279">
        <f t="shared" si="0"/>
        <v>0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48</v>
      </c>
      <c r="C19" s="279">
        <f>IFERROR(VLOOKUP(A19,'★참조은 피벗( 냉동) (3546200)'!A:TH,5,FALSE),0)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48</v>
      </c>
      <c r="C20" s="279">
        <f>IFERROR(VLOOKUP(A20,'★참조은 피벗( 냉동) (3546200)'!A:TH,5,FALSE),0)</f>
        <v>0</v>
      </c>
      <c r="D20" s="279">
        <f t="shared" si="0"/>
        <v>0</v>
      </c>
      <c r="E20" s="246" t="s">
        <v>306</v>
      </c>
      <c r="F20" s="299">
        <f t="shared" si="1"/>
        <v>0</v>
      </c>
    </row>
    <row r="21" spans="1:6" ht="4.5" customHeight="1" x14ac:dyDescent="0.3">
      <c r="A21" s="353"/>
      <c r="B21" s="354"/>
      <c r="C21" s="354"/>
      <c r="D21" s="354"/>
      <c r="E21" s="354"/>
      <c r="F21" s="355"/>
    </row>
    <row r="22" spans="1:6" ht="32.450000000000003" customHeight="1" x14ac:dyDescent="0.3">
      <c r="A22" s="248" t="s">
        <v>122</v>
      </c>
      <c r="B22" s="288">
        <f>$B$4</f>
        <v>48</v>
      </c>
      <c r="C22" s="211">
        <f>SUM(C4:C20)</f>
        <v>0</v>
      </c>
      <c r="D22" s="55">
        <f>IFERROR(ROUNDDOWN(C22/B22,0),"")</f>
        <v>0</v>
      </c>
      <c r="E22" s="249"/>
      <c r="F22" s="213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48</v>
      </c>
      <c r="C24" s="279">
        <f>IFERROR(VLOOKUP(A24,'★참조은 피벗( 냉동) (3546200)'!A:TH,5,FALSE),0)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48</v>
      </c>
      <c r="C25" s="279">
        <f>IFERROR(VLOOKUP(A25,'★참조은 피벗( 냉동) (3546200)'!A:TH,5,FALSE),0)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48</v>
      </c>
      <c r="C26" s="279">
        <f>IFERROR(VLOOKUP(A26,'★참조은 피벗( 냉동) (3546200)'!A:TH,5,FALSE),0)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48</v>
      </c>
      <c r="C27" s="279">
        <f>IFERROR(VLOOKUP(A27,'★참조은 피벗( 냉동) (3546200)'!A:TH,5,FALSE),0)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48</v>
      </c>
      <c r="C28" s="279">
        <f>IFERROR(VLOOKUP(A28,'★참조은 피벗( 냉동) (3546200)'!A:TH,5,FALSE),0)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53"/>
      <c r="B29" s="354"/>
      <c r="C29" s="354"/>
      <c r="D29" s="354"/>
      <c r="E29" s="354"/>
      <c r="F29" s="355"/>
    </row>
    <row r="30" spans="1:6" ht="32.450000000000003" customHeight="1" x14ac:dyDescent="0.3">
      <c r="A30" s="248" t="s">
        <v>284</v>
      </c>
      <c r="B30" s="288">
        <f>$B$4</f>
        <v>48</v>
      </c>
      <c r="C30" s="211">
        <f>SUM(C24:C28)</f>
        <v>0</v>
      </c>
      <c r="D30" s="55">
        <f>IFERROR(ROUNDDOWN(C30/B30,0),"")</f>
        <v>0</v>
      </c>
      <c r="E30" s="249"/>
      <c r="F30" s="213">
        <f>IFERROR(C30-(D30*B30),"")</f>
        <v>0</v>
      </c>
    </row>
    <row r="31" spans="1:6" ht="4.5" customHeight="1" x14ac:dyDescent="0.3">
      <c r="A31" s="353"/>
      <c r="B31" s="354"/>
      <c r="C31" s="354"/>
      <c r="D31" s="354"/>
      <c r="E31" s="354"/>
      <c r="F31" s="355"/>
    </row>
    <row r="32" spans="1:6" ht="25.35" customHeight="1" x14ac:dyDescent="0.3">
      <c r="A32" s="247" t="s">
        <v>237</v>
      </c>
      <c r="B32" s="278">
        <f t="shared" ref="B32:B33" si="4">$B$4</f>
        <v>48</v>
      </c>
      <c r="C32" s="279">
        <f>IFERROR(VLOOKUP(A32,'★참조은 피벗( 냉동) (3546200)'!A:TH,5,FALSE),0)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48</v>
      </c>
      <c r="C33" s="279">
        <f>IFERROR(VLOOKUP(A33,'★참조은 피벗( 냉동) (3546200)'!A:TH,5,FALSE),0)</f>
        <v>0</v>
      </c>
      <c r="D33" s="279">
        <f t="shared" si="5"/>
        <v>0</v>
      </c>
      <c r="E33" s="246" t="s">
        <v>265</v>
      </c>
      <c r="F33" s="299">
        <f t="shared" si="6"/>
        <v>0</v>
      </c>
    </row>
    <row r="34" spans="1:6" ht="4.5" customHeight="1" x14ac:dyDescent="0.3">
      <c r="A34" s="353"/>
      <c r="B34" s="354"/>
      <c r="C34" s="354"/>
      <c r="D34" s="354"/>
      <c r="E34" s="354"/>
      <c r="F34" s="355"/>
    </row>
    <row r="35" spans="1:6" ht="32.450000000000003" customHeight="1" x14ac:dyDescent="0.3">
      <c r="A35" s="248" t="s">
        <v>283</v>
      </c>
      <c r="B35" s="288">
        <f>$B$4</f>
        <v>48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48</v>
      </c>
      <c r="C37" s="279">
        <f>IFERROR(VLOOKUP(A37,'★참조은 피벗( 냉동) (3546200)'!A:TH,5,FALSE),0)</f>
        <v>0</v>
      </c>
      <c r="D37" s="279">
        <f t="shared" ref="D37:D39" si="8">IFERROR(ROUNDDOWN(C37/B37,0),"")</f>
        <v>0</v>
      </c>
      <c r="E37" s="246" t="s">
        <v>261</v>
      </c>
      <c r="F37" s="299">
        <f t="shared" ref="F37:F39" si="9">IFERROR(C37-(D37*B37),"")</f>
        <v>0</v>
      </c>
    </row>
    <row r="38" spans="1:6" ht="25.35" customHeight="1" x14ac:dyDescent="0.3">
      <c r="A38" s="247" t="s">
        <v>235</v>
      </c>
      <c r="B38" s="278">
        <f t="shared" si="7"/>
        <v>48</v>
      </c>
      <c r="C38" s="279">
        <f>IFERROR(VLOOKUP(A38,'★참조은 피벗( 냉동) (3546200)'!A:TH,5,FALSE),0)</f>
        <v>0</v>
      </c>
      <c r="D38" s="279">
        <f t="shared" si="8"/>
        <v>0</v>
      </c>
      <c r="E38" s="246" t="s">
        <v>262</v>
      </c>
      <c r="F38" s="299">
        <f t="shared" si="9"/>
        <v>0</v>
      </c>
    </row>
    <row r="39" spans="1:6" ht="25.35" customHeight="1" x14ac:dyDescent="0.3">
      <c r="A39" s="247" t="s">
        <v>236</v>
      </c>
      <c r="B39" s="278">
        <f t="shared" si="7"/>
        <v>48</v>
      </c>
      <c r="C39" s="279">
        <f>IFERROR(VLOOKUP(A39,'★참조은 피벗( 냉동) (3546200)'!A:TH,5,FALSE),0)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47"/>
      <c r="B40" s="348"/>
      <c r="C40" s="348"/>
      <c r="D40" s="348"/>
      <c r="E40" s="348"/>
      <c r="F40" s="349"/>
    </row>
    <row r="41" spans="1:6" ht="32.450000000000003" customHeight="1" x14ac:dyDescent="0.3">
      <c r="A41" s="210" t="s">
        <v>282</v>
      </c>
      <c r="B41" s="288">
        <f>$B$4</f>
        <v>48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48</v>
      </c>
      <c r="C43" s="55">
        <f>SUM(C4:C20,C37:C39,C32:C33,C24:C28)</f>
        <v>0</v>
      </c>
      <c r="D43" s="54">
        <f>IFERROR(ROUNDDOWN(C43/B43,0),"")</f>
        <v>0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0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0</v>
      </c>
    </row>
    <row r="46" spans="1:6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EEA2-D7E7-4444-867F-7B204BD0F1F7}">
  <sheetPr>
    <tabColor rgb="FFFFFF00"/>
  </sheetPr>
  <dimension ref="A1:TU25"/>
  <sheetViews>
    <sheetView zoomScale="40" zoomScaleNormal="40" zoomScaleSheetLayoutView="75" workbookViewId="0">
      <pane xSplit="1" topLeftCell="B1" activePane="topRight" state="frozen"/>
      <selection activeCell="F16" sqref="F16"/>
      <selection pane="topRight" activeCell="E47" sqref="E47"/>
    </sheetView>
  </sheetViews>
  <sheetFormatPr defaultColWidth="9" defaultRowHeight="15" customHeight="1" x14ac:dyDescent="0.3"/>
  <cols>
    <col min="1" max="51" width="37.625" style="34" customWidth="1"/>
    <col min="52" max="52" width="22.25" style="34" bestFit="1" customWidth="1"/>
    <col min="53" max="55" width="18.375" style="34" customWidth="1"/>
    <col min="56" max="56" width="27.625" style="34" bestFit="1" customWidth="1"/>
    <col min="57" max="58" width="18.375" style="34" customWidth="1"/>
    <col min="59" max="59" width="27.625" style="34" bestFit="1" customWidth="1"/>
    <col min="60" max="60" width="18.375" style="34" customWidth="1"/>
    <col min="61" max="61" width="25.375" style="34" bestFit="1" customWidth="1"/>
    <col min="62" max="62" width="21" style="34" bestFit="1" customWidth="1"/>
    <col min="63" max="63" width="27.625" style="34" bestFit="1" customWidth="1"/>
    <col min="64" max="64" width="18.375" style="34" customWidth="1"/>
    <col min="65" max="65" width="27.625" style="34" bestFit="1" customWidth="1"/>
    <col min="66" max="419" width="30.375" style="34" customWidth="1"/>
    <col min="420" max="421" width="21.25" style="34" customWidth="1"/>
    <col min="422" max="437" width="20.5" style="34" customWidth="1"/>
    <col min="438" max="438" width="21" style="34" bestFit="1" customWidth="1"/>
    <col min="439" max="439" width="25.125" style="34" bestFit="1" customWidth="1"/>
    <col min="440" max="440" width="23" style="34" bestFit="1" customWidth="1"/>
    <col min="441" max="441" width="33.375" style="34" bestFit="1" customWidth="1"/>
    <col min="442" max="442" width="25.125" style="34" bestFit="1" customWidth="1"/>
    <col min="443" max="443" width="28.875" style="34" bestFit="1" customWidth="1"/>
    <col min="444" max="444" width="23" style="34" bestFit="1" customWidth="1"/>
    <col min="445" max="445" width="18.875" style="34" customWidth="1"/>
    <col min="446" max="446" width="23" style="34" bestFit="1" customWidth="1"/>
    <col min="447" max="447" width="25.125" style="34" bestFit="1" customWidth="1"/>
    <col min="448" max="448" width="18.875" style="34" customWidth="1"/>
    <col min="449" max="449" width="19.125" style="34" customWidth="1"/>
    <col min="450" max="450" width="18.125" style="34" customWidth="1"/>
    <col min="451" max="451" width="18.875" style="34" customWidth="1"/>
    <col min="452" max="452" width="26.625" style="34" customWidth="1"/>
    <col min="453" max="453" width="22.125" style="34" customWidth="1"/>
    <col min="454" max="454" width="24.125" style="34" customWidth="1"/>
    <col min="455" max="455" width="21.375" style="34" customWidth="1"/>
    <col min="456" max="456" width="19.375" style="34" customWidth="1"/>
    <col min="457" max="457" width="20" style="34" customWidth="1"/>
    <col min="458" max="458" width="23.25" style="34" customWidth="1"/>
    <col min="459" max="459" width="18" style="34" customWidth="1"/>
    <col min="460" max="490" width="19" style="34" customWidth="1"/>
    <col min="491" max="495" width="20.25" style="34" customWidth="1"/>
    <col min="496" max="496" width="17.25" style="34" customWidth="1"/>
    <col min="497" max="497" width="17.75" style="34" customWidth="1"/>
    <col min="498" max="498" width="16.5" style="34" customWidth="1"/>
    <col min="499" max="501" width="21" style="34" customWidth="1"/>
    <col min="502" max="502" width="18.5" style="34" customWidth="1"/>
    <col min="503" max="507" width="21" style="34" customWidth="1"/>
    <col min="508" max="508" width="15.125" style="34" customWidth="1"/>
    <col min="509" max="524" width="21" style="34" customWidth="1"/>
    <col min="525" max="525" width="24.25" style="34" customWidth="1"/>
    <col min="526" max="526" width="18.875" style="34" bestFit="1" customWidth="1"/>
    <col min="527" max="527" width="21" style="34" bestFit="1" customWidth="1"/>
    <col min="528" max="528" width="23" style="38" bestFit="1" customWidth="1"/>
    <col min="529" max="529" width="8.625" style="38" bestFit="1" customWidth="1"/>
    <col min="530" max="530" width="21" style="38" bestFit="1" customWidth="1"/>
    <col min="531" max="531" width="23" style="38" bestFit="1" customWidth="1"/>
    <col min="532" max="532" width="8.625" style="38" bestFit="1" customWidth="1"/>
    <col min="533" max="533" width="22.875" style="34" customWidth="1"/>
    <col min="534" max="540" width="20.875" style="38" customWidth="1"/>
    <col min="541" max="541" width="23.25" style="38" customWidth="1"/>
    <col min="542" max="16384" width="9" style="34"/>
  </cols>
  <sheetData>
    <row r="1" spans="1:533" s="38" customFormat="1" ht="15" customHeight="1" x14ac:dyDescent="0.3">
      <c r="A1" s="30" t="s">
        <v>324</v>
      </c>
      <c r="B1" s="30"/>
      <c r="C1" s="30" t="s">
        <v>89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/>
      <c r="S1"/>
      <c r="T1"/>
      <c r="U1"/>
      <c r="V1"/>
      <c r="W1"/>
      <c r="X1"/>
      <c r="Y1"/>
      <c r="Z1"/>
      <c r="AA1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2"/>
      <c r="BO1" s="2"/>
      <c r="BP1" s="2"/>
      <c r="BQ1" s="2"/>
      <c r="BR1" s="2"/>
      <c r="BS1" s="2"/>
      <c r="BT1" s="2"/>
      <c r="BU1" s="2"/>
      <c r="BV1" s="29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32"/>
      <c r="NL1" s="23"/>
      <c r="NM1" s="23"/>
      <c r="NN1" s="23"/>
      <c r="NO1" s="23"/>
      <c r="NP1" s="32"/>
      <c r="NQ1" s="32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32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32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32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</row>
    <row r="2" spans="1:533" s="38" customFormat="1" ht="15" customHeight="1" x14ac:dyDescent="0.3">
      <c r="A2" t="s">
        <v>325</v>
      </c>
      <c r="B2"/>
      <c r="C2" t="s">
        <v>314</v>
      </c>
      <c r="D2" t="s">
        <v>315</v>
      </c>
      <c r="E2" t="s">
        <v>316</v>
      </c>
      <c r="F2" t="s">
        <v>288</v>
      </c>
      <c r="G2"/>
      <c r="H2" t="s">
        <v>317</v>
      </c>
      <c r="I2" t="s">
        <v>3</v>
      </c>
      <c r="J2"/>
      <c r="K2"/>
      <c r="L2"/>
      <c r="M2"/>
      <c r="N2"/>
      <c r="O2"/>
      <c r="P2"/>
      <c r="Q2"/>
      <c r="R2" s="30"/>
      <c r="S2" s="30"/>
      <c r="T2" s="30"/>
      <c r="U2" s="30"/>
      <c r="V2"/>
      <c r="W2"/>
      <c r="X2"/>
      <c r="Y2"/>
      <c r="Z2"/>
      <c r="AA2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</row>
    <row r="3" spans="1:533" ht="15" customHeight="1" x14ac:dyDescent="0.3">
      <c r="A3" t="s">
        <v>253</v>
      </c>
      <c r="B3"/>
      <c r="C3"/>
      <c r="D3">
        <v>72</v>
      </c>
      <c r="E3"/>
      <c r="F3"/>
      <c r="G3"/>
      <c r="H3"/>
      <c r="I3">
        <v>72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 s="256"/>
      <c r="AC3" s="256"/>
      <c r="AD3" s="256"/>
      <c r="AE3" s="256"/>
      <c r="AF3" s="256"/>
      <c r="AG3" s="256"/>
      <c r="AH3" s="256"/>
      <c r="AI3" s="71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</row>
    <row r="4" spans="1:533" ht="15" customHeight="1" x14ac:dyDescent="0.3">
      <c r="A4" t="s">
        <v>252</v>
      </c>
      <c r="B4"/>
      <c r="C4">
        <v>108</v>
      </c>
      <c r="D4">
        <v>48</v>
      </c>
      <c r="E4">
        <v>60</v>
      </c>
      <c r="F4">
        <v>60</v>
      </c>
      <c r="G4"/>
      <c r="H4"/>
      <c r="I4">
        <v>276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 s="256"/>
      <c r="AC4" s="256"/>
      <c r="AD4" s="256"/>
      <c r="AE4" s="256"/>
      <c r="AF4" s="256"/>
      <c r="AG4" s="256"/>
      <c r="AH4" s="256"/>
      <c r="AI4" s="71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O4" s="39"/>
    </row>
    <row r="5" spans="1:533" ht="15" customHeight="1" x14ac:dyDescent="0.3">
      <c r="A5" s="34" t="s">
        <v>234</v>
      </c>
      <c r="C5" s="34">
        <v>84</v>
      </c>
      <c r="D5" s="34">
        <v>48</v>
      </c>
      <c r="E5" s="34">
        <v>12</v>
      </c>
      <c r="H5" s="34">
        <v>24</v>
      </c>
      <c r="I5" s="34">
        <v>168</v>
      </c>
    </row>
    <row r="6" spans="1:533" ht="15" customHeight="1" x14ac:dyDescent="0.3">
      <c r="A6" s="34" t="s">
        <v>238</v>
      </c>
      <c r="C6" s="34">
        <v>144</v>
      </c>
      <c r="D6" s="34">
        <v>24</v>
      </c>
      <c r="E6" s="34">
        <v>36</v>
      </c>
      <c r="I6" s="34">
        <v>204</v>
      </c>
    </row>
    <row r="7" spans="1:533" ht="15" customHeight="1" x14ac:dyDescent="0.3">
      <c r="A7" s="34" t="s">
        <v>242</v>
      </c>
      <c r="D7" s="34">
        <v>84</v>
      </c>
      <c r="I7" s="34">
        <v>84</v>
      </c>
    </row>
    <row r="8" spans="1:533" ht="15" customHeight="1" x14ac:dyDescent="0.3">
      <c r="A8" s="34" t="s">
        <v>259</v>
      </c>
      <c r="F8" s="34">
        <v>24</v>
      </c>
      <c r="I8" s="34">
        <v>24</v>
      </c>
    </row>
    <row r="9" spans="1:533" ht="15" customHeight="1" x14ac:dyDescent="0.3">
      <c r="A9" s="34" t="s">
        <v>247</v>
      </c>
      <c r="C9" s="34">
        <v>72</v>
      </c>
      <c r="D9" s="34">
        <v>204</v>
      </c>
      <c r="E9" s="34">
        <v>12</v>
      </c>
      <c r="F9" s="34">
        <v>48</v>
      </c>
      <c r="I9" s="34">
        <v>336</v>
      </c>
    </row>
    <row r="10" spans="1:533" ht="15" customHeight="1" x14ac:dyDescent="0.3">
      <c r="A10" s="34" t="s">
        <v>248</v>
      </c>
      <c r="C10" s="34">
        <v>72</v>
      </c>
      <c r="D10" s="34">
        <v>60</v>
      </c>
      <c r="E10" s="34">
        <v>12</v>
      </c>
      <c r="F10" s="34">
        <v>60</v>
      </c>
      <c r="I10" s="34">
        <v>204</v>
      </c>
    </row>
    <row r="11" spans="1:533" ht="15" customHeight="1" x14ac:dyDescent="0.3">
      <c r="A11" s="34" t="s">
        <v>254</v>
      </c>
      <c r="D11" s="34">
        <v>24</v>
      </c>
      <c r="F11" s="34">
        <v>36</v>
      </c>
      <c r="I11" s="34">
        <v>60</v>
      </c>
    </row>
    <row r="12" spans="1:533" ht="15" customHeight="1" x14ac:dyDescent="0.3">
      <c r="A12" s="34" t="s">
        <v>244</v>
      </c>
      <c r="C12" s="34">
        <v>60</v>
      </c>
      <c r="D12" s="34">
        <v>48</v>
      </c>
      <c r="E12" s="34">
        <v>12</v>
      </c>
      <c r="I12" s="34">
        <v>120</v>
      </c>
    </row>
    <row r="13" spans="1:533" ht="15" customHeight="1" x14ac:dyDescent="0.3">
      <c r="A13" s="34" t="s">
        <v>255</v>
      </c>
      <c r="C13" s="34">
        <v>72</v>
      </c>
      <c r="D13" s="34">
        <v>24</v>
      </c>
      <c r="F13" s="34">
        <v>60</v>
      </c>
      <c r="I13" s="34">
        <v>156</v>
      </c>
    </row>
    <row r="14" spans="1:533" ht="15" customHeight="1" x14ac:dyDescent="0.3">
      <c r="A14" s="34" t="s">
        <v>260</v>
      </c>
      <c r="C14" s="34">
        <v>48</v>
      </c>
      <c r="D14" s="34">
        <v>12</v>
      </c>
      <c r="I14" s="34">
        <v>60</v>
      </c>
    </row>
    <row r="15" spans="1:533" ht="15" customHeight="1" x14ac:dyDescent="0.3">
      <c r="A15" s="34" t="s">
        <v>246</v>
      </c>
      <c r="C15" s="34">
        <v>24</v>
      </c>
      <c r="D15" s="34">
        <v>12</v>
      </c>
      <c r="E15" s="34">
        <v>12</v>
      </c>
      <c r="I15" s="34">
        <v>48</v>
      </c>
    </row>
    <row r="16" spans="1:533" ht="15" customHeight="1" x14ac:dyDescent="0.3">
      <c r="A16" s="34" t="s">
        <v>240</v>
      </c>
      <c r="D16" s="34">
        <v>12</v>
      </c>
      <c r="I16" s="34">
        <v>12</v>
      </c>
    </row>
    <row r="17" spans="1:9" ht="15" customHeight="1" x14ac:dyDescent="0.3">
      <c r="A17" s="34" t="s">
        <v>257</v>
      </c>
      <c r="D17" s="34">
        <v>12</v>
      </c>
      <c r="I17" s="34">
        <v>12</v>
      </c>
    </row>
    <row r="18" spans="1:9" ht="15" customHeight="1" x14ac:dyDescent="0.3">
      <c r="A18" s="34" t="s">
        <v>237</v>
      </c>
      <c r="D18" s="34">
        <v>24</v>
      </c>
      <c r="E18" s="34">
        <v>12</v>
      </c>
      <c r="I18" s="34">
        <v>36</v>
      </c>
    </row>
    <row r="19" spans="1:9" ht="15" customHeight="1" x14ac:dyDescent="0.3">
      <c r="A19" s="34" t="s">
        <v>251</v>
      </c>
      <c r="C19" s="34">
        <v>12</v>
      </c>
      <c r="E19" s="34">
        <v>12</v>
      </c>
      <c r="F19" s="34">
        <v>12</v>
      </c>
      <c r="I19" s="34">
        <v>36</v>
      </c>
    </row>
    <row r="20" spans="1:9" ht="15" customHeight="1" x14ac:dyDescent="0.3">
      <c r="A20" s="34" t="s">
        <v>250</v>
      </c>
      <c r="D20" s="34">
        <v>12</v>
      </c>
      <c r="F20" s="34">
        <v>12</v>
      </c>
      <c r="I20" s="34">
        <v>24</v>
      </c>
    </row>
    <row r="21" spans="1:9" ht="15" customHeight="1" x14ac:dyDescent="0.3">
      <c r="A21" s="34" t="s">
        <v>249</v>
      </c>
      <c r="D21" s="34">
        <v>12</v>
      </c>
      <c r="I21" s="34">
        <v>12</v>
      </c>
    </row>
    <row r="22" spans="1:9" ht="15" customHeight="1" x14ac:dyDescent="0.3">
      <c r="A22" s="34" t="s">
        <v>239</v>
      </c>
      <c r="C22" s="34">
        <v>24</v>
      </c>
      <c r="D22" s="34">
        <v>12</v>
      </c>
      <c r="F22" s="34">
        <v>24</v>
      </c>
      <c r="I22" s="34">
        <v>60</v>
      </c>
    </row>
    <row r="23" spans="1:9" ht="15" customHeight="1" x14ac:dyDescent="0.3">
      <c r="A23" s="34" t="s">
        <v>235</v>
      </c>
      <c r="D23" s="34">
        <v>12</v>
      </c>
      <c r="I23" s="34">
        <v>12</v>
      </c>
    </row>
    <row r="24" spans="1:9" ht="15" customHeight="1" x14ac:dyDescent="0.3">
      <c r="A24" s="34" t="s">
        <v>245</v>
      </c>
      <c r="C24" s="34">
        <v>12</v>
      </c>
      <c r="D24" s="34">
        <v>12</v>
      </c>
      <c r="E24" s="34">
        <v>12</v>
      </c>
      <c r="I24" s="34">
        <v>36</v>
      </c>
    </row>
    <row r="25" spans="1:9" ht="15" customHeight="1" x14ac:dyDescent="0.3">
      <c r="A25" s="34" t="s">
        <v>3</v>
      </c>
      <c r="C25" s="34">
        <v>732</v>
      </c>
      <c r="D25" s="34">
        <v>768</v>
      </c>
      <c r="E25" s="34">
        <v>192</v>
      </c>
      <c r="F25" s="34">
        <v>336</v>
      </c>
      <c r="H25" s="34">
        <v>24</v>
      </c>
      <c r="I25" s="34">
        <v>2052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215-F729-449F-87FF-18936AC99B88}">
  <sheetPr>
    <tabColor rgb="FFFFFF00"/>
    <pageSetUpPr fitToPage="1"/>
  </sheetPr>
  <dimension ref="A1:I46"/>
  <sheetViews>
    <sheetView zoomScale="50" zoomScaleNormal="50" zoomScaleSheetLayoutView="75" workbookViewId="0">
      <selection activeCell="F55" sqref="F55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7" width="12.25" style="34" customWidth="1"/>
    <col min="8" max="8" width="11.75" style="34" customWidth="1"/>
    <col min="9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350"/>
      <c r="B1" s="350"/>
      <c r="C1" s="350"/>
      <c r="D1" s="350"/>
      <c r="E1" s="350"/>
      <c r="F1" s="350"/>
    </row>
    <row r="2" spans="1:9" ht="25.9" customHeight="1" x14ac:dyDescent="0.3">
      <c r="A2" s="214">
        <f ca="1">TODAY()</f>
        <v>46314</v>
      </c>
      <c r="B2" s="351" t="s">
        <v>299</v>
      </c>
      <c r="C2" s="351"/>
      <c r="D2" s="351"/>
      <c r="E2" s="351"/>
      <c r="F2" s="352"/>
    </row>
    <row r="3" spans="1:9" ht="40.5" customHeight="1" x14ac:dyDescent="0.3">
      <c r="A3" s="318" t="str">
        <f>'스위트조이 피벗'!A2</f>
        <v>10/20 납품</v>
      </c>
      <c r="B3" s="205" t="s">
        <v>13</v>
      </c>
      <c r="C3" s="215" t="s">
        <v>308</v>
      </c>
      <c r="D3" s="206" t="s">
        <v>2</v>
      </c>
      <c r="E3" s="205" t="s">
        <v>23</v>
      </c>
      <c r="F3" s="207" t="s">
        <v>14</v>
      </c>
      <c r="G3" s="319" t="s">
        <v>296</v>
      </c>
      <c r="H3" s="322" t="s">
        <v>309</v>
      </c>
    </row>
    <row r="4" spans="1:9" ht="25.35" customHeight="1" x14ac:dyDescent="0.3">
      <c r="A4" s="244" t="s">
        <v>258</v>
      </c>
      <c r="B4" s="278">
        <v>24</v>
      </c>
      <c r="C4" s="279">
        <f>IFERROR(VLOOKUP(A4,'스위트조이 피벗'!A:TK,2,FALSE),0)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  <c r="G4" s="320" t="s">
        <v>297</v>
      </c>
      <c r="H4" s="71"/>
      <c r="I4" s="71"/>
    </row>
    <row r="5" spans="1:9" ht="25.35" customHeight="1" x14ac:dyDescent="0.3">
      <c r="A5" s="244" t="s">
        <v>259</v>
      </c>
      <c r="B5" s="278">
        <f>$B$4</f>
        <v>24</v>
      </c>
      <c r="C5" s="279">
        <f>IFERROR(VLOOKUP(A5,'스위트조이 피벗'!A:TK,2,FALSE),0)</f>
        <v>0</v>
      </c>
      <c r="D5" s="279">
        <f t="shared" si="0"/>
        <v>0</v>
      </c>
      <c r="E5" s="246" t="s">
        <v>280</v>
      </c>
      <c r="F5" s="299">
        <f t="shared" si="1"/>
        <v>0</v>
      </c>
      <c r="G5" s="320" t="s">
        <v>297</v>
      </c>
      <c r="H5" s="71"/>
      <c r="I5" s="71"/>
    </row>
    <row r="6" spans="1:9" ht="25.35" customHeight="1" x14ac:dyDescent="0.3">
      <c r="A6" s="247" t="s">
        <v>260</v>
      </c>
      <c r="B6" s="278">
        <f t="shared" ref="B6:B20" si="2">$B$4</f>
        <v>24</v>
      </c>
      <c r="C6" s="279">
        <f>IFERROR(VLOOKUP(A6,'스위트조이 피벗'!A:TK,2,FALSE),0)</f>
        <v>0</v>
      </c>
      <c r="D6" s="279">
        <f t="shared" si="0"/>
        <v>0</v>
      </c>
      <c r="E6" s="246" t="s">
        <v>281</v>
      </c>
      <c r="F6" s="299">
        <f t="shared" si="1"/>
        <v>0</v>
      </c>
      <c r="G6" s="320" t="s">
        <v>297</v>
      </c>
      <c r="H6" s="71"/>
      <c r="I6" s="71"/>
    </row>
    <row r="7" spans="1:9" ht="25.35" customHeight="1" x14ac:dyDescent="0.3">
      <c r="A7" s="247" t="s">
        <v>244</v>
      </c>
      <c r="B7" s="278">
        <f t="shared" si="2"/>
        <v>24</v>
      </c>
      <c r="C7" s="279">
        <f>IFERROR(VLOOKUP(A7,'스위트조이 피벗'!A:TK,2,FALSE),0)</f>
        <v>0</v>
      </c>
      <c r="D7" s="279">
        <f t="shared" si="0"/>
        <v>0</v>
      </c>
      <c r="E7" s="246" t="s">
        <v>269</v>
      </c>
      <c r="F7" s="299">
        <f t="shared" si="1"/>
        <v>0</v>
      </c>
      <c r="G7" s="320" t="s">
        <v>297</v>
      </c>
      <c r="H7" s="71"/>
      <c r="I7" s="71"/>
    </row>
    <row r="8" spans="1:9" ht="25.35" customHeight="1" x14ac:dyDescent="0.3">
      <c r="A8" s="247" t="s">
        <v>245</v>
      </c>
      <c r="B8" s="278">
        <f t="shared" si="2"/>
        <v>24</v>
      </c>
      <c r="C8" s="279">
        <f>IFERROR(VLOOKUP(A8,'스위트조이 피벗'!A:TK,2,FALSE),0)</f>
        <v>0</v>
      </c>
      <c r="D8" s="279">
        <f t="shared" si="0"/>
        <v>0</v>
      </c>
      <c r="E8" s="246" t="s">
        <v>307</v>
      </c>
      <c r="F8" s="299">
        <f t="shared" si="1"/>
        <v>0</v>
      </c>
      <c r="G8" s="320" t="s">
        <v>297</v>
      </c>
      <c r="H8" s="71"/>
      <c r="I8" s="71"/>
    </row>
    <row r="9" spans="1:9" ht="25.35" customHeight="1" x14ac:dyDescent="0.3">
      <c r="A9" s="247" t="s">
        <v>246</v>
      </c>
      <c r="B9" s="278">
        <f t="shared" si="2"/>
        <v>24</v>
      </c>
      <c r="C9" s="279">
        <f>IFERROR(VLOOKUP(A9,'스위트조이 피벗'!A:TK,2,FALSE),0)</f>
        <v>0</v>
      </c>
      <c r="D9" s="279">
        <f t="shared" si="0"/>
        <v>0</v>
      </c>
      <c r="E9" s="246" t="s">
        <v>270</v>
      </c>
      <c r="F9" s="299">
        <f t="shared" si="1"/>
        <v>0</v>
      </c>
      <c r="G9" s="320" t="s">
        <v>310</v>
      </c>
      <c r="H9" s="71"/>
      <c r="I9" s="71"/>
    </row>
    <row r="10" spans="1:9" ht="25.35" customHeight="1" x14ac:dyDescent="0.3">
      <c r="A10" s="247" t="s">
        <v>247</v>
      </c>
      <c r="B10" s="278">
        <f t="shared" si="2"/>
        <v>24</v>
      </c>
      <c r="C10" s="279">
        <f>IFERROR(VLOOKUP(A10,'스위트조이 피벗'!A:TK,2,FALSE),0)</f>
        <v>0</v>
      </c>
      <c r="D10" s="279">
        <f t="shared" si="0"/>
        <v>0</v>
      </c>
      <c r="E10" s="246" t="s">
        <v>271</v>
      </c>
      <c r="F10" s="299">
        <f t="shared" si="1"/>
        <v>0</v>
      </c>
      <c r="G10" s="320" t="s">
        <v>310</v>
      </c>
      <c r="H10" s="71"/>
      <c r="I10" s="71"/>
    </row>
    <row r="11" spans="1:9" ht="25.35" customHeight="1" x14ac:dyDescent="0.3">
      <c r="A11" s="247" t="s">
        <v>248</v>
      </c>
      <c r="B11" s="278">
        <f t="shared" si="2"/>
        <v>24</v>
      </c>
      <c r="C11" s="279">
        <f>IFERROR(VLOOKUP(A11,'스위트조이 피벗'!A:TK,2,FALSE),0)</f>
        <v>0</v>
      </c>
      <c r="D11" s="279">
        <f t="shared" si="0"/>
        <v>0</v>
      </c>
      <c r="E11" s="246" t="s">
        <v>272</v>
      </c>
      <c r="F11" s="299">
        <f t="shared" si="1"/>
        <v>0</v>
      </c>
      <c r="G11" s="320" t="s">
        <v>310</v>
      </c>
      <c r="H11" s="71"/>
      <c r="I11" s="71"/>
    </row>
    <row r="12" spans="1:9" ht="25.35" customHeight="1" x14ac:dyDescent="0.3">
      <c r="A12" s="247" t="s">
        <v>249</v>
      </c>
      <c r="B12" s="278">
        <f t="shared" si="2"/>
        <v>24</v>
      </c>
      <c r="C12" s="279">
        <f>IFERROR(VLOOKUP(A12,'스위트조이 피벗'!A:TK,2,FALSE),0)</f>
        <v>0</v>
      </c>
      <c r="D12" s="279">
        <f t="shared" si="0"/>
        <v>0</v>
      </c>
      <c r="E12" s="246" t="s">
        <v>273</v>
      </c>
      <c r="F12" s="299">
        <f t="shared" si="1"/>
        <v>0</v>
      </c>
      <c r="G12" s="320" t="s">
        <v>310</v>
      </c>
      <c r="H12" s="71"/>
      <c r="I12" s="71"/>
    </row>
    <row r="13" spans="1:9" ht="25.35" customHeight="1" x14ac:dyDescent="0.3">
      <c r="A13" s="244" t="s">
        <v>250</v>
      </c>
      <c r="B13" s="278">
        <f t="shared" si="2"/>
        <v>24</v>
      </c>
      <c r="C13" s="279">
        <f>IFERROR(VLOOKUP(A13,'스위트조이 피벗'!A:TK,2,FALSE),0)</f>
        <v>0</v>
      </c>
      <c r="D13" s="279">
        <f t="shared" si="0"/>
        <v>0</v>
      </c>
      <c r="E13" s="246" t="s">
        <v>274</v>
      </c>
      <c r="F13" s="299">
        <f t="shared" si="1"/>
        <v>0</v>
      </c>
      <c r="G13" s="320" t="s">
        <v>310</v>
      </c>
      <c r="H13" s="71"/>
      <c r="I13" s="71"/>
    </row>
    <row r="14" spans="1:9" ht="25.35" customHeight="1" x14ac:dyDescent="0.3">
      <c r="A14" s="247" t="s">
        <v>251</v>
      </c>
      <c r="B14" s="278">
        <f t="shared" si="2"/>
        <v>24</v>
      </c>
      <c r="C14" s="279">
        <f>IFERROR(VLOOKUP(A14,'스위트조이 피벗'!A:TK,2,FALSE),0)</f>
        <v>0</v>
      </c>
      <c r="D14" s="279">
        <f t="shared" si="0"/>
        <v>0</v>
      </c>
      <c r="E14" s="246" t="s">
        <v>275</v>
      </c>
      <c r="F14" s="299">
        <f t="shared" si="1"/>
        <v>0</v>
      </c>
      <c r="G14" s="320" t="s">
        <v>310</v>
      </c>
      <c r="H14" s="71"/>
      <c r="I14" s="71"/>
    </row>
    <row r="15" spans="1:9" ht="25.35" customHeight="1" x14ac:dyDescent="0.3">
      <c r="A15" s="247" t="s">
        <v>252</v>
      </c>
      <c r="B15" s="278">
        <f t="shared" si="2"/>
        <v>24</v>
      </c>
      <c r="C15" s="279">
        <f>IFERROR(VLOOKUP(A15,'스위트조이 피벗'!A:TK,2,FALSE),0)</f>
        <v>0</v>
      </c>
      <c r="D15" s="279">
        <f t="shared" si="0"/>
        <v>0</v>
      </c>
      <c r="E15" s="246" t="s">
        <v>276</v>
      </c>
      <c r="F15" s="299">
        <f t="shared" si="1"/>
        <v>0</v>
      </c>
      <c r="G15" s="320" t="s">
        <v>310</v>
      </c>
      <c r="H15" s="71"/>
      <c r="I15" s="71"/>
    </row>
    <row r="16" spans="1:9" ht="25.35" customHeight="1" x14ac:dyDescent="0.3">
      <c r="A16" s="247" t="s">
        <v>253</v>
      </c>
      <c r="B16" s="278">
        <f t="shared" si="2"/>
        <v>24</v>
      </c>
      <c r="C16" s="279">
        <f>IFERROR(VLOOKUP(A16,'스위트조이 피벗'!A:TK,2,FALSE),0)</f>
        <v>0</v>
      </c>
      <c r="D16" s="279">
        <f t="shared" si="0"/>
        <v>0</v>
      </c>
      <c r="E16" s="246" t="s">
        <v>305</v>
      </c>
      <c r="F16" s="299">
        <f t="shared" si="1"/>
        <v>0</v>
      </c>
      <c r="G16" s="320" t="s">
        <v>311</v>
      </c>
      <c r="H16" s="71"/>
      <c r="I16" s="71"/>
    </row>
    <row r="17" spans="1:9" ht="25.35" customHeight="1" x14ac:dyDescent="0.3">
      <c r="A17" s="247" t="s">
        <v>254</v>
      </c>
      <c r="B17" s="278">
        <f t="shared" si="2"/>
        <v>24</v>
      </c>
      <c r="C17" s="279">
        <f>IFERROR(VLOOKUP(A17,'스위트조이 피벗'!A:TK,2,FALSE),0)</f>
        <v>0</v>
      </c>
      <c r="D17" s="279">
        <f t="shared" si="0"/>
        <v>0</v>
      </c>
      <c r="E17" s="246" t="s">
        <v>277</v>
      </c>
      <c r="F17" s="299">
        <f t="shared" si="1"/>
        <v>0</v>
      </c>
      <c r="G17" s="320" t="s">
        <v>297</v>
      </c>
      <c r="H17" s="71"/>
      <c r="I17" s="71"/>
    </row>
    <row r="18" spans="1:9" ht="25.35" customHeight="1" x14ac:dyDescent="0.3">
      <c r="A18" s="247" t="s">
        <v>255</v>
      </c>
      <c r="B18" s="278">
        <f t="shared" si="2"/>
        <v>24</v>
      </c>
      <c r="C18" s="279">
        <f>IFERROR(VLOOKUP(A18,'스위트조이 피벗'!A:TK,2,FALSE),0)</f>
        <v>0</v>
      </c>
      <c r="D18" s="279">
        <f t="shared" si="0"/>
        <v>0</v>
      </c>
      <c r="E18" s="246" t="s">
        <v>278</v>
      </c>
      <c r="F18" s="299">
        <f t="shared" si="1"/>
        <v>0</v>
      </c>
      <c r="G18" s="320" t="s">
        <v>297</v>
      </c>
      <c r="H18" s="71"/>
      <c r="I18" s="71"/>
    </row>
    <row r="19" spans="1:9" ht="25.35" customHeight="1" x14ac:dyDescent="0.3">
      <c r="A19" s="247" t="s">
        <v>256</v>
      </c>
      <c r="B19" s="278">
        <f t="shared" si="2"/>
        <v>24</v>
      </c>
      <c r="C19" s="279">
        <f>IFERROR(VLOOKUP(A19,'스위트조이 피벗'!A:TK,2,FALSE),0)</f>
        <v>0</v>
      </c>
      <c r="D19" s="279">
        <f t="shared" si="0"/>
        <v>0</v>
      </c>
      <c r="E19" s="246" t="s">
        <v>279</v>
      </c>
      <c r="F19" s="299">
        <f t="shared" si="1"/>
        <v>0</v>
      </c>
      <c r="G19" s="320" t="s">
        <v>297</v>
      </c>
      <c r="H19" s="71"/>
      <c r="I19" s="71"/>
    </row>
    <row r="20" spans="1:9" ht="25.35" customHeight="1" x14ac:dyDescent="0.3">
      <c r="A20" s="247" t="s">
        <v>257</v>
      </c>
      <c r="B20" s="278">
        <f t="shared" si="2"/>
        <v>24</v>
      </c>
      <c r="C20" s="279">
        <f>IFERROR(VLOOKUP(A20,'스위트조이 피벗'!A:TK,2,FALSE),0)</f>
        <v>0</v>
      </c>
      <c r="D20" s="279">
        <f t="shared" si="0"/>
        <v>0</v>
      </c>
      <c r="E20" s="246" t="s">
        <v>306</v>
      </c>
      <c r="F20" s="299">
        <f t="shared" si="1"/>
        <v>0</v>
      </c>
      <c r="G20" s="320" t="s">
        <v>297</v>
      </c>
      <c r="H20" s="71"/>
      <c r="I20" s="71"/>
    </row>
    <row r="21" spans="1:9" ht="4.5" customHeight="1" x14ac:dyDescent="0.3">
      <c r="A21" s="353"/>
      <c r="B21" s="354"/>
      <c r="C21" s="354"/>
      <c r="D21" s="354"/>
      <c r="E21" s="354"/>
      <c r="F21" s="355"/>
      <c r="H21" s="71"/>
      <c r="I21" s="71"/>
    </row>
    <row r="22" spans="1:9" ht="32.450000000000003" customHeight="1" x14ac:dyDescent="0.3">
      <c r="A22" s="248" t="s">
        <v>122</v>
      </c>
      <c r="B22" s="288">
        <f>$B$4</f>
        <v>24</v>
      </c>
      <c r="C22" s="211">
        <f>SUM(C4:C20)</f>
        <v>0</v>
      </c>
      <c r="D22" s="55">
        <f>IFERROR(ROUNDDOWN(C22/B22,0),"")</f>
        <v>0</v>
      </c>
      <c r="E22" s="249"/>
      <c r="F22" s="213">
        <f>IFERROR(C22-(D22*B22),"")</f>
        <v>0</v>
      </c>
      <c r="H22" s="71"/>
      <c r="I22" s="71"/>
    </row>
    <row r="23" spans="1:9" ht="4.5" customHeight="1" x14ac:dyDescent="0.3">
      <c r="A23" s="250"/>
      <c r="B23" s="245"/>
      <c r="C23" s="245"/>
      <c r="D23" s="245"/>
      <c r="E23" s="245"/>
      <c r="F23" s="251"/>
      <c r="H23" s="71"/>
      <c r="I23" s="71"/>
    </row>
    <row r="24" spans="1:9" ht="25.35" customHeight="1" x14ac:dyDescent="0.3">
      <c r="A24" s="247" t="s">
        <v>239</v>
      </c>
      <c r="B24" s="278">
        <f t="shared" ref="B24:B28" si="3">$B$4</f>
        <v>24</v>
      </c>
      <c r="C24" s="279">
        <f>IFERROR(VLOOKUP(A24,'스위트조이 피벗'!A:TK,2,FALSE),0)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  <c r="G24" s="320" t="s">
        <v>310</v>
      </c>
      <c r="H24" s="71"/>
      <c r="I24" s="71"/>
    </row>
    <row r="25" spans="1:9" ht="25.35" customHeight="1" x14ac:dyDescent="0.3">
      <c r="A25" s="247" t="s">
        <v>240</v>
      </c>
      <c r="B25" s="278">
        <f t="shared" si="3"/>
        <v>24</v>
      </c>
      <c r="C25" s="279">
        <f>IFERROR(VLOOKUP(A25,'스위트조이 피벗'!A:TK,2,FALSE),0)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  <c r="G25" s="320" t="s">
        <v>297</v>
      </c>
      <c r="H25" s="71"/>
      <c r="I25" s="71"/>
    </row>
    <row r="26" spans="1:9" ht="25.35" customHeight="1" x14ac:dyDescent="0.3">
      <c r="A26" s="247" t="s">
        <v>241</v>
      </c>
      <c r="B26" s="278">
        <f t="shared" si="3"/>
        <v>24</v>
      </c>
      <c r="C26" s="279">
        <f>IFERROR(VLOOKUP(A26,'스위트조이 피벗'!A:TK,2,FALSE),0)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  <c r="G26" s="320" t="s">
        <v>297</v>
      </c>
      <c r="H26" s="71"/>
      <c r="I26" s="71"/>
    </row>
    <row r="27" spans="1:9" ht="25.35" customHeight="1" x14ac:dyDescent="0.3">
      <c r="A27" s="247" t="s">
        <v>242</v>
      </c>
      <c r="B27" s="278">
        <f t="shared" si="3"/>
        <v>24</v>
      </c>
      <c r="C27" s="279">
        <f>IFERROR(VLOOKUP(A27,'스위트조이 피벗'!A:TK,2,FALSE),0)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  <c r="G27" s="320" t="s">
        <v>297</v>
      </c>
      <c r="H27" s="71"/>
      <c r="I27" s="71"/>
    </row>
    <row r="28" spans="1:9" ht="25.35" customHeight="1" x14ac:dyDescent="0.3">
      <c r="A28" s="247" t="s">
        <v>243</v>
      </c>
      <c r="B28" s="278">
        <f t="shared" si="3"/>
        <v>24</v>
      </c>
      <c r="C28" s="279">
        <f>IFERROR(VLOOKUP(A28,'스위트조이 피벗'!A:TK,2,FALSE),0)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  <c r="G28" s="320" t="s">
        <v>310</v>
      </c>
      <c r="H28" s="71"/>
      <c r="I28" s="71"/>
    </row>
    <row r="29" spans="1:9" ht="4.5" customHeight="1" x14ac:dyDescent="0.3">
      <c r="A29" s="353"/>
      <c r="B29" s="354"/>
      <c r="C29" s="354"/>
      <c r="D29" s="354"/>
      <c r="E29" s="354"/>
      <c r="F29" s="355"/>
      <c r="H29" s="71"/>
      <c r="I29" s="71"/>
    </row>
    <row r="30" spans="1:9" ht="32.450000000000003" customHeight="1" x14ac:dyDescent="0.3">
      <c r="A30" s="248" t="s">
        <v>284</v>
      </c>
      <c r="B30" s="288">
        <f>$B$4</f>
        <v>24</v>
      </c>
      <c r="C30" s="211">
        <f>SUM(C24:C28)</f>
        <v>0</v>
      </c>
      <c r="D30" s="55">
        <f>IFERROR(ROUNDDOWN(C30/B30,0),"")</f>
        <v>0</v>
      </c>
      <c r="E30" s="249"/>
      <c r="F30" s="213">
        <f>IFERROR(C30-(D30*B30),"")</f>
        <v>0</v>
      </c>
      <c r="H30" s="71"/>
      <c r="I30" s="71"/>
    </row>
    <row r="31" spans="1:9" ht="4.5" customHeight="1" x14ac:dyDescent="0.3">
      <c r="A31" s="353"/>
      <c r="B31" s="354"/>
      <c r="C31" s="354"/>
      <c r="D31" s="354"/>
      <c r="E31" s="354"/>
      <c r="F31" s="355"/>
      <c r="H31" s="71"/>
      <c r="I31" s="71"/>
    </row>
    <row r="32" spans="1:9" ht="25.35" customHeight="1" x14ac:dyDescent="0.3">
      <c r="A32" s="247" t="s">
        <v>237</v>
      </c>
      <c r="B32" s="278">
        <f t="shared" ref="B32:B33" si="4">$B$4</f>
        <v>24</v>
      </c>
      <c r="C32" s="279">
        <f>IFERROR(VLOOKUP(A32,'스위트조이 피벗'!A:TK,2,FALSE),0)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  <c r="G32" s="320" t="s">
        <v>310</v>
      </c>
      <c r="H32" s="71"/>
      <c r="I32" s="71"/>
    </row>
    <row r="33" spans="1:9" ht="25.35" customHeight="1" x14ac:dyDescent="0.3">
      <c r="A33" s="247" t="s">
        <v>238</v>
      </c>
      <c r="B33" s="278">
        <f t="shared" si="4"/>
        <v>24</v>
      </c>
      <c r="C33" s="279">
        <f>IFERROR(VLOOKUP(A33,'스위트조이 피벗'!A:TK,2,FALSE),0)</f>
        <v>0</v>
      </c>
      <c r="D33" s="279">
        <f t="shared" si="5"/>
        <v>0</v>
      </c>
      <c r="E33" s="246" t="s">
        <v>265</v>
      </c>
      <c r="F33" s="299">
        <f t="shared" si="6"/>
        <v>0</v>
      </c>
      <c r="G33" s="320" t="s">
        <v>310</v>
      </c>
      <c r="H33" s="71"/>
      <c r="I33" s="71"/>
    </row>
    <row r="34" spans="1:9" ht="4.5" customHeight="1" x14ac:dyDescent="0.3">
      <c r="A34" s="353"/>
      <c r="B34" s="354"/>
      <c r="C34" s="354"/>
      <c r="D34" s="354"/>
      <c r="E34" s="354"/>
      <c r="F34" s="355"/>
      <c r="H34" s="71"/>
      <c r="I34" s="71"/>
    </row>
    <row r="35" spans="1:9" ht="32.450000000000003" customHeight="1" x14ac:dyDescent="0.3">
      <c r="A35" s="248" t="s">
        <v>283</v>
      </c>
      <c r="B35" s="288">
        <f>$B$4</f>
        <v>24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  <c r="H35" s="71"/>
      <c r="I35" s="71"/>
    </row>
    <row r="36" spans="1:9" ht="4.5" customHeight="1" x14ac:dyDescent="0.3">
      <c r="A36" s="250"/>
      <c r="B36" s="245"/>
      <c r="C36" s="245"/>
      <c r="D36" s="245"/>
      <c r="E36" s="245"/>
      <c r="F36" s="251"/>
      <c r="H36" s="71"/>
      <c r="I36" s="71"/>
    </row>
    <row r="37" spans="1:9" ht="25.35" customHeight="1" x14ac:dyDescent="0.3">
      <c r="A37" s="247" t="s">
        <v>234</v>
      </c>
      <c r="B37" s="278">
        <f t="shared" ref="B37:B39" si="7">$B$4</f>
        <v>24</v>
      </c>
      <c r="C37" s="279">
        <f>IFERROR(VLOOKUP(A37,'스위트조이 피벗'!A:TK,2,FALSE),0)</f>
        <v>0</v>
      </c>
      <c r="D37" s="279">
        <f>IFERROR(ROUNDDOWN(C37/B37,0),"")</f>
        <v>0</v>
      </c>
      <c r="E37" s="246" t="s">
        <v>261</v>
      </c>
      <c r="F37" s="299">
        <f>IFERROR(C37-(D37*B37),"")</f>
        <v>0</v>
      </c>
      <c r="G37" s="320" t="s">
        <v>310</v>
      </c>
      <c r="H37" s="71"/>
      <c r="I37" s="71"/>
    </row>
    <row r="38" spans="1:9" ht="25.35" customHeight="1" x14ac:dyDescent="0.3">
      <c r="A38" s="247" t="s">
        <v>235</v>
      </c>
      <c r="B38" s="278">
        <f t="shared" si="7"/>
        <v>24</v>
      </c>
      <c r="C38" s="279">
        <f>IFERROR(VLOOKUP(A38,'스위트조이 피벗'!A:TK,2,FALSE),0)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  <c r="G38" s="320" t="s">
        <v>297</v>
      </c>
      <c r="H38" s="71"/>
      <c r="I38" s="71"/>
    </row>
    <row r="39" spans="1:9" ht="25.35" customHeight="1" x14ac:dyDescent="0.3">
      <c r="A39" s="247" t="s">
        <v>236</v>
      </c>
      <c r="B39" s="278">
        <f t="shared" si="7"/>
        <v>24</v>
      </c>
      <c r="C39" s="279">
        <f>IFERROR(VLOOKUP(A39,'스위트조이 피벗'!A:TK,2,FALSE),0)</f>
        <v>0</v>
      </c>
      <c r="D39" s="279">
        <f t="shared" si="8"/>
        <v>0</v>
      </c>
      <c r="E39" s="246" t="s">
        <v>263</v>
      </c>
      <c r="F39" s="299">
        <f t="shared" si="9"/>
        <v>0</v>
      </c>
      <c r="G39" s="320" t="s">
        <v>297</v>
      </c>
      <c r="H39" s="71"/>
      <c r="I39" s="71"/>
    </row>
    <row r="40" spans="1:9" ht="4.5" customHeight="1" x14ac:dyDescent="0.3">
      <c r="A40" s="347"/>
      <c r="B40" s="348"/>
      <c r="C40" s="348"/>
      <c r="D40" s="348"/>
      <c r="E40" s="348"/>
      <c r="F40" s="349"/>
      <c r="H40" s="71"/>
      <c r="I40" s="71"/>
    </row>
    <row r="41" spans="1:9" ht="32.450000000000003" customHeight="1" x14ac:dyDescent="0.3">
      <c r="A41" s="210" t="s">
        <v>282</v>
      </c>
      <c r="B41" s="288">
        <f>$B$4</f>
        <v>24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  <c r="H41" s="71"/>
      <c r="I41" s="71"/>
    </row>
    <row r="42" spans="1:9" ht="4.5" customHeight="1" x14ac:dyDescent="0.3">
      <c r="A42" s="179"/>
      <c r="B42" s="50"/>
      <c r="C42" s="50"/>
      <c r="D42" s="50"/>
      <c r="E42" s="50"/>
      <c r="F42" s="180"/>
      <c r="H42" s="71"/>
      <c r="I42" s="71"/>
    </row>
    <row r="43" spans="1:9" ht="26.25" x14ac:dyDescent="0.3">
      <c r="A43" s="85" t="s">
        <v>3</v>
      </c>
      <c r="B43" s="295">
        <f>$B$4</f>
        <v>24</v>
      </c>
      <c r="C43" s="55">
        <f>SUM(C4:C20,C37:C39,C32:C33,C24:C28)</f>
        <v>0</v>
      </c>
      <c r="D43" s="54">
        <f>IFERROR(ROUNDDOWN(C43/B43,0),"")</f>
        <v>0</v>
      </c>
      <c r="E43" s="56"/>
      <c r="F43" s="119">
        <f>IFERROR(C43-(D43*B43),"")</f>
        <v>0</v>
      </c>
      <c r="H43" s="71"/>
      <c r="I43" s="71"/>
    </row>
    <row r="44" spans="1:9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0</v>
      </c>
      <c r="E44" s="48"/>
      <c r="F44" s="91">
        <f>SUM(F4:F20,F37:F39,F32:F33,F24:F28)</f>
        <v>0</v>
      </c>
    </row>
    <row r="45" spans="1:9" ht="22.5" customHeight="1" x14ac:dyDescent="0.3">
      <c r="C45" s="75">
        <f>C22+C30+C35+C41</f>
        <v>0</v>
      </c>
    </row>
    <row r="46" spans="1:9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94B7-3A97-4248-A020-16EC9E693187}">
  <sheetPr>
    <tabColor rgb="FFFFFF00"/>
    <pageSetUpPr fitToPage="1"/>
  </sheetPr>
  <dimension ref="A1:I46"/>
  <sheetViews>
    <sheetView zoomScale="50" zoomScaleNormal="50" zoomScaleSheetLayoutView="75" workbookViewId="0">
      <selection activeCell="B43" sqref="B43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350"/>
      <c r="B1" s="350"/>
      <c r="C1" s="350"/>
      <c r="D1" s="350"/>
      <c r="E1" s="350"/>
      <c r="F1" s="350"/>
    </row>
    <row r="2" spans="1:9" ht="25.9" customHeight="1" x14ac:dyDescent="0.3">
      <c r="A2" s="214">
        <f ca="1">TODAY()</f>
        <v>46314</v>
      </c>
      <c r="B2" s="351" t="s">
        <v>299</v>
      </c>
      <c r="C2" s="351"/>
      <c r="D2" s="351"/>
      <c r="E2" s="351"/>
      <c r="F2" s="352"/>
    </row>
    <row r="3" spans="1:9" ht="40.5" customHeight="1" x14ac:dyDescent="0.3">
      <c r="A3" s="216" t="str">
        <f>'스위트조이 피벗'!A2</f>
        <v>10/20 납품</v>
      </c>
      <c r="B3" s="205" t="s">
        <v>13</v>
      </c>
      <c r="C3" s="215" t="s">
        <v>289</v>
      </c>
      <c r="D3" s="206" t="s">
        <v>2</v>
      </c>
      <c r="E3" s="205" t="s">
        <v>23</v>
      </c>
      <c r="F3" s="207" t="s">
        <v>14</v>
      </c>
    </row>
    <row r="4" spans="1:9" ht="25.35" customHeight="1" x14ac:dyDescent="0.3">
      <c r="A4" s="244" t="s">
        <v>258</v>
      </c>
      <c r="B4" s="278">
        <v>12</v>
      </c>
      <c r="C4" s="279">
        <f>IFERROR(VLOOKUP(A4,'스위트조이 피벗'!A:TK,3,FALSE),0)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  <c r="H4" s="71"/>
      <c r="I4" s="71"/>
    </row>
    <row r="5" spans="1:9" ht="25.35" customHeight="1" x14ac:dyDescent="0.3">
      <c r="A5" s="244" t="s">
        <v>259</v>
      </c>
      <c r="B5" s="278">
        <f>$B$4</f>
        <v>12</v>
      </c>
      <c r="C5" s="279">
        <f>IFERROR(VLOOKUP(A5,'스위트조이 피벗'!A:TK,3,FALSE),0)</f>
        <v>0</v>
      </c>
      <c r="D5" s="279">
        <f t="shared" si="0"/>
        <v>0</v>
      </c>
      <c r="E5" s="246" t="s">
        <v>280</v>
      </c>
      <c r="F5" s="299">
        <f t="shared" si="1"/>
        <v>0</v>
      </c>
      <c r="H5" s="71"/>
      <c r="I5" s="71"/>
    </row>
    <row r="6" spans="1:9" ht="25.35" customHeight="1" x14ac:dyDescent="0.3">
      <c r="A6" s="247" t="s">
        <v>260</v>
      </c>
      <c r="B6" s="278">
        <f t="shared" ref="B6:B20" si="2">$B$4</f>
        <v>12</v>
      </c>
      <c r="C6" s="279">
        <f>IFERROR(VLOOKUP(A6,'스위트조이 피벗'!A:TK,3,FALSE),0)</f>
        <v>48</v>
      </c>
      <c r="D6" s="279">
        <f t="shared" si="0"/>
        <v>4</v>
      </c>
      <c r="E6" s="246" t="s">
        <v>281</v>
      </c>
      <c r="F6" s="299">
        <f t="shared" si="1"/>
        <v>0</v>
      </c>
      <c r="H6" s="71"/>
      <c r="I6" s="71"/>
    </row>
    <row r="7" spans="1:9" ht="25.35" customHeight="1" x14ac:dyDescent="0.3">
      <c r="A7" s="247" t="s">
        <v>244</v>
      </c>
      <c r="B7" s="278">
        <f t="shared" si="2"/>
        <v>12</v>
      </c>
      <c r="C7" s="279">
        <f>IFERROR(VLOOKUP(A7,'스위트조이 피벗'!A:TK,3,FALSE),0)</f>
        <v>60</v>
      </c>
      <c r="D7" s="279">
        <f t="shared" si="0"/>
        <v>5</v>
      </c>
      <c r="E7" s="246" t="s">
        <v>269</v>
      </c>
      <c r="F7" s="299">
        <f t="shared" si="1"/>
        <v>0</v>
      </c>
      <c r="H7" s="71"/>
      <c r="I7" s="71"/>
    </row>
    <row r="8" spans="1:9" ht="25.35" customHeight="1" x14ac:dyDescent="0.3">
      <c r="A8" s="247" t="s">
        <v>245</v>
      </c>
      <c r="B8" s="278">
        <f t="shared" si="2"/>
        <v>12</v>
      </c>
      <c r="C8" s="279">
        <f>IFERROR(VLOOKUP(A8,'스위트조이 피벗'!A:TK,3,FALSE),0)</f>
        <v>12</v>
      </c>
      <c r="D8" s="279">
        <f t="shared" si="0"/>
        <v>1</v>
      </c>
      <c r="E8" s="246" t="s">
        <v>307</v>
      </c>
      <c r="F8" s="299">
        <f t="shared" si="1"/>
        <v>0</v>
      </c>
      <c r="H8" s="71"/>
      <c r="I8" s="71"/>
    </row>
    <row r="9" spans="1:9" ht="25.35" customHeight="1" x14ac:dyDescent="0.3">
      <c r="A9" s="247" t="s">
        <v>246</v>
      </c>
      <c r="B9" s="278">
        <f t="shared" si="2"/>
        <v>12</v>
      </c>
      <c r="C9" s="279">
        <f>IFERROR(VLOOKUP(A9,'스위트조이 피벗'!A:TK,3,FALSE),0)</f>
        <v>24</v>
      </c>
      <c r="D9" s="279">
        <f t="shared" si="0"/>
        <v>2</v>
      </c>
      <c r="E9" s="246" t="s">
        <v>270</v>
      </c>
      <c r="F9" s="299">
        <f t="shared" si="1"/>
        <v>0</v>
      </c>
      <c r="H9" s="71"/>
      <c r="I9" s="71"/>
    </row>
    <row r="10" spans="1:9" ht="25.35" customHeight="1" x14ac:dyDescent="0.3">
      <c r="A10" s="247" t="s">
        <v>247</v>
      </c>
      <c r="B10" s="278">
        <f t="shared" si="2"/>
        <v>12</v>
      </c>
      <c r="C10" s="279">
        <f>IFERROR(VLOOKUP(A10,'스위트조이 피벗'!A:TK,3,FALSE),0)</f>
        <v>72</v>
      </c>
      <c r="D10" s="279">
        <f t="shared" si="0"/>
        <v>6</v>
      </c>
      <c r="E10" s="246" t="s">
        <v>271</v>
      </c>
      <c r="F10" s="299">
        <f t="shared" si="1"/>
        <v>0</v>
      </c>
      <c r="H10" s="71"/>
      <c r="I10" s="71"/>
    </row>
    <row r="11" spans="1:9" ht="25.35" customHeight="1" x14ac:dyDescent="0.3">
      <c r="A11" s="247" t="s">
        <v>248</v>
      </c>
      <c r="B11" s="278">
        <f t="shared" si="2"/>
        <v>12</v>
      </c>
      <c r="C11" s="279">
        <f>IFERROR(VLOOKUP(A11,'스위트조이 피벗'!A:TK,3,FALSE),0)</f>
        <v>72</v>
      </c>
      <c r="D11" s="279">
        <f t="shared" si="0"/>
        <v>6</v>
      </c>
      <c r="E11" s="246" t="s">
        <v>272</v>
      </c>
      <c r="F11" s="299">
        <f t="shared" si="1"/>
        <v>0</v>
      </c>
      <c r="H11" s="71"/>
      <c r="I11" s="71"/>
    </row>
    <row r="12" spans="1:9" ht="25.35" customHeight="1" x14ac:dyDescent="0.3">
      <c r="A12" s="247" t="s">
        <v>249</v>
      </c>
      <c r="B12" s="278">
        <f t="shared" si="2"/>
        <v>12</v>
      </c>
      <c r="C12" s="279">
        <f>IFERROR(VLOOKUP(A12,'스위트조이 피벗'!A:TK,3,FALSE),0)</f>
        <v>0</v>
      </c>
      <c r="D12" s="279">
        <f t="shared" si="0"/>
        <v>0</v>
      </c>
      <c r="E12" s="246" t="s">
        <v>273</v>
      </c>
      <c r="F12" s="299">
        <f t="shared" si="1"/>
        <v>0</v>
      </c>
      <c r="H12" s="71"/>
      <c r="I12" s="71"/>
    </row>
    <row r="13" spans="1:9" ht="25.35" customHeight="1" x14ac:dyDescent="0.3">
      <c r="A13" s="244" t="s">
        <v>250</v>
      </c>
      <c r="B13" s="278">
        <f t="shared" si="2"/>
        <v>12</v>
      </c>
      <c r="C13" s="279">
        <f>IFERROR(VLOOKUP(A13,'스위트조이 피벗'!A:TK,3,FALSE),0)</f>
        <v>0</v>
      </c>
      <c r="D13" s="279">
        <f t="shared" si="0"/>
        <v>0</v>
      </c>
      <c r="E13" s="246" t="s">
        <v>274</v>
      </c>
      <c r="F13" s="299">
        <f t="shared" si="1"/>
        <v>0</v>
      </c>
      <c r="H13" s="71"/>
      <c r="I13" s="71"/>
    </row>
    <row r="14" spans="1:9" ht="25.35" customHeight="1" x14ac:dyDescent="0.3">
      <c r="A14" s="247" t="s">
        <v>251</v>
      </c>
      <c r="B14" s="278">
        <f t="shared" si="2"/>
        <v>12</v>
      </c>
      <c r="C14" s="279">
        <f>IFERROR(VLOOKUP(A14,'스위트조이 피벗'!A:TK,3,FALSE),0)</f>
        <v>12</v>
      </c>
      <c r="D14" s="279">
        <f t="shared" si="0"/>
        <v>1</v>
      </c>
      <c r="E14" s="246" t="s">
        <v>275</v>
      </c>
      <c r="F14" s="299">
        <f t="shared" si="1"/>
        <v>0</v>
      </c>
      <c r="H14" s="71"/>
      <c r="I14" s="71"/>
    </row>
    <row r="15" spans="1:9" ht="25.35" customHeight="1" x14ac:dyDescent="0.3">
      <c r="A15" s="247" t="s">
        <v>252</v>
      </c>
      <c r="B15" s="278">
        <f t="shared" si="2"/>
        <v>12</v>
      </c>
      <c r="C15" s="279">
        <f>IFERROR(VLOOKUP(A15,'스위트조이 피벗'!A:TK,3,FALSE),0)</f>
        <v>108</v>
      </c>
      <c r="D15" s="279">
        <f t="shared" si="0"/>
        <v>9</v>
      </c>
      <c r="E15" s="246" t="s">
        <v>276</v>
      </c>
      <c r="F15" s="299">
        <f t="shared" si="1"/>
        <v>0</v>
      </c>
      <c r="H15" s="71"/>
      <c r="I15" s="71"/>
    </row>
    <row r="16" spans="1:9" ht="25.35" customHeight="1" x14ac:dyDescent="0.3">
      <c r="A16" s="247" t="s">
        <v>253</v>
      </c>
      <c r="B16" s="278">
        <f t="shared" si="2"/>
        <v>12</v>
      </c>
      <c r="C16" s="279">
        <f>IFERROR(VLOOKUP(A16,'스위트조이 피벗'!A:TK,3,FALSE),0)</f>
        <v>0</v>
      </c>
      <c r="D16" s="279">
        <f t="shared" si="0"/>
        <v>0</v>
      </c>
      <c r="E16" s="246" t="s">
        <v>305</v>
      </c>
      <c r="F16" s="299">
        <f t="shared" si="1"/>
        <v>0</v>
      </c>
      <c r="H16" s="71"/>
      <c r="I16" s="71"/>
    </row>
    <row r="17" spans="1:9" ht="25.35" customHeight="1" x14ac:dyDescent="0.3">
      <c r="A17" s="247" t="s">
        <v>254</v>
      </c>
      <c r="B17" s="278">
        <f t="shared" si="2"/>
        <v>12</v>
      </c>
      <c r="C17" s="279">
        <f>IFERROR(VLOOKUP(A17,'스위트조이 피벗'!A:TK,3,FALSE),0)</f>
        <v>0</v>
      </c>
      <c r="D17" s="279">
        <f t="shared" si="0"/>
        <v>0</v>
      </c>
      <c r="E17" s="246" t="s">
        <v>277</v>
      </c>
      <c r="F17" s="299">
        <f t="shared" si="1"/>
        <v>0</v>
      </c>
      <c r="H17" s="71"/>
      <c r="I17" s="71"/>
    </row>
    <row r="18" spans="1:9" ht="25.35" customHeight="1" x14ac:dyDescent="0.3">
      <c r="A18" s="247" t="s">
        <v>255</v>
      </c>
      <c r="B18" s="278">
        <f t="shared" si="2"/>
        <v>12</v>
      </c>
      <c r="C18" s="279">
        <f>IFERROR(VLOOKUP(A18,'스위트조이 피벗'!A:TK,3,FALSE),0)</f>
        <v>72</v>
      </c>
      <c r="D18" s="279">
        <f t="shared" si="0"/>
        <v>6</v>
      </c>
      <c r="E18" s="246" t="s">
        <v>278</v>
      </c>
      <c r="F18" s="299">
        <f t="shared" si="1"/>
        <v>0</v>
      </c>
      <c r="H18" s="71"/>
      <c r="I18" s="71"/>
    </row>
    <row r="19" spans="1:9" ht="25.35" customHeight="1" x14ac:dyDescent="0.3">
      <c r="A19" s="247" t="s">
        <v>256</v>
      </c>
      <c r="B19" s="278">
        <f t="shared" si="2"/>
        <v>12</v>
      </c>
      <c r="C19" s="279">
        <f>IFERROR(VLOOKUP(A19,'스위트조이 피벗'!A:TK,3,FALSE),0)</f>
        <v>0</v>
      </c>
      <c r="D19" s="279">
        <f t="shared" si="0"/>
        <v>0</v>
      </c>
      <c r="E19" s="246" t="s">
        <v>279</v>
      </c>
      <c r="F19" s="299">
        <f t="shared" si="1"/>
        <v>0</v>
      </c>
      <c r="H19" s="71"/>
      <c r="I19" s="71"/>
    </row>
    <row r="20" spans="1:9" ht="25.35" customHeight="1" x14ac:dyDescent="0.3">
      <c r="A20" s="247" t="s">
        <v>257</v>
      </c>
      <c r="B20" s="278">
        <f t="shared" si="2"/>
        <v>12</v>
      </c>
      <c r="C20" s="279">
        <f>IFERROR(VLOOKUP(A20,'스위트조이 피벗'!A:TK,3,FALSE),0)</f>
        <v>0</v>
      </c>
      <c r="D20" s="279">
        <f t="shared" si="0"/>
        <v>0</v>
      </c>
      <c r="E20" s="246" t="s">
        <v>306</v>
      </c>
      <c r="F20" s="299">
        <f t="shared" si="1"/>
        <v>0</v>
      </c>
      <c r="H20" s="71"/>
      <c r="I20" s="71"/>
    </row>
    <row r="21" spans="1:9" ht="4.5" customHeight="1" x14ac:dyDescent="0.3">
      <c r="A21" s="353"/>
      <c r="B21" s="354"/>
      <c r="C21" s="354"/>
      <c r="D21" s="354"/>
      <c r="E21" s="354"/>
      <c r="F21" s="355"/>
      <c r="H21" s="71"/>
      <c r="I21" s="71"/>
    </row>
    <row r="22" spans="1:9" ht="32.450000000000003" customHeight="1" x14ac:dyDescent="0.3">
      <c r="A22" s="248" t="s">
        <v>122</v>
      </c>
      <c r="B22" s="288">
        <f>$B$4</f>
        <v>12</v>
      </c>
      <c r="C22" s="211">
        <f>SUM(C4:C20)</f>
        <v>480</v>
      </c>
      <c r="D22" s="55">
        <f>IFERROR(ROUNDDOWN(C22/B22,0),"")</f>
        <v>40</v>
      </c>
      <c r="E22" s="249"/>
      <c r="F22" s="213">
        <f>IFERROR(C22-(D22*B22),"")</f>
        <v>0</v>
      </c>
      <c r="H22" s="71"/>
      <c r="I22" s="71"/>
    </row>
    <row r="23" spans="1:9" ht="4.5" customHeight="1" x14ac:dyDescent="0.3">
      <c r="A23" s="250"/>
      <c r="B23" s="245"/>
      <c r="C23" s="245"/>
      <c r="D23" s="245"/>
      <c r="E23" s="245"/>
      <c r="F23" s="251"/>
      <c r="H23" s="71"/>
      <c r="I23" s="71"/>
    </row>
    <row r="24" spans="1:9" ht="25.35" customHeight="1" x14ac:dyDescent="0.3">
      <c r="A24" s="247" t="s">
        <v>239</v>
      </c>
      <c r="B24" s="278">
        <f t="shared" ref="B24:B28" si="3">$B$4</f>
        <v>12</v>
      </c>
      <c r="C24" s="279">
        <f>IFERROR(VLOOKUP(A24,'스위트조이 피벗'!A:TK,3,FALSE),0)</f>
        <v>24</v>
      </c>
      <c r="D24" s="279">
        <f>IFERROR(ROUNDDOWN(C24/B24,0),"")</f>
        <v>2</v>
      </c>
      <c r="E24" s="246" t="s">
        <v>266</v>
      </c>
      <c r="F24" s="299">
        <f>IFERROR(C24-(D24*B24),"")</f>
        <v>0</v>
      </c>
      <c r="H24" s="71"/>
      <c r="I24" s="71"/>
    </row>
    <row r="25" spans="1:9" ht="25.35" customHeight="1" x14ac:dyDescent="0.3">
      <c r="A25" s="247" t="s">
        <v>240</v>
      </c>
      <c r="B25" s="278">
        <f t="shared" si="3"/>
        <v>12</v>
      </c>
      <c r="C25" s="279">
        <f>IFERROR(VLOOKUP(A25,'스위트조이 피벗'!A:TK,3,FALSE),0)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  <c r="H25" s="71"/>
      <c r="I25" s="71"/>
    </row>
    <row r="26" spans="1:9" ht="25.35" customHeight="1" x14ac:dyDescent="0.3">
      <c r="A26" s="247" t="s">
        <v>241</v>
      </c>
      <c r="B26" s="278">
        <f t="shared" si="3"/>
        <v>12</v>
      </c>
      <c r="C26" s="279">
        <f>IFERROR(VLOOKUP(A26,'스위트조이 피벗'!A:TK,3,FALSE),0)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  <c r="H26" s="71"/>
      <c r="I26" s="71"/>
    </row>
    <row r="27" spans="1:9" ht="25.35" customHeight="1" x14ac:dyDescent="0.3">
      <c r="A27" s="247" t="s">
        <v>242</v>
      </c>
      <c r="B27" s="278">
        <f t="shared" si="3"/>
        <v>12</v>
      </c>
      <c r="C27" s="279">
        <f>IFERROR(VLOOKUP(A27,'스위트조이 피벗'!A:TK,3,FALSE),0)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  <c r="H27" s="71"/>
      <c r="I27" s="71"/>
    </row>
    <row r="28" spans="1:9" ht="25.35" customHeight="1" x14ac:dyDescent="0.3">
      <c r="A28" s="247" t="s">
        <v>243</v>
      </c>
      <c r="B28" s="278">
        <f t="shared" si="3"/>
        <v>12</v>
      </c>
      <c r="C28" s="279">
        <f>IFERROR(VLOOKUP(A28,'스위트조이 피벗'!A:TK,3,FALSE),0)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  <c r="H28" s="71"/>
      <c r="I28" s="71"/>
    </row>
    <row r="29" spans="1:9" ht="4.5" customHeight="1" x14ac:dyDescent="0.3">
      <c r="A29" s="353"/>
      <c r="B29" s="354"/>
      <c r="C29" s="354"/>
      <c r="D29" s="354"/>
      <c r="E29" s="354"/>
      <c r="F29" s="355"/>
      <c r="H29" s="71"/>
      <c r="I29" s="71"/>
    </row>
    <row r="30" spans="1:9" ht="32.450000000000003" customHeight="1" x14ac:dyDescent="0.3">
      <c r="A30" s="248" t="s">
        <v>284</v>
      </c>
      <c r="B30" s="288">
        <f>$B$4</f>
        <v>12</v>
      </c>
      <c r="C30" s="211">
        <f>SUM(C24:C28)</f>
        <v>24</v>
      </c>
      <c r="D30" s="55">
        <f>IFERROR(ROUNDDOWN(C30/B30,0),"")</f>
        <v>2</v>
      </c>
      <c r="E30" s="249"/>
      <c r="F30" s="213">
        <f>IFERROR(C30-(D30*B30),"")</f>
        <v>0</v>
      </c>
      <c r="H30" s="71"/>
      <c r="I30" s="71"/>
    </row>
    <row r="31" spans="1:9" ht="4.5" customHeight="1" x14ac:dyDescent="0.3">
      <c r="A31" s="353"/>
      <c r="B31" s="354"/>
      <c r="C31" s="354"/>
      <c r="D31" s="354"/>
      <c r="E31" s="354"/>
      <c r="F31" s="355"/>
      <c r="H31" s="71"/>
      <c r="I31" s="71"/>
    </row>
    <row r="32" spans="1:9" ht="25.35" customHeight="1" x14ac:dyDescent="0.3">
      <c r="A32" s="247" t="s">
        <v>237</v>
      </c>
      <c r="B32" s="278">
        <f t="shared" ref="B32:B33" si="4">$B$4</f>
        <v>12</v>
      </c>
      <c r="C32" s="279">
        <f>IFERROR(VLOOKUP(A32,'스위트조이 피벗'!A:TK,3,FALSE),0)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  <c r="H32" s="71"/>
      <c r="I32" s="71"/>
    </row>
    <row r="33" spans="1:9" ht="25.35" customHeight="1" x14ac:dyDescent="0.3">
      <c r="A33" s="247" t="s">
        <v>238</v>
      </c>
      <c r="B33" s="278">
        <f t="shared" si="4"/>
        <v>12</v>
      </c>
      <c r="C33" s="279">
        <f>IFERROR(VLOOKUP(A33,'스위트조이 피벗'!A:TK,3,FALSE),0)</f>
        <v>144</v>
      </c>
      <c r="D33" s="279">
        <f t="shared" si="5"/>
        <v>12</v>
      </c>
      <c r="E33" s="246" t="s">
        <v>265</v>
      </c>
      <c r="F33" s="299">
        <f t="shared" si="6"/>
        <v>0</v>
      </c>
      <c r="H33" s="71"/>
      <c r="I33" s="71"/>
    </row>
    <row r="34" spans="1:9" ht="4.5" customHeight="1" x14ac:dyDescent="0.3">
      <c r="A34" s="353"/>
      <c r="B34" s="354"/>
      <c r="C34" s="354"/>
      <c r="D34" s="354"/>
      <c r="E34" s="354"/>
      <c r="F34" s="355"/>
      <c r="H34" s="71"/>
      <c r="I34" s="71"/>
    </row>
    <row r="35" spans="1:9" ht="32.450000000000003" customHeight="1" x14ac:dyDescent="0.3">
      <c r="A35" s="248" t="s">
        <v>283</v>
      </c>
      <c r="B35" s="288">
        <f>$B$4</f>
        <v>12</v>
      </c>
      <c r="C35" s="211">
        <f>SUM(C32:C33)</f>
        <v>144</v>
      </c>
      <c r="D35" s="55">
        <f>IFERROR(ROUNDDOWN(C35/B35,0),"")</f>
        <v>12</v>
      </c>
      <c r="E35" s="249"/>
      <c r="F35" s="213">
        <f>IFERROR(C35-(D35*B35),"")</f>
        <v>0</v>
      </c>
      <c r="H35" s="71"/>
      <c r="I35" s="71"/>
    </row>
    <row r="36" spans="1:9" ht="4.5" customHeight="1" x14ac:dyDescent="0.3">
      <c r="A36" s="250"/>
      <c r="B36" s="245"/>
      <c r="C36" s="245"/>
      <c r="D36" s="245"/>
      <c r="E36" s="245"/>
      <c r="F36" s="251"/>
      <c r="H36" s="71"/>
      <c r="I36" s="71"/>
    </row>
    <row r="37" spans="1:9" ht="25.35" customHeight="1" x14ac:dyDescent="0.3">
      <c r="A37" s="247" t="s">
        <v>234</v>
      </c>
      <c r="B37" s="278">
        <f t="shared" ref="B37:B39" si="7">$B$4</f>
        <v>12</v>
      </c>
      <c r="C37" s="279">
        <f>IFERROR(VLOOKUP(A37,'스위트조이 피벗'!A:TK,3,FALSE),0)</f>
        <v>84</v>
      </c>
      <c r="D37" s="279">
        <f>IFERROR(ROUNDDOWN(C37/B37,0),"")</f>
        <v>7</v>
      </c>
      <c r="E37" s="246" t="s">
        <v>261</v>
      </c>
      <c r="F37" s="299">
        <f>IFERROR(C37-(D37*B37),"")</f>
        <v>0</v>
      </c>
      <c r="H37" s="71"/>
      <c r="I37" s="71"/>
    </row>
    <row r="38" spans="1:9" ht="25.35" customHeight="1" x14ac:dyDescent="0.3">
      <c r="A38" s="247" t="s">
        <v>235</v>
      </c>
      <c r="B38" s="278">
        <f t="shared" si="7"/>
        <v>12</v>
      </c>
      <c r="C38" s="279">
        <f>IFERROR(VLOOKUP(A38,'스위트조이 피벗'!A:TK,3,FALSE),0)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  <c r="H38" s="71"/>
      <c r="I38" s="71"/>
    </row>
    <row r="39" spans="1:9" ht="25.35" customHeight="1" x14ac:dyDescent="0.3">
      <c r="A39" s="247" t="s">
        <v>236</v>
      </c>
      <c r="B39" s="278">
        <f t="shared" si="7"/>
        <v>12</v>
      </c>
      <c r="C39" s="279">
        <f>IFERROR(VLOOKUP(A39,'스위트조이 피벗'!A:TK,3,FALSE),0)</f>
        <v>0</v>
      </c>
      <c r="D39" s="279">
        <f t="shared" si="8"/>
        <v>0</v>
      </c>
      <c r="E39" s="246" t="s">
        <v>263</v>
      </c>
      <c r="F39" s="299">
        <f t="shared" si="9"/>
        <v>0</v>
      </c>
      <c r="H39" s="71"/>
      <c r="I39" s="71"/>
    </row>
    <row r="40" spans="1:9" ht="4.5" customHeight="1" x14ac:dyDescent="0.3">
      <c r="A40" s="347"/>
      <c r="B40" s="348"/>
      <c r="C40" s="348"/>
      <c r="D40" s="348"/>
      <c r="E40" s="348"/>
      <c r="F40" s="349"/>
      <c r="H40" s="71"/>
      <c r="I40" s="71"/>
    </row>
    <row r="41" spans="1:9" ht="32.450000000000003" customHeight="1" x14ac:dyDescent="0.3">
      <c r="A41" s="210" t="s">
        <v>282</v>
      </c>
      <c r="B41" s="288">
        <f>$B$4</f>
        <v>12</v>
      </c>
      <c r="C41" s="211">
        <f>SUM(C37:C39)</f>
        <v>84</v>
      </c>
      <c r="D41" s="55">
        <f>IFERROR(ROUNDDOWN(C41/B41,0),"")</f>
        <v>7</v>
      </c>
      <c r="E41" s="212"/>
      <c r="F41" s="213">
        <f>IFERROR(C41-(D41*B41),"")</f>
        <v>0</v>
      </c>
      <c r="H41" s="71"/>
      <c r="I41" s="71"/>
    </row>
    <row r="42" spans="1:9" ht="4.5" customHeight="1" x14ac:dyDescent="0.3">
      <c r="A42" s="179"/>
      <c r="B42" s="50"/>
      <c r="C42" s="50"/>
      <c r="D42" s="50"/>
      <c r="E42" s="50"/>
      <c r="F42" s="180"/>
      <c r="H42" s="71"/>
      <c r="I42" s="71"/>
    </row>
    <row r="43" spans="1:9" ht="26.25" x14ac:dyDescent="0.3">
      <c r="A43" s="85" t="s">
        <v>3</v>
      </c>
      <c r="B43" s="295">
        <f>$B$4</f>
        <v>12</v>
      </c>
      <c r="C43" s="55">
        <f>SUM(C4:C20,C37:C39,C32:C33,C24:C28)</f>
        <v>732</v>
      </c>
      <c r="D43" s="54">
        <f>IFERROR(ROUNDDOWN(C43/B43,0),"")</f>
        <v>61</v>
      </c>
      <c r="E43" s="56"/>
      <c r="F43" s="119">
        <f>IFERROR(C43-(D43*B43),"")</f>
        <v>0</v>
      </c>
      <c r="H43" s="71"/>
      <c r="I43" s="71"/>
    </row>
    <row r="44" spans="1:9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61</v>
      </c>
      <c r="E44" s="48"/>
      <c r="F44" s="91">
        <f>SUM(F4:F20,F37:F39,F32:F33,F24:F28)</f>
        <v>0</v>
      </c>
    </row>
    <row r="45" spans="1:9" ht="22.5" customHeight="1" x14ac:dyDescent="0.3">
      <c r="C45" s="75">
        <f>C22+C30+C35+C41</f>
        <v>732</v>
      </c>
    </row>
    <row r="46" spans="1:9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B039-120E-4AB5-AFE4-37EC0D376FFA}">
  <sheetPr>
    <tabColor rgb="FFFFFF00"/>
    <pageSetUpPr fitToPage="1"/>
  </sheetPr>
  <dimension ref="A1:F46"/>
  <sheetViews>
    <sheetView zoomScale="50" zoomScaleNormal="50" zoomScaleSheetLayoutView="75" workbookViewId="0">
      <selection activeCell="B43" sqref="B43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9" t="s">
        <v>299</v>
      </c>
      <c r="C2" s="360"/>
      <c r="D2" s="360"/>
      <c r="E2" s="360"/>
      <c r="F2" s="361"/>
    </row>
    <row r="3" spans="1:6" ht="40.5" customHeight="1" x14ac:dyDescent="0.3">
      <c r="A3" s="216" t="str">
        <f>'스위트조이 피벗'!A2</f>
        <v>10/20 납품</v>
      </c>
      <c r="B3" s="205" t="s">
        <v>13</v>
      </c>
      <c r="C3" s="215" t="s">
        <v>290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12</v>
      </c>
      <c r="C4" s="279">
        <f>IFERROR(VLOOKUP(A4,'스위트조이 피벗'!A:TK,4,FALSE),0)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12</v>
      </c>
      <c r="C5" s="279">
        <f>IFERROR(VLOOKUP(A5,'스위트조이 피벗'!A:TK,4,FALSE),0)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12</v>
      </c>
      <c r="C6" s="279">
        <f>IFERROR(VLOOKUP(A6,'스위트조이 피벗'!A:TK,4,FALSE),0)</f>
        <v>12</v>
      </c>
      <c r="D6" s="279">
        <f t="shared" si="0"/>
        <v>1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12</v>
      </c>
      <c r="C7" s="279">
        <f>IFERROR(VLOOKUP(A7,'스위트조이 피벗'!A:TK,4,FALSE),0)</f>
        <v>48</v>
      </c>
      <c r="D7" s="279">
        <f t="shared" si="0"/>
        <v>4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12</v>
      </c>
      <c r="C8" s="279">
        <f>IFERROR(VLOOKUP(A8,'스위트조이 피벗'!A:TK,4,FALSE),0)</f>
        <v>12</v>
      </c>
      <c r="D8" s="279">
        <f t="shared" si="0"/>
        <v>1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12</v>
      </c>
      <c r="C9" s="279">
        <f>IFERROR(VLOOKUP(A9,'스위트조이 피벗'!A:TK,4,FALSE),0)</f>
        <v>12</v>
      </c>
      <c r="D9" s="279">
        <f t="shared" si="0"/>
        <v>1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12</v>
      </c>
      <c r="C10" s="279">
        <f>IFERROR(VLOOKUP(A10,'스위트조이 피벗'!A:TK,4,FALSE),0)</f>
        <v>204</v>
      </c>
      <c r="D10" s="279">
        <f t="shared" si="0"/>
        <v>17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12</v>
      </c>
      <c r="C11" s="279">
        <f>IFERROR(VLOOKUP(A11,'스위트조이 피벗'!A:TK,4,FALSE),0)</f>
        <v>60</v>
      </c>
      <c r="D11" s="279">
        <f t="shared" si="0"/>
        <v>5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12</v>
      </c>
      <c r="C12" s="279">
        <f>IFERROR(VLOOKUP(A12,'스위트조이 피벗'!A:TK,4,FALSE),0)</f>
        <v>12</v>
      </c>
      <c r="D12" s="279">
        <f t="shared" si="0"/>
        <v>1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12</v>
      </c>
      <c r="C13" s="279">
        <f>IFERROR(VLOOKUP(A13,'스위트조이 피벗'!A:TK,4,FALSE),0)</f>
        <v>12</v>
      </c>
      <c r="D13" s="279">
        <f t="shared" si="0"/>
        <v>1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12</v>
      </c>
      <c r="C14" s="279">
        <f>IFERROR(VLOOKUP(A14,'스위트조이 피벗'!A:TK,4,FALSE),0)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12</v>
      </c>
      <c r="C15" s="279">
        <f>IFERROR(VLOOKUP(A15,'스위트조이 피벗'!A:TK,4,FALSE),0)</f>
        <v>48</v>
      </c>
      <c r="D15" s="279">
        <f t="shared" si="0"/>
        <v>4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12</v>
      </c>
      <c r="C16" s="279">
        <f>IFERROR(VLOOKUP(A16,'스위트조이 피벗'!A:TK,4,FALSE),0)</f>
        <v>72</v>
      </c>
      <c r="D16" s="279">
        <f t="shared" si="0"/>
        <v>6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12</v>
      </c>
      <c r="C17" s="279">
        <f>IFERROR(VLOOKUP(A17,'스위트조이 피벗'!A:TK,4,FALSE),0)</f>
        <v>24</v>
      </c>
      <c r="D17" s="279">
        <f t="shared" si="0"/>
        <v>2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12</v>
      </c>
      <c r="C18" s="279">
        <f>IFERROR(VLOOKUP(A18,'스위트조이 피벗'!A:TK,4,FALSE),0)</f>
        <v>24</v>
      </c>
      <c r="D18" s="279">
        <f t="shared" si="0"/>
        <v>2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12</v>
      </c>
      <c r="C19" s="279">
        <f>IFERROR(VLOOKUP(A19,'스위트조이 피벗'!A:TK,4,FALSE),0)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12</v>
      </c>
      <c r="C20" s="279">
        <f>IFERROR(VLOOKUP(A20,'스위트조이 피벗'!A:TK,4,FALSE),0)</f>
        <v>12</v>
      </c>
      <c r="D20" s="279">
        <f t="shared" si="0"/>
        <v>1</v>
      </c>
      <c r="E20" s="246" t="s">
        <v>306</v>
      </c>
      <c r="F20" s="299">
        <f t="shared" si="1"/>
        <v>0</v>
      </c>
    </row>
    <row r="21" spans="1:6" ht="4.5" customHeight="1" x14ac:dyDescent="0.3">
      <c r="A21" s="362"/>
      <c r="B21" s="363"/>
      <c r="C21" s="363"/>
      <c r="D21" s="363"/>
      <c r="E21" s="363"/>
      <c r="F21" s="364"/>
    </row>
    <row r="22" spans="1:6" ht="32.450000000000003" customHeight="1" x14ac:dyDescent="0.3">
      <c r="A22" s="248" t="s">
        <v>122</v>
      </c>
      <c r="B22" s="288">
        <f>$B$4</f>
        <v>12</v>
      </c>
      <c r="C22" s="211">
        <f>SUM(C4:C20)</f>
        <v>552</v>
      </c>
      <c r="D22" s="55">
        <f>IFERROR(ROUNDDOWN(C22/B22,0),"")</f>
        <v>46</v>
      </c>
      <c r="E22" s="249"/>
      <c r="F22" s="213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12</v>
      </c>
      <c r="C24" s="279">
        <f>IFERROR(VLOOKUP(A24,'스위트조이 피벗'!A:TK,4,FALSE),0)</f>
        <v>12</v>
      </c>
      <c r="D24" s="279">
        <f>IFERROR(ROUNDDOWN(C24/B24,0),"")</f>
        <v>1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12</v>
      </c>
      <c r="C25" s="279">
        <f>IFERROR(VLOOKUP(A25,'스위트조이 피벗'!A:TK,4,FALSE),0)</f>
        <v>12</v>
      </c>
      <c r="D25" s="279">
        <f>IFERROR(ROUNDDOWN(C25/B25,0),"")</f>
        <v>1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12</v>
      </c>
      <c r="C26" s="279">
        <f>IFERROR(VLOOKUP(A26,'스위트조이 피벗'!A:TK,4,FALSE),0)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12</v>
      </c>
      <c r="C27" s="279">
        <f>IFERROR(VLOOKUP(A27,'스위트조이 피벗'!A:TK,4,FALSE),0)</f>
        <v>84</v>
      </c>
      <c r="D27" s="279">
        <f>IFERROR(ROUNDDOWN(C27/B27,0),"")</f>
        <v>7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12</v>
      </c>
      <c r="C28" s="279">
        <f>IFERROR(VLOOKUP(A28,'스위트조이 피벗'!A:TK,4,FALSE),0)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62"/>
      <c r="B29" s="363"/>
      <c r="C29" s="363"/>
      <c r="D29" s="363"/>
      <c r="E29" s="363"/>
      <c r="F29" s="364"/>
    </row>
    <row r="30" spans="1:6" ht="32.450000000000003" customHeight="1" x14ac:dyDescent="0.3">
      <c r="A30" s="248" t="s">
        <v>284</v>
      </c>
      <c r="B30" s="288">
        <f>$B$4</f>
        <v>12</v>
      </c>
      <c r="C30" s="211">
        <f>SUM(C24:C28)</f>
        <v>108</v>
      </c>
      <c r="D30" s="55">
        <f>IFERROR(ROUNDDOWN(C30/B30,0),"")</f>
        <v>9</v>
      </c>
      <c r="E30" s="249"/>
      <c r="F30" s="213">
        <f>IFERROR(C30-(D30*B30),"")</f>
        <v>0</v>
      </c>
    </row>
    <row r="31" spans="1:6" ht="4.5" customHeight="1" x14ac:dyDescent="0.3">
      <c r="A31" s="362"/>
      <c r="B31" s="363"/>
      <c r="C31" s="363"/>
      <c r="D31" s="363"/>
      <c r="E31" s="363"/>
      <c r="F31" s="364"/>
    </row>
    <row r="32" spans="1:6" ht="25.35" customHeight="1" x14ac:dyDescent="0.3">
      <c r="A32" s="247" t="s">
        <v>237</v>
      </c>
      <c r="B32" s="278">
        <f t="shared" ref="B32:B33" si="4">$B$4</f>
        <v>12</v>
      </c>
      <c r="C32" s="279">
        <f>IFERROR(VLOOKUP(A32,'스위트조이 피벗'!A:TK,4,FALSE),0)</f>
        <v>24</v>
      </c>
      <c r="D32" s="279">
        <f t="shared" ref="D32:D33" si="5">IFERROR(ROUNDDOWN(C32/B32,0),"")</f>
        <v>2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12</v>
      </c>
      <c r="C33" s="279">
        <f>IFERROR(VLOOKUP(A33,'스위트조이 피벗'!A:TK,4,FALSE),0)</f>
        <v>24</v>
      </c>
      <c r="D33" s="279">
        <f t="shared" si="5"/>
        <v>2</v>
      </c>
      <c r="E33" s="246" t="s">
        <v>265</v>
      </c>
      <c r="F33" s="299">
        <f t="shared" si="6"/>
        <v>0</v>
      </c>
    </row>
    <row r="34" spans="1:6" ht="4.5" customHeight="1" x14ac:dyDescent="0.3">
      <c r="A34" s="362"/>
      <c r="B34" s="363"/>
      <c r="C34" s="363"/>
      <c r="D34" s="363"/>
      <c r="E34" s="363"/>
      <c r="F34" s="364"/>
    </row>
    <row r="35" spans="1:6" ht="32.450000000000003" customHeight="1" x14ac:dyDescent="0.3">
      <c r="A35" s="248" t="s">
        <v>283</v>
      </c>
      <c r="B35" s="288">
        <f>$B$4</f>
        <v>12</v>
      </c>
      <c r="C35" s="211">
        <f>SUM(C32:C33)</f>
        <v>48</v>
      </c>
      <c r="D35" s="55">
        <f>IFERROR(ROUNDDOWN(C35/B35,0),"")</f>
        <v>4</v>
      </c>
      <c r="E35" s="249"/>
      <c r="F35" s="213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12</v>
      </c>
      <c r="C37" s="279">
        <f>IFERROR(VLOOKUP(A37,'스위트조이 피벗'!A:TK,4,FALSE),0)</f>
        <v>48</v>
      </c>
      <c r="D37" s="279">
        <f t="shared" ref="D37:D39" si="8">IFERROR(ROUNDDOWN(C37/B37,0),"")</f>
        <v>4</v>
      </c>
      <c r="E37" s="246" t="s">
        <v>261</v>
      </c>
      <c r="F37" s="299">
        <f t="shared" ref="F37:F39" si="9">IFERROR(C37-(D37*B37),"")</f>
        <v>0</v>
      </c>
    </row>
    <row r="38" spans="1:6" ht="25.35" customHeight="1" x14ac:dyDescent="0.3">
      <c r="A38" s="247" t="s">
        <v>235</v>
      </c>
      <c r="B38" s="278">
        <f t="shared" si="7"/>
        <v>12</v>
      </c>
      <c r="C38" s="279">
        <f>IFERROR(VLOOKUP(A38,'스위트조이 피벗'!A:TK,4,FALSE),0)</f>
        <v>12</v>
      </c>
      <c r="D38" s="279">
        <f t="shared" si="8"/>
        <v>1</v>
      </c>
      <c r="E38" s="246" t="s">
        <v>262</v>
      </c>
      <c r="F38" s="299">
        <f t="shared" si="9"/>
        <v>0</v>
      </c>
    </row>
    <row r="39" spans="1:6" ht="25.35" customHeight="1" x14ac:dyDescent="0.3">
      <c r="A39" s="247" t="s">
        <v>236</v>
      </c>
      <c r="B39" s="278">
        <f t="shared" si="7"/>
        <v>12</v>
      </c>
      <c r="C39" s="279">
        <f>IFERROR(VLOOKUP(A39,'스위트조이 피벗'!A:TK,4,FALSE),0)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56"/>
      <c r="B40" s="357"/>
      <c r="C40" s="357"/>
      <c r="D40" s="357"/>
      <c r="E40" s="357"/>
      <c r="F40" s="358"/>
    </row>
    <row r="41" spans="1:6" ht="32.450000000000003" customHeight="1" x14ac:dyDescent="0.3">
      <c r="A41" s="210" t="s">
        <v>282</v>
      </c>
      <c r="B41" s="288">
        <f>$B$4</f>
        <v>12</v>
      </c>
      <c r="C41" s="211">
        <f>SUM(C37:C39)</f>
        <v>60</v>
      </c>
      <c r="D41" s="55">
        <f>IFERROR(ROUNDDOWN(C41/B41,0),"")</f>
        <v>5</v>
      </c>
      <c r="E41" s="212"/>
      <c r="F41" s="213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12</v>
      </c>
      <c r="C43" s="55">
        <f>SUM(C4:C20,C37:C39,C32:C33,C24:C28)</f>
        <v>768</v>
      </c>
      <c r="D43" s="54">
        <f>IFERROR(ROUNDDOWN(C43/B43,0),"")</f>
        <v>64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64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768</v>
      </c>
    </row>
    <row r="46" spans="1:6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B618-1ECE-4B20-A2DE-A7B1E2FBB851}">
  <sheetPr>
    <tabColor rgb="FFFFFF00"/>
    <pageSetUpPr fitToPage="1"/>
  </sheetPr>
  <dimension ref="A1:I46"/>
  <sheetViews>
    <sheetView zoomScale="40" zoomScaleNormal="40" zoomScaleSheetLayoutView="75" workbookViewId="0">
      <selection activeCell="B43" sqref="B43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350"/>
      <c r="B1" s="350"/>
      <c r="C1" s="350"/>
      <c r="D1" s="350"/>
      <c r="E1" s="350"/>
      <c r="F1" s="350"/>
    </row>
    <row r="2" spans="1:9" ht="25.9" customHeight="1" x14ac:dyDescent="0.3">
      <c r="A2" s="214">
        <f ca="1">TODAY()</f>
        <v>46314</v>
      </c>
      <c r="B2" s="359" t="s">
        <v>299</v>
      </c>
      <c r="C2" s="360"/>
      <c r="D2" s="360"/>
      <c r="E2" s="360"/>
      <c r="F2" s="361"/>
    </row>
    <row r="3" spans="1:9" ht="40.5" customHeight="1" x14ac:dyDescent="0.3">
      <c r="A3" s="216" t="str">
        <f>'스위트조이 피벗'!A2</f>
        <v>10/20 납품</v>
      </c>
      <c r="B3" s="205" t="s">
        <v>13</v>
      </c>
      <c r="C3" s="215" t="s">
        <v>291</v>
      </c>
      <c r="D3" s="206" t="s">
        <v>2</v>
      </c>
      <c r="E3" s="205" t="s">
        <v>23</v>
      </c>
      <c r="F3" s="207" t="s">
        <v>14</v>
      </c>
    </row>
    <row r="4" spans="1:9" ht="25.35" customHeight="1" x14ac:dyDescent="0.3">
      <c r="A4" s="244" t="s">
        <v>258</v>
      </c>
      <c r="B4" s="278">
        <v>12</v>
      </c>
      <c r="C4" s="279">
        <f>IFERROR(VLOOKUP(A4,'스위트조이 피벗'!A:TK,5,FALSE),0)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  <c r="H4" s="71"/>
      <c r="I4" s="71"/>
    </row>
    <row r="5" spans="1:9" ht="25.35" customHeight="1" x14ac:dyDescent="0.3">
      <c r="A5" s="244" t="s">
        <v>259</v>
      </c>
      <c r="B5" s="278">
        <f>$B$4</f>
        <v>12</v>
      </c>
      <c r="C5" s="279">
        <f>IFERROR(VLOOKUP(A5,'스위트조이 피벗'!A:TK,5,FALSE),0)</f>
        <v>0</v>
      </c>
      <c r="D5" s="279">
        <f t="shared" si="0"/>
        <v>0</v>
      </c>
      <c r="E5" s="246" t="s">
        <v>280</v>
      </c>
      <c r="F5" s="299">
        <f t="shared" si="1"/>
        <v>0</v>
      </c>
      <c r="H5" s="71"/>
      <c r="I5" s="71"/>
    </row>
    <row r="6" spans="1:9" ht="25.35" customHeight="1" x14ac:dyDescent="0.3">
      <c r="A6" s="247" t="s">
        <v>260</v>
      </c>
      <c r="B6" s="278">
        <f t="shared" ref="B6:B20" si="2">$B$4</f>
        <v>12</v>
      </c>
      <c r="C6" s="279">
        <f>IFERROR(VLOOKUP(A6,'스위트조이 피벗'!A:TK,5,FALSE),0)</f>
        <v>0</v>
      </c>
      <c r="D6" s="279">
        <f t="shared" si="0"/>
        <v>0</v>
      </c>
      <c r="E6" s="246" t="s">
        <v>281</v>
      </c>
      <c r="F6" s="299">
        <f t="shared" si="1"/>
        <v>0</v>
      </c>
      <c r="H6" s="71"/>
      <c r="I6" s="71"/>
    </row>
    <row r="7" spans="1:9" ht="25.35" customHeight="1" x14ac:dyDescent="0.3">
      <c r="A7" s="247" t="s">
        <v>244</v>
      </c>
      <c r="B7" s="278">
        <f t="shared" si="2"/>
        <v>12</v>
      </c>
      <c r="C7" s="279">
        <f>IFERROR(VLOOKUP(A7,'스위트조이 피벗'!A:TK,5,FALSE),0)</f>
        <v>12</v>
      </c>
      <c r="D7" s="279">
        <f t="shared" si="0"/>
        <v>1</v>
      </c>
      <c r="E7" s="246" t="s">
        <v>269</v>
      </c>
      <c r="F7" s="299">
        <f t="shared" si="1"/>
        <v>0</v>
      </c>
      <c r="H7" s="71"/>
      <c r="I7" s="71"/>
    </row>
    <row r="8" spans="1:9" ht="25.35" customHeight="1" x14ac:dyDescent="0.3">
      <c r="A8" s="247" t="s">
        <v>245</v>
      </c>
      <c r="B8" s="278">
        <f t="shared" si="2"/>
        <v>12</v>
      </c>
      <c r="C8" s="279">
        <f>IFERROR(VLOOKUP(A8,'스위트조이 피벗'!A:TK,5,FALSE),0)</f>
        <v>12</v>
      </c>
      <c r="D8" s="279">
        <f t="shared" si="0"/>
        <v>1</v>
      </c>
      <c r="E8" s="246" t="s">
        <v>307</v>
      </c>
      <c r="F8" s="299">
        <f t="shared" si="1"/>
        <v>0</v>
      </c>
      <c r="H8" s="71"/>
      <c r="I8" s="71"/>
    </row>
    <row r="9" spans="1:9" ht="25.35" customHeight="1" x14ac:dyDescent="0.3">
      <c r="A9" s="247" t="s">
        <v>246</v>
      </c>
      <c r="B9" s="278">
        <f t="shared" si="2"/>
        <v>12</v>
      </c>
      <c r="C9" s="279">
        <f>IFERROR(VLOOKUP(A9,'스위트조이 피벗'!A:TK,5,FALSE),0)</f>
        <v>12</v>
      </c>
      <c r="D9" s="279">
        <f t="shared" si="0"/>
        <v>1</v>
      </c>
      <c r="E9" s="246" t="s">
        <v>270</v>
      </c>
      <c r="F9" s="299">
        <f t="shared" si="1"/>
        <v>0</v>
      </c>
      <c r="H9" s="71"/>
      <c r="I9" s="71"/>
    </row>
    <row r="10" spans="1:9" ht="25.35" customHeight="1" x14ac:dyDescent="0.3">
      <c r="A10" s="247" t="s">
        <v>247</v>
      </c>
      <c r="B10" s="278">
        <f t="shared" si="2"/>
        <v>12</v>
      </c>
      <c r="C10" s="279">
        <f>IFERROR(VLOOKUP(A10,'스위트조이 피벗'!A:TK,5,FALSE),0)</f>
        <v>12</v>
      </c>
      <c r="D10" s="279">
        <f t="shared" si="0"/>
        <v>1</v>
      </c>
      <c r="E10" s="246" t="s">
        <v>271</v>
      </c>
      <c r="F10" s="299">
        <f t="shared" si="1"/>
        <v>0</v>
      </c>
      <c r="H10" s="71"/>
      <c r="I10" s="71"/>
    </row>
    <row r="11" spans="1:9" ht="25.35" customHeight="1" x14ac:dyDescent="0.3">
      <c r="A11" s="247" t="s">
        <v>248</v>
      </c>
      <c r="B11" s="278">
        <f t="shared" si="2"/>
        <v>12</v>
      </c>
      <c r="C11" s="279">
        <f>IFERROR(VLOOKUP(A11,'스위트조이 피벗'!A:TK,5,FALSE),0)</f>
        <v>12</v>
      </c>
      <c r="D11" s="279">
        <f t="shared" si="0"/>
        <v>1</v>
      </c>
      <c r="E11" s="246" t="s">
        <v>272</v>
      </c>
      <c r="F11" s="299">
        <f t="shared" si="1"/>
        <v>0</v>
      </c>
      <c r="H11" s="71"/>
      <c r="I11" s="71"/>
    </row>
    <row r="12" spans="1:9" ht="25.35" customHeight="1" x14ac:dyDescent="0.3">
      <c r="A12" s="247" t="s">
        <v>249</v>
      </c>
      <c r="B12" s="278">
        <f t="shared" si="2"/>
        <v>12</v>
      </c>
      <c r="C12" s="279">
        <f>IFERROR(VLOOKUP(A12,'스위트조이 피벗'!A:TK,5,FALSE),0)</f>
        <v>0</v>
      </c>
      <c r="D12" s="279">
        <f t="shared" si="0"/>
        <v>0</v>
      </c>
      <c r="E12" s="246" t="s">
        <v>273</v>
      </c>
      <c r="F12" s="299">
        <f t="shared" si="1"/>
        <v>0</v>
      </c>
      <c r="H12" s="71"/>
      <c r="I12" s="71"/>
    </row>
    <row r="13" spans="1:9" ht="25.35" customHeight="1" x14ac:dyDescent="0.3">
      <c r="A13" s="244" t="s">
        <v>250</v>
      </c>
      <c r="B13" s="278">
        <f t="shared" si="2"/>
        <v>12</v>
      </c>
      <c r="C13" s="279">
        <f>IFERROR(VLOOKUP(A13,'스위트조이 피벗'!A:TK,5,FALSE),0)</f>
        <v>0</v>
      </c>
      <c r="D13" s="279">
        <f t="shared" si="0"/>
        <v>0</v>
      </c>
      <c r="E13" s="246" t="s">
        <v>274</v>
      </c>
      <c r="F13" s="299">
        <f t="shared" si="1"/>
        <v>0</v>
      </c>
      <c r="H13" s="71"/>
      <c r="I13" s="71"/>
    </row>
    <row r="14" spans="1:9" ht="25.35" customHeight="1" x14ac:dyDescent="0.3">
      <c r="A14" s="247" t="s">
        <v>251</v>
      </c>
      <c r="B14" s="278">
        <f t="shared" si="2"/>
        <v>12</v>
      </c>
      <c r="C14" s="279">
        <f>IFERROR(VLOOKUP(A14,'스위트조이 피벗'!A:TK,5,FALSE),0)</f>
        <v>12</v>
      </c>
      <c r="D14" s="279">
        <f t="shared" si="0"/>
        <v>1</v>
      </c>
      <c r="E14" s="246" t="s">
        <v>275</v>
      </c>
      <c r="F14" s="299">
        <f t="shared" si="1"/>
        <v>0</v>
      </c>
      <c r="H14" s="71"/>
      <c r="I14" s="71"/>
    </row>
    <row r="15" spans="1:9" ht="25.35" customHeight="1" x14ac:dyDescent="0.3">
      <c r="A15" s="247" t="s">
        <v>252</v>
      </c>
      <c r="B15" s="278">
        <f t="shared" si="2"/>
        <v>12</v>
      </c>
      <c r="C15" s="279">
        <f>IFERROR(VLOOKUP(A15,'스위트조이 피벗'!A:TK,5,FALSE),0)</f>
        <v>60</v>
      </c>
      <c r="D15" s="279">
        <f t="shared" si="0"/>
        <v>5</v>
      </c>
      <c r="E15" s="246" t="s">
        <v>276</v>
      </c>
      <c r="F15" s="299">
        <f t="shared" si="1"/>
        <v>0</v>
      </c>
      <c r="H15" s="71"/>
      <c r="I15" s="71"/>
    </row>
    <row r="16" spans="1:9" ht="25.35" customHeight="1" x14ac:dyDescent="0.3">
      <c r="A16" s="247" t="s">
        <v>253</v>
      </c>
      <c r="B16" s="278">
        <f t="shared" si="2"/>
        <v>12</v>
      </c>
      <c r="C16" s="279">
        <f>IFERROR(VLOOKUP(A16,'스위트조이 피벗'!A:TK,5,FALSE),0)</f>
        <v>0</v>
      </c>
      <c r="D16" s="279">
        <f t="shared" si="0"/>
        <v>0</v>
      </c>
      <c r="E16" s="246" t="s">
        <v>305</v>
      </c>
      <c r="F16" s="299">
        <f t="shared" si="1"/>
        <v>0</v>
      </c>
      <c r="H16" s="71"/>
      <c r="I16" s="71"/>
    </row>
    <row r="17" spans="1:9" ht="25.35" customHeight="1" x14ac:dyDescent="0.3">
      <c r="A17" s="247" t="s">
        <v>254</v>
      </c>
      <c r="B17" s="278">
        <f t="shared" si="2"/>
        <v>12</v>
      </c>
      <c r="C17" s="279">
        <f>IFERROR(VLOOKUP(A17,'스위트조이 피벗'!A:TK,5,FALSE),0)</f>
        <v>0</v>
      </c>
      <c r="D17" s="279">
        <f t="shared" si="0"/>
        <v>0</v>
      </c>
      <c r="E17" s="246" t="s">
        <v>277</v>
      </c>
      <c r="F17" s="299">
        <f t="shared" si="1"/>
        <v>0</v>
      </c>
      <c r="H17" s="71"/>
      <c r="I17" s="71"/>
    </row>
    <row r="18" spans="1:9" ht="25.35" customHeight="1" x14ac:dyDescent="0.3">
      <c r="A18" s="247" t="s">
        <v>255</v>
      </c>
      <c r="B18" s="278">
        <f t="shared" si="2"/>
        <v>12</v>
      </c>
      <c r="C18" s="279">
        <f>IFERROR(VLOOKUP(A18,'스위트조이 피벗'!A:TK,5,FALSE),0)</f>
        <v>0</v>
      </c>
      <c r="D18" s="279">
        <f t="shared" si="0"/>
        <v>0</v>
      </c>
      <c r="E18" s="246" t="s">
        <v>278</v>
      </c>
      <c r="F18" s="299">
        <f t="shared" si="1"/>
        <v>0</v>
      </c>
      <c r="H18" s="71"/>
      <c r="I18" s="71"/>
    </row>
    <row r="19" spans="1:9" ht="25.35" customHeight="1" x14ac:dyDescent="0.3">
      <c r="A19" s="247" t="s">
        <v>256</v>
      </c>
      <c r="B19" s="278">
        <f t="shared" si="2"/>
        <v>12</v>
      </c>
      <c r="C19" s="279">
        <f>IFERROR(VLOOKUP(A19,'스위트조이 피벗'!A:TK,5,FALSE),0)</f>
        <v>0</v>
      </c>
      <c r="D19" s="279">
        <f t="shared" si="0"/>
        <v>0</v>
      </c>
      <c r="E19" s="246" t="s">
        <v>279</v>
      </c>
      <c r="F19" s="299">
        <f t="shared" si="1"/>
        <v>0</v>
      </c>
      <c r="H19" s="71"/>
      <c r="I19" s="71"/>
    </row>
    <row r="20" spans="1:9" ht="25.35" customHeight="1" x14ac:dyDescent="0.3">
      <c r="A20" s="247" t="s">
        <v>257</v>
      </c>
      <c r="B20" s="278">
        <f t="shared" si="2"/>
        <v>12</v>
      </c>
      <c r="C20" s="279">
        <f>IFERROR(VLOOKUP(A20,'스위트조이 피벗'!A:TK,5,FALSE),0)</f>
        <v>0</v>
      </c>
      <c r="D20" s="279">
        <f t="shared" si="0"/>
        <v>0</v>
      </c>
      <c r="E20" s="246" t="s">
        <v>306</v>
      </c>
      <c r="F20" s="299">
        <f t="shared" si="1"/>
        <v>0</v>
      </c>
      <c r="H20" s="71"/>
      <c r="I20" s="71"/>
    </row>
    <row r="21" spans="1:9" ht="4.5" customHeight="1" x14ac:dyDescent="0.3">
      <c r="A21" s="362"/>
      <c r="B21" s="363"/>
      <c r="C21" s="363"/>
      <c r="D21" s="363"/>
      <c r="E21" s="363"/>
      <c r="F21" s="364"/>
      <c r="H21" s="71"/>
      <c r="I21" s="71"/>
    </row>
    <row r="22" spans="1:9" ht="32.450000000000003" customHeight="1" x14ac:dyDescent="0.3">
      <c r="A22" s="248" t="s">
        <v>122</v>
      </c>
      <c r="B22" s="288">
        <f>$B$4</f>
        <v>12</v>
      </c>
      <c r="C22" s="211">
        <f>SUM(C4:C20)</f>
        <v>132</v>
      </c>
      <c r="D22" s="55">
        <f>IFERROR(ROUNDDOWN(C22/B22,0),"")</f>
        <v>11</v>
      </c>
      <c r="E22" s="249"/>
      <c r="F22" s="213">
        <f>IFERROR(C22-(D22*B22),"")</f>
        <v>0</v>
      </c>
      <c r="H22" s="71"/>
      <c r="I22" s="71"/>
    </row>
    <row r="23" spans="1:9" ht="4.5" customHeight="1" x14ac:dyDescent="0.3">
      <c r="A23" s="250"/>
      <c r="B23" s="245"/>
      <c r="C23" s="245"/>
      <c r="D23" s="245"/>
      <c r="E23" s="245"/>
      <c r="F23" s="251"/>
      <c r="H23" s="71"/>
      <c r="I23" s="71"/>
    </row>
    <row r="24" spans="1:9" ht="25.35" customHeight="1" x14ac:dyDescent="0.3">
      <c r="A24" s="247" t="s">
        <v>239</v>
      </c>
      <c r="B24" s="278">
        <f t="shared" ref="B24:B28" si="3">$B$4</f>
        <v>12</v>
      </c>
      <c r="C24" s="279">
        <f>IFERROR(VLOOKUP(A24,'스위트조이 피벗'!A:TK,5,FALSE),0)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  <c r="H24" s="71"/>
      <c r="I24" s="71"/>
    </row>
    <row r="25" spans="1:9" ht="25.35" customHeight="1" x14ac:dyDescent="0.3">
      <c r="A25" s="247" t="s">
        <v>240</v>
      </c>
      <c r="B25" s="278">
        <f t="shared" si="3"/>
        <v>12</v>
      </c>
      <c r="C25" s="279">
        <f>IFERROR(VLOOKUP(A25,'스위트조이 피벗'!A:TK,5,FALSE),0)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  <c r="H25" s="71"/>
      <c r="I25" s="71"/>
    </row>
    <row r="26" spans="1:9" ht="25.35" customHeight="1" x14ac:dyDescent="0.3">
      <c r="A26" s="247" t="s">
        <v>241</v>
      </c>
      <c r="B26" s="278">
        <f t="shared" si="3"/>
        <v>12</v>
      </c>
      <c r="C26" s="279">
        <f>IFERROR(VLOOKUP(A26,'스위트조이 피벗'!A:TK,5,FALSE),0)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  <c r="H26" s="71"/>
      <c r="I26" s="71"/>
    </row>
    <row r="27" spans="1:9" ht="25.35" customHeight="1" x14ac:dyDescent="0.3">
      <c r="A27" s="247" t="s">
        <v>242</v>
      </c>
      <c r="B27" s="278">
        <f t="shared" si="3"/>
        <v>12</v>
      </c>
      <c r="C27" s="279">
        <f>IFERROR(VLOOKUP(A27,'스위트조이 피벗'!A:TK,5,FALSE),0)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  <c r="H27" s="71"/>
      <c r="I27" s="71"/>
    </row>
    <row r="28" spans="1:9" ht="25.35" customHeight="1" x14ac:dyDescent="0.3">
      <c r="A28" s="247" t="s">
        <v>243</v>
      </c>
      <c r="B28" s="278">
        <f t="shared" si="3"/>
        <v>12</v>
      </c>
      <c r="C28" s="279">
        <f>IFERROR(VLOOKUP(A28,'스위트조이 피벗'!A:TK,5,FALSE),0)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  <c r="H28" s="71"/>
      <c r="I28" s="71"/>
    </row>
    <row r="29" spans="1:9" ht="4.5" customHeight="1" x14ac:dyDescent="0.3">
      <c r="A29" s="362"/>
      <c r="B29" s="363"/>
      <c r="C29" s="363"/>
      <c r="D29" s="363"/>
      <c r="E29" s="363"/>
      <c r="F29" s="364"/>
      <c r="H29" s="71"/>
      <c r="I29" s="71"/>
    </row>
    <row r="30" spans="1:9" ht="32.450000000000003" customHeight="1" x14ac:dyDescent="0.3">
      <c r="A30" s="248" t="s">
        <v>284</v>
      </c>
      <c r="B30" s="288">
        <f>$B$4</f>
        <v>12</v>
      </c>
      <c r="C30" s="211">
        <f>SUM(C24:C28)</f>
        <v>0</v>
      </c>
      <c r="D30" s="55">
        <f>IFERROR(ROUNDDOWN(C30/B30,0),"")</f>
        <v>0</v>
      </c>
      <c r="E30" s="249"/>
      <c r="F30" s="213">
        <f>IFERROR(C30-(D30*B30),"")</f>
        <v>0</v>
      </c>
      <c r="H30" s="71"/>
      <c r="I30" s="71"/>
    </row>
    <row r="31" spans="1:9" ht="4.5" customHeight="1" x14ac:dyDescent="0.3">
      <c r="A31" s="362"/>
      <c r="B31" s="363"/>
      <c r="C31" s="363"/>
      <c r="D31" s="363"/>
      <c r="E31" s="363"/>
      <c r="F31" s="364"/>
      <c r="H31" s="71"/>
      <c r="I31" s="71"/>
    </row>
    <row r="32" spans="1:9" ht="25.35" customHeight="1" x14ac:dyDescent="0.3">
      <c r="A32" s="247" t="s">
        <v>237</v>
      </c>
      <c r="B32" s="278">
        <f t="shared" ref="B32:B33" si="4">$B$4</f>
        <v>12</v>
      </c>
      <c r="C32" s="279">
        <f>IFERROR(VLOOKUP(A32,'스위트조이 피벗'!A:TK,5,FALSE),0)</f>
        <v>12</v>
      </c>
      <c r="D32" s="279">
        <f t="shared" ref="D32:D33" si="5">IFERROR(ROUNDDOWN(C32/B32,0),"")</f>
        <v>1</v>
      </c>
      <c r="E32" s="246" t="s">
        <v>264</v>
      </c>
      <c r="F32" s="299">
        <f t="shared" ref="F32:F33" si="6">IFERROR(C32-(D32*B32),"")</f>
        <v>0</v>
      </c>
      <c r="H32" s="71"/>
      <c r="I32" s="71"/>
    </row>
    <row r="33" spans="1:9" ht="25.35" customHeight="1" x14ac:dyDescent="0.3">
      <c r="A33" s="247" t="s">
        <v>238</v>
      </c>
      <c r="B33" s="278">
        <f t="shared" si="4"/>
        <v>12</v>
      </c>
      <c r="C33" s="279">
        <f>IFERROR(VLOOKUP(A33,'스위트조이 피벗'!A:TK,5,FALSE),0)</f>
        <v>36</v>
      </c>
      <c r="D33" s="279">
        <f t="shared" si="5"/>
        <v>3</v>
      </c>
      <c r="E33" s="246" t="s">
        <v>265</v>
      </c>
      <c r="F33" s="299">
        <f t="shared" si="6"/>
        <v>0</v>
      </c>
      <c r="H33" s="71"/>
      <c r="I33" s="71"/>
    </row>
    <row r="34" spans="1:9" ht="4.5" customHeight="1" x14ac:dyDescent="0.3">
      <c r="A34" s="362"/>
      <c r="B34" s="363"/>
      <c r="C34" s="363"/>
      <c r="D34" s="363"/>
      <c r="E34" s="363"/>
      <c r="F34" s="364"/>
      <c r="H34" s="71"/>
      <c r="I34" s="71"/>
    </row>
    <row r="35" spans="1:9" ht="32.450000000000003" customHeight="1" x14ac:dyDescent="0.3">
      <c r="A35" s="248" t="s">
        <v>283</v>
      </c>
      <c r="B35" s="288">
        <f>$B$4</f>
        <v>12</v>
      </c>
      <c r="C35" s="211">
        <f>SUM(C32:C33)</f>
        <v>48</v>
      </c>
      <c r="D35" s="55">
        <f>IFERROR(ROUNDDOWN(C35/B35,0),"")</f>
        <v>4</v>
      </c>
      <c r="E35" s="249"/>
      <c r="F35" s="213">
        <f>IFERROR(C35-(D35*B35),"")</f>
        <v>0</v>
      </c>
      <c r="H35" s="71"/>
      <c r="I35" s="71"/>
    </row>
    <row r="36" spans="1:9" ht="4.5" customHeight="1" x14ac:dyDescent="0.3">
      <c r="A36" s="250"/>
      <c r="B36" s="245"/>
      <c r="C36" s="245"/>
      <c r="D36" s="245"/>
      <c r="E36" s="245"/>
      <c r="F36" s="251"/>
      <c r="H36" s="71"/>
      <c r="I36" s="71"/>
    </row>
    <row r="37" spans="1:9" ht="25.35" customHeight="1" x14ac:dyDescent="0.3">
      <c r="A37" s="247" t="s">
        <v>234</v>
      </c>
      <c r="B37" s="278">
        <f t="shared" ref="B37:B39" si="7">$B$4</f>
        <v>12</v>
      </c>
      <c r="C37" s="279">
        <f>IFERROR(VLOOKUP(A37,'스위트조이 피벗'!A:TK,5,FALSE),0)</f>
        <v>12</v>
      </c>
      <c r="D37" s="279">
        <f>IFERROR(ROUNDDOWN(C37/B37,0),"")</f>
        <v>1</v>
      </c>
      <c r="E37" s="246" t="s">
        <v>261</v>
      </c>
      <c r="F37" s="299">
        <f>IFERROR(C37-(D37*B37),"")</f>
        <v>0</v>
      </c>
      <c r="H37" s="71"/>
      <c r="I37" s="71"/>
    </row>
    <row r="38" spans="1:9" ht="25.35" customHeight="1" x14ac:dyDescent="0.3">
      <c r="A38" s="247" t="s">
        <v>235</v>
      </c>
      <c r="B38" s="278">
        <f t="shared" si="7"/>
        <v>12</v>
      </c>
      <c r="C38" s="279">
        <f>IFERROR(VLOOKUP(A38,'스위트조이 피벗'!A:TK,5,FALSE),0)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  <c r="H38" s="71"/>
      <c r="I38" s="71"/>
    </row>
    <row r="39" spans="1:9" ht="25.35" customHeight="1" x14ac:dyDescent="0.3">
      <c r="A39" s="247" t="s">
        <v>236</v>
      </c>
      <c r="B39" s="278">
        <f t="shared" si="7"/>
        <v>12</v>
      </c>
      <c r="C39" s="279">
        <f>IFERROR(VLOOKUP(A39,'스위트조이 피벗'!A:TK,5,FALSE),0)</f>
        <v>0</v>
      </c>
      <c r="D39" s="279">
        <f t="shared" si="8"/>
        <v>0</v>
      </c>
      <c r="E39" s="246" t="s">
        <v>263</v>
      </c>
      <c r="F39" s="299">
        <f t="shared" si="9"/>
        <v>0</v>
      </c>
      <c r="H39" s="71"/>
      <c r="I39" s="71"/>
    </row>
    <row r="40" spans="1:9" ht="4.5" customHeight="1" x14ac:dyDescent="0.3">
      <c r="A40" s="356"/>
      <c r="B40" s="357"/>
      <c r="C40" s="357"/>
      <c r="D40" s="357"/>
      <c r="E40" s="357"/>
      <c r="F40" s="358"/>
      <c r="H40" s="71"/>
      <c r="I40" s="71"/>
    </row>
    <row r="41" spans="1:9" ht="32.450000000000003" customHeight="1" x14ac:dyDescent="0.3">
      <c r="A41" s="210" t="s">
        <v>282</v>
      </c>
      <c r="B41" s="288">
        <f>$B$4</f>
        <v>12</v>
      </c>
      <c r="C41" s="211">
        <f>SUM(C37:C39)</f>
        <v>12</v>
      </c>
      <c r="D41" s="55">
        <f>IFERROR(ROUNDDOWN(C41/B41,0),"")</f>
        <v>1</v>
      </c>
      <c r="E41" s="212"/>
      <c r="F41" s="213">
        <f>IFERROR(C41-(D41*B41),"")</f>
        <v>0</v>
      </c>
      <c r="H41" s="71"/>
      <c r="I41" s="71"/>
    </row>
    <row r="42" spans="1:9" ht="4.5" customHeight="1" x14ac:dyDescent="0.3">
      <c r="A42" s="179"/>
      <c r="B42" s="50"/>
      <c r="C42" s="50"/>
      <c r="D42" s="50"/>
      <c r="E42" s="50"/>
      <c r="F42" s="180"/>
      <c r="H42" s="71"/>
      <c r="I42" s="71"/>
    </row>
    <row r="43" spans="1:9" ht="26.25" x14ac:dyDescent="0.3">
      <c r="A43" s="85" t="s">
        <v>3</v>
      </c>
      <c r="B43" s="295">
        <f>$B$4</f>
        <v>12</v>
      </c>
      <c r="C43" s="55">
        <f>SUM(C4:C20,C37:C39,C32:C33,C24:C28)</f>
        <v>192</v>
      </c>
      <c r="D43" s="54">
        <f>IFERROR(ROUNDDOWN(C43/B43,0),"")</f>
        <v>16</v>
      </c>
      <c r="E43" s="56"/>
      <c r="F43" s="119">
        <f>IFERROR(C43-(D43*B43),"")</f>
        <v>0</v>
      </c>
      <c r="H43" s="71"/>
      <c r="I43" s="71"/>
    </row>
    <row r="44" spans="1:9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16</v>
      </c>
      <c r="E44" s="48"/>
      <c r="F44" s="91">
        <f>SUM(F4:F20,F37:F39,F32:F33,F24:F28)</f>
        <v>0</v>
      </c>
    </row>
    <row r="45" spans="1:9" ht="22.5" customHeight="1" x14ac:dyDescent="0.3">
      <c r="C45" s="75">
        <f>C22+C30+C35+C41</f>
        <v>192</v>
      </c>
    </row>
    <row r="46" spans="1:9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23F2-B95C-4602-9F93-B2B33C46DA15}">
  <sheetPr>
    <tabColor rgb="FFFFFF00"/>
    <pageSetUpPr fitToPage="1"/>
  </sheetPr>
  <dimension ref="A1:J46"/>
  <sheetViews>
    <sheetView zoomScale="40" zoomScaleNormal="40" zoomScaleSheetLayoutView="75" workbookViewId="0">
      <selection activeCell="B43" sqref="B43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0" ht="25.9" customHeight="1" thickBot="1" x14ac:dyDescent="0.35">
      <c r="A1" s="350"/>
      <c r="B1" s="350"/>
      <c r="C1" s="350"/>
      <c r="D1" s="350"/>
      <c r="E1" s="350"/>
      <c r="F1" s="350"/>
    </row>
    <row r="2" spans="1:10" ht="25.9" customHeight="1" x14ac:dyDescent="0.3">
      <c r="A2" s="214">
        <f ca="1">TODAY()</f>
        <v>46314</v>
      </c>
      <c r="B2" s="351" t="s">
        <v>299</v>
      </c>
      <c r="C2" s="351"/>
      <c r="D2" s="351"/>
      <c r="E2" s="351"/>
      <c r="F2" s="352"/>
    </row>
    <row r="3" spans="1:10" ht="40.5" customHeight="1" x14ac:dyDescent="0.3">
      <c r="A3" s="216" t="str">
        <f>'스위트조이 피벗'!A2</f>
        <v>10/20 납품</v>
      </c>
      <c r="B3" s="205" t="s">
        <v>13</v>
      </c>
      <c r="C3" s="215" t="s">
        <v>292</v>
      </c>
      <c r="D3" s="206" t="s">
        <v>2</v>
      </c>
      <c r="E3" s="205" t="s">
        <v>23</v>
      </c>
      <c r="F3" s="207" t="s">
        <v>14</v>
      </c>
      <c r="I3" s="71"/>
      <c r="J3" s="71"/>
    </row>
    <row r="4" spans="1:10" ht="25.35" customHeight="1" x14ac:dyDescent="0.3">
      <c r="A4" s="244" t="s">
        <v>258</v>
      </c>
      <c r="B4" s="278">
        <v>12</v>
      </c>
      <c r="C4" s="279">
        <f>IFERROR(VLOOKUP(A4,'스위트조이 피벗'!A:TK,6,FALSE),0)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  <c r="I4" s="71"/>
      <c r="J4" s="71"/>
    </row>
    <row r="5" spans="1:10" ht="25.35" customHeight="1" x14ac:dyDescent="0.3">
      <c r="A5" s="244" t="s">
        <v>259</v>
      </c>
      <c r="B5" s="278">
        <f>$B$4</f>
        <v>12</v>
      </c>
      <c r="C5" s="279">
        <f>IFERROR(VLOOKUP(A5,'스위트조이 피벗'!A:TK,6,FALSE),0)</f>
        <v>24</v>
      </c>
      <c r="D5" s="279">
        <f t="shared" si="0"/>
        <v>2</v>
      </c>
      <c r="E5" s="246" t="s">
        <v>280</v>
      </c>
      <c r="F5" s="299">
        <f t="shared" si="1"/>
        <v>0</v>
      </c>
      <c r="I5" s="71"/>
      <c r="J5" s="71"/>
    </row>
    <row r="6" spans="1:10" ht="25.35" customHeight="1" x14ac:dyDescent="0.3">
      <c r="A6" s="247" t="s">
        <v>260</v>
      </c>
      <c r="B6" s="278">
        <f t="shared" ref="B6:B20" si="2">$B$4</f>
        <v>12</v>
      </c>
      <c r="C6" s="279">
        <f>IFERROR(VLOOKUP(A6,'스위트조이 피벗'!A:TK,6,FALSE),0)</f>
        <v>0</v>
      </c>
      <c r="D6" s="279">
        <f t="shared" si="0"/>
        <v>0</v>
      </c>
      <c r="E6" s="246" t="s">
        <v>281</v>
      </c>
      <c r="F6" s="299">
        <f t="shared" si="1"/>
        <v>0</v>
      </c>
      <c r="I6" s="71"/>
      <c r="J6" s="71"/>
    </row>
    <row r="7" spans="1:10" ht="25.35" customHeight="1" x14ac:dyDescent="0.3">
      <c r="A7" s="247" t="s">
        <v>244</v>
      </c>
      <c r="B7" s="278">
        <f t="shared" si="2"/>
        <v>12</v>
      </c>
      <c r="C7" s="279">
        <f>IFERROR(VLOOKUP(A7,'스위트조이 피벗'!A:TK,6,FALSE),0)</f>
        <v>0</v>
      </c>
      <c r="D7" s="279">
        <f t="shared" si="0"/>
        <v>0</v>
      </c>
      <c r="E7" s="246" t="s">
        <v>269</v>
      </c>
      <c r="F7" s="299">
        <f t="shared" si="1"/>
        <v>0</v>
      </c>
      <c r="I7" s="71"/>
      <c r="J7" s="71"/>
    </row>
    <row r="8" spans="1:10" ht="25.35" customHeight="1" x14ac:dyDescent="0.3">
      <c r="A8" s="247" t="s">
        <v>245</v>
      </c>
      <c r="B8" s="278">
        <f t="shared" si="2"/>
        <v>12</v>
      </c>
      <c r="C8" s="279">
        <f>IFERROR(VLOOKUP(A8,'스위트조이 피벗'!A:TK,6,FALSE),0)</f>
        <v>0</v>
      </c>
      <c r="D8" s="279">
        <f t="shared" si="0"/>
        <v>0</v>
      </c>
      <c r="E8" s="246" t="s">
        <v>307</v>
      </c>
      <c r="F8" s="299">
        <f t="shared" si="1"/>
        <v>0</v>
      </c>
      <c r="I8" s="71"/>
      <c r="J8" s="71"/>
    </row>
    <row r="9" spans="1:10" ht="25.35" customHeight="1" x14ac:dyDescent="0.3">
      <c r="A9" s="247" t="s">
        <v>246</v>
      </c>
      <c r="B9" s="278">
        <f t="shared" si="2"/>
        <v>12</v>
      </c>
      <c r="C9" s="279">
        <f>IFERROR(VLOOKUP(A9,'스위트조이 피벗'!A:TK,6,FALSE),0)</f>
        <v>0</v>
      </c>
      <c r="D9" s="279">
        <f t="shared" si="0"/>
        <v>0</v>
      </c>
      <c r="E9" s="246" t="s">
        <v>270</v>
      </c>
      <c r="F9" s="299">
        <f t="shared" si="1"/>
        <v>0</v>
      </c>
      <c r="I9" s="71"/>
      <c r="J9" s="71"/>
    </row>
    <row r="10" spans="1:10" ht="25.35" customHeight="1" x14ac:dyDescent="0.3">
      <c r="A10" s="247" t="s">
        <v>247</v>
      </c>
      <c r="B10" s="278">
        <f t="shared" si="2"/>
        <v>12</v>
      </c>
      <c r="C10" s="279">
        <f>IFERROR(VLOOKUP(A10,'스위트조이 피벗'!A:TK,6,FALSE),0)</f>
        <v>48</v>
      </c>
      <c r="D10" s="279">
        <f t="shared" si="0"/>
        <v>4</v>
      </c>
      <c r="E10" s="246" t="s">
        <v>271</v>
      </c>
      <c r="F10" s="299">
        <f t="shared" si="1"/>
        <v>0</v>
      </c>
      <c r="I10" s="71"/>
      <c r="J10" s="71"/>
    </row>
    <row r="11" spans="1:10" ht="25.35" customHeight="1" x14ac:dyDescent="0.3">
      <c r="A11" s="247" t="s">
        <v>248</v>
      </c>
      <c r="B11" s="278">
        <f t="shared" si="2"/>
        <v>12</v>
      </c>
      <c r="C11" s="279">
        <f>IFERROR(VLOOKUP(A11,'스위트조이 피벗'!A:TK,6,FALSE),0)</f>
        <v>60</v>
      </c>
      <c r="D11" s="279">
        <f t="shared" si="0"/>
        <v>5</v>
      </c>
      <c r="E11" s="246" t="s">
        <v>272</v>
      </c>
      <c r="F11" s="299">
        <f t="shared" si="1"/>
        <v>0</v>
      </c>
      <c r="I11" s="71"/>
      <c r="J11" s="71"/>
    </row>
    <row r="12" spans="1:10" ht="25.35" customHeight="1" x14ac:dyDescent="0.3">
      <c r="A12" s="247" t="s">
        <v>249</v>
      </c>
      <c r="B12" s="278">
        <f t="shared" si="2"/>
        <v>12</v>
      </c>
      <c r="C12" s="279">
        <f>IFERROR(VLOOKUP(A12,'스위트조이 피벗'!A:TK,6,FALSE),0)</f>
        <v>0</v>
      </c>
      <c r="D12" s="279">
        <f t="shared" si="0"/>
        <v>0</v>
      </c>
      <c r="E12" s="246" t="s">
        <v>273</v>
      </c>
      <c r="F12" s="299">
        <f t="shared" si="1"/>
        <v>0</v>
      </c>
      <c r="I12" s="71"/>
      <c r="J12" s="71"/>
    </row>
    <row r="13" spans="1:10" ht="25.35" customHeight="1" x14ac:dyDescent="0.3">
      <c r="A13" s="244" t="s">
        <v>250</v>
      </c>
      <c r="B13" s="278">
        <f t="shared" si="2"/>
        <v>12</v>
      </c>
      <c r="C13" s="279">
        <f>IFERROR(VLOOKUP(A13,'스위트조이 피벗'!A:TK,6,FALSE),0)</f>
        <v>12</v>
      </c>
      <c r="D13" s="279">
        <f t="shared" si="0"/>
        <v>1</v>
      </c>
      <c r="E13" s="246" t="s">
        <v>274</v>
      </c>
      <c r="F13" s="299">
        <f t="shared" si="1"/>
        <v>0</v>
      </c>
      <c r="I13" s="71"/>
      <c r="J13" s="71"/>
    </row>
    <row r="14" spans="1:10" ht="25.35" customHeight="1" x14ac:dyDescent="0.3">
      <c r="A14" s="247" t="s">
        <v>251</v>
      </c>
      <c r="B14" s="278">
        <f t="shared" si="2"/>
        <v>12</v>
      </c>
      <c r="C14" s="279">
        <f>IFERROR(VLOOKUP(A14,'스위트조이 피벗'!A:TK,6,FALSE),0)</f>
        <v>12</v>
      </c>
      <c r="D14" s="279">
        <f t="shared" si="0"/>
        <v>1</v>
      </c>
      <c r="E14" s="246" t="s">
        <v>275</v>
      </c>
      <c r="F14" s="299">
        <f t="shared" si="1"/>
        <v>0</v>
      </c>
      <c r="I14" s="71"/>
      <c r="J14" s="71"/>
    </row>
    <row r="15" spans="1:10" ht="25.35" customHeight="1" x14ac:dyDescent="0.3">
      <c r="A15" s="247" t="s">
        <v>252</v>
      </c>
      <c r="B15" s="278">
        <f t="shared" si="2"/>
        <v>12</v>
      </c>
      <c r="C15" s="279">
        <f>IFERROR(VLOOKUP(A15,'스위트조이 피벗'!A:TK,6,FALSE),0)</f>
        <v>60</v>
      </c>
      <c r="D15" s="279">
        <f t="shared" si="0"/>
        <v>5</v>
      </c>
      <c r="E15" s="246" t="s">
        <v>276</v>
      </c>
      <c r="F15" s="299">
        <f t="shared" si="1"/>
        <v>0</v>
      </c>
      <c r="I15" s="71"/>
      <c r="J15" s="71"/>
    </row>
    <row r="16" spans="1:10" ht="25.35" customHeight="1" x14ac:dyDescent="0.3">
      <c r="A16" s="247" t="s">
        <v>253</v>
      </c>
      <c r="B16" s="278">
        <f t="shared" si="2"/>
        <v>12</v>
      </c>
      <c r="C16" s="279">
        <f>IFERROR(VLOOKUP(A16,'스위트조이 피벗'!A:TK,6,FALSE),0)</f>
        <v>0</v>
      </c>
      <c r="D16" s="279">
        <f t="shared" si="0"/>
        <v>0</v>
      </c>
      <c r="E16" s="246" t="s">
        <v>305</v>
      </c>
      <c r="F16" s="299">
        <f t="shared" si="1"/>
        <v>0</v>
      </c>
      <c r="I16" s="71"/>
      <c r="J16" s="71"/>
    </row>
    <row r="17" spans="1:10" ht="25.35" customHeight="1" x14ac:dyDescent="0.3">
      <c r="A17" s="247" t="s">
        <v>254</v>
      </c>
      <c r="B17" s="278">
        <f t="shared" si="2"/>
        <v>12</v>
      </c>
      <c r="C17" s="279">
        <f>IFERROR(VLOOKUP(A17,'스위트조이 피벗'!A:TK,6,FALSE),0)</f>
        <v>36</v>
      </c>
      <c r="D17" s="279">
        <f t="shared" si="0"/>
        <v>3</v>
      </c>
      <c r="E17" s="246" t="s">
        <v>277</v>
      </c>
      <c r="F17" s="299">
        <f t="shared" si="1"/>
        <v>0</v>
      </c>
      <c r="I17" s="71"/>
      <c r="J17" s="71"/>
    </row>
    <row r="18" spans="1:10" ht="25.35" customHeight="1" x14ac:dyDescent="0.3">
      <c r="A18" s="247" t="s">
        <v>255</v>
      </c>
      <c r="B18" s="278">
        <f t="shared" si="2"/>
        <v>12</v>
      </c>
      <c r="C18" s="279">
        <f>IFERROR(VLOOKUP(A18,'스위트조이 피벗'!A:TK,6,FALSE),0)</f>
        <v>60</v>
      </c>
      <c r="D18" s="279">
        <f t="shared" si="0"/>
        <v>5</v>
      </c>
      <c r="E18" s="246" t="s">
        <v>278</v>
      </c>
      <c r="F18" s="299">
        <f t="shared" si="1"/>
        <v>0</v>
      </c>
      <c r="I18" s="71"/>
      <c r="J18" s="71"/>
    </row>
    <row r="19" spans="1:10" ht="25.35" customHeight="1" x14ac:dyDescent="0.3">
      <c r="A19" s="247" t="s">
        <v>256</v>
      </c>
      <c r="B19" s="278">
        <f t="shared" si="2"/>
        <v>12</v>
      </c>
      <c r="C19" s="279">
        <f>IFERROR(VLOOKUP(A19,'스위트조이 피벗'!A:TK,6,FALSE),0)</f>
        <v>0</v>
      </c>
      <c r="D19" s="279">
        <f t="shared" si="0"/>
        <v>0</v>
      </c>
      <c r="E19" s="246" t="s">
        <v>279</v>
      </c>
      <c r="F19" s="299">
        <f t="shared" si="1"/>
        <v>0</v>
      </c>
      <c r="I19" s="71"/>
      <c r="J19" s="71"/>
    </row>
    <row r="20" spans="1:10" ht="25.35" customHeight="1" x14ac:dyDescent="0.3">
      <c r="A20" s="247" t="s">
        <v>257</v>
      </c>
      <c r="B20" s="278">
        <f t="shared" si="2"/>
        <v>12</v>
      </c>
      <c r="C20" s="279">
        <f>IFERROR(VLOOKUP(A20,'스위트조이 피벗'!A:TK,6,FALSE),0)</f>
        <v>0</v>
      </c>
      <c r="D20" s="279">
        <f t="shared" si="0"/>
        <v>0</v>
      </c>
      <c r="E20" s="246" t="s">
        <v>306</v>
      </c>
      <c r="F20" s="299">
        <f t="shared" si="1"/>
        <v>0</v>
      </c>
      <c r="I20" s="71"/>
      <c r="J20" s="71"/>
    </row>
    <row r="21" spans="1:10" ht="4.5" customHeight="1" x14ac:dyDescent="0.3">
      <c r="A21" s="353"/>
      <c r="B21" s="354"/>
      <c r="C21" s="354"/>
      <c r="D21" s="354"/>
      <c r="E21" s="354"/>
      <c r="F21" s="355"/>
      <c r="I21" s="71"/>
      <c r="J21" s="71"/>
    </row>
    <row r="22" spans="1:10" ht="32.450000000000003" customHeight="1" x14ac:dyDescent="0.3">
      <c r="A22" s="248" t="s">
        <v>122</v>
      </c>
      <c r="B22" s="288">
        <f>$B$4</f>
        <v>12</v>
      </c>
      <c r="C22" s="211">
        <f>SUM(C4:C20)</f>
        <v>312</v>
      </c>
      <c r="D22" s="55">
        <f>IFERROR(ROUNDDOWN(C22/B22,0),"")</f>
        <v>26</v>
      </c>
      <c r="E22" s="249"/>
      <c r="F22" s="213">
        <f>IFERROR(C22-(D22*B22),"")</f>
        <v>0</v>
      </c>
      <c r="I22" s="71"/>
      <c r="J22" s="71"/>
    </row>
    <row r="23" spans="1:10" ht="4.5" customHeight="1" x14ac:dyDescent="0.3">
      <c r="A23" s="250"/>
      <c r="B23" s="245"/>
      <c r="C23" s="245"/>
      <c r="D23" s="245"/>
      <c r="E23" s="245"/>
      <c r="F23" s="251"/>
      <c r="I23" s="71"/>
      <c r="J23" s="71"/>
    </row>
    <row r="24" spans="1:10" ht="25.35" customHeight="1" x14ac:dyDescent="0.3">
      <c r="A24" s="247" t="s">
        <v>239</v>
      </c>
      <c r="B24" s="278">
        <f t="shared" ref="B24:B28" si="3">$B$4</f>
        <v>12</v>
      </c>
      <c r="C24" s="279">
        <f>IFERROR(VLOOKUP(A24,'스위트조이 피벗'!A:TK,6,FALSE),0)</f>
        <v>24</v>
      </c>
      <c r="D24" s="279">
        <f>IFERROR(ROUNDDOWN(C24/B24,0),"")</f>
        <v>2</v>
      </c>
      <c r="E24" s="246" t="s">
        <v>266</v>
      </c>
      <c r="F24" s="299">
        <f>IFERROR(C24-(D24*B24),"")</f>
        <v>0</v>
      </c>
      <c r="I24" s="71"/>
      <c r="J24" s="71"/>
    </row>
    <row r="25" spans="1:10" ht="25.35" customHeight="1" x14ac:dyDescent="0.3">
      <c r="A25" s="247" t="s">
        <v>240</v>
      </c>
      <c r="B25" s="278">
        <f t="shared" si="3"/>
        <v>12</v>
      </c>
      <c r="C25" s="279">
        <f>IFERROR(VLOOKUP(A25,'스위트조이 피벗'!A:TK,6,FALSE),0)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  <c r="I25" s="71"/>
      <c r="J25" s="71"/>
    </row>
    <row r="26" spans="1:10" ht="25.35" customHeight="1" x14ac:dyDescent="0.3">
      <c r="A26" s="247" t="s">
        <v>241</v>
      </c>
      <c r="B26" s="278">
        <f t="shared" si="3"/>
        <v>12</v>
      </c>
      <c r="C26" s="279">
        <f>IFERROR(VLOOKUP(A26,'스위트조이 피벗'!A:TK,6,FALSE),0)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  <c r="I26" s="71"/>
      <c r="J26" s="71"/>
    </row>
    <row r="27" spans="1:10" ht="25.35" customHeight="1" x14ac:dyDescent="0.3">
      <c r="A27" s="247" t="s">
        <v>242</v>
      </c>
      <c r="B27" s="278">
        <f t="shared" si="3"/>
        <v>12</v>
      </c>
      <c r="C27" s="279">
        <f>IFERROR(VLOOKUP(A27,'스위트조이 피벗'!A:TK,6,FALSE),0)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  <c r="I27" s="71"/>
      <c r="J27" s="71"/>
    </row>
    <row r="28" spans="1:10" ht="25.35" customHeight="1" x14ac:dyDescent="0.3">
      <c r="A28" s="247" t="s">
        <v>243</v>
      </c>
      <c r="B28" s="278">
        <f t="shared" si="3"/>
        <v>12</v>
      </c>
      <c r="C28" s="279">
        <f>IFERROR(VLOOKUP(A28,'스위트조이 피벗'!A:TK,6,FALSE),0)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  <c r="I28" s="71"/>
      <c r="J28" s="71"/>
    </row>
    <row r="29" spans="1:10" ht="4.5" customHeight="1" x14ac:dyDescent="0.3">
      <c r="A29" s="353"/>
      <c r="B29" s="354"/>
      <c r="C29" s="354"/>
      <c r="D29" s="354"/>
      <c r="E29" s="354"/>
      <c r="F29" s="355"/>
      <c r="I29" s="71"/>
      <c r="J29" s="71"/>
    </row>
    <row r="30" spans="1:10" ht="32.450000000000003" customHeight="1" x14ac:dyDescent="0.3">
      <c r="A30" s="248" t="s">
        <v>284</v>
      </c>
      <c r="B30" s="288">
        <f>$B$4</f>
        <v>12</v>
      </c>
      <c r="C30" s="211">
        <f>SUM(C24:C28)</f>
        <v>24</v>
      </c>
      <c r="D30" s="55">
        <f>IFERROR(ROUNDDOWN(C30/B30,0),"")</f>
        <v>2</v>
      </c>
      <c r="E30" s="249"/>
      <c r="F30" s="213">
        <f>IFERROR(C30-(D30*B30),"")</f>
        <v>0</v>
      </c>
      <c r="I30" s="71"/>
      <c r="J30" s="71"/>
    </row>
    <row r="31" spans="1:10" ht="4.5" customHeight="1" x14ac:dyDescent="0.3">
      <c r="A31" s="353"/>
      <c r="B31" s="354"/>
      <c r="C31" s="354"/>
      <c r="D31" s="354"/>
      <c r="E31" s="354"/>
      <c r="F31" s="355"/>
      <c r="I31" s="71"/>
      <c r="J31" s="71"/>
    </row>
    <row r="32" spans="1:10" ht="25.35" customHeight="1" x14ac:dyDescent="0.3">
      <c r="A32" s="247" t="s">
        <v>237</v>
      </c>
      <c r="B32" s="278">
        <f t="shared" ref="B32:B33" si="4">$B$4</f>
        <v>12</v>
      </c>
      <c r="C32" s="279">
        <f>IFERROR(VLOOKUP(A32,'스위트조이 피벗'!A:TK,6,FALSE),0)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  <c r="I32" s="71"/>
      <c r="J32" s="71"/>
    </row>
    <row r="33" spans="1:10" ht="25.35" customHeight="1" x14ac:dyDescent="0.3">
      <c r="A33" s="247" t="s">
        <v>238</v>
      </c>
      <c r="B33" s="278">
        <f t="shared" si="4"/>
        <v>12</v>
      </c>
      <c r="C33" s="279">
        <f>IFERROR(VLOOKUP(A33,'스위트조이 피벗'!A:TK,6,FALSE),0)</f>
        <v>0</v>
      </c>
      <c r="D33" s="279">
        <f t="shared" si="5"/>
        <v>0</v>
      </c>
      <c r="E33" s="246" t="s">
        <v>265</v>
      </c>
      <c r="F33" s="299">
        <f t="shared" si="6"/>
        <v>0</v>
      </c>
      <c r="I33" s="71"/>
      <c r="J33" s="71"/>
    </row>
    <row r="34" spans="1:10" ht="4.5" customHeight="1" x14ac:dyDescent="0.3">
      <c r="A34" s="353"/>
      <c r="B34" s="354"/>
      <c r="C34" s="354"/>
      <c r="D34" s="354"/>
      <c r="E34" s="354"/>
      <c r="F34" s="355"/>
      <c r="I34" s="71"/>
      <c r="J34" s="71"/>
    </row>
    <row r="35" spans="1:10" ht="32.450000000000003" customHeight="1" x14ac:dyDescent="0.3">
      <c r="A35" s="248" t="s">
        <v>283</v>
      </c>
      <c r="B35" s="288">
        <f>$B$4</f>
        <v>12</v>
      </c>
      <c r="C35" s="211">
        <f>SUM(C32:C33)</f>
        <v>0</v>
      </c>
      <c r="D35" s="55">
        <f>IFERROR(ROUNDDOWN(C35/B35,0),"")</f>
        <v>0</v>
      </c>
      <c r="E35" s="249"/>
      <c r="F35" s="213">
        <f>IFERROR(C35-(D35*B35),"")</f>
        <v>0</v>
      </c>
      <c r="I35" s="71"/>
      <c r="J35" s="71"/>
    </row>
    <row r="36" spans="1:10" ht="4.5" customHeight="1" x14ac:dyDescent="0.3">
      <c r="A36" s="250"/>
      <c r="B36" s="245"/>
      <c r="C36" s="245"/>
      <c r="D36" s="245"/>
      <c r="E36" s="245"/>
      <c r="F36" s="251"/>
      <c r="I36" s="71"/>
      <c r="J36" s="71"/>
    </row>
    <row r="37" spans="1:10" ht="25.35" customHeight="1" x14ac:dyDescent="0.3">
      <c r="A37" s="247" t="s">
        <v>234</v>
      </c>
      <c r="B37" s="278">
        <f t="shared" ref="B37:B39" si="7">$B$4</f>
        <v>12</v>
      </c>
      <c r="C37" s="279">
        <f>IFERROR(VLOOKUP(A37,'스위트조이 피벗'!A:TK,6,FALSE),0)</f>
        <v>0</v>
      </c>
      <c r="D37" s="279">
        <f>IFERROR(ROUNDDOWN(C37/B37,0),"")</f>
        <v>0</v>
      </c>
      <c r="E37" s="246" t="s">
        <v>261</v>
      </c>
      <c r="F37" s="299">
        <f>IFERROR(C37-(D37*B37),"")</f>
        <v>0</v>
      </c>
      <c r="I37" s="71"/>
      <c r="J37" s="71"/>
    </row>
    <row r="38" spans="1:10" ht="25.35" customHeight="1" x14ac:dyDescent="0.3">
      <c r="A38" s="247" t="s">
        <v>235</v>
      </c>
      <c r="B38" s="278">
        <f t="shared" si="7"/>
        <v>12</v>
      </c>
      <c r="C38" s="279">
        <f>IFERROR(VLOOKUP(A38,'스위트조이 피벗'!A:TK,6,FALSE),0)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  <c r="I38" s="71"/>
      <c r="J38" s="71"/>
    </row>
    <row r="39" spans="1:10" ht="25.35" customHeight="1" x14ac:dyDescent="0.3">
      <c r="A39" s="247" t="s">
        <v>236</v>
      </c>
      <c r="B39" s="278">
        <f t="shared" si="7"/>
        <v>12</v>
      </c>
      <c r="C39" s="279">
        <f>IFERROR(VLOOKUP(A39,'스위트조이 피벗'!A:TK,6,FALSE),0)</f>
        <v>0</v>
      </c>
      <c r="D39" s="279">
        <f t="shared" si="8"/>
        <v>0</v>
      </c>
      <c r="E39" s="246" t="s">
        <v>263</v>
      </c>
      <c r="F39" s="299">
        <f t="shared" si="9"/>
        <v>0</v>
      </c>
      <c r="I39" s="71"/>
      <c r="J39" s="71"/>
    </row>
    <row r="40" spans="1:10" ht="4.5" customHeight="1" x14ac:dyDescent="0.3">
      <c r="A40" s="347"/>
      <c r="B40" s="348"/>
      <c r="C40" s="348"/>
      <c r="D40" s="348"/>
      <c r="E40" s="348"/>
      <c r="F40" s="349"/>
      <c r="I40" s="71"/>
      <c r="J40" s="71"/>
    </row>
    <row r="41" spans="1:10" ht="32.450000000000003" customHeight="1" x14ac:dyDescent="0.3">
      <c r="A41" s="210" t="s">
        <v>282</v>
      </c>
      <c r="B41" s="288">
        <f>$B$4</f>
        <v>12</v>
      </c>
      <c r="C41" s="211">
        <f>SUM(C37:C39)</f>
        <v>0</v>
      </c>
      <c r="D41" s="55">
        <f>IFERROR(ROUNDDOWN(C41/B41,0),"")</f>
        <v>0</v>
      </c>
      <c r="E41" s="212"/>
      <c r="F41" s="213">
        <f>IFERROR(C41-(D41*B41),"")</f>
        <v>0</v>
      </c>
      <c r="I41" s="71"/>
      <c r="J41" s="71"/>
    </row>
    <row r="42" spans="1:10" ht="4.5" customHeight="1" x14ac:dyDescent="0.3">
      <c r="A42" s="179"/>
      <c r="B42" s="50"/>
      <c r="C42" s="50"/>
      <c r="D42" s="50"/>
      <c r="E42" s="50"/>
      <c r="F42" s="180"/>
      <c r="I42" s="71"/>
      <c r="J42" s="71"/>
    </row>
    <row r="43" spans="1:10" ht="26.25" x14ac:dyDescent="0.3">
      <c r="A43" s="85" t="s">
        <v>3</v>
      </c>
      <c r="B43" s="295">
        <f>$B$4</f>
        <v>12</v>
      </c>
      <c r="C43" s="55">
        <f>SUM(C4:C20,C37:C39,C32:C33,C24:C28)</f>
        <v>336</v>
      </c>
      <c r="D43" s="54">
        <f>IFERROR(ROUNDDOWN(C43/B43,0),"")</f>
        <v>28</v>
      </c>
      <c r="E43" s="56"/>
      <c r="F43" s="119">
        <f>IFERROR(C43-(D43*B43),"")</f>
        <v>0</v>
      </c>
      <c r="I43" s="71"/>
      <c r="J43" s="71"/>
    </row>
    <row r="44" spans="1:10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28</v>
      </c>
      <c r="E44" s="48"/>
      <c r="F44" s="91">
        <f>SUM(F4:F20,F37:F39,F32:F33,F24:F28)</f>
        <v>0</v>
      </c>
    </row>
    <row r="45" spans="1:10" ht="22.5" customHeight="1" x14ac:dyDescent="0.3">
      <c r="C45" s="75">
        <f>C22+C30+C35+C41</f>
        <v>336</v>
      </c>
    </row>
    <row r="46" spans="1:10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AADC-27C2-48C7-8C14-6E295C5BDB01}">
  <sheetPr>
    <tabColor rgb="FFFFFF00"/>
    <pageSetUpPr fitToPage="1"/>
  </sheetPr>
  <dimension ref="A1:F46"/>
  <sheetViews>
    <sheetView zoomScale="50" zoomScaleNormal="50" zoomScaleSheetLayoutView="75" workbookViewId="0">
      <selection activeCell="B43" sqref="B43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9" t="s">
        <v>299</v>
      </c>
      <c r="C2" s="360"/>
      <c r="D2" s="360"/>
      <c r="E2" s="360"/>
      <c r="F2" s="361"/>
    </row>
    <row r="3" spans="1:6" ht="40.15" customHeight="1" x14ac:dyDescent="0.3">
      <c r="A3" s="216" t="str">
        <f>'스위트조이 피벗'!A2</f>
        <v>10/20 납품</v>
      </c>
      <c r="B3" s="205" t="s">
        <v>13</v>
      </c>
      <c r="C3" s="215" t="s">
        <v>293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24</v>
      </c>
      <c r="C4" s="279">
        <f>IFERROR(VLOOKUP(A4,'스위트조이 피벗'!A:TK,7,FALSE),0)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24</v>
      </c>
      <c r="C5" s="279">
        <f>IFERROR(VLOOKUP(A5,'스위트조이 피벗'!A:TK,7,FALSE),0)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24</v>
      </c>
      <c r="C6" s="279">
        <f>IFERROR(VLOOKUP(A6,'스위트조이 피벗'!A:TK,7,FALSE),0)</f>
        <v>0</v>
      </c>
      <c r="D6" s="279">
        <f t="shared" si="0"/>
        <v>0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24</v>
      </c>
      <c r="C7" s="279">
        <f>IFERROR(VLOOKUP(A7,'스위트조이 피벗'!A:TK,7,FALSE),0)</f>
        <v>0</v>
      </c>
      <c r="D7" s="279">
        <f t="shared" si="0"/>
        <v>0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24</v>
      </c>
      <c r="C8" s="279">
        <f>IFERROR(VLOOKUP(A8,'스위트조이 피벗'!A:TK,7,FALSE),0)</f>
        <v>0</v>
      </c>
      <c r="D8" s="279">
        <f t="shared" si="0"/>
        <v>0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24</v>
      </c>
      <c r="C9" s="279">
        <f>IFERROR(VLOOKUP(A9,'스위트조이 피벗'!A:TK,7,FALSE),0)</f>
        <v>0</v>
      </c>
      <c r="D9" s="279">
        <f t="shared" si="0"/>
        <v>0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24</v>
      </c>
      <c r="C10" s="279">
        <f>IFERROR(VLOOKUP(A10,'스위트조이 피벗'!A:TK,7,FALSE),0)</f>
        <v>0</v>
      </c>
      <c r="D10" s="279">
        <f t="shared" si="0"/>
        <v>0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24</v>
      </c>
      <c r="C11" s="279">
        <f>IFERROR(VLOOKUP(A11,'스위트조이 피벗'!A:TK,7,FALSE),0)</f>
        <v>0</v>
      </c>
      <c r="D11" s="279">
        <f t="shared" si="0"/>
        <v>0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24</v>
      </c>
      <c r="C12" s="279">
        <f>IFERROR(VLOOKUP(A12,'스위트조이 피벗'!A:TK,7,FALSE),0)</f>
        <v>0</v>
      </c>
      <c r="D12" s="279">
        <f t="shared" si="0"/>
        <v>0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24</v>
      </c>
      <c r="C13" s="279">
        <f>IFERROR(VLOOKUP(A13,'스위트조이 피벗'!A:TK,7,FALSE),0)</f>
        <v>0</v>
      </c>
      <c r="D13" s="279">
        <f t="shared" si="0"/>
        <v>0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24</v>
      </c>
      <c r="C14" s="279">
        <f>IFERROR(VLOOKUP(A14,'스위트조이 피벗'!A:TK,7,FALSE),0)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24</v>
      </c>
      <c r="C15" s="279">
        <f>IFERROR(VLOOKUP(A15,'스위트조이 피벗'!A:TK,7,FALSE),0)</f>
        <v>0</v>
      </c>
      <c r="D15" s="279">
        <f t="shared" si="0"/>
        <v>0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24</v>
      </c>
      <c r="C16" s="279">
        <f>IFERROR(VLOOKUP(A16,'스위트조이 피벗'!A:TK,7,FALSE),0)</f>
        <v>0</v>
      </c>
      <c r="D16" s="279">
        <f t="shared" si="0"/>
        <v>0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24</v>
      </c>
      <c r="C17" s="279">
        <f>IFERROR(VLOOKUP(A17,'스위트조이 피벗'!A:TK,7,FALSE),0)</f>
        <v>0</v>
      </c>
      <c r="D17" s="279">
        <f t="shared" si="0"/>
        <v>0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24</v>
      </c>
      <c r="C18" s="279">
        <f>IFERROR(VLOOKUP(A18,'스위트조이 피벗'!A:TK,7,FALSE),0)</f>
        <v>0</v>
      </c>
      <c r="D18" s="279">
        <f t="shared" si="0"/>
        <v>0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24</v>
      </c>
      <c r="C19" s="279">
        <f>IFERROR(VLOOKUP(A19,'스위트조이 피벗'!A:TK,7,FALSE),0)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24</v>
      </c>
      <c r="C20" s="279">
        <f>IFERROR(VLOOKUP(A20,'스위트조이 피벗'!A:TK,7,FALSE),0)</f>
        <v>0</v>
      </c>
      <c r="D20" s="279">
        <f t="shared" si="0"/>
        <v>0</v>
      </c>
      <c r="E20" s="246" t="s">
        <v>306</v>
      </c>
      <c r="F20" s="299">
        <f t="shared" si="1"/>
        <v>0</v>
      </c>
    </row>
    <row r="21" spans="1:6" ht="4.5" customHeight="1" x14ac:dyDescent="0.3">
      <c r="A21" s="362"/>
      <c r="B21" s="363"/>
      <c r="C21" s="363"/>
      <c r="D21" s="363"/>
      <c r="E21" s="363"/>
      <c r="F21" s="364"/>
    </row>
    <row r="22" spans="1:6" ht="32.450000000000003" customHeight="1" x14ac:dyDescent="0.3">
      <c r="A22" s="276" t="s">
        <v>122</v>
      </c>
      <c r="B22" s="288">
        <f>$B$4</f>
        <v>24</v>
      </c>
      <c r="C22" s="209">
        <f>SUM(C4:C20)</f>
        <v>0</v>
      </c>
      <c r="D22" s="54">
        <f>IFERROR(ROUNDDOWN(C22/B22,0),"")</f>
        <v>0</v>
      </c>
      <c r="E22" s="277"/>
      <c r="F22" s="119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24</v>
      </c>
      <c r="C24" s="279">
        <f>IFERROR(VLOOKUP(A24,'스위트조이 피벗'!A:TK,7,FALSE),0)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24</v>
      </c>
      <c r="C25" s="279">
        <f>IFERROR(VLOOKUP(A25,'스위트조이 피벗'!A:TK,7,FALSE),0)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24</v>
      </c>
      <c r="C26" s="279">
        <f>IFERROR(VLOOKUP(A26,'스위트조이 피벗'!A:TK,7,FALSE),0)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24</v>
      </c>
      <c r="C27" s="279">
        <f>IFERROR(VLOOKUP(A27,'스위트조이 피벗'!A:TK,7,FALSE),0)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24</v>
      </c>
      <c r="C28" s="279">
        <f>IFERROR(VLOOKUP(A28,'스위트조이 피벗'!A:TK,7,FALSE),0)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62"/>
      <c r="B29" s="363"/>
      <c r="C29" s="363"/>
      <c r="D29" s="363"/>
      <c r="E29" s="363"/>
      <c r="F29" s="364"/>
    </row>
    <row r="30" spans="1:6" ht="32.450000000000003" customHeight="1" x14ac:dyDescent="0.3">
      <c r="A30" s="276" t="s">
        <v>284</v>
      </c>
      <c r="B30" s="288">
        <f>$B$4</f>
        <v>24</v>
      </c>
      <c r="C30" s="209">
        <f>SUM(C24:C28)</f>
        <v>0</v>
      </c>
      <c r="D30" s="54">
        <f>IFERROR(ROUNDDOWN(C30/B30,0),"")</f>
        <v>0</v>
      </c>
      <c r="E30" s="277"/>
      <c r="F30" s="119">
        <f>IFERROR(C30-(D30*B30),"")</f>
        <v>0</v>
      </c>
    </row>
    <row r="31" spans="1:6" ht="4.5" customHeight="1" x14ac:dyDescent="0.3">
      <c r="A31" s="362"/>
      <c r="B31" s="363"/>
      <c r="C31" s="363"/>
      <c r="D31" s="363"/>
      <c r="E31" s="363"/>
      <c r="F31" s="364"/>
    </row>
    <row r="32" spans="1:6" ht="25.35" customHeight="1" x14ac:dyDescent="0.3">
      <c r="A32" s="247" t="s">
        <v>237</v>
      </c>
      <c r="B32" s="278">
        <f t="shared" ref="B32:B33" si="4">$B$4</f>
        <v>24</v>
      </c>
      <c r="C32" s="279">
        <f>IFERROR(VLOOKUP(A32,'스위트조이 피벗'!A:TK,7,FALSE),0)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24</v>
      </c>
      <c r="C33" s="279">
        <f>IFERROR(VLOOKUP(A33,'스위트조이 피벗'!A:TK,7,FALSE),0)</f>
        <v>0</v>
      </c>
      <c r="D33" s="279">
        <f t="shared" si="5"/>
        <v>0</v>
      </c>
      <c r="E33" s="246" t="s">
        <v>265</v>
      </c>
      <c r="F33" s="299">
        <f t="shared" si="6"/>
        <v>0</v>
      </c>
    </row>
    <row r="34" spans="1:6" ht="4.5" customHeight="1" x14ac:dyDescent="0.3">
      <c r="A34" s="362"/>
      <c r="B34" s="363"/>
      <c r="C34" s="363"/>
      <c r="D34" s="363"/>
      <c r="E34" s="363"/>
      <c r="F34" s="364"/>
    </row>
    <row r="35" spans="1:6" ht="32.450000000000003" customHeight="1" x14ac:dyDescent="0.3">
      <c r="A35" s="276" t="s">
        <v>283</v>
      </c>
      <c r="B35" s="288">
        <f>$B$4</f>
        <v>24</v>
      </c>
      <c r="C35" s="209">
        <f>SUM(C32:C33)</f>
        <v>0</v>
      </c>
      <c r="D35" s="54">
        <f>IFERROR(ROUNDDOWN(C35/B35,0),"")</f>
        <v>0</v>
      </c>
      <c r="E35" s="277"/>
      <c r="F35" s="119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24</v>
      </c>
      <c r="C37" s="279">
        <f>IFERROR(VLOOKUP(A37,'스위트조이 피벗'!A:TK,7,FALSE),0)</f>
        <v>0</v>
      </c>
      <c r="D37" s="279">
        <f>IFERROR(ROUNDDOWN(C37/B37,0),"")</f>
        <v>0</v>
      </c>
      <c r="E37" s="246" t="s">
        <v>261</v>
      </c>
      <c r="F37" s="299">
        <f>IFERROR(C37-(D37*B37),"")</f>
        <v>0</v>
      </c>
    </row>
    <row r="38" spans="1:6" ht="25.35" customHeight="1" x14ac:dyDescent="0.3">
      <c r="A38" s="247" t="s">
        <v>235</v>
      </c>
      <c r="B38" s="278">
        <f t="shared" si="7"/>
        <v>24</v>
      </c>
      <c r="C38" s="279">
        <f>IFERROR(VLOOKUP(A38,'스위트조이 피벗'!A:TK,7,FALSE),0)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</row>
    <row r="39" spans="1:6" ht="25.35" customHeight="1" x14ac:dyDescent="0.3">
      <c r="A39" s="247" t="s">
        <v>236</v>
      </c>
      <c r="B39" s="278">
        <f t="shared" si="7"/>
        <v>24</v>
      </c>
      <c r="C39" s="279">
        <f>IFERROR(VLOOKUP(A39,'스위트조이 피벗'!A:TK,7,FALSE),0)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56"/>
      <c r="B40" s="357"/>
      <c r="C40" s="357"/>
      <c r="D40" s="357"/>
      <c r="E40" s="357"/>
      <c r="F40" s="358"/>
    </row>
    <row r="41" spans="1:6" ht="32.450000000000003" customHeight="1" x14ac:dyDescent="0.3">
      <c r="A41" s="208" t="s">
        <v>282</v>
      </c>
      <c r="B41" s="288">
        <f>$B$4</f>
        <v>24</v>
      </c>
      <c r="C41" s="209">
        <f>SUM(C37:C39)</f>
        <v>0</v>
      </c>
      <c r="D41" s="54">
        <f>IFERROR(ROUNDDOWN(C41/B41,0),"")</f>
        <v>0</v>
      </c>
      <c r="E41" s="36"/>
      <c r="F41" s="119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24</v>
      </c>
      <c r="C43" s="55">
        <f>SUM(C4:C20,C37:C39,C32:C33,C24:C28)</f>
        <v>0</v>
      </c>
      <c r="D43" s="54">
        <f>IFERROR(ROUNDDOWN(C43/B43,0),"")</f>
        <v>0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0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0</v>
      </c>
    </row>
    <row r="46" spans="1:6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48D7-857C-434D-855C-92153372E3E6}">
  <sheetPr>
    <tabColor rgb="FFFFFF00"/>
    <pageSetUpPr fitToPage="1"/>
  </sheetPr>
  <dimension ref="A1:F46"/>
  <sheetViews>
    <sheetView zoomScale="50" zoomScaleNormal="50" zoomScaleSheetLayoutView="75" workbookViewId="0">
      <selection activeCell="B43" sqref="B43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1" t="s">
        <v>299</v>
      </c>
      <c r="C2" s="351"/>
      <c r="D2" s="351"/>
      <c r="E2" s="351"/>
      <c r="F2" s="352"/>
    </row>
    <row r="3" spans="1:6" ht="40.15" customHeight="1" x14ac:dyDescent="0.3">
      <c r="A3" s="216" t="str">
        <f>'스위트조이 피벗'!A2</f>
        <v>10/20 납품</v>
      </c>
      <c r="B3" s="205" t="s">
        <v>13</v>
      </c>
      <c r="C3" s="215" t="s">
        <v>294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24</v>
      </c>
      <c r="C4" s="279">
        <f>IFERROR(VLOOKUP(A4,'스위트조이 피벗'!A:TK,8,FALSE),0)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24</v>
      </c>
      <c r="C5" s="279">
        <f>IFERROR(VLOOKUP(A5,'스위트조이 피벗'!A:TK,8,FALSE),0)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24</v>
      </c>
      <c r="C6" s="279">
        <f>IFERROR(VLOOKUP(A6,'스위트조이 피벗'!A:TK,8,FALSE),0)</f>
        <v>0</v>
      </c>
      <c r="D6" s="279">
        <f t="shared" si="0"/>
        <v>0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24</v>
      </c>
      <c r="C7" s="279">
        <f>IFERROR(VLOOKUP(A7,'스위트조이 피벗'!A:TK,8,FALSE),0)</f>
        <v>0</v>
      </c>
      <c r="D7" s="279">
        <f t="shared" si="0"/>
        <v>0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24</v>
      </c>
      <c r="C8" s="279">
        <f>IFERROR(VLOOKUP(A8,'스위트조이 피벗'!A:TK,8,FALSE),0)</f>
        <v>0</v>
      </c>
      <c r="D8" s="279">
        <f t="shared" si="0"/>
        <v>0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24</v>
      </c>
      <c r="C9" s="279">
        <f>IFERROR(VLOOKUP(A9,'스위트조이 피벗'!A:TK,8,FALSE),0)</f>
        <v>0</v>
      </c>
      <c r="D9" s="279">
        <f t="shared" si="0"/>
        <v>0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24</v>
      </c>
      <c r="C10" s="279">
        <f>IFERROR(VLOOKUP(A10,'스위트조이 피벗'!A:TK,8,FALSE),0)</f>
        <v>0</v>
      </c>
      <c r="D10" s="279">
        <f t="shared" si="0"/>
        <v>0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24</v>
      </c>
      <c r="C11" s="279">
        <f>IFERROR(VLOOKUP(A11,'스위트조이 피벗'!A:TK,8,FALSE),0)</f>
        <v>0</v>
      </c>
      <c r="D11" s="279">
        <f t="shared" si="0"/>
        <v>0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24</v>
      </c>
      <c r="C12" s="279">
        <f>IFERROR(VLOOKUP(A12,'스위트조이 피벗'!A:TK,8,FALSE),0)</f>
        <v>0</v>
      </c>
      <c r="D12" s="279">
        <f t="shared" si="0"/>
        <v>0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24</v>
      </c>
      <c r="C13" s="279">
        <f>IFERROR(VLOOKUP(A13,'스위트조이 피벗'!A:TK,8,FALSE),0)</f>
        <v>0</v>
      </c>
      <c r="D13" s="279">
        <f t="shared" si="0"/>
        <v>0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24</v>
      </c>
      <c r="C14" s="279">
        <f>IFERROR(VLOOKUP(A14,'스위트조이 피벗'!A:TK,8,FALSE),0)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24</v>
      </c>
      <c r="C15" s="279">
        <f>IFERROR(VLOOKUP(A15,'스위트조이 피벗'!A:TK,8,FALSE),0)</f>
        <v>0</v>
      </c>
      <c r="D15" s="279">
        <f t="shared" si="0"/>
        <v>0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24</v>
      </c>
      <c r="C16" s="279">
        <f>IFERROR(VLOOKUP(A16,'스위트조이 피벗'!A:TK,8,FALSE),0)</f>
        <v>0</v>
      </c>
      <c r="D16" s="279">
        <f t="shared" si="0"/>
        <v>0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24</v>
      </c>
      <c r="C17" s="279">
        <f>IFERROR(VLOOKUP(A17,'스위트조이 피벗'!A:TK,8,FALSE),0)</f>
        <v>0</v>
      </c>
      <c r="D17" s="279">
        <f t="shared" si="0"/>
        <v>0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24</v>
      </c>
      <c r="C18" s="279">
        <f>IFERROR(VLOOKUP(A18,'스위트조이 피벗'!A:TK,8,FALSE),0)</f>
        <v>0</v>
      </c>
      <c r="D18" s="279">
        <f t="shared" si="0"/>
        <v>0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24</v>
      </c>
      <c r="C19" s="279">
        <f>IFERROR(VLOOKUP(A19,'스위트조이 피벗'!A:TK,8,FALSE),0)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24</v>
      </c>
      <c r="C20" s="279">
        <f>IFERROR(VLOOKUP(A20,'스위트조이 피벗'!A:TK,8,FALSE),0)</f>
        <v>0</v>
      </c>
      <c r="D20" s="279">
        <f t="shared" si="0"/>
        <v>0</v>
      </c>
      <c r="E20" s="246" t="s">
        <v>306</v>
      </c>
      <c r="F20" s="299">
        <f t="shared" si="1"/>
        <v>0</v>
      </c>
    </row>
    <row r="21" spans="1:6" ht="4.5" customHeight="1" x14ac:dyDescent="0.3">
      <c r="A21" s="353"/>
      <c r="B21" s="354"/>
      <c r="C21" s="354"/>
      <c r="D21" s="354"/>
      <c r="E21" s="354"/>
      <c r="F21" s="355"/>
    </row>
    <row r="22" spans="1:6" ht="32.450000000000003" customHeight="1" x14ac:dyDescent="0.3">
      <c r="A22" s="276" t="s">
        <v>122</v>
      </c>
      <c r="B22" s="288">
        <f>$B$4</f>
        <v>24</v>
      </c>
      <c r="C22" s="209">
        <f>SUM(C4:C20)</f>
        <v>0</v>
      </c>
      <c r="D22" s="54">
        <f>IFERROR(ROUNDDOWN(C22/B22,0),"")</f>
        <v>0</v>
      </c>
      <c r="E22" s="277"/>
      <c r="F22" s="119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24</v>
      </c>
      <c r="C24" s="279">
        <f>IFERROR(VLOOKUP(A24,'스위트조이 피벗'!A:TK,8,FALSE),0)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24</v>
      </c>
      <c r="C25" s="279">
        <f>IFERROR(VLOOKUP(A25,'스위트조이 피벗'!A:TK,8,FALSE),0)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24</v>
      </c>
      <c r="C26" s="279">
        <f>IFERROR(VLOOKUP(A26,'스위트조이 피벗'!A:TK,8,FALSE),0)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24</v>
      </c>
      <c r="C27" s="279">
        <f>IFERROR(VLOOKUP(A27,'스위트조이 피벗'!A:TK,8,FALSE),0)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24</v>
      </c>
      <c r="C28" s="279">
        <f>IFERROR(VLOOKUP(A28,'스위트조이 피벗'!A:TK,8,FALSE),0)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53"/>
      <c r="B29" s="354"/>
      <c r="C29" s="354"/>
      <c r="D29" s="354"/>
      <c r="E29" s="354"/>
      <c r="F29" s="355"/>
    </row>
    <row r="30" spans="1:6" ht="32.450000000000003" customHeight="1" x14ac:dyDescent="0.3">
      <c r="A30" s="276" t="s">
        <v>284</v>
      </c>
      <c r="B30" s="288">
        <f>$B$4</f>
        <v>24</v>
      </c>
      <c r="C30" s="209">
        <f>SUM(C24:C28)</f>
        <v>0</v>
      </c>
      <c r="D30" s="54">
        <f>IFERROR(ROUNDDOWN(C30/B30,0),"")</f>
        <v>0</v>
      </c>
      <c r="E30" s="277"/>
      <c r="F30" s="119">
        <f>IFERROR(C30-(D30*B30),"")</f>
        <v>0</v>
      </c>
    </row>
    <row r="31" spans="1:6" ht="4.5" customHeight="1" x14ac:dyDescent="0.3">
      <c r="A31" s="353"/>
      <c r="B31" s="354"/>
      <c r="C31" s="354"/>
      <c r="D31" s="354"/>
      <c r="E31" s="354"/>
      <c r="F31" s="355"/>
    </row>
    <row r="32" spans="1:6" ht="25.35" customHeight="1" x14ac:dyDescent="0.3">
      <c r="A32" s="247" t="s">
        <v>237</v>
      </c>
      <c r="B32" s="278">
        <f t="shared" ref="B32:B33" si="4">$B$4</f>
        <v>24</v>
      </c>
      <c r="C32" s="279">
        <f>IFERROR(VLOOKUP(A32,'스위트조이 피벗'!A:TK,8,FALSE),0)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24</v>
      </c>
      <c r="C33" s="279">
        <f>IFERROR(VLOOKUP(A33,'스위트조이 피벗'!A:TK,8,FALSE),0)</f>
        <v>0</v>
      </c>
      <c r="D33" s="279">
        <f t="shared" si="5"/>
        <v>0</v>
      </c>
      <c r="E33" s="246" t="s">
        <v>265</v>
      </c>
      <c r="F33" s="299">
        <f t="shared" si="6"/>
        <v>0</v>
      </c>
    </row>
    <row r="34" spans="1:6" ht="4.5" customHeight="1" x14ac:dyDescent="0.3">
      <c r="A34" s="353"/>
      <c r="B34" s="354"/>
      <c r="C34" s="354"/>
      <c r="D34" s="354"/>
      <c r="E34" s="354"/>
      <c r="F34" s="355"/>
    </row>
    <row r="35" spans="1:6" ht="32.450000000000003" customHeight="1" x14ac:dyDescent="0.3">
      <c r="A35" s="276" t="s">
        <v>283</v>
      </c>
      <c r="B35" s="288">
        <f>$B$4</f>
        <v>24</v>
      </c>
      <c r="C35" s="209">
        <f>SUM(C32:C33)</f>
        <v>0</v>
      </c>
      <c r="D35" s="54">
        <f>IFERROR(ROUNDDOWN(C35/B35,0),"")</f>
        <v>0</v>
      </c>
      <c r="E35" s="277"/>
      <c r="F35" s="119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24</v>
      </c>
      <c r="C37" s="279">
        <f>IFERROR(VLOOKUP(A37,'스위트조이 피벗'!A:TK,8,FALSE),0)</f>
        <v>24</v>
      </c>
      <c r="D37" s="279">
        <f>IFERROR(ROUNDDOWN(C37/B37,0),"")</f>
        <v>1</v>
      </c>
      <c r="E37" s="246" t="s">
        <v>261</v>
      </c>
      <c r="F37" s="299">
        <f>IFERROR(C37-(D37*B37),"")</f>
        <v>0</v>
      </c>
    </row>
    <row r="38" spans="1:6" ht="25.35" customHeight="1" x14ac:dyDescent="0.3">
      <c r="A38" s="247" t="s">
        <v>235</v>
      </c>
      <c r="B38" s="278">
        <f t="shared" si="7"/>
        <v>24</v>
      </c>
      <c r="C38" s="279">
        <f>IFERROR(VLOOKUP(A38,'스위트조이 피벗'!A:TK,8,FALSE),0)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</row>
    <row r="39" spans="1:6" ht="25.35" customHeight="1" x14ac:dyDescent="0.3">
      <c r="A39" s="247" t="s">
        <v>236</v>
      </c>
      <c r="B39" s="278">
        <f t="shared" si="7"/>
        <v>24</v>
      </c>
      <c r="C39" s="279">
        <f>IFERROR(VLOOKUP(A39,'스위트조이 피벗'!A:TK,8,FALSE),0)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47"/>
      <c r="B40" s="348"/>
      <c r="C40" s="348"/>
      <c r="D40" s="348"/>
      <c r="E40" s="348"/>
      <c r="F40" s="349"/>
    </row>
    <row r="41" spans="1:6" ht="32.450000000000003" customHeight="1" x14ac:dyDescent="0.3">
      <c r="A41" s="208" t="s">
        <v>282</v>
      </c>
      <c r="B41" s="288">
        <f>$B$4</f>
        <v>24</v>
      </c>
      <c r="C41" s="209">
        <f>SUM(C37:C39)</f>
        <v>24</v>
      </c>
      <c r="D41" s="54">
        <f>IFERROR(ROUNDDOWN(C41/B41,0),"")</f>
        <v>1</v>
      </c>
      <c r="E41" s="36"/>
      <c r="F41" s="119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24</v>
      </c>
      <c r="C43" s="55">
        <f>SUM(C4:C20,C37:C39,C32:C33,C24:C28)</f>
        <v>24</v>
      </c>
      <c r="D43" s="54">
        <f>IFERROR(ROUNDDOWN(C43/B43,0),"")</f>
        <v>1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1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24</v>
      </c>
    </row>
    <row r="46" spans="1:6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EBE9-67F1-404C-9D2C-8DAD76C58170}">
  <sheetPr>
    <tabColor theme="9"/>
  </sheetPr>
  <dimension ref="A1:TJ29"/>
  <sheetViews>
    <sheetView zoomScale="55" zoomScaleNormal="55" zoomScaleSheetLayoutView="75" workbookViewId="0">
      <pane xSplit="1" topLeftCell="B1" activePane="topRight" state="frozen"/>
      <selection activeCell="F16" sqref="F16"/>
      <selection pane="topRight" activeCell="B43" sqref="B43"/>
    </sheetView>
  </sheetViews>
  <sheetFormatPr defaultColWidth="9" defaultRowHeight="15" customHeight="1" x14ac:dyDescent="0.3"/>
  <cols>
    <col min="1" max="40" width="37.625" style="34" customWidth="1"/>
    <col min="41" max="41" width="22.25" style="34" bestFit="1" customWidth="1"/>
    <col min="42" max="44" width="18.375" style="34" customWidth="1"/>
    <col min="45" max="45" width="27.625" style="34" bestFit="1" customWidth="1"/>
    <col min="46" max="47" width="18.375" style="34" customWidth="1"/>
    <col min="48" max="48" width="27.625" style="34" bestFit="1" customWidth="1"/>
    <col min="49" max="49" width="18.375" style="34" customWidth="1"/>
    <col min="50" max="50" width="25.375" style="34" bestFit="1" customWidth="1"/>
    <col min="51" max="51" width="21" style="34" bestFit="1" customWidth="1"/>
    <col min="52" max="52" width="27.625" style="34" bestFit="1" customWidth="1"/>
    <col min="53" max="53" width="18.375" style="34" customWidth="1"/>
    <col min="54" max="54" width="27.625" style="34" bestFit="1" customWidth="1"/>
    <col min="55" max="408" width="30.375" style="34" customWidth="1"/>
    <col min="409" max="410" width="21.25" style="34" customWidth="1"/>
    <col min="411" max="426" width="20.5" style="34" customWidth="1"/>
    <col min="427" max="427" width="21" style="34" bestFit="1" customWidth="1"/>
    <col min="428" max="428" width="25.125" style="34" bestFit="1" customWidth="1"/>
    <col min="429" max="429" width="23" style="34" bestFit="1" customWidth="1"/>
    <col min="430" max="430" width="33.375" style="34" bestFit="1" customWidth="1"/>
    <col min="431" max="431" width="25.125" style="34" bestFit="1" customWidth="1"/>
    <col min="432" max="432" width="28.875" style="34" bestFit="1" customWidth="1"/>
    <col min="433" max="433" width="23" style="34" bestFit="1" customWidth="1"/>
    <col min="434" max="434" width="18.875" style="34" customWidth="1"/>
    <col min="435" max="435" width="23" style="34" bestFit="1" customWidth="1"/>
    <col min="436" max="436" width="25.125" style="34" bestFit="1" customWidth="1"/>
    <col min="437" max="437" width="18.875" style="34" customWidth="1"/>
    <col min="438" max="438" width="19.125" style="34" customWidth="1"/>
    <col min="439" max="439" width="18.125" style="34" customWidth="1"/>
    <col min="440" max="440" width="18.875" style="34" customWidth="1"/>
    <col min="441" max="441" width="26.625" style="34" customWidth="1"/>
    <col min="442" max="442" width="22.125" style="34" customWidth="1"/>
    <col min="443" max="443" width="24.125" style="34" customWidth="1"/>
    <col min="444" max="444" width="21.375" style="34" customWidth="1"/>
    <col min="445" max="445" width="19.375" style="34" customWidth="1"/>
    <col min="446" max="446" width="20" style="34" customWidth="1"/>
    <col min="447" max="447" width="23.25" style="34" customWidth="1"/>
    <col min="448" max="448" width="18" style="34" customWidth="1"/>
    <col min="449" max="479" width="19" style="34" customWidth="1"/>
    <col min="480" max="484" width="20.25" style="34" customWidth="1"/>
    <col min="485" max="485" width="17.25" style="34" customWidth="1"/>
    <col min="486" max="486" width="17.75" style="34" customWidth="1"/>
    <col min="487" max="487" width="16.5" style="34" customWidth="1"/>
    <col min="488" max="490" width="21" style="34" customWidth="1"/>
    <col min="491" max="491" width="18.5" style="34" customWidth="1"/>
    <col min="492" max="496" width="21" style="34" customWidth="1"/>
    <col min="497" max="497" width="15.125" style="34" customWidth="1"/>
    <col min="498" max="513" width="21" style="34" customWidth="1"/>
    <col min="514" max="514" width="24.25" style="34" customWidth="1"/>
    <col min="515" max="515" width="18.875" style="34" bestFit="1" customWidth="1"/>
    <col min="516" max="516" width="21" style="34" bestFit="1" customWidth="1"/>
    <col min="517" max="517" width="23" style="38" bestFit="1" customWidth="1"/>
    <col min="518" max="518" width="8.625" style="38" bestFit="1" customWidth="1"/>
    <col min="519" max="519" width="21" style="38" bestFit="1" customWidth="1"/>
    <col min="520" max="520" width="23" style="38" bestFit="1" customWidth="1"/>
    <col min="521" max="521" width="8.625" style="38" bestFit="1" customWidth="1"/>
    <col min="522" max="522" width="22.875" style="34" customWidth="1"/>
    <col min="523" max="529" width="20.875" style="38" customWidth="1"/>
    <col min="530" max="530" width="23.25" style="38" customWidth="1"/>
    <col min="531" max="16384" width="9" style="34"/>
  </cols>
  <sheetData>
    <row r="1" spans="1:522" s="38" customFormat="1" ht="15" customHeight="1" x14ac:dyDescent="0.3">
      <c r="A1" s="30" t="s">
        <v>312</v>
      </c>
      <c r="B1" s="30" t="s">
        <v>89</v>
      </c>
      <c r="C1" s="30"/>
      <c r="D1" s="30"/>
      <c r="E1" s="30"/>
      <c r="F1" s="30"/>
      <c r="G1"/>
      <c r="H1"/>
      <c r="I1"/>
      <c r="J1"/>
      <c r="K1"/>
      <c r="L1"/>
      <c r="M1"/>
      <c r="N1"/>
      <c r="O1"/>
      <c r="P1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2"/>
      <c r="BD1" s="2"/>
      <c r="BE1" s="2"/>
      <c r="BF1" s="2"/>
      <c r="BG1" s="2"/>
      <c r="BH1" s="2"/>
      <c r="BI1" s="2"/>
      <c r="BJ1" s="2"/>
      <c r="BK1" s="29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32"/>
      <c r="NA1" s="23"/>
      <c r="NB1" s="23"/>
      <c r="NC1" s="23"/>
      <c r="ND1" s="23"/>
      <c r="NE1" s="32"/>
      <c r="NF1" s="32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32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32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32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</row>
    <row r="2" spans="1:522" s="38" customFormat="1" ht="15" customHeight="1" x14ac:dyDescent="0.3">
      <c r="A2" t="s">
        <v>313</v>
      </c>
      <c r="B2" s="30" t="s">
        <v>321</v>
      </c>
      <c r="C2" t="s">
        <v>3</v>
      </c>
      <c r="D2"/>
      <c r="E2"/>
      <c r="F2"/>
      <c r="G2" s="30"/>
      <c r="H2" s="30"/>
      <c r="I2" s="30"/>
      <c r="J2" s="30"/>
      <c r="K2"/>
      <c r="L2"/>
      <c r="M2"/>
      <c r="N2"/>
      <c r="O2"/>
      <c r="P2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</row>
    <row r="3" spans="1:522" ht="15" customHeight="1" x14ac:dyDescent="0.3">
      <c r="A3" t="s">
        <v>258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256"/>
      <c r="R3" s="256"/>
      <c r="S3" s="256"/>
      <c r="T3" s="256"/>
      <c r="U3" s="256"/>
      <c r="V3" s="256"/>
      <c r="W3" s="256"/>
      <c r="X3" s="71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spans="1:522" ht="15" customHeight="1" x14ac:dyDescent="0.3">
      <c r="A4" t="s">
        <v>253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s="256"/>
      <c r="R4" s="256"/>
      <c r="S4" s="256"/>
      <c r="T4" s="256"/>
      <c r="U4" s="256"/>
      <c r="V4" s="256"/>
      <c r="W4" s="256"/>
      <c r="X4" s="71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D4" s="39"/>
    </row>
    <row r="5" spans="1:522" ht="15" customHeight="1" x14ac:dyDescent="0.3">
      <c r="A5" s="34" t="s">
        <v>252</v>
      </c>
    </row>
    <row r="6" spans="1:522" ht="15" customHeight="1" x14ac:dyDescent="0.3">
      <c r="A6" s="34" t="s">
        <v>234</v>
      </c>
    </row>
    <row r="7" spans="1:522" ht="15" customHeight="1" x14ac:dyDescent="0.3">
      <c r="A7" s="34" t="s">
        <v>238</v>
      </c>
    </row>
    <row r="8" spans="1:522" ht="15" customHeight="1" x14ac:dyDescent="0.3">
      <c r="A8" s="34" t="s">
        <v>242</v>
      </c>
    </row>
    <row r="9" spans="1:522" ht="15" customHeight="1" x14ac:dyDescent="0.3">
      <c r="A9" s="333" t="s">
        <v>259</v>
      </c>
      <c r="B9" s="333"/>
    </row>
    <row r="10" spans="1:522" ht="15" customHeight="1" x14ac:dyDescent="0.3">
      <c r="A10" s="34" t="s">
        <v>247</v>
      </c>
    </row>
    <row r="11" spans="1:522" ht="15" customHeight="1" x14ac:dyDescent="0.3">
      <c r="A11" s="34" t="s">
        <v>248</v>
      </c>
    </row>
    <row r="12" spans="1:522" ht="15" customHeight="1" x14ac:dyDescent="0.3">
      <c r="A12" s="34" t="s">
        <v>254</v>
      </c>
    </row>
    <row r="13" spans="1:522" ht="15" customHeight="1" x14ac:dyDescent="0.3">
      <c r="A13" s="34" t="s">
        <v>244</v>
      </c>
    </row>
    <row r="14" spans="1:522" ht="15" customHeight="1" x14ac:dyDescent="0.3">
      <c r="A14" s="34" t="s">
        <v>255</v>
      </c>
    </row>
    <row r="15" spans="1:522" ht="15" customHeight="1" x14ac:dyDescent="0.3">
      <c r="A15" s="333" t="s">
        <v>260</v>
      </c>
      <c r="B15" s="333"/>
    </row>
    <row r="16" spans="1:522" ht="15" customHeight="1" x14ac:dyDescent="0.3">
      <c r="A16" s="34" t="s">
        <v>243</v>
      </c>
    </row>
    <row r="17" spans="1:1" ht="15" customHeight="1" x14ac:dyDescent="0.3">
      <c r="A17" s="34" t="s">
        <v>246</v>
      </c>
    </row>
    <row r="18" spans="1:1" ht="15" customHeight="1" x14ac:dyDescent="0.3">
      <c r="A18" s="34" t="s">
        <v>256</v>
      </c>
    </row>
    <row r="19" spans="1:1" ht="15" customHeight="1" x14ac:dyDescent="0.3">
      <c r="A19" s="34" t="s">
        <v>240</v>
      </c>
    </row>
    <row r="20" spans="1:1" ht="15" customHeight="1" x14ac:dyDescent="0.3">
      <c r="A20" s="34" t="s">
        <v>257</v>
      </c>
    </row>
    <row r="21" spans="1:1" ht="15" customHeight="1" x14ac:dyDescent="0.3">
      <c r="A21" s="34" t="s">
        <v>237</v>
      </c>
    </row>
    <row r="22" spans="1:1" ht="15" customHeight="1" x14ac:dyDescent="0.3">
      <c r="A22" s="34" t="s">
        <v>251</v>
      </c>
    </row>
    <row r="23" spans="1:1" ht="15" customHeight="1" x14ac:dyDescent="0.3">
      <c r="A23" s="34" t="s">
        <v>236</v>
      </c>
    </row>
    <row r="24" spans="1:1" ht="15" customHeight="1" x14ac:dyDescent="0.3">
      <c r="A24" s="34" t="s">
        <v>250</v>
      </c>
    </row>
    <row r="25" spans="1:1" ht="15" customHeight="1" x14ac:dyDescent="0.3">
      <c r="A25" s="34" t="s">
        <v>249</v>
      </c>
    </row>
    <row r="26" spans="1:1" ht="15" customHeight="1" x14ac:dyDescent="0.3">
      <c r="A26" s="34" t="s">
        <v>239</v>
      </c>
    </row>
    <row r="27" spans="1:1" ht="15" customHeight="1" x14ac:dyDescent="0.3">
      <c r="A27" s="34" t="s">
        <v>235</v>
      </c>
    </row>
    <row r="28" spans="1:1" ht="15" customHeight="1" x14ac:dyDescent="0.3">
      <c r="A28" s="34" t="s">
        <v>245</v>
      </c>
    </row>
    <row r="29" spans="1:1" ht="15" customHeight="1" x14ac:dyDescent="0.3">
      <c r="A29" s="34" t="s">
        <v>3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AC4D-8A04-4A38-9F52-E6896EA2A29E}">
  <sheetPr>
    <tabColor theme="9"/>
    <pageSetUpPr fitToPage="1"/>
  </sheetPr>
  <dimension ref="A1:F46"/>
  <sheetViews>
    <sheetView zoomScale="50" zoomScaleNormal="50" zoomScaleSheetLayoutView="75" workbookViewId="0">
      <selection activeCell="B2" sqref="B2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350"/>
      <c r="B1" s="350"/>
      <c r="C1" s="350"/>
      <c r="D1" s="350"/>
      <c r="E1" s="350"/>
      <c r="F1" s="350"/>
    </row>
    <row r="2" spans="1:6" ht="25.9" customHeight="1" x14ac:dyDescent="0.3">
      <c r="A2" s="214">
        <f ca="1">TODAY()</f>
        <v>46314</v>
      </c>
      <c r="B2" s="351" t="s">
        <v>299</v>
      </c>
      <c r="C2" s="351"/>
      <c r="D2" s="351"/>
      <c r="E2" s="351"/>
      <c r="F2" s="352"/>
    </row>
    <row r="3" spans="1:6" ht="40.15" customHeight="1" x14ac:dyDescent="0.3">
      <c r="A3" s="216" t="str">
        <f>'스위트조이 피벗'!A2</f>
        <v>10/20 납품</v>
      </c>
      <c r="B3" s="205" t="s">
        <v>13</v>
      </c>
      <c r="C3" s="215" t="s">
        <v>320</v>
      </c>
      <c r="D3" s="206" t="s">
        <v>2</v>
      </c>
      <c r="E3" s="205" t="s">
        <v>23</v>
      </c>
      <c r="F3" s="207" t="s">
        <v>14</v>
      </c>
    </row>
    <row r="4" spans="1:6" ht="25.35" customHeight="1" x14ac:dyDescent="0.3">
      <c r="A4" s="244" t="s">
        <v>258</v>
      </c>
      <c r="B4" s="278">
        <v>40</v>
      </c>
      <c r="C4" s="279">
        <f>IFERROR(VLOOKUP(A4,'메롱바 피벗 (2)'!$A$1:$B$58,2,FALSE),0)</f>
        <v>0</v>
      </c>
      <c r="D4" s="279">
        <f t="shared" ref="D4:D20" si="0">IFERROR(ROUNDDOWN(C4/B4,0),"")</f>
        <v>0</v>
      </c>
      <c r="E4" s="246" t="s">
        <v>109</v>
      </c>
      <c r="F4" s="299">
        <f t="shared" ref="F4:F20" si="1">IFERROR(C4-(D4*B4),"")</f>
        <v>0</v>
      </c>
    </row>
    <row r="5" spans="1:6" ht="25.35" customHeight="1" x14ac:dyDescent="0.3">
      <c r="A5" s="244" t="s">
        <v>259</v>
      </c>
      <c r="B5" s="278">
        <f>$B$4</f>
        <v>40</v>
      </c>
      <c r="C5" s="279">
        <f>IFERROR(VLOOKUP(A5,'메롱바 피벗 (2)'!$A$1:$B$58,2,FALSE),0)</f>
        <v>0</v>
      </c>
      <c r="D5" s="279">
        <f t="shared" si="0"/>
        <v>0</v>
      </c>
      <c r="E5" s="246" t="s">
        <v>280</v>
      </c>
      <c r="F5" s="299">
        <f t="shared" si="1"/>
        <v>0</v>
      </c>
    </row>
    <row r="6" spans="1:6" ht="25.35" customHeight="1" x14ac:dyDescent="0.3">
      <c r="A6" s="247" t="s">
        <v>260</v>
      </c>
      <c r="B6" s="278">
        <f t="shared" ref="B6:B20" si="2">$B$4</f>
        <v>40</v>
      </c>
      <c r="C6" s="279">
        <f>IFERROR(VLOOKUP(A6,'메롱바 피벗 (2)'!$A$1:$B$58,2,FALSE),0)</f>
        <v>0</v>
      </c>
      <c r="D6" s="279">
        <f t="shared" si="0"/>
        <v>0</v>
      </c>
      <c r="E6" s="246" t="s">
        <v>281</v>
      </c>
      <c r="F6" s="299">
        <f t="shared" si="1"/>
        <v>0</v>
      </c>
    </row>
    <row r="7" spans="1:6" ht="25.35" customHeight="1" x14ac:dyDescent="0.3">
      <c r="A7" s="247" t="s">
        <v>244</v>
      </c>
      <c r="B7" s="278">
        <f t="shared" si="2"/>
        <v>40</v>
      </c>
      <c r="C7" s="279">
        <f>IFERROR(VLOOKUP(A7,'메롱바 피벗 (2)'!$A$1:$B$58,2,FALSE),0)</f>
        <v>0</v>
      </c>
      <c r="D7" s="279">
        <f t="shared" si="0"/>
        <v>0</v>
      </c>
      <c r="E7" s="246" t="s">
        <v>269</v>
      </c>
      <c r="F7" s="299">
        <f t="shared" si="1"/>
        <v>0</v>
      </c>
    </row>
    <row r="8" spans="1:6" ht="25.35" customHeight="1" x14ac:dyDescent="0.3">
      <c r="A8" s="247" t="s">
        <v>245</v>
      </c>
      <c r="B8" s="278">
        <f t="shared" si="2"/>
        <v>40</v>
      </c>
      <c r="C8" s="279">
        <f>IFERROR(VLOOKUP(A8,'메롱바 피벗 (2)'!$A$1:$B$58,2,FALSE),0)</f>
        <v>0</v>
      </c>
      <c r="D8" s="279">
        <f t="shared" si="0"/>
        <v>0</v>
      </c>
      <c r="E8" s="246" t="s">
        <v>307</v>
      </c>
      <c r="F8" s="299">
        <f t="shared" si="1"/>
        <v>0</v>
      </c>
    </row>
    <row r="9" spans="1:6" ht="25.35" customHeight="1" x14ac:dyDescent="0.3">
      <c r="A9" s="247" t="s">
        <v>246</v>
      </c>
      <c r="B9" s="278">
        <f t="shared" si="2"/>
        <v>40</v>
      </c>
      <c r="C9" s="279">
        <f>IFERROR(VLOOKUP(A9,'메롱바 피벗 (2)'!$A$1:$B$58,2,FALSE),0)</f>
        <v>0</v>
      </c>
      <c r="D9" s="279">
        <f t="shared" si="0"/>
        <v>0</v>
      </c>
      <c r="E9" s="246" t="s">
        <v>270</v>
      </c>
      <c r="F9" s="299">
        <f t="shared" si="1"/>
        <v>0</v>
      </c>
    </row>
    <row r="10" spans="1:6" ht="25.35" customHeight="1" x14ac:dyDescent="0.3">
      <c r="A10" s="247" t="s">
        <v>247</v>
      </c>
      <c r="B10" s="278">
        <f t="shared" si="2"/>
        <v>40</v>
      </c>
      <c r="C10" s="279">
        <f>IFERROR(VLOOKUP(A10,'메롱바 피벗 (2)'!$A$1:$B$58,2,FALSE),0)</f>
        <v>0</v>
      </c>
      <c r="D10" s="279">
        <f t="shared" si="0"/>
        <v>0</v>
      </c>
      <c r="E10" s="246" t="s">
        <v>271</v>
      </c>
      <c r="F10" s="299">
        <f t="shared" si="1"/>
        <v>0</v>
      </c>
    </row>
    <row r="11" spans="1:6" ht="25.35" customHeight="1" x14ac:dyDescent="0.3">
      <c r="A11" s="247" t="s">
        <v>248</v>
      </c>
      <c r="B11" s="278">
        <f t="shared" si="2"/>
        <v>40</v>
      </c>
      <c r="C11" s="279">
        <f>IFERROR(VLOOKUP(A11,'메롱바 피벗 (2)'!$A$1:$B$58,2,FALSE),0)</f>
        <v>0</v>
      </c>
      <c r="D11" s="279">
        <f t="shared" si="0"/>
        <v>0</v>
      </c>
      <c r="E11" s="246" t="s">
        <v>272</v>
      </c>
      <c r="F11" s="299">
        <f t="shared" si="1"/>
        <v>0</v>
      </c>
    </row>
    <row r="12" spans="1:6" ht="25.35" customHeight="1" x14ac:dyDescent="0.3">
      <c r="A12" s="247" t="s">
        <v>249</v>
      </c>
      <c r="B12" s="278">
        <f t="shared" si="2"/>
        <v>40</v>
      </c>
      <c r="C12" s="279">
        <f>IFERROR(VLOOKUP(A12,'메롱바 피벗 (2)'!$A$1:$B$58,2,FALSE),0)</f>
        <v>0</v>
      </c>
      <c r="D12" s="279">
        <f t="shared" si="0"/>
        <v>0</v>
      </c>
      <c r="E12" s="246" t="s">
        <v>273</v>
      </c>
      <c r="F12" s="299">
        <f t="shared" si="1"/>
        <v>0</v>
      </c>
    </row>
    <row r="13" spans="1:6" ht="25.35" customHeight="1" x14ac:dyDescent="0.3">
      <c r="A13" s="244" t="s">
        <v>250</v>
      </c>
      <c r="B13" s="278">
        <f t="shared" si="2"/>
        <v>40</v>
      </c>
      <c r="C13" s="279">
        <f>IFERROR(VLOOKUP(A13,'메롱바 피벗 (2)'!$A$1:$B$58,2,FALSE),0)</f>
        <v>0</v>
      </c>
      <c r="D13" s="279">
        <f t="shared" si="0"/>
        <v>0</v>
      </c>
      <c r="E13" s="246" t="s">
        <v>274</v>
      </c>
      <c r="F13" s="299">
        <f t="shared" si="1"/>
        <v>0</v>
      </c>
    </row>
    <row r="14" spans="1:6" ht="25.35" customHeight="1" x14ac:dyDescent="0.3">
      <c r="A14" s="247" t="s">
        <v>251</v>
      </c>
      <c r="B14" s="278">
        <f t="shared" si="2"/>
        <v>40</v>
      </c>
      <c r="C14" s="279">
        <f>IFERROR(VLOOKUP(A14,'메롱바 피벗 (2)'!$A$1:$B$58,2,FALSE),0)</f>
        <v>0</v>
      </c>
      <c r="D14" s="279">
        <f t="shared" si="0"/>
        <v>0</v>
      </c>
      <c r="E14" s="246" t="s">
        <v>275</v>
      </c>
      <c r="F14" s="299">
        <f t="shared" si="1"/>
        <v>0</v>
      </c>
    </row>
    <row r="15" spans="1:6" ht="25.35" customHeight="1" x14ac:dyDescent="0.3">
      <c r="A15" s="247" t="s">
        <v>252</v>
      </c>
      <c r="B15" s="278">
        <f t="shared" si="2"/>
        <v>40</v>
      </c>
      <c r="C15" s="279">
        <f>IFERROR(VLOOKUP(A15,'메롱바 피벗 (2)'!$A$1:$B$58,2,FALSE),0)</f>
        <v>0</v>
      </c>
      <c r="D15" s="279">
        <f t="shared" si="0"/>
        <v>0</v>
      </c>
      <c r="E15" s="246" t="s">
        <v>276</v>
      </c>
      <c r="F15" s="299">
        <f t="shared" si="1"/>
        <v>0</v>
      </c>
    </row>
    <row r="16" spans="1:6" ht="25.35" customHeight="1" x14ac:dyDescent="0.3">
      <c r="A16" s="247" t="s">
        <v>253</v>
      </c>
      <c r="B16" s="278">
        <f t="shared" si="2"/>
        <v>40</v>
      </c>
      <c r="C16" s="279">
        <f>IFERROR(VLOOKUP(A16,'메롱바 피벗 (2)'!$A$1:$B$58,2,FALSE),0)</f>
        <v>0</v>
      </c>
      <c r="D16" s="279">
        <f t="shared" si="0"/>
        <v>0</v>
      </c>
      <c r="E16" s="246" t="s">
        <v>305</v>
      </c>
      <c r="F16" s="299">
        <f t="shared" si="1"/>
        <v>0</v>
      </c>
    </row>
    <row r="17" spans="1:6" ht="25.35" customHeight="1" x14ac:dyDescent="0.3">
      <c r="A17" s="247" t="s">
        <v>254</v>
      </c>
      <c r="B17" s="278">
        <f t="shared" si="2"/>
        <v>40</v>
      </c>
      <c r="C17" s="279">
        <f>IFERROR(VLOOKUP(A17,'메롱바 피벗 (2)'!$A$1:$B$58,2,FALSE),0)</f>
        <v>0</v>
      </c>
      <c r="D17" s="279">
        <f t="shared" si="0"/>
        <v>0</v>
      </c>
      <c r="E17" s="246" t="s">
        <v>277</v>
      </c>
      <c r="F17" s="299">
        <f t="shared" si="1"/>
        <v>0</v>
      </c>
    </row>
    <row r="18" spans="1:6" ht="25.35" customHeight="1" x14ac:dyDescent="0.3">
      <c r="A18" s="247" t="s">
        <v>255</v>
      </c>
      <c r="B18" s="278">
        <f t="shared" si="2"/>
        <v>40</v>
      </c>
      <c r="C18" s="279">
        <f>IFERROR(VLOOKUP(A18,'메롱바 피벗 (2)'!$A$1:$B$58,2,FALSE),0)</f>
        <v>0</v>
      </c>
      <c r="D18" s="279">
        <f t="shared" si="0"/>
        <v>0</v>
      </c>
      <c r="E18" s="246" t="s">
        <v>278</v>
      </c>
      <c r="F18" s="299">
        <f t="shared" si="1"/>
        <v>0</v>
      </c>
    </row>
    <row r="19" spans="1:6" ht="25.35" customHeight="1" x14ac:dyDescent="0.3">
      <c r="A19" s="247" t="s">
        <v>256</v>
      </c>
      <c r="B19" s="278">
        <f t="shared" si="2"/>
        <v>40</v>
      </c>
      <c r="C19" s="279">
        <f>IFERROR(VLOOKUP(A19,'메롱바 피벗 (2)'!$A$1:$B$58,2,FALSE),0)</f>
        <v>0</v>
      </c>
      <c r="D19" s="279">
        <f t="shared" si="0"/>
        <v>0</v>
      </c>
      <c r="E19" s="246" t="s">
        <v>279</v>
      </c>
      <c r="F19" s="299">
        <f t="shared" si="1"/>
        <v>0</v>
      </c>
    </row>
    <row r="20" spans="1:6" ht="25.35" customHeight="1" x14ac:dyDescent="0.3">
      <c r="A20" s="247" t="s">
        <v>257</v>
      </c>
      <c r="B20" s="278">
        <f t="shared" si="2"/>
        <v>40</v>
      </c>
      <c r="C20" s="279">
        <f>IFERROR(VLOOKUP(A20,'메롱바 피벗 (2)'!$A$1:$B$58,2,FALSE),0)</f>
        <v>0</v>
      </c>
      <c r="D20" s="279">
        <f t="shared" si="0"/>
        <v>0</v>
      </c>
      <c r="E20" s="246" t="s">
        <v>306</v>
      </c>
      <c r="F20" s="299">
        <f t="shared" si="1"/>
        <v>0</v>
      </c>
    </row>
    <row r="21" spans="1:6" ht="4.5" customHeight="1" x14ac:dyDescent="0.3">
      <c r="A21" s="353"/>
      <c r="B21" s="354"/>
      <c r="C21" s="354"/>
      <c r="D21" s="354"/>
      <c r="E21" s="354"/>
      <c r="F21" s="355"/>
    </row>
    <row r="22" spans="1:6" ht="32.450000000000003" customHeight="1" x14ac:dyDescent="0.3">
      <c r="A22" s="276" t="s">
        <v>122</v>
      </c>
      <c r="B22" s="288">
        <f>$B$4</f>
        <v>40</v>
      </c>
      <c r="C22" s="209">
        <f>SUM(C4:C20)</f>
        <v>0</v>
      </c>
      <c r="D22" s="54">
        <f>IFERROR(ROUNDDOWN(C22/B22,0),"")</f>
        <v>0</v>
      </c>
      <c r="E22" s="277"/>
      <c r="F22" s="119">
        <f>IFERROR(C22-(D22*B22),"")</f>
        <v>0</v>
      </c>
    </row>
    <row r="23" spans="1:6" ht="4.5" customHeight="1" x14ac:dyDescent="0.3">
      <c r="A23" s="250"/>
      <c r="B23" s="245"/>
      <c r="C23" s="245"/>
      <c r="D23" s="245"/>
      <c r="E23" s="245"/>
      <c r="F23" s="251"/>
    </row>
    <row r="24" spans="1:6" ht="25.35" customHeight="1" x14ac:dyDescent="0.3">
      <c r="A24" s="247" t="s">
        <v>239</v>
      </c>
      <c r="B24" s="278">
        <f t="shared" ref="B24:B28" si="3">$B$4</f>
        <v>40</v>
      </c>
      <c r="C24" s="279">
        <f>IFERROR(VLOOKUP(A24,'메롱바 피벗 (2)'!$A$1:$B$58,2,FALSE),0)</f>
        <v>0</v>
      </c>
      <c r="D24" s="279">
        <f>IFERROR(ROUNDDOWN(C24/B24,0),"")</f>
        <v>0</v>
      </c>
      <c r="E24" s="246" t="s">
        <v>266</v>
      </c>
      <c r="F24" s="299">
        <f>IFERROR(C24-(D24*B24),"")</f>
        <v>0</v>
      </c>
    </row>
    <row r="25" spans="1:6" ht="25.35" customHeight="1" x14ac:dyDescent="0.3">
      <c r="A25" s="247" t="s">
        <v>240</v>
      </c>
      <c r="B25" s="278">
        <f t="shared" si="3"/>
        <v>40</v>
      </c>
      <c r="C25" s="279">
        <f>IFERROR(VLOOKUP(A25,'메롱바 피벗 (2)'!$A$1:$B$58,2,FALSE),0)</f>
        <v>0</v>
      </c>
      <c r="D25" s="279">
        <f>IFERROR(ROUNDDOWN(C25/B25,0),"")</f>
        <v>0</v>
      </c>
      <c r="E25" s="246" t="s">
        <v>267</v>
      </c>
      <c r="F25" s="299">
        <f>IFERROR(C25-(D25*B25),"")</f>
        <v>0</v>
      </c>
    </row>
    <row r="26" spans="1:6" ht="25.35" customHeight="1" x14ac:dyDescent="0.3">
      <c r="A26" s="247" t="s">
        <v>241</v>
      </c>
      <c r="B26" s="278">
        <f t="shared" si="3"/>
        <v>40</v>
      </c>
      <c r="C26" s="279">
        <f>IFERROR(VLOOKUP(A26,'메롱바 피벗 (2)'!$A$1:$B$58,2,FALSE),0)</f>
        <v>0</v>
      </c>
      <c r="D26" s="279">
        <f>IFERROR(ROUNDDOWN(C26/B26,0),"")</f>
        <v>0</v>
      </c>
      <c r="E26" s="246" t="s">
        <v>106</v>
      </c>
      <c r="F26" s="299">
        <f>IFERROR(C26-(D26*B26),"")</f>
        <v>0</v>
      </c>
    </row>
    <row r="27" spans="1:6" ht="25.35" customHeight="1" x14ac:dyDescent="0.3">
      <c r="A27" s="247" t="s">
        <v>242</v>
      </c>
      <c r="B27" s="278">
        <f t="shared" si="3"/>
        <v>40</v>
      </c>
      <c r="C27" s="279">
        <f>IFERROR(VLOOKUP(A27,'메롱바 피벗 (2)'!$A$1:$B$58,2,FALSE),0)</f>
        <v>0</v>
      </c>
      <c r="D27" s="279">
        <f>IFERROR(ROUNDDOWN(C27/B27,0),"")</f>
        <v>0</v>
      </c>
      <c r="E27" s="246" t="s">
        <v>268</v>
      </c>
      <c r="F27" s="299">
        <f>IFERROR(C27-(D27*B27),"")</f>
        <v>0</v>
      </c>
    </row>
    <row r="28" spans="1:6" ht="25.35" customHeight="1" x14ac:dyDescent="0.3">
      <c r="A28" s="247" t="s">
        <v>243</v>
      </c>
      <c r="B28" s="278">
        <f t="shared" si="3"/>
        <v>40</v>
      </c>
      <c r="C28" s="279">
        <f>IFERROR(VLOOKUP(A28,'메롱바 피벗 (2)'!$A$1:$B$58,2,FALSE),0)</f>
        <v>0</v>
      </c>
      <c r="D28" s="279">
        <f>IFERROR(ROUNDDOWN(C28/B28,0),"")</f>
        <v>0</v>
      </c>
      <c r="E28" s="246" t="s">
        <v>118</v>
      </c>
      <c r="F28" s="299">
        <f>IFERROR(C28-(D28*B28),"")</f>
        <v>0</v>
      </c>
    </row>
    <row r="29" spans="1:6" ht="4.5" customHeight="1" x14ac:dyDescent="0.3">
      <c r="A29" s="353"/>
      <c r="B29" s="354"/>
      <c r="C29" s="354"/>
      <c r="D29" s="354"/>
      <c r="E29" s="354"/>
      <c r="F29" s="355"/>
    </row>
    <row r="30" spans="1:6" ht="32.450000000000003" customHeight="1" x14ac:dyDescent="0.3">
      <c r="A30" s="276" t="s">
        <v>284</v>
      </c>
      <c r="B30" s="288">
        <f>$B$4</f>
        <v>40</v>
      </c>
      <c r="C30" s="209">
        <f>SUM(C24:C28)</f>
        <v>0</v>
      </c>
      <c r="D30" s="54">
        <f>IFERROR(ROUNDDOWN(C30/B30,0),"")</f>
        <v>0</v>
      </c>
      <c r="E30" s="277"/>
      <c r="F30" s="119">
        <f>IFERROR(C30-(D30*B30),"")</f>
        <v>0</v>
      </c>
    </row>
    <row r="31" spans="1:6" ht="4.5" customHeight="1" x14ac:dyDescent="0.3">
      <c r="A31" s="353"/>
      <c r="B31" s="354"/>
      <c r="C31" s="354"/>
      <c r="D31" s="354"/>
      <c r="E31" s="354"/>
      <c r="F31" s="355"/>
    </row>
    <row r="32" spans="1:6" ht="25.35" customHeight="1" x14ac:dyDescent="0.3">
      <c r="A32" s="247" t="s">
        <v>237</v>
      </c>
      <c r="B32" s="278">
        <f t="shared" ref="B32:B33" si="4">$B$4</f>
        <v>40</v>
      </c>
      <c r="C32" s="279">
        <f>IFERROR(VLOOKUP(A32,'메롱바 피벗 (2)'!$A$1:$B$58,2,FALSE),0)</f>
        <v>0</v>
      </c>
      <c r="D32" s="279">
        <f t="shared" ref="D32:D33" si="5">IFERROR(ROUNDDOWN(C32/B32,0),"")</f>
        <v>0</v>
      </c>
      <c r="E32" s="246" t="s">
        <v>264</v>
      </c>
      <c r="F32" s="299">
        <f t="shared" ref="F32:F33" si="6">IFERROR(C32-(D32*B32),"")</f>
        <v>0</v>
      </c>
    </row>
    <row r="33" spans="1:6" ht="25.35" customHeight="1" x14ac:dyDescent="0.3">
      <c r="A33" s="247" t="s">
        <v>238</v>
      </c>
      <c r="B33" s="278">
        <f t="shared" si="4"/>
        <v>40</v>
      </c>
      <c r="C33" s="279">
        <f>IFERROR(VLOOKUP(A33,'메롱바 피벗 (2)'!$A$1:$B$58,2,FALSE),0)</f>
        <v>0</v>
      </c>
      <c r="D33" s="279">
        <f t="shared" si="5"/>
        <v>0</v>
      </c>
      <c r="E33" s="246" t="s">
        <v>265</v>
      </c>
      <c r="F33" s="299">
        <f t="shared" si="6"/>
        <v>0</v>
      </c>
    </row>
    <row r="34" spans="1:6" ht="4.5" customHeight="1" x14ac:dyDescent="0.3">
      <c r="A34" s="353"/>
      <c r="B34" s="354"/>
      <c r="C34" s="354"/>
      <c r="D34" s="354"/>
      <c r="E34" s="354"/>
      <c r="F34" s="355"/>
    </row>
    <row r="35" spans="1:6" ht="32.450000000000003" customHeight="1" x14ac:dyDescent="0.3">
      <c r="A35" s="276" t="s">
        <v>283</v>
      </c>
      <c r="B35" s="288">
        <f>$B$4</f>
        <v>40</v>
      </c>
      <c r="C35" s="209">
        <f>SUM(C32:C33)</f>
        <v>0</v>
      </c>
      <c r="D35" s="54">
        <f>IFERROR(ROUNDDOWN(C35/B35,0),"")</f>
        <v>0</v>
      </c>
      <c r="E35" s="277"/>
      <c r="F35" s="119">
        <f>IFERROR(C35-(D35*B35),"")</f>
        <v>0</v>
      </c>
    </row>
    <row r="36" spans="1:6" ht="4.5" customHeight="1" x14ac:dyDescent="0.3">
      <c r="A36" s="250"/>
      <c r="B36" s="245"/>
      <c r="C36" s="245"/>
      <c r="D36" s="245"/>
      <c r="E36" s="245"/>
      <c r="F36" s="251"/>
    </row>
    <row r="37" spans="1:6" ht="25.35" customHeight="1" x14ac:dyDescent="0.3">
      <c r="A37" s="247" t="s">
        <v>234</v>
      </c>
      <c r="B37" s="278">
        <f t="shared" ref="B37:B39" si="7">$B$4</f>
        <v>40</v>
      </c>
      <c r="C37" s="279">
        <f>IFERROR(VLOOKUP(A37,'메롱바 피벗 (2)'!$A$1:$B$58,2,FALSE),0)</f>
        <v>0</v>
      </c>
      <c r="D37" s="279">
        <f>IFERROR(ROUNDDOWN(C37/B37,0),"")</f>
        <v>0</v>
      </c>
      <c r="E37" s="246" t="s">
        <v>261</v>
      </c>
      <c r="F37" s="299">
        <f>IFERROR(C37-(D37*B37),"")</f>
        <v>0</v>
      </c>
    </row>
    <row r="38" spans="1:6" ht="25.35" customHeight="1" x14ac:dyDescent="0.3">
      <c r="A38" s="247" t="s">
        <v>235</v>
      </c>
      <c r="B38" s="278">
        <f t="shared" si="7"/>
        <v>40</v>
      </c>
      <c r="C38" s="279">
        <f>IFERROR(VLOOKUP(A38,'메롱바 피벗 (2)'!$A$1:$B$58,2,FALSE),0)</f>
        <v>0</v>
      </c>
      <c r="D38" s="279">
        <f t="shared" ref="D38:D39" si="8">IFERROR(ROUNDDOWN(C38/B38,0),"")</f>
        <v>0</v>
      </c>
      <c r="E38" s="246" t="s">
        <v>262</v>
      </c>
      <c r="F38" s="299">
        <f t="shared" ref="F38:F39" si="9">IFERROR(C38-(D38*B38),"")</f>
        <v>0</v>
      </c>
    </row>
    <row r="39" spans="1:6" ht="25.35" customHeight="1" x14ac:dyDescent="0.3">
      <c r="A39" s="247" t="s">
        <v>236</v>
      </c>
      <c r="B39" s="278">
        <f t="shared" si="7"/>
        <v>40</v>
      </c>
      <c r="C39" s="279">
        <f>IFERROR(VLOOKUP(A39,'메롱바 피벗 (2)'!$A$1:$B$58,2,FALSE),0)</f>
        <v>0</v>
      </c>
      <c r="D39" s="279">
        <f t="shared" si="8"/>
        <v>0</v>
      </c>
      <c r="E39" s="246" t="s">
        <v>263</v>
      </c>
      <c r="F39" s="299">
        <f t="shared" si="9"/>
        <v>0</v>
      </c>
    </row>
    <row r="40" spans="1:6" ht="4.5" customHeight="1" x14ac:dyDescent="0.3">
      <c r="A40" s="347"/>
      <c r="B40" s="348"/>
      <c r="C40" s="348"/>
      <c r="D40" s="348"/>
      <c r="E40" s="348"/>
      <c r="F40" s="349"/>
    </row>
    <row r="41" spans="1:6" ht="32.450000000000003" customHeight="1" x14ac:dyDescent="0.3">
      <c r="A41" s="208" t="s">
        <v>282</v>
      </c>
      <c r="B41" s="288">
        <f>$B$4</f>
        <v>40</v>
      </c>
      <c r="C41" s="209">
        <f>SUM(C37:C39)</f>
        <v>0</v>
      </c>
      <c r="D41" s="54">
        <f>IFERROR(ROUNDDOWN(C41/B41,0),"")</f>
        <v>0</v>
      </c>
      <c r="E41" s="36"/>
      <c r="F41" s="119">
        <f>IFERROR(C41-(D41*B41),"")</f>
        <v>0</v>
      </c>
    </row>
    <row r="42" spans="1:6" ht="4.5" customHeight="1" x14ac:dyDescent="0.3">
      <c r="A42" s="179"/>
      <c r="B42" s="50"/>
      <c r="C42" s="50"/>
      <c r="D42" s="50"/>
      <c r="E42" s="50"/>
      <c r="F42" s="180"/>
    </row>
    <row r="43" spans="1:6" ht="26.25" x14ac:dyDescent="0.3">
      <c r="A43" s="85" t="s">
        <v>3</v>
      </c>
      <c r="B43" s="295">
        <f>$B$4</f>
        <v>40</v>
      </c>
      <c r="C43" s="55">
        <f>SUM(C4:C20,C37:C39,C32:C33,C24:C28)</f>
        <v>0</v>
      </c>
      <c r="D43" s="54">
        <f>IFERROR(ROUNDDOWN(C43/B43,0),"")</f>
        <v>0</v>
      </c>
      <c r="E43" s="56"/>
      <c r="F43" s="119">
        <f>IFERROR(C43-(D43*B43),"")</f>
        <v>0</v>
      </c>
    </row>
    <row r="44" spans="1:6" ht="27" thickBot="1" x14ac:dyDescent="0.35">
      <c r="A44" s="42" t="s">
        <v>285</v>
      </c>
      <c r="B44" s="43" t="s">
        <v>173</v>
      </c>
      <c r="C44" s="40"/>
      <c r="D44" s="41">
        <f>SUM(D4:D20,D37:D39,D32:D33,D24:D28)</f>
        <v>0</v>
      </c>
      <c r="E44" s="48"/>
      <c r="F44" s="91">
        <f>SUM(F4:F20,F37:F39,F32:F33,F24:F28)</f>
        <v>0</v>
      </c>
    </row>
    <row r="45" spans="1:6" ht="22.5" customHeight="1" x14ac:dyDescent="0.3">
      <c r="C45" s="75">
        <f>C22+C30+C35+C41</f>
        <v>0</v>
      </c>
    </row>
    <row r="46" spans="1:6" x14ac:dyDescent="0.3">
      <c r="C46" s="34" t="b">
        <f>C45=C43</f>
        <v>1</v>
      </c>
    </row>
  </sheetData>
  <mergeCells count="7">
    <mergeCell ref="A40:F40"/>
    <mergeCell ref="A1:F1"/>
    <mergeCell ref="B2:F2"/>
    <mergeCell ref="A21:F21"/>
    <mergeCell ref="A29:F29"/>
    <mergeCell ref="A31:F31"/>
    <mergeCell ref="A34:F3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783C-9428-4648-BBF4-4CABEE01A360}">
  <sheetPr>
    <tabColor theme="8" tint="0.59999389629810485"/>
    <pageSetUpPr fitToPage="1"/>
  </sheetPr>
  <dimension ref="A1:F80"/>
  <sheetViews>
    <sheetView topLeftCell="A56" zoomScale="55" zoomScaleNormal="55" zoomScaleSheetLayoutView="40" workbookViewId="0">
      <selection activeCell="A74" sqref="A74:F80"/>
    </sheetView>
  </sheetViews>
  <sheetFormatPr defaultColWidth="9" defaultRowHeight="16.5" x14ac:dyDescent="0.3"/>
  <cols>
    <col min="1" max="1" width="31.5" style="34" customWidth="1"/>
    <col min="2" max="2" width="7.625" style="38" customWidth="1"/>
    <col min="3" max="3" width="30.625" style="34" customWidth="1"/>
    <col min="4" max="4" width="12.375" style="2" bestFit="1" customWidth="1"/>
    <col min="5" max="5" width="11.375" style="34" customWidth="1"/>
    <col min="6" max="6" width="11.125" style="2" customWidth="1"/>
    <col min="7" max="11" width="9" style="34"/>
    <col min="12" max="12" width="35" style="34" bestFit="1" customWidth="1"/>
    <col min="13" max="16" width="9" style="34"/>
    <col min="17" max="17" width="35" style="34" bestFit="1" customWidth="1"/>
    <col min="18" max="18" width="8" style="34" bestFit="1" customWidth="1"/>
    <col min="19" max="16384" width="9" style="34"/>
  </cols>
  <sheetData>
    <row r="1" spans="1:6" ht="32.25" customHeight="1" x14ac:dyDescent="0.3">
      <c r="A1" s="321" t="s">
        <v>319</v>
      </c>
      <c r="B1" s="38" t="s">
        <v>304</v>
      </c>
    </row>
    <row r="2" spans="1:6" ht="32.25" customHeight="1" thickBot="1" x14ac:dyDescent="0.35">
      <c r="A2" s="321"/>
    </row>
    <row r="3" spans="1:6" ht="42" customHeight="1" x14ac:dyDescent="0.3">
      <c r="A3" s="60">
        <f ca="1">TODAY()</f>
        <v>46314</v>
      </c>
      <c r="B3" s="338" t="s">
        <v>295</v>
      </c>
      <c r="C3" s="338"/>
      <c r="D3" s="338"/>
      <c r="E3" s="338"/>
      <c r="F3" s="365"/>
    </row>
    <row r="4" spans="1:6" ht="42" customHeight="1" x14ac:dyDescent="0.3">
      <c r="A4" s="308" t="str">
        <f>A1</f>
        <v>10/16 납품</v>
      </c>
      <c r="B4" s="309" t="s">
        <v>13</v>
      </c>
      <c r="C4" s="310" t="s">
        <v>308</v>
      </c>
      <c r="D4" s="311" t="s">
        <v>2</v>
      </c>
      <c r="E4" s="309" t="s">
        <v>23</v>
      </c>
      <c r="F4" s="312" t="s">
        <v>14</v>
      </c>
    </row>
    <row r="5" spans="1:6" ht="42" customHeight="1" x14ac:dyDescent="0.3">
      <c r="A5" s="247" t="s">
        <v>259</v>
      </c>
      <c r="B5" s="278">
        <v>24</v>
      </c>
      <c r="C5" s="279">
        <f>IFERROR(VLOOKUP(A5,'스위트조이 피벗'!$A$1:$AL$21,2,FALSE),0)</f>
        <v>0</v>
      </c>
      <c r="D5" s="279">
        <f>IFERROR(ROUNDDOWN(C5/B5,0),"")</f>
        <v>0</v>
      </c>
      <c r="E5" s="246" t="s">
        <v>280</v>
      </c>
      <c r="F5" s="299">
        <f>IFERROR(C5-(D5*B5),"")</f>
        <v>0</v>
      </c>
    </row>
    <row r="6" spans="1:6" ht="42" customHeight="1" x14ac:dyDescent="0.3">
      <c r="A6" s="247" t="s">
        <v>260</v>
      </c>
      <c r="B6" s="278">
        <v>24</v>
      </c>
      <c r="C6" s="279">
        <f>IFERROR(VLOOKUP(A6,'스위트조이 피벗'!$A$1:$AL$21,2,FALSE),0)</f>
        <v>0</v>
      </c>
      <c r="D6" s="279">
        <f>IFERROR(ROUNDDOWN(C6/B6,0),"")</f>
        <v>0</v>
      </c>
      <c r="E6" s="246" t="s">
        <v>281</v>
      </c>
      <c r="F6" s="299">
        <f>IFERROR(C6-(D6*B6),"")</f>
        <v>0</v>
      </c>
    </row>
    <row r="7" spans="1:6" ht="4.5" customHeight="1" x14ac:dyDescent="0.3">
      <c r="A7" s="362"/>
      <c r="B7" s="366"/>
      <c r="C7" s="366"/>
      <c r="D7" s="366"/>
      <c r="E7" s="363"/>
      <c r="F7" s="367"/>
    </row>
    <row r="8" spans="1:6" ht="42" customHeight="1" x14ac:dyDescent="0.3">
      <c r="A8" s="313" t="s">
        <v>3</v>
      </c>
      <c r="B8" s="314">
        <v>24</v>
      </c>
      <c r="C8" s="315">
        <f>SUM(C5:C6)</f>
        <v>0</v>
      </c>
      <c r="D8" s="315">
        <f>IFERROR(ROUNDDOWN(C8/B8,0),"")</f>
        <v>0</v>
      </c>
      <c r="E8" s="316"/>
      <c r="F8" s="317">
        <f>IFERROR(C8-(D8*B8),"")</f>
        <v>0</v>
      </c>
    </row>
    <row r="9" spans="1:6" ht="42" customHeight="1" thickBot="1" x14ac:dyDescent="0.35">
      <c r="A9" s="254" t="s">
        <v>36</v>
      </c>
      <c r="B9" s="281" t="s">
        <v>173</v>
      </c>
      <c r="C9" s="40"/>
      <c r="D9" s="41">
        <f>SUM(D5:D6)</f>
        <v>0</v>
      </c>
      <c r="E9" s="255"/>
      <c r="F9" s="91">
        <f>SUM(F5:F6)</f>
        <v>0</v>
      </c>
    </row>
    <row r="10" spans="1:6" ht="27" thickBot="1" x14ac:dyDescent="0.35">
      <c r="A10" s="256"/>
      <c r="B10" s="282"/>
      <c r="C10" s="71"/>
      <c r="D10" s="283"/>
      <c r="E10" s="258"/>
      <c r="F10" s="301" t="s">
        <v>173</v>
      </c>
    </row>
    <row r="11" spans="1:6" ht="42" customHeight="1" x14ac:dyDescent="0.3">
      <c r="A11" s="60">
        <f ca="1">TODAY()</f>
        <v>46314</v>
      </c>
      <c r="B11" s="338" t="s">
        <v>295</v>
      </c>
      <c r="C11" s="338"/>
      <c r="D11" s="338"/>
      <c r="E11" s="338"/>
      <c r="F11" s="365"/>
    </row>
    <row r="12" spans="1:6" ht="42" customHeight="1" x14ac:dyDescent="0.3">
      <c r="A12" s="221" t="str">
        <f>A1</f>
        <v>10/16 납품</v>
      </c>
      <c r="B12" s="222" t="s">
        <v>13</v>
      </c>
      <c r="C12" s="223" t="s">
        <v>289</v>
      </c>
      <c r="D12" s="224" t="s">
        <v>2</v>
      </c>
      <c r="E12" s="222" t="s">
        <v>23</v>
      </c>
      <c r="F12" s="225" t="s">
        <v>14</v>
      </c>
    </row>
    <row r="13" spans="1:6" ht="42" customHeight="1" x14ac:dyDescent="0.3">
      <c r="A13" s="247" t="s">
        <v>259</v>
      </c>
      <c r="B13" s="278">
        <v>12</v>
      </c>
      <c r="C13" s="279">
        <f>IFERROR(VLOOKUP(A13,'스위트조이 피벗'!$A$1:$AL$21,3,FALSE),0)</f>
        <v>0</v>
      </c>
      <c r="D13" s="279">
        <f>IFERROR(ROUNDDOWN(C13/B13,0),"")</f>
        <v>0</v>
      </c>
      <c r="E13" s="246" t="s">
        <v>280</v>
      </c>
      <c r="F13" s="299">
        <f>IFERROR(C13-(D13*B13),"")</f>
        <v>0</v>
      </c>
    </row>
    <row r="14" spans="1:6" ht="42" customHeight="1" x14ac:dyDescent="0.3">
      <c r="A14" s="247" t="s">
        <v>260</v>
      </c>
      <c r="B14" s="278">
        <v>12</v>
      </c>
      <c r="C14" s="279">
        <f>IFERROR(VLOOKUP(A14,'스위트조이 피벗'!$A$1:$AL$21,3,FALSE),0)</f>
        <v>48</v>
      </c>
      <c r="D14" s="279">
        <f>IFERROR(ROUNDDOWN(C14/B14,0),"")</f>
        <v>4</v>
      </c>
      <c r="E14" s="246" t="s">
        <v>281</v>
      </c>
      <c r="F14" s="299">
        <f>IFERROR(C14-(D14*B14),"")</f>
        <v>0</v>
      </c>
    </row>
    <row r="15" spans="1:6" ht="4.5" customHeight="1" x14ac:dyDescent="0.3">
      <c r="A15" s="362"/>
      <c r="B15" s="366"/>
      <c r="C15" s="366"/>
      <c r="D15" s="366"/>
      <c r="E15" s="363"/>
      <c r="F15" s="367"/>
    </row>
    <row r="16" spans="1:6" ht="42" customHeight="1" x14ac:dyDescent="0.3">
      <c r="A16" s="252" t="s">
        <v>3</v>
      </c>
      <c r="B16" s="280">
        <v>12</v>
      </c>
      <c r="C16" s="226">
        <f>SUM(C13:C14)</f>
        <v>48</v>
      </c>
      <c r="D16" s="226">
        <f>IFERROR(ROUNDDOWN(C16/B16,0),"")</f>
        <v>4</v>
      </c>
      <c r="E16" s="253"/>
      <c r="F16" s="227">
        <f>IFERROR(C16-(D16*B16),"")</f>
        <v>0</v>
      </c>
    </row>
    <row r="17" spans="1:6" ht="42" customHeight="1" thickBot="1" x14ac:dyDescent="0.35">
      <c r="A17" s="254" t="s">
        <v>36</v>
      </c>
      <c r="B17" s="281" t="s">
        <v>173</v>
      </c>
      <c r="C17" s="40"/>
      <c r="D17" s="41">
        <f>SUM(D13:D14)</f>
        <v>4</v>
      </c>
      <c r="E17" s="255"/>
      <c r="F17" s="91">
        <f>SUM(F13:F14)</f>
        <v>0</v>
      </c>
    </row>
    <row r="18" spans="1:6" ht="27" thickBot="1" x14ac:dyDescent="0.35">
      <c r="A18" s="256"/>
      <c r="B18" s="282"/>
      <c r="C18" s="71"/>
      <c r="D18" s="283"/>
      <c r="E18" s="256"/>
      <c r="F18" s="283"/>
    </row>
    <row r="19" spans="1:6" ht="42" customHeight="1" x14ac:dyDescent="0.3">
      <c r="A19" s="60">
        <f ca="1">TODAY()</f>
        <v>46314</v>
      </c>
      <c r="B19" s="368" t="s">
        <v>295</v>
      </c>
      <c r="C19" s="368"/>
      <c r="D19" s="368"/>
      <c r="E19" s="338"/>
      <c r="F19" s="369"/>
    </row>
    <row r="20" spans="1:6" ht="42" customHeight="1" x14ac:dyDescent="0.3">
      <c r="A20" s="304" t="str">
        <f>A1</f>
        <v>10/16 납품</v>
      </c>
      <c r="B20" s="284" t="s">
        <v>13</v>
      </c>
      <c r="C20" s="285" t="s">
        <v>290</v>
      </c>
      <c r="D20" s="286" t="s">
        <v>2</v>
      </c>
      <c r="E20" s="260" t="s">
        <v>23</v>
      </c>
      <c r="F20" s="302" t="s">
        <v>14</v>
      </c>
    </row>
    <row r="21" spans="1:6" ht="42" customHeight="1" x14ac:dyDescent="0.3">
      <c r="A21" s="247" t="s">
        <v>259</v>
      </c>
      <c r="B21" s="278">
        <v>12</v>
      </c>
      <c r="C21" s="279">
        <f>IFERROR(VLOOKUP(A21,'스위트조이 피벗'!$A$1:$AL$21,4,FALSE),0)</f>
        <v>0</v>
      </c>
      <c r="D21" s="279">
        <f>IFERROR(ROUNDDOWN(C21/B21,0),"")</f>
        <v>0</v>
      </c>
      <c r="E21" s="246" t="s">
        <v>280</v>
      </c>
      <c r="F21" s="299">
        <f>IFERROR(C21-(D21*B21),"")</f>
        <v>0</v>
      </c>
    </row>
    <row r="22" spans="1:6" ht="42" customHeight="1" x14ac:dyDescent="0.3">
      <c r="A22" s="247" t="s">
        <v>260</v>
      </c>
      <c r="B22" s="278">
        <v>12</v>
      </c>
      <c r="C22" s="279">
        <f>IFERROR(VLOOKUP(A22,'스위트조이 피벗'!$A$1:$AL$21,4,FALSE),0)</f>
        <v>12</v>
      </c>
      <c r="D22" s="279">
        <f>IFERROR(ROUNDDOWN(C22/B22,0),"")</f>
        <v>1</v>
      </c>
      <c r="E22" s="246" t="s">
        <v>281</v>
      </c>
      <c r="F22" s="299">
        <f>IFERROR(C22-(D22*B22),"")</f>
        <v>0</v>
      </c>
    </row>
    <row r="23" spans="1:6" ht="4.5" customHeight="1" x14ac:dyDescent="0.3">
      <c r="A23" s="362"/>
      <c r="B23" s="366"/>
      <c r="C23" s="366"/>
      <c r="D23" s="366"/>
      <c r="E23" s="363"/>
      <c r="F23" s="367"/>
    </row>
    <row r="24" spans="1:6" ht="42" customHeight="1" x14ac:dyDescent="0.3">
      <c r="A24" s="261" t="s">
        <v>3</v>
      </c>
      <c r="B24" s="287">
        <v>12</v>
      </c>
      <c r="C24" s="219">
        <f>SUM(C21:C22)</f>
        <v>12</v>
      </c>
      <c r="D24" s="219">
        <f>IFERROR(ROUNDDOWN(C24/B24,0),"")</f>
        <v>1</v>
      </c>
      <c r="E24" s="262"/>
      <c r="F24" s="218">
        <f>IFERROR(C24-(D24*B24),"")</f>
        <v>0</v>
      </c>
    </row>
    <row r="25" spans="1:6" ht="42" customHeight="1" thickBot="1" x14ac:dyDescent="0.35">
      <c r="A25" s="254" t="s">
        <v>36</v>
      </c>
      <c r="B25" s="281" t="s">
        <v>173</v>
      </c>
      <c r="C25" s="40"/>
      <c r="D25" s="41">
        <f>SUM(D21:D22)</f>
        <v>1</v>
      </c>
      <c r="E25" s="255"/>
      <c r="F25" s="91">
        <f>SUM(F21:F22)</f>
        <v>0</v>
      </c>
    </row>
    <row r="26" spans="1:6" ht="26.25" x14ac:dyDescent="0.3">
      <c r="A26" s="256"/>
      <c r="B26" s="282"/>
      <c r="C26" s="71"/>
      <c r="D26" s="283"/>
      <c r="E26" s="258"/>
      <c r="F26" s="301" t="s">
        <v>173</v>
      </c>
    </row>
    <row r="27" spans="1:6" ht="27" thickBot="1" x14ac:dyDescent="0.35">
      <c r="A27" s="256"/>
      <c r="B27" s="282"/>
      <c r="C27" s="71"/>
      <c r="D27" s="283"/>
      <c r="E27" s="256"/>
      <c r="F27" s="283"/>
    </row>
    <row r="28" spans="1:6" ht="42" customHeight="1" x14ac:dyDescent="0.3">
      <c r="A28" s="60">
        <f ca="1">TODAY()</f>
        <v>46314</v>
      </c>
      <c r="B28" s="368" t="s">
        <v>295</v>
      </c>
      <c r="C28" s="368"/>
      <c r="D28" s="368"/>
      <c r="E28" s="338"/>
      <c r="F28" s="369"/>
    </row>
    <row r="29" spans="1:6" ht="42" customHeight="1" x14ac:dyDescent="0.3">
      <c r="A29" s="305" t="str">
        <f>A1</f>
        <v>10/16 납품</v>
      </c>
      <c r="B29" s="263" t="s">
        <v>13</v>
      </c>
      <c r="C29" s="264" t="s">
        <v>291</v>
      </c>
      <c r="D29" s="265" t="s">
        <v>2</v>
      </c>
      <c r="E29" s="263" t="s">
        <v>23</v>
      </c>
      <c r="F29" s="266" t="s">
        <v>14</v>
      </c>
    </row>
    <row r="30" spans="1:6" ht="42" customHeight="1" x14ac:dyDescent="0.3">
      <c r="A30" s="247" t="s">
        <v>259</v>
      </c>
      <c r="B30" s="289">
        <v>12</v>
      </c>
      <c r="C30" s="279">
        <f>IFERROR(VLOOKUP(A30,'스위트조이 피벗'!$A$1:$AL$21,5,FALSE),0)</f>
        <v>0</v>
      </c>
      <c r="D30" s="279">
        <f>IFERROR(ROUNDDOWN(C30/B30,0),"")</f>
        <v>0</v>
      </c>
      <c r="E30" s="246" t="s">
        <v>280</v>
      </c>
      <c r="F30" s="299">
        <f>IFERROR(C30-(D30*B30),"")</f>
        <v>0</v>
      </c>
    </row>
    <row r="31" spans="1:6" ht="42" customHeight="1" x14ac:dyDescent="0.3">
      <c r="A31" s="247" t="s">
        <v>260</v>
      </c>
      <c r="B31" s="245">
        <v>12</v>
      </c>
      <c r="C31" s="20">
        <f>IFERROR(VLOOKUP(A31,'스위트조이 피벗'!$A$1:$AL$21,5,FALSE),0)</f>
        <v>0</v>
      </c>
      <c r="D31" s="20">
        <f>IFERROR(ROUNDDOWN(C31/B31,0),"")</f>
        <v>0</v>
      </c>
      <c r="E31" s="246" t="s">
        <v>281</v>
      </c>
      <c r="F31" s="26">
        <f>IFERROR(C31-(D31*B31),"")</f>
        <v>0</v>
      </c>
    </row>
    <row r="32" spans="1:6" ht="4.5" customHeight="1" x14ac:dyDescent="0.3">
      <c r="A32" s="362"/>
      <c r="B32" s="366"/>
      <c r="C32" s="366"/>
      <c r="D32" s="366"/>
      <c r="E32" s="363"/>
      <c r="F32" s="367"/>
    </row>
    <row r="33" spans="1:6" ht="42" customHeight="1" x14ac:dyDescent="0.3">
      <c r="A33" s="267" t="s">
        <v>3</v>
      </c>
      <c r="B33" s="290">
        <v>12</v>
      </c>
      <c r="C33" s="228">
        <f>SUM(C30:C31)</f>
        <v>0</v>
      </c>
      <c r="D33" s="228">
        <f>IFERROR(ROUNDDOWN(C33/B33,0),"")</f>
        <v>0</v>
      </c>
      <c r="E33" s="268"/>
      <c r="F33" s="229">
        <f>IFERROR(C33-(D33*B33),"")</f>
        <v>0</v>
      </c>
    </row>
    <row r="34" spans="1:6" ht="42" customHeight="1" thickBot="1" x14ac:dyDescent="0.35">
      <c r="A34" s="254" t="s">
        <v>36</v>
      </c>
      <c r="B34" s="281" t="s">
        <v>173</v>
      </c>
      <c r="C34" s="40"/>
      <c r="D34" s="41">
        <f>SUM(D30:D31)</f>
        <v>0</v>
      </c>
      <c r="E34" s="255"/>
      <c r="F34" s="91">
        <f>SUM(F30:F31)</f>
        <v>0</v>
      </c>
    </row>
    <row r="35" spans="1:6" ht="26.25" x14ac:dyDescent="0.3">
      <c r="A35" s="256"/>
      <c r="B35" s="282"/>
      <c r="C35" s="71"/>
      <c r="D35" s="283"/>
      <c r="E35" s="258"/>
      <c r="F35" s="301" t="s">
        <v>173</v>
      </c>
    </row>
    <row r="36" spans="1:6" ht="27" thickBot="1" x14ac:dyDescent="0.35">
      <c r="A36" s="256"/>
      <c r="B36" s="282"/>
      <c r="C36" s="71"/>
      <c r="D36" s="283"/>
      <c r="E36" s="256"/>
      <c r="F36" s="283"/>
    </row>
    <row r="37" spans="1:6" ht="42" customHeight="1" x14ac:dyDescent="0.3">
      <c r="A37" s="60">
        <f ca="1">TODAY()</f>
        <v>46314</v>
      </c>
      <c r="B37" s="338" t="s">
        <v>295</v>
      </c>
      <c r="C37" s="338"/>
      <c r="D37" s="338"/>
      <c r="E37" s="338"/>
      <c r="F37" s="365"/>
    </row>
    <row r="38" spans="1:6" ht="42" customHeight="1" x14ac:dyDescent="0.3">
      <c r="A38" s="216" t="str">
        <f>A1</f>
        <v>10/16 납품</v>
      </c>
      <c r="B38" s="291" t="s">
        <v>13</v>
      </c>
      <c r="C38" s="297" t="s">
        <v>288</v>
      </c>
      <c r="D38" s="298" t="s">
        <v>2</v>
      </c>
      <c r="E38" s="269" t="s">
        <v>23</v>
      </c>
      <c r="F38" s="300" t="s">
        <v>14</v>
      </c>
    </row>
    <row r="39" spans="1:6" ht="42" customHeight="1" x14ac:dyDescent="0.3">
      <c r="A39" s="247" t="s">
        <v>259</v>
      </c>
      <c r="B39" s="245">
        <v>12</v>
      </c>
      <c r="C39" s="20">
        <f>IFERROR(VLOOKUP(A39,'스위트조이 피벗'!$A$1:$AL$21,6,FALSE),0)</f>
        <v>24</v>
      </c>
      <c r="D39" s="20">
        <f>IFERROR(ROUNDDOWN(C39/B39,0),"")</f>
        <v>2</v>
      </c>
      <c r="E39" s="246" t="s">
        <v>280</v>
      </c>
      <c r="F39" s="26">
        <f>IFERROR(C39-(D39*B39),"")</f>
        <v>0</v>
      </c>
    </row>
    <row r="40" spans="1:6" ht="42" customHeight="1" x14ac:dyDescent="0.3">
      <c r="A40" s="247" t="s">
        <v>260</v>
      </c>
      <c r="B40" s="278">
        <v>12</v>
      </c>
      <c r="C40" s="279">
        <f>IFERROR(VLOOKUP(A40,'스위트조이 피벗'!$A$1:$AL$21,6,FALSE),0)</f>
        <v>0</v>
      </c>
      <c r="D40" s="279">
        <f>IFERROR(ROUNDDOWN(C40/B40,0),"")</f>
        <v>0</v>
      </c>
      <c r="E40" s="246" t="s">
        <v>281</v>
      </c>
      <c r="F40" s="299">
        <f>IFERROR(C40-(D40*B40),"")</f>
        <v>0</v>
      </c>
    </row>
    <row r="41" spans="1:6" ht="4.5" customHeight="1" x14ac:dyDescent="0.3">
      <c r="A41" s="362"/>
      <c r="B41" s="366"/>
      <c r="C41" s="366"/>
      <c r="D41" s="366"/>
      <c r="E41" s="363"/>
      <c r="F41" s="367"/>
    </row>
    <row r="42" spans="1:6" ht="42" customHeight="1" x14ac:dyDescent="0.3">
      <c r="A42" s="270" t="s">
        <v>3</v>
      </c>
      <c r="B42" s="271">
        <f>B40</f>
        <v>12</v>
      </c>
      <c r="C42" s="272">
        <f>SUM(C39:C40)</f>
        <v>24</v>
      </c>
      <c r="D42" s="272">
        <f>IFERROR(ROUNDDOWN(C42/B42,0),"")</f>
        <v>2</v>
      </c>
      <c r="E42" s="273"/>
      <c r="F42" s="274">
        <f>IFERROR(C42-(D42*B42),"")</f>
        <v>0</v>
      </c>
    </row>
    <row r="43" spans="1:6" ht="42" customHeight="1" thickBot="1" x14ac:dyDescent="0.35">
      <c r="A43" s="254" t="s">
        <v>36</v>
      </c>
      <c r="B43" s="292" t="s">
        <v>173</v>
      </c>
      <c r="C43" s="40"/>
      <c r="D43" s="41">
        <f>SUM(D39:D40)</f>
        <v>2</v>
      </c>
      <c r="E43" s="255"/>
      <c r="F43" s="91">
        <f>SUM(F39:F40)</f>
        <v>0</v>
      </c>
    </row>
    <row r="44" spans="1:6" ht="20.25" x14ac:dyDescent="0.3">
      <c r="A44" s="256"/>
      <c r="B44" s="257"/>
      <c r="C44" s="256"/>
      <c r="D44" s="163"/>
      <c r="E44" s="258"/>
      <c r="F44" s="259" t="s">
        <v>173</v>
      </c>
    </row>
    <row r="45" spans="1:6" ht="27" thickBot="1" x14ac:dyDescent="0.35">
      <c r="A45" s="256"/>
      <c r="B45" s="282"/>
      <c r="C45" s="71"/>
      <c r="D45" s="283"/>
      <c r="E45" s="256"/>
      <c r="F45" s="283"/>
    </row>
    <row r="46" spans="1:6" ht="42" customHeight="1" x14ac:dyDescent="0.3">
      <c r="A46" s="60">
        <f ca="1">TODAY()</f>
        <v>46314</v>
      </c>
      <c r="B46" s="370" t="s">
        <v>295</v>
      </c>
      <c r="C46" s="371"/>
      <c r="D46" s="371"/>
      <c r="E46" s="371"/>
      <c r="F46" s="372"/>
    </row>
    <row r="47" spans="1:6" ht="42" customHeight="1" x14ac:dyDescent="0.3">
      <c r="A47" s="306" t="str">
        <f>A1</f>
        <v>10/16 납품</v>
      </c>
      <c r="B47" s="293" t="s">
        <v>13</v>
      </c>
      <c r="C47" s="307" t="s">
        <v>293</v>
      </c>
      <c r="D47" s="294" t="s">
        <v>2</v>
      </c>
      <c r="E47" s="275" t="s">
        <v>23</v>
      </c>
      <c r="F47" s="303" t="s">
        <v>14</v>
      </c>
    </row>
    <row r="48" spans="1:6" ht="42" customHeight="1" x14ac:dyDescent="0.3">
      <c r="A48" s="49" t="s">
        <v>259</v>
      </c>
      <c r="B48" s="50">
        <v>24</v>
      </c>
      <c r="C48" s="24">
        <f>IFERROR(VLOOKUP(A48,'스위트조이 피벗'!$A$1:$AL$21,7,FALSE),0)</f>
        <v>0</v>
      </c>
      <c r="D48" s="20">
        <f>IFERROR(ROUNDDOWN(C48/B48,0),"")</f>
        <v>0</v>
      </c>
      <c r="E48" s="51" t="s">
        <v>280</v>
      </c>
      <c r="F48" s="26">
        <f>IFERROR(C48-(D48*B48),"")</f>
        <v>0</v>
      </c>
    </row>
    <row r="49" spans="1:6" ht="42" customHeight="1" x14ac:dyDescent="0.3">
      <c r="A49" s="49" t="s">
        <v>260</v>
      </c>
      <c r="B49" s="289">
        <v>24</v>
      </c>
      <c r="C49" s="24">
        <f>IFERROR(VLOOKUP(A49,'스위트조이 피벗'!$A$1:$AL$21,7,FALSE),0)</f>
        <v>0</v>
      </c>
      <c r="D49" s="20">
        <f>IFERROR(ROUNDDOWN(C49/B49,0),"")</f>
        <v>0</v>
      </c>
      <c r="E49" s="51" t="s">
        <v>281</v>
      </c>
      <c r="F49" s="299">
        <f>IFERROR(C49-(D49*B49),"")</f>
        <v>0</v>
      </c>
    </row>
    <row r="50" spans="1:6" ht="4.5" customHeight="1" x14ac:dyDescent="0.3">
      <c r="A50" s="356"/>
      <c r="B50" s="357"/>
      <c r="C50" s="357"/>
      <c r="D50" s="357"/>
      <c r="E50" s="357"/>
      <c r="F50" s="358"/>
    </row>
    <row r="51" spans="1:6" ht="42" customHeight="1" x14ac:dyDescent="0.3">
      <c r="A51" s="230" t="s">
        <v>3</v>
      </c>
      <c r="B51" s="296">
        <f>B49</f>
        <v>24</v>
      </c>
      <c r="C51" s="231">
        <f>SUM(C48:C49)</f>
        <v>0</v>
      </c>
      <c r="D51" s="231">
        <f>IFERROR(ROUNDDOWN(C51/B51,0),"")</f>
        <v>0</v>
      </c>
      <c r="E51" s="232"/>
      <c r="F51" s="233">
        <f>IFERROR(C51-(D51*B51),"")</f>
        <v>0</v>
      </c>
    </row>
    <row r="52" spans="1:6" ht="42" customHeight="1" thickBot="1" x14ac:dyDescent="0.35">
      <c r="A52" s="220" t="s">
        <v>36</v>
      </c>
      <c r="B52" s="43" t="s">
        <v>173</v>
      </c>
      <c r="C52" s="40"/>
      <c r="D52" s="41">
        <f>SUM(D48:D49)</f>
        <v>0</v>
      </c>
      <c r="E52" s="48"/>
      <c r="F52" s="91">
        <f>SUM(F48:F49)</f>
        <v>0</v>
      </c>
    </row>
    <row r="53" spans="1:6" ht="24" x14ac:dyDescent="0.3">
      <c r="E53" s="192"/>
      <c r="F53" s="217" t="s">
        <v>173</v>
      </c>
    </row>
    <row r="54" spans="1:6" ht="17.25" thickBot="1" x14ac:dyDescent="0.35"/>
    <row r="55" spans="1:6" ht="42" customHeight="1" x14ac:dyDescent="0.3">
      <c r="A55" s="60">
        <f ca="1">TODAY()</f>
        <v>46314</v>
      </c>
      <c r="B55" s="338" t="s">
        <v>295</v>
      </c>
      <c r="C55" s="338"/>
      <c r="D55" s="338"/>
      <c r="E55" s="338"/>
      <c r="F55" s="365"/>
    </row>
    <row r="56" spans="1:6" ht="42" customHeight="1" x14ac:dyDescent="0.3">
      <c r="A56" s="234" t="str">
        <f>A1</f>
        <v>10/16 납품</v>
      </c>
      <c r="B56" s="235" t="s">
        <v>13</v>
      </c>
      <c r="C56" s="236" t="s">
        <v>294</v>
      </c>
      <c r="D56" s="237" t="s">
        <v>2</v>
      </c>
      <c r="E56" s="235" t="s">
        <v>23</v>
      </c>
      <c r="F56" s="238" t="s">
        <v>14</v>
      </c>
    </row>
    <row r="57" spans="1:6" ht="42" customHeight="1" x14ac:dyDescent="0.3">
      <c r="A57" s="49" t="s">
        <v>259</v>
      </c>
      <c r="B57" s="50">
        <v>24</v>
      </c>
      <c r="C57" s="24">
        <f>IFERROR(VLOOKUP(A57,'스위트조이 피벗'!$A$1:$AL$21,8,FALSE),0)</f>
        <v>0</v>
      </c>
      <c r="D57" s="20">
        <f>IFERROR(ROUNDDOWN(C57/B57,0),"")</f>
        <v>0</v>
      </c>
      <c r="E57" s="51" t="s">
        <v>280</v>
      </c>
      <c r="F57" s="26">
        <f>IFERROR(C57-(D57*B57),"")</f>
        <v>0</v>
      </c>
    </row>
    <row r="58" spans="1:6" ht="42" customHeight="1" x14ac:dyDescent="0.3">
      <c r="A58" s="49" t="s">
        <v>260</v>
      </c>
      <c r="B58" s="50">
        <v>24</v>
      </c>
      <c r="C58" s="24">
        <f>IFERROR(VLOOKUP(A58,'스위트조이 피벗'!$A$1:$AL$21,8,FALSE),0)</f>
        <v>0</v>
      </c>
      <c r="D58" s="20">
        <f>IFERROR(ROUNDDOWN(C58/B58,0),"")</f>
        <v>0</v>
      </c>
      <c r="E58" s="51" t="s">
        <v>281</v>
      </c>
      <c r="F58" s="26">
        <f>IFERROR(C58-(D58*B58),"")</f>
        <v>0</v>
      </c>
    </row>
    <row r="59" spans="1:6" ht="4.5" customHeight="1" x14ac:dyDescent="0.3">
      <c r="A59" s="356"/>
      <c r="B59" s="357"/>
      <c r="C59" s="357"/>
      <c r="D59" s="357"/>
      <c r="E59" s="357"/>
      <c r="F59" s="358"/>
    </row>
    <row r="60" spans="1:6" ht="42" customHeight="1" x14ac:dyDescent="0.3">
      <c r="A60" s="239" t="s">
        <v>3</v>
      </c>
      <c r="B60" s="240">
        <f>B58</f>
        <v>24</v>
      </c>
      <c r="C60" s="241">
        <f>SUM(C57:C58)</f>
        <v>0</v>
      </c>
      <c r="D60" s="241">
        <f>IFERROR(ROUNDDOWN(C60/B60,0),"")</f>
        <v>0</v>
      </c>
      <c r="E60" s="242"/>
      <c r="F60" s="243">
        <f>IFERROR(C60-(D60*B60),"")</f>
        <v>0</v>
      </c>
    </row>
    <row r="61" spans="1:6" ht="42" customHeight="1" thickBot="1" x14ac:dyDescent="0.35">
      <c r="A61" s="220" t="s">
        <v>36</v>
      </c>
      <c r="B61" s="43" t="s">
        <v>173</v>
      </c>
      <c r="C61" s="40"/>
      <c r="D61" s="41">
        <f>SUM(D57:D58)</f>
        <v>0</v>
      </c>
      <c r="E61" s="48"/>
      <c r="F61" s="91">
        <f>SUM(F57:F58)</f>
        <v>0</v>
      </c>
    </row>
    <row r="62" spans="1:6" ht="24" x14ac:dyDescent="0.3">
      <c r="E62" s="192"/>
      <c r="F62" s="217" t="s">
        <v>173</v>
      </c>
    </row>
    <row r="71" spans="1:6" x14ac:dyDescent="0.3">
      <c r="A71" s="34" t="s">
        <v>318</v>
      </c>
    </row>
    <row r="73" spans="1:6" ht="17.25" thickBot="1" x14ac:dyDescent="0.35"/>
    <row r="74" spans="1:6" ht="43.5" customHeight="1" x14ac:dyDescent="0.3">
      <c r="A74" s="60">
        <f ca="1">TODAY()</f>
        <v>46314</v>
      </c>
      <c r="B74" s="338" t="s">
        <v>295</v>
      </c>
      <c r="C74" s="338"/>
      <c r="D74" s="338"/>
      <c r="E74" s="338"/>
      <c r="F74" s="365"/>
    </row>
    <row r="75" spans="1:6" ht="43.5" customHeight="1" x14ac:dyDescent="0.3">
      <c r="A75" s="323" t="str">
        <f>A71</f>
        <v>10/15 납품</v>
      </c>
      <c r="B75" s="324" t="s">
        <v>13</v>
      </c>
      <c r="C75" s="325" t="s">
        <v>321</v>
      </c>
      <c r="D75" s="326" t="s">
        <v>2</v>
      </c>
      <c r="E75" s="324" t="s">
        <v>23</v>
      </c>
      <c r="F75" s="327" t="s">
        <v>14</v>
      </c>
    </row>
    <row r="76" spans="1:6" ht="43.5" customHeight="1" x14ac:dyDescent="0.3">
      <c r="A76" s="49" t="s">
        <v>259</v>
      </c>
      <c r="B76" s="50">
        <v>40</v>
      </c>
      <c r="C76" s="24">
        <f>IFERROR(VLOOKUP(A76,'메롱바 피벗 (2)'!$A$1:$D$63,2,FALSE),0)</f>
        <v>0</v>
      </c>
      <c r="D76" s="20">
        <f>IFERROR(ROUNDDOWN(C76/B76,0),"")</f>
        <v>0</v>
      </c>
      <c r="E76" s="51" t="s">
        <v>280</v>
      </c>
      <c r="F76" s="26">
        <f>IFERROR(C76-(D76*B76),"")</f>
        <v>0</v>
      </c>
    </row>
    <row r="77" spans="1:6" ht="43.5" customHeight="1" x14ac:dyDescent="0.3">
      <c r="A77" s="49" t="s">
        <v>260</v>
      </c>
      <c r="B77" s="50">
        <v>40</v>
      </c>
      <c r="C77" s="24">
        <f>IFERROR(VLOOKUP(A77,'메롱바 피벗 (2)'!$A$1:$D$63,2,FALSE),0)</f>
        <v>0</v>
      </c>
      <c r="D77" s="20">
        <f>IFERROR(ROUNDDOWN(C77/B77,0),"")</f>
        <v>0</v>
      </c>
      <c r="E77" s="51" t="s">
        <v>281</v>
      </c>
      <c r="F77" s="26">
        <f>IFERROR(C77-(D77*B77),"")</f>
        <v>0</v>
      </c>
    </row>
    <row r="78" spans="1:6" ht="6.75" customHeight="1" x14ac:dyDescent="0.3">
      <c r="A78" s="356"/>
      <c r="B78" s="357"/>
      <c r="C78" s="357"/>
      <c r="D78" s="357"/>
      <c r="E78" s="357"/>
      <c r="F78" s="358"/>
    </row>
    <row r="79" spans="1:6" ht="43.5" customHeight="1" x14ac:dyDescent="0.3">
      <c r="A79" s="328" t="s">
        <v>3</v>
      </c>
      <c r="B79" s="329">
        <f>B77</f>
        <v>40</v>
      </c>
      <c r="C79" s="330">
        <f>SUM(C76:C77)</f>
        <v>0</v>
      </c>
      <c r="D79" s="330">
        <f>IFERROR(ROUNDDOWN(C79/B79,0),"")</f>
        <v>0</v>
      </c>
      <c r="E79" s="331"/>
      <c r="F79" s="332">
        <f>IFERROR(C79-(D79*B79),"")</f>
        <v>0</v>
      </c>
    </row>
    <row r="80" spans="1:6" ht="43.5" customHeight="1" thickBot="1" x14ac:dyDescent="0.35">
      <c r="A80" s="220" t="s">
        <v>36</v>
      </c>
      <c r="B80" s="43" t="s">
        <v>173</v>
      </c>
      <c r="C80" s="40"/>
      <c r="D80" s="41">
        <f>SUM(D76:D77)</f>
        <v>0</v>
      </c>
      <c r="E80" s="48"/>
      <c r="F80" s="91">
        <f>SUM(F76:F77)</f>
        <v>0</v>
      </c>
    </row>
  </sheetData>
  <mergeCells count="16">
    <mergeCell ref="B74:F74"/>
    <mergeCell ref="A78:F78"/>
    <mergeCell ref="B3:F3"/>
    <mergeCell ref="A7:F7"/>
    <mergeCell ref="B19:F19"/>
    <mergeCell ref="A50:F50"/>
    <mergeCell ref="B55:F55"/>
    <mergeCell ref="B11:F11"/>
    <mergeCell ref="A15:F15"/>
    <mergeCell ref="A59:F59"/>
    <mergeCell ref="A23:F23"/>
    <mergeCell ref="B28:F28"/>
    <mergeCell ref="A32:F32"/>
    <mergeCell ref="B37:F37"/>
    <mergeCell ref="A41:F41"/>
    <mergeCell ref="B46:F46"/>
  </mergeCells>
  <phoneticPr fontId="13" type="noConversion"/>
  <printOptions horizontalCentered="1" verticalCentered="1"/>
  <pageMargins left="0.2" right="0.19680555164813995" top="0.19680555164813995" bottom="0.19680555164813995" header="0.19680555164813995" footer="0.19680555164813995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46</vt:i4>
      </vt:variant>
      <vt:variant>
        <vt:lpstr>이름 지정된 범위</vt:lpstr>
      </vt:variant>
      <vt:variant>
        <vt:i4>45</vt:i4>
      </vt:variant>
    </vt:vector>
  </HeadingPairs>
  <TitlesOfParts>
    <vt:vector size="91" baseType="lpstr">
      <vt:lpstr>검수장</vt:lpstr>
      <vt:lpstr>신라명과피벗</vt:lpstr>
      <vt:lpstr>리얼)모닝롤</vt:lpstr>
      <vt:lpstr>★참조은 피벗( 냉동)3438600</vt:lpstr>
      <vt:lpstr>당과점)냉동옥수수타르트</vt:lpstr>
      <vt:lpstr>참조은)끼리치즈타르트</vt:lpstr>
      <vt:lpstr>★참조은 피벗( 냉동) (3546200)</vt:lpstr>
      <vt:lpstr>특)뉴욕베이글블루베리</vt:lpstr>
      <vt:lpstr>특)뉴욕베이글쿠앤크</vt:lpstr>
      <vt:lpstr>특)뉴욕베이글플레인</vt:lpstr>
      <vt:lpstr>특)뉴욕베이글피넛버터</vt:lpstr>
      <vt:lpstr>스위트조이 피벗</vt:lpstr>
      <vt:lpstr>스위트)미니언즈스탬프바</vt:lpstr>
      <vt:lpstr>스위트)아이스딸기바</vt:lpstr>
      <vt:lpstr>스위트)아이스복숭아바</vt:lpstr>
      <vt:lpstr>스위트)아이스파인애플바</vt:lpstr>
      <vt:lpstr>스위트)아이스포도바</vt:lpstr>
      <vt:lpstr>스위트)주토피아아이스바</vt:lpstr>
      <vt:lpstr>스위트)토이스토리아이스</vt:lpstr>
      <vt:lpstr>메롱바 피벗 (2)</vt:lpstr>
      <vt:lpstr>스위트)메롱바복숭아</vt:lpstr>
      <vt:lpstr>제주권(AZ공유)</vt:lpstr>
      <vt:lpstr>2300원굿딜)매콤불고기1</vt:lpstr>
      <vt:lpstr>2300원굿딜)매콤불고기2</vt:lpstr>
      <vt:lpstr>2300원굿딜)불갈비버거1</vt:lpstr>
      <vt:lpstr>2300원굿딜)불갈비버거2</vt:lpstr>
      <vt:lpstr>NEW직화석쇠불고기버거1편</vt:lpstr>
      <vt:lpstr>NEW직화석쇠불고기버거2편</vt:lpstr>
      <vt:lpstr>매콤직화석쇠불고기버거1편</vt:lpstr>
      <vt:lpstr>매콤직화석쇠불고기버거2편</vt:lpstr>
      <vt:lpstr>치즈왕돈까스버거1편</vt:lpstr>
      <vt:lpstr>치즈왕돈까스버거2편</vt:lpstr>
      <vt:lpstr>황치즈직화석쇠불고기버거1편</vt:lpstr>
      <vt:lpstr>황치즈직화석쇠불고기버거2편</vt:lpstr>
      <vt:lpstr>예)그릭샐러드</vt:lpstr>
      <vt:lpstr>예)닭가슴살샐러드</vt:lpstr>
      <vt:lpstr>예)들기름막국수샐러드</vt:lpstr>
      <vt:lpstr>예)모짜렐라샐러드</vt:lpstr>
      <vt:lpstr>예)새우샐러드</vt:lpstr>
      <vt:lpstr>예)연어샐러드</vt:lpstr>
      <vt:lpstr>예)직화불고기샐러드)</vt:lpstr>
      <vt:lpstr>예)칠리치킨샐러드</vt:lpstr>
      <vt:lpstr>예약)26년순살갈비탕</vt:lpstr>
      <vt:lpstr>예약)26년스지도가니탕</vt:lpstr>
      <vt:lpstr>예약)26년전통추어탕</vt:lpstr>
      <vt:lpstr>예약)26년한마리민물장어덮밥</vt:lpstr>
      <vt:lpstr>'★참조은 피벗( 냉동) (3546200)'!Print_Area</vt:lpstr>
      <vt:lpstr>'★참조은 피벗( 냉동)3438600'!Print_Area</vt:lpstr>
      <vt:lpstr>'2300원굿딜)매콤불고기1'!Print_Area</vt:lpstr>
      <vt:lpstr>'2300원굿딜)매콤불고기2'!Print_Area</vt:lpstr>
      <vt:lpstr>'2300원굿딜)불갈비버거1'!Print_Area</vt:lpstr>
      <vt:lpstr>'2300원굿딜)불갈비버거2'!Print_Area</vt:lpstr>
      <vt:lpstr>NEW직화석쇠불고기버거1편!Print_Area</vt:lpstr>
      <vt:lpstr>NEW직화석쇠불고기버거2편!Print_Area</vt:lpstr>
      <vt:lpstr>검수장!Print_Area</vt:lpstr>
      <vt:lpstr>'당과점)냉동옥수수타르트'!Print_Area</vt:lpstr>
      <vt:lpstr>'리얼)모닝롤'!Print_Area</vt:lpstr>
      <vt:lpstr>매콤직화석쇠불고기버거1편!Print_Area</vt:lpstr>
      <vt:lpstr>매콤직화석쇠불고기버거2편!Print_Area</vt:lpstr>
      <vt:lpstr>'메롱바 피벗 (2)'!Print_Area</vt:lpstr>
      <vt:lpstr>'스위트)메롱바복숭아'!Print_Area</vt:lpstr>
      <vt:lpstr>'스위트)미니언즈스탬프바'!Print_Area</vt:lpstr>
      <vt:lpstr>'스위트)아이스딸기바'!Print_Area</vt:lpstr>
      <vt:lpstr>'스위트)아이스복숭아바'!Print_Area</vt:lpstr>
      <vt:lpstr>'스위트)아이스파인애플바'!Print_Area</vt:lpstr>
      <vt:lpstr>'스위트)아이스포도바'!Print_Area</vt:lpstr>
      <vt:lpstr>'스위트)주토피아아이스바'!Print_Area</vt:lpstr>
      <vt:lpstr>'스위트)토이스토리아이스'!Print_Area</vt:lpstr>
      <vt:lpstr>'스위트조이 피벗'!Print_Area</vt:lpstr>
      <vt:lpstr>'예)그릭샐러드'!Print_Area</vt:lpstr>
      <vt:lpstr>'예)닭가슴살샐러드'!Print_Area</vt:lpstr>
      <vt:lpstr>'예)들기름막국수샐러드'!Print_Area</vt:lpstr>
      <vt:lpstr>'예)모짜렐라샐러드'!Print_Area</vt:lpstr>
      <vt:lpstr>'예)새우샐러드'!Print_Area</vt:lpstr>
      <vt:lpstr>'예)연어샐러드'!Print_Area</vt:lpstr>
      <vt:lpstr>'예)직화불고기샐러드)'!Print_Area</vt:lpstr>
      <vt:lpstr>'예)칠리치킨샐러드'!Print_Area</vt:lpstr>
      <vt:lpstr>'예약)26년순살갈비탕'!Print_Area</vt:lpstr>
      <vt:lpstr>'예약)26년스지도가니탕'!Print_Area</vt:lpstr>
      <vt:lpstr>'예약)26년전통추어탕'!Print_Area</vt:lpstr>
      <vt:lpstr>'예약)26년한마리민물장어덮밥'!Print_Area</vt:lpstr>
      <vt:lpstr>'제주권(AZ공유)'!Print_Area</vt:lpstr>
      <vt:lpstr>'참조은)끼리치즈타르트'!Print_Area</vt:lpstr>
      <vt:lpstr>치즈왕돈까스버거1편!Print_Area</vt:lpstr>
      <vt:lpstr>치즈왕돈까스버거2편!Print_Area</vt:lpstr>
      <vt:lpstr>'특)뉴욕베이글블루베리'!Print_Area</vt:lpstr>
      <vt:lpstr>'특)뉴욕베이글쿠앤크'!Print_Area</vt:lpstr>
      <vt:lpstr>'특)뉴욕베이글플레인'!Print_Area</vt:lpstr>
      <vt:lpstr>'특)뉴욕베이글피넛버터'!Print_Area</vt:lpstr>
      <vt:lpstr>황치즈직화석쇠불고기버거1편!Print_Area</vt:lpstr>
      <vt:lpstr>황치즈직화석쇠불고기버거2편!Print_Area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2015</dc:creator>
  <cp:lastModifiedBy>oem</cp:lastModifiedBy>
  <cp:revision>2</cp:revision>
  <cp:lastPrinted>2026-10-19T07:26:57Z</cp:lastPrinted>
  <dcterms:created xsi:type="dcterms:W3CDTF">2019-12-22T14:27:20Z</dcterms:created>
  <dcterms:modified xsi:type="dcterms:W3CDTF">2026-10-19T07:27:00Z</dcterms:modified>
  <cp:version>1100.0100.01</cp:version>
</cp:coreProperties>
</file>