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35\공유폴더\상온및냉동\2. GS냉동(1시 이후)\"/>
    </mc:Choice>
  </mc:AlternateContent>
  <xr:revisionPtr revIDLastSave="0" documentId="13_ncr:1_{DDD3F2B5-ED36-481D-83FC-889B3383E1CF}" xr6:coauthVersionLast="47" xr6:coauthVersionMax="47" xr10:uidLastSave="{00000000-0000-0000-0000-000000000000}"/>
  <bookViews>
    <workbookView xWindow="285" yWindow="0" windowWidth="22755" windowHeight="15420" tabRatio="905" firstSheet="3" activeTab="3" xr2:uid="{00000000-000D-0000-FFFF-FFFF00000000}"/>
  </bookViews>
  <sheets>
    <sheet name="검수장" sheetId="1" state="hidden" r:id="rId1"/>
    <sheet name="신라명과피벗" sheetId="1252" state="hidden" r:id="rId2"/>
    <sheet name="리얼)모닝롤" sheetId="1253" state="hidden" r:id="rId3"/>
    <sheet name="리치푸드 피벗" sheetId="2111" r:id="rId4"/>
    <sheet name="그린스무디" sheetId="2112" r:id="rId5"/>
    <sheet name="아미)수박스무디" sheetId="2113" r:id="rId6"/>
    <sheet name="아미)카페라떼스무디" sheetId="2114" r:id="rId7"/>
    <sheet name="딸기바나나스무디" sheetId="2115" r:id="rId8"/>
    <sheet name="딸기블루베리망고스무디" sheetId="2116" r:id="rId9"/>
    <sheet name="망고바나나스무디" sheetId="2141" r:id="rId10"/>
    <sheet name="H2 피벗" sheetId="2117" r:id="rId11"/>
    <sheet name="태극당)우유팥바70ML" sheetId="2118" r:id="rId12"/>
    <sheet name="태극당)인절미콘150ML" sheetId="2119" r:id="rId13"/>
    <sheet name="대광 피벗" sheetId="2122" r:id="rId14"/>
    <sheet name="치킨25)매콤달콤닭강정(특수점)" sheetId="2123" r:id="rId15"/>
    <sheet name="치킨25)매콤달콤닭강정200G(렌)" sheetId="2124" r:id="rId16"/>
    <sheet name="윈즈 피벗" sheetId="2142" r:id="rId17"/>
    <sheet name="바비바이츠)우베모찌바70ML" sheetId="2154" r:id="rId18"/>
    <sheet name="티아이)아보카도아이스크림85G" sheetId="2143" r:id="rId19"/>
    <sheet name="티아이)크림치즈브륄레90G" sheetId="2156" r:id="rId20"/>
    <sheet name="제때 피벗 " sheetId="2148" r:id="rId21"/>
    <sheet name="피프레도)생요거트딸기젤라또" sheetId="2149" r:id="rId22"/>
    <sheet name="피프레도)생초코젤라또474ML" sheetId="2150" r:id="rId23"/>
    <sheet name="한빛에프엘 피벗" sheetId="2152" r:id="rId24"/>
    <sheet name="안데이코)뉴타마슈크림아이스68G" sheetId="2153" r:id="rId25"/>
    <sheet name="안데이코)뉴타마슈크림아이스68G (수기발주)" sheetId="2155" r:id="rId26"/>
    <sheet name="제주권(AZ공유)" sheetId="2151" r:id="rId27"/>
    <sheet name="효성 피벗" sheetId="2126" r:id="rId28"/>
    <sheet name="효성)김치어묵피만두(고단백)" sheetId="2127" r:id="rId29"/>
    <sheet name="대신(냉동) 피벗" sheetId="1715" r:id="rId30"/>
    <sheet name="리얼)불고기버거(1980원)" sheetId="2068" r:id="rId31"/>
    <sheet name="리얼)치즈버거(1980원)" sheetId="1729" r:id="rId32"/>
    <sheet name="2300원굿딜)매콤불고기1" sheetId="1761" state="hidden" r:id="rId33"/>
    <sheet name="2300원굿딜)매콤불고기2" sheetId="1762" state="hidden" r:id="rId34"/>
    <sheet name="2300원굿딜)불갈비버거1" sheetId="1776" state="hidden" r:id="rId35"/>
    <sheet name="2300원굿딜)불갈비버거2" sheetId="1777" state="hidden" r:id="rId36"/>
    <sheet name="NEW직화석쇠불고기버거1편" sheetId="1484" state="hidden" r:id="rId37"/>
    <sheet name="NEW직화석쇠불고기버거2편" sheetId="1485" state="hidden" r:id="rId38"/>
    <sheet name="매콤직화석쇠불고기버거1편" sheetId="1986" state="hidden" r:id="rId39"/>
    <sheet name="매콤직화석쇠불고기버거2편" sheetId="1987" state="hidden" r:id="rId40"/>
    <sheet name="치즈왕돈까스버거1편" sheetId="1911" state="hidden" r:id="rId41"/>
    <sheet name="치즈왕돈까스버거2편" sheetId="1912" state="hidden" r:id="rId42"/>
    <sheet name="황치즈직화석쇠불고기버거1편" sheetId="1846" state="hidden" r:id="rId43"/>
    <sheet name="황치즈직화석쇠불고기버거2편" sheetId="1847" state="hidden" r:id="rId44"/>
    <sheet name="예)그릭샐러드" sheetId="1882" state="hidden" r:id="rId45"/>
    <sheet name="예)닭가슴살샐러드" sheetId="1883" state="hidden" r:id="rId46"/>
    <sheet name="예)들기름막국수샐러드" sheetId="1888" state="hidden" r:id="rId47"/>
    <sheet name="예)모짜렐라샐러드" sheetId="1887" state="hidden" r:id="rId48"/>
    <sheet name="예)새우샐러드" sheetId="1886" state="hidden" r:id="rId49"/>
    <sheet name="예)연어샐러드" sheetId="1885" state="hidden" r:id="rId50"/>
    <sheet name="예)직화불고기샐러드)" sheetId="1884" state="hidden" r:id="rId51"/>
    <sheet name="예)칠리치킨샐러드" sheetId="1889" state="hidden" r:id="rId52"/>
    <sheet name="예약)26년순살갈비탕" sheetId="2042" state="hidden" r:id="rId53"/>
    <sheet name="예약)26년스지도가니탕" sheetId="2043" state="hidden" r:id="rId54"/>
    <sheet name="예약)26년전통추어탕" sheetId="2044" state="hidden" r:id="rId55"/>
    <sheet name="예약)26년한마리민물장어덮밥" sheetId="2045" state="hidden" r:id="rId56"/>
  </sheets>
  <definedNames>
    <definedName name="_xlnm.Print_Area" localSheetId="32">'2300원굿딜)매콤불고기1'!$A$2:$H$49</definedName>
    <definedName name="_xlnm.Print_Area" localSheetId="33">'2300원굿딜)매콤불고기2'!$A$2:$H$49</definedName>
    <definedName name="_xlnm.Print_Area" localSheetId="34">'2300원굿딜)불갈비버거1'!$A$2:$H$49</definedName>
    <definedName name="_xlnm.Print_Area" localSheetId="35">'2300원굿딜)불갈비버거2'!$A$2:$H$49</definedName>
    <definedName name="_xlnm.Print_Area" localSheetId="10">'H2 피벗'!$A$1:$A$4</definedName>
    <definedName name="_xlnm.Print_Area" localSheetId="36">NEW직화석쇠불고기버거1편!$A$2:$H$49</definedName>
    <definedName name="_xlnm.Print_Area" localSheetId="37">NEW직화석쇠불고기버거2편!$A$2:$H$49</definedName>
    <definedName name="_xlnm.Print_Area" localSheetId="0">검수장!$A$1:$R$30</definedName>
    <definedName name="_xlnm.Print_Area" localSheetId="4">그린스무디!$A$2:$F$40</definedName>
    <definedName name="_xlnm.Print_Area" localSheetId="13">'대광 피벗'!$A$1:$A$4</definedName>
    <definedName name="_xlnm.Print_Area" localSheetId="29">'대신(냉동) 피벗'!$A$1:$A$12</definedName>
    <definedName name="_xlnm.Print_Area" localSheetId="7">딸기바나나스무디!$A$2:$F$40</definedName>
    <definedName name="_xlnm.Print_Area" localSheetId="8">딸기블루베리망고스무디!$A$2:$F$40</definedName>
    <definedName name="_xlnm.Print_Area" localSheetId="2">'리얼)모닝롤'!$A$1:$F$13</definedName>
    <definedName name="_xlnm.Print_Area" localSheetId="30">'리얼)불고기버거(1980원)'!$A$2:$F$40</definedName>
    <definedName name="_xlnm.Print_Area" localSheetId="31">'리얼)치즈버거(1980원)'!$A$2:$F$40</definedName>
    <definedName name="_xlnm.Print_Area" localSheetId="3">'리치푸드 피벗'!$A$1:$A$10</definedName>
    <definedName name="_xlnm.Print_Area" localSheetId="9">망고바나나스무디!$A$2:$F$40</definedName>
    <definedName name="_xlnm.Print_Area" localSheetId="38">매콤직화석쇠불고기버거1편!$A$2:$H$49</definedName>
    <definedName name="_xlnm.Print_Area" localSheetId="39">매콤직화석쇠불고기버거2편!$A$2:$H$49</definedName>
    <definedName name="_xlnm.Print_Area" localSheetId="17">'바비바이츠)우베모찌바70ML'!$A$2:$F$40</definedName>
    <definedName name="_xlnm.Print_Area" localSheetId="5">'아미)수박스무디'!$A$2:$F$40</definedName>
    <definedName name="_xlnm.Print_Area" localSheetId="6">'아미)카페라떼스무디'!$A$2:$F$40</definedName>
    <definedName name="_xlnm.Print_Area" localSheetId="24">'안데이코)뉴타마슈크림아이스68G'!$A$2:$F$40</definedName>
    <definedName name="_xlnm.Print_Area" localSheetId="25">'안데이코)뉴타마슈크림아이스68G (수기발주)'!$A$2:$F$40</definedName>
    <definedName name="_xlnm.Print_Area" localSheetId="44">'예)그릭샐러드'!$A$2:$H$50</definedName>
    <definedName name="_xlnm.Print_Area" localSheetId="45">'예)닭가슴살샐러드'!$A$2:$H$50</definedName>
    <definedName name="_xlnm.Print_Area" localSheetId="46">'예)들기름막국수샐러드'!$A$2:$H$50</definedName>
    <definedName name="_xlnm.Print_Area" localSheetId="47">'예)모짜렐라샐러드'!$A$2:$H$50</definedName>
    <definedName name="_xlnm.Print_Area" localSheetId="48">'예)새우샐러드'!$A$2:$H$50</definedName>
    <definedName name="_xlnm.Print_Area" localSheetId="49">'예)연어샐러드'!$A$2:$H$50</definedName>
    <definedName name="_xlnm.Print_Area" localSheetId="50">'예)직화불고기샐러드)'!$A$2:$H$50</definedName>
    <definedName name="_xlnm.Print_Area" localSheetId="51">'예)칠리치킨샐러드'!$A$2:$H$50</definedName>
    <definedName name="_xlnm.Print_Area" localSheetId="52">'예약)26년순살갈비탕'!$A$2:$H$50</definedName>
    <definedName name="_xlnm.Print_Area" localSheetId="53">'예약)26년스지도가니탕'!$A$2:$H$50</definedName>
    <definedName name="_xlnm.Print_Area" localSheetId="54">'예약)26년전통추어탕'!$A$2:$H$50</definedName>
    <definedName name="_xlnm.Print_Area" localSheetId="55">'예약)26년한마리민물장어덮밥'!$A$2:$H$50</definedName>
    <definedName name="_xlnm.Print_Area" localSheetId="16">'윈즈 피벗'!$A$1:$A$5</definedName>
    <definedName name="_xlnm.Print_Area" localSheetId="20">'제때 피벗 '!$A$1:$A$4</definedName>
    <definedName name="_xlnm.Print_Area" localSheetId="26">'제주권(AZ공유)'!#REF!</definedName>
    <definedName name="_xlnm.Print_Area" localSheetId="40">치즈왕돈까스버거1편!$A$2:$H$49</definedName>
    <definedName name="_xlnm.Print_Area" localSheetId="41">치즈왕돈까스버거2편!$A$2:$H$49</definedName>
    <definedName name="_xlnm.Print_Area" localSheetId="14">'치킨25)매콤달콤닭강정(특수점)'!$A$2:$F$40</definedName>
    <definedName name="_xlnm.Print_Area" localSheetId="15">'치킨25)매콤달콤닭강정200G(렌)'!$A$2:$F$40</definedName>
    <definedName name="_xlnm.Print_Area" localSheetId="11">'태극당)우유팥바70ML'!$A$2:$F$40</definedName>
    <definedName name="_xlnm.Print_Area" localSheetId="12">'태극당)인절미콘150ML'!$A$2:$F$40</definedName>
    <definedName name="_xlnm.Print_Area" localSheetId="18">'티아이)아보카도아이스크림85G'!$A$2:$F$40</definedName>
    <definedName name="_xlnm.Print_Area" localSheetId="19">'티아이)크림치즈브륄레90G'!$A$2:$F$40</definedName>
    <definedName name="_xlnm.Print_Area" localSheetId="21">'피프레도)생요거트딸기젤라또'!$A$2:$F$40</definedName>
    <definedName name="_xlnm.Print_Area" localSheetId="22">'피프레도)생초코젤라또474ML'!$A$2:$F$40</definedName>
    <definedName name="_xlnm.Print_Area" localSheetId="23">'한빛에프엘 피벗'!$A$1:$A$7</definedName>
    <definedName name="_xlnm.Print_Area" localSheetId="42">황치즈직화석쇠불고기버거1편!$A$2:$H$49</definedName>
    <definedName name="_xlnm.Print_Area" localSheetId="43">황치즈직화석쇠불고기버거2편!$A$2:$H$49</definedName>
    <definedName name="_xlnm.Print_Area" localSheetId="27">'효성 피벗'!$A$1:$A$3</definedName>
    <definedName name="_xlnm.Print_Area" localSheetId="28">'효성)김치어묵피만두(고단백)'!$A$2:$F$40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2151" l="1"/>
  <c r="C59" i="2151"/>
  <c r="A111" i="2151" l="1"/>
  <c r="A3" i="2115" l="1"/>
  <c r="A30" i="2151"/>
  <c r="A4" i="2151"/>
  <c r="A13" i="2151"/>
  <c r="A22" i="2151"/>
  <c r="A31" i="2151"/>
  <c r="A40" i="2151"/>
  <c r="A49" i="2151"/>
  <c r="A58" i="2151"/>
  <c r="A67" i="2151"/>
  <c r="A76" i="2151"/>
  <c r="A85" i="2151"/>
  <c r="A94" i="2151"/>
  <c r="A103" i="2151"/>
  <c r="A112" i="2151"/>
  <c r="A121" i="2151"/>
  <c r="A130" i="2151"/>
  <c r="A139" i="2151"/>
  <c r="A102" i="2151"/>
  <c r="A2" i="2119"/>
  <c r="A2" i="2118"/>
  <c r="C36" i="2143"/>
  <c r="C32" i="2143"/>
  <c r="C31" i="2143"/>
  <c r="C27" i="2143"/>
  <c r="C23" i="2143"/>
  <c r="C22" i="2143"/>
  <c r="C21" i="2143"/>
  <c r="C17" i="2143"/>
  <c r="C16" i="2143"/>
  <c r="C15" i="2143"/>
  <c r="C14" i="2143"/>
  <c r="C13" i="2143"/>
  <c r="C12" i="2143"/>
  <c r="C11" i="2143"/>
  <c r="C10" i="2143"/>
  <c r="C9" i="2143"/>
  <c r="C8" i="2143"/>
  <c r="C7" i="2143"/>
  <c r="C6" i="2143"/>
  <c r="C5" i="2143"/>
  <c r="C4" i="2143"/>
  <c r="C113" i="2151" l="1"/>
  <c r="B115" i="2151"/>
  <c r="A2" i="2156"/>
  <c r="C36" i="2156"/>
  <c r="C32" i="2156"/>
  <c r="C31" i="2156"/>
  <c r="C27" i="2156"/>
  <c r="C23" i="2156"/>
  <c r="C22" i="2156"/>
  <c r="C21" i="2156"/>
  <c r="C17" i="2156"/>
  <c r="C16" i="2156"/>
  <c r="C15" i="2156"/>
  <c r="C14" i="2156"/>
  <c r="C13" i="2156"/>
  <c r="C12" i="2156"/>
  <c r="C11" i="2156"/>
  <c r="C10" i="2156"/>
  <c r="C9" i="2156"/>
  <c r="C8" i="2156"/>
  <c r="C7" i="2156"/>
  <c r="C6" i="2156"/>
  <c r="C5" i="2156"/>
  <c r="C4" i="2156"/>
  <c r="C115" i="2151" l="1"/>
  <c r="D113" i="2151"/>
  <c r="D116" i="2151" s="1"/>
  <c r="C117" i="2151"/>
  <c r="D115" i="2151" l="1"/>
  <c r="F115" i="2151" s="1"/>
  <c r="F113" i="2151"/>
  <c r="F116" i="2151" s="1"/>
  <c r="C118" i="2151"/>
  <c r="A3" i="2156"/>
  <c r="D4" i="2156"/>
  <c r="F4" i="2156" s="1"/>
  <c r="B5" i="2156"/>
  <c r="D5" i="2156" s="1"/>
  <c r="B6" i="2156"/>
  <c r="D6" i="2156" s="1"/>
  <c r="B7" i="2156"/>
  <c r="B8" i="2156"/>
  <c r="D8" i="2156"/>
  <c r="B9" i="2156"/>
  <c r="B10" i="2156"/>
  <c r="B11" i="2156"/>
  <c r="B12" i="2156"/>
  <c r="B13" i="2156"/>
  <c r="B14" i="2156"/>
  <c r="D14" i="2156"/>
  <c r="B15" i="2156"/>
  <c r="B16" i="2156"/>
  <c r="B17" i="2156"/>
  <c r="D17" i="2156"/>
  <c r="B19" i="2156"/>
  <c r="B21" i="2156"/>
  <c r="D21" i="2156"/>
  <c r="B22" i="2156"/>
  <c r="D22" i="2156"/>
  <c r="B23" i="2156"/>
  <c r="B25" i="2156"/>
  <c r="B27" i="2156"/>
  <c r="B29" i="2156"/>
  <c r="B31" i="2156"/>
  <c r="B32" i="2156"/>
  <c r="B34" i="2156"/>
  <c r="B36" i="2156"/>
  <c r="B38" i="2156"/>
  <c r="D13" i="2156" l="1"/>
  <c r="F13" i="2156" s="1"/>
  <c r="D9" i="2156"/>
  <c r="F9" i="2156" s="1"/>
  <c r="C38" i="2156"/>
  <c r="D38" i="2156" s="1"/>
  <c r="F38" i="2156" s="1"/>
  <c r="D32" i="2156"/>
  <c r="F32" i="2156" s="1"/>
  <c r="D16" i="2156"/>
  <c r="F16" i="2156" s="1"/>
  <c r="D36" i="2156"/>
  <c r="F36" i="2156" s="1"/>
  <c r="D12" i="2156"/>
  <c r="F12" i="2156" s="1"/>
  <c r="D10" i="2156"/>
  <c r="F10" i="2156" s="1"/>
  <c r="F17" i="2156"/>
  <c r="F5" i="2156"/>
  <c r="F8" i="2156"/>
  <c r="F21" i="2156"/>
  <c r="D31" i="2156"/>
  <c r="F31" i="2156" s="1"/>
  <c r="D27" i="2156"/>
  <c r="F27" i="2156" s="1"/>
  <c r="D23" i="2156"/>
  <c r="F23" i="2156" s="1"/>
  <c r="F22" i="2156"/>
  <c r="D15" i="2156"/>
  <c r="F15" i="2156" s="1"/>
  <c r="F14" i="2156"/>
  <c r="D11" i="2156"/>
  <c r="F11" i="2156" s="1"/>
  <c r="D7" i="2156"/>
  <c r="F7" i="2156" s="1"/>
  <c r="F6" i="2156"/>
  <c r="C29" i="2156"/>
  <c r="C25" i="2156"/>
  <c r="C19" i="2156"/>
  <c r="C34" i="2156"/>
  <c r="F39" i="2156" l="1"/>
  <c r="D39" i="2156"/>
  <c r="D29" i="2156"/>
  <c r="F29" i="2156" s="1"/>
  <c r="D34" i="2156"/>
  <c r="F34" i="2156" s="1"/>
  <c r="D19" i="2156"/>
  <c r="F19" i="2156" s="1"/>
  <c r="D25" i="2156"/>
  <c r="F25" i="2156" s="1"/>
  <c r="C40" i="2156"/>
  <c r="C41" i="2156" s="1"/>
  <c r="B38" i="2155"/>
  <c r="C36" i="2155"/>
  <c r="D36" i="2155" s="1"/>
  <c r="F36" i="2155" s="1"/>
  <c r="B36" i="2155"/>
  <c r="B34" i="2155"/>
  <c r="C32" i="2155"/>
  <c r="D32" i="2155" s="1"/>
  <c r="F32" i="2155" s="1"/>
  <c r="B32" i="2155"/>
  <c r="C31" i="2155"/>
  <c r="B31" i="2155"/>
  <c r="B29" i="2155"/>
  <c r="C27" i="2155"/>
  <c r="B27" i="2155"/>
  <c r="B25" i="2155"/>
  <c r="C23" i="2155"/>
  <c r="B23" i="2155"/>
  <c r="C22" i="2155"/>
  <c r="B22" i="2155"/>
  <c r="C21" i="2155"/>
  <c r="B21" i="2155"/>
  <c r="B19" i="2155"/>
  <c r="C17" i="2155"/>
  <c r="B17" i="2155"/>
  <c r="C16" i="2155"/>
  <c r="B16" i="2155"/>
  <c r="C15" i="2155"/>
  <c r="B15" i="2155"/>
  <c r="C14" i="2155"/>
  <c r="B14" i="2155"/>
  <c r="C13" i="2155"/>
  <c r="B13" i="2155"/>
  <c r="C12" i="2155"/>
  <c r="B12" i="2155"/>
  <c r="C11" i="2155"/>
  <c r="B11" i="2155"/>
  <c r="C10" i="2155"/>
  <c r="B10" i="2155"/>
  <c r="C9" i="2155"/>
  <c r="B9" i="2155"/>
  <c r="C8" i="2155"/>
  <c r="B8" i="2155"/>
  <c r="C7" i="2155"/>
  <c r="B7" i="2155"/>
  <c r="C6" i="2155"/>
  <c r="B6" i="2155"/>
  <c r="C5" i="2155"/>
  <c r="B5" i="2155"/>
  <c r="C4" i="2155"/>
  <c r="A3" i="2155"/>
  <c r="A2" i="2155"/>
  <c r="C19" i="2155" l="1"/>
  <c r="C25" i="2155"/>
  <c r="C29" i="2155"/>
  <c r="C34" i="2155"/>
  <c r="C38" i="2155"/>
  <c r="D4" i="2155"/>
  <c r="D5" i="2155"/>
  <c r="F5" i="2155" s="1"/>
  <c r="D6" i="2155"/>
  <c r="F6" i="2155" s="1"/>
  <c r="D7" i="2155"/>
  <c r="F7" i="2155" s="1"/>
  <c r="D8" i="2155"/>
  <c r="F8" i="2155" s="1"/>
  <c r="D9" i="2155"/>
  <c r="F9" i="2155" s="1"/>
  <c r="D10" i="2155"/>
  <c r="F10" i="2155" s="1"/>
  <c r="D11" i="2155"/>
  <c r="F11" i="2155" s="1"/>
  <c r="D12" i="2155"/>
  <c r="F12" i="2155" s="1"/>
  <c r="D13" i="2155"/>
  <c r="F13" i="2155" s="1"/>
  <c r="D14" i="2155"/>
  <c r="F14" i="2155" s="1"/>
  <c r="D15" i="2155"/>
  <c r="F15" i="2155" s="1"/>
  <c r="D16" i="2155"/>
  <c r="F16" i="2155" s="1"/>
  <c r="D17" i="2155"/>
  <c r="F17" i="2155" s="1"/>
  <c r="D21" i="2155"/>
  <c r="F21" i="2155" s="1"/>
  <c r="D22" i="2155"/>
  <c r="F22" i="2155" s="1"/>
  <c r="D23" i="2155"/>
  <c r="F23" i="2155" s="1"/>
  <c r="D27" i="2155"/>
  <c r="F27" i="2155" s="1"/>
  <c r="D31" i="2155"/>
  <c r="F31" i="2155" s="1"/>
  <c r="D39" i="2155" l="1"/>
  <c r="D25" i="2155"/>
  <c r="F25" i="2155" s="1"/>
  <c r="D38" i="2155"/>
  <c r="F38" i="2155" s="1"/>
  <c r="C40" i="2155"/>
  <c r="C41" i="2155" s="1"/>
  <c r="D19" i="2155"/>
  <c r="F19" i="2155" s="1"/>
  <c r="F4" i="2155"/>
  <c r="F39" i="2155" s="1"/>
  <c r="D34" i="2155"/>
  <c r="F34" i="2155" s="1"/>
  <c r="D29" i="2155"/>
  <c r="F29" i="2155" s="1"/>
  <c r="C140" i="2151"/>
  <c r="C131" i="2151"/>
  <c r="A2" i="2127" l="1"/>
  <c r="A2" i="2114"/>
  <c r="C104" i="2151" l="1"/>
  <c r="B97" i="2151"/>
  <c r="C95" i="2151"/>
  <c r="C97" i="2151" s="1"/>
  <c r="A93" i="2151"/>
  <c r="C36" i="2154"/>
  <c r="D36" i="2154" s="1"/>
  <c r="C32" i="2154"/>
  <c r="C31" i="2154"/>
  <c r="C27" i="2154"/>
  <c r="C22" i="2154"/>
  <c r="C23" i="2154"/>
  <c r="C21" i="2154"/>
  <c r="C5" i="2154"/>
  <c r="C6" i="2154"/>
  <c r="C7" i="2154"/>
  <c r="C8" i="2154"/>
  <c r="C9" i="2154"/>
  <c r="C10" i="2154"/>
  <c r="C11" i="2154"/>
  <c r="C12" i="2154"/>
  <c r="C13" i="2154"/>
  <c r="C14" i="2154"/>
  <c r="C15" i="2154"/>
  <c r="C16" i="2154"/>
  <c r="C17" i="2154"/>
  <c r="C4" i="2154"/>
  <c r="B38" i="2154"/>
  <c r="B36" i="2154"/>
  <c r="B34" i="2154"/>
  <c r="B32" i="2154"/>
  <c r="B31" i="2154"/>
  <c r="B29" i="2154"/>
  <c r="B27" i="2154"/>
  <c r="B25" i="2154"/>
  <c r="B23" i="2154"/>
  <c r="B22" i="2154"/>
  <c r="B21" i="2154"/>
  <c r="B19" i="2154"/>
  <c r="B17" i="2154"/>
  <c r="B16" i="2154"/>
  <c r="B15" i="2154"/>
  <c r="B14" i="2154"/>
  <c r="B13" i="2154"/>
  <c r="B12" i="2154"/>
  <c r="B11" i="2154"/>
  <c r="B10" i="2154"/>
  <c r="B9" i="2154"/>
  <c r="B8" i="2154"/>
  <c r="B7" i="2154"/>
  <c r="B6" i="2154"/>
  <c r="B5" i="2154"/>
  <c r="A3" i="2154"/>
  <c r="A2" i="2154"/>
  <c r="D140" i="2151"/>
  <c r="D143" i="2151" s="1"/>
  <c r="B142" i="2151"/>
  <c r="A138" i="2151"/>
  <c r="C99" i="2151" l="1"/>
  <c r="D95" i="2151"/>
  <c r="F95" i="2151" s="1"/>
  <c r="F98" i="2151" s="1"/>
  <c r="C100" i="2151"/>
  <c r="D97" i="2151"/>
  <c r="F97" i="2151" s="1"/>
  <c r="C19" i="2154"/>
  <c r="C25" i="2154"/>
  <c r="C29" i="2154"/>
  <c r="C38" i="2154"/>
  <c r="D4" i="2154"/>
  <c r="F4" i="2154" s="1"/>
  <c r="D5" i="2154"/>
  <c r="F5" i="2154" s="1"/>
  <c r="D6" i="2154"/>
  <c r="F6" i="2154" s="1"/>
  <c r="D7" i="2154"/>
  <c r="F7" i="2154" s="1"/>
  <c r="D8" i="2154"/>
  <c r="F8" i="2154" s="1"/>
  <c r="D9" i="2154"/>
  <c r="F9" i="2154" s="1"/>
  <c r="D10" i="2154"/>
  <c r="F10" i="2154" s="1"/>
  <c r="D11" i="2154"/>
  <c r="F11" i="2154" s="1"/>
  <c r="D12" i="2154"/>
  <c r="F12" i="2154" s="1"/>
  <c r="D13" i="2154"/>
  <c r="F13" i="2154" s="1"/>
  <c r="D14" i="2154"/>
  <c r="F14" i="2154" s="1"/>
  <c r="D15" i="2154"/>
  <c r="F15" i="2154" s="1"/>
  <c r="D16" i="2154"/>
  <c r="F16" i="2154" s="1"/>
  <c r="D17" i="2154"/>
  <c r="F17" i="2154" s="1"/>
  <c r="D21" i="2154"/>
  <c r="F21" i="2154" s="1"/>
  <c r="D22" i="2154"/>
  <c r="F22" i="2154" s="1"/>
  <c r="D23" i="2154"/>
  <c r="F23" i="2154" s="1"/>
  <c r="D27" i="2154"/>
  <c r="F27" i="2154" s="1"/>
  <c r="D31" i="2154"/>
  <c r="F31" i="2154" s="1"/>
  <c r="D32" i="2154"/>
  <c r="F32" i="2154" s="1"/>
  <c r="F36" i="2154"/>
  <c r="C34" i="2154"/>
  <c r="F140" i="2151"/>
  <c r="F143" i="2151" s="1"/>
  <c r="C142" i="2151"/>
  <c r="B38" i="2153"/>
  <c r="C36" i="2153"/>
  <c r="B36" i="2153"/>
  <c r="B34" i="2153"/>
  <c r="C32" i="2153"/>
  <c r="B32" i="2153"/>
  <c r="C31" i="2153"/>
  <c r="B31" i="2153"/>
  <c r="B29" i="2153"/>
  <c r="C27" i="2153"/>
  <c r="B27" i="2153"/>
  <c r="B25" i="2153"/>
  <c r="C23" i="2153"/>
  <c r="B23" i="2153"/>
  <c r="C22" i="2153"/>
  <c r="B22" i="2153"/>
  <c r="C21" i="2153"/>
  <c r="B21" i="2153"/>
  <c r="B19" i="2153"/>
  <c r="C17" i="2153"/>
  <c r="B17" i="2153"/>
  <c r="C16" i="2153"/>
  <c r="B16" i="2153"/>
  <c r="C15" i="2153"/>
  <c r="B15" i="2153"/>
  <c r="C14" i="2153"/>
  <c r="B14" i="2153"/>
  <c r="C13" i="2153"/>
  <c r="B13" i="2153"/>
  <c r="C12" i="2153"/>
  <c r="B12" i="2153"/>
  <c r="C11" i="2153"/>
  <c r="B11" i="2153"/>
  <c r="C10" i="2153"/>
  <c r="B10" i="2153"/>
  <c r="C9" i="2153"/>
  <c r="B9" i="2153"/>
  <c r="C8" i="2153"/>
  <c r="B8" i="2153"/>
  <c r="C7" i="2153"/>
  <c r="B7" i="2153"/>
  <c r="C6" i="2153"/>
  <c r="B6" i="2153"/>
  <c r="C5" i="2153"/>
  <c r="B5" i="2153"/>
  <c r="C4" i="2153"/>
  <c r="A3" i="2153"/>
  <c r="A2" i="2153"/>
  <c r="C135" i="2151"/>
  <c r="B133" i="2151"/>
  <c r="A129" i="2151"/>
  <c r="C122" i="2151"/>
  <c r="C126" i="2151" s="1"/>
  <c r="B124" i="2151"/>
  <c r="A120" i="2151"/>
  <c r="C108" i="2151"/>
  <c r="B106" i="2151"/>
  <c r="C86" i="2151"/>
  <c r="C90" i="2151" s="1"/>
  <c r="B88" i="2151"/>
  <c r="A84" i="2151"/>
  <c r="C77" i="2151"/>
  <c r="D77" i="2151" s="1"/>
  <c r="F77" i="2151" s="1"/>
  <c r="F80" i="2151" s="1"/>
  <c r="B79" i="2151"/>
  <c r="A75" i="2151"/>
  <c r="B70" i="2151"/>
  <c r="A66" i="2151"/>
  <c r="D59" i="2151"/>
  <c r="F59" i="2151" s="1"/>
  <c r="F62" i="2151" s="1"/>
  <c r="B61" i="2151"/>
  <c r="A57" i="2151"/>
  <c r="C50" i="2151"/>
  <c r="D50" i="2151" s="1"/>
  <c r="F50" i="2151" s="1"/>
  <c r="F53" i="2151" s="1"/>
  <c r="C41" i="2151"/>
  <c r="C45" i="2151" s="1"/>
  <c r="B52" i="2151"/>
  <c r="A48" i="2151"/>
  <c r="B43" i="2151"/>
  <c r="A39" i="2151"/>
  <c r="C32" i="2151"/>
  <c r="C36" i="2151" s="1"/>
  <c r="B34" i="2151"/>
  <c r="C23" i="2151"/>
  <c r="C27" i="2151" s="1"/>
  <c r="B25" i="2151"/>
  <c r="A21" i="2151"/>
  <c r="C14" i="2151"/>
  <c r="C18" i="2151" s="1"/>
  <c r="B16" i="2151"/>
  <c r="A12" i="2151"/>
  <c r="C5" i="2151"/>
  <c r="C7" i="2151" s="1"/>
  <c r="B7" i="2151"/>
  <c r="A3" i="2151"/>
  <c r="C32" i="2150"/>
  <c r="C22" i="2150"/>
  <c r="C23" i="2150"/>
  <c r="C5" i="2150"/>
  <c r="C6" i="2150"/>
  <c r="C7" i="2150"/>
  <c r="C8" i="2150"/>
  <c r="C9" i="2150"/>
  <c r="C10" i="2150"/>
  <c r="C11" i="2150"/>
  <c r="C12" i="2150"/>
  <c r="C13" i="2150"/>
  <c r="C14" i="2150"/>
  <c r="C15" i="2150"/>
  <c r="C16" i="2150"/>
  <c r="C17" i="2150"/>
  <c r="C36" i="2150"/>
  <c r="C31" i="2150"/>
  <c r="C27" i="2150"/>
  <c r="C21" i="2150"/>
  <c r="C4" i="2150"/>
  <c r="D98" i="2151" l="1"/>
  <c r="D29" i="2154"/>
  <c r="F29" i="2154" s="1"/>
  <c r="D34" i="2154"/>
  <c r="F34" i="2154" s="1"/>
  <c r="D25" i="2154"/>
  <c r="F25" i="2154" s="1"/>
  <c r="D39" i="2154"/>
  <c r="C40" i="2154"/>
  <c r="C41" i="2154" s="1"/>
  <c r="D19" i="2154"/>
  <c r="F19" i="2154" s="1"/>
  <c r="D38" i="2154"/>
  <c r="F38" i="2154" s="1"/>
  <c r="F39" i="2154"/>
  <c r="D142" i="2151"/>
  <c r="F142" i="2151" s="1"/>
  <c r="C19" i="2153"/>
  <c r="C29" i="2153"/>
  <c r="C34" i="2153"/>
  <c r="C38" i="2153"/>
  <c r="D4" i="2153"/>
  <c r="D5" i="2153"/>
  <c r="F5" i="2153" s="1"/>
  <c r="D6" i="2153"/>
  <c r="F6" i="2153" s="1"/>
  <c r="D7" i="2153"/>
  <c r="F7" i="2153" s="1"/>
  <c r="D8" i="2153"/>
  <c r="F8" i="2153" s="1"/>
  <c r="D9" i="2153"/>
  <c r="F9" i="2153" s="1"/>
  <c r="D10" i="2153"/>
  <c r="F10" i="2153" s="1"/>
  <c r="D11" i="2153"/>
  <c r="F11" i="2153" s="1"/>
  <c r="D12" i="2153"/>
  <c r="F12" i="2153" s="1"/>
  <c r="D13" i="2153"/>
  <c r="F13" i="2153" s="1"/>
  <c r="D14" i="2153"/>
  <c r="F14" i="2153" s="1"/>
  <c r="D15" i="2153"/>
  <c r="F15" i="2153" s="1"/>
  <c r="D16" i="2153"/>
  <c r="F16" i="2153" s="1"/>
  <c r="D17" i="2153"/>
  <c r="F17" i="2153" s="1"/>
  <c r="D21" i="2153"/>
  <c r="F21" i="2153" s="1"/>
  <c r="D22" i="2153"/>
  <c r="F22" i="2153" s="1"/>
  <c r="D23" i="2153"/>
  <c r="F23" i="2153" s="1"/>
  <c r="D27" i="2153"/>
  <c r="F27" i="2153" s="1"/>
  <c r="D31" i="2153"/>
  <c r="F31" i="2153" s="1"/>
  <c r="D32" i="2153"/>
  <c r="F32" i="2153" s="1"/>
  <c r="D36" i="2153"/>
  <c r="F36" i="2153" s="1"/>
  <c r="C25" i="2153"/>
  <c r="D122" i="2151"/>
  <c r="F122" i="2151" s="1"/>
  <c r="F125" i="2151" s="1"/>
  <c r="D131" i="2151"/>
  <c r="F131" i="2151" s="1"/>
  <c r="F134" i="2151" s="1"/>
  <c r="C124" i="2151"/>
  <c r="C127" i="2151" s="1"/>
  <c r="C133" i="2151"/>
  <c r="D133" i="2151" s="1"/>
  <c r="F133" i="2151" s="1"/>
  <c r="D86" i="2151"/>
  <c r="F86" i="2151" s="1"/>
  <c r="F89" i="2151" s="1"/>
  <c r="C88" i="2151"/>
  <c r="D88" i="2151" s="1"/>
  <c r="F88" i="2151" s="1"/>
  <c r="C61" i="2151"/>
  <c r="D61" i="2151" s="1"/>
  <c r="F61" i="2151" s="1"/>
  <c r="C63" i="2151"/>
  <c r="C25" i="2151"/>
  <c r="C28" i="2151" s="1"/>
  <c r="C34" i="2151"/>
  <c r="D34" i="2151" s="1"/>
  <c r="F34" i="2151" s="1"/>
  <c r="D23" i="2151"/>
  <c r="F23" i="2151" s="1"/>
  <c r="F26" i="2151" s="1"/>
  <c r="D32" i="2151"/>
  <c r="F32" i="2151" s="1"/>
  <c r="F35" i="2151" s="1"/>
  <c r="C52" i="2151"/>
  <c r="C55" i="2151" s="1"/>
  <c r="C54" i="2151"/>
  <c r="D104" i="2151"/>
  <c r="F104" i="2151" s="1"/>
  <c r="F107" i="2151" s="1"/>
  <c r="C106" i="2151"/>
  <c r="D106" i="2151" s="1"/>
  <c r="F106" i="2151" s="1"/>
  <c r="C79" i="2151"/>
  <c r="D79" i="2151" s="1"/>
  <c r="F79" i="2151" s="1"/>
  <c r="C81" i="2151"/>
  <c r="D80" i="2151"/>
  <c r="C72" i="2151"/>
  <c r="D68" i="2151"/>
  <c r="D71" i="2151" s="1"/>
  <c r="C70" i="2151"/>
  <c r="C73" i="2151" s="1"/>
  <c r="D62" i="2151"/>
  <c r="D41" i="2151"/>
  <c r="F41" i="2151" s="1"/>
  <c r="F44" i="2151" s="1"/>
  <c r="C43" i="2151"/>
  <c r="C46" i="2151" s="1"/>
  <c r="D53" i="2151"/>
  <c r="C9" i="2151"/>
  <c r="C10" i="2151"/>
  <c r="D14" i="2151"/>
  <c r="F14" i="2151" s="1"/>
  <c r="F17" i="2151" s="1"/>
  <c r="C16" i="2151"/>
  <c r="D16" i="2151" s="1"/>
  <c r="F16" i="2151" s="1"/>
  <c r="D7" i="2151"/>
  <c r="F7" i="2151" s="1"/>
  <c r="D5" i="2151"/>
  <c r="D8" i="2151" s="1"/>
  <c r="C109" i="2151" l="1"/>
  <c r="C136" i="2151"/>
  <c r="D124" i="2151"/>
  <c r="F124" i="2151" s="1"/>
  <c r="D125" i="2151"/>
  <c r="D134" i="2151"/>
  <c r="C64" i="2151"/>
  <c r="D39" i="2153"/>
  <c r="C40" i="2153"/>
  <c r="C41" i="2153" s="1"/>
  <c r="D19" i="2153"/>
  <c r="F19" i="2153" s="1"/>
  <c r="D38" i="2153"/>
  <c r="F38" i="2153" s="1"/>
  <c r="D34" i="2153"/>
  <c r="F34" i="2153" s="1"/>
  <c r="D25" i="2153"/>
  <c r="F25" i="2153" s="1"/>
  <c r="D29" i="2153"/>
  <c r="F29" i="2153" s="1"/>
  <c r="F4" i="2153"/>
  <c r="F39" i="2153" s="1"/>
  <c r="D107" i="2151"/>
  <c r="C91" i="2151"/>
  <c r="C37" i="2151"/>
  <c r="D43" i="2151"/>
  <c r="F43" i="2151" s="1"/>
  <c r="D25" i="2151"/>
  <c r="F25" i="2151" s="1"/>
  <c r="D89" i="2151"/>
  <c r="D52" i="2151"/>
  <c r="F52" i="2151" s="1"/>
  <c r="D26" i="2151"/>
  <c r="F5" i="2151"/>
  <c r="F8" i="2151" s="1"/>
  <c r="D35" i="2151"/>
  <c r="C82" i="2151"/>
  <c r="F68" i="2151"/>
  <c r="F71" i="2151" s="1"/>
  <c r="D70" i="2151"/>
  <c r="F70" i="2151" s="1"/>
  <c r="D44" i="2151"/>
  <c r="C19" i="2151"/>
  <c r="D17" i="2151"/>
  <c r="B38" i="2150"/>
  <c r="B36" i="2150"/>
  <c r="B34" i="2150"/>
  <c r="B32" i="2150"/>
  <c r="B31" i="2150"/>
  <c r="B29" i="2150"/>
  <c r="B27" i="2150"/>
  <c r="B25" i="2150"/>
  <c r="B23" i="2150"/>
  <c r="B22" i="2150"/>
  <c r="B21" i="2150"/>
  <c r="B19" i="2150"/>
  <c r="B17" i="2150"/>
  <c r="B16" i="2150"/>
  <c r="B15" i="2150"/>
  <c r="B14" i="2150"/>
  <c r="B13" i="2150"/>
  <c r="B12" i="2150"/>
  <c r="B11" i="2150"/>
  <c r="B10" i="2150"/>
  <c r="B9" i="2150"/>
  <c r="B8" i="2150"/>
  <c r="B7" i="2150"/>
  <c r="B6" i="2150"/>
  <c r="B5" i="2150"/>
  <c r="A3" i="2150"/>
  <c r="A2" i="2150"/>
  <c r="B38" i="2149"/>
  <c r="C36" i="2149"/>
  <c r="B36" i="2149"/>
  <c r="B34" i="2149"/>
  <c r="C32" i="2149"/>
  <c r="B32" i="2149"/>
  <c r="C31" i="2149"/>
  <c r="B31" i="2149"/>
  <c r="B29" i="2149"/>
  <c r="C27" i="2149"/>
  <c r="B27" i="2149"/>
  <c r="B25" i="2149"/>
  <c r="C23" i="2149"/>
  <c r="B23" i="2149"/>
  <c r="C22" i="2149"/>
  <c r="B22" i="2149"/>
  <c r="C21" i="2149"/>
  <c r="B21" i="2149"/>
  <c r="B19" i="2149"/>
  <c r="C17" i="2149"/>
  <c r="B17" i="2149"/>
  <c r="C16" i="2149"/>
  <c r="B16" i="2149"/>
  <c r="C15" i="2149"/>
  <c r="B15" i="2149"/>
  <c r="C14" i="2149"/>
  <c r="B14" i="2149"/>
  <c r="C13" i="2149"/>
  <c r="B13" i="2149"/>
  <c r="C12" i="2149"/>
  <c r="B12" i="2149"/>
  <c r="C11" i="2149"/>
  <c r="B11" i="2149"/>
  <c r="C10" i="2149"/>
  <c r="B10" i="2149"/>
  <c r="C9" i="2149"/>
  <c r="B9" i="2149"/>
  <c r="C8" i="2149"/>
  <c r="B8" i="2149"/>
  <c r="C7" i="2149"/>
  <c r="B7" i="2149"/>
  <c r="C6" i="2149"/>
  <c r="B6" i="2149"/>
  <c r="C5" i="2149"/>
  <c r="B5" i="2149"/>
  <c r="C4" i="2149"/>
  <c r="A3" i="2149"/>
  <c r="A2" i="2149"/>
  <c r="D32" i="2150" l="1"/>
  <c r="F32" i="2150" s="1"/>
  <c r="D36" i="2150"/>
  <c r="F36" i="2150" s="1"/>
  <c r="C19" i="2150"/>
  <c r="C25" i="2150"/>
  <c r="C29" i="2150"/>
  <c r="C34" i="2150"/>
  <c r="C38" i="2150"/>
  <c r="D4" i="2150"/>
  <c r="D5" i="2150"/>
  <c r="F5" i="2150" s="1"/>
  <c r="D6" i="2150"/>
  <c r="F6" i="2150" s="1"/>
  <c r="D7" i="2150"/>
  <c r="F7" i="2150" s="1"/>
  <c r="D8" i="2150"/>
  <c r="F8" i="2150" s="1"/>
  <c r="D9" i="2150"/>
  <c r="F9" i="2150" s="1"/>
  <c r="D10" i="2150"/>
  <c r="F10" i="2150" s="1"/>
  <c r="D11" i="2150"/>
  <c r="F11" i="2150" s="1"/>
  <c r="D12" i="2150"/>
  <c r="F12" i="2150" s="1"/>
  <c r="D13" i="2150"/>
  <c r="F13" i="2150" s="1"/>
  <c r="D14" i="2150"/>
  <c r="F14" i="2150" s="1"/>
  <c r="D15" i="2150"/>
  <c r="F15" i="2150" s="1"/>
  <c r="D16" i="2150"/>
  <c r="F16" i="2150" s="1"/>
  <c r="D17" i="2150"/>
  <c r="F17" i="2150" s="1"/>
  <c r="D21" i="2150"/>
  <c r="F21" i="2150" s="1"/>
  <c r="D22" i="2150"/>
  <c r="F22" i="2150" s="1"/>
  <c r="D23" i="2150"/>
  <c r="F23" i="2150" s="1"/>
  <c r="D27" i="2150"/>
  <c r="F27" i="2150" s="1"/>
  <c r="D31" i="2150"/>
  <c r="F31" i="2150" s="1"/>
  <c r="C19" i="2149"/>
  <c r="C25" i="2149"/>
  <c r="C38" i="2149"/>
  <c r="C29" i="2149"/>
  <c r="C34" i="2149"/>
  <c r="D4" i="2149"/>
  <c r="D5" i="2149"/>
  <c r="F5" i="2149" s="1"/>
  <c r="D6" i="2149"/>
  <c r="F6" i="2149" s="1"/>
  <c r="D7" i="2149"/>
  <c r="F7" i="2149" s="1"/>
  <c r="D8" i="2149"/>
  <c r="F8" i="2149" s="1"/>
  <c r="D9" i="2149"/>
  <c r="F9" i="2149" s="1"/>
  <c r="D10" i="2149"/>
  <c r="F10" i="2149" s="1"/>
  <c r="D11" i="2149"/>
  <c r="F11" i="2149" s="1"/>
  <c r="D12" i="2149"/>
  <c r="F12" i="2149" s="1"/>
  <c r="D13" i="2149"/>
  <c r="F13" i="2149" s="1"/>
  <c r="D14" i="2149"/>
  <c r="F14" i="2149" s="1"/>
  <c r="D15" i="2149"/>
  <c r="F15" i="2149" s="1"/>
  <c r="D16" i="2149"/>
  <c r="F16" i="2149" s="1"/>
  <c r="D17" i="2149"/>
  <c r="F17" i="2149" s="1"/>
  <c r="D21" i="2149"/>
  <c r="F21" i="2149" s="1"/>
  <c r="D22" i="2149"/>
  <c r="F22" i="2149" s="1"/>
  <c r="D23" i="2149"/>
  <c r="F23" i="2149" s="1"/>
  <c r="D27" i="2149"/>
  <c r="F27" i="2149" s="1"/>
  <c r="D31" i="2149"/>
  <c r="F31" i="2149" s="1"/>
  <c r="D32" i="2149"/>
  <c r="F32" i="2149" s="1"/>
  <c r="D36" i="2149"/>
  <c r="F36" i="2149" s="1"/>
  <c r="D39" i="2150" l="1"/>
  <c r="D25" i="2150"/>
  <c r="F25" i="2150" s="1"/>
  <c r="F4" i="2150"/>
  <c r="F39" i="2150" s="1"/>
  <c r="D38" i="2150"/>
  <c r="F38" i="2150" s="1"/>
  <c r="C40" i="2150"/>
  <c r="C41" i="2150" s="1"/>
  <c r="D19" i="2150"/>
  <c r="F19" i="2150" s="1"/>
  <c r="D34" i="2150"/>
  <c r="F34" i="2150" s="1"/>
  <c r="D29" i="2150"/>
  <c r="F29" i="2150" s="1"/>
  <c r="D38" i="2149"/>
  <c r="F38" i="2149" s="1"/>
  <c r="D39" i="2149"/>
  <c r="D25" i="2149"/>
  <c r="F25" i="2149" s="1"/>
  <c r="F4" i="2149"/>
  <c r="F39" i="2149" s="1"/>
  <c r="D34" i="2149"/>
  <c r="F34" i="2149" s="1"/>
  <c r="C40" i="2149"/>
  <c r="C41" i="2149" s="1"/>
  <c r="D19" i="2149"/>
  <c r="F19" i="2149" s="1"/>
  <c r="D29" i="2149"/>
  <c r="F29" i="2149" s="1"/>
  <c r="B38" i="2143" l="1"/>
  <c r="B36" i="2143"/>
  <c r="B34" i="2143"/>
  <c r="B32" i="2143"/>
  <c r="B31" i="2143"/>
  <c r="B29" i="2143"/>
  <c r="B27" i="2143"/>
  <c r="B25" i="2143"/>
  <c r="B23" i="2143"/>
  <c r="B22" i="2143"/>
  <c r="B21" i="2143"/>
  <c r="B19" i="2143"/>
  <c r="B17" i="2143"/>
  <c r="B16" i="2143"/>
  <c r="B15" i="2143"/>
  <c r="B14" i="2143"/>
  <c r="B13" i="2143"/>
  <c r="B12" i="2143"/>
  <c r="B11" i="2143"/>
  <c r="B10" i="2143"/>
  <c r="B9" i="2143"/>
  <c r="B8" i="2143"/>
  <c r="B7" i="2143"/>
  <c r="B6" i="2143"/>
  <c r="B5" i="2143"/>
  <c r="A3" i="2143"/>
  <c r="A2" i="2143"/>
  <c r="A3" i="2127"/>
  <c r="A3" i="2124"/>
  <c r="A3" i="2123"/>
  <c r="A3" i="2119"/>
  <c r="A3" i="2118"/>
  <c r="A3" i="2113"/>
  <c r="A3" i="2114"/>
  <c r="A3" i="2116"/>
  <c r="A3" i="2141"/>
  <c r="A3" i="2112"/>
  <c r="D37" i="2068"/>
  <c r="F37" i="2068" s="1"/>
  <c r="D37" i="1729"/>
  <c r="F37" i="1729" s="1"/>
  <c r="C25" i="2143" l="1"/>
  <c r="C38" i="2143"/>
  <c r="C29" i="2143"/>
  <c r="C34" i="2143"/>
  <c r="D4" i="2143"/>
  <c r="F4" i="2143" s="1"/>
  <c r="D5" i="2143"/>
  <c r="F5" i="2143" s="1"/>
  <c r="D6" i="2143"/>
  <c r="F6" i="2143" s="1"/>
  <c r="D7" i="2143"/>
  <c r="F7" i="2143" s="1"/>
  <c r="D8" i="2143"/>
  <c r="F8" i="2143" s="1"/>
  <c r="D9" i="2143"/>
  <c r="F9" i="2143" s="1"/>
  <c r="D10" i="2143"/>
  <c r="F10" i="2143" s="1"/>
  <c r="D11" i="2143"/>
  <c r="F11" i="2143" s="1"/>
  <c r="D12" i="2143"/>
  <c r="F12" i="2143" s="1"/>
  <c r="D13" i="2143"/>
  <c r="F13" i="2143" s="1"/>
  <c r="D14" i="2143"/>
  <c r="F14" i="2143" s="1"/>
  <c r="D15" i="2143"/>
  <c r="F15" i="2143" s="1"/>
  <c r="D16" i="2143"/>
  <c r="F16" i="2143" s="1"/>
  <c r="D17" i="2143"/>
  <c r="F17" i="2143" s="1"/>
  <c r="D21" i="2143"/>
  <c r="F21" i="2143" s="1"/>
  <c r="D22" i="2143"/>
  <c r="F22" i="2143" s="1"/>
  <c r="D23" i="2143"/>
  <c r="F23" i="2143" s="1"/>
  <c r="D27" i="2143"/>
  <c r="F27" i="2143" s="1"/>
  <c r="D31" i="2143"/>
  <c r="F31" i="2143" s="1"/>
  <c r="D32" i="2143"/>
  <c r="F32" i="2143" s="1"/>
  <c r="D36" i="2143"/>
  <c r="F36" i="2143" s="1"/>
  <c r="C19" i="2143"/>
  <c r="B5" i="2124"/>
  <c r="C40" i="2143" l="1"/>
  <c r="C41" i="2143" s="1"/>
  <c r="D19" i="2143"/>
  <c r="F19" i="2143" s="1"/>
  <c r="D38" i="2143"/>
  <c r="F38" i="2143" s="1"/>
  <c r="F39" i="2143"/>
  <c r="D39" i="2143"/>
  <c r="D25" i="2143"/>
  <c r="F25" i="2143" s="1"/>
  <c r="D29" i="2143"/>
  <c r="F29" i="2143" s="1"/>
  <c r="D34" i="2143"/>
  <c r="F34" i="2143" s="1"/>
  <c r="C27" i="2141" l="1"/>
  <c r="C36" i="2141"/>
  <c r="C32" i="2141"/>
  <c r="C31" i="2141"/>
  <c r="C22" i="2141"/>
  <c r="C23" i="2141"/>
  <c r="C21" i="2141"/>
  <c r="C5" i="2141"/>
  <c r="C6" i="2141"/>
  <c r="C7" i="2141"/>
  <c r="C8" i="2141"/>
  <c r="C9" i="2141"/>
  <c r="C10" i="2141"/>
  <c r="C11" i="2141"/>
  <c r="C12" i="2141"/>
  <c r="C13" i="2141"/>
  <c r="C14" i="2141"/>
  <c r="C15" i="2141"/>
  <c r="C16" i="2141"/>
  <c r="C17" i="2141"/>
  <c r="C4" i="2141"/>
  <c r="C38" i="2141" l="1"/>
  <c r="B36" i="2113"/>
  <c r="B36" i="2114"/>
  <c r="B36" i="2115"/>
  <c r="B36" i="2116"/>
  <c r="B36" i="2141"/>
  <c r="B36" i="2118"/>
  <c r="B36" i="2119"/>
  <c r="B36" i="2123"/>
  <c r="B36" i="2124"/>
  <c r="B36" i="2127"/>
  <c r="B36" i="2112"/>
  <c r="C36" i="2113"/>
  <c r="C36" i="2114"/>
  <c r="C36" i="2115"/>
  <c r="C36" i="2116"/>
  <c r="D36" i="2141"/>
  <c r="F36" i="2141" s="1"/>
  <c r="C36" i="2118"/>
  <c r="C36" i="2119"/>
  <c r="C36" i="2123"/>
  <c r="C36" i="2124"/>
  <c r="D36" i="2124" s="1"/>
  <c r="C36" i="2127"/>
  <c r="D36" i="2127" s="1"/>
  <c r="F36" i="2127" s="1"/>
  <c r="C36" i="2112"/>
  <c r="D36" i="2112" s="1"/>
  <c r="D36" i="2113" l="1"/>
  <c r="F36" i="2113" s="1"/>
  <c r="D36" i="2119"/>
  <c r="F36" i="2119" s="1"/>
  <c r="D36" i="2116"/>
  <c r="F36" i="2116" s="1"/>
  <c r="F36" i="2124"/>
  <c r="D36" i="2114"/>
  <c r="F36" i="2114" s="1"/>
  <c r="F36" i="2112"/>
  <c r="D36" i="2118"/>
  <c r="F36" i="2118" s="1"/>
  <c r="D36" i="2123"/>
  <c r="F36" i="2123" s="1"/>
  <c r="D36" i="2115"/>
  <c r="F36" i="2115" s="1"/>
  <c r="C27" i="2113"/>
  <c r="B27" i="2113"/>
  <c r="C27" i="2114"/>
  <c r="B27" i="2114"/>
  <c r="C27" i="2115"/>
  <c r="B27" i="2115"/>
  <c r="C27" i="2116"/>
  <c r="B27" i="2116"/>
  <c r="B27" i="2141"/>
  <c r="C27" i="2118"/>
  <c r="B27" i="2118"/>
  <c r="C27" i="2119"/>
  <c r="B27" i="2119"/>
  <c r="C27" i="2123"/>
  <c r="B27" i="2123"/>
  <c r="C27" i="2124"/>
  <c r="B27" i="2124"/>
  <c r="C27" i="2127"/>
  <c r="B27" i="2127"/>
  <c r="C27" i="2112"/>
  <c r="B27" i="2112"/>
  <c r="D27" i="2112" l="1"/>
  <c r="F27" i="2112" s="1"/>
  <c r="D27" i="2127"/>
  <c r="F27" i="2127" s="1"/>
  <c r="D27" i="2124"/>
  <c r="F27" i="2124" s="1"/>
  <c r="D27" i="2123"/>
  <c r="F27" i="2123" s="1"/>
  <c r="D27" i="2119"/>
  <c r="F27" i="2119" s="1"/>
  <c r="D27" i="2118"/>
  <c r="F27" i="2118" s="1"/>
  <c r="D27" i="2141"/>
  <c r="F27" i="2141" s="1"/>
  <c r="D27" i="2116"/>
  <c r="F27" i="2116" s="1"/>
  <c r="D27" i="2115"/>
  <c r="F27" i="2115" s="1"/>
  <c r="D27" i="2114"/>
  <c r="F27" i="2114" s="1"/>
  <c r="D27" i="2113"/>
  <c r="F27" i="2113" s="1"/>
  <c r="B38" i="2141" l="1"/>
  <c r="D38" i="2141" s="1"/>
  <c r="F38" i="2141" s="1"/>
  <c r="B34" i="2141"/>
  <c r="B32" i="2141"/>
  <c r="B31" i="2141"/>
  <c r="B29" i="2141"/>
  <c r="C29" i="2141"/>
  <c r="B25" i="2141"/>
  <c r="B23" i="2141"/>
  <c r="B22" i="2141"/>
  <c r="B21" i="2141"/>
  <c r="B19" i="2141"/>
  <c r="B17" i="2141"/>
  <c r="B16" i="2141"/>
  <c r="B15" i="2141"/>
  <c r="B14" i="2141"/>
  <c r="B13" i="2141"/>
  <c r="B12" i="2141"/>
  <c r="B11" i="2141"/>
  <c r="B10" i="2141"/>
  <c r="B9" i="2141"/>
  <c r="B8" i="2141"/>
  <c r="B7" i="2141"/>
  <c r="B6" i="2141"/>
  <c r="B5" i="2141"/>
  <c r="A2" i="2141"/>
  <c r="A3" i="1729"/>
  <c r="A3" i="2068"/>
  <c r="C36" i="1729"/>
  <c r="D36" i="1729" s="1"/>
  <c r="C36" i="2068"/>
  <c r="D36" i="2068" s="1"/>
  <c r="B36" i="1729"/>
  <c r="B36" i="2068"/>
  <c r="C34" i="2141" l="1"/>
  <c r="D34" i="2141" s="1"/>
  <c r="F34" i="2141" s="1"/>
  <c r="C25" i="2141"/>
  <c r="D25" i="2141" s="1"/>
  <c r="F25" i="2141" s="1"/>
  <c r="D29" i="2141"/>
  <c r="F29" i="2141" s="1"/>
  <c r="D4" i="2141"/>
  <c r="D5" i="2141"/>
  <c r="F5" i="2141" s="1"/>
  <c r="D6" i="2141"/>
  <c r="F6" i="2141" s="1"/>
  <c r="D7" i="2141"/>
  <c r="F7" i="2141" s="1"/>
  <c r="D8" i="2141"/>
  <c r="F8" i="2141" s="1"/>
  <c r="D9" i="2141"/>
  <c r="F9" i="2141" s="1"/>
  <c r="D10" i="2141"/>
  <c r="F10" i="2141" s="1"/>
  <c r="D11" i="2141"/>
  <c r="F11" i="2141" s="1"/>
  <c r="D12" i="2141"/>
  <c r="F12" i="2141" s="1"/>
  <c r="D13" i="2141"/>
  <c r="F13" i="2141" s="1"/>
  <c r="D14" i="2141"/>
  <c r="F14" i="2141" s="1"/>
  <c r="D15" i="2141"/>
  <c r="F15" i="2141" s="1"/>
  <c r="D16" i="2141"/>
  <c r="F16" i="2141" s="1"/>
  <c r="D17" i="2141"/>
  <c r="F17" i="2141" s="1"/>
  <c r="D21" i="2141"/>
  <c r="F21" i="2141" s="1"/>
  <c r="D22" i="2141"/>
  <c r="F22" i="2141" s="1"/>
  <c r="D23" i="2141"/>
  <c r="F23" i="2141" s="1"/>
  <c r="D31" i="2141"/>
  <c r="F31" i="2141" s="1"/>
  <c r="D32" i="2141"/>
  <c r="F32" i="2141" s="1"/>
  <c r="C19" i="2141"/>
  <c r="A2" i="1729"/>
  <c r="A2" i="2112"/>
  <c r="A2" i="2113"/>
  <c r="A2" i="2115"/>
  <c r="A2" i="2116"/>
  <c r="A2" i="2123"/>
  <c r="A2" i="2124"/>
  <c r="A2" i="2068"/>
  <c r="C14" i="2127"/>
  <c r="B38" i="2127"/>
  <c r="B34" i="2127"/>
  <c r="C32" i="2127"/>
  <c r="B32" i="2127"/>
  <c r="C31" i="2127"/>
  <c r="B31" i="2127"/>
  <c r="B29" i="2127"/>
  <c r="B25" i="2127"/>
  <c r="C23" i="2127"/>
  <c r="B23" i="2127"/>
  <c r="C22" i="2127"/>
  <c r="B22" i="2127"/>
  <c r="C21" i="2127"/>
  <c r="B21" i="2127"/>
  <c r="B19" i="2127"/>
  <c r="C17" i="2127"/>
  <c r="B17" i="2127"/>
  <c r="C16" i="2127"/>
  <c r="B16" i="2127"/>
  <c r="C15" i="2127"/>
  <c r="B15" i="2127"/>
  <c r="B14" i="2127"/>
  <c r="C13" i="2127"/>
  <c r="B13" i="2127"/>
  <c r="C12" i="2127"/>
  <c r="B12" i="2127"/>
  <c r="C11" i="2127"/>
  <c r="B11" i="2127"/>
  <c r="C10" i="2127"/>
  <c r="B10" i="2127"/>
  <c r="C9" i="2127"/>
  <c r="B9" i="2127"/>
  <c r="C8" i="2127"/>
  <c r="B8" i="2127"/>
  <c r="C7" i="2127"/>
  <c r="B7" i="2127"/>
  <c r="C6" i="2127"/>
  <c r="B6" i="2127"/>
  <c r="C5" i="2127"/>
  <c r="B5" i="2127"/>
  <c r="C4" i="2127"/>
  <c r="B38" i="2124"/>
  <c r="B34" i="2124"/>
  <c r="C32" i="2124"/>
  <c r="B32" i="2124"/>
  <c r="C31" i="2124"/>
  <c r="B31" i="2124"/>
  <c r="B29" i="2124"/>
  <c r="B25" i="2124"/>
  <c r="C23" i="2124"/>
  <c r="B23" i="2124"/>
  <c r="C22" i="2124"/>
  <c r="B22" i="2124"/>
  <c r="C21" i="2124"/>
  <c r="B21" i="2124"/>
  <c r="B19" i="2124"/>
  <c r="C17" i="2124"/>
  <c r="B17" i="2124"/>
  <c r="C16" i="2124"/>
  <c r="B16" i="2124"/>
  <c r="C15" i="2124"/>
  <c r="B15" i="2124"/>
  <c r="C14" i="2124"/>
  <c r="B14" i="2124"/>
  <c r="C13" i="2124"/>
  <c r="B13" i="2124"/>
  <c r="C12" i="2124"/>
  <c r="B12" i="2124"/>
  <c r="C11" i="2124"/>
  <c r="B11" i="2124"/>
  <c r="C10" i="2124"/>
  <c r="B10" i="2124"/>
  <c r="C9" i="2124"/>
  <c r="B9" i="2124"/>
  <c r="C8" i="2124"/>
  <c r="B8" i="2124"/>
  <c r="C7" i="2124"/>
  <c r="B7" i="2124"/>
  <c r="C6" i="2124"/>
  <c r="B6" i="2124"/>
  <c r="C5" i="2124"/>
  <c r="C4" i="2124"/>
  <c r="B38" i="2123"/>
  <c r="B34" i="2123"/>
  <c r="C32" i="2123"/>
  <c r="B32" i="2123"/>
  <c r="C31" i="2123"/>
  <c r="B31" i="2123"/>
  <c r="B29" i="2123"/>
  <c r="B25" i="2123"/>
  <c r="C23" i="2123"/>
  <c r="B23" i="2123"/>
  <c r="C22" i="2123"/>
  <c r="B22" i="2123"/>
  <c r="C21" i="2123"/>
  <c r="B21" i="2123"/>
  <c r="B19" i="2123"/>
  <c r="C17" i="2123"/>
  <c r="B17" i="2123"/>
  <c r="C16" i="2123"/>
  <c r="B16" i="2123"/>
  <c r="C15" i="2123"/>
  <c r="B15" i="2123"/>
  <c r="C14" i="2123"/>
  <c r="B14" i="2123"/>
  <c r="C13" i="2123"/>
  <c r="B13" i="2123"/>
  <c r="C12" i="2123"/>
  <c r="B12" i="2123"/>
  <c r="C11" i="2123"/>
  <c r="B11" i="2123"/>
  <c r="C10" i="2123"/>
  <c r="B10" i="2123"/>
  <c r="C9" i="2123"/>
  <c r="B9" i="2123"/>
  <c r="C8" i="2123"/>
  <c r="B8" i="2123"/>
  <c r="C7" i="2123"/>
  <c r="B7" i="2123"/>
  <c r="C6" i="2123"/>
  <c r="B6" i="2123"/>
  <c r="C5" i="2123"/>
  <c r="B5" i="2123"/>
  <c r="C4" i="2123"/>
  <c r="B38" i="2119"/>
  <c r="B34" i="2119"/>
  <c r="C32" i="2119"/>
  <c r="B32" i="2119"/>
  <c r="C31" i="2119"/>
  <c r="B31" i="2119"/>
  <c r="B29" i="2119"/>
  <c r="B25" i="2119"/>
  <c r="C23" i="2119"/>
  <c r="B23" i="2119"/>
  <c r="C22" i="2119"/>
  <c r="B22" i="2119"/>
  <c r="C21" i="2119"/>
  <c r="B21" i="2119"/>
  <c r="B19" i="2119"/>
  <c r="C17" i="2119"/>
  <c r="B17" i="2119"/>
  <c r="C16" i="2119"/>
  <c r="B16" i="2119"/>
  <c r="C15" i="2119"/>
  <c r="B15" i="2119"/>
  <c r="C14" i="2119"/>
  <c r="B14" i="2119"/>
  <c r="C13" i="2119"/>
  <c r="B13" i="2119"/>
  <c r="C12" i="2119"/>
  <c r="B12" i="2119"/>
  <c r="C11" i="2119"/>
  <c r="B11" i="2119"/>
  <c r="C10" i="2119"/>
  <c r="B10" i="2119"/>
  <c r="C9" i="2119"/>
  <c r="B9" i="2119"/>
  <c r="C8" i="2119"/>
  <c r="B8" i="2119"/>
  <c r="C7" i="2119"/>
  <c r="B7" i="2119"/>
  <c r="C6" i="2119"/>
  <c r="B6" i="2119"/>
  <c r="C5" i="2119"/>
  <c r="B5" i="2119"/>
  <c r="C4" i="2119"/>
  <c r="B38" i="2118"/>
  <c r="B34" i="2118"/>
  <c r="C32" i="2118"/>
  <c r="B32" i="2118"/>
  <c r="C31" i="2118"/>
  <c r="B31" i="2118"/>
  <c r="B29" i="2118"/>
  <c r="B25" i="2118"/>
  <c r="C23" i="2118"/>
  <c r="B23" i="2118"/>
  <c r="C22" i="2118"/>
  <c r="B22" i="2118"/>
  <c r="C21" i="2118"/>
  <c r="B21" i="2118"/>
  <c r="B19" i="2118"/>
  <c r="C17" i="2118"/>
  <c r="B17" i="2118"/>
  <c r="C16" i="2118"/>
  <c r="B16" i="2118"/>
  <c r="C15" i="2118"/>
  <c r="B15" i="2118"/>
  <c r="C14" i="2118"/>
  <c r="B14" i="2118"/>
  <c r="C13" i="2118"/>
  <c r="B13" i="2118"/>
  <c r="C12" i="2118"/>
  <c r="B12" i="2118"/>
  <c r="C11" i="2118"/>
  <c r="B11" i="2118"/>
  <c r="C10" i="2118"/>
  <c r="B10" i="2118"/>
  <c r="C9" i="2118"/>
  <c r="B9" i="2118"/>
  <c r="C8" i="2118"/>
  <c r="B8" i="2118"/>
  <c r="C7" i="2118"/>
  <c r="B7" i="2118"/>
  <c r="C6" i="2118"/>
  <c r="B6" i="2118"/>
  <c r="C5" i="2118"/>
  <c r="B5" i="2118"/>
  <c r="C4" i="2118"/>
  <c r="B38" i="2116"/>
  <c r="B34" i="2116"/>
  <c r="C32" i="2116"/>
  <c r="B32" i="2116"/>
  <c r="C31" i="2116"/>
  <c r="B31" i="2116"/>
  <c r="B29" i="2116"/>
  <c r="B25" i="2116"/>
  <c r="C23" i="2116"/>
  <c r="B23" i="2116"/>
  <c r="C22" i="2116"/>
  <c r="B22" i="2116"/>
  <c r="C21" i="2116"/>
  <c r="B21" i="2116"/>
  <c r="B19" i="2116"/>
  <c r="C17" i="2116"/>
  <c r="B17" i="2116"/>
  <c r="C16" i="2116"/>
  <c r="B16" i="2116"/>
  <c r="C15" i="2116"/>
  <c r="B15" i="2116"/>
  <c r="C14" i="2116"/>
  <c r="B14" i="2116"/>
  <c r="C13" i="2116"/>
  <c r="B13" i="2116"/>
  <c r="C12" i="2116"/>
  <c r="B12" i="2116"/>
  <c r="C11" i="2116"/>
  <c r="B11" i="2116"/>
  <c r="C10" i="2116"/>
  <c r="B10" i="2116"/>
  <c r="C9" i="2116"/>
  <c r="B9" i="2116"/>
  <c r="C8" i="2116"/>
  <c r="B8" i="2116"/>
  <c r="C7" i="2116"/>
  <c r="B7" i="2116"/>
  <c r="C6" i="2116"/>
  <c r="B6" i="2116"/>
  <c r="C5" i="2116"/>
  <c r="B5" i="2116"/>
  <c r="C4" i="2116"/>
  <c r="B38" i="2115"/>
  <c r="B34" i="2115"/>
  <c r="C32" i="2115"/>
  <c r="B32" i="2115"/>
  <c r="C31" i="2115"/>
  <c r="B31" i="2115"/>
  <c r="B29" i="2115"/>
  <c r="B25" i="2115"/>
  <c r="C23" i="2115"/>
  <c r="B23" i="2115"/>
  <c r="C22" i="2115"/>
  <c r="B22" i="2115"/>
  <c r="C21" i="2115"/>
  <c r="B21" i="2115"/>
  <c r="B19" i="2115"/>
  <c r="C17" i="2115"/>
  <c r="B17" i="2115"/>
  <c r="C16" i="2115"/>
  <c r="B16" i="2115"/>
  <c r="C15" i="2115"/>
  <c r="B15" i="2115"/>
  <c r="C14" i="2115"/>
  <c r="B14" i="2115"/>
  <c r="C13" i="2115"/>
  <c r="B13" i="2115"/>
  <c r="C12" i="2115"/>
  <c r="B12" i="2115"/>
  <c r="C11" i="2115"/>
  <c r="B11" i="2115"/>
  <c r="C10" i="2115"/>
  <c r="B10" i="2115"/>
  <c r="C9" i="2115"/>
  <c r="B9" i="2115"/>
  <c r="C8" i="2115"/>
  <c r="B8" i="2115"/>
  <c r="C7" i="2115"/>
  <c r="B7" i="2115"/>
  <c r="C6" i="2115"/>
  <c r="B6" i="2115"/>
  <c r="C5" i="2115"/>
  <c r="B5" i="2115"/>
  <c r="C4" i="2115"/>
  <c r="B38" i="2114"/>
  <c r="B34" i="2114"/>
  <c r="C32" i="2114"/>
  <c r="B32" i="2114"/>
  <c r="C31" i="2114"/>
  <c r="B31" i="2114"/>
  <c r="B29" i="2114"/>
  <c r="B25" i="2114"/>
  <c r="C23" i="2114"/>
  <c r="B23" i="2114"/>
  <c r="C22" i="2114"/>
  <c r="B22" i="2114"/>
  <c r="C21" i="2114"/>
  <c r="B21" i="2114"/>
  <c r="B19" i="2114"/>
  <c r="C17" i="2114"/>
  <c r="B17" i="2114"/>
  <c r="C16" i="2114"/>
  <c r="B16" i="2114"/>
  <c r="C15" i="2114"/>
  <c r="B15" i="2114"/>
  <c r="C14" i="2114"/>
  <c r="B14" i="2114"/>
  <c r="C13" i="2114"/>
  <c r="B13" i="2114"/>
  <c r="C12" i="2114"/>
  <c r="B12" i="2114"/>
  <c r="C11" i="2114"/>
  <c r="B11" i="2114"/>
  <c r="C10" i="2114"/>
  <c r="B10" i="2114"/>
  <c r="C9" i="2114"/>
  <c r="B9" i="2114"/>
  <c r="C8" i="2114"/>
  <c r="B8" i="2114"/>
  <c r="C7" i="2114"/>
  <c r="B7" i="2114"/>
  <c r="C6" i="2114"/>
  <c r="B6" i="2114"/>
  <c r="C5" i="2114"/>
  <c r="B5" i="2114"/>
  <c r="C4" i="2114"/>
  <c r="B38" i="2113"/>
  <c r="B34" i="2113"/>
  <c r="C32" i="2113"/>
  <c r="B32" i="2113"/>
  <c r="C31" i="2113"/>
  <c r="B31" i="2113"/>
  <c r="B29" i="2113"/>
  <c r="B25" i="2113"/>
  <c r="C23" i="2113"/>
  <c r="B23" i="2113"/>
  <c r="C22" i="2113"/>
  <c r="B22" i="2113"/>
  <c r="C21" i="2113"/>
  <c r="B21" i="2113"/>
  <c r="B19" i="2113"/>
  <c r="C17" i="2113"/>
  <c r="B17" i="2113"/>
  <c r="C16" i="2113"/>
  <c r="B16" i="2113"/>
  <c r="C15" i="2113"/>
  <c r="B15" i="2113"/>
  <c r="C14" i="2113"/>
  <c r="B14" i="2113"/>
  <c r="C13" i="2113"/>
  <c r="B13" i="2113"/>
  <c r="C12" i="2113"/>
  <c r="B12" i="2113"/>
  <c r="C11" i="2113"/>
  <c r="B11" i="2113"/>
  <c r="C10" i="2113"/>
  <c r="B10" i="2113"/>
  <c r="C9" i="2113"/>
  <c r="B9" i="2113"/>
  <c r="C8" i="2113"/>
  <c r="B8" i="2113"/>
  <c r="C7" i="2113"/>
  <c r="B7" i="2113"/>
  <c r="C6" i="2113"/>
  <c r="B6" i="2113"/>
  <c r="C5" i="2113"/>
  <c r="B5" i="2113"/>
  <c r="C4" i="2113"/>
  <c r="B38" i="2112"/>
  <c r="B34" i="2112"/>
  <c r="C32" i="2112"/>
  <c r="B32" i="2112"/>
  <c r="C31" i="2112"/>
  <c r="B31" i="2112"/>
  <c r="B29" i="2112"/>
  <c r="B25" i="2112"/>
  <c r="C23" i="2112"/>
  <c r="B23" i="2112"/>
  <c r="C22" i="2112"/>
  <c r="B22" i="2112"/>
  <c r="C21" i="2112"/>
  <c r="B21" i="2112"/>
  <c r="B19" i="2112"/>
  <c r="C17" i="2112"/>
  <c r="B17" i="2112"/>
  <c r="C16" i="2112"/>
  <c r="B16" i="2112"/>
  <c r="C15" i="2112"/>
  <c r="B15" i="2112"/>
  <c r="C14" i="2112"/>
  <c r="B14" i="2112"/>
  <c r="C13" i="2112"/>
  <c r="B13" i="2112"/>
  <c r="C12" i="2112"/>
  <c r="B12" i="2112"/>
  <c r="C11" i="2112"/>
  <c r="B11" i="2112"/>
  <c r="C10" i="2112"/>
  <c r="B10" i="2112"/>
  <c r="C9" i="2112"/>
  <c r="B9" i="2112"/>
  <c r="C8" i="2112"/>
  <c r="B8" i="2112"/>
  <c r="C7" i="2112"/>
  <c r="B7" i="2112"/>
  <c r="C6" i="2112"/>
  <c r="B6" i="2112"/>
  <c r="C5" i="2112"/>
  <c r="B5" i="2112"/>
  <c r="C4" i="2112"/>
  <c r="B38" i="1729"/>
  <c r="B34" i="1729"/>
  <c r="B32" i="1729"/>
  <c r="B31" i="1729"/>
  <c r="B29" i="1729"/>
  <c r="B27" i="1729"/>
  <c r="B25" i="1729"/>
  <c r="B23" i="1729"/>
  <c r="B22" i="1729"/>
  <c r="B21" i="1729"/>
  <c r="B19" i="1729"/>
  <c r="B17" i="1729"/>
  <c r="B16" i="1729"/>
  <c r="B15" i="1729"/>
  <c r="B14" i="1729"/>
  <c r="B13" i="1729"/>
  <c r="B12" i="1729"/>
  <c r="B11" i="1729"/>
  <c r="B10" i="1729"/>
  <c r="B9" i="1729"/>
  <c r="B8" i="1729"/>
  <c r="B7" i="1729"/>
  <c r="B6" i="1729"/>
  <c r="B5" i="1729"/>
  <c r="C27" i="1729"/>
  <c r="C27" i="2068"/>
  <c r="C6" i="2068"/>
  <c r="C40" i="2141" l="1"/>
  <c r="C41" i="2141" s="1"/>
  <c r="C38" i="2114"/>
  <c r="D4" i="2118"/>
  <c r="F4" i="2118" s="1"/>
  <c r="C38" i="2118"/>
  <c r="C38" i="2123"/>
  <c r="D4" i="2127"/>
  <c r="F4" i="2127" s="1"/>
  <c r="C38" i="2127"/>
  <c r="D39" i="2141"/>
  <c r="D4" i="2113"/>
  <c r="F4" i="2113" s="1"/>
  <c r="C38" i="2113"/>
  <c r="D4" i="2115"/>
  <c r="F4" i="2115" s="1"/>
  <c r="C38" i="2115"/>
  <c r="D4" i="2112"/>
  <c r="F4" i="2112" s="1"/>
  <c r="C38" i="2112"/>
  <c r="D4" i="2114"/>
  <c r="F4" i="2114" s="1"/>
  <c r="C38" i="2116"/>
  <c r="D4" i="2119"/>
  <c r="F4" i="2119" s="1"/>
  <c r="C38" i="2119"/>
  <c r="C38" i="2124"/>
  <c r="D19" i="2141"/>
  <c r="F19" i="2141" s="1"/>
  <c r="F4" i="2141"/>
  <c r="F39" i="2141" s="1"/>
  <c r="D23" i="2127"/>
  <c r="F23" i="2127" s="1"/>
  <c r="D12" i="2127"/>
  <c r="F12" i="2127" s="1"/>
  <c r="D7" i="2127"/>
  <c r="F7" i="2127" s="1"/>
  <c r="D11" i="2127"/>
  <c r="F11" i="2127" s="1"/>
  <c r="D15" i="2127"/>
  <c r="F15" i="2127" s="1"/>
  <c r="C29" i="2127"/>
  <c r="D29" i="2127" s="1"/>
  <c r="F29" i="2127" s="1"/>
  <c r="D8" i="2127"/>
  <c r="F8" i="2127" s="1"/>
  <c r="D11" i="2124"/>
  <c r="F11" i="2124" s="1"/>
  <c r="D5" i="2127"/>
  <c r="F5" i="2127" s="1"/>
  <c r="D16" i="2127"/>
  <c r="F16" i="2127" s="1"/>
  <c r="D14" i="2124"/>
  <c r="F14" i="2124" s="1"/>
  <c r="D13" i="2127"/>
  <c r="F13" i="2127" s="1"/>
  <c r="D21" i="2127"/>
  <c r="F21" i="2127" s="1"/>
  <c r="D16" i="2124"/>
  <c r="F16" i="2124" s="1"/>
  <c r="D9" i="2127"/>
  <c r="F9" i="2127" s="1"/>
  <c r="D17" i="2127"/>
  <c r="F17" i="2127" s="1"/>
  <c r="D7" i="2123"/>
  <c r="F7" i="2123" s="1"/>
  <c r="D10" i="2124"/>
  <c r="F10" i="2124" s="1"/>
  <c r="D6" i="2127"/>
  <c r="F6" i="2127" s="1"/>
  <c r="D10" i="2127"/>
  <c r="F10" i="2127" s="1"/>
  <c r="D14" i="2127"/>
  <c r="F14" i="2127" s="1"/>
  <c r="D22" i="2127"/>
  <c r="F22" i="2127" s="1"/>
  <c r="C34" i="2127"/>
  <c r="D34" i="2127" s="1"/>
  <c r="F34" i="2127" s="1"/>
  <c r="D32" i="2127"/>
  <c r="F32" i="2127" s="1"/>
  <c r="C25" i="2127"/>
  <c r="D25" i="2127" s="1"/>
  <c r="F25" i="2127" s="1"/>
  <c r="D31" i="2127"/>
  <c r="F31" i="2127" s="1"/>
  <c r="D8" i="2124"/>
  <c r="F8" i="2124" s="1"/>
  <c r="D23" i="2124"/>
  <c r="F23" i="2124" s="1"/>
  <c r="C19" i="2127"/>
  <c r="D16" i="2123"/>
  <c r="F16" i="2123" s="1"/>
  <c r="D13" i="2124"/>
  <c r="F13" i="2124" s="1"/>
  <c r="D22" i="2124"/>
  <c r="F22" i="2124" s="1"/>
  <c r="D11" i="2123"/>
  <c r="F11" i="2123" s="1"/>
  <c r="D15" i="2123"/>
  <c r="F15" i="2123" s="1"/>
  <c r="D21" i="2123"/>
  <c r="F21" i="2123" s="1"/>
  <c r="D7" i="2124"/>
  <c r="F7" i="2124" s="1"/>
  <c r="D32" i="2124"/>
  <c r="F32" i="2124" s="1"/>
  <c r="D8" i="2123"/>
  <c r="F8" i="2123" s="1"/>
  <c r="D12" i="2123"/>
  <c r="F12" i="2123" s="1"/>
  <c r="D23" i="2123"/>
  <c r="F23" i="2123" s="1"/>
  <c r="D15" i="2124"/>
  <c r="F15" i="2124" s="1"/>
  <c r="D17" i="2124"/>
  <c r="F17" i="2124" s="1"/>
  <c r="C29" i="2123"/>
  <c r="D29" i="2123" s="1"/>
  <c r="F29" i="2123" s="1"/>
  <c r="D31" i="2123"/>
  <c r="F31" i="2123" s="1"/>
  <c r="D12" i="2124"/>
  <c r="F12" i="2124" s="1"/>
  <c r="C34" i="2124"/>
  <c r="D34" i="2124" s="1"/>
  <c r="F34" i="2124" s="1"/>
  <c r="D9" i="2123"/>
  <c r="F9" i="2123" s="1"/>
  <c r="D9" i="2124"/>
  <c r="F9" i="2124" s="1"/>
  <c r="C25" i="2124"/>
  <c r="D25" i="2124" s="1"/>
  <c r="F25" i="2124" s="1"/>
  <c r="D21" i="2124"/>
  <c r="F21" i="2124" s="1"/>
  <c r="C29" i="2124"/>
  <c r="D29" i="2124" s="1"/>
  <c r="F29" i="2124" s="1"/>
  <c r="D31" i="2124"/>
  <c r="F31" i="2124" s="1"/>
  <c r="D13" i="2123"/>
  <c r="F13" i="2123" s="1"/>
  <c r="D17" i="2123"/>
  <c r="F17" i="2123" s="1"/>
  <c r="D4" i="2124"/>
  <c r="D5" i="2124"/>
  <c r="F5" i="2124" s="1"/>
  <c r="D6" i="2124"/>
  <c r="F6" i="2124" s="1"/>
  <c r="D10" i="2123"/>
  <c r="F10" i="2123" s="1"/>
  <c r="D14" i="2123"/>
  <c r="F14" i="2123" s="1"/>
  <c r="D22" i="2123"/>
  <c r="F22" i="2123" s="1"/>
  <c r="C34" i="2123"/>
  <c r="D34" i="2123" s="1"/>
  <c r="F34" i="2123" s="1"/>
  <c r="D32" i="2123"/>
  <c r="F32" i="2123" s="1"/>
  <c r="D32" i="2118"/>
  <c r="F32" i="2118" s="1"/>
  <c r="C25" i="2123"/>
  <c r="D25" i="2123" s="1"/>
  <c r="F25" i="2123" s="1"/>
  <c r="C19" i="2124"/>
  <c r="D4" i="2123"/>
  <c r="D5" i="2123"/>
  <c r="F5" i="2123" s="1"/>
  <c r="D6" i="2123"/>
  <c r="F6" i="2123" s="1"/>
  <c r="C19" i="2123"/>
  <c r="D6" i="2115"/>
  <c r="F6" i="2115" s="1"/>
  <c r="D11" i="2118"/>
  <c r="F11" i="2118" s="1"/>
  <c r="D15" i="2118"/>
  <c r="F15" i="2118" s="1"/>
  <c r="D8" i="2119"/>
  <c r="F8" i="2119" s="1"/>
  <c r="D12" i="2119"/>
  <c r="F12" i="2119" s="1"/>
  <c r="D16" i="2119"/>
  <c r="F16" i="2119" s="1"/>
  <c r="D7" i="2119"/>
  <c r="F7" i="2119" s="1"/>
  <c r="D11" i="2119"/>
  <c r="F11" i="2119" s="1"/>
  <c r="D15" i="2119"/>
  <c r="F15" i="2119" s="1"/>
  <c r="D23" i="2119"/>
  <c r="F23" i="2119" s="1"/>
  <c r="D31" i="2119"/>
  <c r="F31" i="2119" s="1"/>
  <c r="D8" i="2118"/>
  <c r="F8" i="2118" s="1"/>
  <c r="D9" i="2119"/>
  <c r="F9" i="2119" s="1"/>
  <c r="D17" i="2119"/>
  <c r="F17" i="2119" s="1"/>
  <c r="D7" i="2118"/>
  <c r="F7" i="2118" s="1"/>
  <c r="D23" i="2118"/>
  <c r="F23" i="2118" s="1"/>
  <c r="D5" i="2119"/>
  <c r="F5" i="2119" s="1"/>
  <c r="D13" i="2119"/>
  <c r="F13" i="2119" s="1"/>
  <c r="D21" i="2119"/>
  <c r="F21" i="2119" s="1"/>
  <c r="C29" i="2119"/>
  <c r="D29" i="2119" s="1"/>
  <c r="F29" i="2119" s="1"/>
  <c r="D22" i="2118"/>
  <c r="F22" i="2118" s="1"/>
  <c r="D14" i="2118"/>
  <c r="F14" i="2118" s="1"/>
  <c r="D10" i="2118"/>
  <c r="F10" i="2118" s="1"/>
  <c r="D12" i="2118"/>
  <c r="F12" i="2118" s="1"/>
  <c r="D6" i="2119"/>
  <c r="F6" i="2119" s="1"/>
  <c r="D10" i="2119"/>
  <c r="F10" i="2119" s="1"/>
  <c r="D14" i="2119"/>
  <c r="F14" i="2119" s="1"/>
  <c r="D22" i="2119"/>
  <c r="F22" i="2119" s="1"/>
  <c r="C34" i="2119"/>
  <c r="D32" i="2119"/>
  <c r="F32" i="2119" s="1"/>
  <c r="D16" i="2118"/>
  <c r="F16" i="2118" s="1"/>
  <c r="C25" i="2119"/>
  <c r="D25" i="2119" s="1"/>
  <c r="F25" i="2119" s="1"/>
  <c r="D22" i="2113"/>
  <c r="F22" i="2113" s="1"/>
  <c r="D6" i="2118"/>
  <c r="F6" i="2118" s="1"/>
  <c r="C34" i="2118"/>
  <c r="D34" i="2118" s="1"/>
  <c r="F34" i="2118" s="1"/>
  <c r="D7" i="2112"/>
  <c r="F7" i="2112" s="1"/>
  <c r="D15" i="2112"/>
  <c r="F15" i="2112" s="1"/>
  <c r="D6" i="2113"/>
  <c r="F6" i="2113" s="1"/>
  <c r="D8" i="2113"/>
  <c r="F8" i="2113" s="1"/>
  <c r="D12" i="2113"/>
  <c r="F12" i="2113" s="1"/>
  <c r="D14" i="2113"/>
  <c r="F14" i="2113" s="1"/>
  <c r="D16" i="2113"/>
  <c r="F16" i="2113" s="1"/>
  <c r="D22" i="2114"/>
  <c r="F22" i="2114" s="1"/>
  <c r="D8" i="2115"/>
  <c r="F8" i="2115" s="1"/>
  <c r="D10" i="2115"/>
  <c r="F10" i="2115" s="1"/>
  <c r="D5" i="2118"/>
  <c r="F5" i="2118" s="1"/>
  <c r="D9" i="2118"/>
  <c r="D13" i="2118"/>
  <c r="F13" i="2118" s="1"/>
  <c r="D17" i="2118"/>
  <c r="F17" i="2118" s="1"/>
  <c r="C25" i="2118"/>
  <c r="D25" i="2118" s="1"/>
  <c r="F25" i="2118" s="1"/>
  <c r="D21" i="2118"/>
  <c r="F21" i="2118" s="1"/>
  <c r="C29" i="2118"/>
  <c r="D29" i="2118" s="1"/>
  <c r="F29" i="2118" s="1"/>
  <c r="D31" i="2118"/>
  <c r="F31" i="2118" s="1"/>
  <c r="C19" i="2119"/>
  <c r="D23" i="2114"/>
  <c r="F23" i="2114" s="1"/>
  <c r="D16" i="2114"/>
  <c r="F16" i="2114" s="1"/>
  <c r="C19" i="2118"/>
  <c r="D7" i="2114"/>
  <c r="F7" i="2114" s="1"/>
  <c r="D11" i="2114"/>
  <c r="F11" i="2114" s="1"/>
  <c r="D15" i="2114"/>
  <c r="F15" i="2114" s="1"/>
  <c r="D21" i="2115"/>
  <c r="F21" i="2115" s="1"/>
  <c r="D23" i="2112"/>
  <c r="F23" i="2112" s="1"/>
  <c r="D14" i="2115"/>
  <c r="F14" i="2115" s="1"/>
  <c r="D12" i="2114"/>
  <c r="F12" i="2114" s="1"/>
  <c r="D15" i="2113"/>
  <c r="F15" i="2113" s="1"/>
  <c r="D23" i="2113"/>
  <c r="F23" i="2113" s="1"/>
  <c r="D13" i="2115"/>
  <c r="F13" i="2115" s="1"/>
  <c r="D22" i="2115"/>
  <c r="F22" i="2115" s="1"/>
  <c r="D16" i="2115"/>
  <c r="F16" i="2115" s="1"/>
  <c r="D5" i="2115"/>
  <c r="F5" i="2115" s="1"/>
  <c r="D12" i="2115"/>
  <c r="F12" i="2115" s="1"/>
  <c r="D32" i="2115"/>
  <c r="F32" i="2115" s="1"/>
  <c r="D8" i="2114"/>
  <c r="F8" i="2114" s="1"/>
  <c r="D10" i="2114"/>
  <c r="F10" i="2114" s="1"/>
  <c r="D9" i="2113"/>
  <c r="F9" i="2113" s="1"/>
  <c r="D11" i="2113"/>
  <c r="F11" i="2113" s="1"/>
  <c r="D32" i="2113"/>
  <c r="F32" i="2113" s="1"/>
  <c r="C25" i="2116"/>
  <c r="D25" i="2116" s="1"/>
  <c r="F25" i="2116" s="1"/>
  <c r="C34" i="2116"/>
  <c r="D34" i="2116" s="1"/>
  <c r="F34" i="2116" s="1"/>
  <c r="C34" i="2115"/>
  <c r="D34" i="2115" s="1"/>
  <c r="F34" i="2115" s="1"/>
  <c r="D16" i="2112"/>
  <c r="F16" i="2112" s="1"/>
  <c r="D5" i="2113"/>
  <c r="F5" i="2113" s="1"/>
  <c r="D7" i="2113"/>
  <c r="F7" i="2113" s="1"/>
  <c r="D17" i="2114"/>
  <c r="F17" i="2114" s="1"/>
  <c r="D9" i="2115"/>
  <c r="F9" i="2115" s="1"/>
  <c r="D17" i="2115"/>
  <c r="F17" i="2115" s="1"/>
  <c r="C25" i="2115"/>
  <c r="D25" i="2115" s="1"/>
  <c r="F25" i="2115" s="1"/>
  <c r="C29" i="2115"/>
  <c r="D29" i="2115" s="1"/>
  <c r="F29" i="2115" s="1"/>
  <c r="D31" i="2115"/>
  <c r="F31" i="2115" s="1"/>
  <c r="D5" i="2114"/>
  <c r="F5" i="2114" s="1"/>
  <c r="D7" i="2115"/>
  <c r="F7" i="2115" s="1"/>
  <c r="D11" i="2115"/>
  <c r="F11" i="2115" s="1"/>
  <c r="D15" i="2115"/>
  <c r="F15" i="2115" s="1"/>
  <c r="D23" i="2115"/>
  <c r="F23" i="2115" s="1"/>
  <c r="D10" i="2112"/>
  <c r="F10" i="2112" s="1"/>
  <c r="C29" i="2116"/>
  <c r="D4" i="2116"/>
  <c r="D5" i="2116"/>
  <c r="F5" i="2116" s="1"/>
  <c r="D6" i="2116"/>
  <c r="F6" i="2116" s="1"/>
  <c r="D7" i="2116"/>
  <c r="F7" i="2116" s="1"/>
  <c r="D8" i="2116"/>
  <c r="F8" i="2116" s="1"/>
  <c r="D9" i="2116"/>
  <c r="F9" i="2116" s="1"/>
  <c r="D10" i="2116"/>
  <c r="F10" i="2116" s="1"/>
  <c r="D11" i="2116"/>
  <c r="F11" i="2116" s="1"/>
  <c r="D12" i="2116"/>
  <c r="F12" i="2116" s="1"/>
  <c r="D13" i="2116"/>
  <c r="F13" i="2116" s="1"/>
  <c r="D14" i="2116"/>
  <c r="F14" i="2116" s="1"/>
  <c r="D15" i="2116"/>
  <c r="F15" i="2116" s="1"/>
  <c r="D16" i="2116"/>
  <c r="F16" i="2116" s="1"/>
  <c r="D17" i="2116"/>
  <c r="F17" i="2116" s="1"/>
  <c r="D21" i="2116"/>
  <c r="F21" i="2116" s="1"/>
  <c r="D22" i="2116"/>
  <c r="F22" i="2116" s="1"/>
  <c r="D23" i="2116"/>
  <c r="F23" i="2116" s="1"/>
  <c r="D31" i="2116"/>
  <c r="F31" i="2116" s="1"/>
  <c r="D32" i="2116"/>
  <c r="F32" i="2116" s="1"/>
  <c r="C19" i="2116"/>
  <c r="D11" i="2112"/>
  <c r="F11" i="2112" s="1"/>
  <c r="D10" i="2113"/>
  <c r="F10" i="2113" s="1"/>
  <c r="D13" i="2113"/>
  <c r="F13" i="2113" s="1"/>
  <c r="D21" i="2113"/>
  <c r="F21" i="2113" s="1"/>
  <c r="D6" i="2114"/>
  <c r="F6" i="2114" s="1"/>
  <c r="D14" i="2114"/>
  <c r="F14" i="2114" s="1"/>
  <c r="C34" i="2114"/>
  <c r="D34" i="2114" s="1"/>
  <c r="F34" i="2114" s="1"/>
  <c r="D32" i="2114"/>
  <c r="F32" i="2114" s="1"/>
  <c r="D17" i="2113"/>
  <c r="F17" i="2113" s="1"/>
  <c r="D9" i="2114"/>
  <c r="F9" i="2114" s="1"/>
  <c r="D13" i="2114"/>
  <c r="F13" i="2114" s="1"/>
  <c r="C25" i="2114"/>
  <c r="D25" i="2114" s="1"/>
  <c r="F25" i="2114" s="1"/>
  <c r="D21" i="2114"/>
  <c r="F21" i="2114" s="1"/>
  <c r="C29" i="2114"/>
  <c r="D29" i="2114" s="1"/>
  <c r="F29" i="2114" s="1"/>
  <c r="D31" i="2114"/>
  <c r="F31" i="2114" s="1"/>
  <c r="C19" i="2115"/>
  <c r="C34" i="2113"/>
  <c r="D34" i="2113" s="1"/>
  <c r="F34" i="2113" s="1"/>
  <c r="D8" i="2112"/>
  <c r="F8" i="2112" s="1"/>
  <c r="C25" i="2113"/>
  <c r="D25" i="2113" s="1"/>
  <c r="F25" i="2113" s="1"/>
  <c r="C29" i="2113"/>
  <c r="D29" i="2113" s="1"/>
  <c r="F29" i="2113" s="1"/>
  <c r="D31" i="2113"/>
  <c r="F31" i="2113" s="1"/>
  <c r="D12" i="2112"/>
  <c r="F12" i="2112" s="1"/>
  <c r="C19" i="2114"/>
  <c r="D6" i="2112"/>
  <c r="F6" i="2112" s="1"/>
  <c r="D14" i="2112"/>
  <c r="F14" i="2112" s="1"/>
  <c r="D22" i="2112"/>
  <c r="F22" i="2112" s="1"/>
  <c r="C34" i="2112"/>
  <c r="D34" i="2112" s="1"/>
  <c r="F34" i="2112" s="1"/>
  <c r="D32" i="2112"/>
  <c r="F32" i="2112" s="1"/>
  <c r="D5" i="2112"/>
  <c r="F5" i="2112" s="1"/>
  <c r="D9" i="2112"/>
  <c r="F9" i="2112" s="1"/>
  <c r="D13" i="2112"/>
  <c r="F13" i="2112" s="1"/>
  <c r="D17" i="2112"/>
  <c r="F17" i="2112" s="1"/>
  <c r="C25" i="2112"/>
  <c r="D25" i="2112" s="1"/>
  <c r="F25" i="2112" s="1"/>
  <c r="D21" i="2112"/>
  <c r="F21" i="2112" s="1"/>
  <c r="C29" i="2112"/>
  <c r="D29" i="2112" s="1"/>
  <c r="F29" i="2112" s="1"/>
  <c r="D31" i="2112"/>
  <c r="F31" i="2112" s="1"/>
  <c r="C19" i="2113"/>
  <c r="C19" i="2112"/>
  <c r="C29" i="2068"/>
  <c r="C29" i="1729"/>
  <c r="D29" i="1729" s="1"/>
  <c r="F29" i="1729" s="1"/>
  <c r="D27" i="1729"/>
  <c r="F27" i="1729" s="1"/>
  <c r="C40" i="2127" l="1"/>
  <c r="C41" i="2127" s="1"/>
  <c r="C40" i="2124"/>
  <c r="C41" i="2124" s="1"/>
  <c r="D39" i="2114"/>
  <c r="C40" i="2112"/>
  <c r="C41" i="2112" s="1"/>
  <c r="F39" i="2119"/>
  <c r="C40" i="2123"/>
  <c r="C41" i="2123" s="1"/>
  <c r="D38" i="2124"/>
  <c r="F38" i="2124" s="1"/>
  <c r="D38" i="2114"/>
  <c r="F38" i="2114" s="1"/>
  <c r="D38" i="2115"/>
  <c r="F38" i="2115" s="1"/>
  <c r="F39" i="2112"/>
  <c r="C40" i="2114"/>
  <c r="C41" i="2114" s="1"/>
  <c r="C40" i="2115"/>
  <c r="C41" i="2115" s="1"/>
  <c r="F39" i="2115"/>
  <c r="F4" i="2116"/>
  <c r="F39" i="2116" s="1"/>
  <c r="D39" i="2116"/>
  <c r="C40" i="2118"/>
  <c r="C41" i="2118" s="1"/>
  <c r="C40" i="2119"/>
  <c r="C41" i="2119" s="1"/>
  <c r="D38" i="2119"/>
  <c r="F38" i="2119" s="1"/>
  <c r="D39" i="2115"/>
  <c r="D38" i="2127"/>
  <c r="F38" i="2127" s="1"/>
  <c r="D38" i="2123"/>
  <c r="F38" i="2123" s="1"/>
  <c r="C40" i="2113"/>
  <c r="C41" i="2113" s="1"/>
  <c r="C40" i="2116"/>
  <c r="C41" i="2116" s="1"/>
  <c r="F4" i="2124"/>
  <c r="F39" i="2124" s="1"/>
  <c r="D39" i="2124"/>
  <c r="F39" i="2127"/>
  <c r="D39" i="2119"/>
  <c r="D38" i="2112"/>
  <c r="F38" i="2112" s="1"/>
  <c r="D38" i="2113"/>
  <c r="F38" i="2113" s="1"/>
  <c r="D39" i="2127"/>
  <c r="D38" i="2118"/>
  <c r="F38" i="2118" s="1"/>
  <c r="F39" i="2113"/>
  <c r="F39" i="2114"/>
  <c r="D39" i="2123"/>
  <c r="D38" i="2116"/>
  <c r="F38" i="2116" s="1"/>
  <c r="D39" i="2112"/>
  <c r="D39" i="2113"/>
  <c r="D39" i="2118"/>
  <c r="D19" i="2127"/>
  <c r="F19" i="2127" s="1"/>
  <c r="D19" i="2124"/>
  <c r="F19" i="2124" s="1"/>
  <c r="D19" i="2123"/>
  <c r="F19" i="2123" s="1"/>
  <c r="F4" i="2123"/>
  <c r="F39" i="2123" s="1"/>
  <c r="D34" i="2119"/>
  <c r="F34" i="2119" s="1"/>
  <c r="F9" i="2118"/>
  <c r="F39" i="2118" s="1"/>
  <c r="D19" i="2119"/>
  <c r="F19" i="2119" s="1"/>
  <c r="D19" i="2118"/>
  <c r="F19" i="2118" s="1"/>
  <c r="D29" i="2116"/>
  <c r="F29" i="2116" s="1"/>
  <c r="D19" i="2116"/>
  <c r="F19" i="2116" s="1"/>
  <c r="D19" i="2115"/>
  <c r="F19" i="2115" s="1"/>
  <c r="D19" i="2114"/>
  <c r="F19" i="2114" s="1"/>
  <c r="D19" i="2113"/>
  <c r="F19" i="2113" s="1"/>
  <c r="D19" i="2112"/>
  <c r="F19" i="2112" s="1"/>
  <c r="C15" i="1729" l="1"/>
  <c r="C16" i="1729"/>
  <c r="C17" i="1729"/>
  <c r="C4" i="1729"/>
  <c r="C5" i="1729"/>
  <c r="C6" i="1729"/>
  <c r="C14" i="1729"/>
  <c r="C32" i="1729"/>
  <c r="C21" i="1729"/>
  <c r="C22" i="1729"/>
  <c r="C23" i="1729"/>
  <c r="C7" i="1729"/>
  <c r="C8" i="1729"/>
  <c r="C9" i="1729"/>
  <c r="C10" i="1729"/>
  <c r="C11" i="1729"/>
  <c r="C12" i="1729"/>
  <c r="C13" i="1729"/>
  <c r="C31" i="1729"/>
  <c r="C15" i="2068"/>
  <c r="C16" i="2068"/>
  <c r="C17" i="2068"/>
  <c r="C4" i="2068"/>
  <c r="C5" i="2068"/>
  <c r="C14" i="2068"/>
  <c r="C32" i="2068"/>
  <c r="C21" i="2068"/>
  <c r="C22" i="2068"/>
  <c r="C23" i="2068"/>
  <c r="C7" i="2068"/>
  <c r="C8" i="2068"/>
  <c r="C9" i="2068"/>
  <c r="C10" i="2068"/>
  <c r="C11" i="2068"/>
  <c r="C12" i="2068"/>
  <c r="C13" i="2068"/>
  <c r="C31" i="2068"/>
  <c r="C25" i="2045"/>
  <c r="C26" i="2045"/>
  <c r="C27" i="2045"/>
  <c r="C28" i="2045"/>
  <c r="C29" i="2045"/>
  <c r="C30" i="2045"/>
  <c r="C31" i="2045"/>
  <c r="C32" i="2045"/>
  <c r="C33" i="2045"/>
  <c r="C34" i="2045"/>
  <c r="C35" i="2045"/>
  <c r="C36" i="2045"/>
  <c r="C37" i="2045"/>
  <c r="C38" i="2045"/>
  <c r="C39" i="2045"/>
  <c r="C40" i="2045"/>
  <c r="C41" i="2045"/>
  <c r="C42" i="2045"/>
  <c r="C43" i="2045"/>
  <c r="C24" i="2045"/>
  <c r="C5" i="2045"/>
  <c r="C6" i="2045"/>
  <c r="C7" i="2045"/>
  <c r="C8" i="2045"/>
  <c r="C9" i="2045"/>
  <c r="C10" i="2045"/>
  <c r="C11" i="2045"/>
  <c r="C12" i="2045"/>
  <c r="C13" i="2045"/>
  <c r="C14" i="2045"/>
  <c r="C15" i="2045"/>
  <c r="C16" i="2045"/>
  <c r="C17" i="2045"/>
  <c r="C18" i="2045"/>
  <c r="C19" i="2045"/>
  <c r="C20" i="2045"/>
  <c r="C4" i="2045"/>
  <c r="C5" i="2044"/>
  <c r="C6" i="2044"/>
  <c r="C7" i="2044"/>
  <c r="C8" i="2044"/>
  <c r="C9" i="2044"/>
  <c r="C10" i="2044"/>
  <c r="C11" i="2044"/>
  <c r="C12" i="2044"/>
  <c r="C13" i="2044"/>
  <c r="C14" i="2044"/>
  <c r="C15" i="2044"/>
  <c r="C16" i="2044"/>
  <c r="C17" i="2044"/>
  <c r="C18" i="2044"/>
  <c r="C19" i="2044"/>
  <c r="C20" i="2044"/>
  <c r="C4" i="2044"/>
  <c r="C25" i="2044"/>
  <c r="C26" i="2044"/>
  <c r="C27" i="2044"/>
  <c r="C28" i="2044"/>
  <c r="C29" i="2044"/>
  <c r="C30" i="2044"/>
  <c r="C31" i="2044"/>
  <c r="C32" i="2044"/>
  <c r="C33" i="2044"/>
  <c r="C34" i="2044"/>
  <c r="C35" i="2044"/>
  <c r="C36" i="2044"/>
  <c r="C37" i="2044"/>
  <c r="C38" i="2044"/>
  <c r="C39" i="2044"/>
  <c r="C40" i="2044"/>
  <c r="C41" i="2044"/>
  <c r="C42" i="2044"/>
  <c r="C43" i="2044"/>
  <c r="C24" i="2044"/>
  <c r="C25" i="2043"/>
  <c r="C26" i="2043"/>
  <c r="C27" i="2043"/>
  <c r="C28" i="2043"/>
  <c r="C29" i="2043"/>
  <c r="C30" i="2043"/>
  <c r="C31" i="2043"/>
  <c r="C32" i="2043"/>
  <c r="C33" i="2043"/>
  <c r="C34" i="2043"/>
  <c r="C35" i="2043"/>
  <c r="C36" i="2043"/>
  <c r="C37" i="2043"/>
  <c r="C38" i="2043"/>
  <c r="C39" i="2043"/>
  <c r="C40" i="2043"/>
  <c r="C41" i="2043"/>
  <c r="C42" i="2043"/>
  <c r="C43" i="2043"/>
  <c r="C24" i="2043"/>
  <c r="C5" i="2043"/>
  <c r="C6" i="2043"/>
  <c r="C7" i="2043"/>
  <c r="C8" i="2043"/>
  <c r="C9" i="2043"/>
  <c r="C10" i="2043"/>
  <c r="C11" i="2043"/>
  <c r="C12" i="2043"/>
  <c r="C13" i="2043"/>
  <c r="C14" i="2043"/>
  <c r="C15" i="2043"/>
  <c r="C16" i="2043"/>
  <c r="C17" i="2043"/>
  <c r="C18" i="2043"/>
  <c r="C19" i="2043"/>
  <c r="C20" i="2043"/>
  <c r="C4" i="2043"/>
  <c r="C25" i="2042"/>
  <c r="C26" i="2042"/>
  <c r="C27" i="2042"/>
  <c r="C28" i="2042"/>
  <c r="C29" i="2042"/>
  <c r="C30" i="2042"/>
  <c r="C31" i="2042"/>
  <c r="C32" i="2042"/>
  <c r="C33" i="2042"/>
  <c r="C34" i="2042"/>
  <c r="C35" i="2042"/>
  <c r="C36" i="2042"/>
  <c r="C37" i="2042"/>
  <c r="C38" i="2042"/>
  <c r="C39" i="2042"/>
  <c r="C40" i="2042"/>
  <c r="C41" i="2042"/>
  <c r="C42" i="2042"/>
  <c r="C43" i="2042"/>
  <c r="C24" i="2042"/>
  <c r="C5" i="2042"/>
  <c r="C6" i="2042"/>
  <c r="C7" i="2042"/>
  <c r="C8" i="2042"/>
  <c r="C9" i="2042"/>
  <c r="C10" i="2042"/>
  <c r="C11" i="2042"/>
  <c r="C12" i="2042"/>
  <c r="C13" i="2042"/>
  <c r="C14" i="2042"/>
  <c r="C15" i="2042"/>
  <c r="C16" i="2042"/>
  <c r="C17" i="2042"/>
  <c r="C18" i="2042"/>
  <c r="C19" i="2042"/>
  <c r="C20" i="2042"/>
  <c r="C4" i="2042"/>
  <c r="B47" i="2045"/>
  <c r="B45" i="2045"/>
  <c r="B43" i="2045"/>
  <c r="B42" i="2045"/>
  <c r="B41" i="2045"/>
  <c r="B40" i="2045"/>
  <c r="B39" i="2045"/>
  <c r="B38" i="2045"/>
  <c r="B37" i="2045"/>
  <c r="B36" i="2045"/>
  <c r="B35" i="2045"/>
  <c r="B34" i="2045"/>
  <c r="B33" i="2045"/>
  <c r="B32" i="2045"/>
  <c r="B31" i="2045"/>
  <c r="B30" i="2045"/>
  <c r="B29" i="2045"/>
  <c r="B28" i="2045"/>
  <c r="B27" i="2045"/>
  <c r="B26" i="2045"/>
  <c r="B25" i="2045"/>
  <c r="B24" i="2045"/>
  <c r="B22" i="2045"/>
  <c r="B20" i="2045"/>
  <c r="B19" i="2045"/>
  <c r="B18" i="2045"/>
  <c r="B17" i="2045"/>
  <c r="B16" i="2045"/>
  <c r="B15" i="2045"/>
  <c r="B14" i="2045"/>
  <c r="B13" i="2045"/>
  <c r="B12" i="2045"/>
  <c r="B11" i="2045"/>
  <c r="B10" i="2045"/>
  <c r="B9" i="2045"/>
  <c r="B8" i="2045"/>
  <c r="B7" i="2045"/>
  <c r="B6" i="2045"/>
  <c r="B5" i="2045"/>
  <c r="A2" i="2045"/>
  <c r="B47" i="2044"/>
  <c r="B45" i="2044"/>
  <c r="B43" i="2044"/>
  <c r="B42" i="2044"/>
  <c r="B41" i="2044"/>
  <c r="B40" i="2044"/>
  <c r="B39" i="2044"/>
  <c r="B38" i="2044"/>
  <c r="B37" i="2044"/>
  <c r="B36" i="2044"/>
  <c r="B35" i="2044"/>
  <c r="B34" i="2044"/>
  <c r="B33" i="2044"/>
  <c r="B32" i="2044"/>
  <c r="B31" i="2044"/>
  <c r="B30" i="2044"/>
  <c r="B29" i="2044"/>
  <c r="B28" i="2044"/>
  <c r="B27" i="2044"/>
  <c r="B26" i="2044"/>
  <c r="B25" i="2044"/>
  <c r="B24" i="2044"/>
  <c r="B22" i="2044"/>
  <c r="B20" i="2044"/>
  <c r="B19" i="2044"/>
  <c r="B18" i="2044"/>
  <c r="B17" i="2044"/>
  <c r="B16" i="2044"/>
  <c r="B15" i="2044"/>
  <c r="B14" i="2044"/>
  <c r="B13" i="2044"/>
  <c r="B12" i="2044"/>
  <c r="B11" i="2044"/>
  <c r="B10" i="2044"/>
  <c r="B9" i="2044"/>
  <c r="B8" i="2044"/>
  <c r="B7" i="2044"/>
  <c r="B6" i="2044"/>
  <c r="B5" i="2044"/>
  <c r="A2" i="2044"/>
  <c r="B47" i="2043"/>
  <c r="B45" i="2043"/>
  <c r="B43" i="2043"/>
  <c r="B42" i="2043"/>
  <c r="B41" i="2043"/>
  <c r="B40" i="2043"/>
  <c r="B39" i="2043"/>
  <c r="B38" i="2043"/>
  <c r="B37" i="2043"/>
  <c r="B36" i="2043"/>
  <c r="B35" i="2043"/>
  <c r="B34" i="2043"/>
  <c r="B33" i="2043"/>
  <c r="B32" i="2043"/>
  <c r="B31" i="2043"/>
  <c r="B30" i="2043"/>
  <c r="B29" i="2043"/>
  <c r="B28" i="2043"/>
  <c r="B27" i="2043"/>
  <c r="B26" i="2043"/>
  <c r="B25" i="2043"/>
  <c r="B24" i="2043"/>
  <c r="B22" i="2043"/>
  <c r="B20" i="2043"/>
  <c r="B19" i="2043"/>
  <c r="B18" i="2043"/>
  <c r="B17" i="2043"/>
  <c r="B16" i="2043"/>
  <c r="B15" i="2043"/>
  <c r="B14" i="2043"/>
  <c r="B13" i="2043"/>
  <c r="B12" i="2043"/>
  <c r="B11" i="2043"/>
  <c r="B10" i="2043"/>
  <c r="B9" i="2043"/>
  <c r="B8" i="2043"/>
  <c r="B7" i="2043"/>
  <c r="B6" i="2043"/>
  <c r="B5" i="2043"/>
  <c r="A2" i="2043"/>
  <c r="B47" i="2042"/>
  <c r="B45" i="2042"/>
  <c r="B43" i="2042"/>
  <c r="B42" i="2042"/>
  <c r="B41" i="2042"/>
  <c r="B40" i="2042"/>
  <c r="B39" i="2042"/>
  <c r="B38" i="2042"/>
  <c r="B37" i="2042"/>
  <c r="B36" i="2042"/>
  <c r="B35" i="2042"/>
  <c r="B34" i="2042"/>
  <c r="B33" i="2042"/>
  <c r="B32" i="2042"/>
  <c r="B31" i="2042"/>
  <c r="B30" i="2042"/>
  <c r="B29" i="2042"/>
  <c r="B28" i="2042"/>
  <c r="B27" i="2042"/>
  <c r="B26" i="2042"/>
  <c r="B25" i="2042"/>
  <c r="B24" i="2042"/>
  <c r="B22" i="2042"/>
  <c r="B20" i="2042"/>
  <c r="B19" i="2042"/>
  <c r="B18" i="2042"/>
  <c r="B17" i="2042"/>
  <c r="B16" i="2042"/>
  <c r="B15" i="2042"/>
  <c r="B14" i="2042"/>
  <c r="B13" i="2042"/>
  <c r="B12" i="2042"/>
  <c r="B11" i="2042"/>
  <c r="B10" i="2042"/>
  <c r="B9" i="2042"/>
  <c r="B8" i="2042"/>
  <c r="B7" i="2042"/>
  <c r="B6" i="2042"/>
  <c r="B5" i="2042"/>
  <c r="A2" i="2042"/>
  <c r="C18" i="1912"/>
  <c r="C19" i="1912"/>
  <c r="C18" i="1762"/>
  <c r="C19" i="1911"/>
  <c r="C19" i="1986"/>
  <c r="C19" i="1761"/>
  <c r="C19" i="1847"/>
  <c r="C20" i="1847"/>
  <c r="C21" i="1847"/>
  <c r="C22" i="1847"/>
  <c r="C23" i="1847"/>
  <c r="C24" i="1847"/>
  <c r="C25" i="1847"/>
  <c r="C26" i="1847"/>
  <c r="C27" i="1847"/>
  <c r="C28" i="1847"/>
  <c r="C29" i="1847"/>
  <c r="C30" i="1847"/>
  <c r="C31" i="1847"/>
  <c r="C32" i="1847"/>
  <c r="C33" i="1847"/>
  <c r="C34" i="1847"/>
  <c r="C35" i="1847"/>
  <c r="C36" i="1847"/>
  <c r="C37" i="1847"/>
  <c r="C38" i="1847"/>
  <c r="C39" i="1847"/>
  <c r="C40" i="1847"/>
  <c r="C41" i="1847"/>
  <c r="C42" i="1847"/>
  <c r="C43" i="1847"/>
  <c r="C18" i="1847"/>
  <c r="C5" i="1847"/>
  <c r="C6" i="1847"/>
  <c r="C7" i="1847"/>
  <c r="C8" i="1847"/>
  <c r="C9" i="1847"/>
  <c r="C10" i="1847"/>
  <c r="C11" i="1847"/>
  <c r="C12" i="1847"/>
  <c r="C13" i="1847"/>
  <c r="C14" i="1847"/>
  <c r="C4" i="1847"/>
  <c r="C20" i="1846"/>
  <c r="C24" i="1846"/>
  <c r="C25" i="1846"/>
  <c r="C26" i="1846"/>
  <c r="C27" i="1846"/>
  <c r="C28" i="1846"/>
  <c r="C29" i="1846"/>
  <c r="C30" i="1846"/>
  <c r="C31" i="1846"/>
  <c r="C32" i="1846"/>
  <c r="C37" i="1846"/>
  <c r="C38" i="1846"/>
  <c r="C39" i="1846"/>
  <c r="C33" i="1846"/>
  <c r="C34" i="1846"/>
  <c r="C35" i="1846"/>
  <c r="C36" i="1846"/>
  <c r="C40" i="1846"/>
  <c r="C41" i="1846"/>
  <c r="C42" i="1846"/>
  <c r="C43" i="1846"/>
  <c r="C16" i="1846"/>
  <c r="C5" i="1846"/>
  <c r="C6" i="1846"/>
  <c r="C7" i="1846"/>
  <c r="C8" i="1846"/>
  <c r="C9" i="1846"/>
  <c r="C10" i="1846"/>
  <c r="C11" i="1846"/>
  <c r="C12" i="1846"/>
  <c r="C13" i="1846"/>
  <c r="C14" i="1846"/>
  <c r="C15" i="1846"/>
  <c r="C19" i="1846"/>
  <c r="C17" i="1846"/>
  <c r="C18" i="1846"/>
  <c r="C4" i="1846"/>
  <c r="C20" i="1912"/>
  <c r="C21" i="1912"/>
  <c r="C22" i="1912"/>
  <c r="C23" i="1912"/>
  <c r="C24" i="1912"/>
  <c r="C25" i="1912"/>
  <c r="C26" i="1912"/>
  <c r="C27" i="1912"/>
  <c r="C28" i="1912"/>
  <c r="C29" i="1912"/>
  <c r="C30" i="1912"/>
  <c r="C31" i="1912"/>
  <c r="C32" i="1912"/>
  <c r="C33" i="1912"/>
  <c r="C34" i="1912"/>
  <c r="C35" i="1912"/>
  <c r="C36" i="1912"/>
  <c r="C37" i="1912"/>
  <c r="C38" i="1912"/>
  <c r="C39" i="1912"/>
  <c r="C40" i="1912"/>
  <c r="C41" i="1912"/>
  <c r="C42" i="1912"/>
  <c r="C43" i="1912"/>
  <c r="C5" i="1912"/>
  <c r="C6" i="1912"/>
  <c r="C7" i="1912"/>
  <c r="C8" i="1912"/>
  <c r="C9" i="1912"/>
  <c r="C10" i="1912"/>
  <c r="C11" i="1912"/>
  <c r="C12" i="1912"/>
  <c r="C13" i="1912"/>
  <c r="C14" i="1912"/>
  <c r="C4" i="1912"/>
  <c r="C20" i="1911"/>
  <c r="C24" i="1911"/>
  <c r="C25" i="1911"/>
  <c r="C26" i="1911"/>
  <c r="C27" i="1911"/>
  <c r="C28" i="1911"/>
  <c r="C29" i="1911"/>
  <c r="C30" i="1911"/>
  <c r="C31" i="1911"/>
  <c r="C32" i="1911"/>
  <c r="C37" i="1911"/>
  <c r="C38" i="1911"/>
  <c r="C39" i="1911"/>
  <c r="C33" i="1911"/>
  <c r="C34" i="1911"/>
  <c r="C35" i="1911"/>
  <c r="C36" i="1911"/>
  <c r="C40" i="1911"/>
  <c r="C41" i="1911"/>
  <c r="C42" i="1911"/>
  <c r="C43" i="1911"/>
  <c r="C16" i="1911"/>
  <c r="C5" i="1911"/>
  <c r="C6" i="1911"/>
  <c r="C7" i="1911"/>
  <c r="C8" i="1911"/>
  <c r="C9" i="1911"/>
  <c r="C10" i="1911"/>
  <c r="C11" i="1911"/>
  <c r="C12" i="1911"/>
  <c r="C13" i="1911"/>
  <c r="C14" i="1911"/>
  <c r="C15" i="1911"/>
  <c r="C17" i="1911"/>
  <c r="C18" i="1911"/>
  <c r="C4" i="1911"/>
  <c r="C19" i="1987"/>
  <c r="C20" i="1987"/>
  <c r="C21" i="1987"/>
  <c r="C22" i="1987"/>
  <c r="C23" i="1987"/>
  <c r="C24" i="1987"/>
  <c r="C25" i="1987"/>
  <c r="C26" i="1987"/>
  <c r="C27" i="1987"/>
  <c r="C28" i="1987"/>
  <c r="C29" i="1987"/>
  <c r="C30" i="1987"/>
  <c r="C31" i="1987"/>
  <c r="C32" i="1987"/>
  <c r="C33" i="1987"/>
  <c r="C34" i="1987"/>
  <c r="C35" i="1987"/>
  <c r="C36" i="1987"/>
  <c r="C37" i="1987"/>
  <c r="C38" i="1987"/>
  <c r="C39" i="1987"/>
  <c r="C40" i="1987"/>
  <c r="C41" i="1987"/>
  <c r="C42" i="1987"/>
  <c r="C43" i="1987"/>
  <c r="C18" i="1987"/>
  <c r="C5" i="1987"/>
  <c r="C6" i="1987"/>
  <c r="C7" i="1987"/>
  <c r="C8" i="1987"/>
  <c r="C9" i="1987"/>
  <c r="C10" i="1987"/>
  <c r="C11" i="1987"/>
  <c r="C12" i="1987"/>
  <c r="C13" i="1987"/>
  <c r="C14" i="1987"/>
  <c r="C4" i="1987"/>
  <c r="C20" i="1986"/>
  <c r="C24" i="1986"/>
  <c r="C25" i="1986"/>
  <c r="C26" i="1986"/>
  <c r="C27" i="1986"/>
  <c r="C28" i="1986"/>
  <c r="C29" i="1986"/>
  <c r="C30" i="1986"/>
  <c r="C31" i="1986"/>
  <c r="C32" i="1986"/>
  <c r="C37" i="1986"/>
  <c r="C38" i="1986"/>
  <c r="C39" i="1986"/>
  <c r="C33" i="1986"/>
  <c r="C34" i="1986"/>
  <c r="C35" i="1986"/>
  <c r="C36" i="1986"/>
  <c r="C40" i="1986"/>
  <c r="C41" i="1986"/>
  <c r="C42" i="1986"/>
  <c r="C43" i="1986"/>
  <c r="C16" i="1986"/>
  <c r="C5" i="1986"/>
  <c r="C6" i="1986"/>
  <c r="C7" i="1986"/>
  <c r="C8" i="1986"/>
  <c r="C9" i="1986"/>
  <c r="C10" i="1986"/>
  <c r="C11" i="1986"/>
  <c r="C12" i="1986"/>
  <c r="C13" i="1986"/>
  <c r="C14" i="1986"/>
  <c r="C15" i="1986"/>
  <c r="C17" i="1986"/>
  <c r="C18" i="1986"/>
  <c r="C4" i="1986"/>
  <c r="B43" i="1987"/>
  <c r="B42" i="1987"/>
  <c r="B41" i="1987"/>
  <c r="B40" i="1987"/>
  <c r="B39" i="1987"/>
  <c r="B38" i="1987"/>
  <c r="B37" i="1987"/>
  <c r="B36" i="1987"/>
  <c r="B35" i="1987"/>
  <c r="B34" i="1987"/>
  <c r="B33" i="1987"/>
  <c r="B32" i="1987"/>
  <c r="B31" i="1987"/>
  <c r="B30" i="1987"/>
  <c r="B29" i="1987"/>
  <c r="B28" i="1987"/>
  <c r="B27" i="1987"/>
  <c r="B47" i="1987" s="1"/>
  <c r="B26" i="1987"/>
  <c r="B25" i="1987"/>
  <c r="B24" i="1987"/>
  <c r="B23" i="1987"/>
  <c r="B22" i="1987"/>
  <c r="B21" i="1987"/>
  <c r="B20" i="1987"/>
  <c r="B45" i="1987" s="1"/>
  <c r="B19" i="1987"/>
  <c r="B18" i="1987"/>
  <c r="B16" i="1987"/>
  <c r="B14" i="1987"/>
  <c r="B13" i="1987"/>
  <c r="B12" i="1987"/>
  <c r="B11" i="1987"/>
  <c r="B10" i="1987"/>
  <c r="B9" i="1987"/>
  <c r="B8" i="1987"/>
  <c r="B7" i="1987"/>
  <c r="B6" i="1987"/>
  <c r="B5" i="1987"/>
  <c r="A2" i="1987"/>
  <c r="B47" i="1986"/>
  <c r="B45" i="1986"/>
  <c r="B43" i="1986"/>
  <c r="B42" i="1986"/>
  <c r="B41" i="1986"/>
  <c r="B40" i="1986"/>
  <c r="B36" i="1986"/>
  <c r="B35" i="1986"/>
  <c r="B34" i="1986"/>
  <c r="B33" i="1986"/>
  <c r="B39" i="1986"/>
  <c r="B38" i="1986"/>
  <c r="B37" i="1986"/>
  <c r="B32" i="1986"/>
  <c r="B31" i="1986"/>
  <c r="B30" i="1986"/>
  <c r="B29" i="1986"/>
  <c r="B28" i="1986"/>
  <c r="B27" i="1986"/>
  <c r="B26" i="1986"/>
  <c r="B25" i="1986"/>
  <c r="B24" i="1986"/>
  <c r="B20" i="1986"/>
  <c r="B16" i="1986"/>
  <c r="B22" i="1986"/>
  <c r="B18" i="1986"/>
  <c r="B17" i="1986"/>
  <c r="B19" i="1986"/>
  <c r="B15" i="1986"/>
  <c r="B14" i="1986"/>
  <c r="B13" i="1986"/>
  <c r="B12" i="1986"/>
  <c r="B11" i="1986"/>
  <c r="B10" i="1986"/>
  <c r="B9" i="1986"/>
  <c r="B8" i="1986"/>
  <c r="B7" i="1986"/>
  <c r="B6" i="1986"/>
  <c r="B5" i="1986"/>
  <c r="A2" i="1986"/>
  <c r="B47" i="1889"/>
  <c r="B45" i="1889"/>
  <c r="C43" i="1889"/>
  <c r="B43" i="1889"/>
  <c r="C42" i="1889"/>
  <c r="B42" i="1889"/>
  <c r="C41" i="1889"/>
  <c r="B41" i="1889"/>
  <c r="C40" i="1889"/>
  <c r="B40" i="1889"/>
  <c r="C39" i="1889"/>
  <c r="B39" i="1889"/>
  <c r="C38" i="1889"/>
  <c r="B38" i="1889"/>
  <c r="C37" i="1889"/>
  <c r="B37" i="1889"/>
  <c r="C36" i="1889"/>
  <c r="B36" i="1889"/>
  <c r="C35" i="1889"/>
  <c r="B35" i="1889"/>
  <c r="C34" i="1889"/>
  <c r="B34" i="1889"/>
  <c r="C33" i="1889"/>
  <c r="B33" i="1889"/>
  <c r="C32" i="1889"/>
  <c r="B32" i="1889"/>
  <c r="C31" i="1889"/>
  <c r="B31" i="1889"/>
  <c r="C30" i="1889"/>
  <c r="B30" i="1889"/>
  <c r="C29" i="1889"/>
  <c r="B29" i="1889"/>
  <c r="C28" i="1889"/>
  <c r="B28" i="1889"/>
  <c r="C27" i="1889"/>
  <c r="B27" i="1889"/>
  <c r="C26" i="1889"/>
  <c r="B26" i="1889"/>
  <c r="C25" i="1889"/>
  <c r="B25" i="1889"/>
  <c r="C24" i="1889"/>
  <c r="B24" i="1889"/>
  <c r="C23" i="1889"/>
  <c r="B23" i="1889"/>
  <c r="C22" i="1889"/>
  <c r="B22" i="1889"/>
  <c r="B20" i="1889"/>
  <c r="C18" i="1889"/>
  <c r="B18" i="1889"/>
  <c r="C17" i="1889"/>
  <c r="B17" i="1889"/>
  <c r="C16" i="1889"/>
  <c r="B16" i="1889"/>
  <c r="C15" i="1889"/>
  <c r="B15" i="1889"/>
  <c r="C14" i="1889"/>
  <c r="B14" i="1889"/>
  <c r="C13" i="1889"/>
  <c r="B13" i="1889"/>
  <c r="C12" i="1889"/>
  <c r="B12" i="1889"/>
  <c r="C11" i="1889"/>
  <c r="B11" i="1889"/>
  <c r="C10" i="1889"/>
  <c r="B10" i="1889"/>
  <c r="C9" i="1889"/>
  <c r="B9" i="1889"/>
  <c r="C8" i="1889"/>
  <c r="B8" i="1889"/>
  <c r="C7" i="1889"/>
  <c r="B7" i="1889"/>
  <c r="C6" i="1889"/>
  <c r="B6" i="1889"/>
  <c r="C5" i="1889"/>
  <c r="B5" i="1889"/>
  <c r="C4" i="1889"/>
  <c r="A2" i="1889"/>
  <c r="B47" i="1884"/>
  <c r="B45" i="1884"/>
  <c r="C43" i="1884"/>
  <c r="B43" i="1884"/>
  <c r="C42" i="1884"/>
  <c r="B42" i="1884"/>
  <c r="C41" i="1884"/>
  <c r="B41" i="1884"/>
  <c r="C40" i="1884"/>
  <c r="B40" i="1884"/>
  <c r="C39" i="1884"/>
  <c r="B39" i="1884"/>
  <c r="C38" i="1884"/>
  <c r="B38" i="1884"/>
  <c r="C37" i="1884"/>
  <c r="B37" i="1884"/>
  <c r="C36" i="1884"/>
  <c r="B36" i="1884"/>
  <c r="C35" i="1884"/>
  <c r="B35" i="1884"/>
  <c r="C34" i="1884"/>
  <c r="B34" i="1884"/>
  <c r="C33" i="1884"/>
  <c r="B33" i="1884"/>
  <c r="C32" i="1884"/>
  <c r="B32" i="1884"/>
  <c r="C31" i="1884"/>
  <c r="B31" i="1884"/>
  <c r="C30" i="1884"/>
  <c r="B30" i="1884"/>
  <c r="C29" i="1884"/>
  <c r="B29" i="1884"/>
  <c r="C28" i="1884"/>
  <c r="B28" i="1884"/>
  <c r="C27" i="1884"/>
  <c r="B27" i="1884"/>
  <c r="C26" i="1884"/>
  <c r="B26" i="1884"/>
  <c r="C25" i="1884"/>
  <c r="B25" i="1884"/>
  <c r="C24" i="1884"/>
  <c r="B24" i="1884"/>
  <c r="C23" i="1884"/>
  <c r="B23" i="1884"/>
  <c r="C22" i="1884"/>
  <c r="B22" i="1884"/>
  <c r="B20" i="1884"/>
  <c r="C18" i="1884"/>
  <c r="B18" i="1884"/>
  <c r="C17" i="1884"/>
  <c r="B17" i="1884"/>
  <c r="C16" i="1884"/>
  <c r="B16" i="1884"/>
  <c r="C15" i="1884"/>
  <c r="B15" i="1884"/>
  <c r="C14" i="1884"/>
  <c r="B14" i="1884"/>
  <c r="C13" i="1884"/>
  <c r="B13" i="1884"/>
  <c r="C12" i="1884"/>
  <c r="B12" i="1884"/>
  <c r="C11" i="1884"/>
  <c r="B11" i="1884"/>
  <c r="C10" i="1884"/>
  <c r="B10" i="1884"/>
  <c r="C9" i="1884"/>
  <c r="B9" i="1884"/>
  <c r="C8" i="1884"/>
  <c r="B8" i="1884"/>
  <c r="C7" i="1884"/>
  <c r="B7" i="1884"/>
  <c r="C6" i="1884"/>
  <c r="B6" i="1884"/>
  <c r="C5" i="1884"/>
  <c r="B5" i="1884"/>
  <c r="C4" i="1884"/>
  <c r="A2" i="1884"/>
  <c r="B47" i="1885"/>
  <c r="B45" i="1885"/>
  <c r="C43" i="1885"/>
  <c r="B43" i="1885"/>
  <c r="C42" i="1885"/>
  <c r="B42" i="1885"/>
  <c r="C41" i="1885"/>
  <c r="B41" i="1885"/>
  <c r="C40" i="1885"/>
  <c r="B40" i="1885"/>
  <c r="C39" i="1885"/>
  <c r="B39" i="1885"/>
  <c r="C38" i="1885"/>
  <c r="B38" i="1885"/>
  <c r="C37" i="1885"/>
  <c r="B37" i="1885"/>
  <c r="C36" i="1885"/>
  <c r="B36" i="1885"/>
  <c r="C35" i="1885"/>
  <c r="B35" i="1885"/>
  <c r="C34" i="1885"/>
  <c r="B34" i="1885"/>
  <c r="C33" i="1885"/>
  <c r="B33" i="1885"/>
  <c r="C32" i="1885"/>
  <c r="B32" i="1885"/>
  <c r="C31" i="1885"/>
  <c r="B31" i="1885"/>
  <c r="C30" i="1885"/>
  <c r="B30" i="1885"/>
  <c r="C29" i="1885"/>
  <c r="B29" i="1885"/>
  <c r="C28" i="1885"/>
  <c r="B28" i="1885"/>
  <c r="C27" i="1885"/>
  <c r="B27" i="1885"/>
  <c r="C26" i="1885"/>
  <c r="B26" i="1885"/>
  <c r="C25" i="1885"/>
  <c r="B25" i="1885"/>
  <c r="C24" i="1885"/>
  <c r="B24" i="1885"/>
  <c r="C23" i="1885"/>
  <c r="B23" i="1885"/>
  <c r="C22" i="1885"/>
  <c r="B22" i="1885"/>
  <c r="B20" i="1885"/>
  <c r="C18" i="1885"/>
  <c r="B18" i="1885"/>
  <c r="C17" i="1885"/>
  <c r="B17" i="1885"/>
  <c r="C16" i="1885"/>
  <c r="B16" i="1885"/>
  <c r="C15" i="1885"/>
  <c r="B15" i="1885"/>
  <c r="C14" i="1885"/>
  <c r="B14" i="1885"/>
  <c r="C13" i="1885"/>
  <c r="B13" i="1885"/>
  <c r="C12" i="1885"/>
  <c r="B12" i="1885"/>
  <c r="C11" i="1885"/>
  <c r="B11" i="1885"/>
  <c r="C10" i="1885"/>
  <c r="B10" i="1885"/>
  <c r="C9" i="1885"/>
  <c r="B9" i="1885"/>
  <c r="C8" i="1885"/>
  <c r="B8" i="1885"/>
  <c r="C7" i="1885"/>
  <c r="B7" i="1885"/>
  <c r="C6" i="1885"/>
  <c r="B6" i="1885"/>
  <c r="C5" i="1885"/>
  <c r="B5" i="1885"/>
  <c r="C4" i="1885"/>
  <c r="A2" i="1885"/>
  <c r="B47" i="1886"/>
  <c r="B45" i="1886"/>
  <c r="C43" i="1886"/>
  <c r="B43" i="1886"/>
  <c r="C42" i="1886"/>
  <c r="B42" i="1886"/>
  <c r="C41" i="1886"/>
  <c r="B41" i="1886"/>
  <c r="C40" i="1886"/>
  <c r="B40" i="1886"/>
  <c r="C39" i="1886"/>
  <c r="B39" i="1886"/>
  <c r="C38" i="1886"/>
  <c r="B38" i="1886"/>
  <c r="C37" i="1886"/>
  <c r="B37" i="1886"/>
  <c r="C36" i="1886"/>
  <c r="B36" i="1886"/>
  <c r="C35" i="1886"/>
  <c r="B35" i="1886"/>
  <c r="C34" i="1886"/>
  <c r="B34" i="1886"/>
  <c r="C33" i="1886"/>
  <c r="B33" i="1886"/>
  <c r="C32" i="1886"/>
  <c r="B32" i="1886"/>
  <c r="C31" i="1886"/>
  <c r="B31" i="1886"/>
  <c r="C30" i="1886"/>
  <c r="B30" i="1886"/>
  <c r="C29" i="1886"/>
  <c r="B29" i="1886"/>
  <c r="C28" i="1886"/>
  <c r="B28" i="1886"/>
  <c r="C27" i="1886"/>
  <c r="B27" i="1886"/>
  <c r="C26" i="1886"/>
  <c r="B26" i="1886"/>
  <c r="C25" i="1886"/>
  <c r="B25" i="1886"/>
  <c r="C24" i="1886"/>
  <c r="B24" i="1886"/>
  <c r="C23" i="1886"/>
  <c r="B23" i="1886"/>
  <c r="C22" i="1886"/>
  <c r="B22" i="1886"/>
  <c r="B20" i="1886"/>
  <c r="C18" i="1886"/>
  <c r="B18" i="1886"/>
  <c r="C17" i="1886"/>
  <c r="B17" i="1886"/>
  <c r="C16" i="1886"/>
  <c r="B16" i="1886"/>
  <c r="C15" i="1886"/>
  <c r="B15" i="1886"/>
  <c r="C14" i="1886"/>
  <c r="B14" i="1886"/>
  <c r="C13" i="1886"/>
  <c r="B13" i="1886"/>
  <c r="C12" i="1886"/>
  <c r="B12" i="1886"/>
  <c r="C11" i="1886"/>
  <c r="B11" i="1886"/>
  <c r="C10" i="1886"/>
  <c r="B10" i="1886"/>
  <c r="C9" i="1886"/>
  <c r="B9" i="1886"/>
  <c r="C8" i="1886"/>
  <c r="B8" i="1886"/>
  <c r="C7" i="1886"/>
  <c r="B7" i="1886"/>
  <c r="C6" i="1886"/>
  <c r="B6" i="1886"/>
  <c r="C5" i="1886"/>
  <c r="B5" i="1886"/>
  <c r="C4" i="1886"/>
  <c r="A2" i="1886"/>
  <c r="B47" i="1887"/>
  <c r="B45" i="1887"/>
  <c r="C43" i="1887"/>
  <c r="B43" i="1887"/>
  <c r="C42" i="1887"/>
  <c r="B42" i="1887"/>
  <c r="C41" i="1887"/>
  <c r="B41" i="1887"/>
  <c r="C40" i="1887"/>
  <c r="B40" i="1887"/>
  <c r="C39" i="1887"/>
  <c r="B39" i="1887"/>
  <c r="C38" i="1887"/>
  <c r="B38" i="1887"/>
  <c r="C37" i="1887"/>
  <c r="B37" i="1887"/>
  <c r="C36" i="1887"/>
  <c r="B36" i="1887"/>
  <c r="C35" i="1887"/>
  <c r="B35" i="1887"/>
  <c r="C34" i="1887"/>
  <c r="B34" i="1887"/>
  <c r="C33" i="1887"/>
  <c r="B33" i="1887"/>
  <c r="C32" i="1887"/>
  <c r="B32" i="1887"/>
  <c r="C31" i="1887"/>
  <c r="B31" i="1887"/>
  <c r="C30" i="1887"/>
  <c r="B30" i="1887"/>
  <c r="C29" i="1887"/>
  <c r="B29" i="1887"/>
  <c r="C28" i="1887"/>
  <c r="B28" i="1887"/>
  <c r="C27" i="1887"/>
  <c r="B27" i="1887"/>
  <c r="C26" i="1887"/>
  <c r="B26" i="1887"/>
  <c r="C25" i="1887"/>
  <c r="B25" i="1887"/>
  <c r="C24" i="1887"/>
  <c r="B24" i="1887"/>
  <c r="C23" i="1887"/>
  <c r="B23" i="1887"/>
  <c r="C22" i="1887"/>
  <c r="B22" i="1887"/>
  <c r="B20" i="1887"/>
  <c r="C18" i="1887"/>
  <c r="B18" i="1887"/>
  <c r="C17" i="1887"/>
  <c r="B17" i="1887"/>
  <c r="C16" i="1887"/>
  <c r="B16" i="1887"/>
  <c r="C15" i="1887"/>
  <c r="B15" i="1887"/>
  <c r="C14" i="1887"/>
  <c r="B14" i="1887"/>
  <c r="C13" i="1887"/>
  <c r="B13" i="1887"/>
  <c r="C12" i="1887"/>
  <c r="B12" i="1887"/>
  <c r="C11" i="1887"/>
  <c r="B11" i="1887"/>
  <c r="C10" i="1887"/>
  <c r="B10" i="1887"/>
  <c r="C9" i="1887"/>
  <c r="B9" i="1887"/>
  <c r="C8" i="1887"/>
  <c r="B8" i="1887"/>
  <c r="C7" i="1887"/>
  <c r="B7" i="1887"/>
  <c r="C6" i="1887"/>
  <c r="B6" i="1887"/>
  <c r="C5" i="1887"/>
  <c r="B5" i="1887"/>
  <c r="C4" i="1887"/>
  <c r="A2" i="1887"/>
  <c r="B47" i="1888"/>
  <c r="B45" i="1888"/>
  <c r="C43" i="1888"/>
  <c r="B43" i="1888"/>
  <c r="C42" i="1888"/>
  <c r="B42" i="1888"/>
  <c r="C41" i="1888"/>
  <c r="B41" i="1888"/>
  <c r="C40" i="1888"/>
  <c r="B40" i="1888"/>
  <c r="C39" i="1888"/>
  <c r="B39" i="1888"/>
  <c r="C38" i="1888"/>
  <c r="B38" i="1888"/>
  <c r="C37" i="1888"/>
  <c r="B37" i="1888"/>
  <c r="C36" i="1888"/>
  <c r="B36" i="1888"/>
  <c r="C35" i="1888"/>
  <c r="B35" i="1888"/>
  <c r="C34" i="1888"/>
  <c r="B34" i="1888"/>
  <c r="C33" i="1888"/>
  <c r="B33" i="1888"/>
  <c r="C32" i="1888"/>
  <c r="B32" i="1888"/>
  <c r="C31" i="1888"/>
  <c r="B31" i="1888"/>
  <c r="C30" i="1888"/>
  <c r="B30" i="1888"/>
  <c r="C29" i="1888"/>
  <c r="B29" i="1888"/>
  <c r="C28" i="1888"/>
  <c r="B28" i="1888"/>
  <c r="C27" i="1888"/>
  <c r="B27" i="1888"/>
  <c r="C26" i="1888"/>
  <c r="B26" i="1888"/>
  <c r="C25" i="1888"/>
  <c r="B25" i="1888"/>
  <c r="C24" i="1888"/>
  <c r="B24" i="1888"/>
  <c r="C23" i="1888"/>
  <c r="B23" i="1888"/>
  <c r="C22" i="1888"/>
  <c r="B22" i="1888"/>
  <c r="B20" i="1888"/>
  <c r="C18" i="1888"/>
  <c r="B18" i="1888"/>
  <c r="C17" i="1888"/>
  <c r="B17" i="1888"/>
  <c r="C16" i="1888"/>
  <c r="B16" i="1888"/>
  <c r="C15" i="1888"/>
  <c r="B15" i="1888"/>
  <c r="C14" i="1888"/>
  <c r="B14" i="1888"/>
  <c r="C13" i="1888"/>
  <c r="B13" i="1888"/>
  <c r="C12" i="1888"/>
  <c r="B12" i="1888"/>
  <c r="C11" i="1888"/>
  <c r="B11" i="1888"/>
  <c r="C10" i="1888"/>
  <c r="B10" i="1888"/>
  <c r="C9" i="1888"/>
  <c r="B9" i="1888"/>
  <c r="C8" i="1888"/>
  <c r="B8" i="1888"/>
  <c r="C7" i="1888"/>
  <c r="B7" i="1888"/>
  <c r="C6" i="1888"/>
  <c r="B6" i="1888"/>
  <c r="C5" i="1888"/>
  <c r="B5" i="1888"/>
  <c r="C4" i="1888"/>
  <c r="A2" i="1888"/>
  <c r="B47" i="1883"/>
  <c r="B45" i="1883"/>
  <c r="C43" i="1883"/>
  <c r="B43" i="1883"/>
  <c r="C42" i="1883"/>
  <c r="B42" i="1883"/>
  <c r="C41" i="1883"/>
  <c r="B41" i="1883"/>
  <c r="C40" i="1883"/>
  <c r="B40" i="1883"/>
  <c r="C39" i="1883"/>
  <c r="B39" i="1883"/>
  <c r="C38" i="1883"/>
  <c r="B38" i="1883"/>
  <c r="C37" i="1883"/>
  <c r="B37" i="1883"/>
  <c r="C36" i="1883"/>
  <c r="B36" i="1883"/>
  <c r="C35" i="1883"/>
  <c r="B35" i="1883"/>
  <c r="C34" i="1883"/>
  <c r="B34" i="1883"/>
  <c r="C33" i="1883"/>
  <c r="B33" i="1883"/>
  <c r="C32" i="1883"/>
  <c r="B32" i="1883"/>
  <c r="C31" i="1883"/>
  <c r="B31" i="1883"/>
  <c r="C30" i="1883"/>
  <c r="B30" i="1883"/>
  <c r="C29" i="1883"/>
  <c r="B29" i="1883"/>
  <c r="C28" i="1883"/>
  <c r="B28" i="1883"/>
  <c r="C27" i="1883"/>
  <c r="B27" i="1883"/>
  <c r="C26" i="1883"/>
  <c r="B26" i="1883"/>
  <c r="C25" i="1883"/>
  <c r="B25" i="1883"/>
  <c r="C24" i="1883"/>
  <c r="B24" i="1883"/>
  <c r="C23" i="1883"/>
  <c r="B23" i="1883"/>
  <c r="C22" i="1883"/>
  <c r="B22" i="1883"/>
  <c r="B20" i="1883"/>
  <c r="C18" i="1883"/>
  <c r="B18" i="1883"/>
  <c r="C17" i="1883"/>
  <c r="B17" i="1883"/>
  <c r="C16" i="1883"/>
  <c r="B16" i="1883"/>
  <c r="C15" i="1883"/>
  <c r="B15" i="1883"/>
  <c r="C14" i="1883"/>
  <c r="B14" i="1883"/>
  <c r="C13" i="1883"/>
  <c r="B13" i="1883"/>
  <c r="C12" i="1883"/>
  <c r="B12" i="1883"/>
  <c r="C11" i="1883"/>
  <c r="B11" i="1883"/>
  <c r="C10" i="1883"/>
  <c r="B10" i="1883"/>
  <c r="C9" i="1883"/>
  <c r="B9" i="1883"/>
  <c r="C8" i="1883"/>
  <c r="B8" i="1883"/>
  <c r="C7" i="1883"/>
  <c r="B7" i="1883"/>
  <c r="C6" i="1883"/>
  <c r="B6" i="1883"/>
  <c r="C5" i="1883"/>
  <c r="B5" i="1883"/>
  <c r="C4" i="1883"/>
  <c r="A2" i="1883"/>
  <c r="B47" i="1882"/>
  <c r="B45" i="1882"/>
  <c r="C43" i="1882"/>
  <c r="B43" i="1882"/>
  <c r="C42" i="1882"/>
  <c r="B42" i="1882"/>
  <c r="C41" i="1882"/>
  <c r="B41" i="1882"/>
  <c r="C40" i="1882"/>
  <c r="B40" i="1882"/>
  <c r="C39" i="1882"/>
  <c r="B39" i="1882"/>
  <c r="C38" i="1882"/>
  <c r="B38" i="1882"/>
  <c r="C37" i="1882"/>
  <c r="B37" i="1882"/>
  <c r="C36" i="1882"/>
  <c r="B36" i="1882"/>
  <c r="C35" i="1882"/>
  <c r="B35" i="1882"/>
  <c r="C34" i="1882"/>
  <c r="B34" i="1882"/>
  <c r="C33" i="1882"/>
  <c r="B33" i="1882"/>
  <c r="C32" i="1882"/>
  <c r="B32" i="1882"/>
  <c r="C31" i="1882"/>
  <c r="B31" i="1882"/>
  <c r="C30" i="1882"/>
  <c r="B30" i="1882"/>
  <c r="C29" i="1882"/>
  <c r="B29" i="1882"/>
  <c r="C28" i="1882"/>
  <c r="B28" i="1882"/>
  <c r="C27" i="1882"/>
  <c r="B27" i="1882"/>
  <c r="C26" i="1882"/>
  <c r="B26" i="1882"/>
  <c r="C25" i="1882"/>
  <c r="B25" i="1882"/>
  <c r="C24" i="1882"/>
  <c r="B24" i="1882"/>
  <c r="C23" i="1882"/>
  <c r="B23" i="1882"/>
  <c r="C22" i="1882"/>
  <c r="B22" i="1882"/>
  <c r="B20" i="1882"/>
  <c r="C18" i="1882"/>
  <c r="B18" i="1882"/>
  <c r="C17" i="1882"/>
  <c r="B17" i="1882"/>
  <c r="C16" i="1882"/>
  <c r="B16" i="1882"/>
  <c r="C15" i="1882"/>
  <c r="B15" i="1882"/>
  <c r="C14" i="1882"/>
  <c r="B14" i="1882"/>
  <c r="C13" i="1882"/>
  <c r="B13" i="1882"/>
  <c r="C12" i="1882"/>
  <c r="B12" i="1882"/>
  <c r="C11" i="1882"/>
  <c r="B11" i="1882"/>
  <c r="C10" i="1882"/>
  <c r="B10" i="1882"/>
  <c r="C9" i="1882"/>
  <c r="B9" i="1882"/>
  <c r="C8" i="1882"/>
  <c r="B8" i="1882"/>
  <c r="C7" i="1882"/>
  <c r="B7" i="1882"/>
  <c r="C6" i="1882"/>
  <c r="B6" i="1882"/>
  <c r="C5" i="1882"/>
  <c r="B5" i="1882"/>
  <c r="C4" i="1882"/>
  <c r="A2" i="1882"/>
  <c r="B43" i="1847"/>
  <c r="B42" i="1847"/>
  <c r="B41" i="1847"/>
  <c r="B40" i="1847"/>
  <c r="B39" i="1847"/>
  <c r="B38" i="1847"/>
  <c r="B37" i="1847"/>
  <c r="B36" i="1847"/>
  <c r="B35" i="1847"/>
  <c r="B34" i="1847"/>
  <c r="B33" i="1847"/>
  <c r="B32" i="1847"/>
  <c r="B31" i="1847"/>
  <c r="B30" i="1847"/>
  <c r="B29" i="1847"/>
  <c r="B28" i="1847"/>
  <c r="B27" i="1847"/>
  <c r="B47" i="1847" s="1"/>
  <c r="B26" i="1847"/>
  <c r="B25" i="1847"/>
  <c r="B24" i="1847"/>
  <c r="B23" i="1847"/>
  <c r="B22" i="1847"/>
  <c r="B21" i="1847"/>
  <c r="B20" i="1847"/>
  <c r="B45" i="1847" s="1"/>
  <c r="B19" i="1847"/>
  <c r="B18" i="1847"/>
  <c r="B16" i="1847"/>
  <c r="B14" i="1847"/>
  <c r="B13" i="1847"/>
  <c r="B12" i="1847"/>
  <c r="B11" i="1847"/>
  <c r="B10" i="1847"/>
  <c r="B9" i="1847"/>
  <c r="B8" i="1847"/>
  <c r="B7" i="1847"/>
  <c r="B6" i="1847"/>
  <c r="B5" i="1847"/>
  <c r="A2" i="1847"/>
  <c r="B47" i="1846"/>
  <c r="B45" i="1846"/>
  <c r="B43" i="1846"/>
  <c r="B42" i="1846"/>
  <c r="B41" i="1846"/>
  <c r="B40" i="1846"/>
  <c r="B36" i="1846"/>
  <c r="B35" i="1846"/>
  <c r="B34" i="1846"/>
  <c r="B33" i="1846"/>
  <c r="B39" i="1846"/>
  <c r="B38" i="1846"/>
  <c r="B37" i="1846"/>
  <c r="B32" i="1846"/>
  <c r="B31" i="1846"/>
  <c r="B30" i="1846"/>
  <c r="B29" i="1846"/>
  <c r="B28" i="1846"/>
  <c r="B27" i="1846"/>
  <c r="B26" i="1846"/>
  <c r="B25" i="1846"/>
  <c r="B24" i="1846"/>
  <c r="B20" i="1846"/>
  <c r="B16" i="1846"/>
  <c r="B22" i="1846"/>
  <c r="B18" i="1846"/>
  <c r="B17" i="1846"/>
  <c r="B19" i="1846"/>
  <c r="B15" i="1846"/>
  <c r="B14" i="1846"/>
  <c r="B13" i="1846"/>
  <c r="B12" i="1846"/>
  <c r="B11" i="1846"/>
  <c r="B10" i="1846"/>
  <c r="B9" i="1846"/>
  <c r="B8" i="1846"/>
  <c r="B7" i="1846"/>
  <c r="B6" i="1846"/>
  <c r="B5" i="1846"/>
  <c r="A2" i="1846"/>
  <c r="B43" i="1912"/>
  <c r="B42" i="1912"/>
  <c r="B41" i="1912"/>
  <c r="B40" i="1912"/>
  <c r="B39" i="1912"/>
  <c r="B38" i="1912"/>
  <c r="B37" i="1912"/>
  <c r="B36" i="1912"/>
  <c r="B35" i="1912"/>
  <c r="B34" i="1912"/>
  <c r="B33" i="1912"/>
  <c r="B32" i="1912"/>
  <c r="B31" i="1912"/>
  <c r="B30" i="1912"/>
  <c r="B29" i="1912"/>
  <c r="B28" i="1912"/>
  <c r="B27" i="1912"/>
  <c r="B47" i="1912" s="1"/>
  <c r="B26" i="1912"/>
  <c r="B25" i="1912"/>
  <c r="B24" i="1912"/>
  <c r="B23" i="1912"/>
  <c r="B22" i="1912"/>
  <c r="B21" i="1912"/>
  <c r="B20" i="1912"/>
  <c r="B45" i="1912" s="1"/>
  <c r="B19" i="1912"/>
  <c r="B18" i="1912"/>
  <c r="B16" i="1912"/>
  <c r="B14" i="1912"/>
  <c r="B13" i="1912"/>
  <c r="B12" i="1912"/>
  <c r="B11" i="1912"/>
  <c r="B10" i="1912"/>
  <c r="B9" i="1912"/>
  <c r="B8" i="1912"/>
  <c r="B7" i="1912"/>
  <c r="B6" i="1912"/>
  <c r="B5" i="1912"/>
  <c r="A2" i="1912"/>
  <c r="B47" i="1911"/>
  <c r="B45" i="1911"/>
  <c r="B43" i="1911"/>
  <c r="B42" i="1911"/>
  <c r="B41" i="1911"/>
  <c r="B40" i="1911"/>
  <c r="B36" i="1911"/>
  <c r="B35" i="1911"/>
  <c r="B34" i="1911"/>
  <c r="B33" i="1911"/>
  <c r="B39" i="1911"/>
  <c r="B38" i="1911"/>
  <c r="B37" i="1911"/>
  <c r="B32" i="1911"/>
  <c r="B31" i="1911"/>
  <c r="B30" i="1911"/>
  <c r="B29" i="1911"/>
  <c r="B28" i="1911"/>
  <c r="B27" i="1911"/>
  <c r="B26" i="1911"/>
  <c r="B25" i="1911"/>
  <c r="B24" i="1911"/>
  <c r="B20" i="1911"/>
  <c r="B16" i="1911"/>
  <c r="B22" i="1911"/>
  <c r="B18" i="1911"/>
  <c r="B17" i="1911"/>
  <c r="B19" i="1911"/>
  <c r="B15" i="1911"/>
  <c r="B14" i="1911"/>
  <c r="B13" i="1911"/>
  <c r="B12" i="1911"/>
  <c r="B11" i="1911"/>
  <c r="B10" i="1911"/>
  <c r="B9" i="1911"/>
  <c r="B8" i="1911"/>
  <c r="B7" i="1911"/>
  <c r="B6" i="1911"/>
  <c r="B5" i="1911"/>
  <c r="A2" i="1911"/>
  <c r="C43" i="1485"/>
  <c r="B43" i="1485"/>
  <c r="C42" i="1485"/>
  <c r="B42" i="1485"/>
  <c r="C41" i="1485"/>
  <c r="B41" i="1485"/>
  <c r="C40" i="1485"/>
  <c r="B40" i="1485"/>
  <c r="C39" i="1485"/>
  <c r="B39" i="1485"/>
  <c r="C38" i="1485"/>
  <c r="B38" i="1485"/>
  <c r="C37" i="1485"/>
  <c r="B37" i="1485"/>
  <c r="C36" i="1485"/>
  <c r="B36" i="1485"/>
  <c r="C35" i="1485"/>
  <c r="B35" i="1485"/>
  <c r="C34" i="1485"/>
  <c r="B34" i="1485"/>
  <c r="C33" i="1485"/>
  <c r="B33" i="1485"/>
  <c r="C32" i="1485"/>
  <c r="B32" i="1485"/>
  <c r="C31" i="1485"/>
  <c r="B31" i="1485"/>
  <c r="C30" i="1485"/>
  <c r="B30" i="1485"/>
  <c r="C29" i="1485"/>
  <c r="B29" i="1485"/>
  <c r="C28" i="1485"/>
  <c r="B28" i="1485"/>
  <c r="C27" i="1485"/>
  <c r="B27" i="1485"/>
  <c r="B47" i="1485" s="1"/>
  <c r="C26" i="1485"/>
  <c r="B26" i="1485"/>
  <c r="C25" i="1485"/>
  <c r="B25" i="1485"/>
  <c r="C24" i="1485"/>
  <c r="B24" i="1485"/>
  <c r="C23" i="1485"/>
  <c r="B23" i="1485"/>
  <c r="C22" i="1485"/>
  <c r="B22" i="1485"/>
  <c r="C21" i="1485"/>
  <c r="B21" i="1485"/>
  <c r="C20" i="1485"/>
  <c r="B20" i="1485"/>
  <c r="B45" i="1485" s="1"/>
  <c r="C19" i="1485"/>
  <c r="B19" i="1485"/>
  <c r="C18" i="1485"/>
  <c r="B18" i="1485"/>
  <c r="B16" i="1485"/>
  <c r="C14" i="1485"/>
  <c r="B14" i="1485"/>
  <c r="C13" i="1485"/>
  <c r="B13" i="1485"/>
  <c r="C12" i="1485"/>
  <c r="B12" i="1485"/>
  <c r="C11" i="1485"/>
  <c r="B11" i="1485"/>
  <c r="C10" i="1485"/>
  <c r="B10" i="1485"/>
  <c r="C9" i="1485"/>
  <c r="B9" i="1485"/>
  <c r="C8" i="1485"/>
  <c r="B8" i="1485"/>
  <c r="C7" i="1485"/>
  <c r="B7" i="1485"/>
  <c r="C6" i="1485"/>
  <c r="B6" i="1485"/>
  <c r="C5" i="1485"/>
  <c r="B5" i="1485"/>
  <c r="C4" i="1485"/>
  <c r="A2" i="1485"/>
  <c r="B47" i="1484"/>
  <c r="B45" i="1484"/>
  <c r="C43" i="1484"/>
  <c r="B43" i="1484"/>
  <c r="C42" i="1484"/>
  <c r="B42" i="1484"/>
  <c r="C41" i="1484"/>
  <c r="B41" i="1484"/>
  <c r="C40" i="1484"/>
  <c r="B40" i="1484"/>
  <c r="C36" i="1484"/>
  <c r="B36" i="1484"/>
  <c r="C35" i="1484"/>
  <c r="B35" i="1484"/>
  <c r="C34" i="1484"/>
  <c r="B34" i="1484"/>
  <c r="C33" i="1484"/>
  <c r="B33" i="1484"/>
  <c r="C39" i="1484"/>
  <c r="B39" i="1484"/>
  <c r="C38" i="1484"/>
  <c r="B38" i="1484"/>
  <c r="C37" i="1484"/>
  <c r="B37" i="1484"/>
  <c r="C32" i="1484"/>
  <c r="B32" i="1484"/>
  <c r="C31" i="1484"/>
  <c r="B31" i="1484"/>
  <c r="C30" i="1484"/>
  <c r="B30" i="1484"/>
  <c r="C29" i="1484"/>
  <c r="B29" i="1484"/>
  <c r="C28" i="1484"/>
  <c r="B28" i="1484"/>
  <c r="C27" i="1484"/>
  <c r="B27" i="1484"/>
  <c r="C26" i="1484"/>
  <c r="B26" i="1484"/>
  <c r="C25" i="1484"/>
  <c r="B25" i="1484"/>
  <c r="C24" i="1484"/>
  <c r="B24" i="1484"/>
  <c r="C20" i="1484"/>
  <c r="B20" i="1484"/>
  <c r="C16" i="1484"/>
  <c r="B16" i="1484"/>
  <c r="B22" i="1484"/>
  <c r="C18" i="1484"/>
  <c r="B18" i="1484"/>
  <c r="C17" i="1484"/>
  <c r="B17" i="1484"/>
  <c r="C19" i="1484"/>
  <c r="B19" i="1484"/>
  <c r="C15" i="1484"/>
  <c r="B15" i="1484"/>
  <c r="C14" i="1484"/>
  <c r="B14" i="1484"/>
  <c r="C13" i="1484"/>
  <c r="B13" i="1484"/>
  <c r="C12" i="1484"/>
  <c r="B12" i="1484"/>
  <c r="C11" i="1484"/>
  <c r="B11" i="1484"/>
  <c r="C10" i="1484"/>
  <c r="B10" i="1484"/>
  <c r="C9" i="1484"/>
  <c r="B9" i="1484"/>
  <c r="C8" i="1484"/>
  <c r="B8" i="1484"/>
  <c r="C7" i="1484"/>
  <c r="B7" i="1484"/>
  <c r="C6" i="1484"/>
  <c r="B6" i="1484"/>
  <c r="C5" i="1484"/>
  <c r="B5" i="1484"/>
  <c r="C4" i="1484"/>
  <c r="A2" i="1484"/>
  <c r="C43" i="1777"/>
  <c r="B43" i="1777"/>
  <c r="C42" i="1777"/>
  <c r="B42" i="1777"/>
  <c r="C41" i="1777"/>
  <c r="B41" i="1777"/>
  <c r="C40" i="1777"/>
  <c r="B40" i="1777"/>
  <c r="C39" i="1777"/>
  <c r="B39" i="1777"/>
  <c r="C38" i="1777"/>
  <c r="B38" i="1777"/>
  <c r="C37" i="1777"/>
  <c r="B37" i="1777"/>
  <c r="C36" i="1777"/>
  <c r="B36" i="1777"/>
  <c r="C35" i="1777"/>
  <c r="B35" i="1777"/>
  <c r="C34" i="1777"/>
  <c r="B34" i="1777"/>
  <c r="C33" i="1777"/>
  <c r="B33" i="1777"/>
  <c r="C32" i="1777"/>
  <c r="B32" i="1777"/>
  <c r="C31" i="1777"/>
  <c r="B31" i="1777"/>
  <c r="C30" i="1777"/>
  <c r="B30" i="1777"/>
  <c r="C29" i="1777"/>
  <c r="B29" i="1777"/>
  <c r="C28" i="1777"/>
  <c r="B28" i="1777"/>
  <c r="C27" i="1777"/>
  <c r="B27" i="1777"/>
  <c r="B47" i="1777" s="1"/>
  <c r="C26" i="1777"/>
  <c r="B26" i="1777"/>
  <c r="C25" i="1777"/>
  <c r="B25" i="1777"/>
  <c r="C24" i="1777"/>
  <c r="B24" i="1777"/>
  <c r="C23" i="1777"/>
  <c r="B23" i="1777"/>
  <c r="C22" i="1777"/>
  <c r="B22" i="1777"/>
  <c r="C21" i="1777"/>
  <c r="B21" i="1777"/>
  <c r="C20" i="1777"/>
  <c r="B20" i="1777"/>
  <c r="B45" i="1777" s="1"/>
  <c r="C19" i="1777"/>
  <c r="B19" i="1777"/>
  <c r="C18" i="1777"/>
  <c r="B18" i="1777"/>
  <c r="B16" i="1777"/>
  <c r="C14" i="1777"/>
  <c r="B14" i="1777"/>
  <c r="C13" i="1777"/>
  <c r="B13" i="1777"/>
  <c r="C12" i="1777"/>
  <c r="B12" i="1777"/>
  <c r="C11" i="1777"/>
  <c r="B11" i="1777"/>
  <c r="C10" i="1777"/>
  <c r="B10" i="1777"/>
  <c r="C9" i="1777"/>
  <c r="B9" i="1777"/>
  <c r="C8" i="1777"/>
  <c r="B8" i="1777"/>
  <c r="C7" i="1777"/>
  <c r="B7" i="1777"/>
  <c r="C6" i="1777"/>
  <c r="B6" i="1777"/>
  <c r="C5" i="1777"/>
  <c r="B5" i="1777"/>
  <c r="C4" i="1777"/>
  <c r="A2" i="1777"/>
  <c r="B47" i="1776"/>
  <c r="B45" i="1776"/>
  <c r="C43" i="1776"/>
  <c r="B43" i="1776"/>
  <c r="C42" i="1776"/>
  <c r="B42" i="1776"/>
  <c r="C41" i="1776"/>
  <c r="B41" i="1776"/>
  <c r="C40" i="1776"/>
  <c r="B40" i="1776"/>
  <c r="C36" i="1776"/>
  <c r="B36" i="1776"/>
  <c r="C35" i="1776"/>
  <c r="B35" i="1776"/>
  <c r="C34" i="1776"/>
  <c r="B34" i="1776"/>
  <c r="C33" i="1776"/>
  <c r="B33" i="1776"/>
  <c r="C39" i="1776"/>
  <c r="B39" i="1776"/>
  <c r="C38" i="1776"/>
  <c r="B38" i="1776"/>
  <c r="C37" i="1776"/>
  <c r="B37" i="1776"/>
  <c r="C32" i="1776"/>
  <c r="B32" i="1776"/>
  <c r="C31" i="1776"/>
  <c r="B31" i="1776"/>
  <c r="C30" i="1776"/>
  <c r="B30" i="1776"/>
  <c r="C29" i="1776"/>
  <c r="B29" i="1776"/>
  <c r="C28" i="1776"/>
  <c r="B28" i="1776"/>
  <c r="C27" i="1776"/>
  <c r="B27" i="1776"/>
  <c r="C26" i="1776"/>
  <c r="B26" i="1776"/>
  <c r="C25" i="1776"/>
  <c r="B25" i="1776"/>
  <c r="C24" i="1776"/>
  <c r="B24" i="1776"/>
  <c r="C20" i="1776"/>
  <c r="B20" i="1776"/>
  <c r="C16" i="1776"/>
  <c r="B16" i="1776"/>
  <c r="B22" i="1776"/>
  <c r="C18" i="1776"/>
  <c r="B18" i="1776"/>
  <c r="C17" i="1776"/>
  <c r="B17" i="1776"/>
  <c r="C19" i="1776"/>
  <c r="B19" i="1776"/>
  <c r="C15" i="1776"/>
  <c r="B15" i="1776"/>
  <c r="C14" i="1776"/>
  <c r="B14" i="1776"/>
  <c r="C13" i="1776"/>
  <c r="B13" i="1776"/>
  <c r="C12" i="1776"/>
  <c r="B12" i="1776"/>
  <c r="C11" i="1776"/>
  <c r="B11" i="1776"/>
  <c r="C10" i="1776"/>
  <c r="B10" i="1776"/>
  <c r="C9" i="1776"/>
  <c r="B9" i="1776"/>
  <c r="C8" i="1776"/>
  <c r="B8" i="1776"/>
  <c r="C7" i="1776"/>
  <c r="B7" i="1776"/>
  <c r="C6" i="1776"/>
  <c r="B6" i="1776"/>
  <c r="C5" i="1776"/>
  <c r="B5" i="1776"/>
  <c r="C4" i="1776"/>
  <c r="A2" i="1776"/>
  <c r="C43" i="1762"/>
  <c r="B43" i="1762"/>
  <c r="C42" i="1762"/>
  <c r="B42" i="1762"/>
  <c r="C41" i="1762"/>
  <c r="B41" i="1762"/>
  <c r="C40" i="1762"/>
  <c r="B40" i="1762"/>
  <c r="C39" i="1762"/>
  <c r="B39" i="1762"/>
  <c r="C38" i="1762"/>
  <c r="B38" i="1762"/>
  <c r="C37" i="1762"/>
  <c r="B37" i="1762"/>
  <c r="C36" i="1762"/>
  <c r="B36" i="1762"/>
  <c r="C35" i="1762"/>
  <c r="B35" i="1762"/>
  <c r="C34" i="1762"/>
  <c r="B34" i="1762"/>
  <c r="C33" i="1762"/>
  <c r="B33" i="1762"/>
  <c r="C32" i="1762"/>
  <c r="B32" i="1762"/>
  <c r="C31" i="1762"/>
  <c r="B31" i="1762"/>
  <c r="C30" i="1762"/>
  <c r="B30" i="1762"/>
  <c r="C29" i="1762"/>
  <c r="B29" i="1762"/>
  <c r="C28" i="1762"/>
  <c r="B28" i="1762"/>
  <c r="C27" i="1762"/>
  <c r="B27" i="1762"/>
  <c r="B47" i="1762" s="1"/>
  <c r="C26" i="1762"/>
  <c r="B26" i="1762"/>
  <c r="C25" i="1762"/>
  <c r="B25" i="1762"/>
  <c r="C24" i="1762"/>
  <c r="B24" i="1762"/>
  <c r="C23" i="1762"/>
  <c r="B23" i="1762"/>
  <c r="C22" i="1762"/>
  <c r="B22" i="1762"/>
  <c r="C21" i="1762"/>
  <c r="B21" i="1762"/>
  <c r="C20" i="1762"/>
  <c r="B20" i="1762"/>
  <c r="B45" i="1762" s="1"/>
  <c r="C19" i="1762"/>
  <c r="B19" i="1762"/>
  <c r="B18" i="1762"/>
  <c r="B16" i="1762"/>
  <c r="C14" i="1762"/>
  <c r="B14" i="1762"/>
  <c r="C13" i="1762"/>
  <c r="B13" i="1762"/>
  <c r="C12" i="1762"/>
  <c r="B12" i="1762"/>
  <c r="C11" i="1762"/>
  <c r="B11" i="1762"/>
  <c r="C10" i="1762"/>
  <c r="B10" i="1762"/>
  <c r="C9" i="1762"/>
  <c r="B9" i="1762"/>
  <c r="C8" i="1762"/>
  <c r="B8" i="1762"/>
  <c r="C7" i="1762"/>
  <c r="B7" i="1762"/>
  <c r="C6" i="1762"/>
  <c r="B6" i="1762"/>
  <c r="C5" i="1762"/>
  <c r="B5" i="1762"/>
  <c r="C4" i="1762"/>
  <c r="A2" i="1762"/>
  <c r="B47" i="1761"/>
  <c r="B45" i="1761"/>
  <c r="C43" i="1761"/>
  <c r="B43" i="1761"/>
  <c r="C42" i="1761"/>
  <c r="B42" i="1761"/>
  <c r="C41" i="1761"/>
  <c r="B41" i="1761"/>
  <c r="C40" i="1761"/>
  <c r="B40" i="1761"/>
  <c r="C36" i="1761"/>
  <c r="B36" i="1761"/>
  <c r="C35" i="1761"/>
  <c r="B35" i="1761"/>
  <c r="C34" i="1761"/>
  <c r="B34" i="1761"/>
  <c r="C33" i="1761"/>
  <c r="B33" i="1761"/>
  <c r="C39" i="1761"/>
  <c r="B39" i="1761"/>
  <c r="C38" i="1761"/>
  <c r="B38" i="1761"/>
  <c r="C37" i="1761"/>
  <c r="B37" i="1761"/>
  <c r="C32" i="1761"/>
  <c r="B32" i="1761"/>
  <c r="C31" i="1761"/>
  <c r="B31" i="1761"/>
  <c r="C30" i="1761"/>
  <c r="B30" i="1761"/>
  <c r="C29" i="1761"/>
  <c r="B29" i="1761"/>
  <c r="C28" i="1761"/>
  <c r="B28" i="1761"/>
  <c r="C27" i="1761"/>
  <c r="B27" i="1761"/>
  <c r="C26" i="1761"/>
  <c r="B26" i="1761"/>
  <c r="C25" i="1761"/>
  <c r="B25" i="1761"/>
  <c r="C24" i="1761"/>
  <c r="B24" i="1761"/>
  <c r="C20" i="1761"/>
  <c r="B20" i="1761"/>
  <c r="C16" i="1761"/>
  <c r="B16" i="1761"/>
  <c r="B22" i="1761"/>
  <c r="C18" i="1761"/>
  <c r="B18" i="1761"/>
  <c r="C17" i="1761"/>
  <c r="B17" i="1761"/>
  <c r="B19" i="1761"/>
  <c r="C15" i="1761"/>
  <c r="B15" i="1761"/>
  <c r="C14" i="1761"/>
  <c r="B14" i="1761"/>
  <c r="C13" i="1761"/>
  <c r="B13" i="1761"/>
  <c r="C12" i="1761"/>
  <c r="B12" i="1761"/>
  <c r="C11" i="1761"/>
  <c r="B11" i="1761"/>
  <c r="C10" i="1761"/>
  <c r="B10" i="1761"/>
  <c r="C9" i="1761"/>
  <c r="B9" i="1761"/>
  <c r="C8" i="1761"/>
  <c r="B8" i="1761"/>
  <c r="C7" i="1761"/>
  <c r="B7" i="1761"/>
  <c r="C6" i="1761"/>
  <c r="B6" i="1761"/>
  <c r="C5" i="1761"/>
  <c r="B5" i="1761"/>
  <c r="C4" i="1761"/>
  <c r="A2" i="1761"/>
  <c r="B50" i="1253"/>
  <c r="C46" i="1253"/>
  <c r="B46" i="1253"/>
  <c r="C45" i="1253"/>
  <c r="B45" i="1253"/>
  <c r="C44" i="1253"/>
  <c r="B44" i="1253"/>
  <c r="C43" i="1253"/>
  <c r="B43" i="1253"/>
  <c r="C42" i="1253"/>
  <c r="B42" i="1253"/>
  <c r="C41" i="1253"/>
  <c r="B41" i="1253"/>
  <c r="C40" i="1253"/>
  <c r="B40" i="1253"/>
  <c r="C39" i="1253"/>
  <c r="B39" i="1253"/>
  <c r="C38" i="1253"/>
  <c r="B38" i="1253"/>
  <c r="C37" i="1253"/>
  <c r="B37" i="1253"/>
  <c r="C36" i="1253"/>
  <c r="B36" i="1253"/>
  <c r="C35" i="1253"/>
  <c r="B35" i="1253"/>
  <c r="C34" i="1253"/>
  <c r="B34" i="1253"/>
  <c r="C33" i="1253"/>
  <c r="B33" i="1253"/>
  <c r="C32" i="1253"/>
  <c r="B32" i="1253"/>
  <c r="C31" i="1253"/>
  <c r="B31" i="1253"/>
  <c r="C30" i="1253"/>
  <c r="B30" i="1253"/>
  <c r="C29" i="1253"/>
  <c r="B29" i="1253"/>
  <c r="C28" i="1253"/>
  <c r="B28" i="1253"/>
  <c r="C27" i="1253"/>
  <c r="B27" i="1253"/>
  <c r="C26" i="1253"/>
  <c r="B26" i="1253"/>
  <c r="C25" i="1253"/>
  <c r="B25" i="1253"/>
  <c r="C24" i="1253"/>
  <c r="B24" i="1253"/>
  <c r="C23" i="1253"/>
  <c r="B23" i="1253"/>
  <c r="C22" i="1253"/>
  <c r="B22" i="1253"/>
  <c r="C21" i="1253"/>
  <c r="B21" i="1253"/>
  <c r="B48" i="1253" s="1"/>
  <c r="B19" i="1253"/>
  <c r="C17" i="1253"/>
  <c r="B17" i="1253"/>
  <c r="C16" i="1253"/>
  <c r="B16" i="1253"/>
  <c r="C15" i="1253"/>
  <c r="B15" i="1253"/>
  <c r="B13" i="1253"/>
  <c r="C11" i="1253"/>
  <c r="B11" i="1253"/>
  <c r="C10" i="1253"/>
  <c r="B10" i="1253"/>
  <c r="C9" i="1253"/>
  <c r="B9" i="1253"/>
  <c r="C8" i="1253"/>
  <c r="B8" i="1253"/>
  <c r="C7" i="1253"/>
  <c r="B7" i="1253"/>
  <c r="C6" i="1253"/>
  <c r="B6" i="1253"/>
  <c r="C5" i="1253"/>
  <c r="B5" i="1253"/>
  <c r="C4" i="1253"/>
  <c r="A2" i="1253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R29" i="1" s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R28" i="1" s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R27" i="1" s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R26" i="1" s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R25" i="1" s="1"/>
  <c r="N24" i="1"/>
  <c r="M24" i="1"/>
  <c r="R24" i="1" s="1"/>
  <c r="Q23" i="1"/>
  <c r="P23" i="1"/>
  <c r="O23" i="1"/>
  <c r="N23" i="1"/>
  <c r="L23" i="1"/>
  <c r="K23" i="1"/>
  <c r="J23" i="1"/>
  <c r="I23" i="1"/>
  <c r="H23" i="1"/>
  <c r="G23" i="1"/>
  <c r="F23" i="1"/>
  <c r="E23" i="1"/>
  <c r="D23" i="1"/>
  <c r="C23" i="1"/>
  <c r="B23" i="1"/>
  <c r="R23" i="1" s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R22" i="1" s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R21" i="1" s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R20" i="1" s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R19" i="1" s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R18" i="1" s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R17" i="1" s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R16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R15" i="1" s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R14" i="1" s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R13" i="1" s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R12" i="1" s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R11" i="1" s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R10" i="1" s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R9" i="1" s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R8" i="1" s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R7" i="1" s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R6" i="1" s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R5" i="1" s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R4" i="1" s="1"/>
  <c r="Q3" i="1"/>
  <c r="Q30" i="1" s="1"/>
  <c r="P3" i="1"/>
  <c r="P30" i="1" s="1"/>
  <c r="O3" i="1"/>
  <c r="O30" i="1" s="1"/>
  <c r="N3" i="1"/>
  <c r="N30" i="1" s="1"/>
  <c r="M3" i="1"/>
  <c r="M30" i="1" s="1"/>
  <c r="L3" i="1"/>
  <c r="L30" i="1" s="1"/>
  <c r="K3" i="1"/>
  <c r="K30" i="1" s="1"/>
  <c r="J3" i="1"/>
  <c r="J30" i="1" s="1"/>
  <c r="I3" i="1"/>
  <c r="I30" i="1" s="1"/>
  <c r="H3" i="1"/>
  <c r="H30" i="1" s="1"/>
  <c r="G3" i="1"/>
  <c r="G30" i="1" s="1"/>
  <c r="F3" i="1"/>
  <c r="F30" i="1" s="1"/>
  <c r="E3" i="1"/>
  <c r="E30" i="1" s="1"/>
  <c r="D3" i="1"/>
  <c r="D30" i="1" s="1"/>
  <c r="C3" i="1"/>
  <c r="C30" i="1" s="1"/>
  <c r="B3" i="1"/>
  <c r="C38" i="2068" l="1"/>
  <c r="C38" i="1729"/>
  <c r="C34" i="2068"/>
  <c r="C34" i="1729"/>
  <c r="D34" i="1729" s="1"/>
  <c r="F34" i="1729" s="1"/>
  <c r="C19" i="1729"/>
  <c r="C25" i="2068"/>
  <c r="C25" i="1729"/>
  <c r="C19" i="2068"/>
  <c r="C45" i="2045"/>
  <c r="D43" i="2045"/>
  <c r="D42" i="2045"/>
  <c r="D41" i="2045"/>
  <c r="D40" i="2045"/>
  <c r="D39" i="2045"/>
  <c r="D38" i="2045"/>
  <c r="D37" i="2045"/>
  <c r="D36" i="2045"/>
  <c r="D35" i="2045"/>
  <c r="D34" i="2045"/>
  <c r="D33" i="2045"/>
  <c r="D32" i="2045"/>
  <c r="D31" i="2045"/>
  <c r="D30" i="2045"/>
  <c r="D29" i="2045"/>
  <c r="D28" i="2045"/>
  <c r="D27" i="2045"/>
  <c r="D26" i="2045"/>
  <c r="D25" i="2045"/>
  <c r="D24" i="2045"/>
  <c r="C22" i="2045"/>
  <c r="D20" i="2045"/>
  <c r="D19" i="2045"/>
  <c r="D18" i="2045"/>
  <c r="D17" i="2045"/>
  <c r="D16" i="2045"/>
  <c r="D15" i="2045"/>
  <c r="D14" i="2045"/>
  <c r="D13" i="2045"/>
  <c r="D12" i="2045"/>
  <c r="D11" i="2045"/>
  <c r="D10" i="2045"/>
  <c r="D9" i="2045"/>
  <c r="D8" i="2045"/>
  <c r="D7" i="2045"/>
  <c r="D6" i="2045"/>
  <c r="D5" i="2045"/>
  <c r="D4" i="2045"/>
  <c r="C45" i="2044"/>
  <c r="D43" i="2044"/>
  <c r="D42" i="2044"/>
  <c r="D41" i="2044"/>
  <c r="D40" i="2044"/>
  <c r="D39" i="2044"/>
  <c r="D38" i="2044"/>
  <c r="D37" i="2044"/>
  <c r="D36" i="2044"/>
  <c r="D35" i="2044"/>
  <c r="D34" i="2044"/>
  <c r="D33" i="2044"/>
  <c r="D32" i="2044"/>
  <c r="D31" i="2044"/>
  <c r="D30" i="2044"/>
  <c r="D29" i="2044"/>
  <c r="D28" i="2044"/>
  <c r="D27" i="2044"/>
  <c r="D26" i="2044"/>
  <c r="D25" i="2044"/>
  <c r="D24" i="2044"/>
  <c r="C22" i="2044"/>
  <c r="D20" i="2044"/>
  <c r="D19" i="2044"/>
  <c r="D18" i="2044"/>
  <c r="D17" i="2044"/>
  <c r="D16" i="2044"/>
  <c r="D15" i="2044"/>
  <c r="D13" i="2044"/>
  <c r="D12" i="2044"/>
  <c r="D11" i="2044"/>
  <c r="D10" i="2044"/>
  <c r="D9" i="2044"/>
  <c r="D7" i="2044"/>
  <c r="D6" i="2044"/>
  <c r="D5" i="2044"/>
  <c r="D4" i="2044"/>
  <c r="F4" i="2044" s="1"/>
  <c r="D14" i="2044"/>
  <c r="D8" i="2044"/>
  <c r="C45" i="2043"/>
  <c r="D43" i="2043"/>
  <c r="D42" i="2043"/>
  <c r="D41" i="2043"/>
  <c r="D40" i="2043"/>
  <c r="D39" i="2043"/>
  <c r="D38" i="2043"/>
  <c r="D37" i="2043"/>
  <c r="D36" i="2043"/>
  <c r="D35" i="2043"/>
  <c r="D34" i="2043"/>
  <c r="D33" i="2043"/>
  <c r="D32" i="2043"/>
  <c r="D31" i="2043"/>
  <c r="D30" i="2043"/>
  <c r="D29" i="2043"/>
  <c r="D28" i="2043"/>
  <c r="D27" i="2043"/>
  <c r="D26" i="2043"/>
  <c r="D25" i="2043"/>
  <c r="D24" i="2043"/>
  <c r="C22" i="2043"/>
  <c r="D20" i="2043"/>
  <c r="D19" i="2043"/>
  <c r="D18" i="2043"/>
  <c r="D17" i="2043"/>
  <c r="D16" i="2043"/>
  <c r="D15" i="2043"/>
  <c r="D14" i="2043"/>
  <c r="D13" i="2043"/>
  <c r="D12" i="2043"/>
  <c r="D11" i="2043"/>
  <c r="D10" i="2043"/>
  <c r="D9" i="2043"/>
  <c r="D8" i="2043"/>
  <c r="D7" i="2043"/>
  <c r="D6" i="2043"/>
  <c r="D5" i="2043"/>
  <c r="D4" i="2043"/>
  <c r="C45" i="2042"/>
  <c r="D43" i="2042"/>
  <c r="D42" i="2042"/>
  <c r="D41" i="2042"/>
  <c r="D40" i="2042"/>
  <c r="D39" i="2042"/>
  <c r="D38" i="2042"/>
  <c r="D37" i="2042"/>
  <c r="D36" i="2042"/>
  <c r="D35" i="2042"/>
  <c r="D34" i="2042"/>
  <c r="D33" i="2042"/>
  <c r="D32" i="2042"/>
  <c r="D31" i="2042"/>
  <c r="D30" i="2042"/>
  <c r="D29" i="2042"/>
  <c r="D28" i="2042"/>
  <c r="D27" i="2042"/>
  <c r="D26" i="2042"/>
  <c r="D25" i="2042"/>
  <c r="D24" i="2042"/>
  <c r="C22" i="2042"/>
  <c r="D20" i="2042"/>
  <c r="D19" i="2042"/>
  <c r="D18" i="2042"/>
  <c r="D17" i="2042"/>
  <c r="D16" i="2042"/>
  <c r="D15" i="2042"/>
  <c r="D14" i="2042"/>
  <c r="D13" i="2042"/>
  <c r="D12" i="2042"/>
  <c r="D11" i="2042"/>
  <c r="D10" i="2042"/>
  <c r="D9" i="2042"/>
  <c r="D8" i="2042"/>
  <c r="D7" i="2042"/>
  <c r="D6" i="2042"/>
  <c r="D5" i="2042"/>
  <c r="D4" i="2042"/>
  <c r="C45" i="1761"/>
  <c r="C45" i="1776"/>
  <c r="C45" i="1484"/>
  <c r="C45" i="1986"/>
  <c r="C45" i="1911"/>
  <c r="C45" i="1846"/>
  <c r="C22" i="1761"/>
  <c r="C22" i="1776"/>
  <c r="C22" i="1484"/>
  <c r="C22" i="1986"/>
  <c r="C22" i="1911"/>
  <c r="C22" i="1846"/>
  <c r="D43" i="1987"/>
  <c r="F43" i="1987" s="1"/>
  <c r="D42" i="1987"/>
  <c r="F42" i="1987" s="1"/>
  <c r="D41" i="1987"/>
  <c r="F41" i="1987" s="1"/>
  <c r="D40" i="1987"/>
  <c r="F40" i="1987" s="1"/>
  <c r="D39" i="1987"/>
  <c r="F39" i="1987" s="1"/>
  <c r="D38" i="1987"/>
  <c r="F38" i="1987" s="1"/>
  <c r="D37" i="1987"/>
  <c r="F37" i="1987" s="1"/>
  <c r="D36" i="1987"/>
  <c r="F36" i="1987" s="1"/>
  <c r="D35" i="1987"/>
  <c r="D34" i="1987"/>
  <c r="F34" i="1987" s="1"/>
  <c r="D33" i="1987"/>
  <c r="F33" i="1987" s="1"/>
  <c r="D32" i="1987"/>
  <c r="F32" i="1987" s="1"/>
  <c r="D31" i="1987"/>
  <c r="F31" i="1987" s="1"/>
  <c r="D30" i="1987"/>
  <c r="F30" i="1987" s="1"/>
  <c r="D29" i="1987"/>
  <c r="F29" i="1987" s="1"/>
  <c r="D28" i="1987"/>
  <c r="F28" i="1987" s="1"/>
  <c r="D27" i="1987"/>
  <c r="F27" i="1987" s="1"/>
  <c r="D26" i="1987"/>
  <c r="F26" i="1987" s="1"/>
  <c r="D25" i="1987"/>
  <c r="F25" i="1987" s="1"/>
  <c r="D24" i="1987"/>
  <c r="F24" i="1987" s="1"/>
  <c r="D23" i="1987"/>
  <c r="F23" i="1987" s="1"/>
  <c r="D22" i="1987"/>
  <c r="F22" i="1987" s="1"/>
  <c r="D21" i="1987"/>
  <c r="F21" i="1987" s="1"/>
  <c r="D20" i="1987"/>
  <c r="F20" i="1987" s="1"/>
  <c r="D19" i="1987"/>
  <c r="F19" i="1987" s="1"/>
  <c r="C45" i="1987"/>
  <c r="D18" i="1987"/>
  <c r="F18" i="1987" s="1"/>
  <c r="D14" i="1987"/>
  <c r="D13" i="1987"/>
  <c r="D12" i="1987"/>
  <c r="F12" i="1987" s="1"/>
  <c r="D11" i="1987"/>
  <c r="F11" i="1987" s="1"/>
  <c r="D10" i="1987"/>
  <c r="F10" i="1987" s="1"/>
  <c r="D9" i="1987"/>
  <c r="F9" i="1987" s="1"/>
  <c r="D8" i="1987"/>
  <c r="F8" i="1987" s="1"/>
  <c r="D7" i="1987"/>
  <c r="F7" i="1987" s="1"/>
  <c r="D6" i="1987"/>
  <c r="F6" i="1987" s="1"/>
  <c r="D5" i="1987"/>
  <c r="F5" i="1987" s="1"/>
  <c r="C16" i="1987"/>
  <c r="D4" i="1987"/>
  <c r="D43" i="1986"/>
  <c r="F43" i="1986" s="1"/>
  <c r="D42" i="1986"/>
  <c r="F42" i="1986" s="1"/>
  <c r="D41" i="1986"/>
  <c r="F41" i="1986" s="1"/>
  <c r="D40" i="1986"/>
  <c r="F40" i="1986" s="1"/>
  <c r="D36" i="1986"/>
  <c r="F36" i="1986" s="1"/>
  <c r="D35" i="1986"/>
  <c r="F35" i="1986" s="1"/>
  <c r="D34" i="1986"/>
  <c r="F34" i="1986" s="1"/>
  <c r="D33" i="1986"/>
  <c r="D39" i="1986"/>
  <c r="F39" i="1986" s="1"/>
  <c r="D38" i="1986"/>
  <c r="F38" i="1986" s="1"/>
  <c r="D37" i="1986"/>
  <c r="F37" i="1986" s="1"/>
  <c r="D32" i="1986"/>
  <c r="F32" i="1986" s="1"/>
  <c r="D31" i="1986"/>
  <c r="F31" i="1986" s="1"/>
  <c r="D30" i="1986"/>
  <c r="F30" i="1986" s="1"/>
  <c r="D29" i="1986"/>
  <c r="F29" i="1986" s="1"/>
  <c r="D28" i="1986"/>
  <c r="F28" i="1986" s="1"/>
  <c r="D27" i="1986"/>
  <c r="F27" i="1986" s="1"/>
  <c r="D26" i="1986"/>
  <c r="D25" i="1986"/>
  <c r="F25" i="1986" s="1"/>
  <c r="D24" i="1986"/>
  <c r="F24" i="1986" s="1"/>
  <c r="D20" i="1986"/>
  <c r="F20" i="1986" s="1"/>
  <c r="D16" i="1986"/>
  <c r="F16" i="1986" s="1"/>
  <c r="D18" i="1986"/>
  <c r="F18" i="1986" s="1"/>
  <c r="D17" i="1986"/>
  <c r="F17" i="1986" s="1"/>
  <c r="D19" i="1986"/>
  <c r="F19" i="1986" s="1"/>
  <c r="D15" i="1986"/>
  <c r="F15" i="1986" s="1"/>
  <c r="D14" i="1986"/>
  <c r="D13" i="1986"/>
  <c r="D12" i="1986"/>
  <c r="F12" i="1986" s="1"/>
  <c r="D11" i="1986"/>
  <c r="F11" i="1986" s="1"/>
  <c r="D10" i="1986"/>
  <c r="F10" i="1986" s="1"/>
  <c r="D9" i="1986"/>
  <c r="F9" i="1986" s="1"/>
  <c r="D8" i="1986"/>
  <c r="F8" i="1986" s="1"/>
  <c r="D7" i="1986"/>
  <c r="F7" i="1986" s="1"/>
  <c r="D6" i="1986"/>
  <c r="F6" i="1986" s="1"/>
  <c r="D5" i="1986"/>
  <c r="F5" i="1986" s="1"/>
  <c r="D4" i="1986"/>
  <c r="D43" i="1889"/>
  <c r="F43" i="1889" s="1"/>
  <c r="D42" i="1889"/>
  <c r="F42" i="1889" s="1"/>
  <c r="D41" i="1889"/>
  <c r="D40" i="1889"/>
  <c r="F40" i="1889" s="1"/>
  <c r="D39" i="1889"/>
  <c r="F39" i="1889" s="1"/>
  <c r="D38" i="1889"/>
  <c r="F38" i="1889" s="1"/>
  <c r="D37" i="1889"/>
  <c r="F37" i="1889" s="1"/>
  <c r="D36" i="1889"/>
  <c r="F36" i="1889" s="1"/>
  <c r="D35" i="1889"/>
  <c r="F35" i="1889" s="1"/>
  <c r="D34" i="1889"/>
  <c r="F34" i="1889" s="1"/>
  <c r="D33" i="1889"/>
  <c r="F33" i="1889" s="1"/>
  <c r="D32" i="1889"/>
  <c r="F32" i="1889" s="1"/>
  <c r="D31" i="1889"/>
  <c r="F31" i="1889" s="1"/>
  <c r="D30" i="1889"/>
  <c r="F30" i="1889" s="1"/>
  <c r="D29" i="1889"/>
  <c r="F29" i="1889" s="1"/>
  <c r="D28" i="1889"/>
  <c r="F28" i="1889" s="1"/>
  <c r="D27" i="1889"/>
  <c r="F27" i="1889" s="1"/>
  <c r="D26" i="1889"/>
  <c r="F26" i="1889" s="1"/>
  <c r="D25" i="1889"/>
  <c r="F25" i="1889" s="1"/>
  <c r="D24" i="1889"/>
  <c r="F24" i="1889" s="1"/>
  <c r="D23" i="1889"/>
  <c r="F23" i="1889" s="1"/>
  <c r="C45" i="1889"/>
  <c r="D22" i="1889"/>
  <c r="F22" i="1889" s="1"/>
  <c r="D18" i="1889"/>
  <c r="F18" i="1889" s="1"/>
  <c r="D17" i="1889"/>
  <c r="F17" i="1889" s="1"/>
  <c r="D16" i="1889"/>
  <c r="F16" i="1889" s="1"/>
  <c r="D15" i="1889"/>
  <c r="F15" i="1889" s="1"/>
  <c r="D14" i="1889"/>
  <c r="F14" i="1889" s="1"/>
  <c r="D13" i="1889"/>
  <c r="D12" i="1889"/>
  <c r="F12" i="1889" s="1"/>
  <c r="D11" i="1889"/>
  <c r="F11" i="1889" s="1"/>
  <c r="D10" i="1889"/>
  <c r="F10" i="1889" s="1"/>
  <c r="D9" i="1889"/>
  <c r="F9" i="1889" s="1"/>
  <c r="D8" i="1889"/>
  <c r="F8" i="1889" s="1"/>
  <c r="D7" i="1889"/>
  <c r="F7" i="1889" s="1"/>
  <c r="D6" i="1889"/>
  <c r="F6" i="1889" s="1"/>
  <c r="D5" i="1889"/>
  <c r="F5" i="1889" s="1"/>
  <c r="C20" i="1889"/>
  <c r="D4" i="1889"/>
  <c r="D43" i="1884"/>
  <c r="F43" i="1884" s="1"/>
  <c r="D42" i="1884"/>
  <c r="F42" i="1884" s="1"/>
  <c r="D41" i="1884"/>
  <c r="F41" i="1884" s="1"/>
  <c r="D40" i="1884"/>
  <c r="F40" i="1884" s="1"/>
  <c r="D39" i="1884"/>
  <c r="F39" i="1884" s="1"/>
  <c r="D38" i="1884"/>
  <c r="F38" i="1884" s="1"/>
  <c r="D37" i="1884"/>
  <c r="F37" i="1884" s="1"/>
  <c r="D36" i="1884"/>
  <c r="F36" i="1884" s="1"/>
  <c r="D35" i="1884"/>
  <c r="F35" i="1884" s="1"/>
  <c r="D34" i="1884"/>
  <c r="F34" i="1884" s="1"/>
  <c r="D33" i="1884"/>
  <c r="F33" i="1884" s="1"/>
  <c r="D32" i="1884"/>
  <c r="F32" i="1884" s="1"/>
  <c r="D31" i="1884"/>
  <c r="F31" i="1884" s="1"/>
  <c r="D30" i="1884"/>
  <c r="F30" i="1884" s="1"/>
  <c r="D29" i="1884"/>
  <c r="F29" i="1884" s="1"/>
  <c r="D28" i="1884"/>
  <c r="F28" i="1884" s="1"/>
  <c r="D27" i="1884"/>
  <c r="F27" i="1884" s="1"/>
  <c r="D26" i="1884"/>
  <c r="F26" i="1884" s="1"/>
  <c r="D25" i="1884"/>
  <c r="F25" i="1884" s="1"/>
  <c r="D24" i="1884"/>
  <c r="F24" i="1884" s="1"/>
  <c r="D23" i="1884"/>
  <c r="F23" i="1884" s="1"/>
  <c r="D22" i="1884"/>
  <c r="F22" i="1884" s="1"/>
  <c r="C45" i="1884"/>
  <c r="D18" i="1884"/>
  <c r="F18" i="1884" s="1"/>
  <c r="D17" i="1884"/>
  <c r="F17" i="1884" s="1"/>
  <c r="D16" i="1884"/>
  <c r="F16" i="1884" s="1"/>
  <c r="D15" i="1884"/>
  <c r="F15" i="1884" s="1"/>
  <c r="D14" i="1884"/>
  <c r="F14" i="1884" s="1"/>
  <c r="D13" i="1884"/>
  <c r="F13" i="1884" s="1"/>
  <c r="D12" i="1884"/>
  <c r="F12" i="1884" s="1"/>
  <c r="D11" i="1884"/>
  <c r="F11" i="1884" s="1"/>
  <c r="D10" i="1884"/>
  <c r="F10" i="1884" s="1"/>
  <c r="D9" i="1884"/>
  <c r="F9" i="1884" s="1"/>
  <c r="D8" i="1884"/>
  <c r="F8" i="1884" s="1"/>
  <c r="D7" i="1884"/>
  <c r="F7" i="1884" s="1"/>
  <c r="D6" i="1884"/>
  <c r="F6" i="1884" s="1"/>
  <c r="D5" i="1884"/>
  <c r="F5" i="1884" s="1"/>
  <c r="C20" i="1884"/>
  <c r="D4" i="1884"/>
  <c r="D43" i="1885"/>
  <c r="F43" i="1885" s="1"/>
  <c r="D42" i="1885"/>
  <c r="F42" i="1885" s="1"/>
  <c r="D41" i="1885"/>
  <c r="F41" i="1885" s="1"/>
  <c r="D40" i="1885"/>
  <c r="F40" i="1885" s="1"/>
  <c r="D39" i="1885"/>
  <c r="F39" i="1885" s="1"/>
  <c r="D38" i="1885"/>
  <c r="F38" i="1885" s="1"/>
  <c r="D37" i="1885"/>
  <c r="F37" i="1885" s="1"/>
  <c r="D36" i="1885"/>
  <c r="D35" i="1885"/>
  <c r="F35" i="1885" s="1"/>
  <c r="D34" i="1885"/>
  <c r="F34" i="1885" s="1"/>
  <c r="D33" i="1885"/>
  <c r="F33" i="1885" s="1"/>
  <c r="D32" i="1885"/>
  <c r="F32" i="1885" s="1"/>
  <c r="D31" i="1885"/>
  <c r="F31" i="1885" s="1"/>
  <c r="D30" i="1885"/>
  <c r="F30" i="1885" s="1"/>
  <c r="D29" i="1885"/>
  <c r="F29" i="1885" s="1"/>
  <c r="D28" i="1885"/>
  <c r="F28" i="1885" s="1"/>
  <c r="D27" i="1885"/>
  <c r="F27" i="1885" s="1"/>
  <c r="D26" i="1885"/>
  <c r="F26" i="1885" s="1"/>
  <c r="D25" i="1885"/>
  <c r="F25" i="1885" s="1"/>
  <c r="D24" i="1885"/>
  <c r="F24" i="1885" s="1"/>
  <c r="D23" i="1885"/>
  <c r="F23" i="1885" s="1"/>
  <c r="D22" i="1885"/>
  <c r="F22" i="1885" s="1"/>
  <c r="C45" i="1885"/>
  <c r="D18" i="1885"/>
  <c r="F18" i="1885" s="1"/>
  <c r="D17" i="1885"/>
  <c r="F17" i="1885" s="1"/>
  <c r="D16" i="1885"/>
  <c r="F16" i="1885" s="1"/>
  <c r="D15" i="1885"/>
  <c r="F15" i="1885" s="1"/>
  <c r="D14" i="1885"/>
  <c r="F14" i="1885" s="1"/>
  <c r="D13" i="1885"/>
  <c r="F13" i="1885" s="1"/>
  <c r="D12" i="1885"/>
  <c r="F12" i="1885" s="1"/>
  <c r="D11" i="1885"/>
  <c r="F11" i="1885" s="1"/>
  <c r="D10" i="1885"/>
  <c r="F10" i="1885" s="1"/>
  <c r="D9" i="1885"/>
  <c r="F9" i="1885" s="1"/>
  <c r="D8" i="1885"/>
  <c r="F8" i="1885" s="1"/>
  <c r="D7" i="1885"/>
  <c r="D6" i="1885"/>
  <c r="F6" i="1885" s="1"/>
  <c r="D5" i="1885"/>
  <c r="F5" i="1885" s="1"/>
  <c r="C20" i="1885"/>
  <c r="D4" i="1885"/>
  <c r="D43" i="1886"/>
  <c r="F43" i="1886" s="1"/>
  <c r="D42" i="1886"/>
  <c r="F42" i="1886" s="1"/>
  <c r="D41" i="1886"/>
  <c r="D40" i="1886"/>
  <c r="F40" i="1886" s="1"/>
  <c r="D39" i="1886"/>
  <c r="F39" i="1886" s="1"/>
  <c r="D38" i="1886"/>
  <c r="F38" i="1886" s="1"/>
  <c r="D37" i="1886"/>
  <c r="F37" i="1886" s="1"/>
  <c r="D36" i="1886"/>
  <c r="F36" i="1886" s="1"/>
  <c r="D35" i="1886"/>
  <c r="F35" i="1886" s="1"/>
  <c r="D34" i="1886"/>
  <c r="F34" i="1886" s="1"/>
  <c r="D33" i="1886"/>
  <c r="F33" i="1886" s="1"/>
  <c r="D32" i="1886"/>
  <c r="F32" i="1886" s="1"/>
  <c r="D31" i="1886"/>
  <c r="F31" i="1886" s="1"/>
  <c r="D30" i="1886"/>
  <c r="F30" i="1886" s="1"/>
  <c r="D29" i="1886"/>
  <c r="F29" i="1886" s="1"/>
  <c r="D28" i="1886"/>
  <c r="F28" i="1886" s="1"/>
  <c r="D27" i="1886"/>
  <c r="F27" i="1886" s="1"/>
  <c r="D26" i="1886"/>
  <c r="F26" i="1886" s="1"/>
  <c r="D25" i="1886"/>
  <c r="F25" i="1886" s="1"/>
  <c r="D24" i="1886"/>
  <c r="F24" i="1886" s="1"/>
  <c r="D23" i="1886"/>
  <c r="F23" i="1886" s="1"/>
  <c r="D22" i="1886"/>
  <c r="F22" i="1886" s="1"/>
  <c r="C45" i="1886"/>
  <c r="D18" i="1886"/>
  <c r="F18" i="1886" s="1"/>
  <c r="D17" i="1886"/>
  <c r="F17" i="1886" s="1"/>
  <c r="D16" i="1886"/>
  <c r="F16" i="1886" s="1"/>
  <c r="D15" i="1886"/>
  <c r="F15" i="1886" s="1"/>
  <c r="D14" i="1886"/>
  <c r="F14" i="1886" s="1"/>
  <c r="D13" i="1886"/>
  <c r="F13" i="1886" s="1"/>
  <c r="D12" i="1886"/>
  <c r="F12" i="1886" s="1"/>
  <c r="D11" i="1886"/>
  <c r="F11" i="1886" s="1"/>
  <c r="D10" i="1886"/>
  <c r="F10" i="1886" s="1"/>
  <c r="D9" i="1886"/>
  <c r="F9" i="1886" s="1"/>
  <c r="D8" i="1886"/>
  <c r="F8" i="1886" s="1"/>
  <c r="D7" i="1886"/>
  <c r="F7" i="1886" s="1"/>
  <c r="D6" i="1886"/>
  <c r="F6" i="1886" s="1"/>
  <c r="D5" i="1886"/>
  <c r="F5" i="1886" s="1"/>
  <c r="D4" i="1886"/>
  <c r="C20" i="1886"/>
  <c r="D43" i="1887"/>
  <c r="F43" i="1887" s="1"/>
  <c r="D42" i="1887"/>
  <c r="F42" i="1887" s="1"/>
  <c r="D41" i="1887"/>
  <c r="D40" i="1887"/>
  <c r="F40" i="1887" s="1"/>
  <c r="D39" i="1887"/>
  <c r="F39" i="1887" s="1"/>
  <c r="D38" i="1887"/>
  <c r="F38" i="1887" s="1"/>
  <c r="D37" i="1887"/>
  <c r="F37" i="1887" s="1"/>
  <c r="D36" i="1887"/>
  <c r="F36" i="1887" s="1"/>
  <c r="D35" i="1887"/>
  <c r="F35" i="1887" s="1"/>
  <c r="D34" i="1887"/>
  <c r="F34" i="1887" s="1"/>
  <c r="D33" i="1887"/>
  <c r="F33" i="1887" s="1"/>
  <c r="D32" i="1887"/>
  <c r="F32" i="1887" s="1"/>
  <c r="D31" i="1887"/>
  <c r="F31" i="1887" s="1"/>
  <c r="D30" i="1887"/>
  <c r="F30" i="1887" s="1"/>
  <c r="D29" i="1887"/>
  <c r="F29" i="1887" s="1"/>
  <c r="D28" i="1887"/>
  <c r="F28" i="1887" s="1"/>
  <c r="D27" i="1887"/>
  <c r="F27" i="1887" s="1"/>
  <c r="D26" i="1887"/>
  <c r="D25" i="1887"/>
  <c r="F25" i="1887" s="1"/>
  <c r="D24" i="1887"/>
  <c r="F24" i="1887" s="1"/>
  <c r="D23" i="1887"/>
  <c r="F23" i="1887" s="1"/>
  <c r="D22" i="1887"/>
  <c r="F22" i="1887" s="1"/>
  <c r="C45" i="1887"/>
  <c r="D18" i="1887"/>
  <c r="F18" i="1887" s="1"/>
  <c r="D17" i="1887"/>
  <c r="F17" i="1887" s="1"/>
  <c r="D16" i="1887"/>
  <c r="F16" i="1887" s="1"/>
  <c r="D15" i="1887"/>
  <c r="F15" i="1887" s="1"/>
  <c r="D14" i="1887"/>
  <c r="F14" i="1887" s="1"/>
  <c r="D13" i="1887"/>
  <c r="F13" i="1887" s="1"/>
  <c r="D12" i="1887"/>
  <c r="F12" i="1887" s="1"/>
  <c r="D11" i="1887"/>
  <c r="F11" i="1887" s="1"/>
  <c r="D10" i="1887"/>
  <c r="F10" i="1887" s="1"/>
  <c r="D9" i="1887"/>
  <c r="F9" i="1887" s="1"/>
  <c r="D8" i="1887"/>
  <c r="F8" i="1887" s="1"/>
  <c r="D7" i="1887"/>
  <c r="F7" i="1887" s="1"/>
  <c r="D6" i="1887"/>
  <c r="F6" i="1887" s="1"/>
  <c r="D5" i="1887"/>
  <c r="F5" i="1887" s="1"/>
  <c r="D4" i="1887"/>
  <c r="C20" i="1887"/>
  <c r="D43" i="1888"/>
  <c r="F43" i="1888" s="1"/>
  <c r="D42" i="1888"/>
  <c r="F42" i="1888" s="1"/>
  <c r="D41" i="1888"/>
  <c r="F41" i="1888" s="1"/>
  <c r="D40" i="1888"/>
  <c r="F40" i="1888" s="1"/>
  <c r="D39" i="1888"/>
  <c r="F39" i="1888" s="1"/>
  <c r="D38" i="1888"/>
  <c r="F38" i="1888" s="1"/>
  <c r="D37" i="1888"/>
  <c r="F37" i="1888" s="1"/>
  <c r="D36" i="1888"/>
  <c r="F36" i="1888" s="1"/>
  <c r="D35" i="1888"/>
  <c r="F35" i="1888" s="1"/>
  <c r="D34" i="1888"/>
  <c r="F34" i="1888" s="1"/>
  <c r="D33" i="1888"/>
  <c r="F33" i="1888" s="1"/>
  <c r="D32" i="1888"/>
  <c r="F32" i="1888" s="1"/>
  <c r="D31" i="1888"/>
  <c r="F31" i="1888" s="1"/>
  <c r="D30" i="1888"/>
  <c r="F30" i="1888" s="1"/>
  <c r="D29" i="1888"/>
  <c r="F29" i="1888" s="1"/>
  <c r="D28" i="1888"/>
  <c r="F28" i="1888" s="1"/>
  <c r="D27" i="1888"/>
  <c r="F27" i="1888" s="1"/>
  <c r="D26" i="1888"/>
  <c r="F26" i="1888" s="1"/>
  <c r="D25" i="1888"/>
  <c r="F25" i="1888" s="1"/>
  <c r="D24" i="1888"/>
  <c r="F24" i="1888" s="1"/>
  <c r="D23" i="1888"/>
  <c r="F23" i="1888" s="1"/>
  <c r="D22" i="1888"/>
  <c r="F22" i="1888" s="1"/>
  <c r="C45" i="1888"/>
  <c r="D18" i="1888"/>
  <c r="F18" i="1888" s="1"/>
  <c r="D17" i="1888"/>
  <c r="F17" i="1888" s="1"/>
  <c r="D16" i="1888"/>
  <c r="F16" i="1888" s="1"/>
  <c r="D15" i="1888"/>
  <c r="F15" i="1888" s="1"/>
  <c r="D14" i="1888"/>
  <c r="F14" i="1888" s="1"/>
  <c r="D13" i="1888"/>
  <c r="F13" i="1888" s="1"/>
  <c r="D12" i="1888"/>
  <c r="F12" i="1888" s="1"/>
  <c r="D11" i="1888"/>
  <c r="F11" i="1888" s="1"/>
  <c r="D10" i="1888"/>
  <c r="F10" i="1888" s="1"/>
  <c r="D9" i="1888"/>
  <c r="F9" i="1888" s="1"/>
  <c r="D8" i="1888"/>
  <c r="F8" i="1888" s="1"/>
  <c r="D7" i="1888"/>
  <c r="F7" i="1888" s="1"/>
  <c r="D6" i="1888"/>
  <c r="F6" i="1888" s="1"/>
  <c r="D5" i="1888"/>
  <c r="F5" i="1888" s="1"/>
  <c r="C20" i="1888"/>
  <c r="D4" i="1888"/>
  <c r="D43" i="1883"/>
  <c r="F43" i="1883" s="1"/>
  <c r="D42" i="1883"/>
  <c r="F42" i="1883" s="1"/>
  <c r="D41" i="1883"/>
  <c r="F41" i="1883" s="1"/>
  <c r="D40" i="1883"/>
  <c r="F40" i="1883" s="1"/>
  <c r="D39" i="1883"/>
  <c r="F39" i="1883" s="1"/>
  <c r="D38" i="1883"/>
  <c r="F38" i="1883" s="1"/>
  <c r="D37" i="1883"/>
  <c r="F37" i="1883" s="1"/>
  <c r="D36" i="1883"/>
  <c r="F36" i="1883" s="1"/>
  <c r="D35" i="1883"/>
  <c r="F35" i="1883" s="1"/>
  <c r="D34" i="1883"/>
  <c r="F34" i="1883" s="1"/>
  <c r="D33" i="1883"/>
  <c r="F33" i="1883" s="1"/>
  <c r="D32" i="1883"/>
  <c r="F32" i="1883" s="1"/>
  <c r="D31" i="1883"/>
  <c r="F31" i="1883" s="1"/>
  <c r="D30" i="1883"/>
  <c r="F30" i="1883" s="1"/>
  <c r="D29" i="1883"/>
  <c r="F29" i="1883" s="1"/>
  <c r="D28" i="1883"/>
  <c r="F28" i="1883" s="1"/>
  <c r="D27" i="1883"/>
  <c r="F27" i="1883" s="1"/>
  <c r="D26" i="1883"/>
  <c r="F26" i="1883" s="1"/>
  <c r="D25" i="1883"/>
  <c r="F25" i="1883" s="1"/>
  <c r="D24" i="1883"/>
  <c r="F24" i="1883" s="1"/>
  <c r="D23" i="1883"/>
  <c r="F23" i="1883" s="1"/>
  <c r="C45" i="1883"/>
  <c r="D22" i="1883"/>
  <c r="F22" i="1883" s="1"/>
  <c r="D18" i="1883"/>
  <c r="F18" i="1883" s="1"/>
  <c r="D17" i="1883"/>
  <c r="F17" i="1883" s="1"/>
  <c r="D16" i="1883"/>
  <c r="F16" i="1883" s="1"/>
  <c r="D15" i="1883"/>
  <c r="F15" i="1883" s="1"/>
  <c r="D14" i="1883"/>
  <c r="F14" i="1883" s="1"/>
  <c r="D13" i="1883"/>
  <c r="F13" i="1883" s="1"/>
  <c r="D12" i="1883"/>
  <c r="F12" i="1883" s="1"/>
  <c r="D11" i="1883"/>
  <c r="F11" i="1883" s="1"/>
  <c r="D10" i="1883"/>
  <c r="F10" i="1883" s="1"/>
  <c r="D9" i="1883"/>
  <c r="F9" i="1883" s="1"/>
  <c r="D8" i="1883"/>
  <c r="F8" i="1883" s="1"/>
  <c r="D7" i="1883"/>
  <c r="F7" i="1883" s="1"/>
  <c r="D6" i="1883"/>
  <c r="F6" i="1883" s="1"/>
  <c r="D5" i="1883"/>
  <c r="F5" i="1883" s="1"/>
  <c r="D4" i="1883"/>
  <c r="C20" i="1883"/>
  <c r="D43" i="1882"/>
  <c r="F43" i="1882" s="1"/>
  <c r="D42" i="1882"/>
  <c r="F42" i="1882" s="1"/>
  <c r="D41" i="1882"/>
  <c r="F41" i="1882" s="1"/>
  <c r="D40" i="1882"/>
  <c r="F40" i="1882" s="1"/>
  <c r="D39" i="1882"/>
  <c r="F39" i="1882" s="1"/>
  <c r="D38" i="1882"/>
  <c r="F38" i="1882" s="1"/>
  <c r="D37" i="1882"/>
  <c r="F37" i="1882" s="1"/>
  <c r="D36" i="1882"/>
  <c r="F36" i="1882" s="1"/>
  <c r="D35" i="1882"/>
  <c r="F35" i="1882" s="1"/>
  <c r="D34" i="1882"/>
  <c r="F34" i="1882" s="1"/>
  <c r="D33" i="1882"/>
  <c r="F33" i="1882" s="1"/>
  <c r="D32" i="1882"/>
  <c r="F32" i="1882" s="1"/>
  <c r="D31" i="1882"/>
  <c r="F31" i="1882" s="1"/>
  <c r="D30" i="1882"/>
  <c r="F30" i="1882" s="1"/>
  <c r="D29" i="1882"/>
  <c r="F29" i="1882" s="1"/>
  <c r="D28" i="1882"/>
  <c r="F28" i="1882" s="1"/>
  <c r="D27" i="1882"/>
  <c r="F27" i="1882" s="1"/>
  <c r="D26" i="1882"/>
  <c r="D25" i="1882"/>
  <c r="F25" i="1882" s="1"/>
  <c r="D24" i="1882"/>
  <c r="F24" i="1882" s="1"/>
  <c r="D23" i="1882"/>
  <c r="F23" i="1882" s="1"/>
  <c r="D22" i="1882"/>
  <c r="F22" i="1882" s="1"/>
  <c r="C45" i="1882"/>
  <c r="D18" i="1882"/>
  <c r="F18" i="1882" s="1"/>
  <c r="D17" i="1882"/>
  <c r="F17" i="1882" s="1"/>
  <c r="D16" i="1882"/>
  <c r="F16" i="1882" s="1"/>
  <c r="D15" i="1882"/>
  <c r="F15" i="1882" s="1"/>
  <c r="D14" i="1882"/>
  <c r="F14" i="1882" s="1"/>
  <c r="D13" i="1882"/>
  <c r="D12" i="1882"/>
  <c r="F12" i="1882" s="1"/>
  <c r="D11" i="1882"/>
  <c r="F11" i="1882" s="1"/>
  <c r="D10" i="1882"/>
  <c r="F10" i="1882" s="1"/>
  <c r="D9" i="1882"/>
  <c r="F9" i="1882" s="1"/>
  <c r="D8" i="1882"/>
  <c r="F8" i="1882" s="1"/>
  <c r="D7" i="1882"/>
  <c r="F7" i="1882" s="1"/>
  <c r="D6" i="1882"/>
  <c r="F6" i="1882" s="1"/>
  <c r="D5" i="1882"/>
  <c r="F5" i="1882" s="1"/>
  <c r="C20" i="1882"/>
  <c r="D4" i="1882"/>
  <c r="D43" i="1847"/>
  <c r="F43" i="1847" s="1"/>
  <c r="D42" i="1847"/>
  <c r="F42" i="1847" s="1"/>
  <c r="D41" i="1847"/>
  <c r="F41" i="1847" s="1"/>
  <c r="D40" i="1847"/>
  <c r="F40" i="1847" s="1"/>
  <c r="D39" i="1847"/>
  <c r="F39" i="1847" s="1"/>
  <c r="D38" i="1847"/>
  <c r="F38" i="1847" s="1"/>
  <c r="D37" i="1847"/>
  <c r="F37" i="1847" s="1"/>
  <c r="D36" i="1847"/>
  <c r="F36" i="1847" s="1"/>
  <c r="D35" i="1847"/>
  <c r="F35" i="1847" s="1"/>
  <c r="D34" i="1847"/>
  <c r="F34" i="1847" s="1"/>
  <c r="D33" i="1847"/>
  <c r="F33" i="1847" s="1"/>
  <c r="D32" i="1847"/>
  <c r="F32" i="1847" s="1"/>
  <c r="D31" i="1847"/>
  <c r="F31" i="1847" s="1"/>
  <c r="D30" i="1847"/>
  <c r="F30" i="1847" s="1"/>
  <c r="D29" i="1847"/>
  <c r="F29" i="1847" s="1"/>
  <c r="D28" i="1847"/>
  <c r="F28" i="1847" s="1"/>
  <c r="D27" i="1847"/>
  <c r="F27" i="1847" s="1"/>
  <c r="D26" i="1847"/>
  <c r="F26" i="1847" s="1"/>
  <c r="D25" i="1847"/>
  <c r="F25" i="1847" s="1"/>
  <c r="D24" i="1847"/>
  <c r="F24" i="1847" s="1"/>
  <c r="D23" i="1847"/>
  <c r="F23" i="1847" s="1"/>
  <c r="D22" i="1847"/>
  <c r="F22" i="1847" s="1"/>
  <c r="D21" i="1847"/>
  <c r="F21" i="1847" s="1"/>
  <c r="D20" i="1847"/>
  <c r="F20" i="1847" s="1"/>
  <c r="D19" i="1847"/>
  <c r="F19" i="1847" s="1"/>
  <c r="D18" i="1847"/>
  <c r="F18" i="1847" s="1"/>
  <c r="C45" i="1847"/>
  <c r="D14" i="1847"/>
  <c r="F14" i="1847" s="1"/>
  <c r="D13" i="1847"/>
  <c r="F13" i="1847" s="1"/>
  <c r="D12" i="1847"/>
  <c r="F12" i="1847" s="1"/>
  <c r="D11" i="1847"/>
  <c r="F11" i="1847" s="1"/>
  <c r="D10" i="1847"/>
  <c r="F10" i="1847" s="1"/>
  <c r="D9" i="1847"/>
  <c r="F9" i="1847" s="1"/>
  <c r="D8" i="1847"/>
  <c r="F8" i="1847" s="1"/>
  <c r="D7" i="1847"/>
  <c r="F7" i="1847" s="1"/>
  <c r="D6" i="1847"/>
  <c r="F6" i="1847" s="1"/>
  <c r="D5" i="1847"/>
  <c r="F5" i="1847" s="1"/>
  <c r="C16" i="1847"/>
  <c r="D4" i="1847"/>
  <c r="D43" i="1846"/>
  <c r="F43" i="1846" s="1"/>
  <c r="D42" i="1846"/>
  <c r="F42" i="1846" s="1"/>
  <c r="D41" i="1846"/>
  <c r="F41" i="1846" s="1"/>
  <c r="D40" i="1846"/>
  <c r="F40" i="1846" s="1"/>
  <c r="D36" i="1846"/>
  <c r="F36" i="1846" s="1"/>
  <c r="D35" i="1846"/>
  <c r="F35" i="1846" s="1"/>
  <c r="D34" i="1846"/>
  <c r="F34" i="1846" s="1"/>
  <c r="D33" i="1846"/>
  <c r="F33" i="1846" s="1"/>
  <c r="D39" i="1846"/>
  <c r="F39" i="1846" s="1"/>
  <c r="D38" i="1846"/>
  <c r="F38" i="1846" s="1"/>
  <c r="D37" i="1846"/>
  <c r="F37" i="1846" s="1"/>
  <c r="D32" i="1846"/>
  <c r="F32" i="1846" s="1"/>
  <c r="D31" i="1846"/>
  <c r="F31" i="1846" s="1"/>
  <c r="D30" i="1846"/>
  <c r="F30" i="1846" s="1"/>
  <c r="D29" i="1846"/>
  <c r="F29" i="1846" s="1"/>
  <c r="D28" i="1846"/>
  <c r="F28" i="1846" s="1"/>
  <c r="D27" i="1846"/>
  <c r="F27" i="1846" s="1"/>
  <c r="D26" i="1846"/>
  <c r="F26" i="1846" s="1"/>
  <c r="D25" i="1846"/>
  <c r="F25" i="1846" s="1"/>
  <c r="D24" i="1846"/>
  <c r="F24" i="1846" s="1"/>
  <c r="D20" i="1846"/>
  <c r="F20" i="1846" s="1"/>
  <c r="D16" i="1846"/>
  <c r="F16" i="1846" s="1"/>
  <c r="D18" i="1846"/>
  <c r="F18" i="1846" s="1"/>
  <c r="D17" i="1846"/>
  <c r="F17" i="1846" s="1"/>
  <c r="D19" i="1846"/>
  <c r="F19" i="1846" s="1"/>
  <c r="D15" i="1846"/>
  <c r="F15" i="1846" s="1"/>
  <c r="D14" i="1846"/>
  <c r="F14" i="1846" s="1"/>
  <c r="D13" i="1846"/>
  <c r="F13" i="1846" s="1"/>
  <c r="D12" i="1846"/>
  <c r="F12" i="1846" s="1"/>
  <c r="D11" i="1846"/>
  <c r="F11" i="1846" s="1"/>
  <c r="D10" i="1846"/>
  <c r="F10" i="1846" s="1"/>
  <c r="D9" i="1846"/>
  <c r="F9" i="1846" s="1"/>
  <c r="D8" i="1846"/>
  <c r="F8" i="1846" s="1"/>
  <c r="D7" i="1846"/>
  <c r="F7" i="1846" s="1"/>
  <c r="D6" i="1846"/>
  <c r="F6" i="1846" s="1"/>
  <c r="D5" i="1846"/>
  <c r="F5" i="1846" s="1"/>
  <c r="D4" i="1846"/>
  <c r="D43" i="1912"/>
  <c r="F43" i="1912" s="1"/>
  <c r="D42" i="1912"/>
  <c r="F42" i="1912" s="1"/>
  <c r="D41" i="1912"/>
  <c r="F41" i="1912" s="1"/>
  <c r="D40" i="1912"/>
  <c r="F40" i="1912" s="1"/>
  <c r="D39" i="1912"/>
  <c r="F39" i="1912" s="1"/>
  <c r="D38" i="1912"/>
  <c r="F38" i="1912" s="1"/>
  <c r="D37" i="1912"/>
  <c r="F37" i="1912" s="1"/>
  <c r="D36" i="1912"/>
  <c r="F36" i="1912" s="1"/>
  <c r="D35" i="1912"/>
  <c r="F35" i="1912" s="1"/>
  <c r="D34" i="1912"/>
  <c r="F34" i="1912" s="1"/>
  <c r="D33" i="1912"/>
  <c r="F33" i="1912" s="1"/>
  <c r="D32" i="1912"/>
  <c r="F32" i="1912" s="1"/>
  <c r="D31" i="1912"/>
  <c r="F31" i="1912" s="1"/>
  <c r="D30" i="1912"/>
  <c r="F30" i="1912" s="1"/>
  <c r="D29" i="1912"/>
  <c r="F29" i="1912" s="1"/>
  <c r="D28" i="1912"/>
  <c r="F28" i="1912" s="1"/>
  <c r="D27" i="1912"/>
  <c r="F27" i="1912" s="1"/>
  <c r="D26" i="1912"/>
  <c r="F26" i="1912" s="1"/>
  <c r="D25" i="1912"/>
  <c r="F25" i="1912" s="1"/>
  <c r="D24" i="1912"/>
  <c r="F24" i="1912" s="1"/>
  <c r="D23" i="1912"/>
  <c r="F23" i="1912" s="1"/>
  <c r="D22" i="1912"/>
  <c r="F22" i="1912" s="1"/>
  <c r="D21" i="1912"/>
  <c r="F21" i="1912" s="1"/>
  <c r="D20" i="1912"/>
  <c r="F20" i="1912" s="1"/>
  <c r="D19" i="1912"/>
  <c r="F19" i="1912" s="1"/>
  <c r="D18" i="1912"/>
  <c r="F18" i="1912" s="1"/>
  <c r="C45" i="1912"/>
  <c r="D14" i="1912"/>
  <c r="F14" i="1912" s="1"/>
  <c r="D13" i="1912"/>
  <c r="F13" i="1912" s="1"/>
  <c r="D12" i="1912"/>
  <c r="F12" i="1912" s="1"/>
  <c r="D11" i="1912"/>
  <c r="F11" i="1912" s="1"/>
  <c r="D10" i="1912"/>
  <c r="F10" i="1912" s="1"/>
  <c r="D9" i="1912"/>
  <c r="F9" i="1912" s="1"/>
  <c r="D8" i="1912"/>
  <c r="F8" i="1912" s="1"/>
  <c r="D7" i="1912"/>
  <c r="F7" i="1912" s="1"/>
  <c r="D6" i="1912"/>
  <c r="F6" i="1912" s="1"/>
  <c r="D5" i="1912"/>
  <c r="F5" i="1912" s="1"/>
  <c r="C16" i="1912"/>
  <c r="D4" i="1912"/>
  <c r="D43" i="1911"/>
  <c r="F43" i="1911" s="1"/>
  <c r="D42" i="1911"/>
  <c r="F42" i="1911" s="1"/>
  <c r="D41" i="1911"/>
  <c r="F41" i="1911" s="1"/>
  <c r="D40" i="1911"/>
  <c r="F40" i="1911" s="1"/>
  <c r="D36" i="1911"/>
  <c r="F36" i="1911" s="1"/>
  <c r="D35" i="1911"/>
  <c r="F35" i="1911" s="1"/>
  <c r="D34" i="1911"/>
  <c r="F34" i="1911" s="1"/>
  <c r="D33" i="1911"/>
  <c r="F33" i="1911" s="1"/>
  <c r="D39" i="1911"/>
  <c r="F39" i="1911" s="1"/>
  <c r="D38" i="1911"/>
  <c r="F38" i="1911" s="1"/>
  <c r="D37" i="1911"/>
  <c r="F37" i="1911" s="1"/>
  <c r="D32" i="1911"/>
  <c r="F32" i="1911" s="1"/>
  <c r="D31" i="1911"/>
  <c r="F31" i="1911" s="1"/>
  <c r="D30" i="1911"/>
  <c r="F30" i="1911" s="1"/>
  <c r="D29" i="1911"/>
  <c r="F29" i="1911" s="1"/>
  <c r="D28" i="1911"/>
  <c r="F28" i="1911" s="1"/>
  <c r="D27" i="1911"/>
  <c r="F27" i="1911" s="1"/>
  <c r="D26" i="1911"/>
  <c r="F26" i="1911" s="1"/>
  <c r="D25" i="1911"/>
  <c r="F25" i="1911" s="1"/>
  <c r="D24" i="1911"/>
  <c r="F24" i="1911" s="1"/>
  <c r="D20" i="1911"/>
  <c r="F20" i="1911" s="1"/>
  <c r="D16" i="1911"/>
  <c r="F16" i="1911" s="1"/>
  <c r="D18" i="1911"/>
  <c r="F18" i="1911" s="1"/>
  <c r="D17" i="1911"/>
  <c r="F17" i="1911" s="1"/>
  <c r="D19" i="1911"/>
  <c r="F19" i="1911" s="1"/>
  <c r="D15" i="1911"/>
  <c r="F15" i="1911" s="1"/>
  <c r="D14" i="1911"/>
  <c r="F14" i="1911" s="1"/>
  <c r="D13" i="1911"/>
  <c r="F13" i="1911" s="1"/>
  <c r="D12" i="1911"/>
  <c r="F12" i="1911" s="1"/>
  <c r="D11" i="1911"/>
  <c r="F11" i="1911" s="1"/>
  <c r="D10" i="1911"/>
  <c r="F10" i="1911" s="1"/>
  <c r="D9" i="1911"/>
  <c r="F9" i="1911" s="1"/>
  <c r="D8" i="1911"/>
  <c r="F8" i="1911" s="1"/>
  <c r="D7" i="1911"/>
  <c r="F7" i="1911" s="1"/>
  <c r="D6" i="1911"/>
  <c r="F6" i="1911" s="1"/>
  <c r="D5" i="1911"/>
  <c r="F5" i="1911" s="1"/>
  <c r="D4" i="1911"/>
  <c r="D43" i="1485"/>
  <c r="F43" i="1485" s="1"/>
  <c r="D42" i="1485"/>
  <c r="F42" i="1485" s="1"/>
  <c r="D41" i="1485"/>
  <c r="F41" i="1485" s="1"/>
  <c r="D40" i="1485"/>
  <c r="F40" i="1485" s="1"/>
  <c r="D39" i="1485"/>
  <c r="F39" i="1485" s="1"/>
  <c r="D38" i="1485"/>
  <c r="F38" i="1485" s="1"/>
  <c r="D37" i="1485"/>
  <c r="F37" i="1485" s="1"/>
  <c r="D36" i="1485"/>
  <c r="F36" i="1485" s="1"/>
  <c r="D35" i="1485"/>
  <c r="F35" i="1485" s="1"/>
  <c r="D34" i="1485"/>
  <c r="F34" i="1485" s="1"/>
  <c r="D33" i="1485"/>
  <c r="F33" i="1485" s="1"/>
  <c r="D32" i="1485"/>
  <c r="F32" i="1485" s="1"/>
  <c r="D31" i="1485"/>
  <c r="F31" i="1485" s="1"/>
  <c r="D30" i="1485"/>
  <c r="F30" i="1485" s="1"/>
  <c r="D29" i="1485"/>
  <c r="F29" i="1485" s="1"/>
  <c r="D28" i="1485"/>
  <c r="F28" i="1485" s="1"/>
  <c r="D27" i="1485"/>
  <c r="F27" i="1485" s="1"/>
  <c r="D26" i="1485"/>
  <c r="F26" i="1485" s="1"/>
  <c r="D25" i="1485"/>
  <c r="F25" i="1485" s="1"/>
  <c r="D24" i="1485"/>
  <c r="F24" i="1485" s="1"/>
  <c r="D23" i="1485"/>
  <c r="F23" i="1485" s="1"/>
  <c r="D22" i="1485"/>
  <c r="F22" i="1485" s="1"/>
  <c r="D21" i="1485"/>
  <c r="F21" i="1485" s="1"/>
  <c r="D20" i="1485"/>
  <c r="F20" i="1485" s="1"/>
  <c r="D19" i="1485"/>
  <c r="F19" i="1485" s="1"/>
  <c r="C45" i="1485"/>
  <c r="D18" i="1485"/>
  <c r="F18" i="1485" s="1"/>
  <c r="D14" i="1485"/>
  <c r="F14" i="1485" s="1"/>
  <c r="D13" i="1485"/>
  <c r="F13" i="1485" s="1"/>
  <c r="D12" i="1485"/>
  <c r="F12" i="1485" s="1"/>
  <c r="D11" i="1485"/>
  <c r="F11" i="1485" s="1"/>
  <c r="D10" i="1485"/>
  <c r="F10" i="1485" s="1"/>
  <c r="D9" i="1485"/>
  <c r="F9" i="1485" s="1"/>
  <c r="D8" i="1485"/>
  <c r="F8" i="1485" s="1"/>
  <c r="D7" i="1485"/>
  <c r="F7" i="1485" s="1"/>
  <c r="D6" i="1485"/>
  <c r="F6" i="1485" s="1"/>
  <c r="D5" i="1485"/>
  <c r="F5" i="1485" s="1"/>
  <c r="D4" i="1485"/>
  <c r="C16" i="1485"/>
  <c r="D43" i="1484"/>
  <c r="F43" i="1484" s="1"/>
  <c r="D42" i="1484"/>
  <c r="F42" i="1484" s="1"/>
  <c r="D41" i="1484"/>
  <c r="F41" i="1484" s="1"/>
  <c r="D40" i="1484"/>
  <c r="F40" i="1484" s="1"/>
  <c r="D36" i="1484"/>
  <c r="F36" i="1484" s="1"/>
  <c r="D35" i="1484"/>
  <c r="F35" i="1484" s="1"/>
  <c r="D34" i="1484"/>
  <c r="F34" i="1484" s="1"/>
  <c r="D33" i="1484"/>
  <c r="F33" i="1484" s="1"/>
  <c r="D39" i="1484"/>
  <c r="F39" i="1484" s="1"/>
  <c r="D38" i="1484"/>
  <c r="F38" i="1484" s="1"/>
  <c r="D37" i="1484"/>
  <c r="F37" i="1484" s="1"/>
  <c r="D32" i="1484"/>
  <c r="D31" i="1484"/>
  <c r="F31" i="1484" s="1"/>
  <c r="D30" i="1484"/>
  <c r="F30" i="1484" s="1"/>
  <c r="D29" i="1484"/>
  <c r="F29" i="1484" s="1"/>
  <c r="D28" i="1484"/>
  <c r="F28" i="1484" s="1"/>
  <c r="D27" i="1484"/>
  <c r="F27" i="1484" s="1"/>
  <c r="D26" i="1484"/>
  <c r="F26" i="1484" s="1"/>
  <c r="D25" i="1484"/>
  <c r="F25" i="1484" s="1"/>
  <c r="D24" i="1484"/>
  <c r="F24" i="1484" s="1"/>
  <c r="D20" i="1484"/>
  <c r="F20" i="1484" s="1"/>
  <c r="D16" i="1484"/>
  <c r="F16" i="1484" s="1"/>
  <c r="D18" i="1484"/>
  <c r="F18" i="1484" s="1"/>
  <c r="D17" i="1484"/>
  <c r="F17" i="1484" s="1"/>
  <c r="D19" i="1484"/>
  <c r="F19" i="1484" s="1"/>
  <c r="D15" i="1484"/>
  <c r="F15" i="1484" s="1"/>
  <c r="D14" i="1484"/>
  <c r="F14" i="1484" s="1"/>
  <c r="D13" i="1484"/>
  <c r="F13" i="1484" s="1"/>
  <c r="D12" i="1484"/>
  <c r="F12" i="1484" s="1"/>
  <c r="D11" i="1484"/>
  <c r="F11" i="1484" s="1"/>
  <c r="D10" i="1484"/>
  <c r="F10" i="1484" s="1"/>
  <c r="D9" i="1484"/>
  <c r="F9" i="1484" s="1"/>
  <c r="D8" i="1484"/>
  <c r="F8" i="1484" s="1"/>
  <c r="D7" i="1484"/>
  <c r="F7" i="1484" s="1"/>
  <c r="D6" i="1484"/>
  <c r="F6" i="1484" s="1"/>
  <c r="D5" i="1484"/>
  <c r="F5" i="1484" s="1"/>
  <c r="D4" i="1484"/>
  <c r="D43" i="1777"/>
  <c r="F43" i="1777" s="1"/>
  <c r="D42" i="1777"/>
  <c r="F42" i="1777" s="1"/>
  <c r="D41" i="1777"/>
  <c r="F41" i="1777" s="1"/>
  <c r="D40" i="1777"/>
  <c r="F40" i="1777" s="1"/>
  <c r="D39" i="1777"/>
  <c r="F39" i="1777" s="1"/>
  <c r="D38" i="1777"/>
  <c r="F38" i="1777" s="1"/>
  <c r="D37" i="1777"/>
  <c r="F37" i="1777" s="1"/>
  <c r="D36" i="1777"/>
  <c r="D35" i="1777"/>
  <c r="F35" i="1777" s="1"/>
  <c r="D34" i="1777"/>
  <c r="F34" i="1777" s="1"/>
  <c r="D33" i="1777"/>
  <c r="F33" i="1777" s="1"/>
  <c r="D32" i="1777"/>
  <c r="F32" i="1777" s="1"/>
  <c r="D31" i="1777"/>
  <c r="F31" i="1777" s="1"/>
  <c r="D30" i="1777"/>
  <c r="F30" i="1777" s="1"/>
  <c r="D29" i="1777"/>
  <c r="F29" i="1777" s="1"/>
  <c r="D28" i="1777"/>
  <c r="F28" i="1777" s="1"/>
  <c r="D27" i="1777"/>
  <c r="F27" i="1777" s="1"/>
  <c r="D26" i="1777"/>
  <c r="F26" i="1777" s="1"/>
  <c r="D25" i="1777"/>
  <c r="F25" i="1777" s="1"/>
  <c r="D24" i="1777"/>
  <c r="F24" i="1777" s="1"/>
  <c r="D23" i="1777"/>
  <c r="F23" i="1777" s="1"/>
  <c r="D22" i="1777"/>
  <c r="F22" i="1777" s="1"/>
  <c r="D21" i="1777"/>
  <c r="F21" i="1777" s="1"/>
  <c r="D20" i="1777"/>
  <c r="F20" i="1777" s="1"/>
  <c r="D19" i="1777"/>
  <c r="F19" i="1777" s="1"/>
  <c r="C45" i="1777"/>
  <c r="D18" i="1777"/>
  <c r="F18" i="1777" s="1"/>
  <c r="D14" i="1777"/>
  <c r="F14" i="1777" s="1"/>
  <c r="D13" i="1777"/>
  <c r="F13" i="1777" s="1"/>
  <c r="D12" i="1777"/>
  <c r="F12" i="1777" s="1"/>
  <c r="D11" i="1777"/>
  <c r="F11" i="1777" s="1"/>
  <c r="D10" i="1777"/>
  <c r="F10" i="1777" s="1"/>
  <c r="D9" i="1777"/>
  <c r="F9" i="1777" s="1"/>
  <c r="D8" i="1777"/>
  <c r="F8" i="1777" s="1"/>
  <c r="D7" i="1777"/>
  <c r="F7" i="1777" s="1"/>
  <c r="D6" i="1777"/>
  <c r="F6" i="1777" s="1"/>
  <c r="D5" i="1777"/>
  <c r="F5" i="1777" s="1"/>
  <c r="D4" i="1777"/>
  <c r="C16" i="1777"/>
  <c r="D43" i="1776"/>
  <c r="F43" i="1776" s="1"/>
  <c r="D42" i="1776"/>
  <c r="F42" i="1776" s="1"/>
  <c r="D41" i="1776"/>
  <c r="F41" i="1776" s="1"/>
  <c r="D40" i="1776"/>
  <c r="F40" i="1776" s="1"/>
  <c r="D36" i="1776"/>
  <c r="F36" i="1776" s="1"/>
  <c r="D35" i="1776"/>
  <c r="F35" i="1776" s="1"/>
  <c r="D34" i="1776"/>
  <c r="F34" i="1776" s="1"/>
  <c r="D33" i="1776"/>
  <c r="F33" i="1776" s="1"/>
  <c r="D39" i="1776"/>
  <c r="F39" i="1776" s="1"/>
  <c r="D38" i="1776"/>
  <c r="F38" i="1776" s="1"/>
  <c r="D37" i="1776"/>
  <c r="F37" i="1776" s="1"/>
  <c r="D32" i="1776"/>
  <c r="F32" i="1776" s="1"/>
  <c r="D31" i="1776"/>
  <c r="F31" i="1776" s="1"/>
  <c r="D30" i="1776"/>
  <c r="F30" i="1776" s="1"/>
  <c r="D29" i="1776"/>
  <c r="F29" i="1776" s="1"/>
  <c r="D28" i="1776"/>
  <c r="F28" i="1776" s="1"/>
  <c r="D27" i="1776"/>
  <c r="F27" i="1776" s="1"/>
  <c r="D26" i="1776"/>
  <c r="F26" i="1776" s="1"/>
  <c r="D25" i="1776"/>
  <c r="F25" i="1776" s="1"/>
  <c r="D24" i="1776"/>
  <c r="F24" i="1776" s="1"/>
  <c r="D20" i="1776"/>
  <c r="F20" i="1776" s="1"/>
  <c r="D16" i="1776"/>
  <c r="F16" i="1776" s="1"/>
  <c r="D18" i="1776"/>
  <c r="F18" i="1776" s="1"/>
  <c r="D17" i="1776"/>
  <c r="F17" i="1776" s="1"/>
  <c r="D19" i="1776"/>
  <c r="F19" i="1776" s="1"/>
  <c r="D15" i="1776"/>
  <c r="F15" i="1776" s="1"/>
  <c r="D14" i="1776"/>
  <c r="F14" i="1776" s="1"/>
  <c r="D13" i="1776"/>
  <c r="F13" i="1776" s="1"/>
  <c r="D12" i="1776"/>
  <c r="F12" i="1776" s="1"/>
  <c r="D11" i="1776"/>
  <c r="F11" i="1776" s="1"/>
  <c r="D10" i="1776"/>
  <c r="F10" i="1776" s="1"/>
  <c r="D9" i="1776"/>
  <c r="F9" i="1776" s="1"/>
  <c r="D8" i="1776"/>
  <c r="F8" i="1776" s="1"/>
  <c r="D7" i="1776"/>
  <c r="F7" i="1776" s="1"/>
  <c r="D6" i="1776"/>
  <c r="F6" i="1776" s="1"/>
  <c r="D5" i="1776"/>
  <c r="F5" i="1776" s="1"/>
  <c r="D4" i="1776"/>
  <c r="D43" i="1762"/>
  <c r="F43" i="1762" s="1"/>
  <c r="D42" i="1762"/>
  <c r="F42" i="1762" s="1"/>
  <c r="D41" i="1762"/>
  <c r="F41" i="1762" s="1"/>
  <c r="D40" i="1762"/>
  <c r="F40" i="1762" s="1"/>
  <c r="D39" i="1762"/>
  <c r="F39" i="1762" s="1"/>
  <c r="D38" i="1762"/>
  <c r="F38" i="1762" s="1"/>
  <c r="D37" i="1762"/>
  <c r="F37" i="1762" s="1"/>
  <c r="D36" i="1762"/>
  <c r="F36" i="1762" s="1"/>
  <c r="D35" i="1762"/>
  <c r="F35" i="1762" s="1"/>
  <c r="D34" i="1762"/>
  <c r="F34" i="1762" s="1"/>
  <c r="D33" i="1762"/>
  <c r="F33" i="1762" s="1"/>
  <c r="D32" i="1762"/>
  <c r="F32" i="1762" s="1"/>
  <c r="D31" i="1762"/>
  <c r="F31" i="1762" s="1"/>
  <c r="D30" i="1762"/>
  <c r="F30" i="1762" s="1"/>
  <c r="D29" i="1762"/>
  <c r="F29" i="1762" s="1"/>
  <c r="D28" i="1762"/>
  <c r="F28" i="1762" s="1"/>
  <c r="D27" i="1762"/>
  <c r="F27" i="1762" s="1"/>
  <c r="D26" i="1762"/>
  <c r="F26" i="1762" s="1"/>
  <c r="D25" i="1762"/>
  <c r="F25" i="1762" s="1"/>
  <c r="D24" i="1762"/>
  <c r="F24" i="1762" s="1"/>
  <c r="D23" i="1762"/>
  <c r="F23" i="1762" s="1"/>
  <c r="D22" i="1762"/>
  <c r="F22" i="1762" s="1"/>
  <c r="D21" i="1762"/>
  <c r="F21" i="1762" s="1"/>
  <c r="D20" i="1762"/>
  <c r="F20" i="1762" s="1"/>
  <c r="D19" i="1762"/>
  <c r="F19" i="1762" s="1"/>
  <c r="C45" i="1762"/>
  <c r="D18" i="1762"/>
  <c r="F18" i="1762" s="1"/>
  <c r="D14" i="1762"/>
  <c r="F14" i="1762" s="1"/>
  <c r="D13" i="1762"/>
  <c r="F13" i="1762" s="1"/>
  <c r="D12" i="1762"/>
  <c r="F12" i="1762" s="1"/>
  <c r="D11" i="1762"/>
  <c r="F11" i="1762" s="1"/>
  <c r="D10" i="1762"/>
  <c r="F10" i="1762" s="1"/>
  <c r="D9" i="1762"/>
  <c r="F9" i="1762" s="1"/>
  <c r="D8" i="1762"/>
  <c r="F8" i="1762" s="1"/>
  <c r="D7" i="1762"/>
  <c r="F7" i="1762" s="1"/>
  <c r="D6" i="1762"/>
  <c r="F6" i="1762" s="1"/>
  <c r="D5" i="1762"/>
  <c r="F5" i="1762" s="1"/>
  <c r="C16" i="1762"/>
  <c r="D4" i="1762"/>
  <c r="F4" i="1762" s="1"/>
  <c r="D43" i="1761"/>
  <c r="F43" i="1761" s="1"/>
  <c r="D42" i="1761"/>
  <c r="F42" i="1761" s="1"/>
  <c r="D41" i="1761"/>
  <c r="F41" i="1761" s="1"/>
  <c r="D40" i="1761"/>
  <c r="F40" i="1761" s="1"/>
  <c r="D36" i="1761"/>
  <c r="F36" i="1761" s="1"/>
  <c r="D35" i="1761"/>
  <c r="F35" i="1761" s="1"/>
  <c r="D34" i="1761"/>
  <c r="F34" i="1761" s="1"/>
  <c r="D33" i="1761"/>
  <c r="F33" i="1761" s="1"/>
  <c r="D39" i="1761"/>
  <c r="F39" i="1761" s="1"/>
  <c r="D38" i="1761"/>
  <c r="F38" i="1761" s="1"/>
  <c r="D37" i="1761"/>
  <c r="F37" i="1761" s="1"/>
  <c r="D32" i="1761"/>
  <c r="F32" i="1761" s="1"/>
  <c r="D31" i="1761"/>
  <c r="F31" i="1761" s="1"/>
  <c r="D30" i="1761"/>
  <c r="F30" i="1761" s="1"/>
  <c r="D29" i="1761"/>
  <c r="F29" i="1761" s="1"/>
  <c r="D28" i="1761"/>
  <c r="F28" i="1761" s="1"/>
  <c r="D27" i="1761"/>
  <c r="F27" i="1761" s="1"/>
  <c r="D26" i="1761"/>
  <c r="F26" i="1761" s="1"/>
  <c r="D25" i="1761"/>
  <c r="F25" i="1761" s="1"/>
  <c r="D24" i="1761"/>
  <c r="F24" i="1761" s="1"/>
  <c r="D20" i="1761"/>
  <c r="F20" i="1761" s="1"/>
  <c r="D16" i="1761"/>
  <c r="F16" i="1761" s="1"/>
  <c r="D18" i="1761"/>
  <c r="F18" i="1761" s="1"/>
  <c r="D17" i="1761"/>
  <c r="F17" i="1761" s="1"/>
  <c r="D19" i="1761"/>
  <c r="F19" i="1761" s="1"/>
  <c r="D15" i="1761"/>
  <c r="F15" i="1761" s="1"/>
  <c r="D14" i="1761"/>
  <c r="F14" i="1761" s="1"/>
  <c r="D13" i="1761"/>
  <c r="D12" i="1761"/>
  <c r="F12" i="1761" s="1"/>
  <c r="D11" i="1761"/>
  <c r="F11" i="1761" s="1"/>
  <c r="D10" i="1761"/>
  <c r="F10" i="1761" s="1"/>
  <c r="D9" i="1761"/>
  <c r="F9" i="1761" s="1"/>
  <c r="D8" i="1761"/>
  <c r="F8" i="1761" s="1"/>
  <c r="D7" i="1761"/>
  <c r="F7" i="1761" s="1"/>
  <c r="D6" i="1761"/>
  <c r="F6" i="1761" s="1"/>
  <c r="D5" i="1761"/>
  <c r="F5" i="1761" s="1"/>
  <c r="D4" i="1761"/>
  <c r="D6" i="1729"/>
  <c r="F6" i="1729" s="1"/>
  <c r="D5" i="1729"/>
  <c r="F5" i="1729" s="1"/>
  <c r="D4" i="1729"/>
  <c r="D17" i="1729"/>
  <c r="F17" i="1729" s="1"/>
  <c r="D16" i="1729"/>
  <c r="F16" i="1729" s="1"/>
  <c r="D15" i="1729"/>
  <c r="F15" i="1729" s="1"/>
  <c r="D14" i="1729"/>
  <c r="F14" i="1729" s="1"/>
  <c r="D13" i="1729"/>
  <c r="F13" i="1729" s="1"/>
  <c r="D9" i="1729"/>
  <c r="F9" i="1729" s="1"/>
  <c r="D11" i="1729"/>
  <c r="F11" i="1729" s="1"/>
  <c r="D10" i="1729"/>
  <c r="F10" i="1729" s="1"/>
  <c r="D12" i="1729"/>
  <c r="F12" i="1729" s="1"/>
  <c r="D8" i="1729"/>
  <c r="F8" i="1729" s="1"/>
  <c r="D7" i="1729"/>
  <c r="F7" i="1729" s="1"/>
  <c r="D23" i="1729"/>
  <c r="F23" i="1729" s="1"/>
  <c r="D22" i="1729"/>
  <c r="F22" i="1729" s="1"/>
  <c r="D21" i="1729"/>
  <c r="F21" i="1729" s="1"/>
  <c r="D32" i="1729"/>
  <c r="D31" i="1729"/>
  <c r="D46" i="1253"/>
  <c r="F46" i="1253" s="1"/>
  <c r="D45" i="1253"/>
  <c r="F45" i="1253" s="1"/>
  <c r="D44" i="1253"/>
  <c r="F44" i="1253" s="1"/>
  <c r="D43" i="1253"/>
  <c r="F43" i="1253" s="1"/>
  <c r="D42" i="1253"/>
  <c r="F42" i="1253" s="1"/>
  <c r="D41" i="1253"/>
  <c r="F41" i="1253" s="1"/>
  <c r="D40" i="1253"/>
  <c r="F40" i="1253" s="1"/>
  <c r="D39" i="1253"/>
  <c r="F39" i="1253" s="1"/>
  <c r="D38" i="1253"/>
  <c r="F38" i="1253" s="1"/>
  <c r="D37" i="1253"/>
  <c r="F37" i="1253" s="1"/>
  <c r="D36" i="1253"/>
  <c r="F36" i="1253" s="1"/>
  <c r="D35" i="1253"/>
  <c r="F35" i="1253" s="1"/>
  <c r="D34" i="1253"/>
  <c r="F34" i="1253" s="1"/>
  <c r="D33" i="1253"/>
  <c r="F33" i="1253" s="1"/>
  <c r="D32" i="1253"/>
  <c r="F32" i="1253" s="1"/>
  <c r="D31" i="1253"/>
  <c r="F31" i="1253" s="1"/>
  <c r="D30" i="1253"/>
  <c r="F30" i="1253" s="1"/>
  <c r="D29" i="1253"/>
  <c r="F29" i="1253" s="1"/>
  <c r="D28" i="1253"/>
  <c r="F28" i="1253" s="1"/>
  <c r="D27" i="1253"/>
  <c r="F27" i="1253" s="1"/>
  <c r="D26" i="1253"/>
  <c r="F26" i="1253" s="1"/>
  <c r="D25" i="1253"/>
  <c r="F25" i="1253" s="1"/>
  <c r="D24" i="1253"/>
  <c r="F24" i="1253" s="1"/>
  <c r="D23" i="1253"/>
  <c r="F23" i="1253" s="1"/>
  <c r="D22" i="1253"/>
  <c r="F22" i="1253" s="1"/>
  <c r="D21" i="1253"/>
  <c r="F21" i="1253" s="1"/>
  <c r="C48" i="1253"/>
  <c r="D17" i="1253"/>
  <c r="F17" i="1253" s="1"/>
  <c r="D16" i="1253"/>
  <c r="F16" i="1253" s="1"/>
  <c r="D15" i="1253"/>
  <c r="F15" i="1253" s="1"/>
  <c r="C19" i="1253"/>
  <c r="D11" i="1253"/>
  <c r="F11" i="1253" s="1"/>
  <c r="D10" i="1253"/>
  <c r="F10" i="1253" s="1"/>
  <c r="D9" i="1253"/>
  <c r="F9" i="1253" s="1"/>
  <c r="D8" i="1253"/>
  <c r="F8" i="1253" s="1"/>
  <c r="D7" i="1253"/>
  <c r="F7" i="1253" s="1"/>
  <c r="D6" i="1253"/>
  <c r="F6" i="1253" s="1"/>
  <c r="D5" i="1253"/>
  <c r="F5" i="1253" s="1"/>
  <c r="D4" i="1253"/>
  <c r="F4" i="1253" s="1"/>
  <c r="C13" i="1253"/>
  <c r="R3" i="1"/>
  <c r="R30" i="1" s="1"/>
  <c r="B30" i="1"/>
  <c r="D38" i="1729" l="1"/>
  <c r="D39" i="1729"/>
  <c r="C40" i="2068"/>
  <c r="C41" i="2068" s="1"/>
  <c r="C40" i="1729"/>
  <c r="C41" i="1729" s="1"/>
  <c r="G37" i="1777"/>
  <c r="H37" i="1777" s="1"/>
  <c r="C47" i="1986"/>
  <c r="C47" i="1484"/>
  <c r="C47" i="1911"/>
  <c r="C47" i="1761"/>
  <c r="D48" i="1761"/>
  <c r="C47" i="1846"/>
  <c r="C47" i="1776"/>
  <c r="F4" i="1729"/>
  <c r="D25" i="1729"/>
  <c r="F25" i="1729" s="1"/>
  <c r="D19" i="1729"/>
  <c r="F19" i="1729" s="1"/>
  <c r="F32" i="1729"/>
  <c r="D48" i="1986"/>
  <c r="G37" i="1885"/>
  <c r="H37" i="1885" s="1"/>
  <c r="D48" i="1484"/>
  <c r="F26" i="1882"/>
  <c r="D48" i="2043"/>
  <c r="D48" i="2045"/>
  <c r="D48" i="2042"/>
  <c r="D45" i="2045"/>
  <c r="D22" i="2045"/>
  <c r="C47" i="2045"/>
  <c r="F43" i="2045"/>
  <c r="F42" i="2045"/>
  <c r="F41" i="2045"/>
  <c r="F40" i="2045"/>
  <c r="F39" i="2045"/>
  <c r="F38" i="2045"/>
  <c r="F37" i="2045"/>
  <c r="F36" i="2045"/>
  <c r="F35" i="2045"/>
  <c r="F34" i="2045"/>
  <c r="F33" i="2045"/>
  <c r="F32" i="2045"/>
  <c r="F31" i="2045"/>
  <c r="F30" i="2045"/>
  <c r="F29" i="2045"/>
  <c r="F28" i="2045"/>
  <c r="F27" i="2045"/>
  <c r="F26" i="2045"/>
  <c r="F25" i="2045"/>
  <c r="F24" i="2045"/>
  <c r="F20" i="2045"/>
  <c r="F19" i="2045"/>
  <c r="F18" i="2045"/>
  <c r="F17" i="2045"/>
  <c r="F16" i="2045"/>
  <c r="F15" i="2045"/>
  <c r="F14" i="2045"/>
  <c r="F13" i="2045"/>
  <c r="F12" i="2045"/>
  <c r="F11" i="2045"/>
  <c r="F10" i="2045"/>
  <c r="F9" i="2045"/>
  <c r="F8" i="2045"/>
  <c r="F7" i="2045"/>
  <c r="F6" i="2045"/>
  <c r="F5" i="2045"/>
  <c r="F4" i="2045"/>
  <c r="D45" i="2044"/>
  <c r="D22" i="2044"/>
  <c r="C47" i="2044"/>
  <c r="F43" i="2044"/>
  <c r="F42" i="2044"/>
  <c r="F41" i="2044"/>
  <c r="F40" i="2044"/>
  <c r="F39" i="2044"/>
  <c r="F38" i="2044"/>
  <c r="F37" i="2044"/>
  <c r="F36" i="2044"/>
  <c r="F35" i="2044"/>
  <c r="F34" i="2044"/>
  <c r="F33" i="2044"/>
  <c r="F32" i="2044"/>
  <c r="F31" i="2044"/>
  <c r="F30" i="2044"/>
  <c r="F29" i="2044"/>
  <c r="F28" i="2044"/>
  <c r="F27" i="2044"/>
  <c r="F26" i="2044"/>
  <c r="F25" i="2044"/>
  <c r="F24" i="2044"/>
  <c r="F20" i="2044"/>
  <c r="F19" i="2044"/>
  <c r="F18" i="2044"/>
  <c r="F17" i="2044"/>
  <c r="F16" i="2044"/>
  <c r="F15" i="2044"/>
  <c r="F13" i="2044"/>
  <c r="F12" i="2044"/>
  <c r="F11" i="2044"/>
  <c r="F10" i="2044"/>
  <c r="F9" i="2044"/>
  <c r="F7" i="2044"/>
  <c r="F5" i="2044"/>
  <c r="D48" i="2044"/>
  <c r="F14" i="2044"/>
  <c r="F8" i="2044"/>
  <c r="F6" i="2044"/>
  <c r="D45" i="2043"/>
  <c r="D22" i="2043"/>
  <c r="C47" i="2043"/>
  <c r="F43" i="2043"/>
  <c r="F42" i="2043"/>
  <c r="F41" i="2043"/>
  <c r="F40" i="2043"/>
  <c r="F39" i="2043"/>
  <c r="F38" i="2043"/>
  <c r="F37" i="2043"/>
  <c r="F36" i="2043"/>
  <c r="F35" i="2043"/>
  <c r="F34" i="2043"/>
  <c r="F33" i="2043"/>
  <c r="F32" i="2043"/>
  <c r="F31" i="2043"/>
  <c r="F30" i="2043"/>
  <c r="F29" i="2043"/>
  <c r="F28" i="2043"/>
  <c r="F27" i="2043"/>
  <c r="F26" i="2043"/>
  <c r="F25" i="2043"/>
  <c r="F24" i="2043"/>
  <c r="F20" i="2043"/>
  <c r="F19" i="2043"/>
  <c r="F18" i="2043"/>
  <c r="F17" i="2043"/>
  <c r="F16" i="2043"/>
  <c r="F15" i="2043"/>
  <c r="F14" i="2043"/>
  <c r="F13" i="2043"/>
  <c r="F12" i="2043"/>
  <c r="F11" i="2043"/>
  <c r="F10" i="2043"/>
  <c r="F9" i="2043"/>
  <c r="F8" i="2043"/>
  <c r="F7" i="2043"/>
  <c r="F6" i="2043"/>
  <c r="F5" i="2043"/>
  <c r="F4" i="2043"/>
  <c r="F7" i="1885"/>
  <c r="D45" i="2042"/>
  <c r="D22" i="2042"/>
  <c r="C47" i="2042"/>
  <c r="F43" i="2042"/>
  <c r="F42" i="2042"/>
  <c r="F41" i="2042"/>
  <c r="F40" i="2042"/>
  <c r="F39" i="2042"/>
  <c r="F38" i="2042"/>
  <c r="F37" i="2042"/>
  <c r="F36" i="2042"/>
  <c r="F35" i="2042"/>
  <c r="F34" i="2042"/>
  <c r="F33" i="2042"/>
  <c r="F32" i="2042"/>
  <c r="F31" i="2042"/>
  <c r="F30" i="2042"/>
  <c r="F29" i="2042"/>
  <c r="F28" i="2042"/>
  <c r="F27" i="2042"/>
  <c r="F26" i="2042"/>
  <c r="F25" i="2042"/>
  <c r="F24" i="2042"/>
  <c r="F20" i="2042"/>
  <c r="F19" i="2042"/>
  <c r="F18" i="2042"/>
  <c r="F17" i="2042"/>
  <c r="F16" i="2042"/>
  <c r="F15" i="2042"/>
  <c r="F14" i="2042"/>
  <c r="F13" i="2042"/>
  <c r="F12" i="2042"/>
  <c r="F11" i="2042"/>
  <c r="F10" i="2042"/>
  <c r="F9" i="2042"/>
  <c r="F8" i="2042"/>
  <c r="F7" i="2042"/>
  <c r="F6" i="2042"/>
  <c r="F5" i="2042"/>
  <c r="F4" i="2042"/>
  <c r="D48" i="1911"/>
  <c r="F26" i="1887"/>
  <c r="D48" i="1846"/>
  <c r="F36" i="1885"/>
  <c r="F13" i="1882"/>
  <c r="D48" i="1776"/>
  <c r="G37" i="1987"/>
  <c r="H37" i="1987" s="1"/>
  <c r="G39" i="1986"/>
  <c r="G34" i="1986"/>
  <c r="G39" i="1846"/>
  <c r="G34" i="1846"/>
  <c r="G28" i="1846"/>
  <c r="G20" i="1846"/>
  <c r="G12" i="1846"/>
  <c r="G5" i="1846"/>
  <c r="G39" i="1911"/>
  <c r="G34" i="1911"/>
  <c r="G28" i="1911"/>
  <c r="G20" i="1911"/>
  <c r="G12" i="1911"/>
  <c r="G5" i="1911"/>
  <c r="G39" i="1484"/>
  <c r="G34" i="1484"/>
  <c r="G39" i="1776"/>
  <c r="G34" i="1776"/>
  <c r="G28" i="1776"/>
  <c r="G20" i="1776"/>
  <c r="G12" i="1776"/>
  <c r="G5" i="1776"/>
  <c r="G39" i="1761"/>
  <c r="G34" i="1761"/>
  <c r="G28" i="1761"/>
  <c r="G20" i="1761"/>
  <c r="F41" i="1886"/>
  <c r="G37" i="1886" s="1"/>
  <c r="H37" i="1886" s="1"/>
  <c r="F41" i="1889"/>
  <c r="F13" i="1889"/>
  <c r="F41" i="1887"/>
  <c r="F36" i="1777"/>
  <c r="F32" i="1484"/>
  <c r="F13" i="1761"/>
  <c r="F35" i="1987"/>
  <c r="F14" i="1987"/>
  <c r="F14" i="1986"/>
  <c r="F13" i="1987"/>
  <c r="F13" i="1986"/>
  <c r="F33" i="1986"/>
  <c r="F26" i="1986"/>
  <c r="D45" i="1987"/>
  <c r="D16" i="1987"/>
  <c r="F16" i="1987" s="1"/>
  <c r="C47" i="1987"/>
  <c r="D48" i="1987"/>
  <c r="F4" i="1987"/>
  <c r="D45" i="1986"/>
  <c r="D22" i="1986"/>
  <c r="F22" i="1986" s="1"/>
  <c r="F4" i="1986"/>
  <c r="D48" i="1887"/>
  <c r="F4" i="1887"/>
  <c r="D48" i="1883"/>
  <c r="F4" i="1883"/>
  <c r="F48" i="1883" s="1"/>
  <c r="D48" i="1777"/>
  <c r="F4" i="1777"/>
  <c r="G37" i="1883"/>
  <c r="H37" i="1883" s="1"/>
  <c r="G11" i="1883"/>
  <c r="H11" i="1883" s="1"/>
  <c r="G37" i="1847"/>
  <c r="H37" i="1847" s="1"/>
  <c r="G14" i="1847"/>
  <c r="H14" i="1847" s="1"/>
  <c r="G8" i="1847"/>
  <c r="H8" i="1847" s="1"/>
  <c r="G37" i="1912"/>
  <c r="H37" i="1912" s="1"/>
  <c r="G29" i="1883"/>
  <c r="H29" i="1883" s="1"/>
  <c r="G18" i="1883"/>
  <c r="H18" i="1883" s="1"/>
  <c r="G26" i="1847"/>
  <c r="H26" i="1847" s="1"/>
  <c r="G11" i="1888"/>
  <c r="H11" i="1888" s="1"/>
  <c r="D48" i="1889"/>
  <c r="F4" i="1889"/>
  <c r="D48" i="1882"/>
  <c r="F4" i="1882"/>
  <c r="G20" i="1847"/>
  <c r="H20" i="1847" s="1"/>
  <c r="G23" i="1847"/>
  <c r="H23" i="1847" s="1"/>
  <c r="G20" i="1485"/>
  <c r="H20" i="1485" s="1"/>
  <c r="G8" i="1485"/>
  <c r="H8" i="1485" s="1"/>
  <c r="G26" i="1762"/>
  <c r="H26" i="1762" s="1"/>
  <c r="G14" i="1762"/>
  <c r="H14" i="1762" s="1"/>
  <c r="G5" i="1912"/>
  <c r="H5" i="1912" s="1"/>
  <c r="G5" i="1485"/>
  <c r="H5" i="1485" s="1"/>
  <c r="G8" i="1912"/>
  <c r="H8" i="1912" s="1"/>
  <c r="G8" i="1762"/>
  <c r="H8" i="1762" s="1"/>
  <c r="D48" i="1762"/>
  <c r="D48" i="1847"/>
  <c r="F4" i="1847"/>
  <c r="F48" i="1847" s="1"/>
  <c r="F4" i="1846"/>
  <c r="F48" i="1846" s="1"/>
  <c r="G48" i="1846" s="1"/>
  <c r="G26" i="1485"/>
  <c r="H26" i="1485" s="1"/>
  <c r="G23" i="1485"/>
  <c r="H23" i="1485" s="1"/>
  <c r="F4" i="1484"/>
  <c r="F4" i="1776"/>
  <c r="F48" i="1776" s="1"/>
  <c r="G48" i="1776" s="1"/>
  <c r="F31" i="1729"/>
  <c r="G28" i="1253"/>
  <c r="H28" i="1253" s="1"/>
  <c r="G37" i="1884"/>
  <c r="H37" i="1884" s="1"/>
  <c r="G29" i="1884"/>
  <c r="H29" i="1884" s="1"/>
  <c r="G37" i="1888"/>
  <c r="H37" i="1888" s="1"/>
  <c r="G29" i="1888"/>
  <c r="H29" i="1888" s="1"/>
  <c r="G18" i="1888"/>
  <c r="H18" i="1888" s="1"/>
  <c r="G37" i="1882"/>
  <c r="H37" i="1882" s="1"/>
  <c r="G29" i="1882"/>
  <c r="H29" i="1882" s="1"/>
  <c r="G11" i="1847"/>
  <c r="H11" i="1847" s="1"/>
  <c r="G26" i="1912"/>
  <c r="H26" i="1912" s="1"/>
  <c r="G23" i="1912"/>
  <c r="H23" i="1912" s="1"/>
  <c r="G20" i="1912"/>
  <c r="H20" i="1912" s="1"/>
  <c r="G37" i="1485"/>
  <c r="H37" i="1485" s="1"/>
  <c r="G37" i="1762"/>
  <c r="H37" i="1762" s="1"/>
  <c r="G23" i="1762"/>
  <c r="H23" i="1762" s="1"/>
  <c r="G20" i="1762"/>
  <c r="H20" i="1762" s="1"/>
  <c r="G11" i="1762"/>
  <c r="H11" i="1762" s="1"/>
  <c r="F51" i="1253"/>
  <c r="D45" i="1889"/>
  <c r="F45" i="1889" s="1"/>
  <c r="D20" i="1889"/>
  <c r="F20" i="1889" s="1"/>
  <c r="C47" i="1889"/>
  <c r="D45" i="1884"/>
  <c r="F45" i="1884" s="1"/>
  <c r="D20" i="1884"/>
  <c r="F20" i="1884" s="1"/>
  <c r="C47" i="1884"/>
  <c r="D45" i="1885"/>
  <c r="F45" i="1885" s="1"/>
  <c r="D20" i="1885"/>
  <c r="F20" i="1885" s="1"/>
  <c r="C47" i="1885"/>
  <c r="D45" i="1886"/>
  <c r="F45" i="1886" s="1"/>
  <c r="D20" i="1886"/>
  <c r="C47" i="1886"/>
  <c r="D45" i="1887"/>
  <c r="F45" i="1887" s="1"/>
  <c r="D20" i="1887"/>
  <c r="F20" i="1887" s="1"/>
  <c r="C47" i="1887"/>
  <c r="D45" i="1888"/>
  <c r="F45" i="1888" s="1"/>
  <c r="D20" i="1888"/>
  <c r="F20" i="1888" s="1"/>
  <c r="C47" i="1888"/>
  <c r="D45" i="1883"/>
  <c r="F45" i="1883" s="1"/>
  <c r="D20" i="1883"/>
  <c r="F20" i="1883" s="1"/>
  <c r="C47" i="1883"/>
  <c r="D45" i="1882"/>
  <c r="F45" i="1882" s="1"/>
  <c r="D20" i="1882"/>
  <c r="F20" i="1882" s="1"/>
  <c r="C47" i="1882"/>
  <c r="D45" i="1847"/>
  <c r="F45" i="1847" s="1"/>
  <c r="D16" i="1847"/>
  <c r="F16" i="1847" s="1"/>
  <c r="C47" i="1847"/>
  <c r="D22" i="1846"/>
  <c r="F22" i="1846" s="1"/>
  <c r="D45" i="1912"/>
  <c r="F45" i="1912" s="1"/>
  <c r="D16" i="1912"/>
  <c r="F16" i="1912" s="1"/>
  <c r="C47" i="1912"/>
  <c r="D22" i="1911"/>
  <c r="F22" i="1911" s="1"/>
  <c r="D45" i="1485"/>
  <c r="F45" i="1485" s="1"/>
  <c r="D16" i="1485"/>
  <c r="F16" i="1485" s="1"/>
  <c r="C47" i="1485"/>
  <c r="D22" i="1484"/>
  <c r="F22" i="1484" s="1"/>
  <c r="D45" i="1777"/>
  <c r="F45" i="1777" s="1"/>
  <c r="D16" i="1777"/>
  <c r="F16" i="1777" s="1"/>
  <c r="C47" i="1777"/>
  <c r="D22" i="1776"/>
  <c r="F22" i="1776" s="1"/>
  <c r="D45" i="1762"/>
  <c r="F45" i="1762" s="1"/>
  <c r="D16" i="1762"/>
  <c r="F16" i="1762" s="1"/>
  <c r="C47" i="1762"/>
  <c r="D22" i="1761"/>
  <c r="F22" i="1761" s="1"/>
  <c r="D48" i="1253"/>
  <c r="F48" i="1253" s="1"/>
  <c r="D19" i="1253"/>
  <c r="D13" i="1253"/>
  <c r="F13" i="1253" s="1"/>
  <c r="C50" i="1253"/>
  <c r="G11" i="1884"/>
  <c r="H11" i="1884" s="1"/>
  <c r="G18" i="1884"/>
  <c r="H18" i="1884" s="1"/>
  <c r="D48" i="1884"/>
  <c r="F4" i="1884"/>
  <c r="F48" i="1884" s="1"/>
  <c r="D48" i="1885"/>
  <c r="F4" i="1885"/>
  <c r="D48" i="1886"/>
  <c r="F4" i="1886"/>
  <c r="D48" i="1888"/>
  <c r="F4" i="1888"/>
  <c r="F48" i="1888" s="1"/>
  <c r="G5" i="1847"/>
  <c r="H5" i="1847" s="1"/>
  <c r="G11" i="1912"/>
  <c r="H11" i="1912" s="1"/>
  <c r="G14" i="1912"/>
  <c r="H14" i="1912" s="1"/>
  <c r="D48" i="1912"/>
  <c r="F4" i="1912"/>
  <c r="F48" i="1912" s="1"/>
  <c r="F4" i="1911"/>
  <c r="F48" i="1911" s="1"/>
  <c r="G48" i="1911" s="1"/>
  <c r="G11" i="1485"/>
  <c r="H11" i="1485" s="1"/>
  <c r="G14" i="1485"/>
  <c r="H14" i="1485" s="1"/>
  <c r="D48" i="1485"/>
  <c r="F4" i="1485"/>
  <c r="F48" i="1485" s="1"/>
  <c r="F48" i="1762"/>
  <c r="G5" i="1762"/>
  <c r="H5" i="1762" s="1"/>
  <c r="F4" i="1761"/>
  <c r="G35" i="1253"/>
  <c r="H35" i="1253" s="1"/>
  <c r="G41" i="1253"/>
  <c r="H41" i="1253" s="1"/>
  <c r="F38" i="1729" l="1"/>
  <c r="G39" i="2043"/>
  <c r="H39" i="2043" s="1"/>
  <c r="G39" i="2044"/>
  <c r="H39" i="2044" s="1"/>
  <c r="G39" i="2045"/>
  <c r="H39" i="2045" s="1"/>
  <c r="F39" i="1729"/>
  <c r="G18" i="1882"/>
  <c r="H18" i="1882" s="1"/>
  <c r="G20" i="2042"/>
  <c r="H20" i="2042" s="1"/>
  <c r="F45" i="2045"/>
  <c r="F45" i="2044"/>
  <c r="F22" i="2043"/>
  <c r="F22" i="2045"/>
  <c r="F22" i="2044"/>
  <c r="G12" i="2045"/>
  <c r="H12" i="2045" s="1"/>
  <c r="G20" i="2045"/>
  <c r="H20" i="2045" s="1"/>
  <c r="G20" i="2044"/>
  <c r="H20" i="2044" s="1"/>
  <c r="G20" i="2043"/>
  <c r="H20" i="2043" s="1"/>
  <c r="F45" i="2043"/>
  <c r="G12" i="2043"/>
  <c r="H12" i="2043" s="1"/>
  <c r="F48" i="2043"/>
  <c r="G48" i="2043" s="1"/>
  <c r="F45" i="2042"/>
  <c r="G39" i="2042"/>
  <c r="H39" i="2042" s="1"/>
  <c r="G12" i="2042"/>
  <c r="H12" i="2042" s="1"/>
  <c r="F48" i="2042"/>
  <c r="G48" i="2042" s="1"/>
  <c r="F22" i="2042"/>
  <c r="D47" i="2045"/>
  <c r="G34" i="2045"/>
  <c r="G28" i="2045"/>
  <c r="G5" i="2045"/>
  <c r="F48" i="2045"/>
  <c r="D47" i="2044"/>
  <c r="G34" i="2044"/>
  <c r="G28" i="2044"/>
  <c r="G5" i="2044"/>
  <c r="G12" i="2044"/>
  <c r="H12" i="2044" s="1"/>
  <c r="F48" i="2044"/>
  <c r="D47" i="2043"/>
  <c r="G34" i="2043"/>
  <c r="G28" i="2043"/>
  <c r="G5" i="2043"/>
  <c r="D47" i="2042"/>
  <c r="G34" i="2042"/>
  <c r="G28" i="2042"/>
  <c r="G5" i="2042"/>
  <c r="F45" i="1987"/>
  <c r="G23" i="1987"/>
  <c r="H23" i="1987" s="1"/>
  <c r="G5" i="1987"/>
  <c r="H5" i="1987" s="1"/>
  <c r="G14" i="1987"/>
  <c r="H14" i="1987" s="1"/>
  <c r="G8" i="1987"/>
  <c r="H8" i="1987" s="1"/>
  <c r="G26" i="1987"/>
  <c r="H26" i="1987" s="1"/>
  <c r="G11" i="1987"/>
  <c r="H11" i="1987" s="1"/>
  <c r="G20" i="1987"/>
  <c r="H20" i="1987" s="1"/>
  <c r="F48" i="1987"/>
  <c r="F48" i="1986"/>
  <c r="G48" i="1986" s="1"/>
  <c r="F48" i="1887"/>
  <c r="F48" i="1777"/>
  <c r="G18" i="1889"/>
  <c r="H18" i="1889" s="1"/>
  <c r="G11" i="1885"/>
  <c r="H11" i="1885" s="1"/>
  <c r="G29" i="1886"/>
  <c r="H29" i="1886" s="1"/>
  <c r="G11" i="1887"/>
  <c r="H11" i="1887" s="1"/>
  <c r="G29" i="1885"/>
  <c r="H29" i="1885" s="1"/>
  <c r="G11" i="1882"/>
  <c r="H11" i="1882" s="1"/>
  <c r="F48" i="1882"/>
  <c r="G18" i="1885"/>
  <c r="H18" i="1885" s="1"/>
  <c r="F48" i="1885"/>
  <c r="G29" i="1889"/>
  <c r="H29" i="1889" s="1"/>
  <c r="G11" i="1889"/>
  <c r="H11" i="1889" s="1"/>
  <c r="F20" i="1886"/>
  <c r="H34" i="1986"/>
  <c r="H12" i="1846"/>
  <c r="H5" i="1846"/>
  <c r="H28" i="1911"/>
  <c r="F48" i="1889"/>
  <c r="G23" i="1777"/>
  <c r="H23" i="1777" s="1"/>
  <c r="G20" i="1777"/>
  <c r="H20" i="1777" s="1"/>
  <c r="G14" i="1777"/>
  <c r="H14" i="1777" s="1"/>
  <c r="G8" i="1777"/>
  <c r="H8" i="1777" s="1"/>
  <c r="G5" i="1777"/>
  <c r="H5" i="1777" s="1"/>
  <c r="G11" i="1777"/>
  <c r="H11" i="1777" s="1"/>
  <c r="F48" i="1484"/>
  <c r="G48" i="1484" s="1"/>
  <c r="H12" i="1911"/>
  <c r="H39" i="1776"/>
  <c r="H34" i="1776"/>
  <c r="H39" i="1846"/>
  <c r="H39" i="1484"/>
  <c r="F48" i="1761"/>
  <c r="G48" i="1761" s="1"/>
  <c r="H12" i="1776"/>
  <c r="H5" i="1776"/>
  <c r="H28" i="1776"/>
  <c r="H39" i="1761"/>
  <c r="H34" i="1761"/>
  <c r="H20" i="1761"/>
  <c r="H39" i="1986"/>
  <c r="G28" i="1986"/>
  <c r="G20" i="1986"/>
  <c r="G5" i="1986"/>
  <c r="H34" i="1846"/>
  <c r="H28" i="1846"/>
  <c r="H20" i="1846"/>
  <c r="H39" i="1911"/>
  <c r="H34" i="1911"/>
  <c r="H20" i="1911"/>
  <c r="H5" i="1911"/>
  <c r="H34" i="1484"/>
  <c r="G28" i="1484"/>
  <c r="G20" i="1484"/>
  <c r="G12" i="1484"/>
  <c r="G5" i="1484"/>
  <c r="H20" i="1776"/>
  <c r="H28" i="1761"/>
  <c r="G5" i="1761"/>
  <c r="G37" i="1889"/>
  <c r="H37" i="1889" s="1"/>
  <c r="G18" i="1886"/>
  <c r="H18" i="1886" s="1"/>
  <c r="G11" i="1886"/>
  <c r="H11" i="1886" s="1"/>
  <c r="G37" i="1887"/>
  <c r="H37" i="1887" s="1"/>
  <c r="G29" i="1887"/>
  <c r="H29" i="1887" s="1"/>
  <c r="G18" i="1887"/>
  <c r="H18" i="1887" s="1"/>
  <c r="F48" i="1886"/>
  <c r="F45" i="1986"/>
  <c r="G12" i="1761"/>
  <c r="G12" i="1986"/>
  <c r="D45" i="1846"/>
  <c r="D45" i="1911"/>
  <c r="D45" i="1484"/>
  <c r="D45" i="1776"/>
  <c r="D45" i="1761"/>
  <c r="G26" i="1777"/>
  <c r="H26" i="1777" s="1"/>
  <c r="D51" i="1253"/>
  <c r="F19" i="1253"/>
  <c r="D47" i="1987"/>
  <c r="F47" i="1987" s="1"/>
  <c r="G48" i="1883"/>
  <c r="H48" i="1883" s="1"/>
  <c r="H48" i="1846"/>
  <c r="H48" i="1776"/>
  <c r="G51" i="1253"/>
  <c r="H51" i="1253" s="1"/>
  <c r="D47" i="1889"/>
  <c r="D47" i="1884"/>
  <c r="F47" i="1884" s="1"/>
  <c r="D47" i="1885"/>
  <c r="F47" i="1885" s="1"/>
  <c r="D47" i="1886"/>
  <c r="F47" i="1886" s="1"/>
  <c r="D47" i="1887"/>
  <c r="F47" i="1887" s="1"/>
  <c r="D47" i="1888"/>
  <c r="F47" i="1888" s="1"/>
  <c r="D47" i="1883"/>
  <c r="F47" i="1883" s="1"/>
  <c r="D47" i="1882"/>
  <c r="F47" i="1882" s="1"/>
  <c r="D47" i="1847"/>
  <c r="F47" i="1847" s="1"/>
  <c r="D47" i="1912"/>
  <c r="F47" i="1912" s="1"/>
  <c r="D47" i="1485"/>
  <c r="F47" i="1485" s="1"/>
  <c r="D47" i="1777"/>
  <c r="F47" i="1777" s="1"/>
  <c r="D47" i="1762"/>
  <c r="F47" i="1762" s="1"/>
  <c r="D50" i="1253"/>
  <c r="F50" i="1253" s="1"/>
  <c r="G48" i="1884"/>
  <c r="H48" i="1884" s="1"/>
  <c r="G48" i="1888"/>
  <c r="H48" i="1888" s="1"/>
  <c r="G48" i="1847"/>
  <c r="H48" i="1847" s="1"/>
  <c r="G48" i="1912"/>
  <c r="H48" i="1912" s="1"/>
  <c r="H48" i="1911"/>
  <c r="G48" i="1485"/>
  <c r="H48" i="1485" s="1"/>
  <c r="G48" i="1762"/>
  <c r="H48" i="1762" s="1"/>
  <c r="F47" i="2044" l="1"/>
  <c r="F47" i="2045"/>
  <c r="F47" i="2043"/>
  <c r="F47" i="2042"/>
  <c r="G48" i="2045"/>
  <c r="H34" i="2045"/>
  <c r="H28" i="2045"/>
  <c r="H5" i="2045"/>
  <c r="G48" i="2044"/>
  <c r="H34" i="2044"/>
  <c r="H28" i="2044"/>
  <c r="H5" i="2044"/>
  <c r="H34" i="2043"/>
  <c r="H28" i="2043"/>
  <c r="H5" i="2043"/>
  <c r="H48" i="2043"/>
  <c r="H34" i="2042"/>
  <c r="H28" i="2042"/>
  <c r="H5" i="2042"/>
  <c r="H48" i="2042"/>
  <c r="G48" i="1987"/>
  <c r="H48" i="1987" s="1"/>
  <c r="H48" i="1986"/>
  <c r="G48" i="1887"/>
  <c r="H48" i="1887" s="1"/>
  <c r="G48" i="1882"/>
  <c r="H48" i="1882" s="1"/>
  <c r="G48" i="1777"/>
  <c r="H48" i="1777" s="1"/>
  <c r="G48" i="1885"/>
  <c r="H48" i="1885" s="1"/>
  <c r="H12" i="1761"/>
  <c r="H12" i="1986"/>
  <c r="H20" i="1484"/>
  <c r="H5" i="1761"/>
  <c r="G48" i="1886"/>
  <c r="H48" i="1886" s="1"/>
  <c r="G48" i="1889"/>
  <c r="H48" i="1889" s="1"/>
  <c r="H48" i="1484"/>
  <c r="F45" i="1484"/>
  <c r="F45" i="1776"/>
  <c r="F45" i="1911"/>
  <c r="F45" i="1846"/>
  <c r="F45" i="1761"/>
  <c r="D47" i="1986"/>
  <c r="D47" i="1846"/>
  <c r="D47" i="1911"/>
  <c r="D47" i="1484"/>
  <c r="D47" i="1776"/>
  <c r="D47" i="1761"/>
  <c r="H28" i="1986"/>
  <c r="H20" i="1986"/>
  <c r="H5" i="1986"/>
  <c r="H28" i="1484"/>
  <c r="H12" i="1484"/>
  <c r="H5" i="1484"/>
  <c r="F47" i="1889"/>
  <c r="H48" i="1761"/>
  <c r="H48" i="2044" l="1"/>
  <c r="H48" i="2045"/>
  <c r="F47" i="1986"/>
  <c r="F47" i="1846"/>
  <c r="F47" i="1911"/>
  <c r="F47" i="1484"/>
  <c r="F47" i="1776"/>
  <c r="F47" i="1761"/>
  <c r="B38" i="2068"/>
  <c r="B32" i="2068"/>
  <c r="D32" i="2068" s="1"/>
  <c r="F32" i="2068" s="1"/>
  <c r="B25" i="2068"/>
  <c r="D25" i="2068" s="1"/>
  <c r="F25" i="2068" s="1"/>
  <c r="D4" i="2068"/>
  <c r="B19" i="2068"/>
  <c r="D19" i="2068" s="1"/>
  <c r="F19" i="2068" s="1"/>
  <c r="B34" i="2068"/>
  <c r="D34" i="2068" s="1"/>
  <c r="F34" i="2068" s="1"/>
  <c r="B22" i="2068"/>
  <c r="D22" i="2068" s="1"/>
  <c r="F22" i="2068" s="1"/>
  <c r="B11" i="2068"/>
  <c r="D11" i="2068" s="1"/>
  <c r="F11" i="2068" s="1"/>
  <c r="B15" i="2068"/>
  <c r="D15" i="2068" s="1"/>
  <c r="F15" i="2068" s="1"/>
  <c r="B23" i="2068"/>
  <c r="D23" i="2068" s="1"/>
  <c r="F23" i="2068" s="1"/>
  <c r="B8" i="2068"/>
  <c r="D8" i="2068" s="1"/>
  <c r="F8" i="2068" s="1"/>
  <c r="B12" i="2068"/>
  <c r="D12" i="2068" s="1"/>
  <c r="F12" i="2068" s="1"/>
  <c r="B16" i="2068"/>
  <c r="D16" i="2068" s="1"/>
  <c r="F16" i="2068" s="1"/>
  <c r="B7" i="2068"/>
  <c r="D7" i="2068" s="1"/>
  <c r="F7" i="2068" s="1"/>
  <c r="B9" i="2068"/>
  <c r="D9" i="2068" s="1"/>
  <c r="F9" i="2068" s="1"/>
  <c r="B13" i="2068"/>
  <c r="D13" i="2068" s="1"/>
  <c r="F13" i="2068" s="1"/>
  <c r="B17" i="2068"/>
  <c r="D17" i="2068" s="1"/>
  <c r="F17" i="2068" s="1"/>
  <c r="B21" i="2068"/>
  <c r="D21" i="2068" s="1"/>
  <c r="F21" i="2068" s="1"/>
  <c r="B10" i="2068"/>
  <c r="D10" i="2068" s="1"/>
  <c r="F10" i="2068" s="1"/>
  <c r="B14" i="2068"/>
  <c r="D14" i="2068" s="1"/>
  <c r="F14" i="2068" s="1"/>
  <c r="B5" i="2068"/>
  <c r="D5" i="2068" s="1"/>
  <c r="F5" i="2068" s="1"/>
  <c r="B29" i="2068"/>
  <c r="D29" i="2068" s="1"/>
  <c r="F29" i="2068" s="1"/>
  <c r="B27" i="2068"/>
  <c r="D27" i="2068" s="1"/>
  <c r="F27" i="2068" s="1"/>
  <c r="B31" i="2068"/>
  <c r="D31" i="2068" s="1"/>
  <c r="F31" i="2068" s="1"/>
  <c r="B6" i="2068"/>
  <c r="D6" i="2068" s="1"/>
  <c r="F6" i="2068" s="1"/>
  <c r="D39" i="2068" l="1"/>
  <c r="F4" i="2068"/>
  <c r="F38" i="2068" s="1"/>
  <c r="D38" i="2068"/>
  <c r="F39" i="2068" l="1"/>
</calcChain>
</file>

<file path=xl/sharedStrings.xml><?xml version="1.0" encoding="utf-8"?>
<sst xmlns="http://schemas.openxmlformats.org/spreadsheetml/2006/main" count="3782" uniqueCount="333">
  <si>
    <t>샐만사)리코타닭가슴살에그</t>
  </si>
  <si>
    <t>카카오)라이언초코케이크</t>
  </si>
  <si>
    <t>박스</t>
  </si>
  <si>
    <t>총합계</t>
  </si>
  <si>
    <t>족발</t>
  </si>
  <si>
    <t>익산</t>
  </si>
  <si>
    <t>고양2</t>
  </si>
  <si>
    <t>김포2</t>
  </si>
  <si>
    <t>도화</t>
  </si>
  <si>
    <t>도화2</t>
  </si>
  <si>
    <t>강릉</t>
  </si>
  <si>
    <t>고양</t>
  </si>
  <si>
    <t>김포3</t>
  </si>
  <si>
    <t>입수</t>
  </si>
  <si>
    <t>낱개</t>
  </si>
  <si>
    <t>껍데기</t>
  </si>
  <si>
    <t>발안</t>
  </si>
  <si>
    <t>원주</t>
  </si>
  <si>
    <t>경산2</t>
  </si>
  <si>
    <t>송파</t>
  </si>
  <si>
    <t>송파2</t>
  </si>
  <si>
    <t>아신A</t>
  </si>
  <si>
    <t>경산</t>
  </si>
  <si>
    <t>센터명</t>
  </si>
  <si>
    <t>발안2</t>
  </si>
  <si>
    <t>곤지암</t>
  </si>
  <si>
    <t>모서리족발
(냉장)</t>
  </si>
  <si>
    <t>소시지콘
치즈그라탕</t>
  </si>
  <si>
    <t>치킨에그콥
샐러드</t>
  </si>
  <si>
    <t>진가쭈꾸미 짬뽕</t>
  </si>
  <si>
    <t>쉬림프레몬콥샐러드</t>
  </si>
  <si>
    <t>직화)모둠햄부대찌개</t>
  </si>
  <si>
    <t>직화)스팸김치찌개</t>
  </si>
  <si>
    <t>케이준치킨에그샐러드</t>
  </si>
  <si>
    <t>VV68 ㈜지에스리테일경산일배센터</t>
  </si>
  <si>
    <t>VV69 ㈜지에스리테일강릉일배센터</t>
  </si>
  <si>
    <t>총 박스 수량  / 총 낱개 수량</t>
  </si>
  <si>
    <t>VV70 ㈜지에스리테일김포3일배</t>
  </si>
  <si>
    <t>VV71 (주)지에스리테일발안2일배</t>
  </si>
  <si>
    <t>VV55 (주)지에스리테일송파2일배</t>
  </si>
  <si>
    <t>VV17 (주)지에스리테일발안일배</t>
  </si>
  <si>
    <t>VV25 (주)지에스리테일진주일배</t>
  </si>
  <si>
    <t>VV11 (주)지에스리테일장성일배</t>
  </si>
  <si>
    <t>VV18 (주)지에스리테일이천일배</t>
  </si>
  <si>
    <t>VV52 (주)지에스리테일남양주일배</t>
  </si>
  <si>
    <t>VV53 (주)지에스리테일송파일배</t>
  </si>
  <si>
    <t>VV57 (주)지에스리테일김해일배</t>
  </si>
  <si>
    <t>VV50 (주)지에스리테일(제성)</t>
  </si>
  <si>
    <t>VV04 (주)지에스리테일공주일배</t>
  </si>
  <si>
    <t>VV60 ㈜지에스리테일오산일배</t>
  </si>
  <si>
    <t>VV16 (주)지에스리테일원주일배</t>
  </si>
  <si>
    <t>VV62 (주)지에스리테일김포2일배</t>
  </si>
  <si>
    <t>VV65 ㈜지에스리테일익산일배</t>
  </si>
  <si>
    <t>VV64 ㈜지에스리테일고양일배2</t>
  </si>
  <si>
    <t>VV66 지에스리테일인천도화일배</t>
  </si>
  <si>
    <t>VV03 (주)지에스리테일(아신A)</t>
  </si>
  <si>
    <t>VV58 (주)지에스리테일김해2일배</t>
  </si>
  <si>
    <t>VV75 (주)지에스리테일공주2일배</t>
  </si>
  <si>
    <t>VV63 ㈜지에스리테일고양일배센터</t>
  </si>
  <si>
    <t>VV34 (주)지에스리테일청주일배</t>
  </si>
  <si>
    <t>VV67 지에스리테일인천도화2일배</t>
  </si>
  <si>
    <t>VV40 (주)지에스리테일(해인경산)</t>
  </si>
  <si>
    <t>VV20 (주)지에스리테일(해인CVS)</t>
  </si>
  <si>
    <t>VV23 (주)지에스리테일(해인FF)</t>
  </si>
  <si>
    <t>돼지갈비</t>
  </si>
  <si>
    <t>반반족보세트</t>
  </si>
  <si>
    <t>검수 리스트</t>
  </si>
  <si>
    <t>행 레이블</t>
  </si>
  <si>
    <t>수제치즈돈까스</t>
  </si>
  <si>
    <t>직화불닭발</t>
  </si>
  <si>
    <t>고양3</t>
  </si>
  <si>
    <t>VV81 (주)지에스리테일고양저온3</t>
  </si>
  <si>
    <t>곤지암2</t>
  </si>
  <si>
    <t>VV83 지에스리테일경산저온</t>
  </si>
  <si>
    <t>VV84 ㈜지에스리테일경산2저온</t>
  </si>
  <si>
    <t>VV85 지에스리테일신오산1저온</t>
  </si>
  <si>
    <t>VV86 지에스리테일신오산2저온</t>
  </si>
  <si>
    <t>VV87 지에스리테일신오산3저온</t>
  </si>
  <si>
    <t>신오산1</t>
  </si>
  <si>
    <t>신오산2</t>
  </si>
  <si>
    <t>신오산3</t>
  </si>
  <si>
    <t>VV90 (주)지에스리테일포천저온</t>
  </si>
  <si>
    <t>VV91 (주)지에스리테일포천2저온</t>
  </si>
  <si>
    <t>낱개</t>
    <phoneticPr fontId="13" type="noConversion"/>
  </si>
  <si>
    <t>VV92 (주)지에스리테일신제주저온</t>
  </si>
  <si>
    <t>VV93 (주)지에스리테일곤지암센터</t>
  </si>
  <si>
    <t>VV94 (주)지에스리테일곤지암2센</t>
  </si>
  <si>
    <t>고기</t>
    <phoneticPr fontId="13" type="noConversion"/>
  </si>
  <si>
    <t>디저트</t>
    <phoneticPr fontId="13" type="noConversion"/>
  </si>
  <si>
    <t>열 레이블</t>
  </si>
  <si>
    <t>VV95 (주)지에스리테일신광주저온</t>
  </si>
  <si>
    <t>VV96 (주)지에스리테일신광주2저</t>
  </si>
  <si>
    <t>박스</t>
    <phoneticPr fontId="13" type="noConversion"/>
  </si>
  <si>
    <t>VV97 (주)지에스리테일경산3저온</t>
  </si>
  <si>
    <t>신광주</t>
  </si>
  <si>
    <t>신광주2</t>
  </si>
  <si>
    <t>포천</t>
  </si>
  <si>
    <t>포천2</t>
  </si>
  <si>
    <t>경산3</t>
  </si>
  <si>
    <t>고촌</t>
    <phoneticPr fontId="13" type="noConversion"/>
  </si>
  <si>
    <t>VV98 (주)지에스리테일고촌저온</t>
  </si>
  <si>
    <t>VV98 (주)지에스리테일고촌저온</t>
    <phoneticPr fontId="13" type="noConversion"/>
  </si>
  <si>
    <t>고촌2</t>
    <phoneticPr fontId="13" type="noConversion"/>
  </si>
  <si>
    <t>VV99 (주)지에스리테일고촌2저온</t>
  </si>
  <si>
    <t>VV99 (주)지에스리테일고촌2저온</t>
    <phoneticPr fontId="13" type="noConversion"/>
  </si>
  <si>
    <t>VV16 (주)지에스리테일원주일배</t>
    <phoneticPr fontId="13" type="noConversion"/>
  </si>
  <si>
    <t>김해</t>
    <phoneticPr fontId="13" type="noConversion"/>
  </si>
  <si>
    <t>김해2</t>
    <phoneticPr fontId="13" type="noConversion"/>
  </si>
  <si>
    <t>원주</t>
    <phoneticPr fontId="13" type="noConversion"/>
  </si>
  <si>
    <t>강릉</t>
    <phoneticPr fontId="13" type="noConversion"/>
  </si>
  <si>
    <t>소분박스</t>
    <phoneticPr fontId="13" type="noConversion"/>
  </si>
  <si>
    <t>소분낱개</t>
    <phoneticPr fontId="13" type="noConversion"/>
  </si>
  <si>
    <t>신광주</t>
    <phoneticPr fontId="13" type="noConversion"/>
  </si>
  <si>
    <t>신광주2</t>
    <phoneticPr fontId="13" type="noConversion"/>
  </si>
  <si>
    <t>익산</t>
    <phoneticPr fontId="13" type="noConversion"/>
  </si>
  <si>
    <t>공주</t>
    <phoneticPr fontId="13" type="noConversion"/>
  </si>
  <si>
    <t>공주2</t>
    <phoneticPr fontId="13" type="noConversion"/>
  </si>
  <si>
    <t>청주</t>
    <phoneticPr fontId="13" type="noConversion"/>
  </si>
  <si>
    <t>진주</t>
    <phoneticPr fontId="13" type="noConversion"/>
  </si>
  <si>
    <t>CVS</t>
    <phoneticPr fontId="13" type="noConversion"/>
  </si>
  <si>
    <t>신제주</t>
    <phoneticPr fontId="13" type="noConversion"/>
  </si>
  <si>
    <t>영남 합계</t>
    <phoneticPr fontId="13" type="noConversion"/>
  </si>
  <si>
    <t>수도권 합계</t>
    <phoneticPr fontId="13" type="noConversion"/>
  </si>
  <si>
    <t>호남 합계</t>
    <phoneticPr fontId="13" type="noConversion"/>
  </si>
  <si>
    <t>VV92 (주)지에스리테일신제주저온</t>
    <phoneticPr fontId="13" type="noConversion"/>
  </si>
  <si>
    <t>신라명과</t>
    <phoneticPr fontId="13" type="noConversion"/>
  </si>
  <si>
    <t>리얼)모닝롤208G</t>
    <phoneticPr fontId="13" type="noConversion"/>
  </si>
  <si>
    <t>리얼)모닝롤208G</t>
  </si>
  <si>
    <t>12/17</t>
  </si>
  <si>
    <t>NEW직화석쇠불고기버거1편</t>
    <phoneticPr fontId="13" type="noConversion"/>
  </si>
  <si>
    <t>NEW직화석쇠불고기버거2편</t>
    <phoneticPr fontId="13" type="noConversion"/>
  </si>
  <si>
    <t>2300원굿딜)매콤불고기1</t>
  </si>
  <si>
    <t>2300원굿딜)매콤불고기2</t>
  </si>
  <si>
    <t>2300원굿딜)불갈비버거1</t>
  </si>
  <si>
    <t>2300원굿딜)불갈비버거2</t>
  </si>
  <si>
    <t>(주)지에스리테일원주일배</t>
    <phoneticPr fontId="13" type="noConversion"/>
  </si>
  <si>
    <t>㈜지에스리테일강릉일배센터</t>
    <phoneticPr fontId="13" type="noConversion"/>
  </si>
  <si>
    <t>(주)지에스리테일김해일배</t>
    <phoneticPr fontId="13" type="noConversion"/>
  </si>
  <si>
    <t>(주)지에스리테일김해2일배</t>
    <phoneticPr fontId="13" type="noConversion"/>
  </si>
  <si>
    <t>(주)지에스리테일공주일배</t>
    <phoneticPr fontId="13" type="noConversion"/>
  </si>
  <si>
    <t>(주)지에스리테일공주2일배</t>
    <phoneticPr fontId="13" type="noConversion"/>
  </si>
  <si>
    <t>(주)지에스리테일청주일배</t>
    <phoneticPr fontId="13" type="noConversion"/>
  </si>
  <si>
    <t>(주)지에스리테일신제주저온</t>
    <phoneticPr fontId="13" type="noConversion"/>
  </si>
  <si>
    <t>(주)지에스리테일진주일배</t>
    <phoneticPr fontId="13" type="noConversion"/>
  </si>
  <si>
    <t>(주)지에스리테일(해인CVS)</t>
    <phoneticPr fontId="13" type="noConversion"/>
  </si>
  <si>
    <t>(주)지에스리테일신광주저온</t>
    <phoneticPr fontId="13" type="noConversion"/>
  </si>
  <si>
    <t>(주)지에스리테일신광주2저</t>
    <phoneticPr fontId="13" type="noConversion"/>
  </si>
  <si>
    <t>지에스리테일경산저온</t>
    <phoneticPr fontId="13" type="noConversion"/>
  </si>
  <si>
    <t>㈜지에스리테일경산2저온</t>
    <phoneticPr fontId="13" type="noConversion"/>
  </si>
  <si>
    <t>(주)지에스리테일경산3저온</t>
    <phoneticPr fontId="13" type="noConversion"/>
  </si>
  <si>
    <t>(주)지에스리테일(아신A)</t>
    <phoneticPr fontId="13" type="noConversion"/>
  </si>
  <si>
    <t>(주)지에스리테일포천저온</t>
    <phoneticPr fontId="13" type="noConversion"/>
  </si>
  <si>
    <t>(주)지에스리테일포천2저온</t>
    <phoneticPr fontId="13" type="noConversion"/>
  </si>
  <si>
    <t>(주)지에스리테일고촌저온</t>
    <phoneticPr fontId="13" type="noConversion"/>
  </si>
  <si>
    <t>(주)지에스리테일고촌2저온</t>
    <phoneticPr fontId="13" type="noConversion"/>
  </si>
  <si>
    <t>㈜지에스리테일고양일배센터</t>
    <phoneticPr fontId="13" type="noConversion"/>
  </si>
  <si>
    <t>㈜지에스리테일고양일배2</t>
    <phoneticPr fontId="13" type="noConversion"/>
  </si>
  <si>
    <t>(주)지에스리테일고양저온3</t>
    <phoneticPr fontId="13" type="noConversion"/>
  </si>
  <si>
    <t>(주)지에스리테일김포2일배</t>
    <phoneticPr fontId="13" type="noConversion"/>
  </si>
  <si>
    <t>㈜지에스리테일김포3일배</t>
    <phoneticPr fontId="13" type="noConversion"/>
  </si>
  <si>
    <t>지에스리테일인천도화일배</t>
    <phoneticPr fontId="13" type="noConversion"/>
  </si>
  <si>
    <t>지에스리테일인천도화2일배</t>
    <phoneticPr fontId="13" type="noConversion"/>
  </si>
  <si>
    <t>(주)지에스리테일발안일배</t>
    <phoneticPr fontId="13" type="noConversion"/>
  </si>
  <si>
    <t>(주)지에스리테일발안2일배</t>
    <phoneticPr fontId="13" type="noConversion"/>
  </si>
  <si>
    <t>(주)지에스리테일송파일배</t>
    <phoneticPr fontId="13" type="noConversion"/>
  </si>
  <si>
    <t>(주)지에스리테일송파2일배</t>
    <phoneticPr fontId="13" type="noConversion"/>
  </si>
  <si>
    <t>(주)지에스리테일곤지암센터</t>
    <phoneticPr fontId="13" type="noConversion"/>
  </si>
  <si>
    <t>(주)지에스리테일곤지암2센</t>
    <phoneticPr fontId="13" type="noConversion"/>
  </si>
  <si>
    <t>지에스리테일신오산1저온</t>
    <phoneticPr fontId="13" type="noConversion"/>
  </si>
  <si>
    <t>지에스리테일신오산2저온</t>
    <phoneticPr fontId="13" type="noConversion"/>
  </si>
  <si>
    <t>㈜지에스리테일익산일배</t>
    <phoneticPr fontId="13" type="noConversion"/>
  </si>
  <si>
    <t>A구역 합계</t>
    <phoneticPr fontId="13" type="noConversion"/>
  </si>
  <si>
    <t>B구역 합계</t>
    <phoneticPr fontId="13" type="noConversion"/>
  </si>
  <si>
    <t>□</t>
  </si>
  <si>
    <t>대신 □</t>
    <phoneticPr fontId="13" type="noConversion"/>
  </si>
  <si>
    <t>황치즈직화석쇠불고기버거1편</t>
  </si>
  <si>
    <t>황치즈직화석쇠불고기버거2편</t>
  </si>
  <si>
    <t>김하나</t>
    <phoneticPr fontId="13" type="noConversion"/>
  </si>
  <si>
    <t>예)그릭샐러드</t>
    <phoneticPr fontId="13" type="noConversion"/>
  </si>
  <si>
    <t>예)닭가슴살샐러드</t>
    <phoneticPr fontId="13" type="noConversion"/>
  </si>
  <si>
    <t>예)들기름막국수샐러드</t>
    <phoneticPr fontId="13" type="noConversion"/>
  </si>
  <si>
    <t>예)모짜렐라샐러드</t>
    <phoneticPr fontId="13" type="noConversion"/>
  </si>
  <si>
    <t>예)새우샐러드</t>
    <phoneticPr fontId="13" type="noConversion"/>
  </si>
  <si>
    <t>예)연어샐러드</t>
    <phoneticPr fontId="13" type="noConversion"/>
  </si>
  <si>
    <t>예)직화불고기샐러드</t>
    <phoneticPr fontId="13" type="noConversion"/>
  </si>
  <si>
    <t>예)칠리치킨샐러드</t>
    <phoneticPr fontId="13" type="noConversion"/>
  </si>
  <si>
    <t>샐러드판다 □</t>
    <phoneticPr fontId="13" type="noConversion"/>
  </si>
  <si>
    <t>(주)지에스리테일(아신A)</t>
  </si>
  <si>
    <t>(주)지에스리테일(해인CVS)</t>
  </si>
  <si>
    <t>(주)지에스리테일경산3저온</t>
  </si>
  <si>
    <t>(주)지에스리테일고양저온3</t>
  </si>
  <si>
    <t>(주)지에스리테일고촌2저온</t>
  </si>
  <si>
    <t>(주)지에스리테일고촌저온</t>
  </si>
  <si>
    <t>(주)지에스리테일곤지암2센</t>
  </si>
  <si>
    <t>(주)지에스리테일곤지암센터</t>
  </si>
  <si>
    <t>(주)지에스리테일공주2일배</t>
  </si>
  <si>
    <t>(주)지에스리테일공주일배</t>
  </si>
  <si>
    <t>(주)지에스리테일김포2일배</t>
  </si>
  <si>
    <t>(주)지에스리테일김해2일배</t>
  </si>
  <si>
    <t>(주)지에스리테일김해일배</t>
  </si>
  <si>
    <t>(주)지에스리테일발안2일배</t>
  </si>
  <si>
    <t>(주)지에스리테일발안일배</t>
  </si>
  <si>
    <t>(주)지에스리테일송파2일배</t>
  </si>
  <si>
    <t>(주)지에스리테일송파일배</t>
  </si>
  <si>
    <t>(주)지에스리테일신광주2저</t>
  </si>
  <si>
    <t>(주)지에스리테일신광주저온</t>
  </si>
  <si>
    <t>(주)지에스리테일원주일배</t>
  </si>
  <si>
    <t>(주)지에스리테일진주일배</t>
  </si>
  <si>
    <t>(주)지에스리테일청주일배</t>
  </si>
  <si>
    <t>(주)지에스리테일포천2저온</t>
  </si>
  <si>
    <t>(주)지에스리테일포천저온</t>
  </si>
  <si>
    <t>지에스리테일신오산3저온</t>
  </si>
  <si>
    <t>㈜지에스리테일강릉일배센터</t>
  </si>
  <si>
    <t>㈜지에스리테일경산2저온</t>
  </si>
  <si>
    <t>㈜지에스리테일고양일배2</t>
  </si>
  <si>
    <t>㈜지에스리테일고양일배센터</t>
  </si>
  <si>
    <t>㈜지에스리테일김포3일배</t>
  </si>
  <si>
    <t>㈜지에스리테일익산일배</t>
  </si>
  <si>
    <t>지에스리테일경산저온</t>
  </si>
  <si>
    <t>지에스리테일신오산1저온</t>
  </si>
  <si>
    <t>지에스리테일신오산2저온</t>
  </si>
  <si>
    <t>지에스리테일인천도화2일배</t>
  </si>
  <si>
    <t>지에스리테일인천도화일배</t>
  </si>
  <si>
    <t>지에스리테일신오산3저온</t>
    <phoneticPr fontId="13" type="noConversion"/>
  </si>
  <si>
    <t>(주)지에스리테일신제주저온</t>
  </si>
  <si>
    <t>치즈왕돈까스버거1편</t>
  </si>
  <si>
    <t>치즈왕돈까스버거2편</t>
  </si>
  <si>
    <t>매콤직화석쇠불고기버거1편</t>
  </si>
  <si>
    <t>매콤직화석쇠불고기버거2편</t>
    <phoneticPr fontId="13" type="noConversion"/>
  </si>
  <si>
    <t>골든에프앤디 □</t>
    <phoneticPr fontId="13" type="noConversion"/>
  </si>
  <si>
    <t>예약)26년한마리민물장어덮밥</t>
    <phoneticPr fontId="13" type="noConversion"/>
  </si>
  <si>
    <t>예약)26년순살갈비탕</t>
    <phoneticPr fontId="13" type="noConversion"/>
  </si>
  <si>
    <t>예약)26년스지도가니탕</t>
    <phoneticPr fontId="13" type="noConversion"/>
  </si>
  <si>
    <t>예약)26년전통추어탕</t>
    <phoneticPr fontId="13" type="noConversion"/>
  </si>
  <si>
    <t>경산</t>
    <phoneticPr fontId="13" type="noConversion"/>
  </si>
  <si>
    <t>호남권 합계</t>
    <phoneticPr fontId="13" type="noConversion"/>
  </si>
  <si>
    <t>경북(칠곡)합계</t>
    <phoneticPr fontId="13" type="noConversion"/>
  </si>
  <si>
    <t>경남(김해)합계</t>
    <phoneticPr fontId="13" type="noConversion"/>
  </si>
  <si>
    <t>총 박스/총 낱개수량</t>
    <phoneticPr fontId="13" type="noConversion"/>
  </si>
  <si>
    <t>곤지암</t>
    <phoneticPr fontId="13" type="noConversion"/>
  </si>
  <si>
    <t>포천</t>
    <phoneticPr fontId="13" type="noConversion"/>
  </si>
  <si>
    <t>신오산1</t>
    <phoneticPr fontId="13" type="noConversion"/>
  </si>
  <si>
    <t>강릉</t>
    <phoneticPr fontId="42" type="noConversion"/>
  </si>
  <si>
    <t>도화</t>
    <phoneticPr fontId="42" type="noConversion"/>
  </si>
  <si>
    <t>고양</t>
    <phoneticPr fontId="42" type="noConversion"/>
  </si>
  <si>
    <t>김포2</t>
    <phoneticPr fontId="42" type="noConversion"/>
  </si>
  <si>
    <t>송파</t>
    <phoneticPr fontId="13" type="noConversion"/>
  </si>
  <si>
    <t>청주</t>
    <phoneticPr fontId="42" type="noConversion"/>
  </si>
  <si>
    <t>발안</t>
    <phoneticPr fontId="42" type="noConversion"/>
  </si>
  <si>
    <t>원주</t>
    <phoneticPr fontId="42" type="noConversion"/>
  </si>
  <si>
    <t>아신</t>
    <phoneticPr fontId="42" type="noConversion"/>
  </si>
  <si>
    <t>김해</t>
    <phoneticPr fontId="42" type="noConversion"/>
  </si>
  <si>
    <t>진주</t>
    <phoneticPr fontId="42" type="noConversion"/>
  </si>
  <si>
    <t>해인</t>
    <phoneticPr fontId="42" type="noConversion"/>
  </si>
  <si>
    <t>네이쳐)수박스무디</t>
  </si>
  <si>
    <t>딸기바나나스무디</t>
  </si>
  <si>
    <t>딸기블루베리망고스무디</t>
  </si>
  <si>
    <t>경산</t>
    <phoneticPr fontId="42" type="noConversion"/>
  </si>
  <si>
    <t>신광주</t>
    <phoneticPr fontId="42" type="noConversion"/>
  </si>
  <si>
    <t>익산</t>
    <phoneticPr fontId="42" type="noConversion"/>
  </si>
  <si>
    <t xml:space="preserve"> GS 네이처 _냉동 □</t>
    <phoneticPr fontId="13" type="noConversion"/>
  </si>
  <si>
    <t xml:space="preserve"> GS 아미 _냉동 □</t>
    <phoneticPr fontId="13" type="noConversion"/>
  </si>
  <si>
    <t xml:space="preserve"> GS냉동  H2  □</t>
  </si>
  <si>
    <t xml:space="preserve"> GS냉동  H2  □</t>
    <phoneticPr fontId="13" type="noConversion"/>
  </si>
  <si>
    <t>치킨25)매콤달콤닭강정
500G(특수점)</t>
    <phoneticPr fontId="13" type="noConversion"/>
  </si>
  <si>
    <t>치킨25)매콤달콤닭강정
200G(렌)</t>
    <phoneticPr fontId="13" type="noConversion"/>
  </si>
  <si>
    <t>GS냉동 대광 □</t>
    <phoneticPr fontId="13" type="noConversion"/>
  </si>
  <si>
    <t>GS 냉동 효성 □</t>
    <phoneticPr fontId="13" type="noConversion"/>
  </si>
  <si>
    <t>효성)김치어묵피만두
(고단백)</t>
    <phoneticPr fontId="13" type="noConversion"/>
  </si>
  <si>
    <t>티아이)아보카도아이스크림85G</t>
  </si>
  <si>
    <t>GS 냉동 윈즈 □</t>
    <phoneticPr fontId="13" type="noConversion"/>
  </si>
  <si>
    <t>피프레도)생요거트딸기젤라또</t>
  </si>
  <si>
    <t>피프레도)생초코젤라또474ML</t>
  </si>
  <si>
    <t>GS 냉동 제때 □</t>
    <phoneticPr fontId="13" type="noConversion"/>
  </si>
  <si>
    <t>GS 대신_ 냉동 □</t>
    <phoneticPr fontId="13" type="noConversion"/>
  </si>
  <si>
    <t>아미방</t>
    <phoneticPr fontId="13" type="noConversion"/>
  </si>
  <si>
    <t>네이처</t>
    <phoneticPr fontId="13" type="noConversion"/>
  </si>
  <si>
    <t>리얼)불고기버거(1980원)</t>
    <phoneticPr fontId="13" type="noConversion"/>
  </si>
  <si>
    <t>리얼)치즈버거(1980원)</t>
    <phoneticPr fontId="13" type="noConversion"/>
  </si>
  <si>
    <t>그린스무디</t>
    <phoneticPr fontId="13" type="noConversion"/>
  </si>
  <si>
    <t>GS 냉동 아미 □</t>
    <phoneticPr fontId="13" type="noConversion"/>
  </si>
  <si>
    <t>네이쳐)카페라떼스무디</t>
    <phoneticPr fontId="13" type="noConversion"/>
  </si>
  <si>
    <t>네이쳐)수박스무디</t>
    <phoneticPr fontId="13" type="noConversion"/>
  </si>
  <si>
    <t>GS 냉동 네이쳐 □</t>
    <phoneticPr fontId="13" type="noConversion"/>
  </si>
  <si>
    <t>딸기바나나스무디</t>
    <phoneticPr fontId="13" type="noConversion"/>
  </si>
  <si>
    <t>딸기블루베리망고스무디</t>
    <phoneticPr fontId="13" type="noConversion"/>
  </si>
  <si>
    <t>망고바나나스무디</t>
    <phoneticPr fontId="13" type="noConversion"/>
  </si>
  <si>
    <t>태극당)우유팥바70ML</t>
    <phoneticPr fontId="13" type="noConversion"/>
  </si>
  <si>
    <t>GS 냉동 H2 □</t>
    <phoneticPr fontId="13" type="noConversion"/>
  </si>
  <si>
    <t>태극당)인절미콘150ML</t>
    <phoneticPr fontId="13" type="noConversion"/>
  </si>
  <si>
    <t>GS 냉동 대광 □</t>
    <phoneticPr fontId="13" type="noConversion"/>
  </si>
  <si>
    <r>
      <rPr>
        <b/>
        <sz val="12"/>
        <color rgb="FF000000"/>
        <rFont val="맑은 고딕"/>
        <family val="3"/>
        <charset val="129"/>
      </rPr>
      <t>피프레도)</t>
    </r>
    <r>
      <rPr>
        <b/>
        <sz val="13"/>
        <color rgb="FF000000"/>
        <rFont val="맑은 고딕"/>
        <family val="3"/>
        <charset val="129"/>
      </rPr>
      <t>생요거트딸기젤라또</t>
    </r>
    <phoneticPr fontId="13" type="noConversion"/>
  </si>
  <si>
    <t>피프레도)생초코젤라또474ML</t>
    <phoneticPr fontId="13" type="noConversion"/>
  </si>
  <si>
    <t>안데이코)뉴타마슈크림아이스68G</t>
  </si>
  <si>
    <t>안데이코)뉴타마슈크림아이스68G</t>
    <phoneticPr fontId="13" type="noConversion"/>
  </si>
  <si>
    <t>GS 냉동 한빛에프엘 □</t>
    <phoneticPr fontId="13" type="noConversion"/>
  </si>
  <si>
    <t>GS 냉동 한빛 □</t>
    <phoneticPr fontId="13" type="noConversion"/>
  </si>
  <si>
    <t>바비바이츠)우베모찌바70ML</t>
  </si>
  <si>
    <t>바비바이츠)우베모찌바70ML</t>
    <phoneticPr fontId="13" type="noConversion"/>
  </si>
  <si>
    <t>곤지암센터</t>
    <phoneticPr fontId="13" type="noConversion"/>
  </si>
  <si>
    <t>포천저온</t>
    <phoneticPr fontId="13" type="noConversion"/>
  </si>
  <si>
    <t>강릉일배센터</t>
    <phoneticPr fontId="13" type="noConversion"/>
  </si>
  <si>
    <t>인천도화일배</t>
    <phoneticPr fontId="13" type="noConversion"/>
  </si>
  <si>
    <t>고양일배센터</t>
    <phoneticPr fontId="13" type="noConversion"/>
  </si>
  <si>
    <t>고촌저온센터</t>
    <phoneticPr fontId="13" type="noConversion"/>
  </si>
  <si>
    <t>신오산1저온센터</t>
    <phoneticPr fontId="13" type="noConversion"/>
  </si>
  <si>
    <t>공주일배센터</t>
    <phoneticPr fontId="13" type="noConversion"/>
  </si>
  <si>
    <t>김포2일배센터</t>
    <phoneticPr fontId="13" type="noConversion"/>
  </si>
  <si>
    <t>아신A센터</t>
    <phoneticPr fontId="13" type="noConversion"/>
  </si>
  <si>
    <t>송파일배센터</t>
    <phoneticPr fontId="13" type="noConversion"/>
  </si>
  <si>
    <t>발안일배센터</t>
    <phoneticPr fontId="13" type="noConversion"/>
  </si>
  <si>
    <t>원주일배센터</t>
    <phoneticPr fontId="13" type="noConversion"/>
  </si>
  <si>
    <t>청주일배센터</t>
    <phoneticPr fontId="13" type="noConversion"/>
  </si>
  <si>
    <t>김해일배센터</t>
    <phoneticPr fontId="13" type="noConversion"/>
  </si>
  <si>
    <t>진주일배센터</t>
    <phoneticPr fontId="13" type="noConversion"/>
  </si>
  <si>
    <t>신제주저온</t>
    <phoneticPr fontId="13" type="noConversion"/>
  </si>
  <si>
    <t>경산저온센터</t>
    <phoneticPr fontId="13" type="noConversion"/>
  </si>
  <si>
    <t>신광주저온센터</t>
    <phoneticPr fontId="13" type="noConversion"/>
  </si>
  <si>
    <t>익산일배센터</t>
    <phoneticPr fontId="13" type="noConversion"/>
  </si>
  <si>
    <t>해인센터</t>
    <phoneticPr fontId="13" type="noConversion"/>
  </si>
  <si>
    <t>1p 80</t>
    <phoneticPr fontId="13" type="noConversion"/>
  </si>
  <si>
    <t>태극당)인절미콘150ML</t>
  </si>
  <si>
    <t>티아이)크림치즈브륄레90G</t>
  </si>
  <si>
    <t>망고바나나스무디</t>
  </si>
  <si>
    <t>C</t>
    <phoneticPr fontId="13" type="noConversion"/>
  </si>
  <si>
    <t>태극당)우유팥바70ML</t>
  </si>
  <si>
    <t>치킨25)매콤달콤닭강정200G(렌)</t>
  </si>
  <si>
    <t>10/14 납품</t>
    <phoneticPr fontId="13" type="noConversion"/>
  </si>
  <si>
    <t>10/14</t>
  </si>
  <si>
    <t>10/15납품</t>
  </si>
  <si>
    <t>10/15 납품</t>
  </si>
  <si>
    <t>10/15 발주</t>
  </si>
  <si>
    <t>치킨25)매콤달콤닭강정(특수점)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</si>
</sst>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mm&quot;월&quot;\ dd&quot;일&quot;"/>
  </numFmts>
  <fonts count="45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26"/>
      <color rgb="FF00000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0"/>
      <color rgb="FFFF0000"/>
      <name val="맑은 고딕"/>
      <family val="3"/>
      <charset val="129"/>
    </font>
    <font>
      <sz val="24"/>
      <color rgb="FF000000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B7DEE8"/>
        <bgColor rgb="FFDCE6F1"/>
      </patternFill>
    </fill>
    <fill>
      <patternFill patternType="solid">
        <fgColor rgb="FF92D050"/>
        <bgColor rgb="FFDCE6F1"/>
      </patternFill>
    </fill>
    <fill>
      <patternFill patternType="solid">
        <fgColor rgb="FF568ED4"/>
        <bgColor rgb="FFDCE6F1"/>
      </patternFill>
    </fill>
    <fill>
      <patternFill patternType="solid">
        <fgColor rgb="FFFFC000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FFF00"/>
        <bgColor rgb="FFDCE6F1"/>
      </patternFill>
    </fill>
    <fill>
      <patternFill patternType="solid">
        <fgColor rgb="FF7030A0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1F9C6"/>
        <bgColor indexed="64"/>
      </patternFill>
    </fill>
    <fill>
      <patternFill patternType="solid">
        <fgColor theme="4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1">
    <xf numFmtId="0" fontId="0" fillId="0" borderId="0">
      <alignment vertical="center"/>
    </xf>
    <xf numFmtId="41" fontId="12" fillId="0" borderId="0">
      <alignment vertical="center"/>
    </xf>
    <xf numFmtId="0" fontId="1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31" applyNumberFormat="0" applyAlignment="0" applyProtection="0">
      <alignment vertical="center"/>
    </xf>
    <xf numFmtId="0" fontId="29" fillId="17" borderId="32" applyNumberFormat="0" applyAlignment="0" applyProtection="0">
      <alignment vertical="center"/>
    </xf>
    <xf numFmtId="0" fontId="30" fillId="17" borderId="31" applyNumberFormat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18" borderId="3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9" borderId="35" applyNumberFormat="0" applyFont="0" applyAlignment="0" applyProtection="0">
      <alignment vertical="center"/>
    </xf>
    <xf numFmtId="0" fontId="2" fillId="0" borderId="0">
      <alignment vertical="center"/>
    </xf>
    <xf numFmtId="0" fontId="2" fillId="19" borderId="3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41" fontId="12" fillId="0" borderId="0">
      <alignment vertical="center"/>
    </xf>
    <xf numFmtId="0" fontId="1" fillId="0" borderId="0">
      <alignment vertical="center"/>
    </xf>
  </cellStyleXfs>
  <cellXfs count="28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41" fontId="0" fillId="0" borderId="0" xfId="1" applyFont="1">
      <alignment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2" borderId="8" xfId="0" applyFont="1" applyFill="1" applyBorder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41" fontId="0" fillId="0" borderId="6" xfId="1" applyFont="1" applyBorder="1" applyAlignment="1">
      <alignment horizontal="right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8" fillId="0" borderId="1" xfId="1" applyFont="1" applyBorder="1">
      <alignment vertical="center"/>
    </xf>
    <xf numFmtId="176" fontId="0" fillId="0" borderId="0" xfId="0" applyNumberFormat="1">
      <alignment vertical="center"/>
    </xf>
    <xf numFmtId="41" fontId="5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10" fillId="0" borderId="1" xfId="1" applyFont="1" applyBorder="1">
      <alignment vertical="center"/>
    </xf>
    <xf numFmtId="41" fontId="5" fillId="0" borderId="15" xfId="1" applyFont="1" applyBorder="1" applyAlignment="1">
      <alignment horizontal="center" vertical="center"/>
    </xf>
    <xf numFmtId="41" fontId="8" fillId="0" borderId="15" xfId="1" applyFont="1" applyBorder="1">
      <alignment vertical="center"/>
    </xf>
    <xf numFmtId="41" fontId="10" fillId="10" borderId="1" xfId="1" applyFont="1" applyFill="1" applyBorder="1">
      <alignment vertical="center"/>
    </xf>
    <xf numFmtId="41" fontId="8" fillId="10" borderId="1" xfId="1" applyFont="1" applyFill="1" applyBorder="1">
      <alignment vertical="center"/>
    </xf>
    <xf numFmtId="41" fontId="12" fillId="0" borderId="0" xfId="1">
      <alignment vertical="center"/>
    </xf>
    <xf numFmtId="0" fontId="12" fillId="0" borderId="0" xfId="0" applyFont="1">
      <alignment vertical="center"/>
    </xf>
    <xf numFmtId="41" fontId="8" fillId="10" borderId="15" xfId="1" applyFont="1" applyFill="1" applyBorder="1">
      <alignment vertical="center"/>
    </xf>
    <xf numFmtId="41" fontId="12" fillId="0" borderId="0" xfId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12" fillId="0" borderId="0" xfId="2">
      <alignment vertical="center"/>
    </xf>
    <xf numFmtId="0" fontId="4" fillId="0" borderId="1" xfId="2" applyFont="1" applyBorder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12" fillId="10" borderId="1" xfId="2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0" fontId="12" fillId="11" borderId="0" xfId="2" applyFill="1">
      <alignment vertical="center"/>
    </xf>
    <xf numFmtId="41" fontId="17" fillId="11" borderId="4" xfId="1" applyFont="1" applyFill="1" applyBorder="1">
      <alignment vertical="center"/>
    </xf>
    <xf numFmtId="41" fontId="6" fillId="11" borderId="4" xfId="1" applyFont="1" applyFill="1" applyBorder="1">
      <alignment vertical="center"/>
    </xf>
    <xf numFmtId="0" fontId="11" fillId="11" borderId="3" xfId="2" applyFont="1" applyFill="1" applyBorder="1" applyAlignment="1">
      <alignment horizontal="left" vertical="center"/>
    </xf>
    <xf numFmtId="0" fontId="10" fillId="11" borderId="4" xfId="2" applyFont="1" applyFill="1" applyBorder="1" applyAlignment="1">
      <alignment horizontal="center" vertical="center"/>
    </xf>
    <xf numFmtId="0" fontId="4" fillId="0" borderId="2" xfId="2" applyFont="1" applyBorder="1">
      <alignment vertical="center"/>
    </xf>
    <xf numFmtId="41" fontId="11" fillId="0" borderId="15" xfId="1" applyFont="1" applyBorder="1" applyAlignment="1">
      <alignment horizontal="center" vertical="center"/>
    </xf>
    <xf numFmtId="0" fontId="12" fillId="10" borderId="2" xfId="2" applyFill="1" applyBorder="1">
      <alignment vertical="center"/>
    </xf>
    <xf numFmtId="0" fontId="12" fillId="10" borderId="2" xfId="2" applyFill="1" applyBorder="1" applyAlignment="1">
      <alignment horizontal="left" vertical="center"/>
    </xf>
    <xf numFmtId="0" fontId="6" fillId="11" borderId="4" xfId="2" applyFont="1" applyFill="1" applyBorder="1" applyAlignment="1">
      <alignment horizontal="left" vertical="center"/>
    </xf>
    <xf numFmtId="0" fontId="12" fillId="0" borderId="2" xfId="2" applyBorder="1" applyAlignment="1">
      <alignment horizontal="left" vertical="center"/>
    </xf>
    <xf numFmtId="0" fontId="12" fillId="0" borderId="1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2" fillId="0" borderId="2" xfId="2" applyBorder="1">
      <alignment vertical="center"/>
    </xf>
    <xf numFmtId="14" fontId="12" fillId="0" borderId="0" xfId="2" applyNumberFormat="1">
      <alignment vertical="center"/>
    </xf>
    <xf numFmtId="41" fontId="6" fillId="10" borderId="1" xfId="1" applyFont="1" applyFill="1" applyBorder="1">
      <alignment vertical="center"/>
    </xf>
    <xf numFmtId="41" fontId="18" fillId="10" borderId="1" xfId="1" applyFont="1" applyFill="1" applyBorder="1">
      <alignment vertical="center"/>
    </xf>
    <xf numFmtId="0" fontId="6" fillId="10" borderId="1" xfId="2" applyFont="1" applyFill="1" applyBorder="1" applyAlignment="1">
      <alignment horizontal="left" vertical="center"/>
    </xf>
    <xf numFmtId="0" fontId="10" fillId="10" borderId="1" xfId="2" applyFont="1" applyFill="1" applyBorder="1" applyAlignment="1">
      <alignment horizontal="center" vertical="center"/>
    </xf>
    <xf numFmtId="0" fontId="16" fillId="0" borderId="0" xfId="2" applyFont="1">
      <alignment vertical="center"/>
    </xf>
    <xf numFmtId="0" fontId="7" fillId="0" borderId="0" xfId="0" applyFont="1" applyAlignment="1">
      <alignment horizontal="center" vertical="center"/>
    </xf>
    <xf numFmtId="14" fontId="7" fillId="0" borderId="22" xfId="2" applyNumberFormat="1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14" fontId="12" fillId="0" borderId="0" xfId="1" applyNumberFormat="1">
      <alignment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0" fillId="0" borderId="0" xfId="2" applyFont="1">
      <alignment vertical="center"/>
    </xf>
    <xf numFmtId="0" fontId="11" fillId="0" borderId="2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7" fillId="0" borderId="21" xfId="2" applyFont="1" applyBorder="1" applyAlignment="1">
      <alignment horizontal="center" vertical="center"/>
    </xf>
    <xf numFmtId="0" fontId="37" fillId="0" borderId="1" xfId="2" applyFont="1" applyBorder="1" applyAlignment="1">
      <alignment horizontal="center" vertical="center"/>
    </xf>
    <xf numFmtId="0" fontId="17" fillId="0" borderId="0" xfId="2" applyFont="1">
      <alignment vertical="center"/>
    </xf>
    <xf numFmtId="0" fontId="5" fillId="12" borderId="24" xfId="0" applyFont="1" applyFill="1" applyBorder="1">
      <alignment vertical="center"/>
    </xf>
    <xf numFmtId="0" fontId="20" fillId="12" borderId="19" xfId="0" applyFont="1" applyFill="1" applyBorder="1" applyAlignment="1">
      <alignment horizontal="center" vertical="center"/>
    </xf>
    <xf numFmtId="41" fontId="6" fillId="10" borderId="1" xfId="2" applyNumberFormat="1" applyFont="1" applyFill="1" applyBorder="1">
      <alignment vertical="center"/>
    </xf>
    <xf numFmtId="41" fontId="12" fillId="0" borderId="0" xfId="2" applyNumberFormat="1">
      <alignment vertical="center"/>
    </xf>
    <xf numFmtId="0" fontId="12" fillId="0" borderId="0" xfId="2" applyAlignment="1">
      <alignment horizontal="left" vertical="center"/>
    </xf>
    <xf numFmtId="0" fontId="5" fillId="12" borderId="38" xfId="0" applyFont="1" applyFill="1" applyBorder="1">
      <alignment vertical="center"/>
    </xf>
    <xf numFmtId="0" fontId="20" fillId="12" borderId="39" xfId="0" applyFont="1" applyFill="1" applyBorder="1" applyAlignment="1">
      <alignment horizontal="center" vertical="center"/>
    </xf>
    <xf numFmtId="0" fontId="11" fillId="11" borderId="40" xfId="2" applyFont="1" applyFill="1" applyBorder="1" applyAlignment="1">
      <alignment horizontal="left" vertical="center"/>
    </xf>
    <xf numFmtId="0" fontId="10" fillId="11" borderId="41" xfId="2" applyFont="1" applyFill="1" applyBorder="1" applyAlignment="1">
      <alignment horizontal="center" vertical="center"/>
    </xf>
    <xf numFmtId="41" fontId="17" fillId="11" borderId="41" xfId="1" applyFont="1" applyFill="1" applyBorder="1">
      <alignment vertical="center"/>
    </xf>
    <xf numFmtId="41" fontId="6" fillId="11" borderId="41" xfId="1" applyFont="1" applyFill="1" applyBorder="1">
      <alignment vertical="center"/>
    </xf>
    <xf numFmtId="0" fontId="6" fillId="11" borderId="41" xfId="2" applyFont="1" applyFill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11" fillId="10" borderId="2" xfId="2" applyFont="1" applyFill="1" applyBorder="1" applyAlignment="1">
      <alignment horizontal="left" vertical="center"/>
    </xf>
    <xf numFmtId="0" fontId="39" fillId="12" borderId="24" xfId="2" applyFont="1" applyFill="1" applyBorder="1">
      <alignment vertical="center"/>
    </xf>
    <xf numFmtId="0" fontId="39" fillId="12" borderId="3" xfId="2" applyFont="1" applyFill="1" applyBorder="1">
      <alignment vertical="center"/>
    </xf>
    <xf numFmtId="0" fontId="39" fillId="12" borderId="19" xfId="2" applyFont="1" applyFill="1" applyBorder="1">
      <alignment vertical="center"/>
    </xf>
    <xf numFmtId="0" fontId="4" fillId="0" borderId="11" xfId="2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1" fontId="6" fillId="11" borderId="19" xfId="1" applyFont="1" applyFill="1" applyBorder="1">
      <alignment vertical="center"/>
    </xf>
    <xf numFmtId="0" fontId="11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horizontal="center" vertical="center"/>
    </xf>
    <xf numFmtId="41" fontId="6" fillId="0" borderId="4" xfId="1" applyFont="1" applyBorder="1">
      <alignment vertical="center"/>
    </xf>
    <xf numFmtId="0" fontId="6" fillId="0" borderId="4" xfId="2" applyFont="1" applyBorder="1" applyAlignment="1">
      <alignment horizontal="left" vertical="center"/>
    </xf>
    <xf numFmtId="41" fontId="6" fillId="0" borderId="19" xfId="1" applyFont="1" applyBorder="1">
      <alignment vertical="center"/>
    </xf>
    <xf numFmtId="0" fontId="11" fillId="44" borderId="46" xfId="2" applyFont="1" applyFill="1" applyBorder="1" applyAlignment="1">
      <alignment horizontal="left" vertical="center"/>
    </xf>
    <xf numFmtId="0" fontId="10" fillId="44" borderId="47" xfId="2" applyFont="1" applyFill="1" applyBorder="1" applyAlignment="1">
      <alignment horizontal="center" vertical="center"/>
    </xf>
    <xf numFmtId="41" fontId="6" fillId="44" borderId="47" xfId="1" applyFont="1" applyFill="1" applyBorder="1">
      <alignment vertical="center"/>
    </xf>
    <xf numFmtId="0" fontId="6" fillId="44" borderId="47" xfId="2" applyFont="1" applyFill="1" applyBorder="1" applyAlignment="1">
      <alignment horizontal="left" vertical="center"/>
    </xf>
    <xf numFmtId="0" fontId="12" fillId="0" borderId="45" xfId="2" applyBorder="1" applyAlignment="1">
      <alignment horizontal="center" vertical="center"/>
    </xf>
    <xf numFmtId="41" fontId="10" fillId="0" borderId="45" xfId="1" applyFont="1" applyBorder="1">
      <alignment vertical="center"/>
    </xf>
    <xf numFmtId="41" fontId="8" fillId="0" borderId="45" xfId="1" applyFont="1" applyBorder="1">
      <alignment vertical="center"/>
    </xf>
    <xf numFmtId="0" fontId="6" fillId="0" borderId="45" xfId="2" applyFont="1" applyBorder="1" applyAlignment="1">
      <alignment horizontal="center" vertical="center"/>
    </xf>
    <xf numFmtId="0" fontId="12" fillId="45" borderId="6" xfId="2" applyFill="1" applyBorder="1" applyAlignment="1">
      <alignment horizontal="center" vertical="center"/>
    </xf>
    <xf numFmtId="41" fontId="10" fillId="45" borderId="6" xfId="1" applyFont="1" applyFill="1" applyBorder="1">
      <alignment vertical="center"/>
    </xf>
    <xf numFmtId="41" fontId="8" fillId="45" borderId="6" xfId="1" applyFont="1" applyFill="1" applyBorder="1">
      <alignment vertical="center"/>
    </xf>
    <xf numFmtId="0" fontId="6" fillId="45" borderId="6" xfId="2" applyFont="1" applyFill="1" applyBorder="1" applyAlignment="1">
      <alignment horizontal="center" vertical="center"/>
    </xf>
    <xf numFmtId="41" fontId="10" fillId="45" borderId="1" xfId="1" applyFont="1" applyFill="1" applyBorder="1">
      <alignment vertical="center"/>
    </xf>
    <xf numFmtId="41" fontId="8" fillId="45" borderId="1" xfId="1" applyFont="1" applyFill="1" applyBorder="1">
      <alignment vertical="center"/>
    </xf>
    <xf numFmtId="0" fontId="6" fillId="45" borderId="1" xfId="2" applyFont="1" applyFill="1" applyBorder="1" applyAlignment="1">
      <alignment horizontal="center" vertical="center"/>
    </xf>
    <xf numFmtId="0" fontId="12" fillId="45" borderId="1" xfId="2" applyFill="1" applyBorder="1" applyAlignment="1">
      <alignment horizontal="center" vertical="center"/>
    </xf>
    <xf numFmtId="0" fontId="11" fillId="10" borderId="22" xfId="2" applyFont="1" applyFill="1" applyBorder="1" applyAlignment="1">
      <alignment horizontal="left" vertical="center"/>
    </xf>
    <xf numFmtId="0" fontId="10" fillId="10" borderId="23" xfId="2" applyFont="1" applyFill="1" applyBorder="1" applyAlignment="1">
      <alignment horizontal="center" vertical="center"/>
    </xf>
    <xf numFmtId="41" fontId="6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left" vertical="center"/>
    </xf>
    <xf numFmtId="0" fontId="6" fillId="0" borderId="1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41" fontId="6" fillId="10" borderId="15" xfId="1" applyFont="1" applyFill="1" applyBorder="1">
      <alignment vertical="center"/>
    </xf>
    <xf numFmtId="0" fontId="11" fillId="0" borderId="50" xfId="2" applyFont="1" applyBorder="1" applyAlignment="1">
      <alignment horizontal="left" vertical="center"/>
    </xf>
    <xf numFmtId="0" fontId="10" fillId="0" borderId="51" xfId="2" applyFont="1" applyBorder="1" applyAlignment="1">
      <alignment horizontal="center" vertical="center"/>
    </xf>
    <xf numFmtId="41" fontId="6" fillId="0" borderId="51" xfId="1" applyFont="1" applyBorder="1">
      <alignment vertical="center"/>
    </xf>
    <xf numFmtId="0" fontId="6" fillId="0" borderId="51" xfId="2" applyFont="1" applyBorder="1" applyAlignment="1">
      <alignment horizontal="left" vertical="center"/>
    </xf>
    <xf numFmtId="41" fontId="6" fillId="0" borderId="52" xfId="1" applyFont="1" applyBorder="1">
      <alignment vertical="center"/>
    </xf>
    <xf numFmtId="0" fontId="4" fillId="0" borderId="16" xfId="2" applyFont="1" applyBorder="1">
      <alignment vertical="center"/>
    </xf>
    <xf numFmtId="41" fontId="5" fillId="0" borderId="17" xfId="1" applyFont="1" applyBorder="1" applyAlignment="1">
      <alignment horizontal="center" vertical="center"/>
    </xf>
    <xf numFmtId="0" fontId="12" fillId="0" borderId="53" xfId="2" applyBorder="1" applyAlignment="1">
      <alignment horizontal="left" vertical="center"/>
    </xf>
    <xf numFmtId="41" fontId="8" fillId="0" borderId="54" xfId="1" applyFont="1" applyBorder="1">
      <alignment vertical="center"/>
    </xf>
    <xf numFmtId="0" fontId="12" fillId="45" borderId="5" xfId="2" applyFill="1" applyBorder="1" applyAlignment="1">
      <alignment horizontal="left" vertical="center"/>
    </xf>
    <xf numFmtId="41" fontId="8" fillId="45" borderId="7" xfId="1" applyFont="1" applyFill="1" applyBorder="1">
      <alignment vertical="center"/>
    </xf>
    <xf numFmtId="0" fontId="12" fillId="45" borderId="2" xfId="2" applyFill="1" applyBorder="1">
      <alignment vertical="center"/>
    </xf>
    <xf numFmtId="41" fontId="8" fillId="45" borderId="15" xfId="1" applyFont="1" applyFill="1" applyBorder="1">
      <alignment vertical="center"/>
    </xf>
    <xf numFmtId="0" fontId="12" fillId="45" borderId="2" xfId="2" applyFill="1" applyBorder="1" applyAlignment="1">
      <alignment horizontal="left" vertical="center"/>
    </xf>
    <xf numFmtId="0" fontId="11" fillId="0" borderId="57" xfId="2" applyFont="1" applyBorder="1" applyAlignment="1">
      <alignment horizontal="left" vertical="center"/>
    </xf>
    <xf numFmtId="0" fontId="10" fillId="0" borderId="55" xfId="2" applyFont="1" applyBorder="1" applyAlignment="1">
      <alignment horizontal="center" vertical="center"/>
    </xf>
    <xf numFmtId="41" fontId="6" fillId="0" borderId="55" xfId="1" applyFont="1" applyBorder="1">
      <alignment vertical="center"/>
    </xf>
    <xf numFmtId="0" fontId="6" fillId="0" borderId="55" xfId="2" applyFont="1" applyBorder="1" applyAlignment="1">
      <alignment horizontal="left" vertical="center"/>
    </xf>
    <xf numFmtId="41" fontId="6" fillId="0" borderId="56" xfId="1" applyFont="1" applyBorder="1">
      <alignment vertical="center"/>
    </xf>
    <xf numFmtId="0" fontId="17" fillId="0" borderId="20" xfId="2" applyFont="1" applyBorder="1" applyAlignment="1">
      <alignment horizontal="center" vertical="center"/>
    </xf>
    <xf numFmtId="41" fontId="6" fillId="44" borderId="58" xfId="1" applyFont="1" applyFill="1" applyBorder="1">
      <alignment vertical="center"/>
    </xf>
    <xf numFmtId="41" fontId="6" fillId="11" borderId="59" xfId="1" applyFont="1" applyFill="1" applyBorder="1">
      <alignment vertical="center"/>
    </xf>
    <xf numFmtId="0" fontId="17" fillId="12" borderId="20" xfId="2" applyFont="1" applyFill="1" applyBorder="1" applyAlignment="1">
      <alignment horizontal="center" vertical="center"/>
    </xf>
    <xf numFmtId="41" fontId="6" fillId="10" borderId="24" xfId="1" applyFont="1" applyFill="1" applyBorder="1">
      <alignment vertical="center"/>
    </xf>
    <xf numFmtId="0" fontId="15" fillId="0" borderId="0" xfId="0" applyFont="1">
      <alignment vertical="center"/>
    </xf>
    <xf numFmtId="0" fontId="12" fillId="10" borderId="22" xfId="2" applyFill="1" applyBorder="1" applyAlignment="1">
      <alignment horizontal="left" vertical="center"/>
    </xf>
    <xf numFmtId="0" fontId="12" fillId="10" borderId="23" xfId="2" applyFill="1" applyBorder="1" applyAlignment="1">
      <alignment horizontal="center" vertical="center"/>
    </xf>
    <xf numFmtId="41" fontId="10" fillId="10" borderId="23" xfId="1" applyFont="1" applyFill="1" applyBorder="1">
      <alignment vertical="center"/>
    </xf>
    <xf numFmtId="41" fontId="8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41" fontId="8" fillId="10" borderId="24" xfId="1" applyFont="1" applyFill="1" applyBorder="1">
      <alignment vertical="center"/>
    </xf>
    <xf numFmtId="0" fontId="12" fillId="0" borderId="3" xfId="2" applyBorder="1" applyAlignment="1">
      <alignment horizontal="left" vertical="center"/>
    </xf>
    <xf numFmtId="41" fontId="10" fillId="0" borderId="4" xfId="1" applyFont="1" applyBorder="1">
      <alignment vertical="center"/>
    </xf>
    <xf numFmtId="41" fontId="8" fillId="0" borderId="4" xfId="1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41" fontId="8" fillId="0" borderId="19" xfId="1" applyFont="1" applyBorder="1">
      <alignment vertical="center"/>
    </xf>
    <xf numFmtId="0" fontId="12" fillId="0" borderId="4" xfId="2" applyBorder="1" applyAlignment="1">
      <alignment horizontal="center" vertical="center"/>
    </xf>
    <xf numFmtId="0" fontId="12" fillId="0" borderId="6" xfId="2" applyBorder="1" applyAlignment="1">
      <alignment horizontal="center" vertical="center"/>
    </xf>
    <xf numFmtId="0" fontId="38" fillId="12" borderId="19" xfId="2" applyFont="1" applyFill="1" applyBorder="1">
      <alignment vertical="center"/>
    </xf>
    <xf numFmtId="0" fontId="9" fillId="12" borderId="1" xfId="2" applyFont="1" applyFill="1" applyBorder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41" fontId="10" fillId="0" borderId="0" xfId="1" applyFont="1">
      <alignment vertical="center"/>
    </xf>
    <xf numFmtId="41" fontId="8" fillId="0" borderId="0" xfId="1" applyFont="1">
      <alignment vertical="center"/>
    </xf>
    <xf numFmtId="0" fontId="6" fillId="0" borderId="0" xfId="2" applyFont="1" applyAlignment="1">
      <alignment horizontal="center" vertical="center"/>
    </xf>
    <xf numFmtId="0" fontId="12" fillId="0" borderId="64" xfId="2" applyBorder="1">
      <alignment vertical="center"/>
    </xf>
    <xf numFmtId="41" fontId="8" fillId="0" borderId="65" xfId="1" applyFont="1" applyBorder="1">
      <alignment vertical="center"/>
    </xf>
    <xf numFmtId="0" fontId="18" fillId="0" borderId="3" xfId="2" applyFont="1" applyBorder="1">
      <alignment vertical="center"/>
    </xf>
    <xf numFmtId="0" fontId="39" fillId="12" borderId="38" xfId="2" applyFont="1" applyFill="1" applyBorder="1">
      <alignment vertical="center"/>
    </xf>
    <xf numFmtId="0" fontId="18" fillId="0" borderId="3" xfId="2" applyFont="1" applyBorder="1" applyAlignment="1">
      <alignment horizontal="center" vertical="center"/>
    </xf>
    <xf numFmtId="0" fontId="12" fillId="0" borderId="22" xfId="2" applyBorder="1" applyAlignment="1">
      <alignment horizontal="left" vertical="center"/>
    </xf>
    <xf numFmtId="0" fontId="6" fillId="0" borderId="23" xfId="2" applyFont="1" applyBorder="1" applyAlignment="1">
      <alignment horizontal="center" vertical="center"/>
    </xf>
    <xf numFmtId="0" fontId="12" fillId="0" borderId="23" xfId="2" applyBorder="1" applyAlignment="1">
      <alignment horizontal="center" vertical="center"/>
    </xf>
    <xf numFmtId="41" fontId="10" fillId="0" borderId="23" xfId="1" applyFont="1" applyBorder="1">
      <alignment vertical="center"/>
    </xf>
    <xf numFmtId="41" fontId="8" fillId="0" borderId="23" xfId="1" applyFont="1" applyBorder="1">
      <alignment vertical="center"/>
    </xf>
    <xf numFmtId="41" fontId="8" fillId="0" borderId="24" xfId="1" applyFont="1" applyBorder="1">
      <alignment vertical="center"/>
    </xf>
    <xf numFmtId="0" fontId="4" fillId="0" borderId="4" xfId="2" applyFont="1" applyBorder="1" applyAlignment="1">
      <alignment horizontal="center" vertical="center"/>
    </xf>
    <xf numFmtId="41" fontId="11" fillId="0" borderId="4" xfId="1" applyFont="1" applyBorder="1">
      <alignment vertical="center"/>
    </xf>
    <xf numFmtId="41" fontId="6" fillId="0" borderId="4" xfId="2" applyNumberFormat="1" applyFont="1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0" fontId="12" fillId="0" borderId="5" xfId="2" applyBorder="1" applyAlignment="1">
      <alignment horizontal="left" vertical="center"/>
    </xf>
    <xf numFmtId="41" fontId="10" fillId="0" borderId="6" xfId="1" applyFont="1" applyBorder="1">
      <alignment vertical="center"/>
    </xf>
    <xf numFmtId="41" fontId="8" fillId="0" borderId="6" xfId="1" applyFont="1" applyBorder="1">
      <alignment vertical="center"/>
    </xf>
    <xf numFmtId="0" fontId="6" fillId="0" borderId="6" xfId="2" applyFont="1" applyBorder="1" applyAlignment="1">
      <alignment horizontal="center" vertical="center"/>
    </xf>
    <xf numFmtId="41" fontId="8" fillId="0" borderId="7" xfId="1" applyFont="1" applyBorder="1">
      <alignment vertical="center"/>
    </xf>
    <xf numFmtId="41" fontId="6" fillId="10" borderId="23" xfId="2" applyNumberFormat="1" applyFont="1" applyFill="1" applyBorder="1">
      <alignment vertical="center"/>
    </xf>
    <xf numFmtId="0" fontId="11" fillId="0" borderId="55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64" xfId="2" applyBorder="1" applyAlignment="1">
      <alignment horizontal="center" vertical="center"/>
    </xf>
    <xf numFmtId="0" fontId="12" fillId="0" borderId="65" xfId="2" applyBorder="1" applyAlignment="1">
      <alignment horizontal="center" vertical="center"/>
    </xf>
    <xf numFmtId="0" fontId="11" fillId="10" borderId="2" xfId="2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2" applyFont="1">
      <alignment vertical="center"/>
    </xf>
    <xf numFmtId="0" fontId="11" fillId="0" borderId="68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38" fillId="12" borderId="39" xfId="2" applyFont="1" applyFill="1" applyBorder="1">
      <alignment vertical="center"/>
    </xf>
    <xf numFmtId="0" fontId="40" fillId="0" borderId="0" xfId="2" applyFont="1">
      <alignment vertical="center"/>
    </xf>
    <xf numFmtId="0" fontId="40" fillId="0" borderId="0" xfId="0" applyFont="1">
      <alignment vertical="center"/>
    </xf>
    <xf numFmtId="0" fontId="12" fillId="46" borderId="1" xfId="2" applyFill="1" applyBorder="1" applyAlignment="1">
      <alignment horizontal="center" vertical="center"/>
    </xf>
    <xf numFmtId="0" fontId="9" fillId="47" borderId="1" xfId="2" applyFont="1" applyFill="1" applyBorder="1" applyAlignment="1">
      <alignment horizontal="center" vertical="center" wrapText="1"/>
    </xf>
    <xf numFmtId="0" fontId="12" fillId="10" borderId="16" xfId="2" applyFill="1" applyBorder="1">
      <alignment vertical="center"/>
    </xf>
    <xf numFmtId="0" fontId="6" fillId="10" borderId="2" xfId="2" applyFont="1" applyFill="1" applyBorder="1" applyAlignment="1">
      <alignment horizontal="left" vertical="center"/>
    </xf>
    <xf numFmtId="41" fontId="6" fillId="10" borderId="1" xfId="2" applyNumberFormat="1" applyFont="1" applyFill="1" applyBorder="1" applyAlignment="1">
      <alignment horizontal="center" vertical="center"/>
    </xf>
    <xf numFmtId="0" fontId="18" fillId="10" borderId="2" xfId="2" applyFont="1" applyFill="1" applyBorder="1" applyAlignment="1">
      <alignment horizontal="left" vertical="center"/>
    </xf>
    <xf numFmtId="0" fontId="41" fillId="10" borderId="1" xfId="2" applyFont="1" applyFill="1" applyBorder="1" applyAlignment="1">
      <alignment horizontal="center" vertical="center"/>
    </xf>
    <xf numFmtId="41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/>
    </xf>
    <xf numFmtId="41" fontId="18" fillId="10" borderId="15" xfId="1" applyFont="1" applyFill="1" applyBorder="1">
      <alignment vertical="center"/>
    </xf>
    <xf numFmtId="0" fontId="12" fillId="0" borderId="1" xfId="2" applyBorder="1" applyAlignment="1">
      <alignment horizontal="left" vertical="center"/>
    </xf>
    <xf numFmtId="0" fontId="18" fillId="0" borderId="1" xfId="2" applyFont="1" applyBorder="1" applyAlignment="1">
      <alignment horizontal="center" vertical="center"/>
    </xf>
    <xf numFmtId="0" fontId="12" fillId="0" borderId="21" xfId="2" applyBorder="1" applyAlignment="1">
      <alignment horizontal="left" vertical="center"/>
    </xf>
    <xf numFmtId="14" fontId="7" fillId="48" borderId="22" xfId="2" applyNumberFormat="1" applyFont="1" applyFill="1" applyBorder="1" applyAlignment="1">
      <alignment horizontal="left" vertical="center"/>
    </xf>
    <xf numFmtId="14" fontId="4" fillId="48" borderId="2" xfId="2" applyNumberFormat="1" applyFont="1" applyFill="1" applyBorder="1">
      <alignment vertical="center"/>
    </xf>
    <xf numFmtId="0" fontId="4" fillId="48" borderId="1" xfId="2" applyFont="1" applyFill="1" applyBorder="1" applyAlignment="1">
      <alignment horizontal="center" vertical="center"/>
    </xf>
    <xf numFmtId="0" fontId="9" fillId="48" borderId="1" xfId="2" applyFont="1" applyFill="1" applyBorder="1" applyAlignment="1">
      <alignment horizontal="center" vertical="center"/>
    </xf>
    <xf numFmtId="41" fontId="5" fillId="48" borderId="1" xfId="1" applyFont="1" applyFill="1" applyBorder="1" applyAlignment="1">
      <alignment horizontal="center" vertical="center"/>
    </xf>
    <xf numFmtId="41" fontId="5" fillId="48" borderId="15" xfId="1" applyFont="1" applyFill="1" applyBorder="1" applyAlignment="1">
      <alignment horizontal="center" vertical="center"/>
    </xf>
    <xf numFmtId="0" fontId="12" fillId="0" borderId="1" xfId="2" applyBorder="1">
      <alignment vertical="center"/>
    </xf>
    <xf numFmtId="0" fontId="9" fillId="48" borderId="1" xfId="2" applyFont="1" applyFill="1" applyBorder="1" applyAlignment="1">
      <alignment horizontal="center" vertical="center" wrapText="1"/>
    </xf>
    <xf numFmtId="41" fontId="18" fillId="11" borderId="4" xfId="1" applyFont="1" applyFill="1" applyBorder="1">
      <alignment vertical="center"/>
    </xf>
    <xf numFmtId="0" fontId="5" fillId="48" borderId="1" xfId="2" applyFont="1" applyFill="1" applyBorder="1" applyAlignment="1">
      <alignment horizontal="center" vertical="center" wrapText="1"/>
    </xf>
    <xf numFmtId="14" fontId="12" fillId="0" borderId="0" xfId="1" quotePrefix="1" applyNumberFormat="1">
      <alignment vertical="center"/>
    </xf>
    <xf numFmtId="14" fontId="12" fillId="0" borderId="0" xfId="2" quotePrefix="1" applyNumberFormat="1">
      <alignment vertical="center"/>
    </xf>
    <xf numFmtId="0" fontId="44" fillId="0" borderId="20" xfId="2" applyFont="1" applyBorder="1" applyAlignment="1">
      <alignment horizontal="center" vertical="center"/>
    </xf>
    <xf numFmtId="0" fontId="12" fillId="0" borderId="0" xfId="2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12" fillId="0" borderId="3" xfId="2" applyBorder="1" applyAlignment="1">
      <alignment horizontal="center" vertical="center"/>
    </xf>
    <xf numFmtId="0" fontId="12" fillId="0" borderId="4" xfId="2" applyBorder="1" applyAlignment="1">
      <alignment horizontal="center" vertical="center"/>
    </xf>
    <xf numFmtId="0" fontId="12" fillId="0" borderId="19" xfId="2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57" xfId="2" applyBorder="1" applyAlignment="1">
      <alignment horizontal="center" vertical="center"/>
    </xf>
    <xf numFmtId="0" fontId="12" fillId="0" borderId="55" xfId="2" applyBorder="1" applyAlignment="1">
      <alignment horizontal="center" vertical="center"/>
    </xf>
    <xf numFmtId="0" fontId="12" fillId="0" borderId="56" xfId="2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0" fontId="43" fillId="0" borderId="70" xfId="2" applyFont="1" applyBorder="1" applyAlignment="1">
      <alignment horizontal="center" vertical="center"/>
    </xf>
    <xf numFmtId="0" fontId="43" fillId="0" borderId="71" xfId="2" applyFont="1" applyBorder="1" applyAlignment="1">
      <alignment horizontal="center" vertical="center"/>
    </xf>
    <xf numFmtId="0" fontId="43" fillId="0" borderId="72" xfId="2" applyFont="1" applyBorder="1" applyAlignment="1">
      <alignment horizontal="center" vertical="center"/>
    </xf>
    <xf numFmtId="0" fontId="43" fillId="0" borderId="73" xfId="2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3" fillId="0" borderId="74" xfId="2" applyFont="1" applyBorder="1" applyAlignment="1">
      <alignment horizontal="center" vertical="center"/>
    </xf>
    <xf numFmtId="0" fontId="43" fillId="0" borderId="75" xfId="2" applyFont="1" applyBorder="1" applyAlignment="1">
      <alignment horizontal="center" vertical="center"/>
    </xf>
    <xf numFmtId="0" fontId="43" fillId="0" borderId="76" xfId="2" applyFont="1" applyBorder="1" applyAlignment="1">
      <alignment horizontal="center" vertical="center"/>
    </xf>
    <xf numFmtId="0" fontId="43" fillId="0" borderId="77" xfId="2" applyFont="1" applyBorder="1" applyAlignment="1">
      <alignment horizontal="center" vertical="center"/>
    </xf>
    <xf numFmtId="14" fontId="11" fillId="0" borderId="0" xfId="2" applyNumberFormat="1" applyFont="1" applyAlignment="1">
      <alignment horizontal="center" vertical="center"/>
    </xf>
    <xf numFmtId="0" fontId="7" fillId="48" borderId="23" xfId="2" applyFont="1" applyFill="1" applyBorder="1" applyAlignment="1">
      <alignment horizontal="center" vertical="center"/>
    </xf>
    <xf numFmtId="0" fontId="7" fillId="48" borderId="24" xfId="2" applyFont="1" applyFill="1" applyBorder="1" applyAlignment="1">
      <alignment horizontal="center" vertical="center"/>
    </xf>
    <xf numFmtId="0" fontId="12" fillId="0" borderId="71" xfId="2" applyBorder="1" applyAlignment="1">
      <alignment horizontal="center" vertical="center"/>
    </xf>
    <xf numFmtId="0" fontId="12" fillId="0" borderId="72" xfId="2" applyBorder="1" applyAlignment="1">
      <alignment horizontal="center" vertical="center"/>
    </xf>
    <xf numFmtId="0" fontId="12" fillId="0" borderId="73" xfId="2" applyBorder="1" applyAlignment="1">
      <alignment horizontal="center" vertical="center"/>
    </xf>
    <xf numFmtId="0" fontId="12" fillId="0" borderId="74" xfId="2" applyBorder="1" applyAlignment="1">
      <alignment horizontal="center" vertical="center"/>
    </xf>
    <xf numFmtId="0" fontId="12" fillId="0" borderId="75" xfId="2" applyBorder="1" applyAlignment="1">
      <alignment horizontal="center" vertical="center"/>
    </xf>
    <xf numFmtId="0" fontId="12" fillId="0" borderId="76" xfId="2" applyBorder="1" applyAlignment="1">
      <alignment horizontal="center" vertical="center"/>
    </xf>
    <xf numFmtId="0" fontId="12" fillId="0" borderId="77" xfId="2" applyBorder="1" applyAlignment="1">
      <alignment horizontal="center" vertical="center"/>
    </xf>
    <xf numFmtId="0" fontId="12" fillId="0" borderId="48" xfId="2" applyBorder="1" applyAlignment="1">
      <alignment horizontal="center" vertical="center"/>
    </xf>
    <xf numFmtId="0" fontId="12" fillId="0" borderId="27" xfId="2" applyBorder="1" applyAlignment="1">
      <alignment horizontal="center" vertical="center"/>
    </xf>
    <xf numFmtId="0" fontId="12" fillId="0" borderId="49" xfId="2" applyBorder="1" applyAlignment="1">
      <alignment horizontal="center" vertical="center"/>
    </xf>
    <xf numFmtId="0" fontId="7" fillId="48" borderId="25" xfId="2" applyFont="1" applyFill="1" applyBorder="1" applyAlignment="1">
      <alignment horizontal="center" vertical="center"/>
    </xf>
    <xf numFmtId="0" fontId="7" fillId="48" borderId="14" xfId="2" applyFont="1" applyFill="1" applyBorder="1" applyAlignment="1">
      <alignment horizontal="center" vertical="center"/>
    </xf>
    <xf numFmtId="0" fontId="7" fillId="48" borderId="18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2" fillId="0" borderId="16" xfId="2" applyBorder="1" applyAlignment="1">
      <alignment horizontal="center" vertical="center"/>
    </xf>
    <xf numFmtId="0" fontId="12" fillId="0" borderId="11" xfId="2" applyBorder="1" applyAlignment="1">
      <alignment horizontal="center" vertical="center"/>
    </xf>
    <xf numFmtId="0" fontId="12" fillId="0" borderId="17" xfId="2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12" fillId="0" borderId="66" xfId="2" applyBorder="1" applyAlignment="1">
      <alignment horizontal="center" vertical="center"/>
    </xf>
    <xf numFmtId="0" fontId="12" fillId="0" borderId="67" xfId="2" applyBorder="1" applyAlignment="1">
      <alignment horizontal="center" vertical="center"/>
    </xf>
    <xf numFmtId="0" fontId="12" fillId="0" borderId="69" xfId="2" applyBorder="1" applyAlignment="1">
      <alignment horizontal="center" vertical="center"/>
    </xf>
    <xf numFmtId="14" fontId="11" fillId="0" borderId="61" xfId="2" applyNumberFormat="1" applyFont="1" applyBorder="1" applyAlignment="1">
      <alignment horizontal="center" vertical="center"/>
    </xf>
    <xf numFmtId="14" fontId="11" fillId="0" borderId="62" xfId="2" applyNumberFormat="1" applyFont="1" applyBorder="1" applyAlignment="1">
      <alignment horizontal="center" vertical="center"/>
    </xf>
    <xf numFmtId="14" fontId="11" fillId="0" borderId="63" xfId="2" applyNumberFormat="1" applyFont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14" fontId="11" fillId="0" borderId="42" xfId="2" applyNumberFormat="1" applyFont="1" applyBorder="1" applyAlignment="1">
      <alignment horizontal="center" vertical="center"/>
    </xf>
    <xf numFmtId="14" fontId="11" fillId="0" borderId="43" xfId="2" applyNumberFormat="1" applyFont="1" applyBorder="1" applyAlignment="1">
      <alignment horizontal="center" vertical="center"/>
    </xf>
    <xf numFmtId="14" fontId="11" fillId="0" borderId="44" xfId="2" applyNumberFormat="1" applyFont="1" applyBorder="1" applyAlignment="1">
      <alignment horizontal="center" vertical="center"/>
    </xf>
  </cellXfs>
  <cellStyles count="61">
    <cellStyle name="20% - 강조색1" xfId="20" builtinId="30" customBuiltin="1"/>
    <cellStyle name="20% - 강조색1 2" xfId="47" xr:uid="{00000000-0005-0000-0000-000001000000}"/>
    <cellStyle name="20% - 강조색2" xfId="24" builtinId="34" customBuiltin="1"/>
    <cellStyle name="20% - 강조색2 2" xfId="49" xr:uid="{00000000-0005-0000-0000-000003000000}"/>
    <cellStyle name="20% - 강조색3" xfId="28" builtinId="38" customBuiltin="1"/>
    <cellStyle name="20% - 강조색3 2" xfId="51" xr:uid="{00000000-0005-0000-0000-000005000000}"/>
    <cellStyle name="20% - 강조색4" xfId="32" builtinId="42" customBuiltin="1"/>
    <cellStyle name="20% - 강조색4 2" xfId="53" xr:uid="{00000000-0005-0000-0000-000007000000}"/>
    <cellStyle name="20% - 강조색5" xfId="36" builtinId="46" customBuiltin="1"/>
    <cellStyle name="20% - 강조색5 2" xfId="55" xr:uid="{00000000-0005-0000-0000-000009000000}"/>
    <cellStyle name="20% - 강조색6" xfId="40" builtinId="50" customBuiltin="1"/>
    <cellStyle name="20% - 강조색6 2" xfId="57" xr:uid="{00000000-0005-0000-0000-00000B000000}"/>
    <cellStyle name="40% - 강조색1" xfId="21" builtinId="31" customBuiltin="1"/>
    <cellStyle name="40% - 강조색1 2" xfId="48" xr:uid="{00000000-0005-0000-0000-00000D000000}"/>
    <cellStyle name="40% - 강조색2" xfId="25" builtinId="35" customBuiltin="1"/>
    <cellStyle name="40% - 강조색2 2" xfId="50" xr:uid="{00000000-0005-0000-0000-00000F000000}"/>
    <cellStyle name="40% - 강조색3" xfId="29" builtinId="39" customBuiltin="1"/>
    <cellStyle name="40% - 강조색3 2" xfId="52" xr:uid="{00000000-0005-0000-0000-000011000000}"/>
    <cellStyle name="40% - 강조색4" xfId="33" builtinId="43" customBuiltin="1"/>
    <cellStyle name="40% - 강조색4 2" xfId="54" xr:uid="{00000000-0005-0000-0000-000013000000}"/>
    <cellStyle name="40% - 강조색5" xfId="37" builtinId="47" customBuiltin="1"/>
    <cellStyle name="40% - 강조색5 2" xfId="56" xr:uid="{00000000-0005-0000-0000-000015000000}"/>
    <cellStyle name="40% - 강조색6" xfId="41" builtinId="51" customBuiltin="1"/>
    <cellStyle name="40% - 강조색6 2" xfId="58" xr:uid="{00000000-0005-0000-0000-000017000000}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4" xr:uid="{00000000-0005-0000-0000-000027000000}"/>
    <cellStyle name="메모 3" xfId="46" xr:uid="{00000000-0005-0000-0000-000028000000}"/>
    <cellStyle name="보통" xfId="10" builtinId="28" customBuiltin="1"/>
    <cellStyle name="설명 텍스트" xfId="17" builtinId="53" customBuiltin="1"/>
    <cellStyle name="셀 확인" xfId="15" builtinId="23" customBuiltin="1"/>
    <cellStyle name="쉼표 [0]" xfId="1" builtinId="6"/>
    <cellStyle name="쉼표 [0] 2" xfId="59" xr:uid="{00000000-0005-0000-0000-00002D000000}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2" xr:uid="{00000000-0005-0000-0000-000039000000}"/>
    <cellStyle name="표준 3" xfId="43" xr:uid="{00000000-0005-0000-0000-00003A000000}"/>
    <cellStyle name="표준 4" xfId="45" xr:uid="{00000000-0005-0000-0000-00003B000000}"/>
    <cellStyle name="표준 5" xfId="60" xr:uid="{00000000-0005-0000-0000-00003C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D48FFF"/>
      <color rgb="FF8E5A54"/>
      <color rgb="FFE977DB"/>
      <color rgb="FFF9BFEE"/>
      <color rgb="FFFFD85D"/>
      <color rgb="FFB1F9C6"/>
      <color rgb="FFCCFF33"/>
      <color rgb="FFF599E3"/>
      <color rgb="FFFF5050"/>
      <color rgb="FFB89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R30"/>
  <sheetViews>
    <sheetView zoomScale="70" zoomScaleNormal="70" zoomScaleSheetLayoutView="70" workbookViewId="0">
      <selection activeCell="I8" sqref="I8"/>
    </sheetView>
  </sheetViews>
  <sheetFormatPr defaultColWidth="9" defaultRowHeight="16.5" x14ac:dyDescent="0.3"/>
  <cols>
    <col min="1" max="1" width="31.625" customWidth="1"/>
    <col min="2" max="4" width="11.625" customWidth="1"/>
    <col min="5" max="5" width="13.75" customWidth="1"/>
    <col min="6" max="6" width="11.625" customWidth="1"/>
    <col min="7" max="7" width="14.625" customWidth="1"/>
    <col min="8" max="8" width="11.625" customWidth="1"/>
    <col min="9" max="9" width="15.5" customWidth="1"/>
    <col min="10" max="10" width="14.25" customWidth="1"/>
    <col min="11" max="12" width="12.25" customWidth="1"/>
    <col min="13" max="17" width="11.625" customWidth="1"/>
    <col min="18" max="18" width="10.75" customWidth="1"/>
  </cols>
  <sheetData>
    <row r="1" spans="1:18" x14ac:dyDescent="0.3">
      <c r="A1" t="s">
        <v>66</v>
      </c>
    </row>
    <row r="2" spans="1:18" ht="43.9" customHeight="1" x14ac:dyDescent="0.3">
      <c r="A2" s="9" t="s">
        <v>67</v>
      </c>
      <c r="B2" s="14" t="s">
        <v>15</v>
      </c>
      <c r="C2" s="14" t="s">
        <v>64</v>
      </c>
      <c r="D2" s="14" t="s">
        <v>69</v>
      </c>
      <c r="E2" s="14" t="s">
        <v>68</v>
      </c>
      <c r="F2" s="12" t="s">
        <v>4</v>
      </c>
      <c r="G2" s="12" t="s">
        <v>65</v>
      </c>
      <c r="H2" s="12" t="s">
        <v>27</v>
      </c>
      <c r="I2" s="15" t="s">
        <v>0</v>
      </c>
      <c r="J2" s="15" t="s">
        <v>30</v>
      </c>
      <c r="K2" s="15" t="s">
        <v>28</v>
      </c>
      <c r="L2" s="15" t="s">
        <v>33</v>
      </c>
      <c r="M2" s="13" t="s">
        <v>26</v>
      </c>
      <c r="N2" s="16" t="s">
        <v>1</v>
      </c>
      <c r="O2" s="17" t="s">
        <v>31</v>
      </c>
      <c r="P2" s="17" t="s">
        <v>32</v>
      </c>
      <c r="Q2" s="18" t="s">
        <v>29</v>
      </c>
      <c r="R2" s="10" t="s">
        <v>3</v>
      </c>
    </row>
    <row r="3" spans="1:18" ht="21" customHeight="1" x14ac:dyDescent="0.3">
      <c r="A3" s="6" t="s">
        <v>44</v>
      </c>
      <c r="B3" s="7" t="e">
        <f>VLOOKUP(A:A,#REF!,2,0)</f>
        <v>#REF!</v>
      </c>
      <c r="C3" s="7" t="e">
        <f>VLOOKUP(A:A,#REF!,3,0)</f>
        <v>#REF!</v>
      </c>
      <c r="D3" s="7" t="e">
        <f>VLOOKUP(A:A,#REF!,4,0)</f>
        <v>#REF!</v>
      </c>
      <c r="E3" s="7" t="e">
        <f>VLOOKUP(A:A,#REF!,5,0)</f>
        <v>#REF!</v>
      </c>
      <c r="F3" s="7" t="e">
        <f>VLOOKUP(A:A,#REF!,2,0)</f>
        <v>#REF!</v>
      </c>
      <c r="G3" s="7" t="e">
        <f>VLOOKUP(A:A,#REF!,3,0)</f>
        <v>#REF!</v>
      </c>
      <c r="H3" s="7" t="e">
        <f>VLOOKUP(A:A,#REF!,4,0)</f>
        <v>#REF!</v>
      </c>
      <c r="I3" s="7" t="e">
        <f>VLOOKUP(A3,#REF!,2,0)</f>
        <v>#REF!</v>
      </c>
      <c r="J3" s="7" t="e">
        <f>VLOOKUP(A3,#REF!,3,0)</f>
        <v>#REF!</v>
      </c>
      <c r="K3" s="7" t="e">
        <f>VLOOKUP(A:A,#REF!,4,0)</f>
        <v>#REF!</v>
      </c>
      <c r="L3" s="7" t="e">
        <f>VLOOKUP(A3,#REF!,5,0)</f>
        <v>#REF!</v>
      </c>
      <c r="M3" s="7" t="e">
        <f>VLOOKUP(A:A,#REF!,2,0)</f>
        <v>#REF!</v>
      </c>
      <c r="N3" s="7" t="e">
        <f>VLOOKUP(A:A,#REF!,3,0)</f>
        <v>#REF!</v>
      </c>
      <c r="O3" s="7" t="e">
        <f>VLOOKUP(A:A,#REF!,2,0)</f>
        <v>#REF!</v>
      </c>
      <c r="P3" s="7" t="e">
        <f>VLOOKUP(A:A,#REF!,2,0)</f>
        <v>#REF!</v>
      </c>
      <c r="Q3" s="7" t="e">
        <f>VLOOKUP(A:A,#REF!,2,0)</f>
        <v>#REF!</v>
      </c>
      <c r="R3" s="8" t="e">
        <f>SUM(B3:Q3)</f>
        <v>#REF!</v>
      </c>
    </row>
    <row r="4" spans="1:18" ht="21" customHeight="1" x14ac:dyDescent="0.3">
      <c r="A4" s="3" t="s">
        <v>45</v>
      </c>
      <c r="B4" s="7" t="e">
        <f>VLOOKUP(A:A,#REF!,2,0)</f>
        <v>#REF!</v>
      </c>
      <c r="C4" s="7" t="e">
        <f>VLOOKUP(A:A,#REF!,3,0)</f>
        <v>#REF!</v>
      </c>
      <c r="D4" s="7" t="e">
        <f>VLOOKUP(A:A,#REF!,4,0)</f>
        <v>#REF!</v>
      </c>
      <c r="E4" s="7" t="e">
        <f>VLOOKUP(A:A,#REF!,5,0)</f>
        <v>#REF!</v>
      </c>
      <c r="F4" s="7" t="e">
        <f>VLOOKUP(A:A,#REF!,2,0)</f>
        <v>#REF!</v>
      </c>
      <c r="G4" s="7" t="e">
        <f>VLOOKUP(A:A,#REF!,3,0)</f>
        <v>#REF!</v>
      </c>
      <c r="H4" s="7" t="e">
        <f>VLOOKUP(A:A,#REF!,4,0)</f>
        <v>#REF!</v>
      </c>
      <c r="I4" s="7" t="e">
        <f>VLOOKUP(A4,#REF!,2,0)</f>
        <v>#REF!</v>
      </c>
      <c r="J4" s="7" t="e">
        <f>VLOOKUP(A4,#REF!,3,0)</f>
        <v>#REF!</v>
      </c>
      <c r="K4" s="7" t="e">
        <f>VLOOKUP(A:A,#REF!,4,0)</f>
        <v>#REF!</v>
      </c>
      <c r="L4" s="7" t="e">
        <f>VLOOKUP(A4,#REF!,5,0)</f>
        <v>#REF!</v>
      </c>
      <c r="M4" s="7" t="e">
        <f>VLOOKUP(A:A,#REF!,2,0)</f>
        <v>#REF!</v>
      </c>
      <c r="N4" s="7" t="e">
        <f>VLOOKUP(A:A,#REF!,3,0)</f>
        <v>#REF!</v>
      </c>
      <c r="O4" s="7" t="e">
        <f>VLOOKUP(A:A,#REF!,2,0)</f>
        <v>#REF!</v>
      </c>
      <c r="P4" s="7" t="e">
        <f>VLOOKUP(A:A,#REF!,3,0)</f>
        <v>#REF!</v>
      </c>
      <c r="Q4" s="7" t="e">
        <f>VLOOKUP(A:A,#REF!,2,0)</f>
        <v>#REF!</v>
      </c>
      <c r="R4" s="8" t="e">
        <f t="shared" ref="R4:R29" si="0">SUM(B4:Q4)</f>
        <v>#REF!</v>
      </c>
    </row>
    <row r="5" spans="1:18" ht="21" customHeight="1" x14ac:dyDescent="0.3">
      <c r="A5" s="3" t="s">
        <v>39</v>
      </c>
      <c r="B5" s="7" t="e">
        <f>VLOOKUP(A:A,#REF!,2,0)</f>
        <v>#REF!</v>
      </c>
      <c r="C5" s="7" t="e">
        <f>VLOOKUP(A:A,#REF!,3,0)</f>
        <v>#REF!</v>
      </c>
      <c r="D5" s="7" t="e">
        <f>VLOOKUP(A:A,#REF!,4,0)</f>
        <v>#REF!</v>
      </c>
      <c r="E5" s="7" t="e">
        <f>VLOOKUP(A:A,#REF!,5,0)</f>
        <v>#REF!</v>
      </c>
      <c r="F5" s="7" t="e">
        <f>VLOOKUP(A:A,#REF!,2,0)</f>
        <v>#REF!</v>
      </c>
      <c r="G5" s="7" t="e">
        <f>VLOOKUP(A:A,#REF!,3,0)</f>
        <v>#REF!</v>
      </c>
      <c r="H5" s="7" t="e">
        <f>VLOOKUP(A:A,#REF!,4,0)</f>
        <v>#REF!</v>
      </c>
      <c r="I5" s="7" t="e">
        <f>VLOOKUP(A5,#REF!,2,0)</f>
        <v>#REF!</v>
      </c>
      <c r="J5" s="7" t="e">
        <f>VLOOKUP(A5,#REF!,3,0)</f>
        <v>#REF!</v>
      </c>
      <c r="K5" s="7" t="e">
        <f>VLOOKUP(A:A,#REF!,4,0)</f>
        <v>#REF!</v>
      </c>
      <c r="L5" s="7" t="e">
        <f>VLOOKUP(A5,#REF!,5,0)</f>
        <v>#REF!</v>
      </c>
      <c r="M5" s="7" t="e">
        <f>VLOOKUP(A:A,#REF!,2,0)</f>
        <v>#REF!</v>
      </c>
      <c r="N5" s="7" t="e">
        <f>VLOOKUP(A:A,#REF!,3,0)</f>
        <v>#REF!</v>
      </c>
      <c r="O5" s="7" t="e">
        <f>VLOOKUP(A:A,#REF!,2,0)</f>
        <v>#REF!</v>
      </c>
      <c r="P5" s="7" t="e">
        <f>VLOOKUP(A:A,#REF!,3,0)</f>
        <v>#REF!</v>
      </c>
      <c r="Q5" s="7" t="e">
        <f>VLOOKUP(A:A,#REF!,2,0)</f>
        <v>#REF!</v>
      </c>
      <c r="R5" s="8" t="e">
        <f t="shared" si="0"/>
        <v>#REF!</v>
      </c>
    </row>
    <row r="6" spans="1:18" ht="21" customHeight="1" x14ac:dyDescent="0.3">
      <c r="A6" s="3" t="s">
        <v>58</v>
      </c>
      <c r="B6" s="7" t="e">
        <f>VLOOKUP(A:A,#REF!,2,0)</f>
        <v>#REF!</v>
      </c>
      <c r="C6" s="7" t="e">
        <f>VLOOKUP(A:A,#REF!,3,0)</f>
        <v>#REF!</v>
      </c>
      <c r="D6" s="7" t="e">
        <f>VLOOKUP(A:A,#REF!,4,0)</f>
        <v>#REF!</v>
      </c>
      <c r="E6" s="7" t="e">
        <f>VLOOKUP(A:A,#REF!,5,0)</f>
        <v>#REF!</v>
      </c>
      <c r="F6" s="7" t="e">
        <f>VLOOKUP(A:A,#REF!,2,0)</f>
        <v>#REF!</v>
      </c>
      <c r="G6" s="7" t="e">
        <f>VLOOKUP(A:A,#REF!,3,0)</f>
        <v>#REF!</v>
      </c>
      <c r="H6" s="7" t="e">
        <f>VLOOKUP(A:A,#REF!,4,0)</f>
        <v>#REF!</v>
      </c>
      <c r="I6" s="7" t="e">
        <f>VLOOKUP(A6,#REF!,2,0)</f>
        <v>#REF!</v>
      </c>
      <c r="J6" s="7" t="e">
        <f>VLOOKUP(A6,#REF!,3,0)</f>
        <v>#REF!</v>
      </c>
      <c r="K6" s="7" t="e">
        <f>VLOOKUP(A:A,#REF!,4,0)</f>
        <v>#REF!</v>
      </c>
      <c r="L6" s="7" t="e">
        <f>VLOOKUP(A6,#REF!,5,0)</f>
        <v>#REF!</v>
      </c>
      <c r="M6" s="7" t="e">
        <f>VLOOKUP(A:A,#REF!,2,0)</f>
        <v>#REF!</v>
      </c>
      <c r="N6" s="7" t="e">
        <f>VLOOKUP(A:A,#REF!,3,0)</f>
        <v>#REF!</v>
      </c>
      <c r="O6" s="7" t="e">
        <f>VLOOKUP(A:A,#REF!,2,0)</f>
        <v>#REF!</v>
      </c>
      <c r="P6" s="7" t="e">
        <f>VLOOKUP(A:A,#REF!,3,0)</f>
        <v>#REF!</v>
      </c>
      <c r="Q6" s="7" t="e">
        <f>VLOOKUP(A:A,#REF!,2,0)</f>
        <v>#REF!</v>
      </c>
      <c r="R6" s="8" t="e">
        <f t="shared" si="0"/>
        <v>#REF!</v>
      </c>
    </row>
    <row r="7" spans="1:18" ht="21" customHeight="1" x14ac:dyDescent="0.3">
      <c r="A7" s="3" t="s">
        <v>53</v>
      </c>
      <c r="B7" s="7" t="e">
        <f>VLOOKUP(A:A,#REF!,2,0)</f>
        <v>#REF!</v>
      </c>
      <c r="C7" s="7" t="e">
        <f>VLOOKUP(A:A,#REF!,3,0)</f>
        <v>#REF!</v>
      </c>
      <c r="D7" s="7" t="e">
        <f>VLOOKUP(A:A,#REF!,4,0)</f>
        <v>#REF!</v>
      </c>
      <c r="E7" s="7" t="e">
        <f>VLOOKUP(A:A,#REF!,5,0)</f>
        <v>#REF!</v>
      </c>
      <c r="F7" s="7" t="e">
        <f>VLOOKUP(A:A,#REF!,2,0)</f>
        <v>#REF!</v>
      </c>
      <c r="G7" s="7" t="e">
        <f>VLOOKUP(A:A,#REF!,3,0)</f>
        <v>#REF!</v>
      </c>
      <c r="H7" s="7" t="e">
        <f>VLOOKUP(A:A,#REF!,4,0)</f>
        <v>#REF!</v>
      </c>
      <c r="I7" s="7" t="e">
        <f>VLOOKUP(A7,#REF!,2,0)</f>
        <v>#REF!</v>
      </c>
      <c r="J7" s="7" t="e">
        <f>VLOOKUP(A7,#REF!,3,0)</f>
        <v>#REF!</v>
      </c>
      <c r="K7" s="7" t="e">
        <f>VLOOKUP(A:A,#REF!,4,0)</f>
        <v>#REF!</v>
      </c>
      <c r="L7" s="7" t="e">
        <f>VLOOKUP(A7,#REF!,5,0)</f>
        <v>#REF!</v>
      </c>
      <c r="M7" s="7" t="e">
        <f>VLOOKUP(A:A,#REF!,2,0)</f>
        <v>#REF!</v>
      </c>
      <c r="N7" s="7" t="e">
        <f>VLOOKUP(A:A,#REF!,3,0)</f>
        <v>#REF!</v>
      </c>
      <c r="O7" s="7" t="e">
        <f>VLOOKUP(A:A,#REF!,2,0)</f>
        <v>#REF!</v>
      </c>
      <c r="P7" s="7" t="e">
        <f>VLOOKUP(A:A,#REF!,3,0)</f>
        <v>#REF!</v>
      </c>
      <c r="Q7" s="7" t="e">
        <f>VLOOKUP(A:A,#REF!,2,0)</f>
        <v>#REF!</v>
      </c>
      <c r="R7" s="8" t="e">
        <f t="shared" si="0"/>
        <v>#REF!</v>
      </c>
    </row>
    <row r="8" spans="1:18" ht="21" customHeight="1" x14ac:dyDescent="0.3">
      <c r="A8" s="3" t="s">
        <v>51</v>
      </c>
      <c r="B8" s="7" t="e">
        <f>VLOOKUP(A:A,#REF!,2,0)</f>
        <v>#REF!</v>
      </c>
      <c r="C8" s="7" t="e">
        <f>VLOOKUP(A:A,#REF!,3,0)</f>
        <v>#REF!</v>
      </c>
      <c r="D8" s="7" t="e">
        <f>VLOOKUP(A:A,#REF!,4,0)</f>
        <v>#REF!</v>
      </c>
      <c r="E8" s="7" t="e">
        <f>VLOOKUP(A:A,#REF!,5,0)</f>
        <v>#REF!</v>
      </c>
      <c r="F8" s="7" t="e">
        <f>VLOOKUP(A:A,#REF!,2,0)</f>
        <v>#REF!</v>
      </c>
      <c r="G8" s="7" t="e">
        <f>VLOOKUP(A:A,#REF!,3,0)</f>
        <v>#REF!</v>
      </c>
      <c r="H8" s="7" t="e">
        <f>VLOOKUP(A:A,#REF!,4,0)</f>
        <v>#REF!</v>
      </c>
      <c r="I8" s="7" t="e">
        <f>VLOOKUP(A8,#REF!,2,0)</f>
        <v>#REF!</v>
      </c>
      <c r="J8" s="7" t="e">
        <f>VLOOKUP(A8,#REF!,3,0)</f>
        <v>#REF!</v>
      </c>
      <c r="K8" s="7" t="e">
        <f>VLOOKUP(A:A,#REF!,4,0)</f>
        <v>#REF!</v>
      </c>
      <c r="L8" s="7" t="e">
        <f>VLOOKUP(A8,#REF!,5,0)</f>
        <v>#REF!</v>
      </c>
      <c r="M8" s="7" t="e">
        <f>VLOOKUP(A:A,#REF!,2,0)</f>
        <v>#REF!</v>
      </c>
      <c r="N8" s="7" t="e">
        <f>VLOOKUP(A:A,#REF!,3,0)</f>
        <v>#REF!</v>
      </c>
      <c r="O8" s="7" t="e">
        <f>VLOOKUP(A:A,#REF!,2,0)</f>
        <v>#REF!</v>
      </c>
      <c r="P8" s="7" t="e">
        <f>VLOOKUP(A:A,#REF!,3,0)</f>
        <v>#REF!</v>
      </c>
      <c r="Q8" s="7" t="e">
        <f>VLOOKUP(A:A,#REF!,2,0)</f>
        <v>#REF!</v>
      </c>
      <c r="R8" s="8" t="e">
        <f t="shared" si="0"/>
        <v>#REF!</v>
      </c>
    </row>
    <row r="9" spans="1:18" ht="21" customHeight="1" x14ac:dyDescent="0.3">
      <c r="A9" s="3" t="s">
        <v>37</v>
      </c>
      <c r="B9" s="7" t="e">
        <f>VLOOKUP(A:A,#REF!,2,0)</f>
        <v>#REF!</v>
      </c>
      <c r="C9" s="7" t="e">
        <f>VLOOKUP(A:A,#REF!,3,0)</f>
        <v>#REF!</v>
      </c>
      <c r="D9" s="7" t="e">
        <f>VLOOKUP(A:A,#REF!,4,0)</f>
        <v>#REF!</v>
      </c>
      <c r="E9" s="7" t="e">
        <f>VLOOKUP(A:A,#REF!,5,0)</f>
        <v>#REF!</v>
      </c>
      <c r="F9" s="7" t="e">
        <f>VLOOKUP(A:A,#REF!,2,0)</f>
        <v>#REF!</v>
      </c>
      <c r="G9" s="7" t="e">
        <f>VLOOKUP(A:A,#REF!,3,0)</f>
        <v>#REF!</v>
      </c>
      <c r="H9" s="7" t="e">
        <f>VLOOKUP(A:A,#REF!,4,0)</f>
        <v>#REF!</v>
      </c>
      <c r="I9" s="7" t="e">
        <f>VLOOKUP(A9,#REF!,2,0)</f>
        <v>#REF!</v>
      </c>
      <c r="J9" s="7" t="e">
        <f>VLOOKUP(A9,#REF!,3,0)</f>
        <v>#REF!</v>
      </c>
      <c r="K9" s="7" t="e">
        <f>VLOOKUP(A:A,#REF!,4,0)</f>
        <v>#REF!</v>
      </c>
      <c r="L9" s="7" t="e">
        <f>VLOOKUP(A9,#REF!,5,0)</f>
        <v>#REF!</v>
      </c>
      <c r="M9" s="7" t="e">
        <f>VLOOKUP(A:A,#REF!,2,0)</f>
        <v>#REF!</v>
      </c>
      <c r="N9" s="7" t="e">
        <f>VLOOKUP(A:A,#REF!,3,0)</f>
        <v>#REF!</v>
      </c>
      <c r="O9" s="7" t="e">
        <f>VLOOKUP(A:A,#REF!,2,0)</f>
        <v>#REF!</v>
      </c>
      <c r="P9" s="7" t="e">
        <f>VLOOKUP(A:A,#REF!,3,0)</f>
        <v>#REF!</v>
      </c>
      <c r="Q9" s="7" t="e">
        <f>VLOOKUP(A:A,#REF!,2,0)</f>
        <v>#REF!</v>
      </c>
      <c r="R9" s="8" t="e">
        <f t="shared" si="0"/>
        <v>#REF!</v>
      </c>
    </row>
    <row r="10" spans="1:18" ht="21" customHeight="1" x14ac:dyDescent="0.3">
      <c r="A10" s="3" t="s">
        <v>54</v>
      </c>
      <c r="B10" s="7" t="e">
        <f>VLOOKUP(A:A,#REF!,2,0)</f>
        <v>#REF!</v>
      </c>
      <c r="C10" s="7" t="e">
        <f>VLOOKUP(A:A,#REF!,3,0)</f>
        <v>#REF!</v>
      </c>
      <c r="D10" s="7" t="e">
        <f>VLOOKUP(A:A,#REF!,4,0)</f>
        <v>#REF!</v>
      </c>
      <c r="E10" s="7" t="e">
        <f>VLOOKUP(A:A,#REF!,5,0)</f>
        <v>#REF!</v>
      </c>
      <c r="F10" s="7" t="e">
        <f>VLOOKUP(A:A,#REF!,2,0)</f>
        <v>#REF!</v>
      </c>
      <c r="G10" s="7" t="e">
        <f>VLOOKUP(A:A,#REF!,3,0)</f>
        <v>#REF!</v>
      </c>
      <c r="H10" s="7" t="e">
        <f>VLOOKUP(A:A,#REF!,4,0)</f>
        <v>#REF!</v>
      </c>
      <c r="I10" s="7" t="e">
        <f>VLOOKUP(A10,#REF!,2,0)</f>
        <v>#REF!</v>
      </c>
      <c r="J10" s="7" t="e">
        <f>VLOOKUP(A10,#REF!,3,0)</f>
        <v>#REF!</v>
      </c>
      <c r="K10" s="7" t="e">
        <f>VLOOKUP(A:A,#REF!,4,0)</f>
        <v>#REF!</v>
      </c>
      <c r="L10" s="7" t="e">
        <f>VLOOKUP(A10,#REF!,5,0)</f>
        <v>#REF!</v>
      </c>
      <c r="M10" s="7" t="e">
        <f>VLOOKUP(A:A,#REF!,2,0)</f>
        <v>#REF!</v>
      </c>
      <c r="N10" s="7" t="e">
        <f>VLOOKUP(A:A,#REF!,3,0)</f>
        <v>#REF!</v>
      </c>
      <c r="O10" s="7" t="e">
        <f>VLOOKUP(A:A,#REF!,2,0)</f>
        <v>#REF!</v>
      </c>
      <c r="P10" s="7" t="e">
        <f>VLOOKUP(A:A,#REF!,3,0)</f>
        <v>#REF!</v>
      </c>
      <c r="Q10" s="7" t="e">
        <f>VLOOKUP(A:A,#REF!,2,0)</f>
        <v>#REF!</v>
      </c>
      <c r="R10" s="8" t="e">
        <f t="shared" si="0"/>
        <v>#REF!</v>
      </c>
    </row>
    <row r="11" spans="1:18" ht="21" customHeight="1" x14ac:dyDescent="0.3">
      <c r="A11" s="3" t="s">
        <v>60</v>
      </c>
      <c r="B11" s="7" t="e">
        <f>VLOOKUP(A:A,#REF!,2,0)</f>
        <v>#REF!</v>
      </c>
      <c r="C11" s="7" t="e">
        <f>VLOOKUP(A:A,#REF!,3,0)</f>
        <v>#REF!</v>
      </c>
      <c r="D11" s="7" t="e">
        <f>VLOOKUP(A:A,#REF!,4,0)</f>
        <v>#REF!</v>
      </c>
      <c r="E11" s="7" t="e">
        <f>VLOOKUP(A:A,#REF!,5,0)</f>
        <v>#REF!</v>
      </c>
      <c r="F11" s="7" t="e">
        <f>VLOOKUP(A:A,#REF!,2,0)</f>
        <v>#REF!</v>
      </c>
      <c r="G11" s="7" t="e">
        <f>VLOOKUP(A:A,#REF!,3,0)</f>
        <v>#REF!</v>
      </c>
      <c r="H11" s="7" t="e">
        <f>VLOOKUP(A:A,#REF!,4,0)</f>
        <v>#REF!</v>
      </c>
      <c r="I11" s="7" t="e">
        <f>VLOOKUP(A11,#REF!,2,0)</f>
        <v>#REF!</v>
      </c>
      <c r="J11" s="7" t="e">
        <f>VLOOKUP(A11,#REF!,3,0)</f>
        <v>#REF!</v>
      </c>
      <c r="K11" s="7" t="e">
        <f>VLOOKUP(A:A,#REF!,4,0)</f>
        <v>#REF!</v>
      </c>
      <c r="L11" s="7" t="e">
        <f>VLOOKUP(A11,#REF!,5,0)</f>
        <v>#REF!</v>
      </c>
      <c r="M11" s="7" t="e">
        <f>VLOOKUP(A:A,#REF!,2,0)</f>
        <v>#REF!</v>
      </c>
      <c r="N11" s="7" t="e">
        <f>VLOOKUP(A:A,#REF!,3,0)</f>
        <v>#REF!</v>
      </c>
      <c r="O11" s="7" t="e">
        <f>VLOOKUP(A:A,#REF!,2,0)</f>
        <v>#REF!</v>
      </c>
      <c r="P11" s="7" t="e">
        <f>VLOOKUP(A:A,#REF!,3,0)</f>
        <v>#REF!</v>
      </c>
      <c r="Q11" s="7" t="e">
        <f>VLOOKUP(A:A,#REF!,2,0)</f>
        <v>#REF!</v>
      </c>
      <c r="R11" s="8" t="e">
        <f t="shared" si="0"/>
        <v>#REF!</v>
      </c>
    </row>
    <row r="12" spans="1:18" ht="21" customHeight="1" x14ac:dyDescent="0.3">
      <c r="A12" s="3" t="s">
        <v>40</v>
      </c>
      <c r="B12" s="7" t="e">
        <f>VLOOKUP(A:A,#REF!,2,0)</f>
        <v>#REF!</v>
      </c>
      <c r="C12" s="7" t="e">
        <f>VLOOKUP(A:A,#REF!,3,0)</f>
        <v>#REF!</v>
      </c>
      <c r="D12" s="7" t="e">
        <f>VLOOKUP(A:A,#REF!,4,0)</f>
        <v>#REF!</v>
      </c>
      <c r="E12" s="7" t="e">
        <f>VLOOKUP(A:A,#REF!,5,0)</f>
        <v>#REF!</v>
      </c>
      <c r="F12" s="7" t="e">
        <f>VLOOKUP(A:A,#REF!,2,0)</f>
        <v>#REF!</v>
      </c>
      <c r="G12" s="7" t="e">
        <f>VLOOKUP(A:A,#REF!,3,0)</f>
        <v>#REF!</v>
      </c>
      <c r="H12" s="7" t="e">
        <f>VLOOKUP(A:A,#REF!,4,0)</f>
        <v>#REF!</v>
      </c>
      <c r="I12" s="7" t="e">
        <f>VLOOKUP(A12,#REF!,2,0)</f>
        <v>#REF!</v>
      </c>
      <c r="J12" s="7" t="e">
        <f>VLOOKUP(A12,#REF!,3,0)</f>
        <v>#REF!</v>
      </c>
      <c r="K12" s="7" t="e">
        <f>VLOOKUP(A:A,#REF!,4,0)</f>
        <v>#REF!</v>
      </c>
      <c r="L12" s="7" t="e">
        <f>VLOOKUP(A12,#REF!,5,0)</f>
        <v>#REF!</v>
      </c>
      <c r="M12" s="7" t="e">
        <f>VLOOKUP(A:A,#REF!,2,0)</f>
        <v>#REF!</v>
      </c>
      <c r="N12" s="7" t="e">
        <f>VLOOKUP(A:A,#REF!,3,0)</f>
        <v>#REF!</v>
      </c>
      <c r="O12" s="7" t="e">
        <f>VLOOKUP(A:A,#REF!,2,0)</f>
        <v>#REF!</v>
      </c>
      <c r="P12" s="7" t="e">
        <f>VLOOKUP(A:A,#REF!,3,0)</f>
        <v>#REF!</v>
      </c>
      <c r="Q12" s="7" t="e">
        <f>VLOOKUP(A:A,#REF!,2,0)</f>
        <v>#REF!</v>
      </c>
      <c r="R12" s="8" t="e">
        <f t="shared" si="0"/>
        <v>#REF!</v>
      </c>
    </row>
    <row r="13" spans="1:18" ht="21" customHeight="1" x14ac:dyDescent="0.3">
      <c r="A13" s="1" t="s">
        <v>38</v>
      </c>
      <c r="B13" s="7" t="e">
        <f>VLOOKUP(A:A,#REF!,2,0)</f>
        <v>#REF!</v>
      </c>
      <c r="C13" s="7" t="e">
        <f>VLOOKUP(A:A,#REF!,3,0)</f>
        <v>#REF!</v>
      </c>
      <c r="D13" s="7" t="e">
        <f>VLOOKUP(A:A,#REF!,4,0)</f>
        <v>#REF!</v>
      </c>
      <c r="E13" s="7" t="e">
        <f>VLOOKUP(A:A,#REF!,5,0)</f>
        <v>#REF!</v>
      </c>
      <c r="F13" s="7" t="e">
        <f>VLOOKUP(A:A,#REF!,2,0)</f>
        <v>#REF!</v>
      </c>
      <c r="G13" s="7" t="e">
        <f>VLOOKUP(A:A,#REF!,3,0)</f>
        <v>#REF!</v>
      </c>
      <c r="H13" s="7" t="e">
        <f>VLOOKUP(A:A,#REF!,4,0)</f>
        <v>#REF!</v>
      </c>
      <c r="I13" s="7" t="e">
        <f>VLOOKUP(A13,#REF!,2,0)</f>
        <v>#REF!</v>
      </c>
      <c r="J13" s="7" t="e">
        <f>VLOOKUP(A13,#REF!,3,0)</f>
        <v>#REF!</v>
      </c>
      <c r="K13" s="7" t="e">
        <f>VLOOKUP(A:A,#REF!,4,0)</f>
        <v>#REF!</v>
      </c>
      <c r="L13" s="7" t="e">
        <f>VLOOKUP(A13,#REF!,5,0)</f>
        <v>#REF!</v>
      </c>
      <c r="M13" s="7" t="e">
        <f>VLOOKUP(A:A,#REF!,2,0)</f>
        <v>#REF!</v>
      </c>
      <c r="N13" s="7" t="e">
        <f>VLOOKUP(A:A,#REF!,3,0)</f>
        <v>#REF!</v>
      </c>
      <c r="O13" s="7" t="e">
        <f>VLOOKUP(A:A,#REF!,2,0)</f>
        <v>#REF!</v>
      </c>
      <c r="P13" s="7" t="e">
        <f>VLOOKUP(A:A,#REF!,3,0)</f>
        <v>#REF!</v>
      </c>
      <c r="Q13" s="7" t="e">
        <f>VLOOKUP(A:A,#REF!,2,0)</f>
        <v>#REF!</v>
      </c>
      <c r="R13" s="8" t="e">
        <f t="shared" si="0"/>
        <v>#REF!</v>
      </c>
    </row>
    <row r="14" spans="1:18" ht="21" customHeight="1" x14ac:dyDescent="0.3">
      <c r="A14" s="3" t="s">
        <v>49</v>
      </c>
      <c r="B14" s="7" t="e">
        <f>VLOOKUP(A:A,#REF!,2,0)</f>
        <v>#REF!</v>
      </c>
      <c r="C14" s="7" t="e">
        <f>VLOOKUP(A:A,#REF!,3,0)</f>
        <v>#REF!</v>
      </c>
      <c r="D14" s="7" t="e">
        <f>VLOOKUP(A:A,#REF!,4,0)</f>
        <v>#REF!</v>
      </c>
      <c r="E14" s="7" t="e">
        <f>VLOOKUP(A:A,#REF!,5,0)</f>
        <v>#REF!</v>
      </c>
      <c r="F14" s="7" t="e">
        <f>VLOOKUP(A:A,#REF!,2,0)</f>
        <v>#REF!</v>
      </c>
      <c r="G14" s="7" t="e">
        <f>VLOOKUP(A:A,#REF!,3,0)</f>
        <v>#REF!</v>
      </c>
      <c r="H14" s="7" t="e">
        <f>VLOOKUP(A:A,#REF!,4,0)</f>
        <v>#REF!</v>
      </c>
      <c r="I14" s="7" t="e">
        <f>VLOOKUP(A14,#REF!,2,0)</f>
        <v>#REF!</v>
      </c>
      <c r="J14" s="7" t="e">
        <f>VLOOKUP(A14,#REF!,3,0)</f>
        <v>#REF!</v>
      </c>
      <c r="K14" s="7" t="e">
        <f>VLOOKUP(A:A,#REF!,4,0)</f>
        <v>#REF!</v>
      </c>
      <c r="L14" s="7" t="e">
        <f>VLOOKUP(A14,#REF!,5,0)</f>
        <v>#REF!</v>
      </c>
      <c r="M14" s="7" t="e">
        <f>VLOOKUP(A:A,#REF!,2,0)</f>
        <v>#REF!</v>
      </c>
      <c r="N14" s="7" t="e">
        <f>VLOOKUP(A:A,#REF!,3,0)</f>
        <v>#REF!</v>
      </c>
      <c r="O14" s="7" t="e">
        <f>VLOOKUP(A:A,#REF!,2,0)</f>
        <v>#REF!</v>
      </c>
      <c r="P14" s="7" t="e">
        <f>VLOOKUP(A:A,#REF!,3,0)</f>
        <v>#REF!</v>
      </c>
      <c r="Q14" s="7" t="e">
        <f>VLOOKUP(A:A,#REF!,2,0)</f>
        <v>#REF!</v>
      </c>
      <c r="R14" s="8" t="e">
        <f t="shared" si="0"/>
        <v>#REF!</v>
      </c>
    </row>
    <row r="15" spans="1:18" ht="21" customHeight="1" x14ac:dyDescent="0.3">
      <c r="A15" s="3" t="s">
        <v>55</v>
      </c>
      <c r="B15" s="7" t="e">
        <f>VLOOKUP(A:A,#REF!,2,0)</f>
        <v>#REF!</v>
      </c>
      <c r="C15" s="7" t="e">
        <f>VLOOKUP(A:A,#REF!,3,0)</f>
        <v>#REF!</v>
      </c>
      <c r="D15" s="7" t="e">
        <f>VLOOKUP(A:A,#REF!,4,0)</f>
        <v>#REF!</v>
      </c>
      <c r="E15" s="7" t="e">
        <f>VLOOKUP(A:A,#REF!,5,0)</f>
        <v>#REF!</v>
      </c>
      <c r="F15" s="7" t="e">
        <f>VLOOKUP(A:A,#REF!,2,0)</f>
        <v>#REF!</v>
      </c>
      <c r="G15" s="7" t="e">
        <f>VLOOKUP(A:A,#REF!,3,0)</f>
        <v>#REF!</v>
      </c>
      <c r="H15" s="7" t="e">
        <f>VLOOKUP(A:A,#REF!,4,0)</f>
        <v>#REF!</v>
      </c>
      <c r="I15" s="7" t="e">
        <f>VLOOKUP(A15,#REF!,2,0)</f>
        <v>#REF!</v>
      </c>
      <c r="J15" s="7" t="e">
        <f>VLOOKUP(A15,#REF!,3,0)</f>
        <v>#REF!</v>
      </c>
      <c r="K15" s="7" t="e">
        <f>VLOOKUP(A:A,#REF!,4,0)</f>
        <v>#REF!</v>
      </c>
      <c r="L15" s="7" t="e">
        <f>VLOOKUP(A15,#REF!,5,0)</f>
        <v>#REF!</v>
      </c>
      <c r="M15" s="7" t="e">
        <f>VLOOKUP(A:A,#REF!,2,0)</f>
        <v>#REF!</v>
      </c>
      <c r="N15" s="7" t="e">
        <f>VLOOKUP(A:A,#REF!,3,0)</f>
        <v>#REF!</v>
      </c>
      <c r="O15" s="7" t="e">
        <f>VLOOKUP(A:A,#REF!,2,0)</f>
        <v>#REF!</v>
      </c>
      <c r="P15" s="7" t="e">
        <f>VLOOKUP(A:A,#REF!,3,0)</f>
        <v>#REF!</v>
      </c>
      <c r="Q15" s="7" t="e">
        <f>VLOOKUP(A:A,#REF!,2,0)</f>
        <v>#REF!</v>
      </c>
      <c r="R15" s="8" t="e">
        <f t="shared" si="0"/>
        <v>#REF!</v>
      </c>
    </row>
    <row r="16" spans="1:18" ht="21" customHeight="1" x14ac:dyDescent="0.3">
      <c r="A16" s="3" t="s">
        <v>48</v>
      </c>
      <c r="B16" s="7" t="e">
        <f>VLOOKUP(A:A,#REF!,2,0)</f>
        <v>#REF!</v>
      </c>
      <c r="C16" s="7" t="e">
        <f>VLOOKUP(A:A,#REF!,3,0)</f>
        <v>#REF!</v>
      </c>
      <c r="D16" s="7" t="e">
        <f>VLOOKUP(A:A,#REF!,4,0)</f>
        <v>#REF!</v>
      </c>
      <c r="E16" s="7" t="e">
        <f>VLOOKUP(A:A,#REF!,5,0)</f>
        <v>#REF!</v>
      </c>
      <c r="F16" s="7" t="e">
        <f>VLOOKUP(A:A,#REF!,2,0)</f>
        <v>#REF!</v>
      </c>
      <c r="G16" s="7" t="e">
        <f>VLOOKUP(A:A,#REF!,3,0)</f>
        <v>#REF!</v>
      </c>
      <c r="H16" s="7" t="e">
        <f>VLOOKUP(A:A,#REF!,4,0)</f>
        <v>#REF!</v>
      </c>
      <c r="I16" s="7" t="e">
        <f>VLOOKUP(A16,#REF!,2,0)</f>
        <v>#REF!</v>
      </c>
      <c r="J16" s="7" t="e">
        <f>VLOOKUP(A16,#REF!,3,0)</f>
        <v>#REF!</v>
      </c>
      <c r="K16" s="7" t="e">
        <f>VLOOKUP(A:A,#REF!,4,0)</f>
        <v>#REF!</v>
      </c>
      <c r="L16" s="7" t="e">
        <f>VLOOKUP(A16,#REF!,5,0)</f>
        <v>#REF!</v>
      </c>
      <c r="M16" s="7" t="e">
        <f>VLOOKUP(A:A,#REF!,2,0)</f>
        <v>#REF!</v>
      </c>
      <c r="N16" s="7" t="e">
        <f>VLOOKUP(A:A,#REF!,3,0)</f>
        <v>#REF!</v>
      </c>
      <c r="O16" s="7" t="e">
        <f>VLOOKUP(A:A,#REF!,2,0)</f>
        <v>#REF!</v>
      </c>
      <c r="P16" s="7" t="e">
        <f>VLOOKUP(A:A,#REF!,3,0)</f>
        <v>#REF!</v>
      </c>
      <c r="Q16" s="7" t="e">
        <f>VLOOKUP(A:A,#REF!,2,0)</f>
        <v>#REF!</v>
      </c>
      <c r="R16" s="8" t="e">
        <f t="shared" si="0"/>
        <v>#REF!</v>
      </c>
    </row>
    <row r="17" spans="1:18" ht="21" customHeight="1" x14ac:dyDescent="0.3">
      <c r="A17" s="3" t="s">
        <v>59</v>
      </c>
      <c r="B17" s="7" t="e">
        <f>VLOOKUP(A:A,#REF!,2,0)</f>
        <v>#REF!</v>
      </c>
      <c r="C17" s="7" t="e">
        <f>VLOOKUP(A:A,#REF!,3,0)</f>
        <v>#REF!</v>
      </c>
      <c r="D17" s="7" t="e">
        <f>VLOOKUP(A:A,#REF!,4,0)</f>
        <v>#REF!</v>
      </c>
      <c r="E17" s="7" t="e">
        <f>VLOOKUP(A:A,#REF!,5,0)</f>
        <v>#REF!</v>
      </c>
      <c r="F17" s="7" t="e">
        <f>VLOOKUP(A:A,#REF!,2,0)</f>
        <v>#REF!</v>
      </c>
      <c r="G17" s="7" t="e">
        <f>VLOOKUP(A:A,#REF!,3,0)</f>
        <v>#REF!</v>
      </c>
      <c r="H17" s="7" t="e">
        <f>VLOOKUP(A:A,#REF!,4,0)</f>
        <v>#REF!</v>
      </c>
      <c r="I17" s="7" t="e">
        <f>VLOOKUP(A17,#REF!,2,0)</f>
        <v>#REF!</v>
      </c>
      <c r="J17" s="7" t="e">
        <f>VLOOKUP(A17,#REF!,3,0)</f>
        <v>#REF!</v>
      </c>
      <c r="K17" s="7" t="e">
        <f>VLOOKUP(A:A,#REF!,4,0)</f>
        <v>#REF!</v>
      </c>
      <c r="L17" s="7" t="e">
        <f>VLOOKUP(A17,#REF!,5,0)</f>
        <v>#REF!</v>
      </c>
      <c r="M17" s="7" t="e">
        <f>VLOOKUP(A:A,#REF!,2,0)</f>
        <v>#REF!</v>
      </c>
      <c r="N17" s="7" t="e">
        <f>VLOOKUP(A:A,#REF!,3,0)</f>
        <v>#REF!</v>
      </c>
      <c r="O17" s="7" t="e">
        <f>VLOOKUP(A:A,#REF!,2,0)</f>
        <v>#REF!</v>
      </c>
      <c r="P17" s="7" t="e">
        <f>VLOOKUP(A:A,#REF!,3,0)</f>
        <v>#REF!</v>
      </c>
      <c r="Q17" s="7" t="e">
        <f>VLOOKUP(A:A,#REF!,2,0)</f>
        <v>#REF!</v>
      </c>
      <c r="R17" s="8" t="e">
        <f t="shared" si="0"/>
        <v>#REF!</v>
      </c>
    </row>
    <row r="18" spans="1:18" ht="21" customHeight="1" x14ac:dyDescent="0.3">
      <c r="A18" s="3" t="s">
        <v>50</v>
      </c>
      <c r="B18" s="7" t="e">
        <f>VLOOKUP(A:A,#REF!,2,0)</f>
        <v>#REF!</v>
      </c>
      <c r="C18" s="7" t="e">
        <f>VLOOKUP(A:A,#REF!,3,0)</f>
        <v>#REF!</v>
      </c>
      <c r="D18" s="7" t="e">
        <f>VLOOKUP(A:A,#REF!,4,0)</f>
        <v>#REF!</v>
      </c>
      <c r="E18" s="7" t="e">
        <f>VLOOKUP(A:A,#REF!,5,0)</f>
        <v>#REF!</v>
      </c>
      <c r="F18" s="7" t="e">
        <f>VLOOKUP(A:A,#REF!,2,0)</f>
        <v>#REF!</v>
      </c>
      <c r="G18" s="7" t="e">
        <f>VLOOKUP(A:A,#REF!,3,0)</f>
        <v>#REF!</v>
      </c>
      <c r="H18" s="7" t="e">
        <f>VLOOKUP(A:A,#REF!,4,0)</f>
        <v>#REF!</v>
      </c>
      <c r="I18" s="7" t="e">
        <f>VLOOKUP(A18,#REF!,2,0)</f>
        <v>#REF!</v>
      </c>
      <c r="J18" s="7" t="e">
        <f>VLOOKUP(A18,#REF!,3,0)</f>
        <v>#REF!</v>
      </c>
      <c r="K18" s="7" t="e">
        <f>VLOOKUP(A:A,#REF!,4,0)</f>
        <v>#REF!</v>
      </c>
      <c r="L18" s="7" t="e">
        <f>VLOOKUP(A18,#REF!,5,0)</f>
        <v>#REF!</v>
      </c>
      <c r="M18" s="7" t="e">
        <f>VLOOKUP(A:A,#REF!,2,0)</f>
        <v>#REF!</v>
      </c>
      <c r="N18" s="7" t="e">
        <f>VLOOKUP(A:A,#REF!,3,0)</f>
        <v>#REF!</v>
      </c>
      <c r="O18" s="7" t="e">
        <f>VLOOKUP(A:A,#REF!,2,0)</f>
        <v>#REF!</v>
      </c>
      <c r="P18" s="7" t="e">
        <f>VLOOKUP(A:A,#REF!,3,0)</f>
        <v>#REF!</v>
      </c>
      <c r="Q18" s="7" t="e">
        <f>VLOOKUP(A:A,#REF!,2,0)</f>
        <v>#REF!</v>
      </c>
      <c r="R18" s="8" t="e">
        <f t="shared" si="0"/>
        <v>#REF!</v>
      </c>
    </row>
    <row r="19" spans="1:18" ht="21" customHeight="1" x14ac:dyDescent="0.3">
      <c r="A19" s="3" t="s">
        <v>43</v>
      </c>
      <c r="B19" s="7" t="e">
        <f>VLOOKUP(A:A,#REF!,2,0)</f>
        <v>#REF!</v>
      </c>
      <c r="C19" s="7" t="e">
        <f>VLOOKUP(A:A,#REF!,3,0)</f>
        <v>#REF!</v>
      </c>
      <c r="D19" s="7" t="e">
        <f>VLOOKUP(A:A,#REF!,4,0)</f>
        <v>#REF!</v>
      </c>
      <c r="E19" s="7" t="e">
        <f>VLOOKUP(A:A,#REF!,5,0)</f>
        <v>#REF!</v>
      </c>
      <c r="F19" s="7" t="e">
        <f>VLOOKUP(A:A,#REF!,2,0)</f>
        <v>#REF!</v>
      </c>
      <c r="G19" s="7" t="e">
        <f>VLOOKUP(A:A,#REF!,3,0)</f>
        <v>#REF!</v>
      </c>
      <c r="H19" s="7" t="e">
        <f>VLOOKUP(A:A,#REF!,4,0)</f>
        <v>#REF!</v>
      </c>
      <c r="I19" s="7" t="e">
        <f>VLOOKUP(A19,#REF!,2,0)</f>
        <v>#REF!</v>
      </c>
      <c r="J19" s="7" t="e">
        <f>VLOOKUP(A19,#REF!,3,0)</f>
        <v>#REF!</v>
      </c>
      <c r="K19" s="7" t="e">
        <f>VLOOKUP(A:A,#REF!,4,0)</f>
        <v>#REF!</v>
      </c>
      <c r="L19" s="7" t="e">
        <f>VLOOKUP(A19,#REF!,5,0)</f>
        <v>#REF!</v>
      </c>
      <c r="M19" s="7" t="e">
        <f>VLOOKUP(A:A,#REF!,2,0)</f>
        <v>#REF!</v>
      </c>
      <c r="N19" s="7" t="e">
        <f>VLOOKUP(A:A,#REF!,3,0)</f>
        <v>#REF!</v>
      </c>
      <c r="O19" s="7" t="e">
        <f>VLOOKUP(A:A,#REF!,2,0)</f>
        <v>#REF!</v>
      </c>
      <c r="P19" s="7" t="e">
        <f>VLOOKUP(A:A,#REF!,3,0)</f>
        <v>#REF!</v>
      </c>
      <c r="Q19" s="7" t="e">
        <f>VLOOKUP(A:A,#REF!,2,0)</f>
        <v>#REF!</v>
      </c>
      <c r="R19" s="8" t="e">
        <f t="shared" si="0"/>
        <v>#REF!</v>
      </c>
    </row>
    <row r="20" spans="1:18" ht="21" customHeight="1" x14ac:dyDescent="0.3">
      <c r="A20" s="3" t="s">
        <v>34</v>
      </c>
      <c r="B20" s="7" t="e">
        <f>VLOOKUP(A:A,#REF!,2,0)</f>
        <v>#REF!</v>
      </c>
      <c r="C20" s="7" t="e">
        <f>VLOOKUP(A:A,#REF!,3,0)</f>
        <v>#REF!</v>
      </c>
      <c r="D20" s="7" t="e">
        <f>VLOOKUP(A:A,#REF!,4,0)</f>
        <v>#REF!</v>
      </c>
      <c r="E20" s="7" t="e">
        <f>VLOOKUP(A:A,#REF!,5,0)</f>
        <v>#REF!</v>
      </c>
      <c r="F20" s="7" t="e">
        <f>VLOOKUP(A:A,#REF!,2,0)</f>
        <v>#REF!</v>
      </c>
      <c r="G20" s="7" t="e">
        <f>VLOOKUP(A:A,#REF!,3,0)</f>
        <v>#REF!</v>
      </c>
      <c r="H20" s="7" t="e">
        <f>VLOOKUP(A:A,#REF!,4,0)</f>
        <v>#REF!</v>
      </c>
      <c r="I20" s="7" t="e">
        <f>VLOOKUP(A20,#REF!,2,0)</f>
        <v>#REF!</v>
      </c>
      <c r="J20" s="7" t="e">
        <f>VLOOKUP(A20,#REF!,3,0)</f>
        <v>#REF!</v>
      </c>
      <c r="K20" s="7" t="e">
        <f>VLOOKUP(A:A,#REF!,4,0)</f>
        <v>#REF!</v>
      </c>
      <c r="L20" s="7" t="e">
        <f>VLOOKUP(A20,#REF!,5,0)</f>
        <v>#REF!</v>
      </c>
      <c r="M20" s="7" t="e">
        <f>VLOOKUP(A:A,#REF!,2,0)</f>
        <v>#REF!</v>
      </c>
      <c r="N20" s="7" t="e">
        <f>VLOOKUP(A:A,#REF!,3,0)</f>
        <v>#REF!</v>
      </c>
      <c r="O20" s="7" t="e">
        <f>VLOOKUP(A:A,#REF!,2,0)</f>
        <v>#REF!</v>
      </c>
      <c r="P20" s="7" t="e">
        <f>VLOOKUP(A:A,#REF!,3,0)</f>
        <v>#REF!</v>
      </c>
      <c r="Q20" s="7" t="e">
        <f>VLOOKUP(A:A,#REF!,2,0)</f>
        <v>#REF!</v>
      </c>
      <c r="R20" s="8" t="e">
        <f t="shared" si="0"/>
        <v>#REF!</v>
      </c>
    </row>
    <row r="21" spans="1:18" ht="21" customHeight="1" x14ac:dyDescent="0.3">
      <c r="A21" s="3" t="s">
        <v>61</v>
      </c>
      <c r="B21" s="7" t="e">
        <f>VLOOKUP(A:A,#REF!,2,0)</f>
        <v>#REF!</v>
      </c>
      <c r="C21" s="7" t="e">
        <f>VLOOKUP(A:A,#REF!,3,0)</f>
        <v>#REF!</v>
      </c>
      <c r="D21" s="7" t="e">
        <f>VLOOKUP(A:A,#REF!,4,0)</f>
        <v>#REF!</v>
      </c>
      <c r="E21" s="7" t="e">
        <f>VLOOKUP(A:A,#REF!,5,0)</f>
        <v>#REF!</v>
      </c>
      <c r="F21" s="7" t="e">
        <f>VLOOKUP(A:A,#REF!,2,0)</f>
        <v>#REF!</v>
      </c>
      <c r="G21" s="7" t="e">
        <f>VLOOKUP(A:A,#REF!,3,0)</f>
        <v>#REF!</v>
      </c>
      <c r="H21" s="7" t="e">
        <f>VLOOKUP(A:A,#REF!,4,0)</f>
        <v>#REF!</v>
      </c>
      <c r="I21" s="7" t="e">
        <f>VLOOKUP(A21,#REF!,2,0)</f>
        <v>#REF!</v>
      </c>
      <c r="J21" s="7" t="e">
        <f>VLOOKUP(A21,#REF!,3,0)</f>
        <v>#REF!</v>
      </c>
      <c r="K21" s="7" t="e">
        <f>VLOOKUP(A:A,#REF!,4,0)</f>
        <v>#REF!</v>
      </c>
      <c r="L21" s="7" t="e">
        <f>VLOOKUP(A21,#REF!,5,0)</f>
        <v>#REF!</v>
      </c>
      <c r="M21" s="7" t="e">
        <f>VLOOKUP(A:A,#REF!,2,0)</f>
        <v>#REF!</v>
      </c>
      <c r="N21" s="7" t="e">
        <f>VLOOKUP(A:A,#REF!,3,0)</f>
        <v>#REF!</v>
      </c>
      <c r="O21" s="7" t="e">
        <f>VLOOKUP(A:A,#REF!,2,0)</f>
        <v>#REF!</v>
      </c>
      <c r="P21" s="7" t="e">
        <f>VLOOKUP(A:A,#REF!,3,0)</f>
        <v>#REF!</v>
      </c>
      <c r="Q21" s="7" t="e">
        <f>VLOOKUP(A:A,#REF!,2,0)</f>
        <v>#REF!</v>
      </c>
      <c r="R21" s="8" t="e">
        <f t="shared" si="0"/>
        <v>#REF!</v>
      </c>
    </row>
    <row r="22" spans="1:18" ht="21" customHeight="1" x14ac:dyDescent="0.3">
      <c r="A22" s="3" t="s">
        <v>46</v>
      </c>
      <c r="B22" s="7" t="e">
        <f>VLOOKUP(A:A,#REF!,2,0)</f>
        <v>#REF!</v>
      </c>
      <c r="C22" s="7" t="e">
        <f>VLOOKUP(A:A,#REF!,3,0)</f>
        <v>#REF!</v>
      </c>
      <c r="D22" s="7" t="e">
        <f>VLOOKUP(A:A,#REF!,4,0)</f>
        <v>#REF!</v>
      </c>
      <c r="E22" s="7" t="e">
        <f>VLOOKUP(A:A,#REF!,5,0)</f>
        <v>#REF!</v>
      </c>
      <c r="F22" s="7" t="e">
        <f>VLOOKUP(A:A,#REF!,2,0)</f>
        <v>#REF!</v>
      </c>
      <c r="G22" s="7" t="e">
        <f>VLOOKUP(A:A,#REF!,3,0)</f>
        <v>#REF!</v>
      </c>
      <c r="H22" s="7" t="e">
        <f>VLOOKUP(A:A,#REF!,4,0)</f>
        <v>#REF!</v>
      </c>
      <c r="I22" s="7" t="e">
        <f>VLOOKUP(A22,#REF!,2,0)</f>
        <v>#REF!</v>
      </c>
      <c r="J22" s="7" t="e">
        <f>VLOOKUP(A22,#REF!,3,0)</f>
        <v>#REF!</v>
      </c>
      <c r="K22" s="7" t="e">
        <f>VLOOKUP(A:A,#REF!,4,0)</f>
        <v>#REF!</v>
      </c>
      <c r="L22" s="7" t="e">
        <f>VLOOKUP(A22,#REF!,5,0)</f>
        <v>#REF!</v>
      </c>
      <c r="M22" s="7" t="e">
        <f>VLOOKUP(A:A,#REF!,2,0)</f>
        <v>#REF!</v>
      </c>
      <c r="N22" s="7" t="e">
        <f>VLOOKUP(A:A,#REF!,3,0)</f>
        <v>#REF!</v>
      </c>
      <c r="O22" s="7" t="e">
        <f>VLOOKUP(A:A,#REF!,2,0)</f>
        <v>#REF!</v>
      </c>
      <c r="P22" s="7" t="e">
        <f>VLOOKUP(A:A,#REF!,3,0)</f>
        <v>#REF!</v>
      </c>
      <c r="Q22" s="7" t="e">
        <f>VLOOKUP(A:A,#REF!,2,0)</f>
        <v>#REF!</v>
      </c>
      <c r="R22" s="8" t="e">
        <f t="shared" si="0"/>
        <v>#REF!</v>
      </c>
    </row>
    <row r="23" spans="1:18" ht="21" customHeight="1" x14ac:dyDescent="0.3">
      <c r="A23" s="3" t="s">
        <v>63</v>
      </c>
      <c r="B23" s="7" t="e">
        <f>VLOOKUP(A:A,#REF!,2,0)</f>
        <v>#REF!</v>
      </c>
      <c r="C23" s="7" t="e">
        <f>VLOOKUP(A:A,#REF!,3,0)</f>
        <v>#REF!</v>
      </c>
      <c r="D23" s="7" t="e">
        <f>VLOOKUP(A:A,#REF!,4,0)</f>
        <v>#REF!</v>
      </c>
      <c r="E23" s="7" t="e">
        <f>VLOOKUP(A:A,#REF!,5,0)</f>
        <v>#REF!</v>
      </c>
      <c r="F23" s="7" t="e">
        <f>VLOOKUP(A:A,#REF!,2,0)</f>
        <v>#REF!</v>
      </c>
      <c r="G23" s="7" t="e">
        <f>VLOOKUP(A:A,#REF!,3,0)</f>
        <v>#REF!</v>
      </c>
      <c r="H23" s="7" t="e">
        <f>VLOOKUP(A:A,#REF!,4,0)</f>
        <v>#REF!</v>
      </c>
      <c r="I23" s="7" t="e">
        <f>VLOOKUP(A23,#REF!,2,0)</f>
        <v>#REF!</v>
      </c>
      <c r="J23" s="7" t="e">
        <f>VLOOKUP(A23,#REF!,3,0)</f>
        <v>#REF!</v>
      </c>
      <c r="K23" s="7" t="e">
        <f>VLOOKUP(A:A,#REF!,4,0)</f>
        <v>#REF!</v>
      </c>
      <c r="L23" s="7" t="e">
        <f>VLOOKUP(A23,#REF!,5,0)</f>
        <v>#REF!</v>
      </c>
      <c r="M23" s="7"/>
      <c r="N23" s="7" t="e">
        <f>VLOOKUP(A:A,#REF!,3,0)</f>
        <v>#REF!</v>
      </c>
      <c r="O23" s="7" t="e">
        <f>VLOOKUP(A:A,#REF!,2,0)</f>
        <v>#REF!</v>
      </c>
      <c r="P23" s="7" t="e">
        <f>VLOOKUP(A:A,#REF!,3,0)</f>
        <v>#REF!</v>
      </c>
      <c r="Q23" s="7" t="e">
        <f>VLOOKUP(A:A,#REF!,2,0)</f>
        <v>#REF!</v>
      </c>
      <c r="R23" s="8" t="e">
        <f t="shared" si="0"/>
        <v>#REF!</v>
      </c>
    </row>
    <row r="24" spans="1:18" ht="21" customHeight="1" x14ac:dyDescent="0.3">
      <c r="A24" s="3" t="s">
        <v>62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 t="e">
        <f>VLOOKUP(A:A,#REF!,2,0)</f>
        <v>#REF!</v>
      </c>
      <c r="N24" s="7" t="e">
        <f>VLOOKUP(A:A,#REF!,3,0)</f>
        <v>#REF!</v>
      </c>
      <c r="O24" s="7"/>
      <c r="P24" s="7"/>
      <c r="Q24" s="7"/>
      <c r="R24" s="8" t="e">
        <f t="shared" si="0"/>
        <v>#REF!</v>
      </c>
    </row>
    <row r="25" spans="1:18" ht="21" customHeight="1" x14ac:dyDescent="0.3">
      <c r="A25" s="3" t="s">
        <v>47</v>
      </c>
      <c r="B25" s="7" t="e">
        <f>VLOOKUP(A:A,#REF!,2,0)</f>
        <v>#REF!</v>
      </c>
      <c r="C25" s="7" t="e">
        <f>VLOOKUP(A:A,#REF!,3,0)</f>
        <v>#REF!</v>
      </c>
      <c r="D25" s="7" t="e">
        <f>VLOOKUP(A:A,#REF!,4,0)</f>
        <v>#REF!</v>
      </c>
      <c r="E25" s="7" t="e">
        <f>VLOOKUP(A:A,#REF!,5,0)</f>
        <v>#REF!</v>
      </c>
      <c r="F25" s="11" t="str">
        <f>IFERROR(VLOOKUP(A:A,#REF!,2,0),"0")</f>
        <v>0</v>
      </c>
      <c r="G25" s="7" t="e">
        <f>VLOOKUP(A:A,#REF!,3,0)</f>
        <v>#REF!</v>
      </c>
      <c r="H25" s="7" t="e">
        <f>VLOOKUP(A:A,#REF!,4,0)</f>
        <v>#REF!</v>
      </c>
      <c r="I25" s="7" t="e">
        <f>VLOOKUP(A25,#REF!,2,0)</f>
        <v>#REF!</v>
      </c>
      <c r="J25" s="7" t="e">
        <f>VLOOKUP(A25,#REF!,3,0)</f>
        <v>#REF!</v>
      </c>
      <c r="K25" s="7" t="e">
        <f>VLOOKUP(A:A,#REF!,4,0)</f>
        <v>#REF!</v>
      </c>
      <c r="L25" s="7" t="e">
        <f>VLOOKUP(A25,#REF!,5,0)</f>
        <v>#REF!</v>
      </c>
      <c r="M25" s="7" t="e">
        <f>VLOOKUP(A:A,#REF!,2,0)</f>
        <v>#REF!</v>
      </c>
      <c r="N25" s="7" t="e">
        <f>VLOOKUP(A:A,#REF!,3,0)</f>
        <v>#REF!</v>
      </c>
      <c r="O25" s="7" t="e">
        <f>VLOOKUP(A:A,#REF!,2,0)</f>
        <v>#REF!</v>
      </c>
      <c r="P25" s="7" t="e">
        <f>VLOOKUP(A:A,#REF!,3,0)</f>
        <v>#REF!</v>
      </c>
      <c r="Q25" s="7" t="e">
        <f>VLOOKUP(A:A,#REF!,2,0)</f>
        <v>#REF!</v>
      </c>
      <c r="R25" s="8" t="e">
        <f t="shared" si="0"/>
        <v>#REF!</v>
      </c>
    </row>
    <row r="26" spans="1:18" ht="21" customHeight="1" x14ac:dyDescent="0.3">
      <c r="A26" s="3" t="s">
        <v>52</v>
      </c>
      <c r="B26" s="7" t="e">
        <f>VLOOKUP(A:A,#REF!,2,0)</f>
        <v>#REF!</v>
      </c>
      <c r="C26" s="7" t="e">
        <f>VLOOKUP(A:A,#REF!,3,0)</f>
        <v>#REF!</v>
      </c>
      <c r="D26" s="7" t="e">
        <f>VLOOKUP(A:A,#REF!,4,0)</f>
        <v>#REF!</v>
      </c>
      <c r="E26" s="7" t="e">
        <f>VLOOKUP(A:A,#REF!,5,0)</f>
        <v>#REF!</v>
      </c>
      <c r="F26" s="7" t="e">
        <f>VLOOKUP(A:A,#REF!,2,0)</f>
        <v>#REF!</v>
      </c>
      <c r="G26" s="7" t="e">
        <f>VLOOKUP(A:A,#REF!,3,0)</f>
        <v>#REF!</v>
      </c>
      <c r="H26" s="7" t="e">
        <f>VLOOKUP(A:A,#REF!,4,0)</f>
        <v>#REF!</v>
      </c>
      <c r="I26" s="7" t="e">
        <f>VLOOKUP(A26,#REF!,2,0)</f>
        <v>#REF!</v>
      </c>
      <c r="J26" s="7" t="e">
        <f>VLOOKUP(A26,#REF!,3,0)</f>
        <v>#REF!</v>
      </c>
      <c r="K26" s="7" t="e">
        <f>VLOOKUP(A:A,#REF!,4,0)</f>
        <v>#REF!</v>
      </c>
      <c r="L26" s="7" t="e">
        <f>VLOOKUP(A26,#REF!,5,0)</f>
        <v>#REF!</v>
      </c>
      <c r="M26" s="7" t="e">
        <f>VLOOKUP(A:A,#REF!,2,0)</f>
        <v>#REF!</v>
      </c>
      <c r="N26" s="7" t="e">
        <f>VLOOKUP(A:A,#REF!,3,0)</f>
        <v>#REF!</v>
      </c>
      <c r="O26" s="7" t="e">
        <f>VLOOKUP(A:A,#REF!,2,0)</f>
        <v>#REF!</v>
      </c>
      <c r="P26" s="7" t="e">
        <f>VLOOKUP(A:A,#REF!,3,0)</f>
        <v>#REF!</v>
      </c>
      <c r="Q26" s="7" t="e">
        <f>VLOOKUP(A:A,#REF!,2,0)</f>
        <v>#REF!</v>
      </c>
      <c r="R26" s="8" t="e">
        <f t="shared" si="0"/>
        <v>#REF!</v>
      </c>
    </row>
    <row r="27" spans="1:18" ht="21" customHeight="1" x14ac:dyDescent="0.3">
      <c r="A27" s="3" t="s">
        <v>42</v>
      </c>
      <c r="B27" s="7" t="e">
        <f>VLOOKUP(A:A,#REF!,2,0)</f>
        <v>#REF!</v>
      </c>
      <c r="C27" s="7" t="e">
        <f>VLOOKUP(A:A,#REF!,3,0)</f>
        <v>#REF!</v>
      </c>
      <c r="D27" s="7" t="e">
        <f>VLOOKUP(A:A,#REF!,4,0)</f>
        <v>#REF!</v>
      </c>
      <c r="E27" s="7" t="e">
        <f>VLOOKUP(A:A,#REF!,5,0)</f>
        <v>#REF!</v>
      </c>
      <c r="F27" s="7" t="e">
        <f>VLOOKUP(A:A,#REF!,2,0)</f>
        <v>#REF!</v>
      </c>
      <c r="G27" s="7" t="e">
        <f>VLOOKUP(A:A,#REF!,3,0)</f>
        <v>#REF!</v>
      </c>
      <c r="H27" s="7" t="e">
        <f>VLOOKUP(A:A,#REF!,4,0)</f>
        <v>#REF!</v>
      </c>
      <c r="I27" s="7" t="e">
        <f>VLOOKUP(A27,#REF!,2,0)</f>
        <v>#REF!</v>
      </c>
      <c r="J27" s="7" t="e">
        <f>VLOOKUP(A27,#REF!,3,0)</f>
        <v>#REF!</v>
      </c>
      <c r="K27" s="7" t="e">
        <f>VLOOKUP(A:A,#REF!,4,0)</f>
        <v>#REF!</v>
      </c>
      <c r="L27" s="7" t="e">
        <f>VLOOKUP(A27,#REF!,5,0)</f>
        <v>#REF!</v>
      </c>
      <c r="M27" s="7" t="e">
        <f>VLOOKUP(A:A,#REF!,2,0)</f>
        <v>#REF!</v>
      </c>
      <c r="N27" s="7" t="e">
        <f>VLOOKUP(A:A,#REF!,3,0)</f>
        <v>#REF!</v>
      </c>
      <c r="O27" s="7" t="e">
        <f>VLOOKUP(A:A,#REF!,2,0)</f>
        <v>#REF!</v>
      </c>
      <c r="P27" s="7" t="e">
        <f>VLOOKUP(A:A,#REF!,3,0)</f>
        <v>#REF!</v>
      </c>
      <c r="Q27" s="7" t="e">
        <f>VLOOKUP(A:A,#REF!,2,0)</f>
        <v>#REF!</v>
      </c>
      <c r="R27" s="8" t="e">
        <f t="shared" si="0"/>
        <v>#REF!</v>
      </c>
    </row>
    <row r="28" spans="1:18" ht="21" customHeight="1" x14ac:dyDescent="0.3">
      <c r="A28" s="3" t="s">
        <v>35</v>
      </c>
      <c r="B28" s="7" t="e">
        <f>VLOOKUP(A:A,#REF!,2,0)</f>
        <v>#REF!</v>
      </c>
      <c r="C28" s="7" t="e">
        <f>VLOOKUP(A:A,#REF!,3,0)</f>
        <v>#REF!</v>
      </c>
      <c r="D28" s="7" t="e">
        <f>VLOOKUP(A:A,#REF!,4,0)</f>
        <v>#REF!</v>
      </c>
      <c r="E28" s="7" t="e">
        <f>VLOOKUP(A:A,#REF!,5,0)</f>
        <v>#REF!</v>
      </c>
      <c r="F28" s="7" t="e">
        <f>VLOOKUP(A:A,#REF!,2,0)</f>
        <v>#REF!</v>
      </c>
      <c r="G28" s="7" t="e">
        <f>VLOOKUP(A:A,#REF!,3,0)</f>
        <v>#REF!</v>
      </c>
      <c r="H28" s="7" t="e">
        <f>VLOOKUP(A:A,#REF!,4,0)</f>
        <v>#REF!</v>
      </c>
      <c r="I28" s="7" t="e">
        <f>VLOOKUP(A28,#REF!,2,0)</f>
        <v>#REF!</v>
      </c>
      <c r="J28" s="7" t="e">
        <f>VLOOKUP(A28,#REF!,3,0)</f>
        <v>#REF!</v>
      </c>
      <c r="K28" s="7" t="e">
        <f>VLOOKUP(A:A,#REF!,4,0)</f>
        <v>#REF!</v>
      </c>
      <c r="L28" s="7" t="e">
        <f>VLOOKUP(A28,#REF!,5,0)</f>
        <v>#REF!</v>
      </c>
      <c r="M28" s="7" t="e">
        <f>VLOOKUP(A:A,#REF!,2,0)</f>
        <v>#REF!</v>
      </c>
      <c r="N28" s="7" t="e">
        <f>VLOOKUP(A:A,#REF!,3,0)</f>
        <v>#REF!</v>
      </c>
      <c r="O28" s="7" t="e">
        <f>VLOOKUP(A:A,#REF!,2,0)</f>
        <v>#REF!</v>
      </c>
      <c r="P28" s="7" t="e">
        <f>VLOOKUP(A:A,#REF!,3,0)</f>
        <v>#REF!</v>
      </c>
      <c r="Q28" s="7" t="e">
        <f>VLOOKUP(A:A,#REF!,2,0)</f>
        <v>#REF!</v>
      </c>
      <c r="R28" s="8" t="e">
        <f t="shared" si="0"/>
        <v>#REF!</v>
      </c>
    </row>
    <row r="29" spans="1:18" ht="21" customHeight="1" x14ac:dyDescent="0.3">
      <c r="A29" s="3" t="s">
        <v>41</v>
      </c>
      <c r="B29" s="7" t="e">
        <f>VLOOKUP(A:A,#REF!,2,0)</f>
        <v>#REF!</v>
      </c>
      <c r="C29" s="7" t="e">
        <f>VLOOKUP(A:A,#REF!,3,0)</f>
        <v>#REF!</v>
      </c>
      <c r="D29" s="7" t="e">
        <f>VLOOKUP(A:A,#REF!,4,0)</f>
        <v>#REF!</v>
      </c>
      <c r="E29" s="7" t="e">
        <f>VLOOKUP(A:A,#REF!,5,0)</f>
        <v>#REF!</v>
      </c>
      <c r="F29" s="7" t="e">
        <f>VLOOKUP(A:A,#REF!,2,0)</f>
        <v>#REF!</v>
      </c>
      <c r="G29" s="7" t="e">
        <f>VLOOKUP(A:A,#REF!,3,0)</f>
        <v>#REF!</v>
      </c>
      <c r="H29" s="7" t="e">
        <f>VLOOKUP(A:A,#REF!,4,0)</f>
        <v>#REF!</v>
      </c>
      <c r="I29" s="7" t="e">
        <f>VLOOKUP(A29,#REF!,2,0)</f>
        <v>#REF!</v>
      </c>
      <c r="J29" s="7" t="e">
        <f>VLOOKUP(A29,#REF!,3,0)</f>
        <v>#REF!</v>
      </c>
      <c r="K29" s="7" t="e">
        <f>VLOOKUP(A:A,#REF!,4,0)</f>
        <v>#REF!</v>
      </c>
      <c r="L29" s="7" t="e">
        <f>VLOOKUP(A29,#REF!,5,0)</f>
        <v>#REF!</v>
      </c>
      <c r="M29" s="7" t="e">
        <f>VLOOKUP(A:A,#REF!,2,0)</f>
        <v>#REF!</v>
      </c>
      <c r="N29" s="7" t="e">
        <f>VLOOKUP(A:A,#REF!,3,0)</f>
        <v>#REF!</v>
      </c>
      <c r="O29" s="7" t="e">
        <f>VLOOKUP(A:A,#REF!,2,0)</f>
        <v>#REF!</v>
      </c>
      <c r="P29" s="7" t="e">
        <f>VLOOKUP(A:A,#REF!,3,0)</f>
        <v>#REF!</v>
      </c>
      <c r="Q29" s="7" t="e">
        <f>VLOOKUP(A:A,#REF!,2,0)</f>
        <v>#REF!</v>
      </c>
      <c r="R29" s="8" t="e">
        <f t="shared" si="0"/>
        <v>#REF!</v>
      </c>
    </row>
    <row r="30" spans="1:18" ht="21" customHeight="1" x14ac:dyDescent="0.3">
      <c r="A30" s="4" t="s">
        <v>3</v>
      </c>
      <c r="B30" s="5" t="e">
        <f t="shared" ref="B30:H30" si="1">SUM(B3:B29)</f>
        <v>#REF!</v>
      </c>
      <c r="C30" s="5" t="e">
        <f t="shared" si="1"/>
        <v>#REF!</v>
      </c>
      <c r="D30" s="5" t="e">
        <f t="shared" si="1"/>
        <v>#REF!</v>
      </c>
      <c r="E30" s="5" t="e">
        <f t="shared" si="1"/>
        <v>#REF!</v>
      </c>
      <c r="F30" s="5" t="e">
        <f t="shared" si="1"/>
        <v>#REF!</v>
      </c>
      <c r="G30" s="5" t="e">
        <f t="shared" si="1"/>
        <v>#REF!</v>
      </c>
      <c r="H30" s="5" t="e">
        <f t="shared" si="1"/>
        <v>#REF!</v>
      </c>
      <c r="I30" s="5" t="e">
        <f t="shared" ref="I30:R30" si="2">SUM(I3:I29)</f>
        <v>#REF!</v>
      </c>
      <c r="J30" s="5" t="e">
        <f t="shared" si="2"/>
        <v>#REF!</v>
      </c>
      <c r="K30" s="5" t="e">
        <f t="shared" si="2"/>
        <v>#REF!</v>
      </c>
      <c r="L30" s="5" t="e">
        <f t="shared" si="2"/>
        <v>#REF!</v>
      </c>
      <c r="M30" s="5" t="e">
        <f t="shared" si="2"/>
        <v>#REF!</v>
      </c>
      <c r="N30" s="5" t="e">
        <f t="shared" si="2"/>
        <v>#REF!</v>
      </c>
      <c r="O30" s="5" t="e">
        <f>SUM(O3:O29)</f>
        <v>#REF!</v>
      </c>
      <c r="P30" s="5" t="e">
        <f t="shared" si="2"/>
        <v>#REF!</v>
      </c>
      <c r="Q30" s="5" t="e">
        <f t="shared" si="2"/>
        <v>#REF!</v>
      </c>
      <c r="R30" s="5" t="e">
        <f t="shared" si="2"/>
        <v>#REF!</v>
      </c>
    </row>
  </sheetData>
  <phoneticPr fontId="13" type="noConversion"/>
  <printOptions horizontalCentered="1" verticalCentered="1"/>
  <pageMargins left="0" right="0" top="0" bottom="0" header="0" footer="0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FFC000"/>
  </sheetPr>
  <dimension ref="A1:G39"/>
  <sheetViews>
    <sheetView zoomScale="70" zoomScaleNormal="70" workbookViewId="0">
      <selection activeCell="E46" sqref="E46"/>
    </sheetView>
  </sheetViews>
  <sheetFormatPr defaultRowHeight="15" customHeight="1" x14ac:dyDescent="0.3"/>
  <cols>
    <col min="1" max="1" width="33.25" bestFit="1" customWidth="1"/>
    <col min="2" max="2" width="16.75" bestFit="1" customWidth="1"/>
    <col min="3" max="3" width="7.5" bestFit="1" customWidth="1"/>
    <col min="4" max="4" width="11" bestFit="1" customWidth="1"/>
  </cols>
  <sheetData>
    <row r="1" spans="1:7" ht="15" customHeight="1" x14ac:dyDescent="0.3">
      <c r="A1" s="21" t="s">
        <v>128</v>
      </c>
      <c r="B1" t="s">
        <v>89</v>
      </c>
    </row>
    <row r="2" spans="1:7" ht="15" customHeight="1" x14ac:dyDescent="0.3">
      <c r="A2" t="s">
        <v>67</v>
      </c>
      <c r="B2" s="30" t="s">
        <v>127</v>
      </c>
      <c r="C2" t="s">
        <v>3</v>
      </c>
      <c r="D2" s="146"/>
      <c r="G2" s="30"/>
    </row>
    <row r="3" spans="1:7" ht="10.5" customHeight="1" x14ac:dyDescent="0.3">
      <c r="A3" t="s">
        <v>50</v>
      </c>
    </row>
    <row r="4" spans="1:7" ht="15" customHeight="1" x14ac:dyDescent="0.3">
      <c r="A4" t="s">
        <v>35</v>
      </c>
    </row>
    <row r="5" spans="1:7" ht="15" customHeight="1" x14ac:dyDescent="0.3">
      <c r="A5" t="s">
        <v>46</v>
      </c>
      <c r="D5" s="19"/>
    </row>
    <row r="6" spans="1:7" ht="15" customHeight="1" x14ac:dyDescent="0.3">
      <c r="A6" t="s">
        <v>56</v>
      </c>
      <c r="D6" s="19"/>
    </row>
    <row r="7" spans="1:7" ht="15" customHeight="1" x14ac:dyDescent="0.3">
      <c r="A7" t="s">
        <v>48</v>
      </c>
      <c r="D7" s="19"/>
    </row>
    <row r="8" spans="1:7" ht="15" customHeight="1" x14ac:dyDescent="0.3">
      <c r="A8" t="s">
        <v>57</v>
      </c>
      <c r="D8" s="19"/>
    </row>
    <row r="9" spans="1:7" ht="15" customHeight="1" x14ac:dyDescent="0.3">
      <c r="A9" t="s">
        <v>59</v>
      </c>
      <c r="D9" s="19"/>
    </row>
    <row r="10" spans="1:7" ht="15" customHeight="1" x14ac:dyDescent="0.3">
      <c r="A10" t="s">
        <v>84</v>
      </c>
      <c r="D10" s="19"/>
    </row>
    <row r="11" spans="1:7" ht="15" customHeight="1" x14ac:dyDescent="0.3">
      <c r="A11" t="s">
        <v>41</v>
      </c>
      <c r="D11" s="19"/>
    </row>
    <row r="12" spans="1:7" ht="15" customHeight="1" x14ac:dyDescent="0.3">
      <c r="A12" t="s">
        <v>62</v>
      </c>
      <c r="D12" s="19"/>
    </row>
    <row r="13" spans="1:7" ht="15" customHeight="1" x14ac:dyDescent="0.3">
      <c r="A13" t="s">
        <v>90</v>
      </c>
      <c r="D13" s="19"/>
    </row>
    <row r="14" spans="1:7" ht="15" customHeight="1" x14ac:dyDescent="0.3">
      <c r="A14" t="s">
        <v>91</v>
      </c>
      <c r="D14" s="19"/>
    </row>
    <row r="15" spans="1:7" ht="15" customHeight="1" x14ac:dyDescent="0.3">
      <c r="A15" t="s">
        <v>52</v>
      </c>
      <c r="D15" s="19"/>
    </row>
    <row r="16" spans="1:7" ht="15" customHeight="1" x14ac:dyDescent="0.3">
      <c r="A16" t="s">
        <v>73</v>
      </c>
      <c r="D16" s="19"/>
    </row>
    <row r="17" spans="1:4" ht="15" customHeight="1" x14ac:dyDescent="0.3">
      <c r="A17" t="s">
        <v>74</v>
      </c>
      <c r="D17" s="19"/>
    </row>
    <row r="18" spans="1:4" ht="15" customHeight="1" x14ac:dyDescent="0.3">
      <c r="A18" t="s">
        <v>55</v>
      </c>
      <c r="D18" s="19"/>
    </row>
    <row r="19" spans="1:4" ht="15" customHeight="1" x14ac:dyDescent="0.3">
      <c r="A19" t="s">
        <v>81</v>
      </c>
      <c r="D19" s="19"/>
    </row>
    <row r="20" spans="1:4" ht="15" customHeight="1" x14ac:dyDescent="0.3">
      <c r="A20" t="s">
        <v>82</v>
      </c>
      <c r="D20" s="19"/>
    </row>
    <row r="21" spans="1:4" ht="15" customHeight="1" x14ac:dyDescent="0.3">
      <c r="A21" t="s">
        <v>100</v>
      </c>
      <c r="D21" s="19"/>
    </row>
    <row r="22" spans="1:4" ht="15" customHeight="1" x14ac:dyDescent="0.3">
      <c r="A22" t="s">
        <v>103</v>
      </c>
      <c r="D22" s="19"/>
    </row>
    <row r="23" spans="1:4" ht="15" customHeight="1" x14ac:dyDescent="0.3">
      <c r="A23" t="s">
        <v>58</v>
      </c>
      <c r="D23" s="19"/>
    </row>
    <row r="24" spans="1:4" ht="15" customHeight="1" x14ac:dyDescent="0.3">
      <c r="A24" t="s">
        <v>53</v>
      </c>
      <c r="D24" s="19"/>
    </row>
    <row r="25" spans="1:4" ht="15" customHeight="1" x14ac:dyDescent="0.3">
      <c r="A25" t="s">
        <v>71</v>
      </c>
      <c r="D25" s="19"/>
    </row>
    <row r="26" spans="1:4" ht="15" customHeight="1" x14ac:dyDescent="0.3">
      <c r="A26" t="s">
        <v>51</v>
      </c>
      <c r="D26" s="19"/>
    </row>
    <row r="27" spans="1:4" ht="15" customHeight="1" x14ac:dyDescent="0.3">
      <c r="A27" t="s">
        <v>37</v>
      </c>
      <c r="D27" s="19"/>
    </row>
    <row r="28" spans="1:4" ht="15" customHeight="1" x14ac:dyDescent="0.3">
      <c r="A28" t="s">
        <v>54</v>
      </c>
      <c r="D28" s="19"/>
    </row>
    <row r="29" spans="1:4" ht="15" customHeight="1" x14ac:dyDescent="0.3">
      <c r="A29" t="s">
        <v>60</v>
      </c>
      <c r="D29" s="19"/>
    </row>
    <row r="30" spans="1:4" ht="15" customHeight="1" x14ac:dyDescent="0.3">
      <c r="A30" t="s">
        <v>40</v>
      </c>
      <c r="D30" s="19"/>
    </row>
    <row r="31" spans="1:4" ht="15" customHeight="1" x14ac:dyDescent="0.3">
      <c r="A31" t="s">
        <v>38</v>
      </c>
      <c r="D31" s="19"/>
    </row>
    <row r="32" spans="1:4" ht="15" customHeight="1" x14ac:dyDescent="0.3">
      <c r="A32" t="s">
        <v>45</v>
      </c>
      <c r="D32" s="19"/>
    </row>
    <row r="33" spans="1:4" ht="15" customHeight="1" x14ac:dyDescent="0.3">
      <c r="A33" t="s">
        <v>39</v>
      </c>
      <c r="D33" s="19"/>
    </row>
    <row r="34" spans="1:4" ht="15" customHeight="1" x14ac:dyDescent="0.3">
      <c r="A34" t="s">
        <v>85</v>
      </c>
      <c r="D34" s="19"/>
    </row>
    <row r="35" spans="1:4" ht="15" customHeight="1" x14ac:dyDescent="0.3">
      <c r="A35" t="s">
        <v>86</v>
      </c>
      <c r="D35" s="19"/>
    </row>
    <row r="36" spans="1:4" ht="15" customHeight="1" x14ac:dyDescent="0.3">
      <c r="A36" t="s">
        <v>75</v>
      </c>
      <c r="D36" s="19"/>
    </row>
    <row r="37" spans="1:4" ht="15" customHeight="1" x14ac:dyDescent="0.3">
      <c r="A37" t="s">
        <v>76</v>
      </c>
      <c r="D37" s="19"/>
    </row>
    <row r="38" spans="1:4" ht="15" customHeight="1" x14ac:dyDescent="0.3">
      <c r="A38" t="s">
        <v>77</v>
      </c>
      <c r="D38" s="19"/>
    </row>
    <row r="39" spans="1:4" ht="15" customHeight="1" x14ac:dyDescent="0.3">
      <c r="A39" t="s">
        <v>3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FFC000"/>
    <pageSetUpPr fitToPage="1"/>
  </sheetPr>
  <dimension ref="A1:H52"/>
  <sheetViews>
    <sheetView zoomScale="40" zoomScaleNormal="40" zoomScaleSheetLayoutView="70" workbookViewId="0">
      <selection activeCell="E46" sqref="E46"/>
    </sheetView>
  </sheetViews>
  <sheetFormatPr defaultColWidth="9" defaultRowHeight="16.5" x14ac:dyDescent="0.3"/>
  <cols>
    <col min="1" max="1" width="31.5" style="34" customWidth="1"/>
    <col min="2" max="2" width="7.625" style="38" customWidth="1"/>
    <col min="3" max="3" width="27.75" style="34" customWidth="1"/>
    <col min="4" max="4" width="9.875" style="2" customWidth="1"/>
    <col min="5" max="5" width="11.375" style="34" customWidth="1"/>
    <col min="6" max="6" width="11.125" style="2" customWidth="1"/>
    <col min="7" max="8" width="12.25" style="34" customWidth="1"/>
    <col min="9" max="16384" width="9" style="34"/>
  </cols>
  <sheetData>
    <row r="1" spans="1:8" ht="25.9" customHeight="1" thickBot="1" x14ac:dyDescent="0.35">
      <c r="A1" s="231" t="s">
        <v>88</v>
      </c>
      <c r="B1" s="231"/>
      <c r="C1" s="231"/>
      <c r="D1" s="231"/>
      <c r="E1" s="231"/>
      <c r="F1" s="231"/>
    </row>
    <row r="2" spans="1:8" ht="25.9" customHeight="1" thickBot="1" x14ac:dyDescent="0.35">
      <c r="A2" s="60">
        <f ca="1">TODAY()</f>
        <v>46309</v>
      </c>
      <c r="B2" s="232" t="s">
        <v>125</v>
      </c>
      <c r="C2" s="232"/>
      <c r="D2" s="232"/>
      <c r="E2" s="232"/>
      <c r="F2" s="233"/>
      <c r="G2" s="144" t="s">
        <v>92</v>
      </c>
      <c r="H2" s="144" t="s">
        <v>83</v>
      </c>
    </row>
    <row r="3" spans="1:8" ht="40.5" customHeight="1" x14ac:dyDescent="0.3">
      <c r="A3" s="127" t="s">
        <v>67</v>
      </c>
      <c r="B3" s="91" t="s">
        <v>13</v>
      </c>
      <c r="C3" s="119" t="s">
        <v>126</v>
      </c>
      <c r="D3" s="92" t="s">
        <v>2</v>
      </c>
      <c r="E3" s="91" t="s">
        <v>23</v>
      </c>
      <c r="F3" s="128" t="s">
        <v>14</v>
      </c>
    </row>
    <row r="4" spans="1:8" ht="25.35" customHeight="1" x14ac:dyDescent="0.3">
      <c r="A4" s="129" t="s">
        <v>46</v>
      </c>
      <c r="B4" s="103">
        <v>10</v>
      </c>
      <c r="C4" s="104">
        <f>IFERROR(VLOOKUP(A4,신라명과피벗!A:HN,2,FALSE),0)</f>
        <v>0</v>
      </c>
      <c r="D4" s="105">
        <f t="shared" ref="D4:D11" si="0">IFERROR(ROUNDDOWN(C4/B4,0),"")</f>
        <v>0</v>
      </c>
      <c r="E4" s="106" t="s">
        <v>106</v>
      </c>
      <c r="F4" s="130">
        <f t="shared" ref="F4:F11" si="1">IFERROR(C4-(D4*B4),"")</f>
        <v>0</v>
      </c>
    </row>
    <row r="5" spans="1:8" ht="25.35" customHeight="1" x14ac:dyDescent="0.3">
      <c r="A5" s="131" t="s">
        <v>56</v>
      </c>
      <c r="B5" s="107">
        <f>$B$4</f>
        <v>10</v>
      </c>
      <c r="C5" s="108">
        <f>IFERROR(VLOOKUP(A5,신라명과피벗!A:HN,2,FALSE),0)</f>
        <v>0</v>
      </c>
      <c r="D5" s="109">
        <f t="shared" si="0"/>
        <v>0</v>
      </c>
      <c r="E5" s="110" t="s">
        <v>107</v>
      </c>
      <c r="F5" s="132">
        <f t="shared" si="1"/>
        <v>0</v>
      </c>
    </row>
    <row r="6" spans="1:8" ht="25.35" customHeight="1" x14ac:dyDescent="0.3">
      <c r="A6" s="49" t="s">
        <v>84</v>
      </c>
      <c r="B6" s="160">
        <f t="shared" ref="B6:B11" si="2">$B$4</f>
        <v>10</v>
      </c>
      <c r="C6" s="24">
        <f>IFERROR(VLOOKUP(A6,신라명과피벗!A:HN,2,FALSE),0)</f>
        <v>0</v>
      </c>
      <c r="D6" s="20">
        <f t="shared" si="0"/>
        <v>0</v>
      </c>
      <c r="E6" s="51" t="s">
        <v>120</v>
      </c>
      <c r="F6" s="26">
        <f t="shared" si="1"/>
        <v>0</v>
      </c>
    </row>
    <row r="7" spans="1:8" ht="25.35" customHeight="1" x14ac:dyDescent="0.3">
      <c r="A7" s="133" t="s">
        <v>41</v>
      </c>
      <c r="B7" s="107">
        <f t="shared" si="2"/>
        <v>10</v>
      </c>
      <c r="C7" s="111">
        <f>IFERROR(VLOOKUP(A7,신라명과피벗!A:HN,2,FALSE),0)</f>
        <v>0</v>
      </c>
      <c r="D7" s="112">
        <f t="shared" si="0"/>
        <v>0</v>
      </c>
      <c r="E7" s="113" t="s">
        <v>118</v>
      </c>
      <c r="F7" s="134">
        <f t="shared" si="1"/>
        <v>0</v>
      </c>
    </row>
    <row r="8" spans="1:8" ht="25.35" customHeight="1" x14ac:dyDescent="0.3">
      <c r="A8" s="49" t="s">
        <v>62</v>
      </c>
      <c r="B8" s="160">
        <f t="shared" si="2"/>
        <v>10</v>
      </c>
      <c r="C8" s="24">
        <f>IFERROR(VLOOKUP(A8,신라명과피벗!A:HN,2,FALSE),0)</f>
        <v>0</v>
      </c>
      <c r="D8" s="20">
        <f t="shared" si="0"/>
        <v>0</v>
      </c>
      <c r="E8" s="51" t="s">
        <v>119</v>
      </c>
      <c r="F8" s="26">
        <f t="shared" si="1"/>
        <v>0</v>
      </c>
    </row>
    <row r="9" spans="1:8" ht="25.35" customHeight="1" x14ac:dyDescent="0.3">
      <c r="A9" s="135" t="s">
        <v>73</v>
      </c>
      <c r="B9" s="107">
        <f t="shared" si="2"/>
        <v>10</v>
      </c>
      <c r="C9" s="111">
        <f>IFERROR(VLOOKUP(A9,신라명과피벗!A:HN,2,FALSE),0)</f>
        <v>0</v>
      </c>
      <c r="D9" s="112">
        <f t="shared" si="0"/>
        <v>0</v>
      </c>
      <c r="E9" s="113" t="s">
        <v>22</v>
      </c>
      <c r="F9" s="134">
        <f t="shared" si="1"/>
        <v>0</v>
      </c>
    </row>
    <row r="10" spans="1:8" ht="25.35" customHeight="1" x14ac:dyDescent="0.3">
      <c r="A10" s="49" t="s">
        <v>74</v>
      </c>
      <c r="B10" s="160">
        <f t="shared" si="2"/>
        <v>10</v>
      </c>
      <c r="C10" s="24">
        <f>IFERROR(VLOOKUP(A10,신라명과피벗!A:HN,2,FALSE),0)</f>
        <v>0</v>
      </c>
      <c r="D10" s="20">
        <f t="shared" si="0"/>
        <v>0</v>
      </c>
      <c r="E10" s="51" t="s">
        <v>18</v>
      </c>
      <c r="F10" s="26">
        <f t="shared" si="1"/>
        <v>0</v>
      </c>
    </row>
    <row r="11" spans="1:8" ht="26.25" x14ac:dyDescent="0.3">
      <c r="A11" s="135" t="s">
        <v>93</v>
      </c>
      <c r="B11" s="107">
        <f t="shared" si="2"/>
        <v>10</v>
      </c>
      <c r="C11" s="111">
        <f>IFERROR(VLOOKUP(A11,신라명과피벗!A:HN,2,FALSE),0)</f>
        <v>0</v>
      </c>
      <c r="D11" s="112">
        <f t="shared" si="0"/>
        <v>0</v>
      </c>
      <c r="E11" s="113" t="s">
        <v>98</v>
      </c>
      <c r="F11" s="134">
        <f t="shared" si="1"/>
        <v>0</v>
      </c>
    </row>
    <row r="12" spans="1:8" ht="4.5" customHeight="1" thickBot="1" x14ac:dyDescent="0.35">
      <c r="A12" s="234"/>
      <c r="B12" s="235"/>
      <c r="C12" s="235"/>
      <c r="D12" s="235"/>
      <c r="E12" s="235"/>
      <c r="F12" s="236"/>
    </row>
    <row r="13" spans="1:8" ht="25.35" customHeight="1" thickBot="1" x14ac:dyDescent="0.35">
      <c r="A13" s="122" t="s">
        <v>121</v>
      </c>
      <c r="B13" s="123">
        <f>B4</f>
        <v>10</v>
      </c>
      <c r="C13" s="124">
        <f>SUM($C$4:$C$11)</f>
        <v>0</v>
      </c>
      <c r="D13" s="124">
        <f>IFERROR(ROUNDDOWN(C13/B13,0),"")</f>
        <v>0</v>
      </c>
      <c r="E13" s="125"/>
      <c r="F13" s="126">
        <f>IFERROR(C13-(D13*B13),"")</f>
        <v>0</v>
      </c>
    </row>
    <row r="14" spans="1:8" ht="15" customHeight="1" x14ac:dyDescent="0.3">
      <c r="A14" s="237"/>
      <c r="B14" s="237"/>
      <c r="C14" s="237"/>
      <c r="D14" s="237"/>
      <c r="E14" s="237"/>
      <c r="F14" s="237"/>
    </row>
    <row r="15" spans="1:8" ht="26.25" x14ac:dyDescent="0.3">
      <c r="A15" s="135" t="s">
        <v>90</v>
      </c>
      <c r="B15" s="114">
        <f>$B$4</f>
        <v>10</v>
      </c>
      <c r="C15" s="111">
        <f>IFERROR(VLOOKUP(A15,신라명과피벗!A:HN,2,FALSE),0)</f>
        <v>0</v>
      </c>
      <c r="D15" s="112">
        <f>IFERROR(ROUNDDOWN(C15/B15,0),"")</f>
        <v>0</v>
      </c>
      <c r="E15" s="113" t="s">
        <v>94</v>
      </c>
      <c r="F15" s="134">
        <f>IFERROR(C15-(D15*B15),"")</f>
        <v>0</v>
      </c>
    </row>
    <row r="16" spans="1:8" ht="25.35" customHeight="1" x14ac:dyDescent="0.3">
      <c r="A16" s="49" t="s">
        <v>91</v>
      </c>
      <c r="B16" s="50">
        <f>$B$4</f>
        <v>10</v>
      </c>
      <c r="C16" s="24">
        <f>IFERROR(VLOOKUP(A16,신라명과피벗!A:HN,2,FALSE),0)</f>
        <v>0</v>
      </c>
      <c r="D16" s="20">
        <f>IFERROR(ROUNDDOWN(C16/B16,0),"")</f>
        <v>0</v>
      </c>
      <c r="E16" s="51" t="s">
        <v>95</v>
      </c>
      <c r="F16" s="26">
        <f>IFERROR(C16-(D16*B16),"")</f>
        <v>0</v>
      </c>
    </row>
    <row r="17" spans="1:8" ht="25.35" customHeight="1" x14ac:dyDescent="0.3">
      <c r="A17" s="135" t="s">
        <v>52</v>
      </c>
      <c r="B17" s="114">
        <f>$B$4</f>
        <v>10</v>
      </c>
      <c r="C17" s="111">
        <f>IFERROR(VLOOKUP(A17,신라명과피벗!A:HN,2,FALSE),0)</f>
        <v>0</v>
      </c>
      <c r="D17" s="112">
        <f>IFERROR(ROUNDDOWN(C17/B17,0),"")</f>
        <v>0</v>
      </c>
      <c r="E17" s="113" t="s">
        <v>5</v>
      </c>
      <c r="F17" s="134">
        <f>IFERROR(C17-(D17*B17),"")</f>
        <v>0</v>
      </c>
    </row>
    <row r="18" spans="1:8" ht="5.25" customHeight="1" x14ac:dyDescent="0.3">
      <c r="A18" s="241"/>
      <c r="B18" s="242"/>
      <c r="C18" s="242"/>
      <c r="D18" s="242"/>
      <c r="E18" s="242"/>
      <c r="F18" s="243"/>
    </row>
    <row r="19" spans="1:8" ht="23.25" customHeight="1" thickBot="1" x14ac:dyDescent="0.35">
      <c r="A19" s="94" t="s">
        <v>123</v>
      </c>
      <c r="B19" s="95">
        <f>$B$4</f>
        <v>10</v>
      </c>
      <c r="C19" s="96">
        <f>SUM(C15:C17)</f>
        <v>0</v>
      </c>
      <c r="D19" s="96">
        <f>IFERROR(ROUNDDOWN(C19/B19,0),"")</f>
        <v>0</v>
      </c>
      <c r="E19" s="97"/>
      <c r="F19" s="98">
        <f>IFERROR(C19-(D19*B19),"")</f>
        <v>0</v>
      </c>
    </row>
    <row r="20" spans="1:8" ht="17.25" thickBot="1" x14ac:dyDescent="0.35">
      <c r="A20" s="230"/>
      <c r="B20" s="230"/>
      <c r="C20" s="230"/>
      <c r="D20" s="230"/>
      <c r="E20" s="230"/>
      <c r="F20" s="230"/>
    </row>
    <row r="21" spans="1:8" ht="25.35" customHeight="1" x14ac:dyDescent="0.3">
      <c r="A21" s="147" t="s">
        <v>105</v>
      </c>
      <c r="B21" s="148">
        <f>$B$4</f>
        <v>10</v>
      </c>
      <c r="C21" s="149">
        <f>IFERROR(VLOOKUP(A21,신라명과피벗!A:HN,2,FALSE),0)</f>
        <v>0</v>
      </c>
      <c r="D21" s="150">
        <f>IFERROR(ROUNDDOWN(C21/B21,0),"")</f>
        <v>0</v>
      </c>
      <c r="E21" s="151" t="s">
        <v>108</v>
      </c>
      <c r="F21" s="153">
        <f>IFERROR(C21-(D21*B21),"")</f>
        <v>0</v>
      </c>
    </row>
    <row r="22" spans="1:8" ht="25.35" customHeight="1" x14ac:dyDescent="0.3">
      <c r="A22" s="49" t="s">
        <v>35</v>
      </c>
      <c r="B22" s="50">
        <f t="shared" ref="B22:B46" si="3">$B$4</f>
        <v>10</v>
      </c>
      <c r="C22" s="24">
        <f>IFERROR(VLOOKUP(A22,신라명과피벗!A:HN,2,FALSE),0)</f>
        <v>0</v>
      </c>
      <c r="D22" s="20">
        <f>IFERROR(ROUNDDOWN(C22/B22,0),"")</f>
        <v>0</v>
      </c>
      <c r="E22" s="51" t="s">
        <v>109</v>
      </c>
      <c r="F22" s="26">
        <f>IFERROR(C22-(D22*B22),"")</f>
        <v>0</v>
      </c>
    </row>
    <row r="23" spans="1:8" ht="26.25" x14ac:dyDescent="0.3">
      <c r="A23" s="47" t="s">
        <v>48</v>
      </c>
      <c r="B23" s="37">
        <f t="shared" si="3"/>
        <v>10</v>
      </c>
      <c r="C23" s="27">
        <f>IFERROR(VLOOKUP(A23,신라명과피벗!A:HN,2,FALSE),0)</f>
        <v>0</v>
      </c>
      <c r="D23" s="28">
        <f>IFERROR(ROUNDDOWN(C23/B23,0),"")</f>
        <v>0</v>
      </c>
      <c r="E23" s="36" t="s">
        <v>115</v>
      </c>
      <c r="F23" s="31">
        <f>IFERROR(C23-(D23*B23),"")</f>
        <v>0</v>
      </c>
    </row>
    <row r="24" spans="1:8" ht="26.25" x14ac:dyDescent="0.3">
      <c r="A24" s="49" t="s">
        <v>57</v>
      </c>
      <c r="B24" s="50">
        <f t="shared" si="3"/>
        <v>10</v>
      </c>
      <c r="C24" s="24">
        <f>IFERROR(VLOOKUP(A24,신라명과피벗!A:HN,2,FALSE),0)</f>
        <v>0</v>
      </c>
      <c r="D24" s="20">
        <f>IFERROR(ROUNDDOWN(C24/B24,0),"")</f>
        <v>0</v>
      </c>
      <c r="E24" s="51" t="s">
        <v>116</v>
      </c>
      <c r="F24" s="26">
        <f>IFERROR(C24-(D24*B24),"")</f>
        <v>0</v>
      </c>
    </row>
    <row r="25" spans="1:8" ht="25.35" customHeight="1" x14ac:dyDescent="0.3">
      <c r="A25" s="47" t="s">
        <v>59</v>
      </c>
      <c r="B25" s="37">
        <f t="shared" si="3"/>
        <v>10</v>
      </c>
      <c r="C25" s="27">
        <f>IFERROR(VLOOKUP(A25,신라명과피벗!A:HN,2,FALSE),0)</f>
        <v>0</v>
      </c>
      <c r="D25" s="28">
        <f>IFERROR(ROUNDDOWN(C25/B25,0),"")</f>
        <v>0</v>
      </c>
      <c r="E25" s="36" t="s">
        <v>117</v>
      </c>
      <c r="F25" s="31">
        <f>IFERROR(C25-(D25*B25),"")</f>
        <v>0</v>
      </c>
    </row>
    <row r="26" spans="1:8" ht="25.35" customHeight="1" x14ac:dyDescent="0.3">
      <c r="A26" s="52" t="s">
        <v>55</v>
      </c>
      <c r="B26" s="50">
        <f t="shared" si="3"/>
        <v>10</v>
      </c>
      <c r="C26" s="24">
        <f>IFERROR(VLOOKUP(A26,신라명과피벗!A:HN,2,FALSE),0)</f>
        <v>0</v>
      </c>
      <c r="D26" s="20">
        <f t="shared" ref="D26:D37" si="4">IFERROR(ROUNDDOWN(C26/B26,0),"")</f>
        <v>0</v>
      </c>
      <c r="E26" s="51" t="s">
        <v>21</v>
      </c>
      <c r="F26" s="26">
        <f t="shared" ref="F26:F37" si="5">IFERROR(C26-(D26*B26),"")</f>
        <v>0</v>
      </c>
    </row>
    <row r="27" spans="1:8" ht="25.35" customHeight="1" thickBot="1" x14ac:dyDescent="0.35">
      <c r="A27" s="46" t="s">
        <v>81</v>
      </c>
      <c r="B27" s="37">
        <f t="shared" si="3"/>
        <v>10</v>
      </c>
      <c r="C27" s="27">
        <f>IFERROR(VLOOKUP(A27,신라명과피벗!A:HN,2,FALSE),0)</f>
        <v>0</v>
      </c>
      <c r="D27" s="28">
        <f t="shared" si="4"/>
        <v>0</v>
      </c>
      <c r="E27" s="36" t="s">
        <v>96</v>
      </c>
      <c r="F27" s="31">
        <f t="shared" si="5"/>
        <v>0</v>
      </c>
    </row>
    <row r="28" spans="1:8" ht="27" thickBot="1" x14ac:dyDescent="0.35">
      <c r="A28" s="52" t="s">
        <v>82</v>
      </c>
      <c r="B28" s="50">
        <f t="shared" si="3"/>
        <v>10</v>
      </c>
      <c r="C28" s="24">
        <f>IFERROR(VLOOKUP(A28,신라명과피벗!A:HN,2,FALSE),0)</f>
        <v>0</v>
      </c>
      <c r="D28" s="20">
        <f t="shared" si="4"/>
        <v>0</v>
      </c>
      <c r="E28" s="51" t="s">
        <v>97</v>
      </c>
      <c r="F28" s="26">
        <f t="shared" si="5"/>
        <v>0</v>
      </c>
      <c r="G28" s="152">
        <f>IFERROR(ROUNDDOWN(SUM($F$29:$F$46)/$B$4,0),"")</f>
        <v>0</v>
      </c>
      <c r="H28" s="141">
        <f>IFERROR(SUM($F$29:$F$46)-($G$28*$B$4),"")</f>
        <v>0</v>
      </c>
    </row>
    <row r="29" spans="1:8" ht="25.35" customHeight="1" x14ac:dyDescent="0.3">
      <c r="A29" s="47" t="s">
        <v>101</v>
      </c>
      <c r="B29" s="37">
        <f t="shared" si="3"/>
        <v>10</v>
      </c>
      <c r="C29" s="27">
        <f>IFERROR(VLOOKUP(A29,신라명과피벗!A:HN,2,FALSE),0)</f>
        <v>0</v>
      </c>
      <c r="D29" s="28">
        <f>IFERROR(ROUNDDOWN(C29/B29,0),"")</f>
        <v>0</v>
      </c>
      <c r="E29" s="36" t="s">
        <v>99</v>
      </c>
      <c r="F29" s="31">
        <f>IFERROR(C29-(D29*B29),"")</f>
        <v>0</v>
      </c>
    </row>
    <row r="30" spans="1:8" ht="25.35" customHeight="1" x14ac:dyDescent="0.3">
      <c r="A30" s="49" t="s">
        <v>104</v>
      </c>
      <c r="B30" s="50">
        <f t="shared" si="3"/>
        <v>10</v>
      </c>
      <c r="C30" s="24">
        <f>IFERROR(VLOOKUP(A30,신라명과피벗!A:HN,2,FALSE),0)</f>
        <v>0</v>
      </c>
      <c r="D30" s="20">
        <f>IFERROR(ROUNDDOWN(C30/B30,0),"")</f>
        <v>0</v>
      </c>
      <c r="E30" s="51" t="s">
        <v>102</v>
      </c>
      <c r="F30" s="26">
        <f>IFERROR(C30-(D30*B30),"")</f>
        <v>0</v>
      </c>
    </row>
    <row r="31" spans="1:8" ht="25.35" customHeight="1" x14ac:dyDescent="0.3">
      <c r="A31" s="47" t="s">
        <v>58</v>
      </c>
      <c r="B31" s="37">
        <f t="shared" si="3"/>
        <v>10</v>
      </c>
      <c r="C31" s="27">
        <f>IFERROR(VLOOKUP(A31,신라명과피벗!A:HN,2,FALSE),0)</f>
        <v>0</v>
      </c>
      <c r="D31" s="28">
        <f t="shared" si="4"/>
        <v>0</v>
      </c>
      <c r="E31" s="36" t="s">
        <v>11</v>
      </c>
      <c r="F31" s="31">
        <f t="shared" si="5"/>
        <v>0</v>
      </c>
    </row>
    <row r="32" spans="1:8" ht="25.35" customHeight="1" x14ac:dyDescent="0.3">
      <c r="A32" s="49" t="s">
        <v>53</v>
      </c>
      <c r="B32" s="50">
        <f t="shared" si="3"/>
        <v>10</v>
      </c>
      <c r="C32" s="24">
        <f>IFERROR(VLOOKUP(A32,신라명과피벗!A:HN,2,FALSE),0)</f>
        <v>0</v>
      </c>
      <c r="D32" s="20">
        <f t="shared" si="4"/>
        <v>0</v>
      </c>
      <c r="E32" s="51" t="s">
        <v>6</v>
      </c>
      <c r="F32" s="26">
        <f t="shared" si="5"/>
        <v>0</v>
      </c>
    </row>
    <row r="33" spans="1:8" ht="25.35" customHeight="1" x14ac:dyDescent="0.3">
      <c r="A33" s="47" t="s">
        <v>71</v>
      </c>
      <c r="B33" s="37">
        <f t="shared" si="3"/>
        <v>10</v>
      </c>
      <c r="C33" s="27">
        <f>IFERROR(VLOOKUP(A33,신라명과피벗!A:HN,2,FALSE),0)</f>
        <v>0</v>
      </c>
      <c r="D33" s="28">
        <f t="shared" si="4"/>
        <v>0</v>
      </c>
      <c r="E33" s="36" t="s">
        <v>70</v>
      </c>
      <c r="F33" s="31">
        <f t="shared" si="5"/>
        <v>0</v>
      </c>
    </row>
    <row r="34" spans="1:8" ht="25.35" customHeight="1" thickBot="1" x14ac:dyDescent="0.35">
      <c r="A34" s="49" t="s">
        <v>51</v>
      </c>
      <c r="B34" s="50">
        <f t="shared" si="3"/>
        <v>10</v>
      </c>
      <c r="C34" s="24">
        <f>IFERROR(VLOOKUP(A34,신라명과피벗!A:HN,2,FALSE),0)</f>
        <v>0</v>
      </c>
      <c r="D34" s="20">
        <f t="shared" si="4"/>
        <v>0</v>
      </c>
      <c r="E34" s="51" t="s">
        <v>7</v>
      </c>
      <c r="F34" s="26">
        <f t="shared" si="5"/>
        <v>0</v>
      </c>
    </row>
    <row r="35" spans="1:8" ht="25.35" customHeight="1" thickBot="1" x14ac:dyDescent="0.35">
      <c r="A35" s="47" t="s">
        <v>37</v>
      </c>
      <c r="B35" s="37">
        <f t="shared" si="3"/>
        <v>10</v>
      </c>
      <c r="C35" s="27">
        <f>IFERROR(VLOOKUP(A35,신라명과피벗!A:HN,2,FALSE),0)</f>
        <v>0</v>
      </c>
      <c r="D35" s="28">
        <f t="shared" si="4"/>
        <v>0</v>
      </c>
      <c r="E35" s="36" t="s">
        <v>12</v>
      </c>
      <c r="F35" s="31">
        <f t="shared" si="5"/>
        <v>0</v>
      </c>
      <c r="G35" s="152">
        <f>IFERROR(ROUNDDOWN(SUM($F$36:$F$46)/$B$4,0),"")</f>
        <v>0</v>
      </c>
      <c r="H35" s="141">
        <f>IFERROR(SUM($F$36:$F$46)-($G$35*$B$4),"")</f>
        <v>0</v>
      </c>
    </row>
    <row r="36" spans="1:8" ht="25.35" customHeight="1" x14ac:dyDescent="0.3">
      <c r="A36" s="49" t="s">
        <v>54</v>
      </c>
      <c r="B36" s="50">
        <f t="shared" si="3"/>
        <v>10</v>
      </c>
      <c r="C36" s="24">
        <f>IFERROR(VLOOKUP(A36,신라명과피벗!A:HN,2,FALSE),0)</f>
        <v>0</v>
      </c>
      <c r="D36" s="20">
        <f t="shared" si="4"/>
        <v>0</v>
      </c>
      <c r="E36" s="51" t="s">
        <v>8</v>
      </c>
      <c r="F36" s="26">
        <f t="shared" si="5"/>
        <v>0</v>
      </c>
    </row>
    <row r="37" spans="1:8" ht="26.25" x14ac:dyDescent="0.3">
      <c r="A37" s="47" t="s">
        <v>60</v>
      </c>
      <c r="B37" s="37">
        <f t="shared" si="3"/>
        <v>10</v>
      </c>
      <c r="C37" s="27">
        <f>IFERROR(VLOOKUP(A37,신라명과피벗!A:HN,2,FALSE),0)</f>
        <v>0</v>
      </c>
      <c r="D37" s="28">
        <f t="shared" si="4"/>
        <v>0</v>
      </c>
      <c r="E37" s="36" t="s">
        <v>9</v>
      </c>
      <c r="F37" s="31">
        <f t="shared" si="5"/>
        <v>0</v>
      </c>
    </row>
    <row r="38" spans="1:8" ht="26.25" x14ac:dyDescent="0.3">
      <c r="A38" s="49" t="s">
        <v>40</v>
      </c>
      <c r="B38" s="50">
        <f t="shared" si="3"/>
        <v>10</v>
      </c>
      <c r="C38" s="24">
        <f>IFERROR(VLOOKUP(A38,신라명과피벗!A:HN,2,FALSE),0)</f>
        <v>0</v>
      </c>
      <c r="D38" s="20">
        <f t="shared" ref="D38:D46" si="6">IFERROR(ROUNDDOWN(C38/B38,0),"")</f>
        <v>0</v>
      </c>
      <c r="E38" s="51" t="s">
        <v>16</v>
      </c>
      <c r="F38" s="26">
        <f t="shared" ref="F38:F46" si="7">IFERROR(C38-(D38*B38),"")</f>
        <v>0</v>
      </c>
    </row>
    <row r="39" spans="1:8" ht="25.35" customHeight="1" x14ac:dyDescent="0.3">
      <c r="A39" s="47" t="s">
        <v>38</v>
      </c>
      <c r="B39" s="37">
        <f t="shared" si="3"/>
        <v>10</v>
      </c>
      <c r="C39" s="27">
        <f>IFERROR(VLOOKUP(A39,신라명과피벗!A:HN,2,FALSE),0)</f>
        <v>0</v>
      </c>
      <c r="D39" s="28">
        <f t="shared" si="6"/>
        <v>0</v>
      </c>
      <c r="E39" s="36" t="s">
        <v>24</v>
      </c>
      <c r="F39" s="31">
        <f t="shared" si="7"/>
        <v>0</v>
      </c>
    </row>
    <row r="40" spans="1:8" ht="27" thickBot="1" x14ac:dyDescent="0.35">
      <c r="A40" s="49" t="s">
        <v>45</v>
      </c>
      <c r="B40" s="50">
        <f t="shared" si="3"/>
        <v>10</v>
      </c>
      <c r="C40" s="24">
        <f>IFERROR(VLOOKUP(A40,신라명과피벗!A:HN,2,FALSE),0)</f>
        <v>0</v>
      </c>
      <c r="D40" s="20">
        <f t="shared" si="6"/>
        <v>0</v>
      </c>
      <c r="E40" s="51" t="s">
        <v>19</v>
      </c>
      <c r="F40" s="26">
        <f t="shared" si="7"/>
        <v>0</v>
      </c>
    </row>
    <row r="41" spans="1:8" ht="25.35" customHeight="1" thickBot="1" x14ac:dyDescent="0.35">
      <c r="A41" s="47" t="s">
        <v>39</v>
      </c>
      <c r="B41" s="37">
        <f t="shared" si="3"/>
        <v>10</v>
      </c>
      <c r="C41" s="27">
        <f>IFERROR(VLOOKUP(A41,신라명과피벗!A:HN,2,FALSE),0)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152">
        <f>IFERROR(ROUNDDOWN(SUM($F$42:$F$46)/$B$4,0),"")</f>
        <v>0</v>
      </c>
      <c r="H41" s="141">
        <f>IFERROR(SUM($F$42:$F$46)-($G$41*$B$4),"")</f>
        <v>0</v>
      </c>
    </row>
    <row r="42" spans="1:8" ht="25.35" customHeight="1" x14ac:dyDescent="0.3">
      <c r="A42" s="52" t="s">
        <v>85</v>
      </c>
      <c r="B42" s="50">
        <f t="shared" si="3"/>
        <v>10</v>
      </c>
      <c r="C42" s="24">
        <f>IFERROR(VLOOKUP(A42,신라명과피벗!A:HN,2,FALSE),0)</f>
        <v>0</v>
      </c>
      <c r="D42" s="20">
        <f t="shared" si="6"/>
        <v>0</v>
      </c>
      <c r="E42" s="51" t="s">
        <v>25</v>
      </c>
      <c r="F42" s="26">
        <f t="shared" si="7"/>
        <v>0</v>
      </c>
    </row>
    <row r="43" spans="1:8" ht="25.35" customHeight="1" x14ac:dyDescent="0.3">
      <c r="A43" s="46" t="s">
        <v>86</v>
      </c>
      <c r="B43" s="37">
        <f t="shared" si="3"/>
        <v>10</v>
      </c>
      <c r="C43" s="27">
        <f>IFERROR(VLOOKUP(A43,신라명과피벗!A:HN,2,FALSE),0)</f>
        <v>0</v>
      </c>
      <c r="D43" s="28">
        <f t="shared" si="6"/>
        <v>0</v>
      </c>
      <c r="E43" s="36" t="s">
        <v>72</v>
      </c>
      <c r="F43" s="31">
        <f t="shared" si="7"/>
        <v>0</v>
      </c>
    </row>
    <row r="44" spans="1:8" ht="25.35" customHeight="1" x14ac:dyDescent="0.3">
      <c r="A44" s="49" t="s">
        <v>75</v>
      </c>
      <c r="B44" s="50">
        <f t="shared" si="3"/>
        <v>10</v>
      </c>
      <c r="C44" s="24">
        <f>IFERROR(VLOOKUP(A44,신라명과피벗!A:HN,2,FALSE),0)</f>
        <v>0</v>
      </c>
      <c r="D44" s="20">
        <f t="shared" si="6"/>
        <v>0</v>
      </c>
      <c r="E44" s="51" t="s">
        <v>78</v>
      </c>
      <c r="F44" s="26">
        <f t="shared" si="7"/>
        <v>0</v>
      </c>
    </row>
    <row r="45" spans="1:8" ht="24.75" customHeight="1" x14ac:dyDescent="0.3">
      <c r="A45" s="47" t="s">
        <v>76</v>
      </c>
      <c r="B45" s="37">
        <f t="shared" si="3"/>
        <v>10</v>
      </c>
      <c r="C45" s="27">
        <f>IFERROR(VLOOKUP(A45,신라명과피벗!A:HN,2,FALSE),0)</f>
        <v>0</v>
      </c>
      <c r="D45" s="28">
        <f t="shared" si="6"/>
        <v>0</v>
      </c>
      <c r="E45" s="36" t="s">
        <v>79</v>
      </c>
      <c r="F45" s="31">
        <f t="shared" si="7"/>
        <v>0</v>
      </c>
    </row>
    <row r="46" spans="1:8" ht="25.35" customHeight="1" thickBot="1" x14ac:dyDescent="0.35">
      <c r="A46" s="154" t="s">
        <v>77</v>
      </c>
      <c r="B46" s="159">
        <f t="shared" si="3"/>
        <v>10</v>
      </c>
      <c r="C46" s="155">
        <f>IFERROR(VLOOKUP(A46,신라명과피벗!A:HN,2,FALSE),0)</f>
        <v>0</v>
      </c>
      <c r="D46" s="156">
        <f t="shared" si="6"/>
        <v>0</v>
      </c>
      <c r="E46" s="157" t="s">
        <v>80</v>
      </c>
      <c r="F46" s="158">
        <f t="shared" si="7"/>
        <v>0</v>
      </c>
    </row>
    <row r="47" spans="1:8" ht="4.5" customHeight="1" thickBot="1" x14ac:dyDescent="0.35">
      <c r="A47" s="238"/>
      <c r="B47" s="239"/>
      <c r="C47" s="239"/>
      <c r="D47" s="239"/>
      <c r="E47" s="239"/>
      <c r="F47" s="240"/>
    </row>
    <row r="48" spans="1:8" ht="25.35" customHeight="1" thickBot="1" x14ac:dyDescent="0.35">
      <c r="A48" s="136" t="s">
        <v>122</v>
      </c>
      <c r="B48" s="137">
        <f>B21</f>
        <v>10</v>
      </c>
      <c r="C48" s="138">
        <f>SUM($C$21:$C$46)</f>
        <v>0</v>
      </c>
      <c r="D48" s="138">
        <f>IFERROR(ROUNDDOWN(C48/B48,0),"")</f>
        <v>0</v>
      </c>
      <c r="E48" s="139"/>
      <c r="F48" s="140">
        <f>IFERROR(C48-(D48*B48),"")</f>
        <v>0</v>
      </c>
    </row>
    <row r="49" spans="1:8" ht="17.25" thickBot="1" x14ac:dyDescent="0.35">
      <c r="A49" s="230"/>
      <c r="B49" s="230"/>
      <c r="C49" s="230"/>
      <c r="D49" s="230"/>
      <c r="E49" s="230"/>
      <c r="F49" s="230"/>
    </row>
    <row r="50" spans="1:8" ht="27" thickBot="1" x14ac:dyDescent="0.35">
      <c r="A50" s="99" t="s">
        <v>3</v>
      </c>
      <c r="B50" s="100">
        <f>$B$4</f>
        <v>10</v>
      </c>
      <c r="C50" s="101">
        <f>SUM($C$13,$C$48,$C$19)</f>
        <v>0</v>
      </c>
      <c r="D50" s="101">
        <f>IFERROR(ROUNDDOWN(C50/B50,0),"")</f>
        <v>0</v>
      </c>
      <c r="E50" s="102"/>
      <c r="F50" s="142">
        <f>IFERROR(C50-(D50*B50),"")</f>
        <v>0</v>
      </c>
      <c r="G50" s="144" t="s">
        <v>110</v>
      </c>
      <c r="H50" s="144" t="s">
        <v>111</v>
      </c>
    </row>
    <row r="51" spans="1:8" ht="23.25" customHeight="1" thickBot="1" x14ac:dyDescent="0.35">
      <c r="A51" s="81" t="s">
        <v>36</v>
      </c>
      <c r="B51" s="82"/>
      <c r="C51" s="83"/>
      <c r="D51" s="84">
        <f>SUM($D$4:$D$11,$D$21:$D$46,$D$19)</f>
        <v>0</v>
      </c>
      <c r="E51" s="85"/>
      <c r="F51" s="143">
        <f>SUM($F$4:$F$11,$F$21:$F$46,$F$15:$F$18)</f>
        <v>0</v>
      </c>
      <c r="G51" s="144">
        <f>IFERROR(ROUNDDOWN($F$51/$B$4,0),"")</f>
        <v>0</v>
      </c>
      <c r="H51" s="144">
        <f>IFERROR($F$51-($G$51*$B$4),"")</f>
        <v>0</v>
      </c>
    </row>
    <row r="52" spans="1:8" ht="5.25" customHeight="1" x14ac:dyDescent="0.3"/>
  </sheetData>
  <mergeCells count="8">
    <mergeCell ref="A49:F49"/>
    <mergeCell ref="A1:F1"/>
    <mergeCell ref="B2:F2"/>
    <mergeCell ref="A12:F12"/>
    <mergeCell ref="A14:F14"/>
    <mergeCell ref="A47:F47"/>
    <mergeCell ref="A18:F18"/>
    <mergeCell ref="A20:F20"/>
  </mergeCells>
  <phoneticPr fontId="13" type="noConversion"/>
  <printOptions horizontalCentered="1" verticalCentered="1"/>
  <pageMargins left="0.2" right="0.19680555164813995" top="0.19680555164813995" bottom="0.19680555164813995" header="0.19680555164813995" footer="0.19680555164813995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EEA2-D7E7-4444-867F-7B204BD0F1F7}">
  <sheetPr>
    <tabColor rgb="FFFFFF00"/>
  </sheetPr>
  <dimension ref="A1:TB10"/>
  <sheetViews>
    <sheetView tabSelected="1" zoomScale="55" zoomScaleNormal="55" zoomScaleSheetLayoutView="75" workbookViewId="0">
      <selection activeCell="F15" sqref="F15"/>
    </sheetView>
  </sheetViews>
  <sheetFormatPr defaultColWidth="9" defaultRowHeight="15" customHeight="1" x14ac:dyDescent="0.3"/>
  <cols>
    <col min="1" max="13" width="37.625" style="34" customWidth="1"/>
    <col min="14" max="14" width="14.5" style="34" customWidth="1"/>
    <col min="15" max="15" width="12.625" style="34" customWidth="1"/>
    <col min="16" max="32" width="37.625" style="34" customWidth="1"/>
    <col min="33" max="33" width="22.25" style="34" bestFit="1" customWidth="1"/>
    <col min="34" max="36" width="18.375" style="34" customWidth="1"/>
    <col min="37" max="37" width="27.625" style="34" bestFit="1" customWidth="1"/>
    <col min="38" max="39" width="18.375" style="34" customWidth="1"/>
    <col min="40" max="40" width="27.625" style="34" bestFit="1" customWidth="1"/>
    <col min="41" max="41" width="18.375" style="34" customWidth="1"/>
    <col min="42" max="42" width="25.375" style="34" bestFit="1" customWidth="1"/>
    <col min="43" max="43" width="21" style="34" bestFit="1" customWidth="1"/>
    <col min="44" max="44" width="27.625" style="34" bestFit="1" customWidth="1"/>
    <col min="45" max="45" width="18.375" style="34" customWidth="1"/>
    <col min="46" max="46" width="27.625" style="34" bestFit="1" customWidth="1"/>
    <col min="47" max="400" width="30.375" style="34" customWidth="1"/>
    <col min="401" max="402" width="21.25" style="34" customWidth="1"/>
    <col min="403" max="418" width="20.5" style="34" customWidth="1"/>
    <col min="419" max="419" width="21" style="34" bestFit="1" customWidth="1"/>
    <col min="420" max="420" width="25.125" style="34" bestFit="1" customWidth="1"/>
    <col min="421" max="421" width="23" style="34" bestFit="1" customWidth="1"/>
    <col min="422" max="422" width="33.375" style="34" bestFit="1" customWidth="1"/>
    <col min="423" max="423" width="25.125" style="34" bestFit="1" customWidth="1"/>
    <col min="424" max="424" width="28.875" style="34" bestFit="1" customWidth="1"/>
    <col min="425" max="425" width="23" style="34" bestFit="1" customWidth="1"/>
    <col min="426" max="426" width="18.875" style="34" customWidth="1"/>
    <col min="427" max="427" width="23" style="34" bestFit="1" customWidth="1"/>
    <col min="428" max="428" width="25.125" style="34" bestFit="1" customWidth="1"/>
    <col min="429" max="429" width="18.875" style="34" customWidth="1"/>
    <col min="430" max="430" width="19.125" style="34" customWidth="1"/>
    <col min="431" max="431" width="18.125" style="34" customWidth="1"/>
    <col min="432" max="432" width="18.875" style="34" customWidth="1"/>
    <col min="433" max="433" width="26.625" style="34" customWidth="1"/>
    <col min="434" max="434" width="22.125" style="34" customWidth="1"/>
    <col min="435" max="435" width="24.125" style="34" customWidth="1"/>
    <col min="436" max="436" width="21.375" style="34" customWidth="1"/>
    <col min="437" max="437" width="19.375" style="34" customWidth="1"/>
    <col min="438" max="438" width="20" style="34" customWidth="1"/>
    <col min="439" max="439" width="23.25" style="34" customWidth="1"/>
    <col min="440" max="440" width="18" style="34" customWidth="1"/>
    <col min="441" max="471" width="19" style="34" customWidth="1"/>
    <col min="472" max="476" width="20.25" style="34" customWidth="1"/>
    <col min="477" max="477" width="17.25" style="34" customWidth="1"/>
    <col min="478" max="478" width="17.75" style="34" customWidth="1"/>
    <col min="479" max="479" width="16.5" style="34" customWidth="1"/>
    <col min="480" max="482" width="21" style="34" customWidth="1"/>
    <col min="483" max="483" width="18.5" style="34" customWidth="1"/>
    <col min="484" max="488" width="21" style="34" customWidth="1"/>
    <col min="489" max="489" width="15.125" style="34" customWidth="1"/>
    <col min="490" max="505" width="21" style="34" customWidth="1"/>
    <col min="506" max="506" width="24.25" style="34" customWidth="1"/>
    <col min="507" max="507" width="18.875" style="34" bestFit="1" customWidth="1"/>
    <col min="508" max="508" width="21" style="34" bestFit="1" customWidth="1"/>
    <col min="509" max="509" width="23" style="38" bestFit="1" customWidth="1"/>
    <col min="510" max="510" width="8.625" style="38" bestFit="1" customWidth="1"/>
    <col min="511" max="511" width="21" style="38" bestFit="1" customWidth="1"/>
    <col min="512" max="512" width="23" style="38" bestFit="1" customWidth="1"/>
    <col min="513" max="513" width="8.625" style="38" bestFit="1" customWidth="1"/>
    <col min="514" max="514" width="22.875" style="34" customWidth="1"/>
    <col min="515" max="521" width="20.875" style="38" customWidth="1"/>
    <col min="522" max="522" width="23.25" style="38" customWidth="1"/>
    <col min="523" max="16384" width="9" style="34"/>
  </cols>
  <sheetData>
    <row r="1" spans="1:514" s="38" customFormat="1" ht="15" customHeight="1" x14ac:dyDescent="0.3">
      <c r="A1" s="62" t="s">
        <v>328</v>
      </c>
      <c r="B1" s="62"/>
      <c r="C1" s="62" t="s">
        <v>89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2"/>
      <c r="AV1" s="2"/>
      <c r="AW1" s="2"/>
      <c r="AX1" s="2"/>
      <c r="AY1" s="2"/>
      <c r="AZ1" s="2"/>
      <c r="BA1" s="2"/>
      <c r="BB1" s="2"/>
      <c r="BC1" s="29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32"/>
      <c r="MS1" s="23"/>
      <c r="MT1" s="23"/>
      <c r="MU1" s="23"/>
      <c r="MV1" s="23"/>
      <c r="MW1" s="32"/>
      <c r="MX1" s="32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32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32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32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</row>
    <row r="2" spans="1:514" s="38" customFormat="1" ht="15" customHeight="1" x14ac:dyDescent="0.3">
      <c r="A2" s="53" t="s">
        <v>329</v>
      </c>
      <c r="B2" s="53"/>
      <c r="C2" s="53" t="s">
        <v>254</v>
      </c>
      <c r="D2" s="53"/>
      <c r="E2" s="53" t="s">
        <v>255</v>
      </c>
      <c r="F2" s="53" t="s">
        <v>256</v>
      </c>
      <c r="G2" s="53" t="s">
        <v>323</v>
      </c>
      <c r="H2" s="53" t="s">
        <v>3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</row>
    <row r="3" spans="1:514" s="38" customFormat="1" ht="16.5" x14ac:dyDescent="0.3">
      <c r="A3" s="34" t="s">
        <v>50</v>
      </c>
      <c r="B3" s="34"/>
      <c r="C3" s="34"/>
      <c r="D3" s="34"/>
      <c r="E3" s="34">
        <v>15</v>
      </c>
      <c r="F3" s="34"/>
      <c r="G3" s="34"/>
      <c r="H3" s="34">
        <v>15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</row>
    <row r="4" spans="1:514" s="38" customFormat="1" ht="15" customHeight="1" x14ac:dyDescent="0.3">
      <c r="A4" s="34" t="s">
        <v>90</v>
      </c>
      <c r="B4" s="34"/>
      <c r="C4" s="34"/>
      <c r="D4" s="34"/>
      <c r="E4" s="34"/>
      <c r="F4" s="34">
        <v>15</v>
      </c>
      <c r="G4" s="34"/>
      <c r="H4" s="34">
        <v>15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</row>
    <row r="5" spans="1:514" s="38" customFormat="1" ht="13.5" customHeight="1" x14ac:dyDescent="0.3">
      <c r="A5" s="34" t="s">
        <v>73</v>
      </c>
      <c r="B5" s="34"/>
      <c r="C5" s="34">
        <v>36</v>
      </c>
      <c r="D5" s="34"/>
      <c r="E5" s="34"/>
      <c r="F5" s="34"/>
      <c r="G5" s="34"/>
      <c r="H5" s="34">
        <v>36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</row>
    <row r="6" spans="1:514" s="38" customFormat="1" ht="15" customHeight="1" x14ac:dyDescent="0.3">
      <c r="A6" s="34" t="s">
        <v>58</v>
      </c>
      <c r="B6" s="34"/>
      <c r="C6" s="34"/>
      <c r="D6" s="34"/>
      <c r="E6" s="34"/>
      <c r="F6" s="34"/>
      <c r="G6" s="34">
        <v>15</v>
      </c>
      <c r="H6" s="34">
        <v>15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</row>
    <row r="7" spans="1:514" s="38" customFormat="1" ht="15" customHeight="1" x14ac:dyDescent="0.3">
      <c r="A7" s="34" t="s">
        <v>51</v>
      </c>
      <c r="B7" s="34"/>
      <c r="C7" s="34"/>
      <c r="D7" s="34"/>
      <c r="E7" s="34"/>
      <c r="F7" s="34">
        <v>15</v>
      </c>
      <c r="G7" s="34"/>
      <c r="H7" s="34">
        <v>15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</row>
    <row r="8" spans="1:514" s="38" customFormat="1" ht="15" customHeight="1" x14ac:dyDescent="0.3">
      <c r="A8" s="34" t="s">
        <v>75</v>
      </c>
      <c r="B8" s="34"/>
      <c r="C8" s="34"/>
      <c r="D8" s="34"/>
      <c r="E8" s="34"/>
      <c r="F8" s="34"/>
      <c r="G8" s="34">
        <v>15</v>
      </c>
      <c r="H8" s="34">
        <v>15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</row>
    <row r="9" spans="1:514" s="38" customFormat="1" ht="15" customHeight="1" x14ac:dyDescent="0.3">
      <c r="A9" s="34" t="s">
        <v>45</v>
      </c>
      <c r="B9" s="34"/>
      <c r="C9" s="34">
        <v>24</v>
      </c>
      <c r="D9" s="34"/>
      <c r="E9" s="34">
        <v>15</v>
      </c>
      <c r="F9" s="34"/>
      <c r="G9" s="34"/>
      <c r="H9" s="34">
        <v>39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</row>
    <row r="10" spans="1:514" s="38" customFormat="1" ht="15" customHeight="1" x14ac:dyDescent="0.3">
      <c r="A10" s="34" t="s">
        <v>3</v>
      </c>
      <c r="B10" s="34"/>
      <c r="C10" s="34">
        <v>60</v>
      </c>
      <c r="D10" s="34"/>
      <c r="E10" s="34">
        <v>30</v>
      </c>
      <c r="F10" s="34">
        <v>30</v>
      </c>
      <c r="G10" s="34">
        <v>30</v>
      </c>
      <c r="H10" s="34">
        <v>150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PF10" s="63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215-F729-449F-87FF-18936AC99B88}">
  <sheetPr>
    <tabColor rgb="FFFFFF00"/>
    <pageSetUpPr fitToPage="1"/>
  </sheetPr>
  <dimension ref="A1:P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6" ht="25.9" customHeight="1" thickBot="1" x14ac:dyDescent="0.35">
      <c r="A1" s="253"/>
      <c r="B1" s="253"/>
      <c r="C1" s="253"/>
      <c r="D1" s="253"/>
      <c r="E1" s="253"/>
      <c r="F1" s="253"/>
    </row>
    <row r="2" spans="1:16" ht="25.9" customHeight="1" x14ac:dyDescent="0.3">
      <c r="A2" s="217">
        <f ca="1">TODAY()</f>
        <v>46309</v>
      </c>
      <c r="B2" s="254" t="s">
        <v>260</v>
      </c>
      <c r="C2" s="254"/>
      <c r="D2" s="254"/>
      <c r="E2" s="254"/>
      <c r="F2" s="255"/>
    </row>
    <row r="3" spans="1:16" ht="40.5" customHeight="1" x14ac:dyDescent="0.3">
      <c r="A3" s="218" t="str">
        <f>'리치푸드 피벗'!A2</f>
        <v>10/15납품</v>
      </c>
      <c r="B3" s="219" t="s">
        <v>13</v>
      </c>
      <c r="C3" s="220" t="s">
        <v>279</v>
      </c>
      <c r="D3" s="221" t="s">
        <v>2</v>
      </c>
      <c r="E3" s="219" t="s">
        <v>23</v>
      </c>
      <c r="F3" s="222" t="s">
        <v>14</v>
      </c>
    </row>
    <row r="4" spans="1:16" ht="25.35" customHeight="1" x14ac:dyDescent="0.3">
      <c r="A4" s="52" t="s">
        <v>100</v>
      </c>
      <c r="B4" s="50">
        <v>15</v>
      </c>
      <c r="C4" s="24">
        <f>IFERROR(VLOOKUP(A4,'리치푸드 피벗'!A:SP,2,FALSE),0)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16" ht="25.35" customHeight="1" x14ac:dyDescent="0.3">
      <c r="A5" s="52" t="s">
        <v>85</v>
      </c>
      <c r="B5" s="50">
        <f>$B$4</f>
        <v>15</v>
      </c>
      <c r="C5" s="24">
        <f>IFERROR(VLOOKUP(A5,'리치푸드 피벗'!A:SP,2,FALSE),0)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16" ht="25.35" customHeight="1" x14ac:dyDescent="0.3">
      <c r="A6" s="49" t="s">
        <v>81</v>
      </c>
      <c r="B6" s="50">
        <f t="shared" ref="B6:B17" si="2">$B$4</f>
        <v>15</v>
      </c>
      <c r="C6" s="24">
        <f>IFERROR(VLOOKUP(A6,'리치푸드 피벗'!A:SP,2,FALSE),0)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16" ht="25.35" customHeight="1" x14ac:dyDescent="0.3">
      <c r="A7" s="49" t="s">
        <v>75</v>
      </c>
      <c r="B7" s="50">
        <f t="shared" si="2"/>
        <v>15</v>
      </c>
      <c r="C7" s="24">
        <f>IFERROR(VLOOKUP(A7,'리치푸드 피벗'!A:SP,2,FALSE),0)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16" ht="25.35" customHeight="1" thickBot="1" x14ac:dyDescent="0.35">
      <c r="A8" s="49" t="s">
        <v>48</v>
      </c>
      <c r="B8" s="50">
        <f t="shared" si="2"/>
        <v>15</v>
      </c>
      <c r="C8" s="24">
        <f>IFERROR(VLOOKUP(A8,'리치푸드 피벗'!A:SP,2,FALSE),0)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16" ht="25.35" customHeight="1" x14ac:dyDescent="0.3">
      <c r="A9" s="49" t="s">
        <v>35</v>
      </c>
      <c r="B9" s="50">
        <f t="shared" si="2"/>
        <v>15</v>
      </c>
      <c r="C9" s="24">
        <f>IFERROR(VLOOKUP(A9,'리치푸드 피벗'!A:SP,2,FALSE),0)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244" t="s">
        <v>276</v>
      </c>
      <c r="I9" s="245"/>
      <c r="J9" s="245"/>
      <c r="K9" s="245"/>
      <c r="L9" s="245"/>
      <c r="M9" s="245"/>
      <c r="N9" s="245"/>
      <c r="O9" s="245"/>
      <c r="P9" s="246"/>
    </row>
    <row r="10" spans="1:16" ht="25.35" customHeight="1" x14ac:dyDescent="0.3">
      <c r="A10" s="49" t="s">
        <v>54</v>
      </c>
      <c r="B10" s="50">
        <f t="shared" si="2"/>
        <v>15</v>
      </c>
      <c r="C10" s="24">
        <f>IFERROR(VLOOKUP(A10,'리치푸드 피벗'!A:SP,2,FALSE),0)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247"/>
      <c r="I10" s="248"/>
      <c r="J10" s="248"/>
      <c r="K10" s="248"/>
      <c r="L10" s="248"/>
      <c r="M10" s="248"/>
      <c r="N10" s="248"/>
      <c r="O10" s="248"/>
      <c r="P10" s="249"/>
    </row>
    <row r="11" spans="1:16" ht="25.35" customHeight="1" x14ac:dyDescent="0.3">
      <c r="A11" s="49" t="s">
        <v>58</v>
      </c>
      <c r="B11" s="50">
        <f t="shared" si="2"/>
        <v>15</v>
      </c>
      <c r="C11" s="24">
        <f>IFERROR(VLOOKUP(A11,'리치푸드 피벗'!A:SP,2,FALSE),0)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247"/>
      <c r="I11" s="248"/>
      <c r="J11" s="248"/>
      <c r="K11" s="248"/>
      <c r="L11" s="248"/>
      <c r="M11" s="248"/>
      <c r="N11" s="248"/>
      <c r="O11" s="248"/>
      <c r="P11" s="249"/>
    </row>
    <row r="12" spans="1:16" ht="25.35" customHeight="1" x14ac:dyDescent="0.3">
      <c r="A12" s="49" t="s">
        <v>51</v>
      </c>
      <c r="B12" s="50">
        <f t="shared" si="2"/>
        <v>15</v>
      </c>
      <c r="C12" s="24">
        <f>IFERROR(VLOOKUP(A12,'리치푸드 피벗'!A:SP,2,FALSE),0)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247"/>
      <c r="I12" s="248"/>
      <c r="J12" s="248"/>
      <c r="K12" s="248"/>
      <c r="L12" s="248"/>
      <c r="M12" s="248"/>
      <c r="N12" s="248"/>
      <c r="O12" s="248"/>
      <c r="P12" s="249"/>
    </row>
    <row r="13" spans="1:16" ht="25.35" customHeight="1" x14ac:dyDescent="0.3">
      <c r="A13" s="52" t="s">
        <v>45</v>
      </c>
      <c r="B13" s="50">
        <f t="shared" si="2"/>
        <v>15</v>
      </c>
      <c r="C13" s="24">
        <f>IFERROR(VLOOKUP(A13,'리치푸드 피벗'!A:SP,2,FALSE),0)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247"/>
      <c r="I13" s="248"/>
      <c r="J13" s="248"/>
      <c r="K13" s="248"/>
      <c r="L13" s="248"/>
      <c r="M13" s="248"/>
      <c r="N13" s="248"/>
      <c r="O13" s="248"/>
      <c r="P13" s="249"/>
    </row>
    <row r="14" spans="1:16" ht="25.35" customHeight="1" x14ac:dyDescent="0.3">
      <c r="A14" s="49" t="s">
        <v>59</v>
      </c>
      <c r="B14" s="50">
        <f t="shared" si="2"/>
        <v>15</v>
      </c>
      <c r="C14" s="24">
        <f>IFERROR(VLOOKUP(A14,'리치푸드 피벗'!A:SP,2,FALSE),0)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247"/>
      <c r="I14" s="248"/>
      <c r="J14" s="248"/>
      <c r="K14" s="248"/>
      <c r="L14" s="248"/>
      <c r="M14" s="248"/>
      <c r="N14" s="248"/>
      <c r="O14" s="248"/>
      <c r="P14" s="249"/>
    </row>
    <row r="15" spans="1:16" ht="25.35" customHeight="1" x14ac:dyDescent="0.3">
      <c r="A15" s="49" t="s">
        <v>40</v>
      </c>
      <c r="B15" s="50">
        <f t="shared" si="2"/>
        <v>15</v>
      </c>
      <c r="C15" s="24">
        <f>IFERROR(VLOOKUP(A15,'리치푸드 피벗'!A:SP,2,FALSE),0)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247"/>
      <c r="I15" s="248"/>
      <c r="J15" s="248"/>
      <c r="K15" s="248"/>
      <c r="L15" s="248"/>
      <c r="M15" s="248"/>
      <c r="N15" s="248"/>
      <c r="O15" s="248"/>
      <c r="P15" s="249"/>
    </row>
    <row r="16" spans="1:16" ht="25.35" customHeight="1" x14ac:dyDescent="0.3">
      <c r="A16" s="49" t="s">
        <v>50</v>
      </c>
      <c r="B16" s="50">
        <f t="shared" si="2"/>
        <v>15</v>
      </c>
      <c r="C16" s="24">
        <f>IFERROR(VLOOKUP(A16,'리치푸드 피벗'!A:SP,2,FALSE),0)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247"/>
      <c r="I16" s="248"/>
      <c r="J16" s="248"/>
      <c r="K16" s="248"/>
      <c r="L16" s="248"/>
      <c r="M16" s="248"/>
      <c r="N16" s="248"/>
      <c r="O16" s="248"/>
      <c r="P16" s="249"/>
    </row>
    <row r="17" spans="1:16" ht="25.35" customHeight="1" x14ac:dyDescent="0.3">
      <c r="A17" s="49" t="s">
        <v>55</v>
      </c>
      <c r="B17" s="50">
        <f t="shared" si="2"/>
        <v>15</v>
      </c>
      <c r="C17" s="24">
        <f>IFERROR(VLOOKUP(A17,'리치푸드 피벗'!A:SP,2,FALSE),0)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247"/>
      <c r="I17" s="248"/>
      <c r="J17" s="248"/>
      <c r="K17" s="248"/>
      <c r="L17" s="248"/>
      <c r="M17" s="248"/>
      <c r="N17" s="248"/>
      <c r="O17" s="248"/>
      <c r="P17" s="249"/>
    </row>
    <row r="18" spans="1:16" ht="4.5" customHeight="1" x14ac:dyDescent="0.3">
      <c r="A18" s="241"/>
      <c r="B18" s="242"/>
      <c r="C18" s="242"/>
      <c r="D18" s="242"/>
      <c r="E18" s="242"/>
      <c r="F18" s="243"/>
      <c r="H18" s="247"/>
      <c r="I18" s="248"/>
      <c r="J18" s="248"/>
      <c r="K18" s="248"/>
      <c r="L18" s="248"/>
      <c r="M18" s="248"/>
      <c r="N18" s="248"/>
      <c r="O18" s="248"/>
      <c r="P18" s="249"/>
    </row>
    <row r="19" spans="1:16" ht="32.450000000000003" customHeight="1" x14ac:dyDescent="0.3">
      <c r="A19" s="209" t="s">
        <v>122</v>
      </c>
      <c r="B19" s="210">
        <f>$B$4</f>
        <v>15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  <c r="H19" s="247"/>
      <c r="I19" s="248"/>
      <c r="J19" s="248"/>
      <c r="K19" s="248"/>
      <c r="L19" s="248"/>
      <c r="M19" s="248"/>
      <c r="N19" s="248"/>
      <c r="O19" s="248"/>
      <c r="P19" s="249"/>
    </row>
    <row r="20" spans="1:16" ht="4.5" customHeight="1" x14ac:dyDescent="0.3">
      <c r="A20" s="181"/>
      <c r="B20" s="50"/>
      <c r="C20" s="50"/>
      <c r="D20" s="50"/>
      <c r="E20" s="50"/>
      <c r="F20" s="182"/>
      <c r="H20" s="247"/>
      <c r="I20" s="248"/>
      <c r="J20" s="248"/>
      <c r="K20" s="248"/>
      <c r="L20" s="248"/>
      <c r="M20" s="248"/>
      <c r="N20" s="248"/>
      <c r="O20" s="248"/>
      <c r="P20" s="249"/>
    </row>
    <row r="21" spans="1:16" ht="25.35" customHeight="1" x14ac:dyDescent="0.3">
      <c r="A21" s="214" t="s">
        <v>46</v>
      </c>
      <c r="B21" s="50">
        <f t="shared" ref="B21:B23" si="3">$B$4</f>
        <v>15</v>
      </c>
      <c r="C21" s="24">
        <f>IFERROR(VLOOKUP(A21,'리치푸드 피벗'!A:SP,2,FALSE),0)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247"/>
      <c r="I21" s="248"/>
      <c r="J21" s="248"/>
      <c r="K21" s="248"/>
      <c r="L21" s="248"/>
      <c r="M21" s="248"/>
      <c r="N21" s="248"/>
      <c r="O21" s="248"/>
      <c r="P21" s="249"/>
    </row>
    <row r="22" spans="1:16" ht="25.35" customHeight="1" thickBot="1" x14ac:dyDescent="0.35">
      <c r="A22" s="214" t="s">
        <v>41</v>
      </c>
      <c r="B22" s="50">
        <f t="shared" si="3"/>
        <v>15</v>
      </c>
      <c r="C22" s="24">
        <f>IFERROR(VLOOKUP(A22,'리치푸드 피벗'!A:SP,2,FALSE),0)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250"/>
      <c r="I22" s="251"/>
      <c r="J22" s="251"/>
      <c r="K22" s="251"/>
      <c r="L22" s="251"/>
      <c r="M22" s="251"/>
      <c r="N22" s="251"/>
      <c r="O22" s="251"/>
      <c r="P22" s="252"/>
    </row>
    <row r="23" spans="1:16" ht="25.35" customHeight="1" x14ac:dyDescent="0.3">
      <c r="A23" s="214" t="s">
        <v>62</v>
      </c>
      <c r="B23" s="50">
        <f t="shared" si="3"/>
        <v>15</v>
      </c>
      <c r="C23" s="24">
        <f>IFERROR(VLOOKUP(A23,'리치푸드 피벗'!A:SP,2,FALSE),0)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16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16" ht="32.450000000000003" customHeight="1" x14ac:dyDescent="0.3">
      <c r="A25" s="209" t="s">
        <v>237</v>
      </c>
      <c r="B25" s="210">
        <f>$B$4</f>
        <v>15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16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16" ht="25.35" customHeight="1" x14ac:dyDescent="0.3">
      <c r="A27" s="223" t="s">
        <v>73</v>
      </c>
      <c r="B27" s="50">
        <f t="shared" ref="B27" si="4">$B$4</f>
        <v>15</v>
      </c>
      <c r="C27" s="24">
        <f>IFERROR(VLOOKUP(A27,'리치푸드 피벗'!A:SP,2,FALSE),0)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16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16" ht="32.450000000000003" customHeight="1" x14ac:dyDescent="0.3">
      <c r="A29" s="209" t="s">
        <v>236</v>
      </c>
      <c r="B29" s="210">
        <f>$B$4</f>
        <v>15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16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16" ht="25.35" customHeight="1" x14ac:dyDescent="0.3">
      <c r="A31" s="49" t="s">
        <v>90</v>
      </c>
      <c r="B31" s="50">
        <f t="shared" ref="B31:B32" si="5">$B$4</f>
        <v>15</v>
      </c>
      <c r="C31" s="24">
        <f>IFERROR(VLOOKUP(A31,'리치푸드 피벗'!A:SP,2,FALSE),0)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16" ht="25.35" customHeight="1" x14ac:dyDescent="0.3">
      <c r="A32" s="49" t="s">
        <v>52</v>
      </c>
      <c r="B32" s="50">
        <f t="shared" si="5"/>
        <v>15</v>
      </c>
      <c r="C32" s="24">
        <f>IFERROR(VLOOKUP(A32,'리치푸드 피벗'!A:SP,2,FALSE),0)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15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15</v>
      </c>
      <c r="C36" s="24">
        <f>IFERROR(VLOOKUP(A36,'리치푸드 피벗'!A:SP,2,FALSE),0)</f>
        <v>0</v>
      </c>
      <c r="D36" s="20">
        <f t="shared" ref="D36" si="8">IFERROR(ROUNDDOWN(C36/B36,0),"")</f>
        <v>0</v>
      </c>
      <c r="E36" s="51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51"/>
      <c r="F37" s="26"/>
      <c r="H37" s="73"/>
      <c r="I37" s="73"/>
    </row>
    <row r="38" spans="1:9" ht="26.25" x14ac:dyDescent="0.3">
      <c r="A38" s="87" t="s">
        <v>3</v>
      </c>
      <c r="B38" s="57">
        <f>$B$4</f>
        <v>15</v>
      </c>
      <c r="C38" s="55">
        <f>SUM(C4:C17,C31:C32,C27:C27,C21:C23,C36)</f>
        <v>0</v>
      </c>
      <c r="D38" s="54">
        <f>IFERROR(ROUNDDOWN(C38/B38,0),"")</f>
        <v>0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0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0</v>
      </c>
    </row>
    <row r="41" spans="1:9" x14ac:dyDescent="0.3">
      <c r="C41" s="34" t="b">
        <f>C40=C38</f>
        <v>1</v>
      </c>
    </row>
  </sheetData>
  <mergeCells count="8">
    <mergeCell ref="H9:P22"/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B039-120E-4AB5-AFE4-37EC0D376FFA}">
  <sheetPr>
    <tabColor rgb="FF00B050"/>
    <pageSetUpPr fitToPage="1"/>
  </sheetPr>
  <dimension ref="A1:P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6" ht="25.9" customHeight="1" thickBot="1" x14ac:dyDescent="0.35">
      <c r="A1" s="253"/>
      <c r="B1" s="253"/>
      <c r="C1" s="253"/>
      <c r="D1" s="253"/>
      <c r="E1" s="253"/>
      <c r="F1" s="253"/>
    </row>
    <row r="2" spans="1:16" ht="25.9" customHeight="1" x14ac:dyDescent="0.3">
      <c r="A2" s="217">
        <f ca="1">TODAY()</f>
        <v>46309</v>
      </c>
      <c r="B2" s="254" t="s">
        <v>261</v>
      </c>
      <c r="C2" s="254"/>
      <c r="D2" s="254"/>
      <c r="E2" s="254"/>
      <c r="F2" s="255"/>
    </row>
    <row r="3" spans="1:16" ht="40.5" customHeight="1" x14ac:dyDescent="0.3">
      <c r="A3" s="218" t="str">
        <f>'리치푸드 피벗'!A2</f>
        <v>10/15납품</v>
      </c>
      <c r="B3" s="219" t="s">
        <v>13</v>
      </c>
      <c r="C3" s="220" t="s">
        <v>254</v>
      </c>
      <c r="D3" s="221" t="s">
        <v>2</v>
      </c>
      <c r="E3" s="219" t="s">
        <v>23</v>
      </c>
      <c r="F3" s="222" t="s">
        <v>14</v>
      </c>
    </row>
    <row r="4" spans="1:16" ht="25.35" customHeight="1" thickBot="1" x14ac:dyDescent="0.35">
      <c r="A4" s="52" t="s">
        <v>100</v>
      </c>
      <c r="B4" s="50">
        <v>12</v>
      </c>
      <c r="C4" s="24">
        <f>IFERROR(VLOOKUP(A4,'리치푸드 피벗'!A:SP,3,FALSE),0)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</row>
    <row r="5" spans="1:16" ht="25.35" customHeight="1" x14ac:dyDescent="0.3">
      <c r="A5" s="52" t="s">
        <v>85</v>
      </c>
      <c r="B5" s="50">
        <f>$B$4</f>
        <v>12</v>
      </c>
      <c r="C5" s="24">
        <f>IFERROR(VLOOKUP(A5,'리치푸드 피벗'!A:SP,3,FALSE),0)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244" t="s">
        <v>275</v>
      </c>
      <c r="I5" s="256"/>
      <c r="J5" s="256"/>
      <c r="K5" s="256"/>
      <c r="L5" s="256"/>
      <c r="M5" s="256"/>
      <c r="N5" s="256"/>
      <c r="O5" s="256"/>
      <c r="P5" s="257"/>
    </row>
    <row r="6" spans="1:16" ht="25.35" customHeight="1" x14ac:dyDescent="0.3">
      <c r="A6" s="49" t="s">
        <v>81</v>
      </c>
      <c r="B6" s="50">
        <f t="shared" ref="B6:B17" si="2">$B$4</f>
        <v>12</v>
      </c>
      <c r="C6" s="24">
        <f>IFERROR(VLOOKUP(A6,'리치푸드 피벗'!A:SP,3,FALSE),0)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258"/>
      <c r="I6" s="230"/>
      <c r="J6" s="230"/>
      <c r="K6" s="230"/>
      <c r="L6" s="230"/>
      <c r="M6" s="230"/>
      <c r="N6" s="230"/>
      <c r="O6" s="230"/>
      <c r="P6" s="259"/>
    </row>
    <row r="7" spans="1:16" ht="25.35" customHeight="1" x14ac:dyDescent="0.3">
      <c r="A7" s="49" t="s">
        <v>75</v>
      </c>
      <c r="B7" s="50">
        <f t="shared" si="2"/>
        <v>12</v>
      </c>
      <c r="C7" s="24">
        <f>IFERROR(VLOOKUP(A7,'리치푸드 피벗'!A:SP,3,FALSE),0)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258"/>
      <c r="I7" s="230"/>
      <c r="J7" s="230"/>
      <c r="K7" s="230"/>
      <c r="L7" s="230"/>
      <c r="M7" s="230"/>
      <c r="N7" s="230"/>
      <c r="O7" s="230"/>
      <c r="P7" s="259"/>
    </row>
    <row r="8" spans="1:16" ht="25.35" customHeight="1" x14ac:dyDescent="0.3">
      <c r="A8" s="49" t="s">
        <v>48</v>
      </c>
      <c r="B8" s="50">
        <f t="shared" si="2"/>
        <v>12</v>
      </c>
      <c r="C8" s="24">
        <f>IFERROR(VLOOKUP(A8,'리치푸드 피벗'!A:SP,3,FALSE),0)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258"/>
      <c r="I8" s="230"/>
      <c r="J8" s="230"/>
      <c r="K8" s="230"/>
      <c r="L8" s="230"/>
      <c r="M8" s="230"/>
      <c r="N8" s="230"/>
      <c r="O8" s="230"/>
      <c r="P8" s="259"/>
    </row>
    <row r="9" spans="1:16" ht="25.35" customHeight="1" x14ac:dyDescent="0.3">
      <c r="A9" s="49" t="s">
        <v>35</v>
      </c>
      <c r="B9" s="50">
        <f t="shared" si="2"/>
        <v>12</v>
      </c>
      <c r="C9" s="24">
        <f>IFERROR(VLOOKUP(A9,'리치푸드 피벗'!A:SP,3,FALSE),0)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258"/>
      <c r="I9" s="230"/>
      <c r="J9" s="230"/>
      <c r="K9" s="230"/>
      <c r="L9" s="230"/>
      <c r="M9" s="230"/>
      <c r="N9" s="230"/>
      <c r="O9" s="230"/>
      <c r="P9" s="259"/>
    </row>
    <row r="10" spans="1:16" ht="25.35" customHeight="1" x14ac:dyDescent="0.3">
      <c r="A10" s="49" t="s">
        <v>54</v>
      </c>
      <c r="B10" s="50">
        <f t="shared" si="2"/>
        <v>12</v>
      </c>
      <c r="C10" s="24">
        <f>IFERROR(VLOOKUP(A10,'리치푸드 피벗'!A:SP,3,FALSE),0)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258"/>
      <c r="I10" s="230"/>
      <c r="J10" s="230"/>
      <c r="K10" s="230"/>
      <c r="L10" s="230"/>
      <c r="M10" s="230"/>
      <c r="N10" s="230"/>
      <c r="O10" s="230"/>
      <c r="P10" s="259"/>
    </row>
    <row r="11" spans="1:16" ht="25.35" customHeight="1" thickBot="1" x14ac:dyDescent="0.35">
      <c r="A11" s="49" t="s">
        <v>58</v>
      </c>
      <c r="B11" s="50">
        <f t="shared" si="2"/>
        <v>12</v>
      </c>
      <c r="C11" s="24">
        <f>IFERROR(VLOOKUP(A11,'리치푸드 피벗'!A:SP,3,FALSE),0)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260"/>
      <c r="I11" s="261"/>
      <c r="J11" s="261"/>
      <c r="K11" s="261"/>
      <c r="L11" s="261"/>
      <c r="M11" s="261"/>
      <c r="N11" s="261"/>
      <c r="O11" s="261"/>
      <c r="P11" s="262"/>
    </row>
    <row r="12" spans="1:16" ht="25.35" customHeight="1" x14ac:dyDescent="0.3">
      <c r="A12" s="49" t="s">
        <v>51</v>
      </c>
      <c r="B12" s="50">
        <f t="shared" si="2"/>
        <v>12</v>
      </c>
      <c r="C12" s="24">
        <f>IFERROR(VLOOKUP(A12,'리치푸드 피벗'!A:SP,3,FALSE),0)</f>
        <v>0</v>
      </c>
      <c r="D12" s="20">
        <f t="shared" si="0"/>
        <v>0</v>
      </c>
      <c r="E12" s="51" t="s">
        <v>245</v>
      </c>
      <c r="F12" s="26">
        <f t="shared" si="1"/>
        <v>0</v>
      </c>
    </row>
    <row r="13" spans="1:16" ht="25.35" customHeight="1" x14ac:dyDescent="0.3">
      <c r="A13" s="52" t="s">
        <v>45</v>
      </c>
      <c r="B13" s="50">
        <f t="shared" si="2"/>
        <v>12</v>
      </c>
      <c r="C13" s="24">
        <f>IFERROR(VLOOKUP(A13,'리치푸드 피벗'!A:SP,3,FALSE),0)</f>
        <v>24</v>
      </c>
      <c r="D13" s="20">
        <f t="shared" si="0"/>
        <v>2</v>
      </c>
      <c r="E13" s="51" t="s">
        <v>246</v>
      </c>
      <c r="F13" s="26">
        <f t="shared" si="1"/>
        <v>0</v>
      </c>
    </row>
    <row r="14" spans="1:16" ht="25.35" customHeight="1" x14ac:dyDescent="0.3">
      <c r="A14" s="49" t="s">
        <v>59</v>
      </c>
      <c r="B14" s="50">
        <f t="shared" si="2"/>
        <v>12</v>
      </c>
      <c r="C14" s="24">
        <f>IFERROR(VLOOKUP(A14,'리치푸드 피벗'!A:SP,3,FALSE),0)</f>
        <v>0</v>
      </c>
      <c r="D14" s="20">
        <f t="shared" si="0"/>
        <v>0</v>
      </c>
      <c r="E14" s="51" t="s">
        <v>247</v>
      </c>
      <c r="F14" s="26">
        <f t="shared" si="1"/>
        <v>0</v>
      </c>
    </row>
    <row r="15" spans="1:16" ht="25.35" customHeight="1" x14ac:dyDescent="0.3">
      <c r="A15" s="49" t="s">
        <v>40</v>
      </c>
      <c r="B15" s="50">
        <f t="shared" si="2"/>
        <v>12</v>
      </c>
      <c r="C15" s="24">
        <f>IFERROR(VLOOKUP(A15,'리치푸드 피벗'!A:SP,3,FALSE),0)</f>
        <v>0</v>
      </c>
      <c r="D15" s="20">
        <f t="shared" si="0"/>
        <v>0</v>
      </c>
      <c r="E15" s="51" t="s">
        <v>248</v>
      </c>
      <c r="F15" s="26">
        <f t="shared" si="1"/>
        <v>0</v>
      </c>
    </row>
    <row r="16" spans="1:16" ht="25.35" customHeight="1" x14ac:dyDescent="0.3">
      <c r="A16" s="49" t="s">
        <v>50</v>
      </c>
      <c r="B16" s="50">
        <f t="shared" si="2"/>
        <v>12</v>
      </c>
      <c r="C16" s="24">
        <f>IFERROR(VLOOKUP(A16,'리치푸드 피벗'!A:SP,3,FALSE),0)</f>
        <v>0</v>
      </c>
      <c r="D16" s="20">
        <f t="shared" si="0"/>
        <v>0</v>
      </c>
      <c r="E16" s="51" t="s">
        <v>249</v>
      </c>
      <c r="F16" s="26">
        <f t="shared" si="1"/>
        <v>0</v>
      </c>
    </row>
    <row r="17" spans="1:6" ht="25.35" customHeight="1" x14ac:dyDescent="0.3">
      <c r="A17" s="49" t="s">
        <v>55</v>
      </c>
      <c r="B17" s="50">
        <f t="shared" si="2"/>
        <v>12</v>
      </c>
      <c r="C17" s="24">
        <f>IFERROR(VLOOKUP(A17,'리치푸드 피벗'!A:SP,3,FALSE),0)</f>
        <v>0</v>
      </c>
      <c r="D17" s="20">
        <f t="shared" si="0"/>
        <v>0</v>
      </c>
      <c r="E17" s="51" t="s">
        <v>250</v>
      </c>
      <c r="F17" s="26">
        <f t="shared" si="1"/>
        <v>0</v>
      </c>
    </row>
    <row r="18" spans="1:6" ht="4.5" customHeight="1" x14ac:dyDescent="0.3">
      <c r="A18" s="241"/>
      <c r="B18" s="242"/>
      <c r="C18" s="242"/>
      <c r="D18" s="242"/>
      <c r="E18" s="242"/>
      <c r="F18" s="243"/>
    </row>
    <row r="19" spans="1:6" ht="32.450000000000003" customHeight="1" x14ac:dyDescent="0.3">
      <c r="A19" s="209" t="s">
        <v>122</v>
      </c>
      <c r="B19" s="210">
        <f>$B$4</f>
        <v>12</v>
      </c>
      <c r="C19" s="211">
        <f>SUM(C4:C17)</f>
        <v>24</v>
      </c>
      <c r="D19" s="55">
        <f>IFERROR(ROUNDDOWN(C19/B19,0),"")</f>
        <v>2</v>
      </c>
      <c r="E19" s="212"/>
      <c r="F19" s="213">
        <f>IFERROR(C19-(D19*B19),"")</f>
        <v>0</v>
      </c>
    </row>
    <row r="20" spans="1:6" ht="4.5" customHeight="1" x14ac:dyDescent="0.3">
      <c r="A20" s="181"/>
      <c r="B20" s="50"/>
      <c r="C20" s="50"/>
      <c r="D20" s="50"/>
      <c r="E20" s="50"/>
      <c r="F20" s="182"/>
    </row>
    <row r="21" spans="1:6" ht="25.35" customHeight="1" x14ac:dyDescent="0.3">
      <c r="A21" s="214" t="s">
        <v>46</v>
      </c>
      <c r="B21" s="50">
        <f t="shared" ref="B21:B23" si="3">$B$4</f>
        <v>12</v>
      </c>
      <c r="C21" s="24">
        <f>IFERROR(VLOOKUP(A21,'리치푸드 피벗'!A:SP,3,FALSE),0)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</row>
    <row r="22" spans="1:6" ht="25.35" customHeight="1" x14ac:dyDescent="0.3">
      <c r="A22" s="214" t="s">
        <v>41</v>
      </c>
      <c r="B22" s="50">
        <f t="shared" si="3"/>
        <v>12</v>
      </c>
      <c r="C22" s="24">
        <f>IFERROR(VLOOKUP(A22,'리치푸드 피벗'!A:SP,3,FALSE),0)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</row>
    <row r="23" spans="1:6" ht="25.35" customHeight="1" x14ac:dyDescent="0.3">
      <c r="A23" s="214" t="s">
        <v>62</v>
      </c>
      <c r="B23" s="50">
        <f t="shared" si="3"/>
        <v>12</v>
      </c>
      <c r="C23" s="24">
        <f>IFERROR(VLOOKUP(A23,'리치푸드 피벗'!A:SP,3,FALSE),0)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</row>
    <row r="24" spans="1:6" ht="4.5" customHeight="1" x14ac:dyDescent="0.3">
      <c r="A24" s="241"/>
      <c r="B24" s="242"/>
      <c r="C24" s="242"/>
      <c r="D24" s="242"/>
      <c r="E24" s="242"/>
      <c r="F24" s="243"/>
    </row>
    <row r="25" spans="1:6" ht="32.450000000000003" customHeight="1" x14ac:dyDescent="0.3">
      <c r="A25" s="209" t="s">
        <v>237</v>
      </c>
      <c r="B25" s="210">
        <f>$B$4</f>
        <v>12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</row>
    <row r="26" spans="1:6" ht="4.5" customHeight="1" x14ac:dyDescent="0.3">
      <c r="A26" s="241"/>
      <c r="B26" s="242"/>
      <c r="C26" s="242"/>
      <c r="D26" s="242"/>
      <c r="E26" s="242"/>
      <c r="F26" s="243"/>
    </row>
    <row r="27" spans="1:6" ht="25.35" customHeight="1" x14ac:dyDescent="0.3">
      <c r="A27" s="223" t="s">
        <v>73</v>
      </c>
      <c r="B27" s="50">
        <f t="shared" ref="B27" si="4">$B$4</f>
        <v>12</v>
      </c>
      <c r="C27" s="24">
        <f>IFERROR(VLOOKUP(A27,'리치푸드 피벗'!A:SP,3,FALSE),0)</f>
        <v>36</v>
      </c>
      <c r="D27" s="20">
        <f>IFERROR(ROUNDDOWN(C27/B27,0),"")</f>
        <v>3</v>
      </c>
      <c r="E27" s="51" t="s">
        <v>257</v>
      </c>
      <c r="F27" s="26">
        <f>IFERROR(C27-(D27*B27),"")</f>
        <v>0</v>
      </c>
    </row>
    <row r="28" spans="1:6" ht="4.5" customHeight="1" x14ac:dyDescent="0.3">
      <c r="A28" s="241"/>
      <c r="B28" s="242"/>
      <c r="C28" s="242"/>
      <c r="D28" s="242"/>
      <c r="E28" s="242"/>
      <c r="F28" s="243"/>
    </row>
    <row r="29" spans="1:6" ht="32.450000000000003" customHeight="1" x14ac:dyDescent="0.3">
      <c r="A29" s="209" t="s">
        <v>236</v>
      </c>
      <c r="B29" s="210">
        <f>$B$4</f>
        <v>12</v>
      </c>
      <c r="C29" s="211">
        <f>SUM(C27:C27)</f>
        <v>36</v>
      </c>
      <c r="D29" s="55">
        <f>IFERROR(ROUNDDOWN(C29/B29,0),"")</f>
        <v>3</v>
      </c>
      <c r="E29" s="212"/>
      <c r="F29" s="213">
        <f>IFERROR(C29-(D29*B29),"")</f>
        <v>0</v>
      </c>
    </row>
    <row r="30" spans="1:6" ht="4.5" customHeight="1" x14ac:dyDescent="0.3">
      <c r="A30" s="181"/>
      <c r="B30" s="50"/>
      <c r="C30" s="50"/>
      <c r="D30" s="50"/>
      <c r="E30" s="50"/>
      <c r="F30" s="182"/>
    </row>
    <row r="31" spans="1:6" ht="25.35" customHeight="1" x14ac:dyDescent="0.3">
      <c r="A31" s="49" t="s">
        <v>90</v>
      </c>
      <c r="B31" s="50">
        <f t="shared" ref="B31:B32" si="5">$B$4</f>
        <v>12</v>
      </c>
      <c r="C31" s="24">
        <f>IFERROR(VLOOKUP(A31,'리치푸드 피벗'!A:SP,3,FALSE),0)</f>
        <v>0</v>
      </c>
      <c r="D31" s="20">
        <f t="shared" ref="D31:D32" si="6">IFERROR(ROUNDDOWN(C31/B31,0),"")</f>
        <v>0</v>
      </c>
      <c r="E31" s="51" t="s">
        <v>258</v>
      </c>
      <c r="F31" s="26">
        <f t="shared" ref="F31" si="7">IFERROR(C31-(D31*B31),"")</f>
        <v>0</v>
      </c>
    </row>
    <row r="32" spans="1:6" ht="25.35" customHeight="1" x14ac:dyDescent="0.3">
      <c r="A32" s="49" t="s">
        <v>52</v>
      </c>
      <c r="B32" s="50">
        <f t="shared" si="5"/>
        <v>12</v>
      </c>
      <c r="C32" s="24">
        <f>IFERROR(VLOOKUP(A32,'리치푸드 피벗'!A:SP,3,FALSE),0)</f>
        <v>0</v>
      </c>
      <c r="D32" s="20">
        <f t="shared" si="6"/>
        <v>0</v>
      </c>
      <c r="E32" s="51" t="s">
        <v>259</v>
      </c>
      <c r="F32" s="26">
        <f>IFERROR(C32-(D32*B32),"")</f>
        <v>0</v>
      </c>
    </row>
    <row r="33" spans="1:6" ht="4.5" customHeight="1" x14ac:dyDescent="0.3">
      <c r="A33" s="241"/>
      <c r="B33" s="242"/>
      <c r="C33" s="242"/>
      <c r="D33" s="242"/>
      <c r="E33" s="242"/>
      <c r="F33" s="243"/>
    </row>
    <row r="34" spans="1:6" ht="32.450000000000003" customHeight="1" x14ac:dyDescent="0.3">
      <c r="A34" s="209" t="s">
        <v>235</v>
      </c>
      <c r="B34" s="210">
        <f>$B$4</f>
        <v>12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</row>
    <row r="35" spans="1:6" ht="4.5" customHeight="1" x14ac:dyDescent="0.3">
      <c r="A35" s="181"/>
      <c r="B35" s="50"/>
      <c r="C35" s="50"/>
      <c r="D35" s="50"/>
      <c r="E35" s="50"/>
      <c r="F35" s="182"/>
    </row>
    <row r="36" spans="1:6" ht="27.75" customHeight="1" x14ac:dyDescent="0.3">
      <c r="A36" s="52" t="s">
        <v>84</v>
      </c>
      <c r="B36" s="50">
        <f t="shared" ref="B36" si="8">$B$4</f>
        <v>12</v>
      </c>
      <c r="C36" s="24">
        <f>IFERROR(VLOOKUP(A36,'리치푸드 피벗'!A:SP,3,FALSE),0)</f>
        <v>0</v>
      </c>
      <c r="D36" s="20">
        <f t="shared" ref="D36" si="9">IFERROR(ROUNDDOWN(C36/B36,0),"")</f>
        <v>0</v>
      </c>
      <c r="E36" s="215" t="s">
        <v>120</v>
      </c>
      <c r="F36" s="26">
        <f t="shared" ref="F36" si="10">IFERROR(C36-(D36*B36),"")</f>
        <v>0</v>
      </c>
    </row>
    <row r="37" spans="1:6" ht="6" customHeight="1" x14ac:dyDescent="0.3">
      <c r="A37" s="52"/>
      <c r="B37" s="50"/>
      <c r="C37" s="24"/>
      <c r="D37" s="20"/>
      <c r="E37" s="215"/>
      <c r="F37" s="26"/>
    </row>
    <row r="38" spans="1:6" ht="26.25" x14ac:dyDescent="0.3">
      <c r="A38" s="87" t="s">
        <v>3</v>
      </c>
      <c r="B38" s="57">
        <f>$B$4</f>
        <v>12</v>
      </c>
      <c r="C38" s="55">
        <f>SUM(C4:C17,C31:C32,C27:C27,C21:C23,C36)</f>
        <v>60</v>
      </c>
      <c r="D38" s="54">
        <f>IFERROR(ROUNDDOWN(C38/B38,0),"")</f>
        <v>5</v>
      </c>
      <c r="E38" s="56"/>
      <c r="F38" s="121">
        <f>IFERROR(C38-(D38*B38),"")</f>
        <v>0</v>
      </c>
    </row>
    <row r="39" spans="1:6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5</v>
      </c>
      <c r="E39" s="48"/>
      <c r="F39" s="93">
        <f>SUM(F4:F17,F31:F32,F27:F27,F21:F23,F36)</f>
        <v>0</v>
      </c>
    </row>
    <row r="40" spans="1:6" ht="22.5" customHeight="1" x14ac:dyDescent="0.3">
      <c r="C40" s="77">
        <f>C19+C25+C29+C34+C36</f>
        <v>60</v>
      </c>
    </row>
    <row r="41" spans="1:6" x14ac:dyDescent="0.3">
      <c r="C41" s="34" t="b">
        <f>C40=C38</f>
        <v>1</v>
      </c>
    </row>
  </sheetData>
  <mergeCells count="8">
    <mergeCell ref="H5:P11"/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B618-1ECE-4B20-A2DE-A7B1E2FBB851}">
  <sheetPr>
    <tabColor rgb="FF00B050"/>
    <pageSetUpPr fitToPage="1"/>
  </sheetPr>
  <dimension ref="A1:P41"/>
  <sheetViews>
    <sheetView zoomScale="55" zoomScaleNormal="55" zoomScaleSheetLayoutView="75" workbookViewId="0">
      <selection activeCell="P37" sqref="P37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6" ht="25.9" customHeight="1" thickBot="1" x14ac:dyDescent="0.35">
      <c r="A1" s="253"/>
      <c r="B1" s="253"/>
      <c r="C1" s="253"/>
      <c r="D1" s="253"/>
      <c r="E1" s="253"/>
      <c r="F1" s="253"/>
    </row>
    <row r="2" spans="1:16" ht="25.9" customHeight="1" x14ac:dyDescent="0.3">
      <c r="A2" s="217">
        <f ca="1">TODAY()</f>
        <v>46309</v>
      </c>
      <c r="B2" s="254" t="s">
        <v>261</v>
      </c>
      <c r="C2" s="254"/>
      <c r="D2" s="254"/>
      <c r="E2" s="254"/>
      <c r="F2" s="255"/>
    </row>
    <row r="3" spans="1:16" ht="40.5" customHeight="1" x14ac:dyDescent="0.3">
      <c r="A3" s="218" t="str">
        <f>'리치푸드 피벗'!A2</f>
        <v>10/15납품</v>
      </c>
      <c r="B3" s="219" t="s">
        <v>13</v>
      </c>
      <c r="C3" s="220" t="s">
        <v>281</v>
      </c>
      <c r="D3" s="221" t="s">
        <v>2</v>
      </c>
      <c r="E3" s="219" t="s">
        <v>23</v>
      </c>
      <c r="F3" s="222" t="s">
        <v>14</v>
      </c>
    </row>
    <row r="4" spans="1:16" ht="25.35" customHeight="1" thickBot="1" x14ac:dyDescent="0.35">
      <c r="A4" s="52" t="s">
        <v>100</v>
      </c>
      <c r="B4" s="50">
        <v>12</v>
      </c>
      <c r="C4" s="24">
        <f>IFERROR(VLOOKUP(A4,'리치푸드 피벗'!A:SP,4,FALSE),0)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16" ht="25.35" customHeight="1" x14ac:dyDescent="0.3">
      <c r="A5" s="52" t="s">
        <v>85</v>
      </c>
      <c r="B5" s="50">
        <f>$B$4</f>
        <v>12</v>
      </c>
      <c r="C5" s="24">
        <f>IFERROR(VLOOKUP(A5,'리치푸드 피벗'!A:SP,4,FALSE),0)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244" t="s">
        <v>275</v>
      </c>
      <c r="I5" s="245"/>
      <c r="J5" s="245"/>
      <c r="K5" s="245"/>
      <c r="L5" s="245"/>
      <c r="M5" s="245"/>
      <c r="N5" s="245"/>
      <c r="O5" s="245"/>
      <c r="P5" s="246"/>
    </row>
    <row r="6" spans="1:16" ht="25.35" customHeight="1" x14ac:dyDescent="0.3">
      <c r="A6" s="49" t="s">
        <v>81</v>
      </c>
      <c r="B6" s="50">
        <f t="shared" ref="B6:B17" si="2">$B$4</f>
        <v>12</v>
      </c>
      <c r="C6" s="24">
        <f>IFERROR(VLOOKUP(A6,'리치푸드 피벗'!A:SP,4,FALSE),0)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247"/>
      <c r="I6" s="248"/>
      <c r="J6" s="248"/>
      <c r="K6" s="248"/>
      <c r="L6" s="248"/>
      <c r="M6" s="248"/>
      <c r="N6" s="248"/>
      <c r="O6" s="248"/>
      <c r="P6" s="249"/>
    </row>
    <row r="7" spans="1:16" ht="25.35" customHeight="1" x14ac:dyDescent="0.3">
      <c r="A7" s="49" t="s">
        <v>75</v>
      </c>
      <c r="B7" s="50">
        <f t="shared" si="2"/>
        <v>12</v>
      </c>
      <c r="C7" s="24">
        <f>IFERROR(VLOOKUP(A7,'리치푸드 피벗'!A:SP,4,FALSE),0)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247"/>
      <c r="I7" s="248"/>
      <c r="J7" s="248"/>
      <c r="K7" s="248"/>
      <c r="L7" s="248"/>
      <c r="M7" s="248"/>
      <c r="N7" s="248"/>
      <c r="O7" s="248"/>
      <c r="P7" s="249"/>
    </row>
    <row r="8" spans="1:16" ht="25.35" customHeight="1" x14ac:dyDescent="0.3">
      <c r="A8" s="49" t="s">
        <v>48</v>
      </c>
      <c r="B8" s="50">
        <f t="shared" si="2"/>
        <v>12</v>
      </c>
      <c r="C8" s="24">
        <f>IFERROR(VLOOKUP(A8,'리치푸드 피벗'!A:SP,4,FALSE),0)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247"/>
      <c r="I8" s="248"/>
      <c r="J8" s="248"/>
      <c r="K8" s="248"/>
      <c r="L8" s="248"/>
      <c r="M8" s="248"/>
      <c r="N8" s="248"/>
      <c r="O8" s="248"/>
      <c r="P8" s="249"/>
    </row>
    <row r="9" spans="1:16" ht="25.35" customHeight="1" x14ac:dyDescent="0.3">
      <c r="A9" s="49" t="s">
        <v>35</v>
      </c>
      <c r="B9" s="50">
        <f t="shared" si="2"/>
        <v>12</v>
      </c>
      <c r="C9" s="24">
        <f>IFERROR(VLOOKUP(A9,'리치푸드 피벗'!A:SP,4,FALSE),0)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247"/>
      <c r="I9" s="248"/>
      <c r="J9" s="248"/>
      <c r="K9" s="248"/>
      <c r="L9" s="248"/>
      <c r="M9" s="248"/>
      <c r="N9" s="248"/>
      <c r="O9" s="248"/>
      <c r="P9" s="249"/>
    </row>
    <row r="10" spans="1:16" ht="25.35" customHeight="1" x14ac:dyDescent="0.3">
      <c r="A10" s="49" t="s">
        <v>54</v>
      </c>
      <c r="B10" s="50">
        <f t="shared" si="2"/>
        <v>12</v>
      </c>
      <c r="C10" s="24">
        <f>IFERROR(VLOOKUP(A10,'리치푸드 피벗'!A:SP,4,FALSE),0)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247"/>
      <c r="I10" s="248"/>
      <c r="J10" s="248"/>
      <c r="K10" s="248"/>
      <c r="L10" s="248"/>
      <c r="M10" s="248"/>
      <c r="N10" s="248"/>
      <c r="O10" s="248"/>
      <c r="P10" s="249"/>
    </row>
    <row r="11" spans="1:16" ht="25.35" customHeight="1" thickBot="1" x14ac:dyDescent="0.35">
      <c r="A11" s="49" t="s">
        <v>58</v>
      </c>
      <c r="B11" s="50">
        <f t="shared" si="2"/>
        <v>12</v>
      </c>
      <c r="C11" s="24">
        <f>IFERROR(VLOOKUP(A11,'리치푸드 피벗'!A:SP,4,FALSE),0)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250"/>
      <c r="I11" s="251"/>
      <c r="J11" s="251"/>
      <c r="K11" s="251"/>
      <c r="L11" s="251"/>
      <c r="M11" s="251"/>
      <c r="N11" s="251"/>
      <c r="O11" s="251"/>
      <c r="P11" s="252"/>
    </row>
    <row r="12" spans="1:16" ht="25.35" customHeight="1" x14ac:dyDescent="0.3">
      <c r="A12" s="49" t="s">
        <v>51</v>
      </c>
      <c r="B12" s="50">
        <f t="shared" si="2"/>
        <v>12</v>
      </c>
      <c r="C12" s="24">
        <f>IFERROR(VLOOKUP(A12,'리치푸드 피벗'!A:SP,4,FALSE),0)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16" ht="25.35" customHeight="1" x14ac:dyDescent="0.3">
      <c r="A13" s="52" t="s">
        <v>45</v>
      </c>
      <c r="B13" s="50">
        <f t="shared" si="2"/>
        <v>12</v>
      </c>
      <c r="C13" s="24">
        <f>IFERROR(VLOOKUP(A13,'리치푸드 피벗'!A:SP,4,FALSE),0)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16" ht="25.35" customHeight="1" x14ac:dyDescent="0.3">
      <c r="A14" s="49" t="s">
        <v>59</v>
      </c>
      <c r="B14" s="50">
        <f t="shared" si="2"/>
        <v>12</v>
      </c>
      <c r="C14" s="24">
        <f>IFERROR(VLOOKUP(A14,'리치푸드 피벗'!A:SP,4,FALSE),0)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16" ht="25.35" customHeight="1" x14ac:dyDescent="0.3">
      <c r="A15" s="49" t="s">
        <v>40</v>
      </c>
      <c r="B15" s="50">
        <f t="shared" si="2"/>
        <v>12</v>
      </c>
      <c r="C15" s="24">
        <f>IFERROR(VLOOKUP(A15,'리치푸드 피벗'!A:SP,4,FALSE),0)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16" ht="25.35" customHeight="1" x14ac:dyDescent="0.3">
      <c r="A16" s="49" t="s">
        <v>50</v>
      </c>
      <c r="B16" s="50">
        <f t="shared" si="2"/>
        <v>12</v>
      </c>
      <c r="C16" s="24">
        <f>IFERROR(VLOOKUP(A16,'리치푸드 피벗'!A:SP,4,FALSE),0)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12</v>
      </c>
      <c r="C17" s="24">
        <f>IFERROR(VLOOKUP(A17,'리치푸드 피벗'!A:SP,4,FALSE),0)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12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12</v>
      </c>
      <c r="C21" s="24">
        <f>IFERROR(VLOOKUP(A21,'리치푸드 피벗'!A:SP,4,FALSE),0)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12</v>
      </c>
      <c r="C22" s="24">
        <f>IFERROR(VLOOKUP(A22,'리치푸드 피벗'!A:SP,4,FALSE),0)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12</v>
      </c>
      <c r="C23" s="24">
        <f>IFERROR(VLOOKUP(A23,'리치푸드 피벗'!A:SP,4,FALSE),0)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12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12</v>
      </c>
      <c r="C27" s="24">
        <f>IFERROR(VLOOKUP(A27,'리치푸드 피벗'!A:SP,4,FALSE),0)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12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12</v>
      </c>
      <c r="C31" s="24">
        <f>IFERROR(VLOOKUP(A31,'리치푸드 피벗'!A:SP,4,FALSE),0)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12</v>
      </c>
      <c r="C32" s="24">
        <f>IFERROR(VLOOKUP(A32,'리치푸드 피벗'!A:SP,4,FALSE),0)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12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12</v>
      </c>
      <c r="C36" s="24">
        <f>IFERROR(VLOOKUP(A36,'리치푸드 피벗'!A:SP,4,FALSE),0)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12</v>
      </c>
      <c r="C38" s="55">
        <f>SUM(C4:C17,C31:C32,C27:C27,C21:C23,C36)</f>
        <v>0</v>
      </c>
      <c r="D38" s="54">
        <f>IFERROR(ROUNDDOWN(C38/B38,0),"")</f>
        <v>0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0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0</v>
      </c>
    </row>
    <row r="41" spans="1:9" x14ac:dyDescent="0.3">
      <c r="C41" s="34" t="b">
        <f>C40=C38</f>
        <v>1</v>
      </c>
    </row>
  </sheetData>
  <mergeCells count="8">
    <mergeCell ref="H5:P11"/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23F2-B95C-4602-9F93-B2B33C46DA15}">
  <sheetPr>
    <tabColor rgb="FFFFFF00"/>
    <pageSetUpPr fitToPage="1"/>
  </sheetPr>
  <dimension ref="A1:P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6" ht="25.9" customHeight="1" thickBot="1" x14ac:dyDescent="0.35">
      <c r="A1" s="253"/>
      <c r="B1" s="253"/>
      <c r="C1" s="253"/>
      <c r="D1" s="253"/>
      <c r="E1" s="253"/>
      <c r="F1" s="253"/>
    </row>
    <row r="2" spans="1:16" ht="25.9" customHeight="1" x14ac:dyDescent="0.3">
      <c r="A2" s="217">
        <f ca="1">TODAY()</f>
        <v>46309</v>
      </c>
      <c r="B2" s="254" t="s">
        <v>260</v>
      </c>
      <c r="C2" s="254"/>
      <c r="D2" s="254"/>
      <c r="E2" s="254"/>
      <c r="F2" s="255"/>
    </row>
    <row r="3" spans="1:16" ht="40.5" customHeight="1" x14ac:dyDescent="0.3">
      <c r="A3" s="218" t="str">
        <f>'리치푸드 피벗'!A2</f>
        <v>10/15납품</v>
      </c>
      <c r="B3" s="219" t="s">
        <v>13</v>
      </c>
      <c r="C3" s="220" t="s">
        <v>284</v>
      </c>
      <c r="D3" s="221" t="s">
        <v>2</v>
      </c>
      <c r="E3" s="219" t="s">
        <v>23</v>
      </c>
      <c r="F3" s="222" t="s">
        <v>14</v>
      </c>
      <c r="I3" s="73"/>
      <c r="J3" s="73"/>
    </row>
    <row r="4" spans="1:16" ht="25.35" customHeight="1" thickBot="1" x14ac:dyDescent="0.35">
      <c r="A4" s="52" t="s">
        <v>100</v>
      </c>
      <c r="B4" s="50">
        <v>15</v>
      </c>
      <c r="C4" s="24">
        <f>IFERROR(VLOOKUP(A4,'리치푸드 피벗'!A:SP,5,FALSE),0)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I4" s="73"/>
      <c r="J4" s="73"/>
    </row>
    <row r="5" spans="1:16" ht="25.35" customHeight="1" x14ac:dyDescent="0.3">
      <c r="A5" s="52" t="s">
        <v>85</v>
      </c>
      <c r="B5" s="50">
        <f>$B$4</f>
        <v>15</v>
      </c>
      <c r="C5" s="24">
        <f>IFERROR(VLOOKUP(A5,'리치푸드 피벗'!A:SP,5,FALSE),0)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244" t="s">
        <v>276</v>
      </c>
      <c r="I5" s="245"/>
      <c r="J5" s="245"/>
      <c r="K5" s="245"/>
      <c r="L5" s="245"/>
      <c r="M5" s="245"/>
      <c r="N5" s="245"/>
      <c r="O5" s="245"/>
      <c r="P5" s="246"/>
    </row>
    <row r="6" spans="1:16" ht="25.35" customHeight="1" x14ac:dyDescent="0.3">
      <c r="A6" s="49" t="s">
        <v>81</v>
      </c>
      <c r="B6" s="50">
        <f t="shared" ref="B6:B17" si="2">$B$4</f>
        <v>15</v>
      </c>
      <c r="C6" s="24">
        <f>IFERROR(VLOOKUP(A6,'리치푸드 피벗'!A:SP,5,FALSE),0)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247"/>
      <c r="I6" s="248"/>
      <c r="J6" s="248"/>
      <c r="K6" s="248"/>
      <c r="L6" s="248"/>
      <c r="M6" s="248"/>
      <c r="N6" s="248"/>
      <c r="O6" s="248"/>
      <c r="P6" s="249"/>
    </row>
    <row r="7" spans="1:16" ht="25.35" customHeight="1" x14ac:dyDescent="0.3">
      <c r="A7" s="49" t="s">
        <v>75</v>
      </c>
      <c r="B7" s="50">
        <f t="shared" si="2"/>
        <v>15</v>
      </c>
      <c r="C7" s="24">
        <f>IFERROR(VLOOKUP(A7,'리치푸드 피벗'!A:SP,5,FALSE),0)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247"/>
      <c r="I7" s="248"/>
      <c r="J7" s="248"/>
      <c r="K7" s="248"/>
      <c r="L7" s="248"/>
      <c r="M7" s="248"/>
      <c r="N7" s="248"/>
      <c r="O7" s="248"/>
      <c r="P7" s="249"/>
    </row>
    <row r="8" spans="1:16" ht="25.35" customHeight="1" x14ac:dyDescent="0.3">
      <c r="A8" s="49" t="s">
        <v>48</v>
      </c>
      <c r="B8" s="50">
        <f t="shared" si="2"/>
        <v>15</v>
      </c>
      <c r="C8" s="24">
        <f>IFERROR(VLOOKUP(A8,'리치푸드 피벗'!A:SP,5,FALSE),0)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247"/>
      <c r="I8" s="248"/>
      <c r="J8" s="248"/>
      <c r="K8" s="248"/>
      <c r="L8" s="248"/>
      <c r="M8" s="248"/>
      <c r="N8" s="248"/>
      <c r="O8" s="248"/>
      <c r="P8" s="249"/>
    </row>
    <row r="9" spans="1:16" ht="25.35" customHeight="1" x14ac:dyDescent="0.3">
      <c r="A9" s="49" t="s">
        <v>35</v>
      </c>
      <c r="B9" s="50">
        <f t="shared" si="2"/>
        <v>15</v>
      </c>
      <c r="C9" s="24">
        <f>IFERROR(VLOOKUP(A9,'리치푸드 피벗'!A:SP,5,FALSE),0)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247"/>
      <c r="I9" s="248"/>
      <c r="J9" s="248"/>
      <c r="K9" s="248"/>
      <c r="L9" s="248"/>
      <c r="M9" s="248"/>
      <c r="N9" s="248"/>
      <c r="O9" s="248"/>
      <c r="P9" s="249"/>
    </row>
    <row r="10" spans="1:16" ht="25.35" customHeight="1" x14ac:dyDescent="0.3">
      <c r="A10" s="49" t="s">
        <v>54</v>
      </c>
      <c r="B10" s="50">
        <f t="shared" si="2"/>
        <v>15</v>
      </c>
      <c r="C10" s="24">
        <f>IFERROR(VLOOKUP(A10,'리치푸드 피벗'!A:SP,5,FALSE),0)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247"/>
      <c r="I10" s="248"/>
      <c r="J10" s="248"/>
      <c r="K10" s="248"/>
      <c r="L10" s="248"/>
      <c r="M10" s="248"/>
      <c r="N10" s="248"/>
      <c r="O10" s="248"/>
      <c r="P10" s="249"/>
    </row>
    <row r="11" spans="1:16" ht="25.35" customHeight="1" x14ac:dyDescent="0.3">
      <c r="A11" s="49" t="s">
        <v>58</v>
      </c>
      <c r="B11" s="50">
        <f t="shared" si="2"/>
        <v>15</v>
      </c>
      <c r="C11" s="24">
        <f>IFERROR(VLOOKUP(A11,'리치푸드 피벗'!A:SP,5,FALSE),0)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247"/>
      <c r="I11" s="248"/>
      <c r="J11" s="248"/>
      <c r="K11" s="248"/>
      <c r="L11" s="248"/>
      <c r="M11" s="248"/>
      <c r="N11" s="248"/>
      <c r="O11" s="248"/>
      <c r="P11" s="249"/>
    </row>
    <row r="12" spans="1:16" ht="25.35" customHeight="1" x14ac:dyDescent="0.3">
      <c r="A12" s="49" t="s">
        <v>51</v>
      </c>
      <c r="B12" s="50">
        <f t="shared" si="2"/>
        <v>15</v>
      </c>
      <c r="C12" s="24">
        <f>IFERROR(VLOOKUP(A12,'리치푸드 피벗'!A:SP,5,FALSE),0)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247"/>
      <c r="I12" s="248"/>
      <c r="J12" s="248"/>
      <c r="K12" s="248"/>
      <c r="L12" s="248"/>
      <c r="M12" s="248"/>
      <c r="N12" s="248"/>
      <c r="O12" s="248"/>
      <c r="P12" s="249"/>
    </row>
    <row r="13" spans="1:16" ht="25.35" customHeight="1" thickBot="1" x14ac:dyDescent="0.35">
      <c r="A13" s="52" t="s">
        <v>45</v>
      </c>
      <c r="B13" s="50">
        <f t="shared" si="2"/>
        <v>15</v>
      </c>
      <c r="C13" s="24">
        <f>IFERROR(VLOOKUP(A13,'리치푸드 피벗'!A:SP,5,FALSE),0)</f>
        <v>15</v>
      </c>
      <c r="D13" s="20">
        <f t="shared" si="0"/>
        <v>1</v>
      </c>
      <c r="E13" s="51" t="s">
        <v>246</v>
      </c>
      <c r="F13" s="26">
        <f t="shared" si="1"/>
        <v>0</v>
      </c>
      <c r="H13" s="250"/>
      <c r="I13" s="251"/>
      <c r="J13" s="251"/>
      <c r="K13" s="251"/>
      <c r="L13" s="251"/>
      <c r="M13" s="251"/>
      <c r="N13" s="251"/>
      <c r="O13" s="251"/>
      <c r="P13" s="252"/>
    </row>
    <row r="14" spans="1:16" ht="25.35" customHeight="1" x14ac:dyDescent="0.3">
      <c r="A14" s="49" t="s">
        <v>59</v>
      </c>
      <c r="B14" s="50">
        <f t="shared" si="2"/>
        <v>15</v>
      </c>
      <c r="C14" s="24">
        <f>IFERROR(VLOOKUP(A14,'리치푸드 피벗'!A:SP,5,FALSE),0)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I14" s="73"/>
      <c r="J14" s="73"/>
    </row>
    <row r="15" spans="1:16" ht="25.35" customHeight="1" x14ac:dyDescent="0.3">
      <c r="A15" s="49" t="s">
        <v>40</v>
      </c>
      <c r="B15" s="50">
        <f t="shared" si="2"/>
        <v>15</v>
      </c>
      <c r="C15" s="24">
        <f>IFERROR(VLOOKUP(A15,'리치푸드 피벗'!A:SP,5,FALSE),0)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I15" s="73"/>
      <c r="J15" s="73"/>
    </row>
    <row r="16" spans="1:16" ht="25.35" customHeight="1" x14ac:dyDescent="0.3">
      <c r="A16" s="49" t="s">
        <v>50</v>
      </c>
      <c r="B16" s="50">
        <f t="shared" si="2"/>
        <v>15</v>
      </c>
      <c r="C16" s="24">
        <f>IFERROR(VLOOKUP(A16,'리치푸드 피벗'!A:SP,5,FALSE),0)</f>
        <v>15</v>
      </c>
      <c r="D16" s="20">
        <f t="shared" si="0"/>
        <v>1</v>
      </c>
      <c r="E16" s="51" t="s">
        <v>249</v>
      </c>
      <c r="F16" s="26">
        <f t="shared" si="1"/>
        <v>0</v>
      </c>
      <c r="I16" s="73"/>
      <c r="J16" s="73"/>
    </row>
    <row r="17" spans="1:10" ht="25.35" customHeight="1" x14ac:dyDescent="0.3">
      <c r="A17" s="49" t="s">
        <v>55</v>
      </c>
      <c r="B17" s="50">
        <f t="shared" si="2"/>
        <v>15</v>
      </c>
      <c r="C17" s="24">
        <f>IFERROR(VLOOKUP(A17,'리치푸드 피벗'!A:SP,5,FALSE),0)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I17" s="73"/>
      <c r="J17" s="73"/>
    </row>
    <row r="18" spans="1:10" ht="4.5" customHeight="1" x14ac:dyDescent="0.3">
      <c r="A18" s="241"/>
      <c r="B18" s="242"/>
      <c r="C18" s="242"/>
      <c r="D18" s="242"/>
      <c r="E18" s="242"/>
      <c r="F18" s="243"/>
      <c r="I18" s="73"/>
      <c r="J18" s="73"/>
    </row>
    <row r="19" spans="1:10" ht="32.450000000000003" customHeight="1" x14ac:dyDescent="0.3">
      <c r="A19" s="209" t="s">
        <v>122</v>
      </c>
      <c r="B19" s="210">
        <f>$B$4</f>
        <v>15</v>
      </c>
      <c r="C19" s="211">
        <f>SUM(C4:C17)</f>
        <v>30</v>
      </c>
      <c r="D19" s="55">
        <f>IFERROR(ROUNDDOWN(C19/B19,0),"")</f>
        <v>2</v>
      </c>
      <c r="E19" s="212"/>
      <c r="F19" s="213">
        <f>IFERROR(C19-(D19*B19),"")</f>
        <v>0</v>
      </c>
      <c r="I19" s="73"/>
      <c r="J19" s="73"/>
    </row>
    <row r="20" spans="1:10" ht="4.5" customHeight="1" x14ac:dyDescent="0.3">
      <c r="A20" s="181"/>
      <c r="B20" s="50"/>
      <c r="C20" s="50"/>
      <c r="D20" s="50"/>
      <c r="E20" s="50"/>
      <c r="F20" s="182"/>
      <c r="I20" s="73"/>
      <c r="J20" s="73"/>
    </row>
    <row r="21" spans="1:10" ht="25.35" customHeight="1" x14ac:dyDescent="0.3">
      <c r="A21" s="214" t="s">
        <v>46</v>
      </c>
      <c r="B21" s="50">
        <f t="shared" ref="B21:B23" si="3">$B$4</f>
        <v>15</v>
      </c>
      <c r="C21" s="24">
        <f>IFERROR(VLOOKUP(A21,'리치푸드 피벗'!A:SP,5,FALSE),0)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I21" s="73"/>
      <c r="J21" s="73"/>
    </row>
    <row r="22" spans="1:10" ht="25.35" customHeight="1" x14ac:dyDescent="0.3">
      <c r="A22" s="214" t="s">
        <v>41</v>
      </c>
      <c r="B22" s="50">
        <f t="shared" si="3"/>
        <v>15</v>
      </c>
      <c r="C22" s="24">
        <f>IFERROR(VLOOKUP(A22,'리치푸드 피벗'!A:SP,5,FALSE),0)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I22" s="73"/>
      <c r="J22" s="73"/>
    </row>
    <row r="23" spans="1:10" ht="25.35" customHeight="1" x14ac:dyDescent="0.3">
      <c r="A23" s="214" t="s">
        <v>62</v>
      </c>
      <c r="B23" s="50">
        <f t="shared" si="3"/>
        <v>15</v>
      </c>
      <c r="C23" s="24">
        <f>IFERROR(VLOOKUP(A23,'리치푸드 피벗'!A:SP,5,FALSE),0)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I23" s="73"/>
      <c r="J23" s="73"/>
    </row>
    <row r="24" spans="1:10" ht="4.5" customHeight="1" x14ac:dyDescent="0.3">
      <c r="A24" s="241"/>
      <c r="B24" s="242"/>
      <c r="C24" s="242"/>
      <c r="D24" s="242"/>
      <c r="E24" s="242"/>
      <c r="F24" s="243"/>
      <c r="I24" s="73"/>
      <c r="J24" s="73"/>
    </row>
    <row r="25" spans="1:10" ht="32.450000000000003" customHeight="1" x14ac:dyDescent="0.3">
      <c r="A25" s="209" t="s">
        <v>237</v>
      </c>
      <c r="B25" s="210">
        <f>$B$4</f>
        <v>15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I25" s="73"/>
      <c r="J25" s="73"/>
    </row>
    <row r="26" spans="1:10" ht="4.5" customHeight="1" x14ac:dyDescent="0.3">
      <c r="A26" s="241"/>
      <c r="B26" s="242"/>
      <c r="C26" s="242"/>
      <c r="D26" s="242"/>
      <c r="E26" s="242"/>
      <c r="F26" s="243"/>
      <c r="I26" s="73"/>
      <c r="J26" s="73"/>
    </row>
    <row r="27" spans="1:10" ht="25.35" customHeight="1" x14ac:dyDescent="0.3">
      <c r="A27" s="223" t="s">
        <v>73</v>
      </c>
      <c r="B27" s="50">
        <f t="shared" ref="B27" si="4">$B$4</f>
        <v>15</v>
      </c>
      <c r="C27" s="24">
        <f>IFERROR(VLOOKUP(A27,'리치푸드 피벗'!A:SP,5,FALSE),0)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I27" s="73"/>
      <c r="J27" s="73"/>
    </row>
    <row r="28" spans="1:10" ht="4.5" customHeight="1" x14ac:dyDescent="0.3">
      <c r="A28" s="241"/>
      <c r="B28" s="242"/>
      <c r="C28" s="242"/>
      <c r="D28" s="242"/>
      <c r="E28" s="242"/>
      <c r="F28" s="243"/>
      <c r="I28" s="73"/>
      <c r="J28" s="73"/>
    </row>
    <row r="29" spans="1:10" ht="32.450000000000003" customHeight="1" x14ac:dyDescent="0.3">
      <c r="A29" s="209" t="s">
        <v>236</v>
      </c>
      <c r="B29" s="210">
        <f>$B$4</f>
        <v>15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I29" s="73"/>
      <c r="J29" s="73"/>
    </row>
    <row r="30" spans="1:10" ht="4.5" customHeight="1" x14ac:dyDescent="0.3">
      <c r="A30" s="181"/>
      <c r="B30" s="50"/>
      <c r="C30" s="50"/>
      <c r="D30" s="50"/>
      <c r="E30" s="50"/>
      <c r="F30" s="182"/>
      <c r="I30" s="73"/>
      <c r="J30" s="73"/>
    </row>
    <row r="31" spans="1:10" ht="25.35" customHeight="1" x14ac:dyDescent="0.3">
      <c r="A31" s="49" t="s">
        <v>90</v>
      </c>
      <c r="B31" s="50">
        <f t="shared" ref="B31:B32" si="5">$B$4</f>
        <v>15</v>
      </c>
      <c r="C31" s="24">
        <f>IFERROR(VLOOKUP(A31,'리치푸드 피벗'!A:SP,5,FALSE),0)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I31" s="73"/>
      <c r="J31" s="73"/>
    </row>
    <row r="32" spans="1:10" ht="25.35" customHeight="1" x14ac:dyDescent="0.3">
      <c r="A32" s="49" t="s">
        <v>52</v>
      </c>
      <c r="B32" s="50">
        <f t="shared" si="5"/>
        <v>15</v>
      </c>
      <c r="C32" s="24">
        <f>IFERROR(VLOOKUP(A32,'리치푸드 피벗'!A:SP,5,FALSE),0)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I32" s="73"/>
      <c r="J32" s="73"/>
    </row>
    <row r="33" spans="1:10" ht="4.5" customHeight="1" x14ac:dyDescent="0.3">
      <c r="A33" s="241"/>
      <c r="B33" s="242"/>
      <c r="C33" s="242"/>
      <c r="D33" s="242"/>
      <c r="E33" s="242"/>
      <c r="F33" s="243"/>
      <c r="I33" s="73"/>
      <c r="J33" s="73"/>
    </row>
    <row r="34" spans="1:10" ht="32.450000000000003" customHeight="1" x14ac:dyDescent="0.3">
      <c r="A34" s="209" t="s">
        <v>235</v>
      </c>
      <c r="B34" s="210">
        <f>$B$4</f>
        <v>15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I34" s="73"/>
      <c r="J34" s="73"/>
    </row>
    <row r="35" spans="1:10" ht="4.5" customHeight="1" x14ac:dyDescent="0.3">
      <c r="A35" s="181"/>
      <c r="B35" s="50"/>
      <c r="C35" s="50"/>
      <c r="D35" s="50"/>
      <c r="E35" s="50"/>
      <c r="F35" s="182"/>
      <c r="I35" s="73"/>
      <c r="J35" s="73"/>
    </row>
    <row r="36" spans="1:10" ht="27.75" customHeight="1" x14ac:dyDescent="0.3">
      <c r="A36" s="52" t="s">
        <v>84</v>
      </c>
      <c r="B36" s="50">
        <f t="shared" ref="B36" si="7">$B$4</f>
        <v>15</v>
      </c>
      <c r="C36" s="24">
        <f>IFERROR(VLOOKUP(A36,'리치푸드 피벗'!A:SP,5,FALSE),0)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I36" s="73"/>
      <c r="J36" s="73"/>
    </row>
    <row r="37" spans="1:10" ht="6" customHeight="1" x14ac:dyDescent="0.3">
      <c r="A37" s="52"/>
      <c r="B37" s="50"/>
      <c r="C37" s="24"/>
      <c r="D37" s="20"/>
      <c r="E37" s="215"/>
      <c r="F37" s="26"/>
      <c r="I37" s="73"/>
      <c r="J37" s="73"/>
    </row>
    <row r="38" spans="1:10" ht="26.25" x14ac:dyDescent="0.3">
      <c r="A38" s="87" t="s">
        <v>3</v>
      </c>
      <c r="B38" s="57">
        <f>$B$4</f>
        <v>15</v>
      </c>
      <c r="C38" s="55">
        <f>SUM(C4:C17,C31:C32,C27:C27,C21:C23,C36)</f>
        <v>30</v>
      </c>
      <c r="D38" s="54">
        <f>IFERROR(ROUNDDOWN(C38/B38,0),"")</f>
        <v>2</v>
      </c>
      <c r="E38" s="56"/>
      <c r="F38" s="121">
        <f>IFERROR(C38-(D38*B38),"")</f>
        <v>0</v>
      </c>
      <c r="I38" s="73"/>
      <c r="J38" s="73"/>
    </row>
    <row r="39" spans="1:10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2</v>
      </c>
      <c r="E39" s="48"/>
      <c r="F39" s="93">
        <f>SUM(F4:F17,F31:F32,F27:F27,F21:F23,F36)</f>
        <v>0</v>
      </c>
    </row>
    <row r="40" spans="1:10" ht="22.5" customHeight="1" x14ac:dyDescent="0.3">
      <c r="C40" s="77">
        <f>C19+C25+C29+C34+C36</f>
        <v>30</v>
      </c>
    </row>
    <row r="41" spans="1:10" x14ac:dyDescent="0.3">
      <c r="C41" s="34" t="b">
        <f>C40=C38</f>
        <v>1</v>
      </c>
    </row>
  </sheetData>
  <mergeCells count="8">
    <mergeCell ref="H5:P13"/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AADC-27C2-48C7-8C14-6E295C5BDB01}">
  <sheetPr>
    <tabColor rgb="FFFFFF00"/>
    <pageSetUpPr fitToPage="1"/>
  </sheetPr>
  <dimension ref="A1:P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6" ht="25.9" customHeight="1" thickBot="1" x14ac:dyDescent="0.35">
      <c r="A1" s="253"/>
      <c r="B1" s="253"/>
      <c r="C1" s="253"/>
      <c r="D1" s="253"/>
      <c r="E1" s="253"/>
      <c r="F1" s="253"/>
    </row>
    <row r="2" spans="1:16" ht="25.9" customHeight="1" x14ac:dyDescent="0.3">
      <c r="A2" s="217">
        <f ca="1">TODAY()</f>
        <v>46309</v>
      </c>
      <c r="B2" s="254" t="s">
        <v>260</v>
      </c>
      <c r="C2" s="254"/>
      <c r="D2" s="254"/>
      <c r="E2" s="254"/>
      <c r="F2" s="255"/>
    </row>
    <row r="3" spans="1:16" ht="40.15" customHeight="1" x14ac:dyDescent="0.3">
      <c r="A3" s="218" t="str">
        <f>'리치푸드 피벗'!A2</f>
        <v>10/15납품</v>
      </c>
      <c r="B3" s="219" t="s">
        <v>13</v>
      </c>
      <c r="C3" s="220" t="s">
        <v>285</v>
      </c>
      <c r="D3" s="221" t="s">
        <v>2</v>
      </c>
      <c r="E3" s="219" t="s">
        <v>23</v>
      </c>
      <c r="F3" s="222" t="s">
        <v>14</v>
      </c>
    </row>
    <row r="4" spans="1:16" ht="25.35" customHeight="1" thickBot="1" x14ac:dyDescent="0.35">
      <c r="A4" s="52" t="s">
        <v>100</v>
      </c>
      <c r="B4" s="50">
        <v>15</v>
      </c>
      <c r="C4" s="24">
        <f>IFERROR(VLOOKUP(A4,'리치푸드 피벗'!A:SP,6,FALSE),0)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</row>
    <row r="5" spans="1:16" ht="25.35" customHeight="1" x14ac:dyDescent="0.3">
      <c r="A5" s="52" t="s">
        <v>85</v>
      </c>
      <c r="B5" s="50">
        <f>$B$4</f>
        <v>15</v>
      </c>
      <c r="C5" s="24">
        <f>IFERROR(VLOOKUP(A5,'리치푸드 피벗'!A:SP,6,FALSE),0)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244" t="s">
        <v>276</v>
      </c>
      <c r="I5" s="245"/>
      <c r="J5" s="245"/>
      <c r="K5" s="245"/>
      <c r="L5" s="245"/>
      <c r="M5" s="245"/>
      <c r="N5" s="245"/>
      <c r="O5" s="245"/>
      <c r="P5" s="246"/>
    </row>
    <row r="6" spans="1:16" ht="25.35" customHeight="1" x14ac:dyDescent="0.3">
      <c r="A6" s="49" t="s">
        <v>81</v>
      </c>
      <c r="B6" s="50">
        <f t="shared" ref="B6:B17" si="2">$B$4</f>
        <v>15</v>
      </c>
      <c r="C6" s="24">
        <f>IFERROR(VLOOKUP(A6,'리치푸드 피벗'!A:SP,6,FALSE),0)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247"/>
      <c r="I6" s="248"/>
      <c r="J6" s="248"/>
      <c r="K6" s="248"/>
      <c r="L6" s="248"/>
      <c r="M6" s="248"/>
      <c r="N6" s="248"/>
      <c r="O6" s="248"/>
      <c r="P6" s="249"/>
    </row>
    <row r="7" spans="1:16" ht="25.35" customHeight="1" x14ac:dyDescent="0.3">
      <c r="A7" s="49" t="s">
        <v>75</v>
      </c>
      <c r="B7" s="50">
        <f t="shared" si="2"/>
        <v>15</v>
      </c>
      <c r="C7" s="24">
        <f>IFERROR(VLOOKUP(A7,'리치푸드 피벗'!A:SP,6,FALSE),0)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247"/>
      <c r="I7" s="248"/>
      <c r="J7" s="248"/>
      <c r="K7" s="248"/>
      <c r="L7" s="248"/>
      <c r="M7" s="248"/>
      <c r="N7" s="248"/>
      <c r="O7" s="248"/>
      <c r="P7" s="249"/>
    </row>
    <row r="8" spans="1:16" ht="25.35" customHeight="1" x14ac:dyDescent="0.3">
      <c r="A8" s="49" t="s">
        <v>48</v>
      </c>
      <c r="B8" s="50">
        <f t="shared" si="2"/>
        <v>15</v>
      </c>
      <c r="C8" s="24">
        <f>IFERROR(VLOOKUP(A8,'리치푸드 피벗'!A:SP,6,FALSE),0)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247"/>
      <c r="I8" s="248"/>
      <c r="J8" s="248"/>
      <c r="K8" s="248"/>
      <c r="L8" s="248"/>
      <c r="M8" s="248"/>
      <c r="N8" s="248"/>
      <c r="O8" s="248"/>
      <c r="P8" s="249"/>
    </row>
    <row r="9" spans="1:16" ht="25.35" customHeight="1" x14ac:dyDescent="0.3">
      <c r="A9" s="49" t="s">
        <v>35</v>
      </c>
      <c r="B9" s="50">
        <f t="shared" si="2"/>
        <v>15</v>
      </c>
      <c r="C9" s="24">
        <f>IFERROR(VLOOKUP(A9,'리치푸드 피벗'!A:SP,6,FALSE),0)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247"/>
      <c r="I9" s="248"/>
      <c r="J9" s="248"/>
      <c r="K9" s="248"/>
      <c r="L9" s="248"/>
      <c r="M9" s="248"/>
      <c r="N9" s="248"/>
      <c r="O9" s="248"/>
      <c r="P9" s="249"/>
    </row>
    <row r="10" spans="1:16" ht="25.35" customHeight="1" x14ac:dyDescent="0.3">
      <c r="A10" s="49" t="s">
        <v>54</v>
      </c>
      <c r="B10" s="50">
        <f t="shared" si="2"/>
        <v>15</v>
      </c>
      <c r="C10" s="24">
        <f>IFERROR(VLOOKUP(A10,'리치푸드 피벗'!A:SP,6,FALSE),0)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247"/>
      <c r="I10" s="248"/>
      <c r="J10" s="248"/>
      <c r="K10" s="248"/>
      <c r="L10" s="248"/>
      <c r="M10" s="248"/>
      <c r="N10" s="248"/>
      <c r="O10" s="248"/>
      <c r="P10" s="249"/>
    </row>
    <row r="11" spans="1:16" ht="25.35" customHeight="1" x14ac:dyDescent="0.3">
      <c r="A11" s="49" t="s">
        <v>58</v>
      </c>
      <c r="B11" s="50">
        <f t="shared" si="2"/>
        <v>15</v>
      </c>
      <c r="C11" s="24">
        <f>IFERROR(VLOOKUP(A11,'리치푸드 피벗'!A:SP,6,FALSE),0)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247"/>
      <c r="I11" s="248"/>
      <c r="J11" s="248"/>
      <c r="K11" s="248"/>
      <c r="L11" s="248"/>
      <c r="M11" s="248"/>
      <c r="N11" s="248"/>
      <c r="O11" s="248"/>
      <c r="P11" s="249"/>
    </row>
    <row r="12" spans="1:16" ht="25.35" customHeight="1" x14ac:dyDescent="0.3">
      <c r="A12" s="49" t="s">
        <v>51</v>
      </c>
      <c r="B12" s="50">
        <f t="shared" si="2"/>
        <v>15</v>
      </c>
      <c r="C12" s="24">
        <f>IFERROR(VLOOKUP(A12,'리치푸드 피벗'!A:SP,6,FALSE),0)</f>
        <v>15</v>
      </c>
      <c r="D12" s="20">
        <f t="shared" si="0"/>
        <v>1</v>
      </c>
      <c r="E12" s="51" t="s">
        <v>245</v>
      </c>
      <c r="F12" s="26">
        <f t="shared" si="1"/>
        <v>0</v>
      </c>
      <c r="H12" s="247"/>
      <c r="I12" s="248"/>
      <c r="J12" s="248"/>
      <c r="K12" s="248"/>
      <c r="L12" s="248"/>
      <c r="M12" s="248"/>
      <c r="N12" s="248"/>
      <c r="O12" s="248"/>
      <c r="P12" s="249"/>
    </row>
    <row r="13" spans="1:16" ht="25.35" customHeight="1" thickBot="1" x14ac:dyDescent="0.35">
      <c r="A13" s="52" t="s">
        <v>45</v>
      </c>
      <c r="B13" s="50">
        <f t="shared" si="2"/>
        <v>15</v>
      </c>
      <c r="C13" s="24">
        <f>IFERROR(VLOOKUP(A13,'리치푸드 피벗'!A:SP,6,FALSE),0)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250"/>
      <c r="I13" s="251"/>
      <c r="J13" s="251"/>
      <c r="K13" s="251"/>
      <c r="L13" s="251"/>
      <c r="M13" s="251"/>
      <c r="N13" s="251"/>
      <c r="O13" s="251"/>
      <c r="P13" s="252"/>
    </row>
    <row r="14" spans="1:16" ht="25.35" customHeight="1" x14ac:dyDescent="0.3">
      <c r="A14" s="49" t="s">
        <v>59</v>
      </c>
      <c r="B14" s="50">
        <f t="shared" si="2"/>
        <v>15</v>
      </c>
      <c r="C14" s="24">
        <f>IFERROR(VLOOKUP(A14,'리치푸드 피벗'!A:SP,6,FALSE),0)</f>
        <v>0</v>
      </c>
      <c r="D14" s="20">
        <f t="shared" si="0"/>
        <v>0</v>
      </c>
      <c r="E14" s="51" t="s">
        <v>247</v>
      </c>
      <c r="F14" s="26">
        <f t="shared" si="1"/>
        <v>0</v>
      </c>
    </row>
    <row r="15" spans="1:16" ht="25.35" customHeight="1" x14ac:dyDescent="0.3">
      <c r="A15" s="49" t="s">
        <v>40</v>
      </c>
      <c r="B15" s="50">
        <f t="shared" si="2"/>
        <v>15</v>
      </c>
      <c r="C15" s="24">
        <f>IFERROR(VLOOKUP(A15,'리치푸드 피벗'!A:SP,6,FALSE),0)</f>
        <v>0</v>
      </c>
      <c r="D15" s="20">
        <f t="shared" si="0"/>
        <v>0</v>
      </c>
      <c r="E15" s="51" t="s">
        <v>248</v>
      </c>
      <c r="F15" s="26">
        <f t="shared" si="1"/>
        <v>0</v>
      </c>
    </row>
    <row r="16" spans="1:16" ht="25.35" customHeight="1" x14ac:dyDescent="0.3">
      <c r="A16" s="49" t="s">
        <v>50</v>
      </c>
      <c r="B16" s="50">
        <f t="shared" si="2"/>
        <v>15</v>
      </c>
      <c r="C16" s="24">
        <f>IFERROR(VLOOKUP(A16,'리치푸드 피벗'!A:SP,6,FALSE),0)</f>
        <v>0</v>
      </c>
      <c r="D16" s="20">
        <f t="shared" si="0"/>
        <v>0</v>
      </c>
      <c r="E16" s="51" t="s">
        <v>249</v>
      </c>
      <c r="F16" s="26">
        <f t="shared" si="1"/>
        <v>0</v>
      </c>
    </row>
    <row r="17" spans="1:6" ht="25.35" customHeight="1" x14ac:dyDescent="0.3">
      <c r="A17" s="49" t="s">
        <v>55</v>
      </c>
      <c r="B17" s="50">
        <f t="shared" si="2"/>
        <v>15</v>
      </c>
      <c r="C17" s="24">
        <f>IFERROR(VLOOKUP(A17,'리치푸드 피벗'!A:SP,6,FALSE),0)</f>
        <v>0</v>
      </c>
      <c r="D17" s="20">
        <f t="shared" si="0"/>
        <v>0</v>
      </c>
      <c r="E17" s="51" t="s">
        <v>250</v>
      </c>
      <c r="F17" s="26">
        <f t="shared" si="1"/>
        <v>0</v>
      </c>
    </row>
    <row r="18" spans="1:6" ht="4.5" customHeight="1" x14ac:dyDescent="0.3">
      <c r="A18" s="241"/>
      <c r="B18" s="242"/>
      <c r="C18" s="242"/>
      <c r="D18" s="242"/>
      <c r="E18" s="242"/>
      <c r="F18" s="243"/>
    </row>
    <row r="19" spans="1:6" ht="32.450000000000003" customHeight="1" x14ac:dyDescent="0.3">
      <c r="A19" s="207" t="s">
        <v>122</v>
      </c>
      <c r="B19" s="37">
        <f>$B$4</f>
        <v>15</v>
      </c>
      <c r="C19" s="208">
        <f>SUM(C4:C17)</f>
        <v>15</v>
      </c>
      <c r="D19" s="54">
        <f>IFERROR(ROUNDDOWN(C19/B19,0),"")</f>
        <v>1</v>
      </c>
      <c r="E19" s="36"/>
      <c r="F19" s="121">
        <f>IFERROR(C19-(D19*B19),"")</f>
        <v>0</v>
      </c>
    </row>
    <row r="20" spans="1:6" ht="4.5" customHeight="1" x14ac:dyDescent="0.3">
      <c r="A20" s="181"/>
      <c r="B20" s="50"/>
      <c r="C20" s="50"/>
      <c r="D20" s="50"/>
      <c r="E20" s="50"/>
      <c r="F20" s="182"/>
    </row>
    <row r="21" spans="1:6" ht="25.35" customHeight="1" x14ac:dyDescent="0.3">
      <c r="A21" s="214" t="s">
        <v>46</v>
      </c>
      <c r="B21" s="50">
        <f t="shared" ref="B21:B23" si="3">$B$4</f>
        <v>15</v>
      </c>
      <c r="C21" s="24">
        <f>IFERROR(VLOOKUP(A21,'리치푸드 피벗'!A:SP,6,FALSE),0)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</row>
    <row r="22" spans="1:6" ht="25.35" customHeight="1" x14ac:dyDescent="0.3">
      <c r="A22" s="214" t="s">
        <v>41</v>
      </c>
      <c r="B22" s="50">
        <f t="shared" si="3"/>
        <v>15</v>
      </c>
      <c r="C22" s="24">
        <f>IFERROR(VLOOKUP(A22,'리치푸드 피벗'!A:SP,6,FALSE),0)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</row>
    <row r="23" spans="1:6" ht="25.35" customHeight="1" x14ac:dyDescent="0.3">
      <c r="A23" s="214" t="s">
        <v>62</v>
      </c>
      <c r="B23" s="50">
        <f t="shared" si="3"/>
        <v>15</v>
      </c>
      <c r="C23" s="24">
        <f>IFERROR(VLOOKUP(A23,'리치푸드 피벗'!A:SP,6,FALSE),0)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</row>
    <row r="24" spans="1:6" ht="4.5" customHeight="1" x14ac:dyDescent="0.3">
      <c r="A24" s="241"/>
      <c r="B24" s="242"/>
      <c r="C24" s="242"/>
      <c r="D24" s="242"/>
      <c r="E24" s="242"/>
      <c r="F24" s="243"/>
    </row>
    <row r="25" spans="1:6" ht="32.450000000000003" customHeight="1" x14ac:dyDescent="0.3">
      <c r="A25" s="207" t="s">
        <v>237</v>
      </c>
      <c r="B25" s="37">
        <f>$B$4</f>
        <v>15</v>
      </c>
      <c r="C25" s="208">
        <f>SUM(C21:C23)</f>
        <v>0</v>
      </c>
      <c r="D25" s="54">
        <f>IFERROR(ROUNDDOWN(C25/B25,0),"")</f>
        <v>0</v>
      </c>
      <c r="E25" s="36"/>
      <c r="F25" s="121">
        <f>IFERROR(C25-(D25*B25),"")</f>
        <v>0</v>
      </c>
    </row>
    <row r="26" spans="1:6" ht="4.5" customHeight="1" x14ac:dyDescent="0.3">
      <c r="A26" s="241"/>
      <c r="B26" s="242"/>
      <c r="C26" s="242"/>
      <c r="D26" s="242"/>
      <c r="E26" s="242"/>
      <c r="F26" s="243"/>
    </row>
    <row r="27" spans="1:6" ht="25.35" customHeight="1" x14ac:dyDescent="0.3">
      <c r="A27" s="223" t="s">
        <v>73</v>
      </c>
      <c r="B27" s="50">
        <f t="shared" ref="B27" si="4">$B$4</f>
        <v>15</v>
      </c>
      <c r="C27" s="24">
        <f>IFERROR(VLOOKUP(A27,'리치푸드 피벗'!A:SP,6,FALSE),0)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</row>
    <row r="28" spans="1:6" ht="4.5" customHeight="1" x14ac:dyDescent="0.3">
      <c r="A28" s="241"/>
      <c r="B28" s="242"/>
      <c r="C28" s="242"/>
      <c r="D28" s="242"/>
      <c r="E28" s="242"/>
      <c r="F28" s="243"/>
    </row>
    <row r="29" spans="1:6" ht="32.450000000000003" customHeight="1" x14ac:dyDescent="0.3">
      <c r="A29" s="207" t="s">
        <v>236</v>
      </c>
      <c r="B29" s="37">
        <f>$B$4</f>
        <v>15</v>
      </c>
      <c r="C29" s="208">
        <f>SUM(C27:C27)</f>
        <v>0</v>
      </c>
      <c r="D29" s="54">
        <f>IFERROR(ROUNDDOWN(C29/B29,0),"")</f>
        <v>0</v>
      </c>
      <c r="E29" s="36"/>
      <c r="F29" s="121">
        <f>IFERROR(C29-(D29*B29),"")</f>
        <v>0</v>
      </c>
    </row>
    <row r="30" spans="1:6" ht="4.5" customHeight="1" x14ac:dyDescent="0.3">
      <c r="A30" s="181"/>
      <c r="B30" s="50"/>
      <c r="C30" s="50"/>
      <c r="D30" s="50"/>
      <c r="E30" s="50"/>
      <c r="F30" s="182"/>
    </row>
    <row r="31" spans="1:6" ht="25.35" customHeight="1" x14ac:dyDescent="0.3">
      <c r="A31" s="49" t="s">
        <v>90</v>
      </c>
      <c r="B31" s="50">
        <f t="shared" ref="B31:B32" si="5">$B$4</f>
        <v>15</v>
      </c>
      <c r="C31" s="24">
        <f>IFERROR(VLOOKUP(A31,'리치푸드 피벗'!A:SP,6,FALSE),0)</f>
        <v>15</v>
      </c>
      <c r="D31" s="20">
        <f>IFERROR(ROUNDDOWN(C31/B31,0),"")</f>
        <v>1</v>
      </c>
      <c r="E31" s="51" t="s">
        <v>258</v>
      </c>
      <c r="F31" s="26">
        <f>IFERROR(C31-(D31*B31),"")</f>
        <v>0</v>
      </c>
    </row>
    <row r="32" spans="1:6" ht="25.35" customHeight="1" x14ac:dyDescent="0.3">
      <c r="A32" s="49" t="s">
        <v>52</v>
      </c>
      <c r="B32" s="50">
        <f t="shared" si="5"/>
        <v>15</v>
      </c>
      <c r="C32" s="24">
        <f>IFERROR(VLOOKUP(A32,'리치푸드 피벗'!A:SP,6,FALSE),0)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</row>
    <row r="33" spans="1:6" ht="4.5" customHeight="1" x14ac:dyDescent="0.3">
      <c r="A33" s="241"/>
      <c r="B33" s="242"/>
      <c r="C33" s="242"/>
      <c r="D33" s="242"/>
      <c r="E33" s="242"/>
      <c r="F33" s="243"/>
    </row>
    <row r="34" spans="1:6" ht="32.450000000000003" customHeight="1" x14ac:dyDescent="0.3">
      <c r="A34" s="207" t="s">
        <v>235</v>
      </c>
      <c r="B34" s="37">
        <f>$B$4</f>
        <v>15</v>
      </c>
      <c r="C34" s="208">
        <f>SUM(C31:C32)</f>
        <v>15</v>
      </c>
      <c r="D34" s="54">
        <f>IFERROR(ROUNDDOWN(C34/B34,0),"")</f>
        <v>1</v>
      </c>
      <c r="E34" s="36"/>
      <c r="F34" s="121">
        <f>IFERROR(C34-(D34*B34),"")</f>
        <v>0</v>
      </c>
    </row>
    <row r="35" spans="1:6" ht="4.5" customHeight="1" x14ac:dyDescent="0.3">
      <c r="A35" s="181"/>
      <c r="B35" s="50"/>
      <c r="C35" s="50"/>
      <c r="D35" s="50"/>
      <c r="E35" s="50"/>
      <c r="F35" s="182"/>
    </row>
    <row r="36" spans="1:6" ht="27.75" customHeight="1" x14ac:dyDescent="0.3">
      <c r="A36" s="52" t="s">
        <v>84</v>
      </c>
      <c r="B36" s="50">
        <f t="shared" ref="B36" si="7">$B$4</f>
        <v>15</v>
      </c>
      <c r="C36" s="24">
        <f>IFERROR(VLOOKUP(A36,'리치푸드 피벗'!A:SP,6,FALSE),0)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</row>
    <row r="37" spans="1:6" ht="6" customHeight="1" x14ac:dyDescent="0.3">
      <c r="A37" s="52"/>
      <c r="B37" s="50"/>
      <c r="C37" s="24"/>
      <c r="D37" s="20"/>
      <c r="E37" s="215"/>
      <c r="F37" s="26"/>
    </row>
    <row r="38" spans="1:6" ht="26.25" x14ac:dyDescent="0.3">
      <c r="A38" s="87" t="s">
        <v>3</v>
      </c>
      <c r="B38" s="57">
        <f>$B$4</f>
        <v>15</v>
      </c>
      <c r="C38" s="55">
        <f>SUM(C4:C17,C31:C32,C27:C27,C21:C23,C36)</f>
        <v>30</v>
      </c>
      <c r="D38" s="54">
        <f>IFERROR(ROUNDDOWN(C38/B38,0),"")</f>
        <v>2</v>
      </c>
      <c r="E38" s="56"/>
      <c r="F38" s="121">
        <f>IFERROR(C38-(D38*B38),"")</f>
        <v>0</v>
      </c>
    </row>
    <row r="39" spans="1:6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2</v>
      </c>
      <c r="E39" s="48"/>
      <c r="F39" s="93">
        <f>SUM(F4:F17,F31:F32,F27:F27,F21:F23,F36)</f>
        <v>0</v>
      </c>
    </row>
    <row r="40" spans="1:6" ht="22.5" customHeight="1" x14ac:dyDescent="0.3">
      <c r="C40" s="77">
        <f>C19+C25+C29+C34+C36</f>
        <v>30</v>
      </c>
    </row>
    <row r="41" spans="1:6" x14ac:dyDescent="0.3">
      <c r="C41" s="34" t="b">
        <f>C40=C38</f>
        <v>1</v>
      </c>
    </row>
  </sheetData>
  <mergeCells count="8">
    <mergeCell ref="H5:P13"/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9CB5-F64B-4C4D-BD8D-0392E89B5779}">
  <sheetPr>
    <tabColor rgb="FFFFFF00"/>
    <pageSetUpPr fitToPage="1"/>
  </sheetPr>
  <dimension ref="A1:P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6" ht="25.9" customHeight="1" thickBot="1" x14ac:dyDescent="0.35">
      <c r="A1" s="253"/>
      <c r="B1" s="253"/>
      <c r="C1" s="253"/>
      <c r="D1" s="253"/>
      <c r="E1" s="253"/>
      <c r="F1" s="253"/>
    </row>
    <row r="2" spans="1:16" ht="25.9" customHeight="1" x14ac:dyDescent="0.3">
      <c r="A2" s="217">
        <f ca="1">TODAY()</f>
        <v>46309</v>
      </c>
      <c r="B2" s="254" t="s">
        <v>260</v>
      </c>
      <c r="C2" s="254"/>
      <c r="D2" s="254"/>
      <c r="E2" s="254"/>
      <c r="F2" s="255"/>
    </row>
    <row r="3" spans="1:16" ht="40.15" customHeight="1" x14ac:dyDescent="0.3">
      <c r="A3" s="218" t="str">
        <f>'리치푸드 피벗'!A2</f>
        <v>10/15납품</v>
      </c>
      <c r="B3" s="219" t="s">
        <v>13</v>
      </c>
      <c r="C3" s="220" t="s">
        <v>286</v>
      </c>
      <c r="D3" s="221" t="s">
        <v>2</v>
      </c>
      <c r="E3" s="219" t="s">
        <v>23</v>
      </c>
      <c r="F3" s="222" t="s">
        <v>14</v>
      </c>
    </row>
    <row r="4" spans="1:16" ht="25.35" customHeight="1" thickBot="1" x14ac:dyDescent="0.35">
      <c r="A4" s="52" t="s">
        <v>100</v>
      </c>
      <c r="B4" s="50">
        <v>15</v>
      </c>
      <c r="C4" s="24">
        <f>IFERROR(VLOOKUP(A4,'리치푸드 피벗'!A:SP,7,FALSE),0)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</row>
    <row r="5" spans="1:16" ht="25.35" customHeight="1" x14ac:dyDescent="0.3">
      <c r="A5" s="52" t="s">
        <v>85</v>
      </c>
      <c r="B5" s="50">
        <f>$B$4</f>
        <v>15</v>
      </c>
      <c r="C5" s="24">
        <f>IFERROR(VLOOKUP(A5,'리치푸드 피벗'!A:SP,7,FALSE),0)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244" t="s">
        <v>276</v>
      </c>
      <c r="I5" s="245"/>
      <c r="J5" s="245"/>
      <c r="K5" s="245"/>
      <c r="L5" s="245"/>
      <c r="M5" s="245"/>
      <c r="N5" s="245"/>
      <c r="O5" s="245"/>
      <c r="P5" s="246"/>
    </row>
    <row r="6" spans="1:16" ht="25.35" customHeight="1" x14ac:dyDescent="0.3">
      <c r="A6" s="49" t="s">
        <v>81</v>
      </c>
      <c r="B6" s="50">
        <f t="shared" ref="B6:B17" si="2">$B$4</f>
        <v>15</v>
      </c>
      <c r="C6" s="24">
        <f>IFERROR(VLOOKUP(A6,'리치푸드 피벗'!A:SP,7,FALSE),0)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247"/>
      <c r="I6" s="248"/>
      <c r="J6" s="248"/>
      <c r="K6" s="248"/>
      <c r="L6" s="248"/>
      <c r="M6" s="248"/>
      <c r="N6" s="248"/>
      <c r="O6" s="248"/>
      <c r="P6" s="249"/>
    </row>
    <row r="7" spans="1:16" ht="25.35" customHeight="1" x14ac:dyDescent="0.3">
      <c r="A7" s="49" t="s">
        <v>75</v>
      </c>
      <c r="B7" s="50">
        <f t="shared" si="2"/>
        <v>15</v>
      </c>
      <c r="C7" s="24">
        <f>IFERROR(VLOOKUP(A7,'리치푸드 피벗'!A:SP,7,FALSE),0)</f>
        <v>15</v>
      </c>
      <c r="D7" s="20">
        <f t="shared" si="0"/>
        <v>1</v>
      </c>
      <c r="E7" s="51" t="s">
        <v>241</v>
      </c>
      <c r="F7" s="26">
        <f t="shared" si="1"/>
        <v>0</v>
      </c>
      <c r="H7" s="247"/>
      <c r="I7" s="248"/>
      <c r="J7" s="248"/>
      <c r="K7" s="248"/>
      <c r="L7" s="248"/>
      <c r="M7" s="248"/>
      <c r="N7" s="248"/>
      <c r="O7" s="248"/>
      <c r="P7" s="249"/>
    </row>
    <row r="8" spans="1:16" ht="25.35" customHeight="1" x14ac:dyDescent="0.3">
      <c r="A8" s="49" t="s">
        <v>48</v>
      </c>
      <c r="B8" s="50">
        <f t="shared" si="2"/>
        <v>15</v>
      </c>
      <c r="C8" s="24">
        <f>IFERROR(VLOOKUP(A8,'리치푸드 피벗'!A:SP,7,FALSE),0)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247"/>
      <c r="I8" s="248"/>
      <c r="J8" s="248"/>
      <c r="K8" s="248"/>
      <c r="L8" s="248"/>
      <c r="M8" s="248"/>
      <c r="N8" s="248"/>
      <c r="O8" s="248"/>
      <c r="P8" s="249"/>
    </row>
    <row r="9" spans="1:16" ht="25.35" customHeight="1" x14ac:dyDescent="0.3">
      <c r="A9" s="49" t="s">
        <v>35</v>
      </c>
      <c r="B9" s="50">
        <f t="shared" si="2"/>
        <v>15</v>
      </c>
      <c r="C9" s="24">
        <f>IFERROR(VLOOKUP(A9,'리치푸드 피벗'!A:SP,7,FALSE),0)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247"/>
      <c r="I9" s="248"/>
      <c r="J9" s="248"/>
      <c r="K9" s="248"/>
      <c r="L9" s="248"/>
      <c r="M9" s="248"/>
      <c r="N9" s="248"/>
      <c r="O9" s="248"/>
      <c r="P9" s="249"/>
    </row>
    <row r="10" spans="1:16" ht="25.35" customHeight="1" x14ac:dyDescent="0.3">
      <c r="A10" s="49" t="s">
        <v>54</v>
      </c>
      <c r="B10" s="50">
        <f t="shared" si="2"/>
        <v>15</v>
      </c>
      <c r="C10" s="24">
        <f>IFERROR(VLOOKUP(A10,'리치푸드 피벗'!A:SP,7,FALSE),0)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247"/>
      <c r="I10" s="248"/>
      <c r="J10" s="248"/>
      <c r="K10" s="248"/>
      <c r="L10" s="248"/>
      <c r="M10" s="248"/>
      <c r="N10" s="248"/>
      <c r="O10" s="248"/>
      <c r="P10" s="249"/>
    </row>
    <row r="11" spans="1:16" ht="25.35" customHeight="1" x14ac:dyDescent="0.3">
      <c r="A11" s="49" t="s">
        <v>58</v>
      </c>
      <c r="B11" s="50">
        <f t="shared" si="2"/>
        <v>15</v>
      </c>
      <c r="C11" s="24">
        <f>IFERROR(VLOOKUP(A11,'리치푸드 피벗'!A:SP,7,FALSE),0)</f>
        <v>15</v>
      </c>
      <c r="D11" s="20">
        <f t="shared" si="0"/>
        <v>1</v>
      </c>
      <c r="E11" s="51" t="s">
        <v>244</v>
      </c>
      <c r="F11" s="26">
        <f t="shared" si="1"/>
        <v>0</v>
      </c>
      <c r="H11" s="247"/>
      <c r="I11" s="248"/>
      <c r="J11" s="248"/>
      <c r="K11" s="248"/>
      <c r="L11" s="248"/>
      <c r="M11" s="248"/>
      <c r="N11" s="248"/>
      <c r="O11" s="248"/>
      <c r="P11" s="249"/>
    </row>
    <row r="12" spans="1:16" ht="25.35" customHeight="1" x14ac:dyDescent="0.3">
      <c r="A12" s="49" t="s">
        <v>51</v>
      </c>
      <c r="B12" s="50">
        <f t="shared" si="2"/>
        <v>15</v>
      </c>
      <c r="C12" s="24">
        <f>IFERROR(VLOOKUP(A12,'리치푸드 피벗'!A:SP,7,FALSE),0)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247"/>
      <c r="I12" s="248"/>
      <c r="J12" s="248"/>
      <c r="K12" s="248"/>
      <c r="L12" s="248"/>
      <c r="M12" s="248"/>
      <c r="N12" s="248"/>
      <c r="O12" s="248"/>
      <c r="P12" s="249"/>
    </row>
    <row r="13" spans="1:16" ht="25.35" customHeight="1" thickBot="1" x14ac:dyDescent="0.35">
      <c r="A13" s="52" t="s">
        <v>45</v>
      </c>
      <c r="B13" s="50">
        <f t="shared" si="2"/>
        <v>15</v>
      </c>
      <c r="C13" s="24">
        <f>IFERROR(VLOOKUP(A13,'리치푸드 피벗'!A:SP,7,FALSE),0)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250"/>
      <c r="I13" s="251"/>
      <c r="J13" s="251"/>
      <c r="K13" s="251"/>
      <c r="L13" s="251"/>
      <c r="M13" s="251"/>
      <c r="N13" s="251"/>
      <c r="O13" s="251"/>
      <c r="P13" s="252"/>
    </row>
    <row r="14" spans="1:16" ht="25.35" customHeight="1" x14ac:dyDescent="0.3">
      <c r="A14" s="49" t="s">
        <v>59</v>
      </c>
      <c r="B14" s="50">
        <f t="shared" si="2"/>
        <v>15</v>
      </c>
      <c r="C14" s="24">
        <f>IFERROR(VLOOKUP(A14,'리치푸드 피벗'!A:SP,7,FALSE),0)</f>
        <v>0</v>
      </c>
      <c r="D14" s="20">
        <f t="shared" si="0"/>
        <v>0</v>
      </c>
      <c r="E14" s="51" t="s">
        <v>247</v>
      </c>
      <c r="F14" s="26">
        <f t="shared" si="1"/>
        <v>0</v>
      </c>
    </row>
    <row r="15" spans="1:16" ht="25.35" customHeight="1" x14ac:dyDescent="0.3">
      <c r="A15" s="49" t="s">
        <v>40</v>
      </c>
      <c r="B15" s="50">
        <f t="shared" si="2"/>
        <v>15</v>
      </c>
      <c r="C15" s="24">
        <f>IFERROR(VLOOKUP(A15,'리치푸드 피벗'!A:SP,7,FALSE),0)</f>
        <v>0</v>
      </c>
      <c r="D15" s="20">
        <f t="shared" si="0"/>
        <v>0</v>
      </c>
      <c r="E15" s="51" t="s">
        <v>248</v>
      </c>
      <c r="F15" s="26">
        <f t="shared" si="1"/>
        <v>0</v>
      </c>
    </row>
    <row r="16" spans="1:16" ht="25.35" customHeight="1" x14ac:dyDescent="0.3">
      <c r="A16" s="49" t="s">
        <v>50</v>
      </c>
      <c r="B16" s="50">
        <f t="shared" si="2"/>
        <v>15</v>
      </c>
      <c r="C16" s="24">
        <f>IFERROR(VLOOKUP(A16,'리치푸드 피벗'!A:SP,7,FALSE),0)</f>
        <v>0</v>
      </c>
      <c r="D16" s="20">
        <f t="shared" si="0"/>
        <v>0</v>
      </c>
      <c r="E16" s="51" t="s">
        <v>249</v>
      </c>
      <c r="F16" s="26">
        <f t="shared" si="1"/>
        <v>0</v>
      </c>
    </row>
    <row r="17" spans="1:6" ht="25.35" customHeight="1" x14ac:dyDescent="0.3">
      <c r="A17" s="49" t="s">
        <v>55</v>
      </c>
      <c r="B17" s="50">
        <f t="shared" si="2"/>
        <v>15</v>
      </c>
      <c r="C17" s="24">
        <f>IFERROR(VLOOKUP(A17,'리치푸드 피벗'!A:SP,7,FALSE),0)</f>
        <v>0</v>
      </c>
      <c r="D17" s="20">
        <f t="shared" si="0"/>
        <v>0</v>
      </c>
      <c r="E17" s="51" t="s">
        <v>250</v>
      </c>
      <c r="F17" s="26">
        <f t="shared" si="1"/>
        <v>0</v>
      </c>
    </row>
    <row r="18" spans="1:6" ht="4.5" customHeight="1" x14ac:dyDescent="0.3">
      <c r="A18" s="241"/>
      <c r="B18" s="242"/>
      <c r="C18" s="242"/>
      <c r="D18" s="242"/>
      <c r="E18" s="242"/>
      <c r="F18" s="243"/>
    </row>
    <row r="19" spans="1:6" ht="32.450000000000003" customHeight="1" x14ac:dyDescent="0.3">
      <c r="A19" s="207" t="s">
        <v>122</v>
      </c>
      <c r="B19" s="37">
        <f>$B$4</f>
        <v>15</v>
      </c>
      <c r="C19" s="208">
        <f>SUM(C4:C17)</f>
        <v>30</v>
      </c>
      <c r="D19" s="54">
        <f>IFERROR(ROUNDDOWN(C19/B19,0),"")</f>
        <v>2</v>
      </c>
      <c r="E19" s="36"/>
      <c r="F19" s="121">
        <f>IFERROR(C19-(D19*B19),"")</f>
        <v>0</v>
      </c>
    </row>
    <row r="20" spans="1:6" ht="4.5" customHeight="1" x14ac:dyDescent="0.3">
      <c r="A20" s="181"/>
      <c r="B20" s="50"/>
      <c r="C20" s="50"/>
      <c r="D20" s="50"/>
      <c r="E20" s="50"/>
      <c r="F20" s="182"/>
    </row>
    <row r="21" spans="1:6" ht="25.35" customHeight="1" x14ac:dyDescent="0.3">
      <c r="A21" s="214" t="s">
        <v>46</v>
      </c>
      <c r="B21" s="50">
        <f t="shared" ref="B21:B23" si="3">$B$4</f>
        <v>15</v>
      </c>
      <c r="C21" s="24">
        <f>IFERROR(VLOOKUP(A21,'리치푸드 피벗'!A:SP,7,FALSE),0)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</row>
    <row r="22" spans="1:6" ht="25.35" customHeight="1" x14ac:dyDescent="0.3">
      <c r="A22" s="214" t="s">
        <v>41</v>
      </c>
      <c r="B22" s="50">
        <f t="shared" si="3"/>
        <v>15</v>
      </c>
      <c r="C22" s="24">
        <f>IFERROR(VLOOKUP(A22,'리치푸드 피벗'!A:SP,7,FALSE),0)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</row>
    <row r="23" spans="1:6" ht="25.35" customHeight="1" x14ac:dyDescent="0.3">
      <c r="A23" s="214" t="s">
        <v>62</v>
      </c>
      <c r="B23" s="50">
        <f t="shared" si="3"/>
        <v>15</v>
      </c>
      <c r="C23" s="24">
        <f>IFERROR(VLOOKUP(A23,'리치푸드 피벗'!A:SP,7,FALSE),0)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</row>
    <row r="24" spans="1:6" ht="4.5" customHeight="1" x14ac:dyDescent="0.3">
      <c r="A24" s="241"/>
      <c r="B24" s="242"/>
      <c r="C24" s="242"/>
      <c r="D24" s="242"/>
      <c r="E24" s="242"/>
      <c r="F24" s="243"/>
    </row>
    <row r="25" spans="1:6" ht="32.450000000000003" customHeight="1" x14ac:dyDescent="0.3">
      <c r="A25" s="207" t="s">
        <v>237</v>
      </c>
      <c r="B25" s="37">
        <f>$B$4</f>
        <v>15</v>
      </c>
      <c r="C25" s="208">
        <f>SUM(C21:C23)</f>
        <v>0</v>
      </c>
      <c r="D25" s="54">
        <f>IFERROR(ROUNDDOWN(C25/B25,0),"")</f>
        <v>0</v>
      </c>
      <c r="E25" s="36"/>
      <c r="F25" s="121">
        <f>IFERROR(C25-(D25*B25),"")</f>
        <v>0</v>
      </c>
    </row>
    <row r="26" spans="1:6" ht="4.5" customHeight="1" x14ac:dyDescent="0.3">
      <c r="A26" s="241"/>
      <c r="B26" s="242"/>
      <c r="C26" s="242"/>
      <c r="D26" s="242"/>
      <c r="E26" s="242"/>
      <c r="F26" s="243"/>
    </row>
    <row r="27" spans="1:6" ht="25.35" customHeight="1" x14ac:dyDescent="0.3">
      <c r="A27" s="223" t="s">
        <v>73</v>
      </c>
      <c r="B27" s="50">
        <f t="shared" ref="B27" si="4">$B$4</f>
        <v>15</v>
      </c>
      <c r="C27" s="24">
        <f>IFERROR(VLOOKUP(A27,'리치푸드 피벗'!A:SP,7,FALSE),0)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</row>
    <row r="28" spans="1:6" ht="4.5" customHeight="1" x14ac:dyDescent="0.3">
      <c r="A28" s="241"/>
      <c r="B28" s="242"/>
      <c r="C28" s="242"/>
      <c r="D28" s="242"/>
      <c r="E28" s="242"/>
      <c r="F28" s="243"/>
    </row>
    <row r="29" spans="1:6" ht="32.450000000000003" customHeight="1" x14ac:dyDescent="0.3">
      <c r="A29" s="207" t="s">
        <v>236</v>
      </c>
      <c r="B29" s="37">
        <f>$B$4</f>
        <v>15</v>
      </c>
      <c r="C29" s="208">
        <f>SUM(C27:C27)</f>
        <v>0</v>
      </c>
      <c r="D29" s="54">
        <f>IFERROR(ROUNDDOWN(C29/B29,0),"")</f>
        <v>0</v>
      </c>
      <c r="E29" s="36"/>
      <c r="F29" s="121">
        <f>IFERROR(C29-(D29*B29),"")</f>
        <v>0</v>
      </c>
    </row>
    <row r="30" spans="1:6" ht="4.5" customHeight="1" x14ac:dyDescent="0.3">
      <c r="A30" s="181"/>
      <c r="B30" s="50"/>
      <c r="C30" s="50"/>
      <c r="D30" s="50"/>
      <c r="E30" s="50"/>
      <c r="F30" s="182"/>
    </row>
    <row r="31" spans="1:6" ht="25.35" customHeight="1" x14ac:dyDescent="0.3">
      <c r="A31" s="49" t="s">
        <v>90</v>
      </c>
      <c r="B31" s="50">
        <f t="shared" ref="B31:B32" si="5">$B$4</f>
        <v>15</v>
      </c>
      <c r="C31" s="24">
        <f>IFERROR(VLOOKUP(A31,'리치푸드 피벗'!A:SP,7,FALSE),0)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</row>
    <row r="32" spans="1:6" ht="25.35" customHeight="1" x14ac:dyDescent="0.3">
      <c r="A32" s="49" t="s">
        <v>52</v>
      </c>
      <c r="B32" s="50">
        <f t="shared" si="5"/>
        <v>15</v>
      </c>
      <c r="C32" s="24">
        <f>IFERROR(VLOOKUP(A32,'리치푸드 피벗'!A:SP,7,FALSE),0)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</row>
    <row r="33" spans="1:6" ht="4.5" customHeight="1" x14ac:dyDescent="0.3">
      <c r="A33" s="241"/>
      <c r="B33" s="242"/>
      <c r="C33" s="242"/>
      <c r="D33" s="242"/>
      <c r="E33" s="242"/>
      <c r="F33" s="243"/>
    </row>
    <row r="34" spans="1:6" ht="32.450000000000003" customHeight="1" x14ac:dyDescent="0.3">
      <c r="A34" s="207" t="s">
        <v>235</v>
      </c>
      <c r="B34" s="37">
        <f>$B$4</f>
        <v>15</v>
      </c>
      <c r="C34" s="208">
        <f>SUM(C31:C32)</f>
        <v>0</v>
      </c>
      <c r="D34" s="54">
        <f>IFERROR(ROUNDDOWN(C34/B34,0),"")</f>
        <v>0</v>
      </c>
      <c r="E34" s="36"/>
      <c r="F34" s="121">
        <f>IFERROR(C34-(D34*B34),"")</f>
        <v>0</v>
      </c>
    </row>
    <row r="35" spans="1:6" ht="4.5" customHeight="1" x14ac:dyDescent="0.3">
      <c r="A35" s="181"/>
      <c r="B35" s="50"/>
      <c r="C35" s="50"/>
      <c r="D35" s="50"/>
      <c r="E35" s="50"/>
      <c r="F35" s="182"/>
    </row>
    <row r="36" spans="1:6" ht="27.75" customHeight="1" x14ac:dyDescent="0.3">
      <c r="A36" s="52" t="s">
        <v>84</v>
      </c>
      <c r="B36" s="50">
        <f t="shared" ref="B36" si="7">$B$4</f>
        <v>15</v>
      </c>
      <c r="C36" s="24">
        <f>IFERROR(VLOOKUP(A36,'리치푸드 피벗'!A:SP,7,FALSE),0)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</row>
    <row r="37" spans="1:6" ht="6" customHeight="1" x14ac:dyDescent="0.3">
      <c r="A37" s="52"/>
      <c r="B37" s="50"/>
      <c r="C37" s="24"/>
      <c r="D37" s="20"/>
      <c r="E37" s="215"/>
      <c r="F37" s="26"/>
    </row>
    <row r="38" spans="1:6" ht="26.25" x14ac:dyDescent="0.3">
      <c r="A38" s="87" t="s">
        <v>3</v>
      </c>
      <c r="B38" s="57">
        <f>$B$4</f>
        <v>15</v>
      </c>
      <c r="C38" s="55">
        <f>SUM(C4:C17,C31:C32,C27:C27,C21:C23,C36)</f>
        <v>30</v>
      </c>
      <c r="D38" s="54">
        <f>IFERROR(ROUNDDOWN(C38/B38,0),"")</f>
        <v>2</v>
      </c>
      <c r="E38" s="56"/>
      <c r="F38" s="121">
        <f>IFERROR(C38-(D38*B38),"")</f>
        <v>0</v>
      </c>
    </row>
    <row r="39" spans="1:6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2</v>
      </c>
      <c r="E39" s="48"/>
      <c r="F39" s="93">
        <f>SUM(F4:F17,F31:F32,F27:F27,F21:F23,F36)</f>
        <v>0</v>
      </c>
    </row>
    <row r="40" spans="1:6" ht="22.5" customHeight="1" x14ac:dyDescent="0.3">
      <c r="C40" s="77">
        <f>C19+C25+C29+C34+C36</f>
        <v>30</v>
      </c>
    </row>
    <row r="41" spans="1:6" x14ac:dyDescent="0.3">
      <c r="C41" s="34" t="b">
        <f>C40=C38</f>
        <v>1</v>
      </c>
    </row>
  </sheetData>
  <mergeCells count="8">
    <mergeCell ref="H5:P13"/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BD05-D33B-49C5-981B-1B06029DC482}">
  <sheetPr>
    <tabColor rgb="FFE977DB"/>
  </sheetPr>
  <dimension ref="A1:ST22"/>
  <sheetViews>
    <sheetView zoomScaleNormal="100" zoomScaleSheetLayoutView="75" workbookViewId="0">
      <selection activeCell="C22" sqref="C22"/>
    </sheetView>
  </sheetViews>
  <sheetFormatPr defaultColWidth="9" defaultRowHeight="15" customHeight="1" x14ac:dyDescent="0.3"/>
  <cols>
    <col min="1" max="24" width="37.625" style="34" customWidth="1"/>
    <col min="25" max="25" width="22.25" style="34" bestFit="1" customWidth="1"/>
    <col min="26" max="28" width="18.375" style="34" customWidth="1"/>
    <col min="29" max="29" width="27.625" style="34" bestFit="1" customWidth="1"/>
    <col min="30" max="31" width="18.375" style="34" customWidth="1"/>
    <col min="32" max="32" width="27.625" style="34" bestFit="1" customWidth="1"/>
    <col min="33" max="33" width="18.375" style="34" customWidth="1"/>
    <col min="34" max="34" width="25.375" style="34" bestFit="1" customWidth="1"/>
    <col min="35" max="35" width="21" style="34" bestFit="1" customWidth="1"/>
    <col min="36" max="36" width="27.625" style="34" bestFit="1" customWidth="1"/>
    <col min="37" max="37" width="18.375" style="34" customWidth="1"/>
    <col min="38" max="38" width="27.625" style="34" bestFit="1" customWidth="1"/>
    <col min="39" max="392" width="30.375" style="34" customWidth="1"/>
    <col min="393" max="394" width="21.25" style="34" customWidth="1"/>
    <col min="395" max="410" width="20.5" style="34" customWidth="1"/>
    <col min="411" max="411" width="21" style="34" bestFit="1" customWidth="1"/>
    <col min="412" max="412" width="25.125" style="34" bestFit="1" customWidth="1"/>
    <col min="413" max="413" width="23" style="34" bestFit="1" customWidth="1"/>
    <col min="414" max="414" width="33.375" style="34" bestFit="1" customWidth="1"/>
    <col min="415" max="415" width="25.125" style="34" bestFit="1" customWidth="1"/>
    <col min="416" max="416" width="28.875" style="34" bestFit="1" customWidth="1"/>
    <col min="417" max="417" width="23" style="34" bestFit="1" customWidth="1"/>
    <col min="418" max="418" width="18.875" style="34" customWidth="1"/>
    <col min="419" max="419" width="23" style="34" bestFit="1" customWidth="1"/>
    <col min="420" max="420" width="25.125" style="34" bestFit="1" customWidth="1"/>
    <col min="421" max="421" width="18.875" style="34" customWidth="1"/>
    <col min="422" max="422" width="19.125" style="34" customWidth="1"/>
    <col min="423" max="423" width="18.125" style="34" customWidth="1"/>
    <col min="424" max="424" width="18.875" style="34" customWidth="1"/>
    <col min="425" max="425" width="26.625" style="34" customWidth="1"/>
    <col min="426" max="426" width="22.125" style="34" customWidth="1"/>
    <col min="427" max="427" width="24.125" style="34" customWidth="1"/>
    <col min="428" max="428" width="21.375" style="34" customWidth="1"/>
    <col min="429" max="429" width="19.375" style="34" customWidth="1"/>
    <col min="430" max="430" width="20" style="34" customWidth="1"/>
    <col min="431" max="431" width="23.25" style="34" customWidth="1"/>
    <col min="432" max="432" width="18" style="34" customWidth="1"/>
    <col min="433" max="463" width="19" style="34" customWidth="1"/>
    <col min="464" max="468" width="20.25" style="34" customWidth="1"/>
    <col min="469" max="469" width="17.25" style="34" customWidth="1"/>
    <col min="470" max="470" width="17.75" style="34" customWidth="1"/>
    <col min="471" max="471" width="16.5" style="34" customWidth="1"/>
    <col min="472" max="474" width="21" style="34" customWidth="1"/>
    <col min="475" max="475" width="18.5" style="34" customWidth="1"/>
    <col min="476" max="480" width="21" style="34" customWidth="1"/>
    <col min="481" max="481" width="15.125" style="34" customWidth="1"/>
    <col min="482" max="497" width="21" style="34" customWidth="1"/>
    <col min="498" max="498" width="24.25" style="34" customWidth="1"/>
    <col min="499" max="499" width="18.875" style="34" bestFit="1" customWidth="1"/>
    <col min="500" max="500" width="21" style="34" bestFit="1" customWidth="1"/>
    <col min="501" max="501" width="23" style="38" bestFit="1" customWidth="1"/>
    <col min="502" max="502" width="8.625" style="38" bestFit="1" customWidth="1"/>
    <col min="503" max="503" width="21" style="38" bestFit="1" customWidth="1"/>
    <col min="504" max="504" width="23" style="38" bestFit="1" customWidth="1"/>
    <col min="505" max="505" width="8.625" style="38" bestFit="1" customWidth="1"/>
    <col min="506" max="506" width="22.875" style="34" customWidth="1"/>
    <col min="507" max="513" width="20.875" style="38" customWidth="1"/>
    <col min="514" max="514" width="23.25" style="38" customWidth="1"/>
    <col min="515" max="16384" width="9" style="34"/>
  </cols>
  <sheetData>
    <row r="1" spans="1:506" s="38" customFormat="1" ht="15" customHeight="1" x14ac:dyDescent="0.3">
      <c r="A1" s="62" t="s">
        <v>328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2"/>
      <c r="AN1" s="2"/>
      <c r="AO1" s="2"/>
      <c r="AP1" s="2"/>
      <c r="AQ1" s="2"/>
      <c r="AR1" s="2"/>
      <c r="AS1" s="2"/>
      <c r="AT1" s="2"/>
      <c r="AU1" s="29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32"/>
      <c r="MK1" s="23"/>
      <c r="ML1" s="23"/>
      <c r="MM1" s="23"/>
      <c r="MN1" s="23"/>
      <c r="MO1" s="32"/>
      <c r="MP1" s="32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32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32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32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</row>
    <row r="2" spans="1:506" s="38" customFormat="1" ht="15" customHeight="1" x14ac:dyDescent="0.3">
      <c r="A2" s="228" t="s">
        <v>330</v>
      </c>
      <c r="B2" s="228" t="s">
        <v>325</v>
      </c>
      <c r="C2" s="228" t="s">
        <v>321</v>
      </c>
      <c r="D2" s="228" t="s">
        <v>3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</row>
    <row r="3" spans="1:506" s="38" customFormat="1" ht="15" customHeight="1" x14ac:dyDescent="0.3">
      <c r="A3" s="34" t="s">
        <v>50</v>
      </c>
      <c r="B3" s="34"/>
      <c r="C3" s="34">
        <v>192</v>
      </c>
      <c r="D3" s="34">
        <v>192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</row>
    <row r="4" spans="1:506" s="38" customFormat="1" ht="15" customHeight="1" x14ac:dyDescent="0.3">
      <c r="A4" s="34" t="s">
        <v>35</v>
      </c>
      <c r="B4" s="34">
        <v>600</v>
      </c>
      <c r="C4" s="34">
        <v>48</v>
      </c>
      <c r="D4" s="34">
        <v>648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</row>
    <row r="5" spans="1:506" ht="15" customHeight="1" x14ac:dyDescent="0.3">
      <c r="A5" s="34" t="s">
        <v>46</v>
      </c>
      <c r="B5" s="34">
        <v>1000</v>
      </c>
      <c r="C5" s="34">
        <v>480</v>
      </c>
      <c r="D5" s="34">
        <v>1480</v>
      </c>
    </row>
    <row r="6" spans="1:506" ht="15" customHeight="1" x14ac:dyDescent="0.3">
      <c r="A6" s="34" t="s">
        <v>41</v>
      </c>
      <c r="B6" s="34">
        <v>80</v>
      </c>
      <c r="C6" s="34">
        <v>192</v>
      </c>
      <c r="D6" s="34">
        <v>272</v>
      </c>
    </row>
    <row r="7" spans="1:506" ht="15" customHeight="1" x14ac:dyDescent="0.3">
      <c r="A7" s="34" t="s">
        <v>90</v>
      </c>
      <c r="B7" s="34">
        <v>120</v>
      </c>
      <c r="C7" s="34">
        <v>264</v>
      </c>
      <c r="D7" s="34">
        <v>384</v>
      </c>
    </row>
    <row r="8" spans="1:506" ht="15" customHeight="1" x14ac:dyDescent="0.3">
      <c r="A8" s="34" t="s">
        <v>73</v>
      </c>
      <c r="B8" s="34">
        <v>1200</v>
      </c>
      <c r="C8" s="34">
        <v>384</v>
      </c>
      <c r="D8" s="34">
        <v>1584</v>
      </c>
    </row>
    <row r="9" spans="1:506" ht="15" customHeight="1" x14ac:dyDescent="0.3">
      <c r="A9" s="34" t="s">
        <v>59</v>
      </c>
      <c r="C9" s="34">
        <v>48</v>
      </c>
      <c r="D9" s="34">
        <v>48</v>
      </c>
    </row>
    <row r="10" spans="1:506" ht="15" customHeight="1" x14ac:dyDescent="0.3">
      <c r="A10" s="34" t="s">
        <v>48</v>
      </c>
      <c r="B10" s="34">
        <v>480</v>
      </c>
      <c r="D10" s="34">
        <v>480</v>
      </c>
    </row>
    <row r="11" spans="1:506" ht="15" customHeight="1" x14ac:dyDescent="0.3">
      <c r="A11" s="34" t="s">
        <v>52</v>
      </c>
      <c r="B11" s="34">
        <v>120</v>
      </c>
      <c r="C11" s="34">
        <v>360</v>
      </c>
      <c r="D11" s="34">
        <v>480</v>
      </c>
    </row>
    <row r="12" spans="1:506" ht="15" customHeight="1" x14ac:dyDescent="0.3">
      <c r="A12" s="34" t="s">
        <v>55</v>
      </c>
      <c r="B12" s="34">
        <v>1040</v>
      </c>
      <c r="C12" s="34">
        <v>24</v>
      </c>
      <c r="D12" s="34">
        <v>1064</v>
      </c>
    </row>
    <row r="13" spans="1:506" ht="15" customHeight="1" x14ac:dyDescent="0.3">
      <c r="A13" s="34" t="s">
        <v>58</v>
      </c>
      <c r="B13" s="34">
        <v>600</v>
      </c>
      <c r="C13" s="34">
        <v>672</v>
      </c>
      <c r="D13" s="34">
        <v>1272</v>
      </c>
    </row>
    <row r="14" spans="1:506" ht="15" customHeight="1" x14ac:dyDescent="0.3">
      <c r="A14" s="34" t="s">
        <v>51</v>
      </c>
      <c r="B14" s="34">
        <v>200</v>
      </c>
      <c r="C14" s="34">
        <v>192</v>
      </c>
      <c r="D14" s="34">
        <v>392</v>
      </c>
    </row>
    <row r="15" spans="1:506" ht="15" customHeight="1" x14ac:dyDescent="0.3">
      <c r="A15" s="34" t="s">
        <v>100</v>
      </c>
      <c r="B15" s="34">
        <v>280</v>
      </c>
      <c r="C15" s="34">
        <v>384</v>
      </c>
      <c r="D15" s="34">
        <v>664</v>
      </c>
    </row>
    <row r="16" spans="1:506" ht="15" customHeight="1" x14ac:dyDescent="0.3">
      <c r="A16" s="34" t="s">
        <v>81</v>
      </c>
      <c r="C16" s="34">
        <v>288</v>
      </c>
      <c r="D16" s="34">
        <v>288</v>
      </c>
    </row>
    <row r="17" spans="1:4" ht="15" customHeight="1" x14ac:dyDescent="0.3">
      <c r="A17" s="34" t="s">
        <v>75</v>
      </c>
      <c r="B17" s="34">
        <v>680</v>
      </c>
      <c r="C17" s="34">
        <v>192</v>
      </c>
      <c r="D17" s="34">
        <v>872</v>
      </c>
    </row>
    <row r="18" spans="1:4" ht="15" customHeight="1" x14ac:dyDescent="0.3">
      <c r="A18" s="34" t="s">
        <v>54</v>
      </c>
      <c r="B18" s="34">
        <v>80</v>
      </c>
      <c r="C18" s="34">
        <v>96</v>
      </c>
      <c r="D18" s="34">
        <v>176</v>
      </c>
    </row>
    <row r="19" spans="1:4" ht="15" customHeight="1" x14ac:dyDescent="0.3">
      <c r="A19" s="34" t="s">
        <v>40</v>
      </c>
      <c r="B19" s="34">
        <v>240</v>
      </c>
      <c r="C19" s="34">
        <v>120</v>
      </c>
      <c r="D19" s="34">
        <v>360</v>
      </c>
    </row>
    <row r="20" spans="1:4" ht="15" customHeight="1" x14ac:dyDescent="0.3">
      <c r="A20" s="34" t="s">
        <v>45</v>
      </c>
      <c r="B20" s="34">
        <v>1880</v>
      </c>
      <c r="C20" s="34">
        <v>528</v>
      </c>
      <c r="D20" s="34">
        <v>2408</v>
      </c>
    </row>
    <row r="21" spans="1:4" ht="15" customHeight="1" x14ac:dyDescent="0.3">
      <c r="A21" s="34" t="s">
        <v>85</v>
      </c>
      <c r="B21" s="34">
        <v>360</v>
      </c>
      <c r="C21" s="34">
        <v>192</v>
      </c>
      <c r="D21" s="34">
        <v>552</v>
      </c>
    </row>
    <row r="22" spans="1:4" ht="15" customHeight="1" x14ac:dyDescent="0.3">
      <c r="A22" s="34" t="s">
        <v>3</v>
      </c>
      <c r="B22" s="34">
        <v>8960</v>
      </c>
      <c r="C22" s="34">
        <v>4656</v>
      </c>
      <c r="D22" s="34">
        <v>13616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E7A5-54D9-4C98-BA5C-6CA0930D1817}">
  <sheetPr>
    <tabColor rgb="FFE977DB"/>
    <pageSetUpPr fitToPage="1"/>
  </sheetPr>
  <dimension ref="A1:I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263</v>
      </c>
      <c r="C2" s="254"/>
      <c r="D2" s="254"/>
      <c r="E2" s="254"/>
      <c r="F2" s="255"/>
    </row>
    <row r="3" spans="1:9" ht="40.5" customHeight="1" x14ac:dyDescent="0.3">
      <c r="A3" s="218" t="str">
        <f>'H2 피벗'!A2</f>
        <v>10/15 납품</v>
      </c>
      <c r="B3" s="219" t="s">
        <v>13</v>
      </c>
      <c r="C3" s="220" t="s">
        <v>287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40</v>
      </c>
      <c r="C4" s="24">
        <f>IFERROR(VLOOKUP(A4,'H2 피벗'!A:SH,2,FALSE),0)</f>
        <v>280</v>
      </c>
      <c r="D4" s="20">
        <f t="shared" ref="D4:D17" si="0">IFERROR(ROUNDDOWN(C4/B4,0),"")</f>
        <v>7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40</v>
      </c>
      <c r="C5" s="24">
        <f>IFERROR(VLOOKUP(A5,'H2 피벗'!A:SH,2,FALSE),0)</f>
        <v>360</v>
      </c>
      <c r="D5" s="20">
        <f t="shared" si="0"/>
        <v>9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40</v>
      </c>
      <c r="C6" s="24">
        <f>IFERROR(VLOOKUP(A6,'H2 피벗'!A:SH,2,FALSE),0)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40</v>
      </c>
      <c r="C7" s="24">
        <f>IFERROR(VLOOKUP(A7,'H2 피벗'!A:SH,2,FALSE),0)</f>
        <v>680</v>
      </c>
      <c r="D7" s="20">
        <f t="shared" si="0"/>
        <v>17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40</v>
      </c>
      <c r="C8" s="24">
        <f>IFERROR(VLOOKUP(A8,'H2 피벗'!A:SH,2,FALSE),0)</f>
        <v>480</v>
      </c>
      <c r="D8" s="20">
        <f t="shared" si="0"/>
        <v>12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40</v>
      </c>
      <c r="C9" s="24">
        <f>IFERROR(VLOOKUP(A9,'H2 피벗'!A:SH,2,FALSE),0)</f>
        <v>600</v>
      </c>
      <c r="D9" s="20">
        <f t="shared" si="0"/>
        <v>15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40</v>
      </c>
      <c r="C10" s="24">
        <f>IFERROR(VLOOKUP(A10,'H2 피벗'!A:SH,2,FALSE),0)</f>
        <v>80</v>
      </c>
      <c r="D10" s="20">
        <f t="shared" si="0"/>
        <v>2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40</v>
      </c>
      <c r="C11" s="24">
        <f>IFERROR(VLOOKUP(A11,'H2 피벗'!A:SH,2,FALSE),0)</f>
        <v>600</v>
      </c>
      <c r="D11" s="20">
        <f t="shared" si="0"/>
        <v>15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40</v>
      </c>
      <c r="C12" s="24">
        <f>IFERROR(VLOOKUP(A12,'H2 피벗'!A:SH,2,FALSE),0)</f>
        <v>200</v>
      </c>
      <c r="D12" s="20">
        <f t="shared" si="0"/>
        <v>5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40</v>
      </c>
      <c r="C13" s="24">
        <f>IFERROR(VLOOKUP(A13,'H2 피벗'!A:SH,2,FALSE),0)</f>
        <v>1880</v>
      </c>
      <c r="D13" s="20">
        <f t="shared" si="0"/>
        <v>47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40</v>
      </c>
      <c r="C14" s="24">
        <f>IFERROR(VLOOKUP(A14,'H2 피벗'!A:SH,2,FALSE),0)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40</v>
      </c>
      <c r="C15" s="24">
        <f>IFERROR(VLOOKUP(A15,'H2 피벗'!A:SH,2,FALSE),0)</f>
        <v>240</v>
      </c>
      <c r="D15" s="20">
        <f t="shared" si="0"/>
        <v>6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40</v>
      </c>
      <c r="C16" s="24">
        <f>IFERROR(VLOOKUP(A16,'H2 피벗'!A:SH,2,FALSE),0)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40</v>
      </c>
      <c r="C17" s="24">
        <f>IFERROR(VLOOKUP(A17,'H2 피벗'!A:SH,2,FALSE),0)</f>
        <v>1040</v>
      </c>
      <c r="D17" s="20">
        <f t="shared" si="0"/>
        <v>26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40</v>
      </c>
      <c r="C19" s="211">
        <f>SUM(C4:C17)</f>
        <v>6440</v>
      </c>
      <c r="D19" s="55">
        <f>IFERROR(ROUNDDOWN(C19/B19,0),"")</f>
        <v>161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40</v>
      </c>
      <c r="C21" s="24">
        <f>IFERROR(VLOOKUP(A21,'H2 피벗'!A:SH,2,FALSE),0)</f>
        <v>1000</v>
      </c>
      <c r="D21" s="20">
        <f>IFERROR(ROUNDDOWN(C21/B21,0),"")</f>
        <v>25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40</v>
      </c>
      <c r="C22" s="24">
        <f>IFERROR(VLOOKUP(A22,'H2 피벗'!A:SH,2,FALSE),0)</f>
        <v>80</v>
      </c>
      <c r="D22" s="20">
        <f>IFERROR(ROUNDDOWN(C22/B22,0),"")</f>
        <v>2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40</v>
      </c>
      <c r="C23" s="24">
        <f>IFERROR(VLOOKUP(A23,'H2 피벗'!A:SH,2,FALSE),0)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40</v>
      </c>
      <c r="C25" s="211">
        <f>SUM(C21:C23)</f>
        <v>1080</v>
      </c>
      <c r="D25" s="55">
        <f>IFERROR(ROUNDDOWN(C25/B25,0),"")</f>
        <v>27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40</v>
      </c>
      <c r="C27" s="24">
        <f>IFERROR(VLOOKUP(A27,'H2 피벗'!A:SH,2,FALSE),0)</f>
        <v>1200</v>
      </c>
      <c r="D27" s="20">
        <f>IFERROR(ROUNDDOWN(C27/B27,0),"")</f>
        <v>30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40</v>
      </c>
      <c r="C29" s="211">
        <f>SUM(C27:C27)</f>
        <v>1200</v>
      </c>
      <c r="D29" s="55">
        <f>IFERROR(ROUNDDOWN(C29/B29,0),"")</f>
        <v>30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40</v>
      </c>
      <c r="C31" s="24">
        <f>IFERROR(VLOOKUP(A31,'H2 피벗'!A:SH,2,FALSE),0)</f>
        <v>120</v>
      </c>
      <c r="D31" s="20">
        <f>IFERROR(ROUNDDOWN(C31/B31,0),"")</f>
        <v>3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40</v>
      </c>
      <c r="C32" s="24">
        <f>IFERROR(VLOOKUP(A32,'H2 피벗'!A:SH,2,FALSE),0)</f>
        <v>120</v>
      </c>
      <c r="D32" s="20">
        <f t="shared" ref="D32" si="6">IFERROR(ROUNDDOWN(C32/B32,0),"")</f>
        <v>3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40</v>
      </c>
      <c r="C34" s="211">
        <f>SUM(C31:C32)</f>
        <v>240</v>
      </c>
      <c r="D34" s="55">
        <f>IFERROR(ROUNDDOWN(C34/B34,0),"")</f>
        <v>6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40</v>
      </c>
      <c r="C36" s="24">
        <f>IFERROR(VLOOKUP(A36,'H2 피벗'!A:SH,2,FALSE),0)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40</v>
      </c>
      <c r="C38" s="55">
        <f>SUM(C4:C17,C31:C32,C27:C27,C21:C23,C36)</f>
        <v>8960</v>
      </c>
      <c r="D38" s="54">
        <f>IFERROR(ROUNDDOWN(C38/B38,0),"")</f>
        <v>224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224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8960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9CF9-720D-49FC-9FED-AADB70B787C8}">
  <sheetPr>
    <tabColor rgb="FFE977DB"/>
    <pageSetUpPr fitToPage="1"/>
  </sheetPr>
  <dimension ref="A1:F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253"/>
      <c r="B1" s="253"/>
      <c r="C1" s="253"/>
      <c r="D1" s="253"/>
      <c r="E1" s="253"/>
      <c r="F1" s="253"/>
    </row>
    <row r="2" spans="1:6" ht="25.9" customHeight="1" x14ac:dyDescent="0.3">
      <c r="A2" s="217">
        <f ca="1">TODAY()</f>
        <v>46309</v>
      </c>
      <c r="B2" s="254" t="s">
        <v>262</v>
      </c>
      <c r="C2" s="254"/>
      <c r="D2" s="254"/>
      <c r="E2" s="254"/>
      <c r="F2" s="255"/>
    </row>
    <row r="3" spans="1:6" ht="40.5" customHeight="1" x14ac:dyDescent="0.3">
      <c r="A3" s="218" t="str">
        <f>'H2 피벗'!A2</f>
        <v>10/15 납품</v>
      </c>
      <c r="B3" s="219" t="s">
        <v>13</v>
      </c>
      <c r="C3" s="220" t="s">
        <v>289</v>
      </c>
      <c r="D3" s="221" t="s">
        <v>2</v>
      </c>
      <c r="E3" s="219" t="s">
        <v>23</v>
      </c>
      <c r="F3" s="222" t="s">
        <v>14</v>
      </c>
    </row>
    <row r="4" spans="1:6" ht="25.35" customHeight="1" x14ac:dyDescent="0.3">
      <c r="A4" s="52" t="s">
        <v>100</v>
      </c>
      <c r="B4" s="50">
        <v>24</v>
      </c>
      <c r="C4" s="24">
        <f>IFERROR(VLOOKUP(A4,'H2 피벗'!A:SH,3,FALSE),0)</f>
        <v>384</v>
      </c>
      <c r="D4" s="20">
        <f t="shared" ref="D4:D17" si="0">IFERROR(ROUNDDOWN(C4/B4,0),"")</f>
        <v>16</v>
      </c>
      <c r="E4" s="51" t="s">
        <v>99</v>
      </c>
      <c r="F4" s="26">
        <f t="shared" ref="F4:F17" si="1">IFERROR(C4-(D4*B4),"")</f>
        <v>0</v>
      </c>
    </row>
    <row r="5" spans="1:6" ht="25.35" customHeight="1" x14ac:dyDescent="0.3">
      <c r="A5" s="52" t="s">
        <v>85</v>
      </c>
      <c r="B5" s="50">
        <f>$B$4</f>
        <v>24</v>
      </c>
      <c r="C5" s="24">
        <f>IFERROR(VLOOKUP(A5,'H2 피벗'!A:SH,3,FALSE),0)</f>
        <v>192</v>
      </c>
      <c r="D5" s="20">
        <f t="shared" si="0"/>
        <v>8</v>
      </c>
      <c r="E5" s="51" t="s">
        <v>239</v>
      </c>
      <c r="F5" s="26">
        <f t="shared" si="1"/>
        <v>0</v>
      </c>
    </row>
    <row r="6" spans="1:6" ht="25.35" customHeight="1" x14ac:dyDescent="0.3">
      <c r="A6" s="49" t="s">
        <v>81</v>
      </c>
      <c r="B6" s="50">
        <f t="shared" ref="B6:B17" si="2">$B$4</f>
        <v>24</v>
      </c>
      <c r="C6" s="24">
        <f>IFERROR(VLOOKUP(A6,'H2 피벗'!A:SH,3,FALSE),0)</f>
        <v>288</v>
      </c>
      <c r="D6" s="20">
        <f t="shared" si="0"/>
        <v>12</v>
      </c>
      <c r="E6" s="51" t="s">
        <v>240</v>
      </c>
      <c r="F6" s="26">
        <f t="shared" si="1"/>
        <v>0</v>
      </c>
    </row>
    <row r="7" spans="1:6" ht="25.35" customHeight="1" x14ac:dyDescent="0.3">
      <c r="A7" s="49" t="s">
        <v>75</v>
      </c>
      <c r="B7" s="50">
        <f t="shared" si="2"/>
        <v>24</v>
      </c>
      <c r="C7" s="24">
        <f>IFERROR(VLOOKUP(A7,'H2 피벗'!A:SH,3,FALSE),0)</f>
        <v>192</v>
      </c>
      <c r="D7" s="20">
        <f t="shared" si="0"/>
        <v>8</v>
      </c>
      <c r="E7" s="51" t="s">
        <v>241</v>
      </c>
      <c r="F7" s="26">
        <f t="shared" si="1"/>
        <v>0</v>
      </c>
    </row>
    <row r="8" spans="1:6" ht="25.35" customHeight="1" x14ac:dyDescent="0.3">
      <c r="A8" s="49" t="s">
        <v>48</v>
      </c>
      <c r="B8" s="50">
        <f t="shared" si="2"/>
        <v>24</v>
      </c>
      <c r="C8" s="24">
        <f>IFERROR(VLOOKUP(A8,'H2 피벗'!A:SH,3,FALSE),0)</f>
        <v>0</v>
      </c>
      <c r="D8" s="20">
        <f t="shared" si="0"/>
        <v>0</v>
      </c>
      <c r="E8" s="51" t="s">
        <v>115</v>
      </c>
      <c r="F8" s="26">
        <f t="shared" si="1"/>
        <v>0</v>
      </c>
    </row>
    <row r="9" spans="1:6" ht="25.35" customHeight="1" x14ac:dyDescent="0.3">
      <c r="A9" s="49" t="s">
        <v>35</v>
      </c>
      <c r="B9" s="50">
        <f t="shared" si="2"/>
        <v>24</v>
      </c>
      <c r="C9" s="24">
        <f>IFERROR(VLOOKUP(A9,'H2 피벗'!A:SH,3,FALSE),0)</f>
        <v>48</v>
      </c>
      <c r="D9" s="20">
        <f t="shared" si="0"/>
        <v>2</v>
      </c>
      <c r="E9" s="51" t="s">
        <v>242</v>
      </c>
      <c r="F9" s="26">
        <f t="shared" si="1"/>
        <v>0</v>
      </c>
    </row>
    <row r="10" spans="1:6" ht="25.35" customHeight="1" x14ac:dyDescent="0.3">
      <c r="A10" s="49" t="s">
        <v>54</v>
      </c>
      <c r="B10" s="50">
        <f t="shared" si="2"/>
        <v>24</v>
      </c>
      <c r="C10" s="24">
        <f>IFERROR(VLOOKUP(A10,'H2 피벗'!A:SH,3,FALSE),0)</f>
        <v>96</v>
      </c>
      <c r="D10" s="20">
        <f t="shared" si="0"/>
        <v>4</v>
      </c>
      <c r="E10" s="51" t="s">
        <v>243</v>
      </c>
      <c r="F10" s="26">
        <f t="shared" si="1"/>
        <v>0</v>
      </c>
    </row>
    <row r="11" spans="1:6" ht="25.35" customHeight="1" x14ac:dyDescent="0.3">
      <c r="A11" s="49" t="s">
        <v>58</v>
      </c>
      <c r="B11" s="50">
        <f t="shared" si="2"/>
        <v>24</v>
      </c>
      <c r="C11" s="24">
        <f>IFERROR(VLOOKUP(A11,'H2 피벗'!A:SH,3,FALSE),0)</f>
        <v>672</v>
      </c>
      <c r="D11" s="20">
        <f t="shared" si="0"/>
        <v>28</v>
      </c>
      <c r="E11" s="51" t="s">
        <v>244</v>
      </c>
      <c r="F11" s="26">
        <f t="shared" si="1"/>
        <v>0</v>
      </c>
    </row>
    <row r="12" spans="1:6" ht="25.35" customHeight="1" x14ac:dyDescent="0.3">
      <c r="A12" s="49" t="s">
        <v>51</v>
      </c>
      <c r="B12" s="50">
        <f t="shared" si="2"/>
        <v>24</v>
      </c>
      <c r="C12" s="24">
        <f>IFERROR(VLOOKUP(A12,'H2 피벗'!A:SH,3,FALSE),0)</f>
        <v>192</v>
      </c>
      <c r="D12" s="20">
        <f t="shared" si="0"/>
        <v>8</v>
      </c>
      <c r="E12" s="51" t="s">
        <v>245</v>
      </c>
      <c r="F12" s="26">
        <f t="shared" si="1"/>
        <v>0</v>
      </c>
    </row>
    <row r="13" spans="1:6" ht="25.35" customHeight="1" x14ac:dyDescent="0.3">
      <c r="A13" s="52" t="s">
        <v>45</v>
      </c>
      <c r="B13" s="50">
        <f t="shared" si="2"/>
        <v>24</v>
      </c>
      <c r="C13" s="24">
        <f>IFERROR(VLOOKUP(A13,'H2 피벗'!A:SH,3,FALSE),0)</f>
        <v>528</v>
      </c>
      <c r="D13" s="20">
        <f t="shared" si="0"/>
        <v>22</v>
      </c>
      <c r="E13" s="51" t="s">
        <v>246</v>
      </c>
      <c r="F13" s="26">
        <f t="shared" si="1"/>
        <v>0</v>
      </c>
    </row>
    <row r="14" spans="1:6" ht="25.35" customHeight="1" x14ac:dyDescent="0.3">
      <c r="A14" s="49" t="s">
        <v>59</v>
      </c>
      <c r="B14" s="50">
        <f t="shared" si="2"/>
        <v>24</v>
      </c>
      <c r="C14" s="24">
        <f>IFERROR(VLOOKUP(A14,'H2 피벗'!A:SH,3,FALSE),0)</f>
        <v>48</v>
      </c>
      <c r="D14" s="20">
        <f t="shared" si="0"/>
        <v>2</v>
      </c>
      <c r="E14" s="51" t="s">
        <v>247</v>
      </c>
      <c r="F14" s="26">
        <f t="shared" si="1"/>
        <v>0</v>
      </c>
    </row>
    <row r="15" spans="1:6" ht="25.35" customHeight="1" x14ac:dyDescent="0.3">
      <c r="A15" s="49" t="s">
        <v>40</v>
      </c>
      <c r="B15" s="50">
        <f t="shared" si="2"/>
        <v>24</v>
      </c>
      <c r="C15" s="24">
        <f>IFERROR(VLOOKUP(A15,'H2 피벗'!A:SH,3,FALSE),0)</f>
        <v>120</v>
      </c>
      <c r="D15" s="20">
        <f t="shared" si="0"/>
        <v>5</v>
      </c>
      <c r="E15" s="51" t="s">
        <v>248</v>
      </c>
      <c r="F15" s="26">
        <f t="shared" si="1"/>
        <v>0</v>
      </c>
    </row>
    <row r="16" spans="1:6" ht="25.35" customHeight="1" x14ac:dyDescent="0.3">
      <c r="A16" s="49" t="s">
        <v>50</v>
      </c>
      <c r="B16" s="50">
        <f t="shared" si="2"/>
        <v>24</v>
      </c>
      <c r="C16" s="24">
        <f>IFERROR(VLOOKUP(A16,'H2 피벗'!A:SH,3,FALSE),0)</f>
        <v>192</v>
      </c>
      <c r="D16" s="20">
        <f t="shared" si="0"/>
        <v>8</v>
      </c>
      <c r="E16" s="51" t="s">
        <v>249</v>
      </c>
      <c r="F16" s="26">
        <f t="shared" si="1"/>
        <v>0</v>
      </c>
    </row>
    <row r="17" spans="1:6" ht="25.35" customHeight="1" x14ac:dyDescent="0.3">
      <c r="A17" s="49" t="s">
        <v>55</v>
      </c>
      <c r="B17" s="50">
        <f t="shared" si="2"/>
        <v>24</v>
      </c>
      <c r="C17" s="24">
        <f>IFERROR(VLOOKUP(A17,'H2 피벗'!A:SH,3,FALSE),0)</f>
        <v>24</v>
      </c>
      <c r="D17" s="20">
        <f t="shared" si="0"/>
        <v>1</v>
      </c>
      <c r="E17" s="51" t="s">
        <v>250</v>
      </c>
      <c r="F17" s="26">
        <f t="shared" si="1"/>
        <v>0</v>
      </c>
    </row>
    <row r="18" spans="1:6" ht="4.5" customHeight="1" x14ac:dyDescent="0.3">
      <c r="A18" s="241"/>
      <c r="B18" s="242"/>
      <c r="C18" s="242"/>
      <c r="D18" s="242"/>
      <c r="E18" s="242"/>
      <c r="F18" s="243"/>
    </row>
    <row r="19" spans="1:6" ht="32.450000000000003" customHeight="1" x14ac:dyDescent="0.3">
      <c r="A19" s="209" t="s">
        <v>122</v>
      </c>
      <c r="B19" s="210">
        <f>$B$4</f>
        <v>24</v>
      </c>
      <c r="C19" s="211">
        <f>SUM(C4:C17)</f>
        <v>2976</v>
      </c>
      <c r="D19" s="55">
        <f>IFERROR(ROUNDDOWN(C19/B19,0),"")</f>
        <v>124</v>
      </c>
      <c r="E19" s="212"/>
      <c r="F19" s="213">
        <f>IFERROR(C19-(D19*B19),"")</f>
        <v>0</v>
      </c>
    </row>
    <row r="20" spans="1:6" ht="4.5" customHeight="1" x14ac:dyDescent="0.3">
      <c r="A20" s="181"/>
      <c r="B20" s="50"/>
      <c r="C20" s="50"/>
      <c r="D20" s="50"/>
      <c r="E20" s="50"/>
      <c r="F20" s="182"/>
    </row>
    <row r="21" spans="1:6" ht="25.35" customHeight="1" x14ac:dyDescent="0.3">
      <c r="A21" s="214" t="s">
        <v>46</v>
      </c>
      <c r="B21" s="50">
        <f t="shared" ref="B21:B23" si="3">$B$4</f>
        <v>24</v>
      </c>
      <c r="C21" s="24">
        <f>IFERROR(VLOOKUP(A21,'H2 피벗'!A:SH,3,FALSE),0)</f>
        <v>480</v>
      </c>
      <c r="D21" s="20">
        <f>IFERROR(ROUNDDOWN(C21/B21,0),"")</f>
        <v>20</v>
      </c>
      <c r="E21" s="51" t="s">
        <v>251</v>
      </c>
      <c r="F21" s="26">
        <f>IFERROR(C21-(D21*B21),"")</f>
        <v>0</v>
      </c>
    </row>
    <row r="22" spans="1:6" ht="25.35" customHeight="1" x14ac:dyDescent="0.3">
      <c r="A22" s="214" t="s">
        <v>41</v>
      </c>
      <c r="B22" s="50">
        <f t="shared" si="3"/>
        <v>24</v>
      </c>
      <c r="C22" s="24">
        <f>IFERROR(VLOOKUP(A22,'H2 피벗'!A:SH,3,FALSE),0)</f>
        <v>192</v>
      </c>
      <c r="D22" s="20">
        <f>IFERROR(ROUNDDOWN(C22/B22,0),"")</f>
        <v>8</v>
      </c>
      <c r="E22" s="51" t="s">
        <v>252</v>
      </c>
      <c r="F22" s="26">
        <f>IFERROR(C22-(D22*B22),"")</f>
        <v>0</v>
      </c>
    </row>
    <row r="23" spans="1:6" ht="25.35" customHeight="1" x14ac:dyDescent="0.3">
      <c r="A23" s="214" t="s">
        <v>62</v>
      </c>
      <c r="B23" s="50">
        <f t="shared" si="3"/>
        <v>24</v>
      </c>
      <c r="C23" s="24">
        <f>IFERROR(VLOOKUP(A23,'H2 피벗'!A:SH,3,FALSE),0)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</row>
    <row r="24" spans="1:6" ht="4.5" customHeight="1" x14ac:dyDescent="0.3">
      <c r="A24" s="241"/>
      <c r="B24" s="242"/>
      <c r="C24" s="242"/>
      <c r="D24" s="242"/>
      <c r="E24" s="242"/>
      <c r="F24" s="243"/>
    </row>
    <row r="25" spans="1:6" ht="32.450000000000003" customHeight="1" x14ac:dyDescent="0.3">
      <c r="A25" s="209" t="s">
        <v>237</v>
      </c>
      <c r="B25" s="210">
        <f>$B$4</f>
        <v>24</v>
      </c>
      <c r="C25" s="211">
        <f>SUM(C21:C23)</f>
        <v>672</v>
      </c>
      <c r="D25" s="55">
        <f>IFERROR(ROUNDDOWN(C25/B25,0),"")</f>
        <v>28</v>
      </c>
      <c r="E25" s="212"/>
      <c r="F25" s="213">
        <f>IFERROR(C25-(D25*B25),"")</f>
        <v>0</v>
      </c>
    </row>
    <row r="26" spans="1:6" ht="4.5" customHeight="1" x14ac:dyDescent="0.3">
      <c r="A26" s="241"/>
      <c r="B26" s="242"/>
      <c r="C26" s="242"/>
      <c r="D26" s="242"/>
      <c r="E26" s="242"/>
      <c r="F26" s="243"/>
    </row>
    <row r="27" spans="1:6" ht="25.35" customHeight="1" x14ac:dyDescent="0.3">
      <c r="A27" s="223" t="s">
        <v>73</v>
      </c>
      <c r="B27" s="50">
        <f t="shared" ref="B27" si="4">$B$4</f>
        <v>24</v>
      </c>
      <c r="C27" s="24">
        <f>IFERROR(VLOOKUP(A27,'H2 피벗'!A:SH,3,FALSE),0)</f>
        <v>384</v>
      </c>
      <c r="D27" s="20">
        <f>IFERROR(ROUNDDOWN(C27/B27,0),"")</f>
        <v>16</v>
      </c>
      <c r="E27" s="51" t="s">
        <v>257</v>
      </c>
      <c r="F27" s="26">
        <f>IFERROR(C27-(D27*B27),"")</f>
        <v>0</v>
      </c>
    </row>
    <row r="28" spans="1:6" ht="4.5" customHeight="1" x14ac:dyDescent="0.3">
      <c r="A28" s="241"/>
      <c r="B28" s="242"/>
      <c r="C28" s="242"/>
      <c r="D28" s="242"/>
      <c r="E28" s="242"/>
      <c r="F28" s="243"/>
    </row>
    <row r="29" spans="1:6" ht="32.450000000000003" customHeight="1" x14ac:dyDescent="0.3">
      <c r="A29" s="209" t="s">
        <v>236</v>
      </c>
      <c r="B29" s="210">
        <f>$B$4</f>
        <v>24</v>
      </c>
      <c r="C29" s="211">
        <f>SUM(C27:C27)</f>
        <v>384</v>
      </c>
      <c r="D29" s="55">
        <f>IFERROR(ROUNDDOWN(C29/B29,0),"")</f>
        <v>16</v>
      </c>
      <c r="E29" s="212"/>
      <c r="F29" s="213">
        <f>IFERROR(C29-(D29*B29),"")</f>
        <v>0</v>
      </c>
    </row>
    <row r="30" spans="1:6" ht="4.5" customHeight="1" x14ac:dyDescent="0.3">
      <c r="A30" s="181"/>
      <c r="B30" s="50"/>
      <c r="C30" s="50"/>
      <c r="D30" s="50"/>
      <c r="E30" s="50"/>
      <c r="F30" s="182"/>
    </row>
    <row r="31" spans="1:6" ht="25.35" customHeight="1" x14ac:dyDescent="0.3">
      <c r="A31" s="49" t="s">
        <v>90</v>
      </c>
      <c r="B31" s="50">
        <f t="shared" ref="B31:B32" si="5">$B$4</f>
        <v>24</v>
      </c>
      <c r="C31" s="24">
        <f>IFERROR(VLOOKUP(A31,'H2 피벗'!A:SH,3,FALSE),0)</f>
        <v>264</v>
      </c>
      <c r="D31" s="20">
        <f t="shared" ref="D31:D32" si="6">IFERROR(ROUNDDOWN(C31/B31,0),"")</f>
        <v>11</v>
      </c>
      <c r="E31" s="51" t="s">
        <v>258</v>
      </c>
      <c r="F31" s="26">
        <f t="shared" ref="F31" si="7">IFERROR(C31-(D31*B31),"")</f>
        <v>0</v>
      </c>
    </row>
    <row r="32" spans="1:6" ht="25.35" customHeight="1" x14ac:dyDescent="0.3">
      <c r="A32" s="49" t="s">
        <v>52</v>
      </c>
      <c r="B32" s="50">
        <f t="shared" si="5"/>
        <v>24</v>
      </c>
      <c r="C32" s="24">
        <f>IFERROR(VLOOKUP(A32,'H2 피벗'!A:SH,3,FALSE),0)</f>
        <v>360</v>
      </c>
      <c r="D32" s="20">
        <f t="shared" si="6"/>
        <v>15</v>
      </c>
      <c r="E32" s="51" t="s">
        <v>259</v>
      </c>
      <c r="F32" s="26">
        <f>IFERROR(C32-(D32*B32),"")</f>
        <v>0</v>
      </c>
    </row>
    <row r="33" spans="1:6" ht="4.5" customHeight="1" x14ac:dyDescent="0.3">
      <c r="A33" s="241"/>
      <c r="B33" s="242"/>
      <c r="C33" s="242"/>
      <c r="D33" s="242"/>
      <c r="E33" s="242"/>
      <c r="F33" s="243"/>
    </row>
    <row r="34" spans="1:6" ht="32.450000000000003" customHeight="1" x14ac:dyDescent="0.3">
      <c r="A34" s="209" t="s">
        <v>235</v>
      </c>
      <c r="B34" s="210">
        <f>$B$4</f>
        <v>24</v>
      </c>
      <c r="C34" s="211">
        <f>SUM(C31:C32)</f>
        <v>624</v>
      </c>
      <c r="D34" s="55">
        <f>IFERROR(ROUNDDOWN(C34/B34,0),"")</f>
        <v>26</v>
      </c>
      <c r="E34" s="212"/>
      <c r="F34" s="213">
        <f>IFERROR(C34-(D34*B34),"")</f>
        <v>0</v>
      </c>
    </row>
    <row r="35" spans="1:6" ht="4.5" customHeight="1" x14ac:dyDescent="0.3">
      <c r="A35" s="181"/>
      <c r="B35" s="50"/>
      <c r="C35" s="50"/>
      <c r="D35" s="50"/>
      <c r="E35" s="50"/>
      <c r="F35" s="182"/>
    </row>
    <row r="36" spans="1:6" ht="27.75" customHeight="1" x14ac:dyDescent="0.3">
      <c r="A36" s="52" t="s">
        <v>84</v>
      </c>
      <c r="B36" s="50">
        <f t="shared" ref="B36" si="8">$B$4</f>
        <v>24</v>
      </c>
      <c r="C36" s="24">
        <f>IFERROR(VLOOKUP(A36,'H2 피벗'!A:SH,3,FALSE),0)</f>
        <v>0</v>
      </c>
      <c r="D36" s="20">
        <f t="shared" ref="D36" si="9">IFERROR(ROUNDDOWN(C36/B36,0),"")</f>
        <v>0</v>
      </c>
      <c r="E36" s="215" t="s">
        <v>120</v>
      </c>
      <c r="F36" s="26">
        <f t="shared" ref="F36" si="10">IFERROR(C36-(D36*B36),"")</f>
        <v>0</v>
      </c>
    </row>
    <row r="37" spans="1:6" ht="6" customHeight="1" x14ac:dyDescent="0.3">
      <c r="A37" s="52"/>
      <c r="B37" s="50"/>
      <c r="C37" s="24"/>
      <c r="D37" s="20"/>
      <c r="E37" s="215"/>
      <c r="F37" s="26"/>
    </row>
    <row r="38" spans="1:6" ht="26.25" x14ac:dyDescent="0.3">
      <c r="A38" s="87" t="s">
        <v>3</v>
      </c>
      <c r="B38" s="57">
        <f>$B$4</f>
        <v>24</v>
      </c>
      <c r="C38" s="55">
        <f>SUM(C4:C17,C31:C32,C27:C27,C21:C23,C36)</f>
        <v>4656</v>
      </c>
      <c r="D38" s="54">
        <f>IFERROR(ROUNDDOWN(C38/B38,0),"")</f>
        <v>194</v>
      </c>
      <c r="E38" s="56"/>
      <c r="F38" s="121">
        <f>IFERROR(C38-(D38*B38),"")</f>
        <v>0</v>
      </c>
    </row>
    <row r="39" spans="1:6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194</v>
      </c>
      <c r="E39" s="48"/>
      <c r="F39" s="93">
        <f>SUM(F4:F17,F31:F32,F27:F27,F21:F23,F36)</f>
        <v>0</v>
      </c>
    </row>
    <row r="40" spans="1:6" ht="22.5" customHeight="1" x14ac:dyDescent="0.3">
      <c r="C40" s="77">
        <f>C19+C25+C29+C34+C36</f>
        <v>4656</v>
      </c>
    </row>
    <row r="41" spans="1:6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C059-9EF0-4D44-8197-17234815162E}">
  <sheetPr>
    <tabColor theme="8" tint="0.59999389629810485"/>
  </sheetPr>
  <dimension ref="A1:SX5"/>
  <sheetViews>
    <sheetView zoomScale="85" zoomScaleNormal="85" zoomScaleSheetLayoutView="75" workbookViewId="0">
      <selection activeCell="A4" sqref="A4:XFD4"/>
    </sheetView>
  </sheetViews>
  <sheetFormatPr defaultColWidth="9" defaultRowHeight="15" customHeight="1" x14ac:dyDescent="0.3"/>
  <cols>
    <col min="1" max="28" width="37.625" style="34" customWidth="1"/>
    <col min="29" max="29" width="22.25" style="34" bestFit="1" customWidth="1"/>
    <col min="30" max="32" width="18.375" style="34" customWidth="1"/>
    <col min="33" max="33" width="27.625" style="34" bestFit="1" customWidth="1"/>
    <col min="34" max="35" width="18.375" style="34" customWidth="1"/>
    <col min="36" max="36" width="27.625" style="34" bestFit="1" customWidth="1"/>
    <col min="37" max="37" width="18.375" style="34" customWidth="1"/>
    <col min="38" max="38" width="25.375" style="34" bestFit="1" customWidth="1"/>
    <col min="39" max="39" width="21" style="34" bestFit="1" customWidth="1"/>
    <col min="40" max="40" width="27.625" style="34" bestFit="1" customWidth="1"/>
    <col min="41" max="41" width="18.375" style="34" customWidth="1"/>
    <col min="42" max="42" width="27.625" style="34" bestFit="1" customWidth="1"/>
    <col min="43" max="396" width="30.375" style="34" customWidth="1"/>
    <col min="397" max="398" width="21.25" style="34" customWidth="1"/>
    <col min="399" max="414" width="20.5" style="34" customWidth="1"/>
    <col min="415" max="415" width="21" style="34" bestFit="1" customWidth="1"/>
    <col min="416" max="416" width="25.125" style="34" bestFit="1" customWidth="1"/>
    <col min="417" max="417" width="23" style="34" bestFit="1" customWidth="1"/>
    <col min="418" max="418" width="33.375" style="34" bestFit="1" customWidth="1"/>
    <col min="419" max="419" width="25.125" style="34" bestFit="1" customWidth="1"/>
    <col min="420" max="420" width="28.875" style="34" bestFit="1" customWidth="1"/>
    <col min="421" max="421" width="23" style="34" bestFit="1" customWidth="1"/>
    <col min="422" max="422" width="18.875" style="34" customWidth="1"/>
    <col min="423" max="423" width="23" style="34" bestFit="1" customWidth="1"/>
    <col min="424" max="424" width="25.125" style="34" bestFit="1" customWidth="1"/>
    <col min="425" max="425" width="18.875" style="34" customWidth="1"/>
    <col min="426" max="426" width="19.125" style="34" customWidth="1"/>
    <col min="427" max="427" width="18.125" style="34" customWidth="1"/>
    <col min="428" max="428" width="18.875" style="34" customWidth="1"/>
    <col min="429" max="429" width="26.625" style="34" customWidth="1"/>
    <col min="430" max="430" width="22.125" style="34" customWidth="1"/>
    <col min="431" max="431" width="24.125" style="34" customWidth="1"/>
    <col min="432" max="432" width="21.375" style="34" customWidth="1"/>
    <col min="433" max="433" width="19.375" style="34" customWidth="1"/>
    <col min="434" max="434" width="20" style="34" customWidth="1"/>
    <col min="435" max="435" width="23.25" style="34" customWidth="1"/>
    <col min="436" max="436" width="18" style="34" customWidth="1"/>
    <col min="437" max="467" width="19" style="34" customWidth="1"/>
    <col min="468" max="472" width="20.25" style="34" customWidth="1"/>
    <col min="473" max="473" width="17.25" style="34" customWidth="1"/>
    <col min="474" max="474" width="17.75" style="34" customWidth="1"/>
    <col min="475" max="475" width="16.5" style="34" customWidth="1"/>
    <col min="476" max="478" width="21" style="34" customWidth="1"/>
    <col min="479" max="479" width="18.5" style="34" customWidth="1"/>
    <col min="480" max="484" width="21" style="34" customWidth="1"/>
    <col min="485" max="485" width="15.125" style="34" customWidth="1"/>
    <col min="486" max="501" width="21" style="34" customWidth="1"/>
    <col min="502" max="502" width="24.25" style="34" customWidth="1"/>
    <col min="503" max="503" width="18.875" style="34" bestFit="1" customWidth="1"/>
    <col min="504" max="504" width="21" style="34" bestFit="1" customWidth="1"/>
    <col min="505" max="505" width="23" style="38" bestFit="1" customWidth="1"/>
    <col min="506" max="506" width="8.625" style="38" bestFit="1" customWidth="1"/>
    <col min="507" max="507" width="21" style="38" bestFit="1" customWidth="1"/>
    <col min="508" max="508" width="23" style="38" bestFit="1" customWidth="1"/>
    <col min="509" max="509" width="8.625" style="38" bestFit="1" customWidth="1"/>
    <col min="510" max="510" width="22.875" style="34" customWidth="1"/>
    <col min="511" max="517" width="20.875" style="38" customWidth="1"/>
    <col min="518" max="518" width="23.25" style="38" customWidth="1"/>
    <col min="519" max="16384" width="9" style="34"/>
  </cols>
  <sheetData>
    <row r="1" spans="1:510" s="38" customFormat="1" ht="15" customHeight="1" x14ac:dyDescent="0.3">
      <c r="A1" s="227" t="s">
        <v>328</v>
      </c>
      <c r="B1" s="227" t="s">
        <v>89</v>
      </c>
      <c r="C1" s="227"/>
      <c r="D1" s="227"/>
      <c r="E1" s="227"/>
      <c r="F1" s="227"/>
      <c r="G1" s="227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2"/>
      <c r="AR1" s="2"/>
      <c r="AS1" s="2"/>
      <c r="AT1" s="2"/>
      <c r="AU1" s="2"/>
      <c r="AV1" s="2"/>
      <c r="AW1" s="2"/>
      <c r="AX1" s="2"/>
      <c r="AY1" s="29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32"/>
      <c r="MO1" s="23"/>
      <c r="MP1" s="23"/>
      <c r="MQ1" s="23"/>
      <c r="MR1" s="23"/>
      <c r="MS1" s="32"/>
      <c r="MT1" s="32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32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32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32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</row>
    <row r="2" spans="1:510" s="38" customFormat="1" ht="15" customHeight="1" x14ac:dyDescent="0.3">
      <c r="A2" s="53" t="s">
        <v>331</v>
      </c>
      <c r="B2" s="53" t="s">
        <v>332</v>
      </c>
      <c r="C2" s="53" t="s">
        <v>326</v>
      </c>
      <c r="D2" s="53" t="s">
        <v>3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</row>
    <row r="3" spans="1:510" s="38" customFormat="1" ht="15" customHeight="1" x14ac:dyDescent="0.3">
      <c r="A3" s="34" t="s">
        <v>90</v>
      </c>
      <c r="B3" s="34"/>
      <c r="C3" s="34">
        <v>35</v>
      </c>
      <c r="D3" s="34">
        <v>35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</row>
    <row r="4" spans="1:510" s="38" customFormat="1" ht="15" customHeight="1" x14ac:dyDescent="0.3">
      <c r="A4" s="34" t="s">
        <v>58</v>
      </c>
      <c r="B4" s="34">
        <v>512</v>
      </c>
      <c r="C4" s="34">
        <v>35</v>
      </c>
      <c r="D4" s="34">
        <v>547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</row>
    <row r="5" spans="1:510" ht="15" customHeight="1" x14ac:dyDescent="0.3">
      <c r="A5" s="34" t="s">
        <v>3</v>
      </c>
      <c r="B5" s="34">
        <v>512</v>
      </c>
      <c r="C5" s="34">
        <v>70</v>
      </c>
      <c r="D5" s="34">
        <v>582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741A-C6C8-4D9F-B063-0ED733DA6C61}">
  <sheetPr>
    <tabColor theme="8" tint="0.59999389629810485"/>
    <pageSetUpPr fitToPage="1"/>
  </sheetPr>
  <dimension ref="A1:I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266</v>
      </c>
      <c r="C2" s="254"/>
      <c r="D2" s="254"/>
      <c r="E2" s="254"/>
      <c r="F2" s="255"/>
    </row>
    <row r="3" spans="1:9" ht="40.5" customHeight="1" x14ac:dyDescent="0.3">
      <c r="A3" s="218" t="str">
        <f>'대광 피벗'!A2</f>
        <v>10/15 발주</v>
      </c>
      <c r="B3" s="219" t="s">
        <v>13</v>
      </c>
      <c r="C3" s="224" t="s">
        <v>264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16</v>
      </c>
      <c r="C4" s="24">
        <f>IFERROR(VLOOKUP(A4,'대광 피벗'!A:SL,2,FALSE),0)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16</v>
      </c>
      <c r="C5" s="24">
        <f>IFERROR(VLOOKUP(A5,'대광 피벗'!A:SL,2,FALSE),0)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16</v>
      </c>
      <c r="C6" s="24">
        <f>IFERROR(VLOOKUP(A6,'대광 피벗'!A:SL,2,FALSE),0)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16</v>
      </c>
      <c r="C7" s="24">
        <f>IFERROR(VLOOKUP(A7,'대광 피벗'!A:SL,2,FALSE),0)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16</v>
      </c>
      <c r="C8" s="24">
        <f>IFERROR(VLOOKUP(A8,'대광 피벗'!A:SL,2,FALSE),0)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16</v>
      </c>
      <c r="C9" s="24">
        <f>IFERROR(VLOOKUP(A9,'대광 피벗'!A:SL,2,FALSE),0)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16</v>
      </c>
      <c r="C10" s="24">
        <f>IFERROR(VLOOKUP(A10,'대광 피벗'!A:SL,2,FALSE),0)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16</v>
      </c>
      <c r="C11" s="24">
        <f>IFERROR(VLOOKUP(A11,'대광 피벗'!A:SL,2,FALSE),0)</f>
        <v>512</v>
      </c>
      <c r="D11" s="20">
        <f t="shared" si="0"/>
        <v>32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16</v>
      </c>
      <c r="C12" s="24">
        <f>IFERROR(VLOOKUP(A12,'대광 피벗'!A:SL,2,FALSE),0)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16</v>
      </c>
      <c r="C13" s="24">
        <f>IFERROR(VLOOKUP(A13,'대광 피벗'!A:SL,2,FALSE),0)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16</v>
      </c>
      <c r="C14" s="24">
        <f>IFERROR(VLOOKUP(A14,'대광 피벗'!A:SL,2,FALSE),0)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16</v>
      </c>
      <c r="C15" s="24">
        <f>IFERROR(VLOOKUP(A15,'대광 피벗'!A:SL,2,FALSE),0)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16</v>
      </c>
      <c r="C16" s="24">
        <f>IFERROR(VLOOKUP(A16,'대광 피벗'!A:SL,2,FALSE),0)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16</v>
      </c>
      <c r="C17" s="24">
        <f>IFERROR(VLOOKUP(A17,'대광 피벗'!A:SL,2,FALSE),0)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16</v>
      </c>
      <c r="C19" s="211">
        <f>SUM(C4:C17)</f>
        <v>512</v>
      </c>
      <c r="D19" s="55">
        <f>IFERROR(ROUNDDOWN(C19/B19,0),"")</f>
        <v>32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16</v>
      </c>
      <c r="C21" s="24">
        <f>IFERROR(VLOOKUP(A21,'대광 피벗'!A:SL,2,FALSE),0)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16</v>
      </c>
      <c r="C22" s="24">
        <f>IFERROR(VLOOKUP(A22,'대광 피벗'!A:SL,2,FALSE),0)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16</v>
      </c>
      <c r="C23" s="24">
        <f>IFERROR(VLOOKUP(A23,'대광 피벗'!A:SL,2,FALSE),0)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16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16</v>
      </c>
      <c r="C27" s="24">
        <f>IFERROR(VLOOKUP(A27,'대광 피벗'!A:SL,2,FALSE),0)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16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16</v>
      </c>
      <c r="C31" s="24">
        <f>IFERROR(VLOOKUP(A31,'대광 피벗'!A:SL,2,FALSE),0)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16</v>
      </c>
      <c r="C32" s="24">
        <f>IFERROR(VLOOKUP(A32,'대광 피벗'!A:SL,2,FALSE),0)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16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16</v>
      </c>
      <c r="C36" s="24">
        <f>IFERROR(VLOOKUP(A36,'대광 피벗'!A:SL,2,FALSE),0)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16</v>
      </c>
      <c r="C38" s="55">
        <f>SUM(C4:C17,C31:C32,C27:C27,C21:C23,C36)</f>
        <v>512</v>
      </c>
      <c r="D38" s="54">
        <f>IFERROR(ROUNDDOWN(C38/B38,0),"")</f>
        <v>32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32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512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0674-7449-4D80-9D1B-B76F1C2F6734}">
  <sheetPr>
    <tabColor theme="8" tint="0.59999389629810485"/>
    <pageSetUpPr fitToPage="1"/>
  </sheetPr>
  <dimension ref="A1:F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253"/>
      <c r="B1" s="253"/>
      <c r="C1" s="253"/>
      <c r="D1" s="253"/>
      <c r="E1" s="253"/>
      <c r="F1" s="253"/>
    </row>
    <row r="2" spans="1:6" ht="25.9" customHeight="1" x14ac:dyDescent="0.3">
      <c r="A2" s="217">
        <f ca="1">TODAY()</f>
        <v>46309</v>
      </c>
      <c r="B2" s="254" t="s">
        <v>266</v>
      </c>
      <c r="C2" s="254"/>
      <c r="D2" s="254"/>
      <c r="E2" s="254"/>
      <c r="F2" s="255"/>
    </row>
    <row r="3" spans="1:6" ht="40.5" customHeight="1" x14ac:dyDescent="0.3">
      <c r="A3" s="218" t="str">
        <f>'대광 피벗'!A2</f>
        <v>10/15 발주</v>
      </c>
      <c r="B3" s="219" t="s">
        <v>13</v>
      </c>
      <c r="C3" s="224" t="s">
        <v>265</v>
      </c>
      <c r="D3" s="221" t="s">
        <v>2</v>
      </c>
      <c r="E3" s="219" t="s">
        <v>23</v>
      </c>
      <c r="F3" s="222" t="s">
        <v>14</v>
      </c>
    </row>
    <row r="4" spans="1:6" ht="25.35" customHeight="1" x14ac:dyDescent="0.3">
      <c r="A4" s="52" t="s">
        <v>100</v>
      </c>
      <c r="B4" s="50">
        <v>35</v>
      </c>
      <c r="C4" s="24">
        <f>IFERROR(VLOOKUP(A4,'대광 피벗'!A:SL,3,FALSE),0)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</row>
    <row r="5" spans="1:6" ht="25.35" customHeight="1" x14ac:dyDescent="0.3">
      <c r="A5" s="52" t="s">
        <v>85</v>
      </c>
      <c r="B5" s="50">
        <f>$B$4</f>
        <v>35</v>
      </c>
      <c r="C5" s="24">
        <f>IFERROR(VLOOKUP(A5,'대광 피벗'!A:SL,3,FALSE),0)</f>
        <v>0</v>
      </c>
      <c r="D5" s="20">
        <f t="shared" si="0"/>
        <v>0</v>
      </c>
      <c r="E5" s="51" t="s">
        <v>239</v>
      </c>
      <c r="F5" s="26">
        <f t="shared" si="1"/>
        <v>0</v>
      </c>
    </row>
    <row r="6" spans="1:6" ht="25.35" customHeight="1" x14ac:dyDescent="0.3">
      <c r="A6" s="49" t="s">
        <v>81</v>
      </c>
      <c r="B6" s="50">
        <f t="shared" ref="B6:B17" si="2">$B$4</f>
        <v>35</v>
      </c>
      <c r="C6" s="24">
        <f>IFERROR(VLOOKUP(A6,'대광 피벗'!A:SL,3,FALSE),0)</f>
        <v>0</v>
      </c>
      <c r="D6" s="20">
        <f t="shared" si="0"/>
        <v>0</v>
      </c>
      <c r="E6" s="51" t="s">
        <v>240</v>
      </c>
      <c r="F6" s="26">
        <f t="shared" si="1"/>
        <v>0</v>
      </c>
    </row>
    <row r="7" spans="1:6" ht="25.35" customHeight="1" x14ac:dyDescent="0.3">
      <c r="A7" s="49" t="s">
        <v>75</v>
      </c>
      <c r="B7" s="50">
        <f t="shared" si="2"/>
        <v>35</v>
      </c>
      <c r="C7" s="24">
        <f>IFERROR(VLOOKUP(A7,'대광 피벗'!A:SL,3,FALSE),0)</f>
        <v>0</v>
      </c>
      <c r="D7" s="20">
        <f t="shared" si="0"/>
        <v>0</v>
      </c>
      <c r="E7" s="51" t="s">
        <v>241</v>
      </c>
      <c r="F7" s="26">
        <f t="shared" si="1"/>
        <v>0</v>
      </c>
    </row>
    <row r="8" spans="1:6" ht="25.35" customHeight="1" x14ac:dyDescent="0.3">
      <c r="A8" s="49" t="s">
        <v>48</v>
      </c>
      <c r="B8" s="50">
        <f t="shared" si="2"/>
        <v>35</v>
      </c>
      <c r="C8" s="24">
        <f>IFERROR(VLOOKUP(A8,'대광 피벗'!A:SL,3,FALSE),0)</f>
        <v>0</v>
      </c>
      <c r="D8" s="20">
        <f t="shared" si="0"/>
        <v>0</v>
      </c>
      <c r="E8" s="51" t="s">
        <v>115</v>
      </c>
      <c r="F8" s="26">
        <f t="shared" si="1"/>
        <v>0</v>
      </c>
    </row>
    <row r="9" spans="1:6" ht="25.35" customHeight="1" x14ac:dyDescent="0.3">
      <c r="A9" s="49" t="s">
        <v>35</v>
      </c>
      <c r="B9" s="50">
        <f t="shared" si="2"/>
        <v>35</v>
      </c>
      <c r="C9" s="24">
        <f>IFERROR(VLOOKUP(A9,'대광 피벗'!A:SL,3,FALSE),0)</f>
        <v>0</v>
      </c>
      <c r="D9" s="20">
        <f t="shared" si="0"/>
        <v>0</v>
      </c>
      <c r="E9" s="51" t="s">
        <v>242</v>
      </c>
      <c r="F9" s="26">
        <f t="shared" si="1"/>
        <v>0</v>
      </c>
    </row>
    <row r="10" spans="1:6" ht="25.35" customHeight="1" x14ac:dyDescent="0.3">
      <c r="A10" s="49" t="s">
        <v>54</v>
      </c>
      <c r="B10" s="50">
        <f t="shared" si="2"/>
        <v>35</v>
      </c>
      <c r="C10" s="24">
        <f>IFERROR(VLOOKUP(A10,'대광 피벗'!A:SL,3,FALSE),0)</f>
        <v>0</v>
      </c>
      <c r="D10" s="20">
        <f t="shared" si="0"/>
        <v>0</v>
      </c>
      <c r="E10" s="51" t="s">
        <v>243</v>
      </c>
      <c r="F10" s="26">
        <f t="shared" si="1"/>
        <v>0</v>
      </c>
    </row>
    <row r="11" spans="1:6" ht="25.35" customHeight="1" x14ac:dyDescent="0.3">
      <c r="A11" s="49" t="s">
        <v>58</v>
      </c>
      <c r="B11" s="50">
        <f t="shared" si="2"/>
        <v>35</v>
      </c>
      <c r="C11" s="24">
        <f>IFERROR(VLOOKUP(A11,'대광 피벗'!A:SL,3,FALSE),0)</f>
        <v>35</v>
      </c>
      <c r="D11" s="20">
        <f t="shared" si="0"/>
        <v>1</v>
      </c>
      <c r="E11" s="51" t="s">
        <v>244</v>
      </c>
      <c r="F11" s="26">
        <f t="shared" si="1"/>
        <v>0</v>
      </c>
    </row>
    <row r="12" spans="1:6" ht="25.35" customHeight="1" x14ac:dyDescent="0.3">
      <c r="A12" s="49" t="s">
        <v>51</v>
      </c>
      <c r="B12" s="50">
        <f t="shared" si="2"/>
        <v>35</v>
      </c>
      <c r="C12" s="24">
        <f>IFERROR(VLOOKUP(A12,'대광 피벗'!A:SL,3,FALSE),0)</f>
        <v>0</v>
      </c>
      <c r="D12" s="20">
        <f t="shared" si="0"/>
        <v>0</v>
      </c>
      <c r="E12" s="51" t="s">
        <v>245</v>
      </c>
      <c r="F12" s="26">
        <f t="shared" si="1"/>
        <v>0</v>
      </c>
    </row>
    <row r="13" spans="1:6" ht="25.35" customHeight="1" x14ac:dyDescent="0.3">
      <c r="A13" s="52" t="s">
        <v>45</v>
      </c>
      <c r="B13" s="50">
        <f t="shared" si="2"/>
        <v>35</v>
      </c>
      <c r="C13" s="24">
        <f>IFERROR(VLOOKUP(A13,'대광 피벗'!A:SL,3,FALSE),0)</f>
        <v>0</v>
      </c>
      <c r="D13" s="20">
        <f t="shared" si="0"/>
        <v>0</v>
      </c>
      <c r="E13" s="51" t="s">
        <v>246</v>
      </c>
      <c r="F13" s="26">
        <f t="shared" si="1"/>
        <v>0</v>
      </c>
    </row>
    <row r="14" spans="1:6" ht="25.35" customHeight="1" x14ac:dyDescent="0.3">
      <c r="A14" s="49" t="s">
        <v>59</v>
      </c>
      <c r="B14" s="50">
        <f t="shared" si="2"/>
        <v>35</v>
      </c>
      <c r="C14" s="24">
        <f>IFERROR(VLOOKUP(A14,'대광 피벗'!A:SL,3,FALSE),0)</f>
        <v>0</v>
      </c>
      <c r="D14" s="20">
        <f t="shared" si="0"/>
        <v>0</v>
      </c>
      <c r="E14" s="51" t="s">
        <v>247</v>
      </c>
      <c r="F14" s="26">
        <f t="shared" si="1"/>
        <v>0</v>
      </c>
    </row>
    <row r="15" spans="1:6" ht="25.35" customHeight="1" x14ac:dyDescent="0.3">
      <c r="A15" s="49" t="s">
        <v>40</v>
      </c>
      <c r="B15" s="50">
        <f t="shared" si="2"/>
        <v>35</v>
      </c>
      <c r="C15" s="24">
        <f>IFERROR(VLOOKUP(A15,'대광 피벗'!A:SL,3,FALSE),0)</f>
        <v>0</v>
      </c>
      <c r="D15" s="20">
        <f t="shared" si="0"/>
        <v>0</v>
      </c>
      <c r="E15" s="51" t="s">
        <v>248</v>
      </c>
      <c r="F15" s="26">
        <f t="shared" si="1"/>
        <v>0</v>
      </c>
    </row>
    <row r="16" spans="1:6" ht="25.35" customHeight="1" x14ac:dyDescent="0.3">
      <c r="A16" s="49" t="s">
        <v>50</v>
      </c>
      <c r="B16" s="50">
        <f t="shared" si="2"/>
        <v>35</v>
      </c>
      <c r="C16" s="24">
        <f>IFERROR(VLOOKUP(A16,'대광 피벗'!A:SL,3,FALSE),0)</f>
        <v>0</v>
      </c>
      <c r="D16" s="20">
        <f t="shared" si="0"/>
        <v>0</v>
      </c>
      <c r="E16" s="51" t="s">
        <v>249</v>
      </c>
      <c r="F16" s="26">
        <f t="shared" si="1"/>
        <v>0</v>
      </c>
    </row>
    <row r="17" spans="1:6" ht="25.35" customHeight="1" x14ac:dyDescent="0.3">
      <c r="A17" s="49" t="s">
        <v>55</v>
      </c>
      <c r="B17" s="50">
        <f t="shared" si="2"/>
        <v>35</v>
      </c>
      <c r="C17" s="24">
        <f>IFERROR(VLOOKUP(A17,'대광 피벗'!A:SL,3,FALSE),0)</f>
        <v>0</v>
      </c>
      <c r="D17" s="20">
        <f t="shared" si="0"/>
        <v>0</v>
      </c>
      <c r="E17" s="51" t="s">
        <v>250</v>
      </c>
      <c r="F17" s="26">
        <f t="shared" si="1"/>
        <v>0</v>
      </c>
    </row>
    <row r="18" spans="1:6" ht="4.5" customHeight="1" x14ac:dyDescent="0.3">
      <c r="A18" s="241"/>
      <c r="B18" s="242"/>
      <c r="C18" s="242"/>
      <c r="D18" s="242"/>
      <c r="E18" s="242"/>
      <c r="F18" s="243"/>
    </row>
    <row r="19" spans="1:6" ht="32.450000000000003" customHeight="1" x14ac:dyDescent="0.3">
      <c r="A19" s="209" t="s">
        <v>122</v>
      </c>
      <c r="B19" s="210">
        <f>$B$4</f>
        <v>35</v>
      </c>
      <c r="C19" s="211">
        <f>SUM(C4:C17)</f>
        <v>35</v>
      </c>
      <c r="D19" s="55">
        <f>IFERROR(ROUNDDOWN(C19/B19,0),"")</f>
        <v>1</v>
      </c>
      <c r="E19" s="212"/>
      <c r="F19" s="213">
        <f>IFERROR(C19-(D19*B19),"")</f>
        <v>0</v>
      </c>
    </row>
    <row r="20" spans="1:6" ht="4.5" customHeight="1" x14ac:dyDescent="0.3">
      <c r="A20" s="181"/>
      <c r="B20" s="50"/>
      <c r="C20" s="50"/>
      <c r="D20" s="50"/>
      <c r="E20" s="50"/>
      <c r="F20" s="182"/>
    </row>
    <row r="21" spans="1:6" ht="25.35" customHeight="1" x14ac:dyDescent="0.3">
      <c r="A21" s="214" t="s">
        <v>46</v>
      </c>
      <c r="B21" s="50">
        <f t="shared" ref="B21:B23" si="3">$B$4</f>
        <v>35</v>
      </c>
      <c r="C21" s="24">
        <f>IFERROR(VLOOKUP(A21,'대광 피벗'!A:SL,3,FALSE),0)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</row>
    <row r="22" spans="1:6" ht="25.35" customHeight="1" x14ac:dyDescent="0.3">
      <c r="A22" s="214" t="s">
        <v>41</v>
      </c>
      <c r="B22" s="50">
        <f t="shared" si="3"/>
        <v>35</v>
      </c>
      <c r="C22" s="24">
        <f>IFERROR(VLOOKUP(A22,'대광 피벗'!A:SL,3,FALSE),0)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</row>
    <row r="23" spans="1:6" ht="25.35" customHeight="1" x14ac:dyDescent="0.3">
      <c r="A23" s="214" t="s">
        <v>62</v>
      </c>
      <c r="B23" s="50">
        <f t="shared" si="3"/>
        <v>35</v>
      </c>
      <c r="C23" s="24">
        <f>IFERROR(VLOOKUP(A23,'대광 피벗'!A:SL,3,FALSE),0)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</row>
    <row r="24" spans="1:6" ht="4.5" customHeight="1" x14ac:dyDescent="0.3">
      <c r="A24" s="241"/>
      <c r="B24" s="242"/>
      <c r="C24" s="242"/>
      <c r="D24" s="242"/>
      <c r="E24" s="242"/>
      <c r="F24" s="243"/>
    </row>
    <row r="25" spans="1:6" ht="32.450000000000003" customHeight="1" x14ac:dyDescent="0.3">
      <c r="A25" s="209" t="s">
        <v>237</v>
      </c>
      <c r="B25" s="210">
        <f>$B$4</f>
        <v>35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</row>
    <row r="26" spans="1:6" ht="4.5" customHeight="1" x14ac:dyDescent="0.3">
      <c r="A26" s="241"/>
      <c r="B26" s="242"/>
      <c r="C26" s="242"/>
      <c r="D26" s="242"/>
      <c r="E26" s="242"/>
      <c r="F26" s="243"/>
    </row>
    <row r="27" spans="1:6" ht="25.35" customHeight="1" x14ac:dyDescent="0.3">
      <c r="A27" s="223" t="s">
        <v>73</v>
      </c>
      <c r="B27" s="50">
        <f t="shared" ref="B27" si="4">$B$4</f>
        <v>35</v>
      </c>
      <c r="C27" s="24">
        <f>IFERROR(VLOOKUP(A27,'대광 피벗'!A:SL,3,FALSE),0)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</row>
    <row r="28" spans="1:6" ht="4.5" customHeight="1" x14ac:dyDescent="0.3">
      <c r="A28" s="241"/>
      <c r="B28" s="242"/>
      <c r="C28" s="242"/>
      <c r="D28" s="242"/>
      <c r="E28" s="242"/>
      <c r="F28" s="243"/>
    </row>
    <row r="29" spans="1:6" ht="32.450000000000003" customHeight="1" x14ac:dyDescent="0.3">
      <c r="A29" s="209" t="s">
        <v>236</v>
      </c>
      <c r="B29" s="210">
        <f>$B$4</f>
        <v>35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</row>
    <row r="30" spans="1:6" ht="4.5" customHeight="1" x14ac:dyDescent="0.3">
      <c r="A30" s="181"/>
      <c r="B30" s="50"/>
      <c r="C30" s="50"/>
      <c r="D30" s="50"/>
      <c r="E30" s="50"/>
      <c r="F30" s="182"/>
    </row>
    <row r="31" spans="1:6" ht="25.35" customHeight="1" x14ac:dyDescent="0.3">
      <c r="A31" s="49" t="s">
        <v>90</v>
      </c>
      <c r="B31" s="50">
        <f t="shared" ref="B31:B32" si="5">$B$4</f>
        <v>35</v>
      </c>
      <c r="C31" s="24">
        <f>IFERROR(VLOOKUP(A31,'대광 피벗'!A:SL,3,FALSE),0)</f>
        <v>35</v>
      </c>
      <c r="D31" s="20">
        <f t="shared" ref="D31:D32" si="6">IFERROR(ROUNDDOWN(C31/B31,0),"")</f>
        <v>1</v>
      </c>
      <c r="E31" s="51" t="s">
        <v>258</v>
      </c>
      <c r="F31" s="26">
        <f t="shared" ref="F31" si="7">IFERROR(C31-(D31*B31),"")</f>
        <v>0</v>
      </c>
    </row>
    <row r="32" spans="1:6" ht="25.35" customHeight="1" x14ac:dyDescent="0.3">
      <c r="A32" s="49" t="s">
        <v>52</v>
      </c>
      <c r="B32" s="50">
        <f t="shared" si="5"/>
        <v>35</v>
      </c>
      <c r="C32" s="24">
        <f>IFERROR(VLOOKUP(A32,'대광 피벗'!A:SL,3,FALSE),0)</f>
        <v>0</v>
      </c>
      <c r="D32" s="20">
        <f t="shared" si="6"/>
        <v>0</v>
      </c>
      <c r="E32" s="51" t="s">
        <v>259</v>
      </c>
      <c r="F32" s="26">
        <f>IFERROR(C32-(D32*B32),"")</f>
        <v>0</v>
      </c>
    </row>
    <row r="33" spans="1:6" ht="4.5" customHeight="1" x14ac:dyDescent="0.3">
      <c r="A33" s="241"/>
      <c r="B33" s="242"/>
      <c r="C33" s="242"/>
      <c r="D33" s="242"/>
      <c r="E33" s="242"/>
      <c r="F33" s="243"/>
    </row>
    <row r="34" spans="1:6" ht="32.450000000000003" customHeight="1" x14ac:dyDescent="0.3">
      <c r="A34" s="209" t="s">
        <v>235</v>
      </c>
      <c r="B34" s="210">
        <f>$B$4</f>
        <v>35</v>
      </c>
      <c r="C34" s="211">
        <f>SUM(C31:C32)</f>
        <v>35</v>
      </c>
      <c r="D34" s="55">
        <f>IFERROR(ROUNDDOWN(C34/B34,0),"")</f>
        <v>1</v>
      </c>
      <c r="E34" s="212"/>
      <c r="F34" s="213">
        <f>IFERROR(C34-(D34*B34),"")</f>
        <v>0</v>
      </c>
    </row>
    <row r="35" spans="1:6" ht="4.5" customHeight="1" x14ac:dyDescent="0.3">
      <c r="A35" s="181"/>
      <c r="B35" s="50"/>
      <c r="C35" s="50"/>
      <c r="D35" s="50"/>
      <c r="E35" s="50"/>
      <c r="F35" s="182"/>
    </row>
    <row r="36" spans="1:6" ht="27.75" customHeight="1" x14ac:dyDescent="0.3">
      <c r="A36" s="52" t="s">
        <v>84</v>
      </c>
      <c r="B36" s="50">
        <f t="shared" ref="B36" si="8">$B$4</f>
        <v>35</v>
      </c>
      <c r="C36" s="24">
        <f>IFERROR(VLOOKUP(A36,'대광 피벗'!A:SL,3,FALSE),0)</f>
        <v>0</v>
      </c>
      <c r="D36" s="20">
        <f t="shared" ref="D36" si="9">IFERROR(ROUNDDOWN(C36/B36,0),"")</f>
        <v>0</v>
      </c>
      <c r="E36" s="215" t="s">
        <v>120</v>
      </c>
      <c r="F36" s="26">
        <f t="shared" ref="F36" si="10">IFERROR(C36-(D36*B36),"")</f>
        <v>0</v>
      </c>
    </row>
    <row r="37" spans="1:6" ht="6" customHeight="1" x14ac:dyDescent="0.3">
      <c r="A37" s="52"/>
      <c r="B37" s="50"/>
      <c r="C37" s="24"/>
      <c r="D37" s="20"/>
      <c r="E37" s="215"/>
      <c r="F37" s="26"/>
    </row>
    <row r="38" spans="1:6" ht="26.25" x14ac:dyDescent="0.3">
      <c r="A38" s="87" t="s">
        <v>3</v>
      </c>
      <c r="B38" s="57">
        <f>$B$4</f>
        <v>35</v>
      </c>
      <c r="C38" s="55">
        <f>SUM(C4:C17,C31:C32,C27:C27,C21:C23,C36)</f>
        <v>70</v>
      </c>
      <c r="D38" s="54">
        <f>IFERROR(ROUNDDOWN(C38/B38,0),"")</f>
        <v>2</v>
      </c>
      <c r="E38" s="56"/>
      <c r="F38" s="121">
        <f>IFERROR(C38-(D38*B38),"")</f>
        <v>0</v>
      </c>
    </row>
    <row r="39" spans="1:6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2</v>
      </c>
      <c r="E39" s="48"/>
      <c r="F39" s="93">
        <f>SUM(F4:F17,F31:F32,F27:F27,F21:F23,F36)</f>
        <v>0</v>
      </c>
    </row>
    <row r="40" spans="1:6" ht="22.5" customHeight="1" x14ac:dyDescent="0.3">
      <c r="C40" s="77">
        <f>C19+C25+C29+C34+C36</f>
        <v>70</v>
      </c>
    </row>
    <row r="41" spans="1:6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6E05-0092-44DF-A5B0-DE4F1FBB334B}">
  <sheetPr>
    <tabColor rgb="FFD48FFF"/>
  </sheetPr>
  <dimension ref="A1:TF15"/>
  <sheetViews>
    <sheetView zoomScale="85" zoomScaleNormal="85" zoomScaleSheetLayoutView="75" workbookViewId="0">
      <pane xSplit="1" topLeftCell="B1" activePane="topRight" state="frozen"/>
      <selection activeCell="A2" sqref="A2:F39"/>
      <selection pane="topRight" sqref="A1:E15"/>
    </sheetView>
  </sheetViews>
  <sheetFormatPr defaultColWidth="9" defaultRowHeight="15" customHeight="1" x14ac:dyDescent="0.3"/>
  <cols>
    <col min="1" max="36" width="37.625" style="34" customWidth="1"/>
    <col min="37" max="37" width="22.25" style="34" bestFit="1" customWidth="1"/>
    <col min="38" max="40" width="18.375" style="34" customWidth="1"/>
    <col min="41" max="41" width="27.625" style="34" bestFit="1" customWidth="1"/>
    <col min="42" max="43" width="18.375" style="34" customWidth="1"/>
    <col min="44" max="44" width="27.625" style="34" bestFit="1" customWidth="1"/>
    <col min="45" max="45" width="18.375" style="34" customWidth="1"/>
    <col min="46" max="46" width="25.375" style="34" bestFit="1" customWidth="1"/>
    <col min="47" max="47" width="21" style="34" bestFit="1" customWidth="1"/>
    <col min="48" max="48" width="27.625" style="34" bestFit="1" customWidth="1"/>
    <col min="49" max="49" width="18.375" style="34" customWidth="1"/>
    <col min="50" max="50" width="27.625" style="34" bestFit="1" customWidth="1"/>
    <col min="51" max="404" width="30.375" style="34" customWidth="1"/>
    <col min="405" max="406" width="21.25" style="34" customWidth="1"/>
    <col min="407" max="422" width="20.5" style="34" customWidth="1"/>
    <col min="423" max="423" width="21" style="34" bestFit="1" customWidth="1"/>
    <col min="424" max="424" width="25.125" style="34" bestFit="1" customWidth="1"/>
    <col min="425" max="425" width="23" style="34" bestFit="1" customWidth="1"/>
    <col min="426" max="426" width="33.375" style="34" bestFit="1" customWidth="1"/>
    <col min="427" max="427" width="25.125" style="34" bestFit="1" customWidth="1"/>
    <col min="428" max="428" width="28.875" style="34" bestFit="1" customWidth="1"/>
    <col min="429" max="429" width="23" style="34" bestFit="1" customWidth="1"/>
    <col min="430" max="430" width="18.875" style="34" customWidth="1"/>
    <col min="431" max="431" width="23" style="34" bestFit="1" customWidth="1"/>
    <col min="432" max="432" width="25.125" style="34" bestFit="1" customWidth="1"/>
    <col min="433" max="433" width="18.875" style="34" customWidth="1"/>
    <col min="434" max="434" width="19.125" style="34" customWidth="1"/>
    <col min="435" max="435" width="18.125" style="34" customWidth="1"/>
    <col min="436" max="436" width="18.875" style="34" customWidth="1"/>
    <col min="437" max="437" width="26.625" style="34" customWidth="1"/>
    <col min="438" max="438" width="22.125" style="34" customWidth="1"/>
    <col min="439" max="439" width="24.125" style="34" customWidth="1"/>
    <col min="440" max="440" width="21.375" style="34" customWidth="1"/>
    <col min="441" max="441" width="19.375" style="34" customWidth="1"/>
    <col min="442" max="442" width="20" style="34" customWidth="1"/>
    <col min="443" max="443" width="23.25" style="34" customWidth="1"/>
    <col min="444" max="444" width="18" style="34" customWidth="1"/>
    <col min="445" max="475" width="19" style="34" customWidth="1"/>
    <col min="476" max="480" width="20.25" style="34" customWidth="1"/>
    <col min="481" max="481" width="17.25" style="34" customWidth="1"/>
    <col min="482" max="482" width="17.75" style="34" customWidth="1"/>
    <col min="483" max="483" width="16.5" style="34" customWidth="1"/>
    <col min="484" max="486" width="21" style="34" customWidth="1"/>
    <col min="487" max="487" width="18.5" style="34" customWidth="1"/>
    <col min="488" max="492" width="21" style="34" customWidth="1"/>
    <col min="493" max="493" width="15.125" style="34" customWidth="1"/>
    <col min="494" max="509" width="21" style="34" customWidth="1"/>
    <col min="510" max="510" width="24.25" style="34" customWidth="1"/>
    <col min="511" max="511" width="18.875" style="34" bestFit="1" customWidth="1"/>
    <col min="512" max="512" width="21" style="34" bestFit="1" customWidth="1"/>
    <col min="513" max="513" width="23" style="38" bestFit="1" customWidth="1"/>
    <col min="514" max="514" width="8.625" style="38" bestFit="1" customWidth="1"/>
    <col min="515" max="515" width="21" style="38" bestFit="1" customWidth="1"/>
    <col min="516" max="516" width="23" style="38" bestFit="1" customWidth="1"/>
    <col min="517" max="517" width="8.625" style="38" bestFit="1" customWidth="1"/>
    <col min="518" max="518" width="22.875" style="34" customWidth="1"/>
    <col min="519" max="525" width="20.875" style="38" customWidth="1"/>
    <col min="526" max="526" width="23.25" style="38" customWidth="1"/>
    <col min="527" max="16384" width="9" style="34"/>
  </cols>
  <sheetData>
    <row r="1" spans="1:518" s="38" customFormat="1" ht="15" customHeight="1" x14ac:dyDescent="0.3">
      <c r="A1" s="62" t="s">
        <v>328</v>
      </c>
      <c r="B1" s="62"/>
      <c r="C1" s="62" t="s">
        <v>89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2"/>
      <c r="AZ1" s="2"/>
      <c r="BA1" s="2"/>
      <c r="BB1" s="2"/>
      <c r="BC1" s="2"/>
      <c r="BD1" s="2"/>
      <c r="BE1" s="2"/>
      <c r="BF1" s="2"/>
      <c r="BG1" s="29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32"/>
      <c r="MW1" s="23"/>
      <c r="MX1" s="23"/>
      <c r="MY1" s="23"/>
      <c r="MZ1" s="23"/>
      <c r="NA1" s="32"/>
      <c r="NB1" s="32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32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32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32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</row>
    <row r="2" spans="1:518" s="38" customFormat="1" ht="15" customHeight="1" x14ac:dyDescent="0.3">
      <c r="A2" s="53" t="s">
        <v>330</v>
      </c>
      <c r="B2" s="53"/>
      <c r="C2" s="53" t="s">
        <v>269</v>
      </c>
      <c r="D2" s="53" t="s">
        <v>322</v>
      </c>
      <c r="E2" s="53" t="s">
        <v>3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</row>
    <row r="3" spans="1:518" s="38" customFormat="1" ht="15" customHeight="1" x14ac:dyDescent="0.3">
      <c r="A3" s="34" t="s">
        <v>35</v>
      </c>
      <c r="B3" s="34"/>
      <c r="C3" s="34"/>
      <c r="D3" s="34">
        <v>48</v>
      </c>
      <c r="E3" s="34">
        <v>48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</row>
    <row r="4" spans="1:518" s="38" customFormat="1" ht="15" customHeight="1" x14ac:dyDescent="0.3">
      <c r="A4" s="34" t="s">
        <v>46</v>
      </c>
      <c r="B4" s="34"/>
      <c r="C4" s="34">
        <v>120</v>
      </c>
      <c r="D4" s="34"/>
      <c r="E4" s="34">
        <v>120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</row>
    <row r="5" spans="1:518" s="38" customFormat="1" ht="15" customHeight="1" x14ac:dyDescent="0.3">
      <c r="A5" s="34" t="s">
        <v>62</v>
      </c>
      <c r="B5" s="34"/>
      <c r="C5" s="34">
        <v>48</v>
      </c>
      <c r="D5" s="34"/>
      <c r="E5" s="34">
        <v>48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PJ5" s="63"/>
    </row>
    <row r="6" spans="1:518" ht="15" customHeight="1" x14ac:dyDescent="0.3">
      <c r="A6" s="34" t="s">
        <v>90</v>
      </c>
      <c r="C6" s="34">
        <v>96</v>
      </c>
      <c r="E6" s="34">
        <v>96</v>
      </c>
    </row>
    <row r="7" spans="1:518" ht="15" customHeight="1" x14ac:dyDescent="0.3">
      <c r="A7" s="34" t="s">
        <v>59</v>
      </c>
      <c r="C7" s="34">
        <v>120</v>
      </c>
      <c r="E7" s="34">
        <v>120</v>
      </c>
    </row>
    <row r="8" spans="1:518" ht="15" customHeight="1" x14ac:dyDescent="0.3">
      <c r="A8" s="34" t="s">
        <v>48</v>
      </c>
      <c r="C8" s="34">
        <v>48</v>
      </c>
      <c r="E8" s="34">
        <v>48</v>
      </c>
    </row>
    <row r="9" spans="1:518" ht="15" customHeight="1" x14ac:dyDescent="0.3">
      <c r="A9" s="34" t="s">
        <v>52</v>
      </c>
      <c r="C9" s="34">
        <v>96</v>
      </c>
      <c r="E9" s="34">
        <v>96</v>
      </c>
    </row>
    <row r="10" spans="1:518" ht="15" customHeight="1" x14ac:dyDescent="0.3">
      <c r="A10" s="34" t="s">
        <v>58</v>
      </c>
      <c r="C10" s="34">
        <v>48</v>
      </c>
      <c r="E10" s="34">
        <v>48</v>
      </c>
    </row>
    <row r="11" spans="1:518" ht="15" customHeight="1" x14ac:dyDescent="0.3">
      <c r="A11" s="34" t="s">
        <v>100</v>
      </c>
      <c r="C11" s="34">
        <v>72</v>
      </c>
      <c r="E11" s="34">
        <v>72</v>
      </c>
    </row>
    <row r="12" spans="1:518" ht="15" customHeight="1" x14ac:dyDescent="0.3">
      <c r="A12" s="34" t="s">
        <v>54</v>
      </c>
      <c r="C12" s="34">
        <v>84</v>
      </c>
      <c r="E12" s="34">
        <v>84</v>
      </c>
    </row>
    <row r="13" spans="1:518" ht="15" customHeight="1" x14ac:dyDescent="0.3">
      <c r="A13" s="34" t="s">
        <v>40</v>
      </c>
      <c r="C13" s="34">
        <v>36</v>
      </c>
      <c r="E13" s="34">
        <v>36</v>
      </c>
    </row>
    <row r="14" spans="1:518" ht="15" customHeight="1" x14ac:dyDescent="0.3">
      <c r="A14" s="34" t="s">
        <v>45</v>
      </c>
      <c r="C14" s="34">
        <v>36</v>
      </c>
      <c r="E14" s="34">
        <v>36</v>
      </c>
    </row>
    <row r="15" spans="1:518" ht="15" customHeight="1" x14ac:dyDescent="0.3">
      <c r="A15" s="34" t="s">
        <v>3</v>
      </c>
      <c r="C15" s="34">
        <v>804</v>
      </c>
      <c r="D15" s="34">
        <v>48</v>
      </c>
      <c r="E15" s="34">
        <v>852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5084-9AAA-4435-AC0F-3F6D12D84906}">
  <sheetPr>
    <tabColor rgb="FFD48FFF"/>
    <pageSetUpPr fitToPage="1"/>
  </sheetPr>
  <dimension ref="A1:I41"/>
  <sheetViews>
    <sheetView zoomScale="55" zoomScaleNormal="55" zoomScaleSheetLayoutView="75" workbookViewId="0">
      <selection activeCell="K41" sqref="K41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270</v>
      </c>
      <c r="C2" s="254"/>
      <c r="D2" s="254"/>
      <c r="E2" s="254"/>
      <c r="F2" s="255"/>
    </row>
    <row r="3" spans="1:9" ht="40.5" customHeight="1" x14ac:dyDescent="0.3">
      <c r="A3" s="218" t="str">
        <f>'윈즈 피벗'!A2</f>
        <v>10/15 납품</v>
      </c>
      <c r="B3" s="219" t="s">
        <v>13</v>
      </c>
      <c r="C3" s="224" t="s">
        <v>298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30</v>
      </c>
      <c r="C4" s="24">
        <f>IFERROR(VLOOKUP(A4,'윈즈 피벗'!A:ST,2,FALSE),0)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30</v>
      </c>
      <c r="C5" s="24">
        <f>IFERROR(VLOOKUP(A5,'윈즈 피벗'!A:ST,2,FALSE),0)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30</v>
      </c>
      <c r="C6" s="24">
        <f>IFERROR(VLOOKUP(A6,'윈즈 피벗'!A:ST,2,FALSE),0)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30</v>
      </c>
      <c r="C7" s="24">
        <f>IFERROR(VLOOKUP(A7,'윈즈 피벗'!A:ST,2,FALSE),0)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30</v>
      </c>
      <c r="C8" s="24">
        <f>IFERROR(VLOOKUP(A8,'윈즈 피벗'!A:ST,2,FALSE),0)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30</v>
      </c>
      <c r="C9" s="24">
        <f>IFERROR(VLOOKUP(A9,'윈즈 피벗'!A:ST,2,FALSE),0)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30</v>
      </c>
      <c r="C10" s="24">
        <f>IFERROR(VLOOKUP(A10,'윈즈 피벗'!A:ST,2,FALSE),0)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30</v>
      </c>
      <c r="C11" s="24">
        <f>IFERROR(VLOOKUP(A11,'윈즈 피벗'!A:ST,2,FALSE),0)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30</v>
      </c>
      <c r="C12" s="24">
        <f>IFERROR(VLOOKUP(A12,'윈즈 피벗'!A:ST,2,FALSE),0)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30</v>
      </c>
      <c r="C13" s="24">
        <f>IFERROR(VLOOKUP(A13,'윈즈 피벗'!A:ST,2,FALSE),0)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30</v>
      </c>
      <c r="C14" s="24">
        <f>IFERROR(VLOOKUP(A14,'윈즈 피벗'!A:ST,2,FALSE),0)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30</v>
      </c>
      <c r="C15" s="24">
        <f>IFERROR(VLOOKUP(A15,'윈즈 피벗'!A:ST,2,FALSE),0)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30</v>
      </c>
      <c r="C16" s="24">
        <f>IFERROR(VLOOKUP(A16,'윈즈 피벗'!A:ST,2,FALSE),0)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30</v>
      </c>
      <c r="C17" s="24">
        <f>IFERROR(VLOOKUP(A17,'윈즈 피벗'!A:ST,2,FALSE),0)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30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30</v>
      </c>
      <c r="C21" s="24">
        <f>IFERROR(VLOOKUP(A21,'윈즈 피벗'!A:ST,2,FALSE),0)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30</v>
      </c>
      <c r="C22" s="24">
        <f>IFERROR(VLOOKUP(A22,'윈즈 피벗'!A:ST,2,FALSE),0)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30</v>
      </c>
      <c r="C23" s="24">
        <f>IFERROR(VLOOKUP(A23,'윈즈 피벗'!A:ST,2,FALSE),0)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30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30</v>
      </c>
      <c r="C27" s="24">
        <f>IFERROR(VLOOKUP(A27,'윈즈 피벗'!A:ST,2,FALSE),0)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30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30</v>
      </c>
      <c r="C31" s="24">
        <f>IFERROR(VLOOKUP(A31,'윈즈 피벗'!A:ST,2,FALSE),0)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30</v>
      </c>
      <c r="C32" s="24">
        <f>IFERROR(VLOOKUP(A32,'윈즈 피벗'!A:ST,2,FALSE),0)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30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30</v>
      </c>
      <c r="C36" s="24">
        <f>IFERROR(VLOOKUP(A36,'윈즈 피벗'!A:ST,2,FALSE),0)</f>
        <v>0</v>
      </c>
      <c r="D36" s="20">
        <f>IFERROR(ROUNDDOWN(C36/B36,0),"")</f>
        <v>0</v>
      </c>
      <c r="E36" s="215" t="s">
        <v>120</v>
      </c>
      <c r="F36" s="26">
        <f t="shared" ref="F36" si="8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30</v>
      </c>
      <c r="C38" s="55">
        <f>SUM(C4:C17,C31:C32,C27:C27,C21:C23,C36)</f>
        <v>0</v>
      </c>
      <c r="D38" s="54">
        <f>IFERROR(ROUNDDOWN(C38/B38,0),"")</f>
        <v>0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0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0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0A9D-DBED-418C-A5F7-2645D931E042}">
  <sheetPr>
    <tabColor rgb="FFD48FFF"/>
    <pageSetUpPr fitToPage="1"/>
  </sheetPr>
  <dimension ref="A1:I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270</v>
      </c>
      <c r="C2" s="254"/>
      <c r="D2" s="254"/>
      <c r="E2" s="254"/>
      <c r="F2" s="255"/>
    </row>
    <row r="3" spans="1:9" ht="40.5" customHeight="1" x14ac:dyDescent="0.3">
      <c r="A3" s="218" t="str">
        <f>'윈즈 피벗'!A2</f>
        <v>10/15 납품</v>
      </c>
      <c r="B3" s="219" t="s">
        <v>13</v>
      </c>
      <c r="C3" s="224" t="s">
        <v>269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12</v>
      </c>
      <c r="C4" s="24">
        <f>IFERROR(VLOOKUP(A4,'윈즈 피벗'!A:ST,3,FALSE),0)</f>
        <v>72</v>
      </c>
      <c r="D4" s="20">
        <f t="shared" ref="D4:D17" si="0">IFERROR(ROUNDDOWN(C4/B4,0),"")</f>
        <v>6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12</v>
      </c>
      <c r="C5" s="24">
        <f>IFERROR(VLOOKUP(A5,'윈즈 피벗'!A:ST,3,FALSE),0)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12</v>
      </c>
      <c r="C6" s="24">
        <f>IFERROR(VLOOKUP(A6,'윈즈 피벗'!A:ST,3,FALSE),0)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12</v>
      </c>
      <c r="C7" s="24">
        <f>IFERROR(VLOOKUP(A7,'윈즈 피벗'!A:ST,3,FALSE),0)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12</v>
      </c>
      <c r="C8" s="24">
        <f>IFERROR(VLOOKUP(A8,'윈즈 피벗'!A:ST,3,FALSE),0)</f>
        <v>48</v>
      </c>
      <c r="D8" s="20">
        <f t="shared" si="0"/>
        <v>4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12</v>
      </c>
      <c r="C9" s="24">
        <f>IFERROR(VLOOKUP(A9,'윈즈 피벗'!A:ST,3,FALSE),0)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12</v>
      </c>
      <c r="C10" s="24">
        <f>IFERROR(VLOOKUP(A10,'윈즈 피벗'!A:ST,3,FALSE),0)</f>
        <v>84</v>
      </c>
      <c r="D10" s="20">
        <f t="shared" si="0"/>
        <v>7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12</v>
      </c>
      <c r="C11" s="24">
        <f>IFERROR(VLOOKUP(A11,'윈즈 피벗'!A:ST,3,FALSE),0)</f>
        <v>48</v>
      </c>
      <c r="D11" s="20">
        <f t="shared" si="0"/>
        <v>4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12</v>
      </c>
      <c r="C12" s="24">
        <f>IFERROR(VLOOKUP(A12,'윈즈 피벗'!A:ST,3,FALSE),0)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12</v>
      </c>
      <c r="C13" s="24">
        <f>IFERROR(VLOOKUP(A13,'윈즈 피벗'!A:ST,3,FALSE),0)</f>
        <v>36</v>
      </c>
      <c r="D13" s="20">
        <f t="shared" si="0"/>
        <v>3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12</v>
      </c>
      <c r="C14" s="24">
        <f>IFERROR(VLOOKUP(A14,'윈즈 피벗'!A:ST,3,FALSE),0)</f>
        <v>120</v>
      </c>
      <c r="D14" s="20">
        <f t="shared" si="0"/>
        <v>10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12</v>
      </c>
      <c r="C15" s="24">
        <f>IFERROR(VLOOKUP(A15,'윈즈 피벗'!A:ST,3,FALSE),0)</f>
        <v>36</v>
      </c>
      <c r="D15" s="20">
        <f t="shared" si="0"/>
        <v>3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12</v>
      </c>
      <c r="C16" s="24">
        <f>IFERROR(VLOOKUP(A16,'윈즈 피벗'!A:ST,3,FALSE),0)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12</v>
      </c>
      <c r="C17" s="24">
        <f>IFERROR(VLOOKUP(A17,'윈즈 피벗'!A:ST,3,FALSE),0)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12</v>
      </c>
      <c r="C19" s="211">
        <f>SUM(C4:C17)</f>
        <v>444</v>
      </c>
      <c r="D19" s="55">
        <f>IFERROR(ROUNDDOWN(C19/B19,0),"")</f>
        <v>37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12</v>
      </c>
      <c r="C21" s="24">
        <f>IFERROR(VLOOKUP(A21,'윈즈 피벗'!A:ST,3,FALSE),0)</f>
        <v>120</v>
      </c>
      <c r="D21" s="20">
        <f>IFERROR(ROUNDDOWN(C21/B21,0),"")</f>
        <v>10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12</v>
      </c>
      <c r="C22" s="24">
        <f>IFERROR(VLOOKUP(A22,'윈즈 피벗'!A:ST,3,FALSE),0)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12</v>
      </c>
      <c r="C23" s="24">
        <f>IFERROR(VLOOKUP(A23,'윈즈 피벗'!A:ST,3,FALSE),0)</f>
        <v>48</v>
      </c>
      <c r="D23" s="20">
        <f>IFERROR(ROUNDDOWN(C23/B23,0),"")</f>
        <v>4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12</v>
      </c>
      <c r="C25" s="211">
        <f>SUM(C21:C23)</f>
        <v>168</v>
      </c>
      <c r="D25" s="55">
        <f>IFERROR(ROUNDDOWN(C25/B25,0),"")</f>
        <v>14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12</v>
      </c>
      <c r="C27" s="24">
        <f>IFERROR(VLOOKUP(A27,'윈즈 피벗'!A:ST,3,FALSE),0)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12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12</v>
      </c>
      <c r="C31" s="24">
        <f>IFERROR(VLOOKUP(A31,'윈즈 피벗'!A:ST,3,FALSE),0)</f>
        <v>96</v>
      </c>
      <c r="D31" s="20">
        <f>IFERROR(ROUNDDOWN(C31/B31,0),"")</f>
        <v>8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12</v>
      </c>
      <c r="C32" s="24">
        <f>IFERROR(VLOOKUP(A32,'윈즈 피벗'!A:ST,3,FALSE),0)</f>
        <v>96</v>
      </c>
      <c r="D32" s="20">
        <f t="shared" ref="D32" si="6">IFERROR(ROUNDDOWN(C32/B32,0),"")</f>
        <v>8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12</v>
      </c>
      <c r="C34" s="211">
        <f>SUM(C31:C32)</f>
        <v>192</v>
      </c>
      <c r="D34" s="55">
        <f>IFERROR(ROUNDDOWN(C34/B34,0),"")</f>
        <v>16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12</v>
      </c>
      <c r="C36" s="24">
        <f>IFERROR(VLOOKUP(A36,'윈즈 피벗'!A:ST,3,FALSE),0)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12</v>
      </c>
      <c r="C38" s="55">
        <f>SUM(C4:C17,C31:C32,C27:C27,C21:C23,C36)</f>
        <v>804</v>
      </c>
      <c r="D38" s="54">
        <f>IFERROR(ROUNDDOWN(C38/B38,0),"")</f>
        <v>67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67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804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.31496062992125984" footer="0.31496062992125984"/>
  <pageSetup paperSize="9" scale="8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F47F-713C-4921-BE3D-E7D673CCC3B4}">
  <sheetPr>
    <tabColor rgb="FFD48FFF"/>
    <pageSetUpPr fitToPage="1"/>
  </sheetPr>
  <dimension ref="A1:I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66" t="s">
        <v>270</v>
      </c>
      <c r="C2" s="267"/>
      <c r="D2" s="267"/>
      <c r="E2" s="267"/>
      <c r="F2" s="268"/>
    </row>
    <row r="3" spans="1:9" ht="40.5" customHeight="1" x14ac:dyDescent="0.3">
      <c r="A3" s="218" t="str">
        <f>'윈즈 피벗'!A2</f>
        <v>10/15 납품</v>
      </c>
      <c r="B3" s="219" t="s">
        <v>13</v>
      </c>
      <c r="C3" s="224" t="s">
        <v>322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16</v>
      </c>
      <c r="C4" s="24">
        <f>IFERROR(VLOOKUP(A4,'윈즈 피벗'!A:ST,4,FALSE),0)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16</v>
      </c>
      <c r="C5" s="24">
        <f>IFERROR(VLOOKUP(A5,'윈즈 피벗'!A:ST,4,FALSE),0)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16</v>
      </c>
      <c r="C6" s="24">
        <f>IFERROR(VLOOKUP(A6,'윈즈 피벗'!A:ST,4,FALSE),0)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16</v>
      </c>
      <c r="C7" s="24">
        <f>IFERROR(VLOOKUP(A7,'윈즈 피벗'!A:ST,4,FALSE),0)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16</v>
      </c>
      <c r="C8" s="24">
        <f>IFERROR(VLOOKUP(A8,'윈즈 피벗'!A:ST,4,FALSE),0)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16</v>
      </c>
      <c r="C9" s="24">
        <f>IFERROR(VLOOKUP(A9,'윈즈 피벗'!A:ST,4,FALSE),0)</f>
        <v>48</v>
      </c>
      <c r="D9" s="20">
        <f t="shared" si="0"/>
        <v>3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16</v>
      </c>
      <c r="C10" s="24">
        <f>IFERROR(VLOOKUP(A10,'윈즈 피벗'!A:ST,4,FALSE),0)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16</v>
      </c>
      <c r="C11" s="24">
        <f>IFERROR(VLOOKUP(A11,'윈즈 피벗'!A:ST,4,FALSE),0)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16</v>
      </c>
      <c r="C12" s="24">
        <f>IFERROR(VLOOKUP(A12,'윈즈 피벗'!A:ST,4,FALSE),0)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16</v>
      </c>
      <c r="C13" s="24">
        <f>IFERROR(VLOOKUP(A13,'윈즈 피벗'!A:ST,4,FALSE),0)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16</v>
      </c>
      <c r="C14" s="24">
        <f>IFERROR(VLOOKUP(A14,'윈즈 피벗'!A:ST,4,FALSE),0)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16</v>
      </c>
      <c r="C15" s="24">
        <f>IFERROR(VLOOKUP(A15,'윈즈 피벗'!A:ST,4,FALSE),0)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16</v>
      </c>
      <c r="C16" s="24">
        <f>IFERROR(VLOOKUP(A16,'윈즈 피벗'!A:ST,4,FALSE),0)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16</v>
      </c>
      <c r="C17" s="24">
        <f>IFERROR(VLOOKUP(A17,'윈즈 피벗'!A:ST,4,FALSE),0)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63"/>
      <c r="B18" s="264"/>
      <c r="C18" s="264"/>
      <c r="D18" s="264"/>
      <c r="E18" s="264"/>
      <c r="F18" s="265"/>
      <c r="H18" s="73"/>
      <c r="I18" s="73"/>
    </row>
    <row r="19" spans="1:9" ht="32.450000000000003" customHeight="1" x14ac:dyDescent="0.3">
      <c r="A19" s="209" t="s">
        <v>122</v>
      </c>
      <c r="B19" s="210">
        <f>$B$4</f>
        <v>16</v>
      </c>
      <c r="C19" s="211">
        <f>SUM(C4:C17)</f>
        <v>48</v>
      </c>
      <c r="D19" s="55">
        <f>IFERROR(ROUNDDOWN(C19/B19,0),"")</f>
        <v>3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16</v>
      </c>
      <c r="C21" s="24">
        <f>IFERROR(VLOOKUP(A21,'윈즈 피벗'!A:ST,4,FALSE),0)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16</v>
      </c>
      <c r="C22" s="24">
        <f>IFERROR(VLOOKUP(A22,'윈즈 피벗'!A:ST,4,FALSE),0)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16</v>
      </c>
      <c r="C23" s="24">
        <f>IFERROR(VLOOKUP(A23,'윈즈 피벗'!A:ST,4,FALSE),0)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63"/>
      <c r="B24" s="264"/>
      <c r="C24" s="264"/>
      <c r="D24" s="264"/>
      <c r="E24" s="264"/>
      <c r="F24" s="265"/>
      <c r="H24" s="73"/>
      <c r="I24" s="73"/>
    </row>
    <row r="25" spans="1:9" ht="32.450000000000003" customHeight="1" x14ac:dyDescent="0.3">
      <c r="A25" s="209" t="s">
        <v>237</v>
      </c>
      <c r="B25" s="210">
        <f>$B$4</f>
        <v>16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63"/>
      <c r="B26" s="264"/>
      <c r="C26" s="264"/>
      <c r="D26" s="264"/>
      <c r="E26" s="264"/>
      <c r="F26" s="265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16</v>
      </c>
      <c r="C27" s="24">
        <f>IFERROR(VLOOKUP(A27,'윈즈 피벗'!A:ST,4,FALSE),0)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63"/>
      <c r="B28" s="264"/>
      <c r="C28" s="264"/>
      <c r="D28" s="264"/>
      <c r="E28" s="264"/>
      <c r="F28" s="265"/>
      <c r="H28" s="73"/>
      <c r="I28" s="73"/>
    </row>
    <row r="29" spans="1:9" ht="32.450000000000003" customHeight="1" x14ac:dyDescent="0.3">
      <c r="A29" s="209" t="s">
        <v>236</v>
      </c>
      <c r="B29" s="210">
        <f>$B$4</f>
        <v>16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16</v>
      </c>
      <c r="C31" s="24">
        <f>IFERROR(VLOOKUP(A31,'윈즈 피벗'!A:ST,4,FALSE),0)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16</v>
      </c>
      <c r="C32" s="24">
        <f>IFERROR(VLOOKUP(A32,'윈즈 피벗'!A:ST,4,FALSE),0)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63"/>
      <c r="B33" s="264"/>
      <c r="C33" s="264"/>
      <c r="D33" s="264"/>
      <c r="E33" s="264"/>
      <c r="F33" s="265"/>
      <c r="H33" s="73"/>
      <c r="I33" s="73"/>
    </row>
    <row r="34" spans="1:9" ht="32.450000000000003" customHeight="1" x14ac:dyDescent="0.3">
      <c r="A34" s="209" t="s">
        <v>235</v>
      </c>
      <c r="B34" s="210">
        <f>$B$4</f>
        <v>16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16</v>
      </c>
      <c r="C36" s="24">
        <f>IFERROR(VLOOKUP(A36,'윈즈 피벗'!A:ST,4,FALSE),0)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16</v>
      </c>
      <c r="C38" s="55">
        <f>SUM(C4:C17,C31:C32,C27:C27,C21:C23,C36)</f>
        <v>48</v>
      </c>
      <c r="D38" s="54">
        <f>IFERROR(ROUNDDOWN(C38/B38,0),"")</f>
        <v>3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3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48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1F94-4E84-47BA-81FE-6AABC335202A}">
  <sheetPr>
    <tabColor rgb="FF8E5A54"/>
  </sheetPr>
  <dimension ref="A1:TF23"/>
  <sheetViews>
    <sheetView zoomScale="70" zoomScaleNormal="70" zoomScaleSheetLayoutView="75" workbookViewId="0">
      <pane xSplit="1" topLeftCell="B1" activePane="topRight" state="frozen"/>
      <selection activeCell="A2" sqref="A2:F39"/>
      <selection pane="topRight" activeCell="A7" sqref="A7:XFD7"/>
    </sheetView>
  </sheetViews>
  <sheetFormatPr defaultColWidth="9" defaultRowHeight="15" customHeight="1" x14ac:dyDescent="0.3"/>
  <cols>
    <col min="1" max="36" width="37.625" style="34" customWidth="1"/>
    <col min="37" max="37" width="22.25" style="34" bestFit="1" customWidth="1"/>
    <col min="38" max="40" width="18.375" style="34" customWidth="1"/>
    <col min="41" max="41" width="27.625" style="34" bestFit="1" customWidth="1"/>
    <col min="42" max="43" width="18.375" style="34" customWidth="1"/>
    <col min="44" max="44" width="27.625" style="34" bestFit="1" customWidth="1"/>
    <col min="45" max="45" width="18.375" style="34" customWidth="1"/>
    <col min="46" max="46" width="25.375" style="34" bestFit="1" customWidth="1"/>
    <col min="47" max="47" width="21" style="34" bestFit="1" customWidth="1"/>
    <col min="48" max="48" width="27.625" style="34" bestFit="1" customWidth="1"/>
    <col min="49" max="49" width="18.375" style="34" customWidth="1"/>
    <col min="50" max="50" width="27.625" style="34" bestFit="1" customWidth="1"/>
    <col min="51" max="404" width="30.375" style="34" customWidth="1"/>
    <col min="405" max="406" width="21.25" style="34" customWidth="1"/>
    <col min="407" max="422" width="20.5" style="34" customWidth="1"/>
    <col min="423" max="423" width="21" style="34" bestFit="1" customWidth="1"/>
    <col min="424" max="424" width="25.125" style="34" bestFit="1" customWidth="1"/>
    <col min="425" max="425" width="23" style="34" bestFit="1" customWidth="1"/>
    <col min="426" max="426" width="33.375" style="34" bestFit="1" customWidth="1"/>
    <col min="427" max="427" width="25.125" style="34" bestFit="1" customWidth="1"/>
    <col min="428" max="428" width="28.875" style="34" bestFit="1" customWidth="1"/>
    <col min="429" max="429" width="23" style="34" bestFit="1" customWidth="1"/>
    <col min="430" max="430" width="18.875" style="34" customWidth="1"/>
    <col min="431" max="431" width="23" style="34" bestFit="1" customWidth="1"/>
    <col min="432" max="432" width="25.125" style="34" bestFit="1" customWidth="1"/>
    <col min="433" max="433" width="18.875" style="34" customWidth="1"/>
    <col min="434" max="434" width="19.125" style="34" customWidth="1"/>
    <col min="435" max="435" width="18.125" style="34" customWidth="1"/>
    <col min="436" max="436" width="18.875" style="34" customWidth="1"/>
    <col min="437" max="437" width="26.625" style="34" customWidth="1"/>
    <col min="438" max="438" width="22.125" style="34" customWidth="1"/>
    <col min="439" max="439" width="24.125" style="34" customWidth="1"/>
    <col min="440" max="440" width="21.375" style="34" customWidth="1"/>
    <col min="441" max="441" width="19.375" style="34" customWidth="1"/>
    <col min="442" max="442" width="20" style="34" customWidth="1"/>
    <col min="443" max="443" width="23.25" style="34" customWidth="1"/>
    <col min="444" max="444" width="18" style="34" customWidth="1"/>
    <col min="445" max="475" width="19" style="34" customWidth="1"/>
    <col min="476" max="480" width="20.25" style="34" customWidth="1"/>
    <col min="481" max="481" width="17.25" style="34" customWidth="1"/>
    <col min="482" max="482" width="17.75" style="34" customWidth="1"/>
    <col min="483" max="483" width="16.5" style="34" customWidth="1"/>
    <col min="484" max="486" width="21" style="34" customWidth="1"/>
    <col min="487" max="487" width="18.5" style="34" customWidth="1"/>
    <col min="488" max="492" width="21" style="34" customWidth="1"/>
    <col min="493" max="493" width="15.125" style="34" customWidth="1"/>
    <col min="494" max="509" width="21" style="34" customWidth="1"/>
    <col min="510" max="510" width="24.25" style="34" customWidth="1"/>
    <col min="511" max="511" width="18.875" style="34" bestFit="1" customWidth="1"/>
    <col min="512" max="512" width="21" style="34" bestFit="1" customWidth="1"/>
    <col min="513" max="513" width="23" style="38" bestFit="1" customWidth="1"/>
    <col min="514" max="514" width="8.625" style="38" bestFit="1" customWidth="1"/>
    <col min="515" max="515" width="21" style="38" bestFit="1" customWidth="1"/>
    <col min="516" max="516" width="23" style="38" bestFit="1" customWidth="1"/>
    <col min="517" max="517" width="8.625" style="38" bestFit="1" customWidth="1"/>
    <col min="518" max="518" width="22.875" style="34" customWidth="1"/>
    <col min="519" max="525" width="20.875" style="38" customWidth="1"/>
    <col min="526" max="526" width="23.25" style="38" customWidth="1"/>
    <col min="527" max="16384" width="9" style="34"/>
  </cols>
  <sheetData>
    <row r="1" spans="1:518" s="38" customFormat="1" ht="15" customHeight="1" x14ac:dyDescent="0.3">
      <c r="A1" s="62" t="s">
        <v>328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2"/>
      <c r="AZ1" s="2"/>
      <c r="BA1" s="2"/>
      <c r="BB1" s="2"/>
      <c r="BC1" s="2"/>
      <c r="BD1" s="2"/>
      <c r="BE1" s="2"/>
      <c r="BF1" s="2"/>
      <c r="BG1" s="29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32"/>
      <c r="MW1" s="23"/>
      <c r="MX1" s="23"/>
      <c r="MY1" s="23"/>
      <c r="MZ1" s="23"/>
      <c r="NA1" s="32"/>
      <c r="NB1" s="32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32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32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32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</row>
    <row r="2" spans="1:518" s="38" customFormat="1" ht="15" customHeight="1" x14ac:dyDescent="0.3">
      <c r="A2" s="53" t="s">
        <v>330</v>
      </c>
      <c r="B2" s="53" t="s">
        <v>271</v>
      </c>
      <c r="C2" s="53" t="s">
        <v>272</v>
      </c>
      <c r="D2" s="53" t="s">
        <v>3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</row>
    <row r="3" spans="1:518" s="38" customFormat="1" ht="15" customHeight="1" x14ac:dyDescent="0.3">
      <c r="A3" s="34" t="s">
        <v>35</v>
      </c>
      <c r="B3" s="34">
        <v>18</v>
      </c>
      <c r="C3" s="34">
        <v>18</v>
      </c>
      <c r="D3" s="34">
        <v>36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</row>
    <row r="4" spans="1:518" s="38" customFormat="1" ht="15" customHeight="1" x14ac:dyDescent="0.3">
      <c r="A4" s="34" t="s">
        <v>46</v>
      </c>
      <c r="B4" s="34">
        <v>96</v>
      </c>
      <c r="C4" s="34">
        <v>48</v>
      </c>
      <c r="D4" s="34">
        <v>144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</row>
    <row r="5" spans="1:518" ht="15" customHeight="1" x14ac:dyDescent="0.3">
      <c r="A5" s="34" t="s">
        <v>41</v>
      </c>
      <c r="B5" s="34">
        <v>54</v>
      </c>
      <c r="C5" s="34">
        <v>48</v>
      </c>
      <c r="D5" s="34">
        <v>102</v>
      </c>
    </row>
    <row r="6" spans="1:518" ht="15" customHeight="1" x14ac:dyDescent="0.3">
      <c r="A6" s="34" t="s">
        <v>62</v>
      </c>
      <c r="B6" s="34">
        <v>60</v>
      </c>
      <c r="C6" s="34">
        <v>42</v>
      </c>
      <c r="D6" s="34">
        <v>102</v>
      </c>
    </row>
    <row r="7" spans="1:518" ht="15" customHeight="1" x14ac:dyDescent="0.3">
      <c r="A7" s="34" t="s">
        <v>84</v>
      </c>
      <c r="B7" s="34">
        <v>60</v>
      </c>
      <c r="C7" s="34">
        <v>60</v>
      </c>
      <c r="D7" s="34">
        <v>120</v>
      </c>
    </row>
    <row r="8" spans="1:518" ht="15" customHeight="1" x14ac:dyDescent="0.3">
      <c r="A8" s="34" t="s">
        <v>90</v>
      </c>
      <c r="B8" s="34">
        <v>90</v>
      </c>
      <c r="C8" s="34">
        <v>90</v>
      </c>
      <c r="D8" s="34">
        <v>180</v>
      </c>
    </row>
    <row r="9" spans="1:518" ht="15" customHeight="1" x14ac:dyDescent="0.3">
      <c r="A9" s="34" t="s">
        <v>73</v>
      </c>
      <c r="B9" s="34">
        <v>120</v>
      </c>
      <c r="C9" s="34">
        <v>120</v>
      </c>
      <c r="D9" s="34">
        <v>240</v>
      </c>
    </row>
    <row r="10" spans="1:518" ht="15" customHeight="1" x14ac:dyDescent="0.3">
      <c r="A10" s="34" t="s">
        <v>59</v>
      </c>
      <c r="B10" s="34">
        <v>30</v>
      </c>
      <c r="C10" s="34">
        <v>12</v>
      </c>
      <c r="D10" s="34">
        <v>42</v>
      </c>
    </row>
    <row r="11" spans="1:518" ht="15" customHeight="1" x14ac:dyDescent="0.3">
      <c r="A11" s="34" t="s">
        <v>48</v>
      </c>
      <c r="B11" s="34">
        <v>102</v>
      </c>
      <c r="C11" s="34">
        <v>42</v>
      </c>
      <c r="D11" s="34">
        <v>144</v>
      </c>
    </row>
    <row r="12" spans="1:518" ht="15" customHeight="1" x14ac:dyDescent="0.3">
      <c r="A12" s="34" t="s">
        <v>52</v>
      </c>
      <c r="B12" s="34">
        <v>60</v>
      </c>
      <c r="C12" s="34">
        <v>84</v>
      </c>
      <c r="D12" s="34">
        <v>144</v>
      </c>
    </row>
    <row r="13" spans="1:518" ht="15" customHeight="1" x14ac:dyDescent="0.3">
      <c r="A13" s="34" t="s">
        <v>55</v>
      </c>
      <c r="B13" s="34">
        <v>48</v>
      </c>
      <c r="C13" s="34">
        <v>12</v>
      </c>
      <c r="D13" s="34">
        <v>60</v>
      </c>
    </row>
    <row r="14" spans="1:518" ht="15" customHeight="1" x14ac:dyDescent="0.3">
      <c r="A14" s="34" t="s">
        <v>58</v>
      </c>
      <c r="B14" s="34">
        <v>150</v>
      </c>
      <c r="C14" s="34">
        <v>120</v>
      </c>
      <c r="D14" s="34">
        <v>270</v>
      </c>
    </row>
    <row r="15" spans="1:518" ht="15" customHeight="1" x14ac:dyDescent="0.3">
      <c r="A15" s="34" t="s">
        <v>51</v>
      </c>
      <c r="B15" s="34">
        <v>72</v>
      </c>
      <c r="C15" s="34">
        <v>12</v>
      </c>
      <c r="D15" s="34">
        <v>84</v>
      </c>
    </row>
    <row r="16" spans="1:518" ht="15" customHeight="1" x14ac:dyDescent="0.3">
      <c r="A16" s="34" t="s">
        <v>100</v>
      </c>
      <c r="B16" s="34">
        <v>126</v>
      </c>
      <c r="C16" s="34">
        <v>84</v>
      </c>
      <c r="D16" s="34">
        <v>210</v>
      </c>
    </row>
    <row r="17" spans="1:4" ht="15" customHeight="1" x14ac:dyDescent="0.3">
      <c r="A17" s="34" t="s">
        <v>81</v>
      </c>
      <c r="B17" s="34">
        <v>48</v>
      </c>
      <c r="C17" s="34">
        <v>48</v>
      </c>
      <c r="D17" s="34">
        <v>96</v>
      </c>
    </row>
    <row r="18" spans="1:4" ht="15" customHeight="1" x14ac:dyDescent="0.3">
      <c r="A18" s="34" t="s">
        <v>75</v>
      </c>
      <c r="B18" s="34">
        <v>108</v>
      </c>
      <c r="C18" s="34">
        <v>48</v>
      </c>
      <c r="D18" s="34">
        <v>156</v>
      </c>
    </row>
    <row r="19" spans="1:4" ht="15" customHeight="1" x14ac:dyDescent="0.3">
      <c r="A19" s="34" t="s">
        <v>54</v>
      </c>
      <c r="B19" s="34">
        <v>108</v>
      </c>
      <c r="C19" s="34">
        <v>78</v>
      </c>
      <c r="D19" s="34">
        <v>186</v>
      </c>
    </row>
    <row r="20" spans="1:4" ht="15" customHeight="1" x14ac:dyDescent="0.3">
      <c r="A20" s="34" t="s">
        <v>40</v>
      </c>
      <c r="B20" s="34">
        <v>48</v>
      </c>
      <c r="C20" s="34">
        <v>24</v>
      </c>
      <c r="D20" s="34">
        <v>72</v>
      </c>
    </row>
    <row r="21" spans="1:4" ht="15" customHeight="1" x14ac:dyDescent="0.3">
      <c r="A21" s="34" t="s">
        <v>45</v>
      </c>
      <c r="B21" s="34">
        <v>48</v>
      </c>
      <c r="D21" s="34">
        <v>48</v>
      </c>
    </row>
    <row r="22" spans="1:4" ht="15" customHeight="1" x14ac:dyDescent="0.3">
      <c r="A22" s="34" t="s">
        <v>85</v>
      </c>
      <c r="B22" s="34">
        <v>120</v>
      </c>
      <c r="C22" s="34">
        <v>12</v>
      </c>
      <c r="D22" s="34">
        <v>132</v>
      </c>
    </row>
    <row r="23" spans="1:4" ht="15" customHeight="1" x14ac:dyDescent="0.3">
      <c r="A23" s="34" t="s">
        <v>3</v>
      </c>
      <c r="B23" s="34">
        <v>1566</v>
      </c>
      <c r="C23" s="34">
        <v>1002</v>
      </c>
      <c r="D23" s="34">
        <v>2568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4D24-E74E-4AC0-9701-F047ADB59BA8}">
  <sheetPr>
    <tabColor rgb="FF8E5A54"/>
    <pageSetUpPr fitToPage="1"/>
  </sheetPr>
  <dimension ref="A1:N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3.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273</v>
      </c>
      <c r="C2" s="254"/>
      <c r="D2" s="254"/>
      <c r="E2" s="254"/>
      <c r="F2" s="255"/>
    </row>
    <row r="3" spans="1:9" ht="40.5" customHeight="1" x14ac:dyDescent="0.3">
      <c r="A3" s="218" t="str">
        <f>'제때 피벗 '!A2</f>
        <v>10/15 납품</v>
      </c>
      <c r="B3" s="219" t="s">
        <v>13</v>
      </c>
      <c r="C3" s="224" t="s">
        <v>271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6</v>
      </c>
      <c r="C4" s="24">
        <f>IFERROR(VLOOKUP(A4,'제때 피벗 '!A:ST,2,FALSE),0)</f>
        <v>126</v>
      </c>
      <c r="D4" s="20">
        <f t="shared" ref="D4:D17" si="0">IFERROR(ROUNDDOWN(C4/B4,0),"")</f>
        <v>21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6</v>
      </c>
      <c r="C5" s="24">
        <f>IFERROR(VLOOKUP(A5,'제때 피벗 '!A:ST,2,FALSE),0)</f>
        <v>120</v>
      </c>
      <c r="D5" s="20">
        <f t="shared" si="0"/>
        <v>20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6</v>
      </c>
      <c r="C6" s="24">
        <f>IFERROR(VLOOKUP(A6,'제때 피벗 '!A:ST,2,FALSE),0)</f>
        <v>48</v>
      </c>
      <c r="D6" s="20">
        <f t="shared" si="0"/>
        <v>8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6</v>
      </c>
      <c r="C7" s="24">
        <f>IFERROR(VLOOKUP(A7,'제때 피벗 '!A:ST,2,FALSE),0)</f>
        <v>108</v>
      </c>
      <c r="D7" s="20">
        <f t="shared" si="0"/>
        <v>18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6</v>
      </c>
      <c r="C8" s="24">
        <f>IFERROR(VLOOKUP(A8,'제때 피벗 '!A:ST,2,FALSE),0)</f>
        <v>102</v>
      </c>
      <c r="D8" s="20">
        <f t="shared" si="0"/>
        <v>17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6</v>
      </c>
      <c r="C9" s="24">
        <f>IFERROR(VLOOKUP(A9,'제때 피벗 '!A:ST,2,FALSE),0)</f>
        <v>18</v>
      </c>
      <c r="D9" s="20">
        <f t="shared" si="0"/>
        <v>3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6</v>
      </c>
      <c r="C10" s="24">
        <f>IFERROR(VLOOKUP(A10,'제때 피벗 '!A:ST,2,FALSE),0)</f>
        <v>108</v>
      </c>
      <c r="D10" s="20">
        <f t="shared" si="0"/>
        <v>18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6</v>
      </c>
      <c r="C11" s="24">
        <f>IFERROR(VLOOKUP(A11,'제때 피벗 '!A:ST,2,FALSE),0)</f>
        <v>150</v>
      </c>
      <c r="D11" s="20">
        <f t="shared" si="0"/>
        <v>25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6</v>
      </c>
      <c r="C12" s="24">
        <f>IFERROR(VLOOKUP(A12,'제때 피벗 '!A:ST,2,FALSE),0)</f>
        <v>72</v>
      </c>
      <c r="D12" s="20">
        <f t="shared" si="0"/>
        <v>12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6</v>
      </c>
      <c r="C13" s="24">
        <f>IFERROR(VLOOKUP(A13,'제때 피벗 '!A:ST,2,FALSE),0)</f>
        <v>48</v>
      </c>
      <c r="D13" s="20">
        <f t="shared" si="0"/>
        <v>8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6</v>
      </c>
      <c r="C14" s="24">
        <f>IFERROR(VLOOKUP(A14,'제때 피벗 '!A:ST,2,FALSE),0)</f>
        <v>30</v>
      </c>
      <c r="D14" s="20">
        <f t="shared" si="0"/>
        <v>5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6</v>
      </c>
      <c r="C15" s="24">
        <f>IFERROR(VLOOKUP(A15,'제때 피벗 '!A:ST,2,FALSE),0)</f>
        <v>48</v>
      </c>
      <c r="D15" s="20">
        <f t="shared" si="0"/>
        <v>8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6</v>
      </c>
      <c r="C16" s="24">
        <f>IFERROR(VLOOKUP(A16,'제때 피벗 '!A:ST,2,FALSE),0)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14" ht="25.35" customHeight="1" x14ac:dyDescent="0.3">
      <c r="A17" s="49" t="s">
        <v>55</v>
      </c>
      <c r="B17" s="50">
        <f t="shared" si="2"/>
        <v>6</v>
      </c>
      <c r="C17" s="24">
        <f>IFERROR(VLOOKUP(A17,'제때 피벗 '!A:ST,2,FALSE),0)</f>
        <v>48</v>
      </c>
      <c r="D17" s="20">
        <f t="shared" si="0"/>
        <v>8</v>
      </c>
      <c r="E17" s="51" t="s">
        <v>250</v>
      </c>
      <c r="F17" s="26">
        <f t="shared" si="1"/>
        <v>0</v>
      </c>
      <c r="H17" s="73"/>
      <c r="I17" s="73"/>
    </row>
    <row r="18" spans="1:14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14" ht="32.450000000000003" customHeight="1" x14ac:dyDescent="0.3">
      <c r="A19" s="209" t="s">
        <v>122</v>
      </c>
      <c r="B19" s="210">
        <f>$B$4</f>
        <v>6</v>
      </c>
      <c r="C19" s="211">
        <f>SUM(C4:C17)</f>
        <v>1026</v>
      </c>
      <c r="D19" s="55">
        <f>IFERROR(ROUNDDOWN(C19/B19,0),"")</f>
        <v>171</v>
      </c>
      <c r="E19" s="212"/>
      <c r="F19" s="213">
        <f>IFERROR(C19-(D19*B19),"")</f>
        <v>0</v>
      </c>
      <c r="H19" s="73"/>
      <c r="I19" s="73"/>
    </row>
    <row r="20" spans="1:14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14" ht="25.35" customHeight="1" x14ac:dyDescent="0.3">
      <c r="A21" s="214" t="s">
        <v>46</v>
      </c>
      <c r="B21" s="50">
        <f t="shared" ref="B21:B23" si="3">$B$4</f>
        <v>6</v>
      </c>
      <c r="C21" s="24">
        <f>IFERROR(VLOOKUP(A21,'제때 피벗 '!A:ST,2,FALSE),0)</f>
        <v>96</v>
      </c>
      <c r="D21" s="20">
        <f>IFERROR(ROUNDDOWN(C21/B21,0),"")</f>
        <v>16</v>
      </c>
      <c r="E21" s="51" t="s">
        <v>251</v>
      </c>
      <c r="F21" s="26">
        <f>IFERROR(C21-(D21*B21),"")</f>
        <v>0</v>
      </c>
      <c r="H21" s="73"/>
      <c r="I21" s="73"/>
    </row>
    <row r="22" spans="1:14" ht="25.35" customHeight="1" x14ac:dyDescent="0.3">
      <c r="A22" s="214" t="s">
        <v>41</v>
      </c>
      <c r="B22" s="50">
        <f t="shared" si="3"/>
        <v>6</v>
      </c>
      <c r="C22" s="24">
        <f>IFERROR(VLOOKUP(A22,'제때 피벗 '!A:ST,2,FALSE),0)</f>
        <v>54</v>
      </c>
      <c r="D22" s="20">
        <f>IFERROR(ROUNDDOWN(C22/B22,0),"")</f>
        <v>9</v>
      </c>
      <c r="E22" s="51" t="s">
        <v>252</v>
      </c>
      <c r="F22" s="26">
        <f>IFERROR(C22-(D22*B22),"")</f>
        <v>0</v>
      </c>
      <c r="H22" s="73"/>
      <c r="I22" s="73"/>
    </row>
    <row r="23" spans="1:14" ht="25.35" customHeight="1" x14ac:dyDescent="0.3">
      <c r="A23" s="214" t="s">
        <v>62</v>
      </c>
      <c r="B23" s="50">
        <f t="shared" si="3"/>
        <v>6</v>
      </c>
      <c r="C23" s="24">
        <f>IFERROR(VLOOKUP(A23,'제때 피벗 '!A:ST,2,FALSE),0)</f>
        <v>60</v>
      </c>
      <c r="D23" s="20">
        <f>IFERROR(ROUNDDOWN(C23/B23,0),"")</f>
        <v>10</v>
      </c>
      <c r="E23" s="51" t="s">
        <v>253</v>
      </c>
      <c r="F23" s="26">
        <f>IFERROR(C23-(D23*B23),"")</f>
        <v>0</v>
      </c>
      <c r="H23" s="73"/>
      <c r="I23" s="73"/>
    </row>
    <row r="24" spans="1:14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14" ht="32.450000000000003" customHeight="1" x14ac:dyDescent="0.3">
      <c r="A25" s="209" t="s">
        <v>237</v>
      </c>
      <c r="B25" s="210">
        <f>$B$4</f>
        <v>6</v>
      </c>
      <c r="C25" s="211">
        <f>SUM(C21:C23)</f>
        <v>210</v>
      </c>
      <c r="D25" s="55">
        <f>IFERROR(ROUNDDOWN(C25/B25,0),"")</f>
        <v>35</v>
      </c>
      <c r="E25" s="212"/>
      <c r="F25" s="213">
        <f>IFERROR(C25-(D25*B25),"")</f>
        <v>0</v>
      </c>
      <c r="H25" s="73"/>
      <c r="I25" s="73"/>
    </row>
    <row r="26" spans="1:14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14" ht="25.35" customHeight="1" x14ac:dyDescent="0.3">
      <c r="A27" s="223" t="s">
        <v>73</v>
      </c>
      <c r="B27" s="50">
        <f t="shared" ref="B27" si="4">$B$4</f>
        <v>6</v>
      </c>
      <c r="C27" s="24">
        <f>IFERROR(VLOOKUP(A27,'제때 피벗 '!A:ST,2,FALSE),0)</f>
        <v>120</v>
      </c>
      <c r="D27" s="20">
        <f>IFERROR(ROUNDDOWN(C27/B27,0),"")</f>
        <v>20</v>
      </c>
      <c r="E27" s="51" t="s">
        <v>257</v>
      </c>
      <c r="F27" s="26">
        <f>IFERROR(C27-(D27*B27),"")</f>
        <v>0</v>
      </c>
      <c r="H27" s="73"/>
      <c r="I27" s="73"/>
    </row>
    <row r="28" spans="1:14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14" ht="32.450000000000003" customHeight="1" x14ac:dyDescent="0.3">
      <c r="A29" s="209" t="s">
        <v>236</v>
      </c>
      <c r="B29" s="210">
        <f>$B$4</f>
        <v>6</v>
      </c>
      <c r="C29" s="211">
        <f>SUM(C27:C27)</f>
        <v>120</v>
      </c>
      <c r="D29" s="55">
        <f>IFERROR(ROUNDDOWN(C29/B29,0),"")</f>
        <v>20</v>
      </c>
      <c r="E29" s="212"/>
      <c r="F29" s="213">
        <f>IFERROR(C29-(D29*B29),"")</f>
        <v>0</v>
      </c>
      <c r="H29" s="73"/>
      <c r="I29" s="73"/>
      <c r="N29" s="34" t="s">
        <v>324</v>
      </c>
    </row>
    <row r="30" spans="1:14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14" ht="25.35" customHeight="1" x14ac:dyDescent="0.3">
      <c r="A31" s="49" t="s">
        <v>90</v>
      </c>
      <c r="B31" s="50">
        <f t="shared" ref="B31:B32" si="5">$B$4</f>
        <v>6</v>
      </c>
      <c r="C31" s="24">
        <f>IFERROR(VLOOKUP(A31,'제때 피벗 '!A:ST,2,FALSE),0)</f>
        <v>90</v>
      </c>
      <c r="D31" s="20">
        <f>IFERROR(ROUNDDOWN(C31/B31,0),"")</f>
        <v>15</v>
      </c>
      <c r="E31" s="51" t="s">
        <v>258</v>
      </c>
      <c r="F31" s="26">
        <f>IFERROR(C31-(D31*B31),"")</f>
        <v>0</v>
      </c>
      <c r="H31" s="73"/>
      <c r="I31" s="73"/>
    </row>
    <row r="32" spans="1:14" ht="25.35" customHeight="1" x14ac:dyDescent="0.3">
      <c r="A32" s="49" t="s">
        <v>52</v>
      </c>
      <c r="B32" s="50">
        <f t="shared" si="5"/>
        <v>6</v>
      </c>
      <c r="C32" s="24">
        <f>IFERROR(VLOOKUP(A32,'제때 피벗 '!A:ST,2,FALSE),0)</f>
        <v>60</v>
      </c>
      <c r="D32" s="20">
        <f t="shared" ref="D32" si="6">IFERROR(ROUNDDOWN(C32/B32,0),"")</f>
        <v>10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6</v>
      </c>
      <c r="C34" s="211">
        <f>SUM(C31:C32)</f>
        <v>150</v>
      </c>
      <c r="D34" s="55">
        <f>IFERROR(ROUNDDOWN(C34/B34,0),"")</f>
        <v>25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6</v>
      </c>
      <c r="C36" s="24">
        <f>IFERROR(VLOOKUP(A36,'제때 피벗 '!A:ST,2,FALSE),0)</f>
        <v>60</v>
      </c>
      <c r="D36" s="20">
        <f t="shared" ref="D36" si="8">IFERROR(ROUNDDOWN(C36/B36,0),"")</f>
        <v>10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6</v>
      </c>
      <c r="C38" s="55">
        <f>SUM(C4:C17,C31:C32,C27:C27,C21:C23,C36)</f>
        <v>1566</v>
      </c>
      <c r="D38" s="54">
        <f>IFERROR(ROUNDDOWN(C38/B38,0),"")</f>
        <v>261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261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1566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EB50-221F-4235-A313-657E950CF5CB}">
  <sheetPr>
    <tabColor rgb="FF8E5A54"/>
    <pageSetUpPr fitToPage="1"/>
  </sheetPr>
  <dimension ref="A1:I41"/>
  <sheetViews>
    <sheetView zoomScale="55" zoomScaleNormal="55" zoomScaleSheetLayoutView="75" workbookViewId="0">
      <selection activeCell="A2" sqref="A2:F3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273</v>
      </c>
      <c r="C2" s="254"/>
      <c r="D2" s="254"/>
      <c r="E2" s="254"/>
      <c r="F2" s="255"/>
    </row>
    <row r="3" spans="1:9" ht="40.5" customHeight="1" x14ac:dyDescent="0.3">
      <c r="A3" s="218" t="str">
        <f>'제때 피벗 '!A2</f>
        <v>10/15 납품</v>
      </c>
      <c r="B3" s="219" t="s">
        <v>13</v>
      </c>
      <c r="C3" s="224" t="s">
        <v>272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101</v>
      </c>
      <c r="B4" s="50">
        <v>6</v>
      </c>
      <c r="C4" s="24">
        <f>IFERROR(VLOOKUP(A4,'제때 피벗 '!A:ST,3,FALSE),0)</f>
        <v>84</v>
      </c>
      <c r="D4" s="20">
        <f t="shared" ref="D4:D17" si="0">IFERROR(ROUNDDOWN(C4/B4,0),"")</f>
        <v>14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6</v>
      </c>
      <c r="C5" s="24">
        <f>IFERROR(VLOOKUP(A5,'제때 피벗 '!A:ST,3,FALSE),0)</f>
        <v>12</v>
      </c>
      <c r="D5" s="20">
        <f t="shared" si="0"/>
        <v>2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6</v>
      </c>
      <c r="C6" s="24">
        <f>IFERROR(VLOOKUP(A6,'제때 피벗 '!A:ST,3,FALSE),0)</f>
        <v>48</v>
      </c>
      <c r="D6" s="20">
        <f t="shared" si="0"/>
        <v>8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6</v>
      </c>
      <c r="C7" s="24">
        <f>IFERROR(VLOOKUP(A7,'제때 피벗 '!A:ST,3,FALSE),0)</f>
        <v>48</v>
      </c>
      <c r="D7" s="20">
        <f t="shared" si="0"/>
        <v>8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6</v>
      </c>
      <c r="C8" s="24">
        <f>IFERROR(VLOOKUP(A8,'제때 피벗 '!A:ST,3,FALSE),0)</f>
        <v>42</v>
      </c>
      <c r="D8" s="20">
        <f t="shared" si="0"/>
        <v>7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6</v>
      </c>
      <c r="C9" s="24">
        <f>IFERROR(VLOOKUP(A9,'제때 피벗 '!A:ST,3,FALSE),0)</f>
        <v>18</v>
      </c>
      <c r="D9" s="20">
        <f t="shared" si="0"/>
        <v>3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6</v>
      </c>
      <c r="C10" s="24">
        <f>IFERROR(VLOOKUP(A10,'제때 피벗 '!A:ST,3,FALSE),0)</f>
        <v>78</v>
      </c>
      <c r="D10" s="20">
        <f t="shared" si="0"/>
        <v>13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6</v>
      </c>
      <c r="C11" s="24">
        <f>IFERROR(VLOOKUP(A11,'제때 피벗 '!A:ST,3,FALSE),0)</f>
        <v>120</v>
      </c>
      <c r="D11" s="20">
        <f t="shared" si="0"/>
        <v>20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6</v>
      </c>
      <c r="C12" s="24">
        <f>IFERROR(VLOOKUP(A12,'제때 피벗 '!A:ST,3,FALSE),0)</f>
        <v>12</v>
      </c>
      <c r="D12" s="20">
        <f t="shared" si="0"/>
        <v>2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6</v>
      </c>
      <c r="C13" s="24">
        <f>IFERROR(VLOOKUP(A13,'제때 피벗 '!A:ST,3,FALSE),0)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6</v>
      </c>
      <c r="C14" s="24">
        <f>IFERROR(VLOOKUP(A14,'제때 피벗 '!A:ST,3,FALSE),0)</f>
        <v>12</v>
      </c>
      <c r="D14" s="20">
        <f t="shared" si="0"/>
        <v>2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6</v>
      </c>
      <c r="C15" s="24">
        <f>IFERROR(VLOOKUP(A15,'제때 피벗 '!A:ST,3,FALSE),0)</f>
        <v>24</v>
      </c>
      <c r="D15" s="20">
        <f t="shared" si="0"/>
        <v>4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6</v>
      </c>
      <c r="C16" s="24">
        <f>IFERROR(VLOOKUP(A16,'제때 피벗 '!A:ST,3,FALSE),0)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6</v>
      </c>
      <c r="C17" s="24">
        <f>IFERROR(VLOOKUP(A17,'제때 피벗 '!A:ST,3,FALSE),0)</f>
        <v>12</v>
      </c>
      <c r="D17" s="20">
        <f t="shared" si="0"/>
        <v>2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6</v>
      </c>
      <c r="C19" s="211">
        <f>SUM(C4:C17)</f>
        <v>510</v>
      </c>
      <c r="D19" s="55">
        <f>IFERROR(ROUNDDOWN(C19/B19,0),"")</f>
        <v>85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6</v>
      </c>
      <c r="C21" s="24">
        <f>IFERROR(VLOOKUP(A21,'제때 피벗 '!A:ST,3,FALSE),0)</f>
        <v>48</v>
      </c>
      <c r="D21" s="20">
        <f>IFERROR(ROUNDDOWN(C21/B21,0),"")</f>
        <v>8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6</v>
      </c>
      <c r="C22" s="24">
        <f>IFERROR(VLOOKUP(A22,'제때 피벗 '!A:ST,3,FALSE),0)</f>
        <v>48</v>
      </c>
      <c r="D22" s="20">
        <f>IFERROR(ROUNDDOWN(C22/B22,0),"")</f>
        <v>8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6</v>
      </c>
      <c r="C23" s="24">
        <f>IFERROR(VLOOKUP(A23,'제때 피벗 '!A:ST,3,FALSE),0)</f>
        <v>42</v>
      </c>
      <c r="D23" s="20">
        <f>IFERROR(ROUNDDOWN(C23/B23,0),"")</f>
        <v>7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6</v>
      </c>
      <c r="C25" s="211">
        <f>SUM(C21:C23)</f>
        <v>138</v>
      </c>
      <c r="D25" s="55">
        <f>IFERROR(ROUNDDOWN(C25/B25,0),"")</f>
        <v>23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6</v>
      </c>
      <c r="C27" s="24">
        <f>IFERROR(VLOOKUP(A27,'제때 피벗 '!A:ST,3,FALSE),0)</f>
        <v>120</v>
      </c>
      <c r="D27" s="20">
        <f>IFERROR(ROUNDDOWN(C27/B27,0),"")</f>
        <v>20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6</v>
      </c>
      <c r="C29" s="211">
        <f>SUM(C27:C27)</f>
        <v>120</v>
      </c>
      <c r="D29" s="55">
        <f>IFERROR(ROUNDDOWN(C29/B29,0),"")</f>
        <v>20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6</v>
      </c>
      <c r="C31" s="24">
        <f>IFERROR(VLOOKUP(A31,'제때 피벗 '!A:ST,3,FALSE),0)</f>
        <v>90</v>
      </c>
      <c r="D31" s="20">
        <f>IFERROR(ROUNDDOWN(C31/B31,0),"")</f>
        <v>15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6</v>
      </c>
      <c r="C32" s="24">
        <f>IFERROR(VLOOKUP(A32,'제때 피벗 '!A:ST,3,FALSE),0)</f>
        <v>84</v>
      </c>
      <c r="D32" s="20">
        <f t="shared" ref="D32" si="6">IFERROR(ROUNDDOWN(C32/B32,0),"")</f>
        <v>14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6</v>
      </c>
      <c r="C34" s="211">
        <f>SUM(C31:C32)</f>
        <v>174</v>
      </c>
      <c r="D34" s="55">
        <f>IFERROR(ROUNDDOWN(C34/B34,0),"")</f>
        <v>29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6</v>
      </c>
      <c r="C36" s="24">
        <f>IFERROR(VLOOKUP(A36,'제때 피벗 '!A:ST,3,FALSE),0)</f>
        <v>60</v>
      </c>
      <c r="D36" s="20">
        <f t="shared" ref="D36" si="8">IFERROR(ROUNDDOWN(C36/B36,0),"")</f>
        <v>10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6</v>
      </c>
      <c r="C38" s="55">
        <f>SUM(C4:C17,C31:C32,C27:C27,C21:C23,C36)</f>
        <v>1002</v>
      </c>
      <c r="D38" s="54">
        <f>IFERROR(ROUNDDOWN(C38/B38,0),"")</f>
        <v>167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167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1002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4D69-EE03-4E19-8866-8D9B81D34D75}">
  <sheetPr>
    <tabColor theme="9" tint="0.79998168889431442"/>
  </sheetPr>
  <dimension ref="A1:SX27"/>
  <sheetViews>
    <sheetView zoomScaleNormal="100" zoomScaleSheetLayoutView="75" workbookViewId="0">
      <pane xSplit="1" topLeftCell="B1" activePane="topRight" state="frozen"/>
      <selection activeCell="A2" sqref="A2:F39"/>
      <selection pane="topRight" activeCell="D8" sqref="D8"/>
    </sheetView>
  </sheetViews>
  <sheetFormatPr defaultColWidth="9" defaultRowHeight="15" customHeight="1" x14ac:dyDescent="0.3"/>
  <cols>
    <col min="1" max="28" width="37.625" style="34" customWidth="1"/>
    <col min="29" max="29" width="22.25" style="34" bestFit="1" customWidth="1"/>
    <col min="30" max="32" width="18.375" style="34" customWidth="1"/>
    <col min="33" max="33" width="27.625" style="34" bestFit="1" customWidth="1"/>
    <col min="34" max="35" width="18.375" style="34" customWidth="1"/>
    <col min="36" max="36" width="27.625" style="34" bestFit="1" customWidth="1"/>
    <col min="37" max="37" width="18.375" style="34" customWidth="1"/>
    <col min="38" max="38" width="25.375" style="34" bestFit="1" customWidth="1"/>
    <col min="39" max="39" width="21" style="34" bestFit="1" customWidth="1"/>
    <col min="40" max="40" width="27.625" style="34" bestFit="1" customWidth="1"/>
    <col min="41" max="41" width="18.375" style="34" customWidth="1"/>
    <col min="42" max="42" width="27.625" style="34" bestFit="1" customWidth="1"/>
    <col min="43" max="396" width="30.375" style="34" customWidth="1"/>
    <col min="397" max="398" width="21.25" style="34" customWidth="1"/>
    <col min="399" max="414" width="20.5" style="34" customWidth="1"/>
    <col min="415" max="415" width="21" style="34" bestFit="1" customWidth="1"/>
    <col min="416" max="416" width="25.125" style="34" bestFit="1" customWidth="1"/>
    <col min="417" max="417" width="23" style="34" bestFit="1" customWidth="1"/>
    <col min="418" max="418" width="33.375" style="34" bestFit="1" customWidth="1"/>
    <col min="419" max="419" width="25.125" style="34" bestFit="1" customWidth="1"/>
    <col min="420" max="420" width="28.875" style="34" bestFit="1" customWidth="1"/>
    <col min="421" max="421" width="23" style="34" bestFit="1" customWidth="1"/>
    <col min="422" max="422" width="18.875" style="34" customWidth="1"/>
    <col min="423" max="423" width="23" style="34" bestFit="1" customWidth="1"/>
    <col min="424" max="424" width="25.125" style="34" bestFit="1" customWidth="1"/>
    <col min="425" max="425" width="18.875" style="34" customWidth="1"/>
    <col min="426" max="426" width="19.125" style="34" customWidth="1"/>
    <col min="427" max="427" width="18.125" style="34" customWidth="1"/>
    <col min="428" max="428" width="18.875" style="34" customWidth="1"/>
    <col min="429" max="429" width="26.625" style="34" customWidth="1"/>
    <col min="430" max="430" width="22.125" style="34" customWidth="1"/>
    <col min="431" max="431" width="24.125" style="34" customWidth="1"/>
    <col min="432" max="432" width="21.375" style="34" customWidth="1"/>
    <col min="433" max="433" width="19.375" style="34" customWidth="1"/>
    <col min="434" max="434" width="20" style="34" customWidth="1"/>
    <col min="435" max="435" width="23.25" style="34" customWidth="1"/>
    <col min="436" max="436" width="18" style="34" customWidth="1"/>
    <col min="437" max="467" width="19" style="34" customWidth="1"/>
    <col min="468" max="472" width="20.25" style="34" customWidth="1"/>
    <col min="473" max="473" width="17.25" style="34" customWidth="1"/>
    <col min="474" max="474" width="17.75" style="34" customWidth="1"/>
    <col min="475" max="475" width="16.5" style="34" customWidth="1"/>
    <col min="476" max="478" width="21" style="34" customWidth="1"/>
    <col min="479" max="479" width="18.5" style="34" customWidth="1"/>
    <col min="480" max="484" width="21" style="34" customWidth="1"/>
    <col min="485" max="485" width="15.125" style="34" customWidth="1"/>
    <col min="486" max="501" width="21" style="34" customWidth="1"/>
    <col min="502" max="502" width="24.25" style="34" customWidth="1"/>
    <col min="503" max="503" width="18.875" style="34" bestFit="1" customWidth="1"/>
    <col min="504" max="504" width="21" style="34" bestFit="1" customWidth="1"/>
    <col min="505" max="505" width="23" style="38" bestFit="1" customWidth="1"/>
    <col min="506" max="506" width="8.625" style="38" bestFit="1" customWidth="1"/>
    <col min="507" max="507" width="21" style="38" bestFit="1" customWidth="1"/>
    <col min="508" max="508" width="23" style="38" bestFit="1" customWidth="1"/>
    <col min="509" max="509" width="8.625" style="38" bestFit="1" customWidth="1"/>
    <col min="510" max="510" width="22.875" style="34" customWidth="1"/>
    <col min="511" max="517" width="20.875" style="38" customWidth="1"/>
    <col min="518" max="518" width="23.25" style="38" customWidth="1"/>
    <col min="519" max="16384" width="9" style="34"/>
  </cols>
  <sheetData>
    <row r="1" spans="1:510" s="38" customFormat="1" ht="15" customHeight="1" x14ac:dyDescent="0.3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2"/>
      <c r="AR1" s="2"/>
      <c r="AS1" s="2"/>
      <c r="AT1" s="2"/>
      <c r="AU1" s="2"/>
      <c r="AV1" s="2"/>
      <c r="AW1" s="2"/>
      <c r="AX1" s="2"/>
      <c r="AY1" s="29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32"/>
      <c r="MO1" s="23"/>
      <c r="MP1" s="23"/>
      <c r="MQ1" s="23"/>
      <c r="MR1" s="23"/>
      <c r="MS1" s="32"/>
      <c r="MT1" s="32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32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32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32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</row>
    <row r="2" spans="1:510" s="38" customFormat="1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</row>
    <row r="3" spans="1:510" s="38" customFormat="1" ht="15" customHeight="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</row>
    <row r="4" spans="1:510" s="38" customFormat="1" ht="15" customHeight="1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</row>
    <row r="5" spans="1:510" s="38" customFormat="1" ht="15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</row>
    <row r="6" spans="1:510" s="38" customFormat="1" ht="15" customHeigh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</row>
    <row r="7" spans="1:510" s="38" customFormat="1" ht="16.5" customHeight="1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</row>
    <row r="8" spans="1:510" s="38" customFormat="1" ht="1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</row>
    <row r="9" spans="1:510" s="38" customFormat="1" ht="15" customHeight="1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</row>
    <row r="10" spans="1:510" s="38" customFormat="1" ht="1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</row>
    <row r="11" spans="1:510" s="38" customFormat="1" ht="15" customHeight="1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</row>
    <row r="12" spans="1:510" s="38" customFormat="1" ht="15" customHeigh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</row>
    <row r="13" spans="1:510" s="38" customFormat="1" ht="15" customHeight="1" x14ac:dyDescent="0.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</row>
    <row r="14" spans="1:510" s="38" customFormat="1" ht="1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</row>
    <row r="15" spans="1:510" s="38" customFormat="1" ht="15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</row>
    <row r="16" spans="1:510" ht="15" customHeight="1" x14ac:dyDescent="0.3"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30:44" ht="13.5" customHeight="1" x14ac:dyDescent="0.3"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30:44" ht="15" customHeight="1" x14ac:dyDescent="0.3"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</row>
    <row r="19" spans="30:44" ht="15" customHeight="1" x14ac:dyDescent="0.3"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30:44" ht="15" customHeight="1" x14ac:dyDescent="0.3"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30:44" ht="15" customHeight="1" x14ac:dyDescent="0.3"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30:44" ht="15" customHeight="1" x14ac:dyDescent="0.3"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30:44" ht="15" customHeight="1" x14ac:dyDescent="0.3"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30:44" ht="15" customHeight="1" x14ac:dyDescent="0.3"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30:44" ht="15" customHeight="1" x14ac:dyDescent="0.3"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6" spans="30:44" ht="15" customHeight="1" x14ac:dyDescent="0.3"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R26" s="39"/>
    </row>
    <row r="27" spans="30:44" ht="15" customHeight="1" x14ac:dyDescent="0.3"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47CD-9173-4405-A4C1-B50C83030975}">
  <sheetPr>
    <tabColor theme="9" tint="0.79998168889431442"/>
    <pageSetUpPr fitToPage="1"/>
  </sheetPr>
  <dimension ref="A1:I41"/>
  <sheetViews>
    <sheetView topLeftCell="A12" zoomScaleNormal="100" zoomScaleSheetLayoutView="75" workbookViewId="0">
      <selection activeCell="A23" sqref="A23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295</v>
      </c>
      <c r="C2" s="254"/>
      <c r="D2" s="254"/>
      <c r="E2" s="254"/>
      <c r="F2" s="255"/>
    </row>
    <row r="3" spans="1:9" ht="40.5" customHeight="1" x14ac:dyDescent="0.3">
      <c r="A3" s="218">
        <f>'한빛에프엘 피벗'!A2</f>
        <v>0</v>
      </c>
      <c r="B3" s="219" t="s">
        <v>13</v>
      </c>
      <c r="C3" s="224" t="s">
        <v>294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24</v>
      </c>
      <c r="C4" s="24">
        <f>IFERROR(VLOOKUP(A4,'한빛에프엘 피벗'!A:SL,2,FALSE),0)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G4" s="34" t="s">
        <v>320</v>
      </c>
      <c r="H4" s="73"/>
      <c r="I4" s="73"/>
    </row>
    <row r="5" spans="1:9" ht="25.35" customHeight="1" x14ac:dyDescent="0.3">
      <c r="A5" s="52" t="s">
        <v>85</v>
      </c>
      <c r="B5" s="50">
        <f>$B$4</f>
        <v>24</v>
      </c>
      <c r="C5" s="24">
        <f>IFERROR(VLOOKUP(A5,'한빛에프엘 피벗'!A:SL,2,FALSE),0)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24</v>
      </c>
      <c r="C6" s="24">
        <f>IFERROR(VLOOKUP(A6,'한빛에프엘 피벗'!A:SL,2,FALSE),0)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24</v>
      </c>
      <c r="C7" s="24">
        <f>IFERROR(VLOOKUP(A7,'한빛에프엘 피벗'!A:SL,2,FALSE),0)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24</v>
      </c>
      <c r="C8" s="24">
        <f>IFERROR(VLOOKUP(A8,'한빛에프엘 피벗'!A:SL,2,FALSE),0)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24</v>
      </c>
      <c r="C9" s="24">
        <f>IFERROR(VLOOKUP(A9,'한빛에프엘 피벗'!A:SL,2,FALSE),0)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24</v>
      </c>
      <c r="C10" s="24">
        <f>IFERROR(VLOOKUP(A10,'한빛에프엘 피벗'!A:SL,2,FALSE),0)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24</v>
      </c>
      <c r="C11" s="24">
        <f>IFERROR(VLOOKUP(A11,'한빛에프엘 피벗'!A:SL,2,FALSE),0)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24</v>
      </c>
      <c r="C12" s="24">
        <f>IFERROR(VLOOKUP(A12,'한빛에프엘 피벗'!A:SL,2,FALSE),0)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24</v>
      </c>
      <c r="C13" s="24">
        <f>IFERROR(VLOOKUP(A13,'한빛에프엘 피벗'!A:SL,2,FALSE),0)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24</v>
      </c>
      <c r="C14" s="24">
        <f>IFERROR(VLOOKUP(A14,'한빛에프엘 피벗'!A:SL,2,FALSE),0)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24</v>
      </c>
      <c r="C15" s="24">
        <f>IFERROR(VLOOKUP(A15,'한빛에프엘 피벗'!A:SL,2,FALSE),0)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24</v>
      </c>
      <c r="C16" s="24">
        <f>IFERROR(VLOOKUP(A16,'한빛에프엘 피벗'!A:SL,2,FALSE),0)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24</v>
      </c>
      <c r="C17" s="24">
        <f>IFERROR(VLOOKUP(A17,'한빛에프엘 피벗'!A:SL,2,FALSE),0)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24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24</v>
      </c>
      <c r="C21" s="24">
        <f>IFERROR(VLOOKUP(A21,'한빛에프엘 피벗'!A:SL,2,FALSE),0)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24</v>
      </c>
      <c r="C22" s="24">
        <f>IFERROR(VLOOKUP(A22,'한빛에프엘 피벗'!A:SL,2,FALSE),0)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24</v>
      </c>
      <c r="C23" s="24">
        <f>IFERROR(VLOOKUP(A23,'한빛에프엘 피벗'!A:SL,2,FALSE),0)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24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24</v>
      </c>
      <c r="C27" s="24">
        <f>IFERROR(VLOOKUP(A27,'한빛에프엘 피벗'!A:SL,2,FALSE),0)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24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24</v>
      </c>
      <c r="C31" s="24">
        <f>IFERROR(VLOOKUP(A31,'한빛에프엘 피벗'!A:SL,2,FALSE),0)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24</v>
      </c>
      <c r="C32" s="24">
        <f>IFERROR(VLOOKUP(A32,'한빛에프엘 피벗'!A:SL,2,FALSE),0)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24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24</v>
      </c>
      <c r="C36" s="24">
        <f>IFERROR(VLOOKUP(A36,'한빛에프엘 피벗'!A:SL,2,FALSE),0)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24</v>
      </c>
      <c r="C38" s="55">
        <f>SUM(C4:C17,C31:C32,C27:C27,C21:C23,C36)</f>
        <v>0</v>
      </c>
      <c r="D38" s="54">
        <f>IFERROR(ROUNDDOWN(C38/B38,0),"")</f>
        <v>0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0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0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9B00-A9D2-46AE-93C3-0FD78063DC4D}">
  <sheetPr>
    <tabColor theme="9" tint="0.79998168889431442"/>
    <pageSetUpPr fitToPage="1"/>
  </sheetPr>
  <dimension ref="A1:I41"/>
  <sheetViews>
    <sheetView zoomScale="55" zoomScaleNormal="55" zoomScaleSheetLayoutView="75" workbookViewId="0">
      <selection activeCell="A34" sqref="A34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295</v>
      </c>
      <c r="C2" s="254"/>
      <c r="D2" s="254"/>
      <c r="E2" s="254"/>
      <c r="F2" s="255"/>
    </row>
    <row r="3" spans="1:9" ht="40.5" customHeight="1" x14ac:dyDescent="0.3">
      <c r="A3" s="218">
        <f>'한빛에프엘 피벗'!A2</f>
        <v>0</v>
      </c>
      <c r="B3" s="219" t="s">
        <v>13</v>
      </c>
      <c r="C3" s="224" t="s">
        <v>294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304</v>
      </c>
      <c r="B4" s="50">
        <v>24</v>
      </c>
      <c r="C4" s="24">
        <f>IFERROR(VLOOKUP(A4,'한빛에프엘 피벗'!A:SL,2,FALSE),0)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299</v>
      </c>
      <c r="B5" s="50">
        <f>$B$4</f>
        <v>24</v>
      </c>
      <c r="C5" s="24">
        <f>IFERROR(VLOOKUP(A5,'한빛에프엘 피벗'!A:SL,2,FALSE),0)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300</v>
      </c>
      <c r="B6" s="50">
        <f t="shared" ref="B6:B17" si="2">$B$4</f>
        <v>24</v>
      </c>
      <c r="C6" s="24">
        <f>IFERROR(VLOOKUP(A6,'한빛에프엘 피벗'!A:SL,2,FALSE),0)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305</v>
      </c>
      <c r="B7" s="50">
        <f t="shared" si="2"/>
        <v>24</v>
      </c>
      <c r="C7" s="24">
        <f>IFERROR(VLOOKUP(A7,'한빛에프엘 피벗'!A:SL,2,FALSE),0)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306</v>
      </c>
      <c r="B8" s="50">
        <f t="shared" si="2"/>
        <v>24</v>
      </c>
      <c r="C8" s="24">
        <f>IFERROR(VLOOKUP(A8,'한빛에프엘 피벗'!A:SL,2,FALSE),0)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301</v>
      </c>
      <c r="B9" s="50">
        <f t="shared" si="2"/>
        <v>24</v>
      </c>
      <c r="C9" s="24">
        <f>IFERROR(VLOOKUP(A9,'한빛에프엘 피벗'!A:SL,2,FALSE),0)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302</v>
      </c>
      <c r="B10" s="50">
        <f t="shared" si="2"/>
        <v>24</v>
      </c>
      <c r="C10" s="24">
        <f>IFERROR(VLOOKUP(A10,'한빛에프엘 피벗'!A:SL,2,FALSE),0)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303</v>
      </c>
      <c r="B11" s="50">
        <f t="shared" si="2"/>
        <v>24</v>
      </c>
      <c r="C11" s="24">
        <f>IFERROR(VLOOKUP(A11,'한빛에프엘 피벗'!A:SL,2,FALSE),0)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307</v>
      </c>
      <c r="B12" s="50">
        <f t="shared" si="2"/>
        <v>24</v>
      </c>
      <c r="C12" s="24">
        <f>IFERROR(VLOOKUP(A12,'한빛에프엘 피벗'!A:SL,2,FALSE),0)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309</v>
      </c>
      <c r="B13" s="50">
        <f t="shared" si="2"/>
        <v>24</v>
      </c>
      <c r="C13" s="24">
        <f>IFERROR(VLOOKUP(A13,'한빛에프엘 피벗'!A:SL,2,FALSE),0)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312</v>
      </c>
      <c r="B14" s="50">
        <f t="shared" si="2"/>
        <v>24</v>
      </c>
      <c r="C14" s="24">
        <f>IFERROR(VLOOKUP(A14,'한빛에프엘 피벗'!A:SL,2,FALSE),0)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310</v>
      </c>
      <c r="B15" s="50">
        <f t="shared" si="2"/>
        <v>24</v>
      </c>
      <c r="C15" s="24">
        <f>IFERROR(VLOOKUP(A15,'한빛에프엘 피벗'!A:SL,2,FALSE),0)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311</v>
      </c>
      <c r="B16" s="50">
        <f t="shared" si="2"/>
        <v>24</v>
      </c>
      <c r="C16" s="24">
        <f>IFERROR(VLOOKUP(A16,'한빛에프엘 피벗'!A:SL,2,FALSE),0)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308</v>
      </c>
      <c r="B17" s="50">
        <f t="shared" si="2"/>
        <v>24</v>
      </c>
      <c r="C17" s="24">
        <f>IFERROR(VLOOKUP(A17,'한빛에프엘 피벗'!A:SL,2,FALSE),0)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24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313</v>
      </c>
      <c r="B21" s="50">
        <f t="shared" ref="B21:B23" si="3">$B$4</f>
        <v>24</v>
      </c>
      <c r="C21" s="24">
        <f>IFERROR(VLOOKUP(A21,'한빛에프엘 피벗'!A:SL,2,FALSE),0)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314</v>
      </c>
      <c r="B22" s="50">
        <f t="shared" si="3"/>
        <v>24</v>
      </c>
      <c r="C22" s="24">
        <f>IFERROR(VLOOKUP(A22,'한빛에프엘 피벗'!A:SL,2,FALSE),0)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319</v>
      </c>
      <c r="B23" s="50">
        <f t="shared" si="3"/>
        <v>24</v>
      </c>
      <c r="C23" s="24">
        <f>IFERROR(VLOOKUP(A23,'한빛에프엘 피벗'!A:SL,2,FALSE),0)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24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316</v>
      </c>
      <c r="B27" s="50">
        <f t="shared" ref="B27" si="4">$B$4</f>
        <v>24</v>
      </c>
      <c r="C27" s="24">
        <f>IFERROR(VLOOKUP(A27,'한빛에프엘 피벗'!A:SL,2,FALSE),0)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24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317</v>
      </c>
      <c r="B31" s="50">
        <f t="shared" ref="B31:B32" si="5">$B$4</f>
        <v>24</v>
      </c>
      <c r="C31" s="24">
        <f>IFERROR(VLOOKUP(A31,'한빛에프엘 피벗'!A:SL,2,FALSE),0)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318</v>
      </c>
      <c r="B32" s="50">
        <f t="shared" si="5"/>
        <v>24</v>
      </c>
      <c r="C32" s="24">
        <f>IFERROR(VLOOKUP(A32,'한빛에프엘 피벗'!A:SL,2,FALSE),0)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24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315</v>
      </c>
      <c r="B36" s="50">
        <f t="shared" ref="B36" si="7">$B$4</f>
        <v>24</v>
      </c>
      <c r="C36" s="24">
        <f>IFERROR(VLOOKUP(A36,'한빛에프엘 피벗'!A:SL,2,FALSE),0)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24</v>
      </c>
      <c r="C38" s="55">
        <f>SUM(C4:C17,C31:C32,C27:C27,C21:C23,C36)</f>
        <v>0</v>
      </c>
      <c r="D38" s="54">
        <f>IFERROR(ROUNDDOWN(C38/B38,0),"")</f>
        <v>0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0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0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D7CA-476A-4975-9C18-52A1FFAC168C}">
  <sheetPr>
    <tabColor theme="8" tint="0.79998168889431442"/>
    <pageSetUpPr fitToPage="1"/>
  </sheetPr>
  <dimension ref="A1:J143"/>
  <sheetViews>
    <sheetView topLeftCell="A86" zoomScale="55" zoomScaleNormal="55" zoomScaleSheetLayoutView="75" workbookViewId="0">
      <selection activeCell="A111" sqref="A111:F116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9" width="9" style="34"/>
    <col min="10" max="10" width="33.75" style="34" customWidth="1"/>
    <col min="11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10" ht="50.25" customHeight="1" thickBot="1" x14ac:dyDescent="0.35">
      <c r="A1" s="253"/>
      <c r="B1" s="253"/>
      <c r="C1" s="253"/>
      <c r="D1" s="253"/>
      <c r="E1" s="253"/>
      <c r="F1" s="253"/>
      <c r="J1" s="229" t="s">
        <v>327</v>
      </c>
    </row>
    <row r="2" spans="1:10" ht="17.25" thickBot="1" x14ac:dyDescent="0.35"/>
    <row r="3" spans="1:10" ht="25.9" customHeight="1" x14ac:dyDescent="0.3">
      <c r="A3" s="217">
        <f ca="1">TODAY()</f>
        <v>46309</v>
      </c>
      <c r="B3" s="254" t="s">
        <v>283</v>
      </c>
      <c r="C3" s="254"/>
      <c r="D3" s="254"/>
      <c r="E3" s="254"/>
      <c r="F3" s="255"/>
    </row>
    <row r="4" spans="1:10" ht="40.5" customHeight="1" x14ac:dyDescent="0.3">
      <c r="A4" s="218" t="str">
        <f>$J$1</f>
        <v>10/14 납품</v>
      </c>
      <c r="B4" s="219" t="s">
        <v>13</v>
      </c>
      <c r="C4" s="224" t="s">
        <v>279</v>
      </c>
      <c r="D4" s="221" t="s">
        <v>2</v>
      </c>
      <c r="E4" s="219" t="s">
        <v>23</v>
      </c>
      <c r="F4" s="222" t="s">
        <v>14</v>
      </c>
    </row>
    <row r="5" spans="1:10" ht="27.75" customHeight="1" x14ac:dyDescent="0.3">
      <c r="A5" s="52" t="s">
        <v>84</v>
      </c>
      <c r="B5" s="50">
        <v>15</v>
      </c>
      <c r="C5" s="24">
        <f>IFERROR(VLOOKUP(A5,'리치푸드 피벗'!$A$1:$O$10,2,FALSE),0)</f>
        <v>0</v>
      </c>
      <c r="D5" s="20">
        <f t="shared" ref="D5" si="0">IFERROR(ROUNDDOWN(C5/B5,0),"")</f>
        <v>0</v>
      </c>
      <c r="E5" s="215" t="s">
        <v>120</v>
      </c>
      <c r="F5" s="26">
        <f t="shared" ref="F5" si="1">IFERROR(C5-(D5*B5),"")</f>
        <v>0</v>
      </c>
      <c r="H5" s="73"/>
      <c r="I5" s="73"/>
    </row>
    <row r="6" spans="1:10" ht="6" customHeight="1" x14ac:dyDescent="0.3">
      <c r="A6" s="52"/>
      <c r="B6" s="50"/>
      <c r="C6" s="24"/>
      <c r="D6" s="20"/>
      <c r="E6" s="215"/>
      <c r="F6" s="26"/>
      <c r="H6" s="73"/>
      <c r="I6" s="73"/>
    </row>
    <row r="7" spans="1:10" ht="26.25" x14ac:dyDescent="0.3">
      <c r="A7" s="87" t="s">
        <v>3</v>
      </c>
      <c r="B7" s="57">
        <f>B5</f>
        <v>15</v>
      </c>
      <c r="C7" s="55">
        <f>C5</f>
        <v>0</v>
      </c>
      <c r="D7" s="54">
        <f>IFERROR(ROUNDDOWN(C7/B7,0),"")</f>
        <v>0</v>
      </c>
      <c r="E7" s="56"/>
      <c r="F7" s="121">
        <f>IFERROR(C7-(D7*B7),"")</f>
        <v>0</v>
      </c>
      <c r="H7" s="73"/>
      <c r="I7" s="73"/>
    </row>
    <row r="8" spans="1:10" ht="27" thickBot="1" x14ac:dyDescent="0.35">
      <c r="A8" s="42" t="s">
        <v>238</v>
      </c>
      <c r="B8" s="43" t="s">
        <v>173</v>
      </c>
      <c r="C8" s="40"/>
      <c r="D8" s="41">
        <f>SUM(D5)</f>
        <v>0</v>
      </c>
      <c r="E8" s="48"/>
      <c r="F8" s="93">
        <f>SUM(F5)</f>
        <v>0</v>
      </c>
    </row>
    <row r="9" spans="1:10" x14ac:dyDescent="0.3">
      <c r="C9" s="77">
        <f>C5</f>
        <v>0</v>
      </c>
    </row>
    <row r="10" spans="1:10" x14ac:dyDescent="0.3">
      <c r="C10" s="34" t="b">
        <f>C5=C7</f>
        <v>1</v>
      </c>
    </row>
    <row r="11" spans="1:10" ht="17.25" thickBot="1" x14ac:dyDescent="0.35"/>
    <row r="12" spans="1:10" ht="25.9" customHeight="1" x14ac:dyDescent="0.3">
      <c r="A12" s="217">
        <f ca="1">TODAY()</f>
        <v>46309</v>
      </c>
      <c r="B12" s="254" t="s">
        <v>280</v>
      </c>
      <c r="C12" s="254"/>
      <c r="D12" s="254"/>
      <c r="E12" s="254"/>
      <c r="F12" s="255"/>
    </row>
    <row r="13" spans="1:10" ht="40.5" customHeight="1" x14ac:dyDescent="0.3">
      <c r="A13" s="218" t="str">
        <f>$J$1</f>
        <v>10/14 납품</v>
      </c>
      <c r="B13" s="219" t="s">
        <v>13</v>
      </c>
      <c r="C13" s="224" t="s">
        <v>282</v>
      </c>
      <c r="D13" s="221" t="s">
        <v>2</v>
      </c>
      <c r="E13" s="219" t="s">
        <v>23</v>
      </c>
      <c r="F13" s="222" t="s">
        <v>14</v>
      </c>
    </row>
    <row r="14" spans="1:10" ht="27.75" customHeight="1" x14ac:dyDescent="0.3">
      <c r="A14" s="52" t="s">
        <v>84</v>
      </c>
      <c r="B14" s="50">
        <v>12</v>
      </c>
      <c r="C14" s="24">
        <f>IFERROR(VLOOKUP(A14,'리치푸드 피벗'!$A$1:$O$10,3,FALSE),0)</f>
        <v>0</v>
      </c>
      <c r="D14" s="20">
        <f t="shared" ref="D14" si="2">IFERROR(ROUNDDOWN(C14/B14,0),"")</f>
        <v>0</v>
      </c>
      <c r="E14" s="215" t="s">
        <v>120</v>
      </c>
      <c r="F14" s="26">
        <f t="shared" ref="F14" si="3">IFERROR(C14-(D14*B14),"")</f>
        <v>0</v>
      </c>
      <c r="H14" s="73"/>
    </row>
    <row r="15" spans="1:10" ht="6" customHeight="1" x14ac:dyDescent="0.3">
      <c r="A15" s="52"/>
      <c r="B15" s="50"/>
      <c r="C15" s="24"/>
      <c r="D15" s="20"/>
      <c r="E15" s="215"/>
      <c r="F15" s="26"/>
      <c r="H15" s="73"/>
    </row>
    <row r="16" spans="1:10" ht="26.25" x14ac:dyDescent="0.3">
      <c r="A16" s="87" t="s">
        <v>3</v>
      </c>
      <c r="B16" s="57">
        <f>B14</f>
        <v>12</v>
      </c>
      <c r="C16" s="55">
        <f>C14</f>
        <v>0</v>
      </c>
      <c r="D16" s="54">
        <f>IFERROR(ROUNDDOWN(C16/B16,0),"")</f>
        <v>0</v>
      </c>
      <c r="E16" s="56"/>
      <c r="F16" s="121">
        <f>IFERROR(C16-(D16*B16),"")</f>
        <v>0</v>
      </c>
      <c r="H16" s="73"/>
    </row>
    <row r="17" spans="1:8" ht="27" thickBot="1" x14ac:dyDescent="0.35">
      <c r="A17" s="42" t="s">
        <v>238</v>
      </c>
      <c r="B17" s="43" t="s">
        <v>173</v>
      </c>
      <c r="C17" s="40"/>
      <c r="D17" s="41">
        <f>SUM(D14)</f>
        <v>0</v>
      </c>
      <c r="E17" s="48"/>
      <c r="F17" s="93">
        <f>SUM(F14)</f>
        <v>0</v>
      </c>
    </row>
    <row r="18" spans="1:8" x14ac:dyDescent="0.3">
      <c r="C18" s="77">
        <f>C14</f>
        <v>0</v>
      </c>
    </row>
    <row r="19" spans="1:8" x14ac:dyDescent="0.3">
      <c r="C19" s="34" t="b">
        <f>C14=C16</f>
        <v>1</v>
      </c>
    </row>
    <row r="20" spans="1:8" ht="17.25" thickBot="1" x14ac:dyDescent="0.35"/>
    <row r="21" spans="1:8" ht="25.9" customHeight="1" x14ac:dyDescent="0.3">
      <c r="A21" s="217">
        <f ca="1">TODAY()</f>
        <v>46309</v>
      </c>
      <c r="B21" s="254" t="s">
        <v>280</v>
      </c>
      <c r="C21" s="254"/>
      <c r="D21" s="254"/>
      <c r="E21" s="254"/>
      <c r="F21" s="255"/>
    </row>
    <row r="22" spans="1:8" ht="40.5" customHeight="1" x14ac:dyDescent="0.3">
      <c r="A22" s="218" t="str">
        <f>$J$1</f>
        <v>10/14 납품</v>
      </c>
      <c r="B22" s="219" t="s">
        <v>13</v>
      </c>
      <c r="C22" s="224" t="s">
        <v>281</v>
      </c>
      <c r="D22" s="221" t="s">
        <v>2</v>
      </c>
      <c r="E22" s="219" t="s">
        <v>23</v>
      </c>
      <c r="F22" s="222" t="s">
        <v>14</v>
      </c>
    </row>
    <row r="23" spans="1:8" ht="27.75" customHeight="1" x14ac:dyDescent="0.3">
      <c r="A23" s="52" t="s">
        <v>84</v>
      </c>
      <c r="B23" s="50">
        <v>12</v>
      </c>
      <c r="C23" s="24">
        <f>IFERROR(VLOOKUP(A23,'리치푸드 피벗'!$A$1:$O$10,4,FALSE),0)</f>
        <v>0</v>
      </c>
      <c r="D23" s="20">
        <f t="shared" ref="D23" si="4">IFERROR(ROUNDDOWN(C23/B23,0),"")</f>
        <v>0</v>
      </c>
      <c r="E23" s="215" t="s">
        <v>120</v>
      </c>
      <c r="F23" s="26">
        <f t="shared" ref="F23" si="5">IFERROR(C23-(D23*B23),"")</f>
        <v>0</v>
      </c>
      <c r="H23" s="73"/>
    </row>
    <row r="24" spans="1:8" ht="6" customHeight="1" x14ac:dyDescent="0.3">
      <c r="A24" s="52"/>
      <c r="B24" s="50"/>
      <c r="C24" s="24"/>
      <c r="D24" s="20"/>
      <c r="E24" s="215"/>
      <c r="F24" s="26"/>
      <c r="H24" s="73"/>
    </row>
    <row r="25" spans="1:8" ht="27" thickBot="1" x14ac:dyDescent="0.35">
      <c r="A25" s="87" t="s">
        <v>3</v>
      </c>
      <c r="B25" s="57">
        <f>B23</f>
        <v>12</v>
      </c>
      <c r="C25" s="55">
        <f>C23</f>
        <v>0</v>
      </c>
      <c r="D25" s="54">
        <f>IFERROR(ROUNDDOWN(C25/B25,0),"")</f>
        <v>0</v>
      </c>
      <c r="E25" s="56"/>
      <c r="F25" s="121">
        <f>IFERROR(C25-(D25*B25),"")</f>
        <v>0</v>
      </c>
      <c r="H25" s="73"/>
    </row>
    <row r="26" spans="1:8" ht="27" thickBot="1" x14ac:dyDescent="0.35">
      <c r="A26" s="42" t="s">
        <v>238</v>
      </c>
      <c r="B26" s="43" t="s">
        <v>173</v>
      </c>
      <c r="C26" s="40"/>
      <c r="D26" s="41">
        <f>SUM(D23)</f>
        <v>0</v>
      </c>
      <c r="E26" s="48"/>
      <c r="F26" s="93">
        <f>SUM(F23)</f>
        <v>0</v>
      </c>
    </row>
    <row r="27" spans="1:8" x14ac:dyDescent="0.3">
      <c r="C27" s="77">
        <f>C23</f>
        <v>0</v>
      </c>
    </row>
    <row r="28" spans="1:8" x14ac:dyDescent="0.3">
      <c r="C28" s="34" t="b">
        <f>C23=C25</f>
        <v>1</v>
      </c>
    </row>
    <row r="29" spans="1:8" ht="17.25" thickBot="1" x14ac:dyDescent="0.35"/>
    <row r="30" spans="1:8" ht="25.5" customHeight="1" x14ac:dyDescent="0.3">
      <c r="A30" s="217">
        <f ca="1">TODAY()</f>
        <v>46309</v>
      </c>
      <c r="B30" s="254" t="s">
        <v>283</v>
      </c>
      <c r="C30" s="254"/>
      <c r="D30" s="254"/>
      <c r="E30" s="254"/>
      <c r="F30" s="255"/>
    </row>
    <row r="31" spans="1:8" ht="40.5" customHeight="1" x14ac:dyDescent="0.3">
      <c r="A31" s="218" t="str">
        <f>$J$1</f>
        <v>10/14 납품</v>
      </c>
      <c r="B31" s="219" t="s">
        <v>13</v>
      </c>
      <c r="C31" s="224" t="s">
        <v>284</v>
      </c>
      <c r="D31" s="221" t="s">
        <v>2</v>
      </c>
      <c r="E31" s="219" t="s">
        <v>23</v>
      </c>
      <c r="F31" s="222" t="s">
        <v>14</v>
      </c>
    </row>
    <row r="32" spans="1:8" ht="27.75" customHeight="1" x14ac:dyDescent="0.3">
      <c r="A32" s="52" t="s">
        <v>84</v>
      </c>
      <c r="B32" s="50">
        <v>15</v>
      </c>
      <c r="C32" s="24">
        <f>IFERROR(VLOOKUP(A32,'리치푸드 피벗'!$A$1:$O$10,5,FALSE),0)</f>
        <v>0</v>
      </c>
      <c r="D32" s="20">
        <f t="shared" ref="D32" si="6">IFERROR(ROUNDDOWN(C32/B32,0),"")</f>
        <v>0</v>
      </c>
      <c r="E32" s="215" t="s">
        <v>120</v>
      </c>
      <c r="F32" s="26">
        <f t="shared" ref="F32" si="7">IFERROR(C32-(D32*B32),"")</f>
        <v>0</v>
      </c>
      <c r="H32" s="73"/>
    </row>
    <row r="33" spans="1:8" ht="6" customHeight="1" x14ac:dyDescent="0.3">
      <c r="A33" s="52"/>
      <c r="B33" s="50"/>
      <c r="C33" s="24"/>
      <c r="D33" s="20"/>
      <c r="E33" s="215"/>
      <c r="F33" s="26"/>
      <c r="H33" s="73"/>
    </row>
    <row r="34" spans="1:8" ht="26.25" x14ac:dyDescent="0.3">
      <c r="A34" s="87" t="s">
        <v>3</v>
      </c>
      <c r="B34" s="57">
        <f>B32</f>
        <v>15</v>
      </c>
      <c r="C34" s="55">
        <f>C32</f>
        <v>0</v>
      </c>
      <c r="D34" s="54">
        <f>IFERROR(ROUNDDOWN(C34/B34,0),"")</f>
        <v>0</v>
      </c>
      <c r="E34" s="56"/>
      <c r="F34" s="121">
        <f>IFERROR(C34-(D34*B34),"")</f>
        <v>0</v>
      </c>
      <c r="H34" s="73"/>
    </row>
    <row r="35" spans="1:8" ht="27" thickBot="1" x14ac:dyDescent="0.35">
      <c r="A35" s="42" t="s">
        <v>238</v>
      </c>
      <c r="B35" s="43" t="s">
        <v>173</v>
      </c>
      <c r="C35" s="40"/>
      <c r="D35" s="41">
        <f>SUM(D32)</f>
        <v>0</v>
      </c>
      <c r="E35" s="48"/>
      <c r="F35" s="93">
        <f>SUM(F32)</f>
        <v>0</v>
      </c>
    </row>
    <row r="36" spans="1:8" x14ac:dyDescent="0.3">
      <c r="C36" s="77">
        <f>C32</f>
        <v>0</v>
      </c>
    </row>
    <row r="37" spans="1:8" x14ac:dyDescent="0.3">
      <c r="C37" s="34" t="b">
        <f>C32=C34</f>
        <v>1</v>
      </c>
    </row>
    <row r="38" spans="1:8" ht="17.25" thickBot="1" x14ac:dyDescent="0.35"/>
    <row r="39" spans="1:8" ht="25.5" customHeight="1" x14ac:dyDescent="0.3">
      <c r="A39" s="217">
        <f ca="1">TODAY()</f>
        <v>46309</v>
      </c>
      <c r="B39" s="254" t="s">
        <v>283</v>
      </c>
      <c r="C39" s="254"/>
      <c r="D39" s="254"/>
      <c r="E39" s="254"/>
      <c r="F39" s="255"/>
    </row>
    <row r="40" spans="1:8" ht="40.5" customHeight="1" x14ac:dyDescent="0.3">
      <c r="A40" s="218" t="str">
        <f>$J$1</f>
        <v>10/14 납품</v>
      </c>
      <c r="B40" s="219" t="s">
        <v>13</v>
      </c>
      <c r="C40" s="224" t="s">
        <v>285</v>
      </c>
      <c r="D40" s="221" t="s">
        <v>2</v>
      </c>
      <c r="E40" s="219" t="s">
        <v>23</v>
      </c>
      <c r="F40" s="222" t="s">
        <v>14</v>
      </c>
    </row>
    <row r="41" spans="1:8" ht="27.75" customHeight="1" x14ac:dyDescent="0.3">
      <c r="A41" s="52" t="s">
        <v>84</v>
      </c>
      <c r="B41" s="50">
        <v>15</v>
      </c>
      <c r="C41" s="24">
        <f>IFERROR(VLOOKUP(A41,'리치푸드 피벗'!$A$1:$O$10,6,FALSE),0)</f>
        <v>0</v>
      </c>
      <c r="D41" s="20">
        <f t="shared" ref="D41" si="8">IFERROR(ROUNDDOWN(C41/B41,0),"")</f>
        <v>0</v>
      </c>
      <c r="E41" s="215" t="s">
        <v>120</v>
      </c>
      <c r="F41" s="26">
        <f t="shared" ref="F41" si="9">IFERROR(C41-(D41*B41),"")</f>
        <v>0</v>
      </c>
      <c r="H41" s="73"/>
    </row>
    <row r="42" spans="1:8" ht="6" customHeight="1" x14ac:dyDescent="0.3">
      <c r="A42" s="52"/>
      <c r="B42" s="50"/>
      <c r="C42" s="24"/>
      <c r="D42" s="20"/>
      <c r="E42" s="215"/>
      <c r="F42" s="26"/>
      <c r="H42" s="73"/>
    </row>
    <row r="43" spans="1:8" ht="26.25" x14ac:dyDescent="0.3">
      <c r="A43" s="87" t="s">
        <v>3</v>
      </c>
      <c r="B43" s="57">
        <f>B41</f>
        <v>15</v>
      </c>
      <c r="C43" s="55">
        <f>C41</f>
        <v>0</v>
      </c>
      <c r="D43" s="54">
        <f>IFERROR(ROUNDDOWN(C43/B43,0),"")</f>
        <v>0</v>
      </c>
      <c r="E43" s="56"/>
      <c r="F43" s="121">
        <f>IFERROR(C43-(D43*B43),"")</f>
        <v>0</v>
      </c>
      <c r="H43" s="73"/>
    </row>
    <row r="44" spans="1:8" ht="27" thickBot="1" x14ac:dyDescent="0.35">
      <c r="A44" s="42" t="s">
        <v>238</v>
      </c>
      <c r="B44" s="43" t="s">
        <v>173</v>
      </c>
      <c r="C44" s="40"/>
      <c r="D44" s="41">
        <f>SUM(D41)</f>
        <v>0</v>
      </c>
      <c r="E44" s="48"/>
      <c r="F44" s="93">
        <f>SUM(F41)</f>
        <v>0</v>
      </c>
    </row>
    <row r="45" spans="1:8" x14ac:dyDescent="0.3">
      <c r="C45" s="77">
        <f>C41</f>
        <v>0</v>
      </c>
    </row>
    <row r="46" spans="1:8" x14ac:dyDescent="0.3">
      <c r="C46" s="34" t="b">
        <f>C41=C43</f>
        <v>1</v>
      </c>
    </row>
    <row r="47" spans="1:8" ht="17.25" thickBot="1" x14ac:dyDescent="0.35"/>
    <row r="48" spans="1:8" ht="25.5" customHeight="1" x14ac:dyDescent="0.3">
      <c r="A48" s="217">
        <f ca="1">TODAY()</f>
        <v>46309</v>
      </c>
      <c r="B48" s="254" t="s">
        <v>283</v>
      </c>
      <c r="C48" s="254"/>
      <c r="D48" s="254"/>
      <c r="E48" s="254"/>
      <c r="F48" s="255"/>
    </row>
    <row r="49" spans="1:8" ht="40.5" customHeight="1" x14ac:dyDescent="0.3">
      <c r="A49" s="218" t="str">
        <f>$J$1</f>
        <v>10/14 납품</v>
      </c>
      <c r="B49" s="219" t="s">
        <v>13</v>
      </c>
      <c r="C49" s="224" t="s">
        <v>286</v>
      </c>
      <c r="D49" s="221" t="s">
        <v>2</v>
      </c>
      <c r="E49" s="219" t="s">
        <v>23</v>
      </c>
      <c r="F49" s="222" t="s">
        <v>14</v>
      </c>
    </row>
    <row r="50" spans="1:8" ht="27.75" customHeight="1" x14ac:dyDescent="0.3">
      <c r="A50" s="52" t="s">
        <v>84</v>
      </c>
      <c r="B50" s="50">
        <v>15</v>
      </c>
      <c r="C50" s="24">
        <f>IFERROR(VLOOKUP(A50,'리치푸드 피벗'!$A$1:$O$10,7,FALSE),0)</f>
        <v>0</v>
      </c>
      <c r="D50" s="20">
        <f t="shared" ref="D50" si="10">IFERROR(ROUNDDOWN(C50/B50,0),"")</f>
        <v>0</v>
      </c>
      <c r="E50" s="215" t="s">
        <v>120</v>
      </c>
      <c r="F50" s="26">
        <f t="shared" ref="F50" si="11">IFERROR(C50-(D50*B50),"")</f>
        <v>0</v>
      </c>
      <c r="H50" s="73"/>
    </row>
    <row r="51" spans="1:8" ht="6" customHeight="1" x14ac:dyDescent="0.3">
      <c r="A51" s="52"/>
      <c r="B51" s="50"/>
      <c r="C51" s="24"/>
      <c r="D51" s="20"/>
      <c r="E51" s="215"/>
      <c r="F51" s="26"/>
      <c r="H51" s="73"/>
    </row>
    <row r="52" spans="1:8" ht="26.25" x14ac:dyDescent="0.3">
      <c r="A52" s="87" t="s">
        <v>3</v>
      </c>
      <c r="B52" s="57">
        <f>B50</f>
        <v>15</v>
      </c>
      <c r="C52" s="55">
        <f>C50</f>
        <v>0</v>
      </c>
      <c r="D52" s="54">
        <f>IFERROR(ROUNDDOWN(C52/B52,0),"")</f>
        <v>0</v>
      </c>
      <c r="E52" s="56"/>
      <c r="F52" s="121">
        <f>IFERROR(C52-(D52*B52),"")</f>
        <v>0</v>
      </c>
      <c r="H52" s="73"/>
    </row>
    <row r="53" spans="1:8" ht="27" thickBot="1" x14ac:dyDescent="0.35">
      <c r="A53" s="42" t="s">
        <v>238</v>
      </c>
      <c r="B53" s="43" t="s">
        <v>173</v>
      </c>
      <c r="C53" s="40"/>
      <c r="D53" s="41">
        <f>SUM(D50)</f>
        <v>0</v>
      </c>
      <c r="E53" s="48"/>
      <c r="F53" s="93">
        <f>SUM(F50)</f>
        <v>0</v>
      </c>
    </row>
    <row r="54" spans="1:8" x14ac:dyDescent="0.3">
      <c r="C54" s="77">
        <f>C50</f>
        <v>0</v>
      </c>
    </row>
    <row r="55" spans="1:8" x14ac:dyDescent="0.3">
      <c r="C55" s="34" t="b">
        <f>C50=C52</f>
        <v>1</v>
      </c>
    </row>
    <row r="56" spans="1:8" ht="17.25" thickBot="1" x14ac:dyDescent="0.35"/>
    <row r="57" spans="1:8" ht="25.5" customHeight="1" x14ac:dyDescent="0.3">
      <c r="A57" s="217">
        <f ca="1">TODAY()</f>
        <v>46309</v>
      </c>
      <c r="B57" s="254" t="s">
        <v>288</v>
      </c>
      <c r="C57" s="254"/>
      <c r="D57" s="254"/>
      <c r="E57" s="254"/>
      <c r="F57" s="255"/>
    </row>
    <row r="58" spans="1:8" ht="40.5" customHeight="1" x14ac:dyDescent="0.3">
      <c r="A58" s="218" t="str">
        <f>$J$1</f>
        <v>10/14 납품</v>
      </c>
      <c r="B58" s="219" t="s">
        <v>13</v>
      </c>
      <c r="C58" s="224" t="s">
        <v>287</v>
      </c>
      <c r="D58" s="221" t="s">
        <v>2</v>
      </c>
      <c r="E58" s="219" t="s">
        <v>23</v>
      </c>
      <c r="F58" s="222" t="s">
        <v>14</v>
      </c>
    </row>
    <row r="59" spans="1:8" ht="27.75" customHeight="1" x14ac:dyDescent="0.3">
      <c r="A59" s="52" t="s">
        <v>84</v>
      </c>
      <c r="B59" s="50">
        <v>40</v>
      </c>
      <c r="C59" s="24">
        <f>IFERROR(VLOOKUP(A59,'H2 피벗'!$A$1:$E$26,2,FALSE),0)</f>
        <v>0</v>
      </c>
      <c r="D59" s="20">
        <f t="shared" ref="D59" si="12">IFERROR(ROUNDDOWN(C59/B59,0),"")</f>
        <v>0</v>
      </c>
      <c r="E59" s="215" t="s">
        <v>120</v>
      </c>
      <c r="F59" s="26">
        <f t="shared" ref="F59" si="13">IFERROR(C59-(D59*B59),"")</f>
        <v>0</v>
      </c>
      <c r="H59" s="73"/>
    </row>
    <row r="60" spans="1:8" ht="6" customHeight="1" x14ac:dyDescent="0.3">
      <c r="A60" s="52"/>
      <c r="B60" s="50"/>
      <c r="C60" s="24"/>
      <c r="D60" s="20"/>
      <c r="E60" s="215"/>
      <c r="F60" s="26"/>
      <c r="H60" s="73"/>
    </row>
    <row r="61" spans="1:8" ht="26.25" x14ac:dyDescent="0.3">
      <c r="A61" s="87" t="s">
        <v>3</v>
      </c>
      <c r="B61" s="57">
        <f>B59</f>
        <v>40</v>
      </c>
      <c r="C61" s="55">
        <f>C59</f>
        <v>0</v>
      </c>
      <c r="D61" s="54">
        <f>IFERROR(ROUNDDOWN(C61/B61,0),"")</f>
        <v>0</v>
      </c>
      <c r="E61" s="56"/>
      <c r="F61" s="121">
        <f>IFERROR(C61-(D61*B61),"")</f>
        <v>0</v>
      </c>
      <c r="H61" s="73"/>
    </row>
    <row r="62" spans="1:8" ht="27" thickBot="1" x14ac:dyDescent="0.35">
      <c r="A62" s="42" t="s">
        <v>238</v>
      </c>
      <c r="B62" s="43" t="s">
        <v>173</v>
      </c>
      <c r="C62" s="40"/>
      <c r="D62" s="41">
        <f>SUM(D59)</f>
        <v>0</v>
      </c>
      <c r="E62" s="48"/>
      <c r="F62" s="93">
        <f>SUM(F59)</f>
        <v>0</v>
      </c>
    </row>
    <row r="63" spans="1:8" x14ac:dyDescent="0.3">
      <c r="C63" s="77">
        <f>C59</f>
        <v>0</v>
      </c>
    </row>
    <row r="64" spans="1:8" x14ac:dyDescent="0.3">
      <c r="C64" s="34" t="b">
        <f>C59=C61</f>
        <v>1</v>
      </c>
    </row>
    <row r="65" spans="1:8" ht="17.25" thickBot="1" x14ac:dyDescent="0.35"/>
    <row r="66" spans="1:8" ht="25.5" customHeight="1" x14ac:dyDescent="0.3">
      <c r="A66" s="217">
        <f ca="1">TODAY()</f>
        <v>46309</v>
      </c>
      <c r="B66" s="254" t="s">
        <v>288</v>
      </c>
      <c r="C66" s="254"/>
      <c r="D66" s="254"/>
      <c r="E66" s="254"/>
      <c r="F66" s="255"/>
    </row>
    <row r="67" spans="1:8" ht="40.5" customHeight="1" x14ac:dyDescent="0.3">
      <c r="A67" s="218" t="str">
        <f>$J$1</f>
        <v>10/14 납품</v>
      </c>
      <c r="B67" s="219" t="s">
        <v>13</v>
      </c>
      <c r="C67" s="224" t="s">
        <v>289</v>
      </c>
      <c r="D67" s="221" t="s">
        <v>2</v>
      </c>
      <c r="E67" s="219" t="s">
        <v>23</v>
      </c>
      <c r="F67" s="222" t="s">
        <v>14</v>
      </c>
    </row>
    <row r="68" spans="1:8" ht="27.75" customHeight="1" x14ac:dyDescent="0.3">
      <c r="A68" s="52" t="s">
        <v>84</v>
      </c>
      <c r="B68" s="50">
        <v>24</v>
      </c>
      <c r="C68" s="24">
        <f>IFERROR(VLOOKUP(A68,'H2 피벗'!$A$1:$E$26,3,FALSE),0)</f>
        <v>0</v>
      </c>
      <c r="D68" s="20">
        <f t="shared" ref="D68" si="14">IFERROR(ROUNDDOWN(C68/B68,0),"")</f>
        <v>0</v>
      </c>
      <c r="E68" s="215" t="s">
        <v>120</v>
      </c>
      <c r="F68" s="26">
        <f t="shared" ref="F68" si="15">IFERROR(C68-(D68*B68),"")</f>
        <v>0</v>
      </c>
      <c r="H68" s="73"/>
    </row>
    <row r="69" spans="1:8" ht="6" customHeight="1" x14ac:dyDescent="0.3">
      <c r="A69" s="52"/>
      <c r="B69" s="50"/>
      <c r="C69" s="24"/>
      <c r="D69" s="20"/>
      <c r="E69" s="215"/>
      <c r="F69" s="26"/>
      <c r="H69" s="73"/>
    </row>
    <row r="70" spans="1:8" ht="26.25" x14ac:dyDescent="0.3">
      <c r="A70" s="87" t="s">
        <v>3</v>
      </c>
      <c r="B70" s="57">
        <f>B68</f>
        <v>24</v>
      </c>
      <c r="C70" s="55">
        <f>C68</f>
        <v>0</v>
      </c>
      <c r="D70" s="54">
        <f>IFERROR(ROUNDDOWN(C70/B70,0),"")</f>
        <v>0</v>
      </c>
      <c r="E70" s="56"/>
      <c r="F70" s="121">
        <f>IFERROR(C70-(D70*B70),"")</f>
        <v>0</v>
      </c>
      <c r="H70" s="73"/>
    </row>
    <row r="71" spans="1:8" ht="27" thickBot="1" x14ac:dyDescent="0.35">
      <c r="A71" s="42" t="s">
        <v>238</v>
      </c>
      <c r="B71" s="43" t="s">
        <v>173</v>
      </c>
      <c r="C71" s="40"/>
      <c r="D71" s="41">
        <f>SUM(D68)</f>
        <v>0</v>
      </c>
      <c r="E71" s="48"/>
      <c r="F71" s="93">
        <f>SUM(F68)</f>
        <v>0</v>
      </c>
    </row>
    <row r="72" spans="1:8" x14ac:dyDescent="0.3">
      <c r="C72" s="77">
        <f>C68</f>
        <v>0</v>
      </c>
    </row>
    <row r="73" spans="1:8" x14ac:dyDescent="0.3">
      <c r="C73" s="34" t="b">
        <f>C68=C70</f>
        <v>1</v>
      </c>
    </row>
    <row r="74" spans="1:8" ht="17.25" thickBot="1" x14ac:dyDescent="0.35"/>
    <row r="75" spans="1:8" ht="25.5" customHeight="1" x14ac:dyDescent="0.3">
      <c r="A75" s="217">
        <f ca="1">TODAY()</f>
        <v>46309</v>
      </c>
      <c r="B75" s="254" t="s">
        <v>290</v>
      </c>
      <c r="C75" s="254"/>
      <c r="D75" s="254"/>
      <c r="E75" s="254"/>
      <c r="F75" s="255"/>
    </row>
    <row r="76" spans="1:8" ht="40.5" customHeight="1" x14ac:dyDescent="0.3">
      <c r="A76" s="218" t="str">
        <f>$J$1</f>
        <v>10/14 납품</v>
      </c>
      <c r="B76" s="219" t="s">
        <v>13</v>
      </c>
      <c r="C76" s="224" t="s">
        <v>264</v>
      </c>
      <c r="D76" s="221" t="s">
        <v>2</v>
      </c>
      <c r="E76" s="219" t="s">
        <v>23</v>
      </c>
      <c r="F76" s="222" t="s">
        <v>14</v>
      </c>
    </row>
    <row r="77" spans="1:8" ht="27.75" customHeight="1" x14ac:dyDescent="0.3">
      <c r="A77" s="52" t="s">
        <v>84</v>
      </c>
      <c r="B77" s="50">
        <v>16</v>
      </c>
      <c r="C77" s="24">
        <f>IFERROR(VLOOKUP(A77,'대광 피벗'!$A$1:$J$4,2,FALSE),0)</f>
        <v>0</v>
      </c>
      <c r="D77" s="20">
        <f t="shared" ref="D77" si="16">IFERROR(ROUNDDOWN(C77/B77,0),"")</f>
        <v>0</v>
      </c>
      <c r="E77" s="215" t="s">
        <v>120</v>
      </c>
      <c r="F77" s="26">
        <f t="shared" ref="F77" si="17">IFERROR(C77-(D77*B77),"")</f>
        <v>0</v>
      </c>
      <c r="H77" s="73"/>
    </row>
    <row r="78" spans="1:8" ht="6" customHeight="1" x14ac:dyDescent="0.3">
      <c r="A78" s="52"/>
      <c r="B78" s="50"/>
      <c r="C78" s="24"/>
      <c r="D78" s="20"/>
      <c r="E78" s="215"/>
      <c r="F78" s="26"/>
      <c r="H78" s="73"/>
    </row>
    <row r="79" spans="1:8" ht="26.25" x14ac:dyDescent="0.3">
      <c r="A79" s="87" t="s">
        <v>3</v>
      </c>
      <c r="B79" s="57">
        <f>B77</f>
        <v>16</v>
      </c>
      <c r="C79" s="55">
        <f>C77</f>
        <v>0</v>
      </c>
      <c r="D79" s="54">
        <f>IFERROR(ROUNDDOWN(C79/B79,0),"")</f>
        <v>0</v>
      </c>
      <c r="E79" s="56"/>
      <c r="F79" s="121">
        <f>IFERROR(C79-(D79*B79),"")</f>
        <v>0</v>
      </c>
      <c r="H79" s="73"/>
    </row>
    <row r="80" spans="1:8" ht="27" thickBot="1" x14ac:dyDescent="0.35">
      <c r="A80" s="42" t="s">
        <v>238</v>
      </c>
      <c r="B80" s="43" t="s">
        <v>173</v>
      </c>
      <c r="C80" s="40"/>
      <c r="D80" s="41">
        <f>SUM(D77)</f>
        <v>0</v>
      </c>
      <c r="E80" s="48"/>
      <c r="F80" s="93">
        <f>SUM(F77)</f>
        <v>0</v>
      </c>
    </row>
    <row r="81" spans="1:8" x14ac:dyDescent="0.3">
      <c r="C81" s="77">
        <f>C77</f>
        <v>0</v>
      </c>
    </row>
    <row r="82" spans="1:8" x14ac:dyDescent="0.3">
      <c r="C82" s="34" t="b">
        <f>C77=C79</f>
        <v>1</v>
      </c>
    </row>
    <row r="83" spans="1:8" ht="17.25" thickBot="1" x14ac:dyDescent="0.35"/>
    <row r="84" spans="1:8" ht="25.5" customHeight="1" x14ac:dyDescent="0.3">
      <c r="A84" s="217">
        <f ca="1">TODAY()</f>
        <v>46309</v>
      </c>
      <c r="B84" s="254" t="s">
        <v>290</v>
      </c>
      <c r="C84" s="254"/>
      <c r="D84" s="254"/>
      <c r="E84" s="254"/>
      <c r="F84" s="255"/>
    </row>
    <row r="85" spans="1:8" ht="40.5" customHeight="1" x14ac:dyDescent="0.3">
      <c r="A85" s="218" t="str">
        <f>$J$1</f>
        <v>10/14 납품</v>
      </c>
      <c r="B85" s="219" t="s">
        <v>13</v>
      </c>
      <c r="C85" s="224" t="s">
        <v>265</v>
      </c>
      <c r="D85" s="221" t="s">
        <v>2</v>
      </c>
      <c r="E85" s="219" t="s">
        <v>23</v>
      </c>
      <c r="F85" s="222" t="s">
        <v>14</v>
      </c>
    </row>
    <row r="86" spans="1:8" ht="27.75" customHeight="1" x14ac:dyDescent="0.3">
      <c r="A86" s="52" t="s">
        <v>84</v>
      </c>
      <c r="B86" s="50">
        <v>35</v>
      </c>
      <c r="C86" s="24">
        <f>IFERROR(VLOOKUP(A86,'대광 피벗'!$A$1:$J$4,3,FALSE),0)</f>
        <v>0</v>
      </c>
      <c r="D86" s="20">
        <f t="shared" ref="D86" si="18">IFERROR(ROUNDDOWN(C86/B86,0),"")</f>
        <v>0</v>
      </c>
      <c r="E86" s="215" t="s">
        <v>120</v>
      </c>
      <c r="F86" s="26">
        <f t="shared" ref="F86" si="19">IFERROR(C86-(D86*B86),"")</f>
        <v>0</v>
      </c>
      <c r="H86" s="73"/>
    </row>
    <row r="87" spans="1:8" ht="6" customHeight="1" x14ac:dyDescent="0.3">
      <c r="A87" s="52"/>
      <c r="B87" s="50"/>
      <c r="C87" s="24"/>
      <c r="D87" s="20"/>
      <c r="E87" s="215"/>
      <c r="F87" s="26"/>
      <c r="H87" s="73"/>
    </row>
    <row r="88" spans="1:8" ht="26.25" x14ac:dyDescent="0.3">
      <c r="A88" s="87" t="s">
        <v>3</v>
      </c>
      <c r="B88" s="57">
        <f>B86</f>
        <v>35</v>
      </c>
      <c r="C88" s="55">
        <f>C86</f>
        <v>0</v>
      </c>
      <c r="D88" s="54">
        <f>IFERROR(ROUNDDOWN(C88/B88,0),"")</f>
        <v>0</v>
      </c>
      <c r="E88" s="56"/>
      <c r="F88" s="121">
        <f>IFERROR(C88-(D88*B88),"")</f>
        <v>0</v>
      </c>
      <c r="H88" s="73"/>
    </row>
    <row r="89" spans="1:8" ht="27" thickBot="1" x14ac:dyDescent="0.35">
      <c r="A89" s="42" t="s">
        <v>238</v>
      </c>
      <c r="B89" s="43" t="s">
        <v>173</v>
      </c>
      <c r="C89" s="40"/>
      <c r="D89" s="41">
        <f>SUM(D86)</f>
        <v>0</v>
      </c>
      <c r="E89" s="48"/>
      <c r="F89" s="93">
        <f>SUM(F86)</f>
        <v>0</v>
      </c>
    </row>
    <row r="90" spans="1:8" x14ac:dyDescent="0.3">
      <c r="C90" s="77">
        <f>C86</f>
        <v>0</v>
      </c>
    </row>
    <row r="91" spans="1:8" x14ac:dyDescent="0.3">
      <c r="C91" s="34" t="b">
        <f>C86=C88</f>
        <v>1</v>
      </c>
    </row>
    <row r="92" spans="1:8" ht="17.25" thickBot="1" x14ac:dyDescent="0.35"/>
    <row r="93" spans="1:8" ht="25.5" customHeight="1" x14ac:dyDescent="0.3">
      <c r="A93" s="217">
        <f ca="1">TODAY()</f>
        <v>46309</v>
      </c>
      <c r="B93" s="254" t="s">
        <v>270</v>
      </c>
      <c r="C93" s="254"/>
      <c r="D93" s="254"/>
      <c r="E93" s="254"/>
      <c r="F93" s="255"/>
    </row>
    <row r="94" spans="1:8" ht="40.5" customHeight="1" x14ac:dyDescent="0.3">
      <c r="A94" s="218" t="str">
        <f>$J$1</f>
        <v>10/14 납품</v>
      </c>
      <c r="B94" s="219" t="s">
        <v>13</v>
      </c>
      <c r="C94" s="224" t="s">
        <v>297</v>
      </c>
      <c r="D94" s="221" t="s">
        <v>2</v>
      </c>
      <c r="E94" s="219" t="s">
        <v>23</v>
      </c>
      <c r="F94" s="222" t="s">
        <v>14</v>
      </c>
    </row>
    <row r="95" spans="1:8" ht="27.75" customHeight="1" x14ac:dyDescent="0.3">
      <c r="A95" s="52" t="s">
        <v>84</v>
      </c>
      <c r="B95" s="50">
        <v>30</v>
      </c>
      <c r="C95" s="24">
        <f>IFERROR(VLOOKUP(A95,'윈즈 피벗'!$A$1:$L$5,2,FALSE),0)</f>
        <v>0</v>
      </c>
      <c r="D95" s="20">
        <f t="shared" ref="D95" si="20">IFERROR(ROUNDDOWN(C95/B95,0),"")</f>
        <v>0</v>
      </c>
      <c r="E95" s="215" t="s">
        <v>120</v>
      </c>
      <c r="F95" s="26">
        <f t="shared" ref="F95" si="21">IFERROR(C95-(D95*B95),"")</f>
        <v>0</v>
      </c>
      <c r="H95" s="73"/>
    </row>
    <row r="96" spans="1:8" ht="6" customHeight="1" x14ac:dyDescent="0.3">
      <c r="A96" s="52"/>
      <c r="B96" s="50"/>
      <c r="C96" s="24"/>
      <c r="D96" s="20"/>
      <c r="E96" s="215"/>
      <c r="F96" s="26"/>
      <c r="H96" s="73"/>
    </row>
    <row r="97" spans="1:8" ht="26.25" x14ac:dyDescent="0.3">
      <c r="A97" s="87" t="s">
        <v>3</v>
      </c>
      <c r="B97" s="57">
        <f>B95</f>
        <v>30</v>
      </c>
      <c r="C97" s="55">
        <f>C95</f>
        <v>0</v>
      </c>
      <c r="D97" s="54">
        <f>IFERROR(ROUNDDOWN(C97/B97,0),"")</f>
        <v>0</v>
      </c>
      <c r="E97" s="56"/>
      <c r="F97" s="121">
        <f>IFERROR(C97-(D97*B97),"")</f>
        <v>0</v>
      </c>
      <c r="H97" s="73"/>
    </row>
    <row r="98" spans="1:8" ht="27" thickBot="1" x14ac:dyDescent="0.35">
      <c r="A98" s="42" t="s">
        <v>238</v>
      </c>
      <c r="B98" s="43" t="s">
        <v>173</v>
      </c>
      <c r="C98" s="40"/>
      <c r="D98" s="41">
        <f>SUM(D95)</f>
        <v>0</v>
      </c>
      <c r="E98" s="48"/>
      <c r="F98" s="93">
        <f>SUM(F95)</f>
        <v>0</v>
      </c>
    </row>
    <row r="99" spans="1:8" x14ac:dyDescent="0.3">
      <c r="C99" s="77">
        <f>C95</f>
        <v>0</v>
      </c>
    </row>
    <row r="100" spans="1:8" x14ac:dyDescent="0.3">
      <c r="C100" s="34" t="b">
        <f>C95=C97</f>
        <v>1</v>
      </c>
    </row>
    <row r="101" spans="1:8" ht="17.25" thickBot="1" x14ac:dyDescent="0.35"/>
    <row r="102" spans="1:8" ht="25.5" customHeight="1" x14ac:dyDescent="0.3">
      <c r="A102" s="217">
        <f ca="1">TODAY()</f>
        <v>46309</v>
      </c>
      <c r="B102" s="254" t="s">
        <v>270</v>
      </c>
      <c r="C102" s="254"/>
      <c r="D102" s="254"/>
      <c r="E102" s="254"/>
      <c r="F102" s="255"/>
    </row>
    <row r="103" spans="1:8" ht="40.5" customHeight="1" x14ac:dyDescent="0.3">
      <c r="A103" s="218" t="str">
        <f>$J$1</f>
        <v>10/14 납품</v>
      </c>
      <c r="B103" s="219" t="s">
        <v>13</v>
      </c>
      <c r="C103" s="224" t="s">
        <v>269</v>
      </c>
      <c r="D103" s="221" t="s">
        <v>2</v>
      </c>
      <c r="E103" s="219" t="s">
        <v>23</v>
      </c>
      <c r="F103" s="222" t="s">
        <v>14</v>
      </c>
    </row>
    <row r="104" spans="1:8" ht="27.75" customHeight="1" x14ac:dyDescent="0.3">
      <c r="A104" s="52" t="s">
        <v>84</v>
      </c>
      <c r="B104" s="50">
        <v>12</v>
      </c>
      <c r="C104" s="24">
        <f>IFERROR(VLOOKUP(A104,'윈즈 피벗'!$A$1:$L$5,3,FALSE),0)</f>
        <v>0</v>
      </c>
      <c r="D104" s="20">
        <f t="shared" ref="D104" si="22">IFERROR(ROUNDDOWN(C104/B104,0),"")</f>
        <v>0</v>
      </c>
      <c r="E104" s="215" t="s">
        <v>120</v>
      </c>
      <c r="F104" s="26">
        <f t="shared" ref="F104" si="23">IFERROR(C104-(D104*B104),"")</f>
        <v>0</v>
      </c>
      <c r="H104" s="73"/>
    </row>
    <row r="105" spans="1:8" ht="6" customHeight="1" x14ac:dyDescent="0.3">
      <c r="A105" s="52"/>
      <c r="B105" s="50"/>
      <c r="C105" s="24"/>
      <c r="D105" s="20"/>
      <c r="E105" s="215"/>
      <c r="F105" s="26"/>
      <c r="H105" s="73"/>
    </row>
    <row r="106" spans="1:8" ht="26.25" x14ac:dyDescent="0.3">
      <c r="A106" s="87" t="s">
        <v>3</v>
      </c>
      <c r="B106" s="57">
        <f>B104</f>
        <v>12</v>
      </c>
      <c r="C106" s="55">
        <f>C104</f>
        <v>0</v>
      </c>
      <c r="D106" s="54">
        <f>IFERROR(ROUNDDOWN(C106/B106,0),"")</f>
        <v>0</v>
      </c>
      <c r="E106" s="56"/>
      <c r="F106" s="121">
        <f>IFERROR(C106-(D106*B106),"")</f>
        <v>0</v>
      </c>
      <c r="H106" s="73"/>
    </row>
    <row r="107" spans="1:8" ht="27" thickBot="1" x14ac:dyDescent="0.35">
      <c r="A107" s="42" t="s">
        <v>238</v>
      </c>
      <c r="B107" s="43" t="s">
        <v>173</v>
      </c>
      <c r="C107" s="40"/>
      <c r="D107" s="41">
        <f>SUM(D104)</f>
        <v>0</v>
      </c>
      <c r="E107" s="48"/>
      <c r="F107" s="93">
        <f>SUM(F104)</f>
        <v>0</v>
      </c>
    </row>
    <row r="108" spans="1:8" x14ac:dyDescent="0.3">
      <c r="C108" s="77">
        <f>C104</f>
        <v>0</v>
      </c>
    </row>
    <row r="109" spans="1:8" x14ac:dyDescent="0.3">
      <c r="C109" s="34" t="b">
        <f>C104=C106</f>
        <v>1</v>
      </c>
    </row>
    <row r="110" spans="1:8" ht="17.25" thickBot="1" x14ac:dyDescent="0.35"/>
    <row r="111" spans="1:8" ht="25.5" customHeight="1" x14ac:dyDescent="0.3">
      <c r="A111" s="217">
        <f ca="1">TODAY()</f>
        <v>46309</v>
      </c>
      <c r="B111" s="254" t="s">
        <v>270</v>
      </c>
      <c r="C111" s="254"/>
      <c r="D111" s="254"/>
      <c r="E111" s="254"/>
      <c r="F111" s="255"/>
    </row>
    <row r="112" spans="1:8" ht="40.5" customHeight="1" x14ac:dyDescent="0.3">
      <c r="A112" s="218" t="str">
        <f>$J$1</f>
        <v>10/14 납품</v>
      </c>
      <c r="B112" s="219" t="s">
        <v>13</v>
      </c>
      <c r="C112" s="224" t="s">
        <v>322</v>
      </c>
      <c r="D112" s="221" t="s">
        <v>2</v>
      </c>
      <c r="E112" s="219" t="s">
        <v>23</v>
      </c>
      <c r="F112" s="222" t="s">
        <v>14</v>
      </c>
    </row>
    <row r="113" spans="1:8" ht="27.75" customHeight="1" x14ac:dyDescent="0.3">
      <c r="A113" s="52" t="s">
        <v>84</v>
      </c>
      <c r="B113" s="50">
        <v>16</v>
      </c>
      <c r="C113" s="24">
        <f>IFERROR(VLOOKUP(A113,'윈즈 피벗'!$A$1:$L$5,4,FALSE),0)</f>
        <v>0</v>
      </c>
      <c r="D113" s="20">
        <f t="shared" ref="D113" si="24">IFERROR(ROUNDDOWN(C113/B113,0),"")</f>
        <v>0</v>
      </c>
      <c r="E113" s="215" t="s">
        <v>120</v>
      </c>
      <c r="F113" s="26">
        <f t="shared" ref="F113" si="25">IFERROR(C113-(D113*B113),"")</f>
        <v>0</v>
      </c>
      <c r="H113" s="73"/>
    </row>
    <row r="114" spans="1:8" ht="6" customHeight="1" x14ac:dyDescent="0.3">
      <c r="A114" s="52"/>
      <c r="B114" s="50"/>
      <c r="C114" s="24"/>
      <c r="D114" s="20"/>
      <c r="E114" s="215"/>
      <c r="F114" s="26"/>
      <c r="H114" s="73"/>
    </row>
    <row r="115" spans="1:8" ht="26.25" x14ac:dyDescent="0.3">
      <c r="A115" s="87" t="s">
        <v>3</v>
      </c>
      <c r="B115" s="57">
        <f>B113</f>
        <v>16</v>
      </c>
      <c r="C115" s="55">
        <f>C113</f>
        <v>0</v>
      </c>
      <c r="D115" s="54">
        <f>IFERROR(ROUNDDOWN(C115/B115,0),"")</f>
        <v>0</v>
      </c>
      <c r="E115" s="56"/>
      <c r="F115" s="121">
        <f>IFERROR(C115-(D115*B115),"")</f>
        <v>0</v>
      </c>
      <c r="H115" s="73"/>
    </row>
    <row r="116" spans="1:8" ht="27" thickBot="1" x14ac:dyDescent="0.35">
      <c r="A116" s="42" t="s">
        <v>238</v>
      </c>
      <c r="B116" s="43" t="s">
        <v>173</v>
      </c>
      <c r="C116" s="40"/>
      <c r="D116" s="41">
        <f>SUM(D113)</f>
        <v>0</v>
      </c>
      <c r="E116" s="48"/>
      <c r="F116" s="93">
        <f>SUM(F113)</f>
        <v>0</v>
      </c>
    </row>
    <row r="117" spans="1:8" x14ac:dyDescent="0.3">
      <c r="C117" s="77">
        <f>C113</f>
        <v>0</v>
      </c>
    </row>
    <row r="118" spans="1:8" x14ac:dyDescent="0.3">
      <c r="C118" s="34" t="b">
        <f>C113=C115</f>
        <v>1</v>
      </c>
    </row>
    <row r="119" spans="1:8" ht="17.25" thickBot="1" x14ac:dyDescent="0.35"/>
    <row r="120" spans="1:8" ht="25.5" customHeight="1" x14ac:dyDescent="0.3">
      <c r="A120" s="217">
        <f ca="1">TODAY()</f>
        <v>46309</v>
      </c>
      <c r="B120" s="254" t="s">
        <v>273</v>
      </c>
      <c r="C120" s="254"/>
      <c r="D120" s="254"/>
      <c r="E120" s="254"/>
      <c r="F120" s="255"/>
    </row>
    <row r="121" spans="1:8" ht="40.5" customHeight="1" x14ac:dyDescent="0.3">
      <c r="A121" s="218" t="str">
        <f>$J$1</f>
        <v>10/14 납품</v>
      </c>
      <c r="B121" s="219" t="s">
        <v>13</v>
      </c>
      <c r="C121" s="224" t="s">
        <v>291</v>
      </c>
      <c r="D121" s="221" t="s">
        <v>2</v>
      </c>
      <c r="E121" s="219" t="s">
        <v>23</v>
      </c>
      <c r="F121" s="222" t="s">
        <v>14</v>
      </c>
    </row>
    <row r="122" spans="1:8" ht="27.75" customHeight="1" x14ac:dyDescent="0.3">
      <c r="A122" s="52" t="s">
        <v>84</v>
      </c>
      <c r="B122" s="50">
        <v>6</v>
      </c>
      <c r="C122" s="24">
        <f>IFERROR(VLOOKUP(A122,'제때 피벗 '!$A$1:$L$4,2,FALSE),0)</f>
        <v>0</v>
      </c>
      <c r="D122" s="20">
        <f t="shared" ref="D122" si="26">IFERROR(ROUNDDOWN(C122/B122,0),"")</f>
        <v>0</v>
      </c>
      <c r="E122" s="215" t="s">
        <v>120</v>
      </c>
      <c r="F122" s="26">
        <f t="shared" ref="F122" si="27">IFERROR(C122-(D122*B122),"")</f>
        <v>0</v>
      </c>
      <c r="H122" s="73"/>
    </row>
    <row r="123" spans="1:8" ht="6" customHeight="1" x14ac:dyDescent="0.3">
      <c r="A123" s="52"/>
      <c r="B123" s="50"/>
      <c r="C123" s="24"/>
      <c r="D123" s="20"/>
      <c r="E123" s="215"/>
      <c r="F123" s="26"/>
      <c r="H123" s="73"/>
    </row>
    <row r="124" spans="1:8" ht="26.25" x14ac:dyDescent="0.3">
      <c r="A124" s="87" t="s">
        <v>3</v>
      </c>
      <c r="B124" s="57">
        <f>B122</f>
        <v>6</v>
      </c>
      <c r="C124" s="55">
        <f>C122</f>
        <v>0</v>
      </c>
      <c r="D124" s="54">
        <f>IFERROR(ROUNDDOWN(C124/B124,0),"")</f>
        <v>0</v>
      </c>
      <c r="E124" s="56"/>
      <c r="F124" s="121">
        <f>IFERROR(C124-(D124*B124),"")</f>
        <v>0</v>
      </c>
      <c r="H124" s="73"/>
    </row>
    <row r="125" spans="1:8" ht="27" thickBot="1" x14ac:dyDescent="0.35">
      <c r="A125" s="42" t="s">
        <v>238</v>
      </c>
      <c r="B125" s="43" t="s">
        <v>173</v>
      </c>
      <c r="C125" s="40"/>
      <c r="D125" s="41">
        <f>SUM(D122)</f>
        <v>0</v>
      </c>
      <c r="E125" s="48"/>
      <c r="F125" s="93">
        <f>SUM(F122)</f>
        <v>0</v>
      </c>
    </row>
    <row r="126" spans="1:8" x14ac:dyDescent="0.3">
      <c r="C126" s="77">
        <f>C122</f>
        <v>0</v>
      </c>
    </row>
    <row r="127" spans="1:8" x14ac:dyDescent="0.3">
      <c r="C127" s="34" t="b">
        <f>C122=C124</f>
        <v>1</v>
      </c>
    </row>
    <row r="128" spans="1:8" ht="17.25" thickBot="1" x14ac:dyDescent="0.35"/>
    <row r="129" spans="1:8" ht="25.5" customHeight="1" x14ac:dyDescent="0.3">
      <c r="A129" s="217">
        <f ca="1">TODAY()</f>
        <v>46309</v>
      </c>
      <c r="B129" s="254" t="s">
        <v>273</v>
      </c>
      <c r="C129" s="254"/>
      <c r="D129" s="254"/>
      <c r="E129" s="254"/>
      <c r="F129" s="255"/>
    </row>
    <row r="130" spans="1:8" ht="40.5" customHeight="1" x14ac:dyDescent="0.3">
      <c r="A130" s="218" t="str">
        <f>$J$1</f>
        <v>10/14 납품</v>
      </c>
      <c r="B130" s="219" t="s">
        <v>13</v>
      </c>
      <c r="C130" s="226" t="s">
        <v>292</v>
      </c>
      <c r="D130" s="221" t="s">
        <v>2</v>
      </c>
      <c r="E130" s="219" t="s">
        <v>23</v>
      </c>
      <c r="F130" s="222" t="s">
        <v>14</v>
      </c>
    </row>
    <row r="131" spans="1:8" ht="27.75" customHeight="1" x14ac:dyDescent="0.3">
      <c r="A131" s="52" t="s">
        <v>84</v>
      </c>
      <c r="B131" s="50">
        <v>6</v>
      </c>
      <c r="C131" s="24">
        <f>IFERROR(VLOOKUP(A131,'제때 피벗 '!$A$1:$L$4,3,FALSE),0)</f>
        <v>0</v>
      </c>
      <c r="D131" s="20">
        <f t="shared" ref="D131" si="28">IFERROR(ROUNDDOWN(C131/B131,0),"")</f>
        <v>0</v>
      </c>
      <c r="E131" s="215" t="s">
        <v>120</v>
      </c>
      <c r="F131" s="26">
        <f t="shared" ref="F131" si="29">IFERROR(C131-(D131*B131),"")</f>
        <v>0</v>
      </c>
      <c r="H131" s="73"/>
    </row>
    <row r="132" spans="1:8" ht="6" customHeight="1" x14ac:dyDescent="0.3">
      <c r="A132" s="52"/>
      <c r="B132" s="50"/>
      <c r="C132" s="24"/>
      <c r="D132" s="20"/>
      <c r="E132" s="215"/>
      <c r="F132" s="26"/>
      <c r="H132" s="73"/>
    </row>
    <row r="133" spans="1:8" ht="26.25" x14ac:dyDescent="0.3">
      <c r="A133" s="87" t="s">
        <v>3</v>
      </c>
      <c r="B133" s="57">
        <f>B131</f>
        <v>6</v>
      </c>
      <c r="C133" s="55">
        <f>C131</f>
        <v>0</v>
      </c>
      <c r="D133" s="54">
        <f>IFERROR(ROUNDDOWN(C133/B133,0),"")</f>
        <v>0</v>
      </c>
      <c r="E133" s="56"/>
      <c r="F133" s="121">
        <f>IFERROR(C133-(D133*B133),"")</f>
        <v>0</v>
      </c>
      <c r="H133" s="73"/>
    </row>
    <row r="134" spans="1:8" ht="27" thickBot="1" x14ac:dyDescent="0.35">
      <c r="A134" s="42" t="s">
        <v>238</v>
      </c>
      <c r="B134" s="43" t="s">
        <v>173</v>
      </c>
      <c r="C134" s="40"/>
      <c r="D134" s="41">
        <f>SUM(D131)</f>
        <v>0</v>
      </c>
      <c r="E134" s="48"/>
      <c r="F134" s="93">
        <f>SUM(F131)</f>
        <v>0</v>
      </c>
    </row>
    <row r="135" spans="1:8" x14ac:dyDescent="0.3">
      <c r="C135" s="77">
        <f>C131</f>
        <v>0</v>
      </c>
    </row>
    <row r="136" spans="1:8" x14ac:dyDescent="0.3">
      <c r="C136" s="34" t="b">
        <f>C131=C133</f>
        <v>1</v>
      </c>
    </row>
    <row r="137" spans="1:8" ht="17.25" thickBot="1" x14ac:dyDescent="0.35"/>
    <row r="138" spans="1:8" ht="20.25" x14ac:dyDescent="0.3">
      <c r="A138" s="217">
        <f ca="1">TODAY()</f>
        <v>46309</v>
      </c>
      <c r="B138" s="254" t="s">
        <v>296</v>
      </c>
      <c r="C138" s="254"/>
      <c r="D138" s="254"/>
      <c r="E138" s="254"/>
      <c r="F138" s="255"/>
    </row>
    <row r="139" spans="1:8" ht="34.5" x14ac:dyDescent="0.3">
      <c r="A139" s="218" t="str">
        <f>$J$1</f>
        <v>10/14 납품</v>
      </c>
      <c r="B139" s="219" t="s">
        <v>13</v>
      </c>
      <c r="C139" s="226" t="s">
        <v>293</v>
      </c>
      <c r="D139" s="221" t="s">
        <v>2</v>
      </c>
      <c r="E139" s="219" t="s">
        <v>23</v>
      </c>
      <c r="F139" s="222" t="s">
        <v>14</v>
      </c>
    </row>
    <row r="140" spans="1:8" ht="26.25" x14ac:dyDescent="0.3">
      <c r="A140" s="52" t="s">
        <v>84</v>
      </c>
      <c r="B140" s="50">
        <v>24</v>
      </c>
      <c r="C140" s="24">
        <f>IFERROR(VLOOKUP(A140,'한빛에프엘 피벗'!$A$1:$E$35,2,FALSE),0)</f>
        <v>0</v>
      </c>
      <c r="D140" s="20">
        <f t="shared" ref="D140" si="30">IFERROR(ROUNDDOWN(C140/B140,0),"")</f>
        <v>0</v>
      </c>
      <c r="E140" s="215" t="s">
        <v>120</v>
      </c>
      <c r="F140" s="26">
        <f t="shared" ref="F140" si="31">IFERROR(C140-(D140*B140),"")</f>
        <v>0</v>
      </c>
    </row>
    <row r="141" spans="1:8" ht="26.25" x14ac:dyDescent="0.3">
      <c r="A141" s="52"/>
      <c r="B141" s="50"/>
      <c r="C141" s="24"/>
      <c r="D141" s="20"/>
      <c r="E141" s="215"/>
      <c r="F141" s="26"/>
    </row>
    <row r="142" spans="1:8" ht="26.25" x14ac:dyDescent="0.3">
      <c r="A142" s="87" t="s">
        <v>3</v>
      </c>
      <c r="B142" s="57">
        <f>B140</f>
        <v>24</v>
      </c>
      <c r="C142" s="55">
        <f>C140</f>
        <v>0</v>
      </c>
      <c r="D142" s="54">
        <f>IFERROR(ROUNDDOWN(C142/B142,0),"")</f>
        <v>0</v>
      </c>
      <c r="E142" s="56"/>
      <c r="F142" s="121">
        <f>IFERROR(C142-(D142*B142),"")</f>
        <v>0</v>
      </c>
    </row>
    <row r="143" spans="1:8" ht="27" thickBot="1" x14ac:dyDescent="0.35">
      <c r="A143" s="42" t="s">
        <v>238</v>
      </c>
      <c r="B143" s="43" t="s">
        <v>173</v>
      </c>
      <c r="C143" s="40"/>
      <c r="D143" s="41">
        <f>SUM(D140)</f>
        <v>0</v>
      </c>
      <c r="E143" s="48"/>
      <c r="F143" s="93">
        <f>SUM(F140)</f>
        <v>0</v>
      </c>
    </row>
  </sheetData>
  <mergeCells count="17">
    <mergeCell ref="A1:F1"/>
    <mergeCell ref="B129:F129"/>
    <mergeCell ref="B30:F30"/>
    <mergeCell ref="B39:F39"/>
    <mergeCell ref="B48:F48"/>
    <mergeCell ref="B57:F57"/>
    <mergeCell ref="B66:F66"/>
    <mergeCell ref="B75:F75"/>
    <mergeCell ref="B84:F84"/>
    <mergeCell ref="B102:F102"/>
    <mergeCell ref="B120:F120"/>
    <mergeCell ref="B93:F93"/>
    <mergeCell ref="B138:F138"/>
    <mergeCell ref="B3:F3"/>
    <mergeCell ref="B12:F12"/>
    <mergeCell ref="B21:F21"/>
    <mergeCell ref="B111:F111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FF97-05FD-4A30-BE1C-24FFA0BDBEB0}">
  <sheetPr>
    <tabColor rgb="FFFF0000"/>
  </sheetPr>
  <dimension ref="A1:SW4"/>
  <sheetViews>
    <sheetView zoomScaleNormal="100" zoomScaleSheetLayoutView="75" workbookViewId="0">
      <pane xSplit="1" topLeftCell="B1" activePane="topRight" state="frozen"/>
      <selection activeCell="J40" sqref="J40"/>
      <selection pane="topRight" activeCell="B32" sqref="B32"/>
    </sheetView>
  </sheetViews>
  <sheetFormatPr defaultColWidth="9" defaultRowHeight="15" customHeight="1" x14ac:dyDescent="0.3"/>
  <cols>
    <col min="1" max="27" width="37.625" style="34" customWidth="1"/>
    <col min="28" max="28" width="22.25" style="34" bestFit="1" customWidth="1"/>
    <col min="29" max="31" width="18.375" style="34" customWidth="1"/>
    <col min="32" max="32" width="27.625" style="34" bestFit="1" customWidth="1"/>
    <col min="33" max="34" width="18.375" style="34" customWidth="1"/>
    <col min="35" max="35" width="27.625" style="34" bestFit="1" customWidth="1"/>
    <col min="36" max="36" width="18.375" style="34" customWidth="1"/>
    <col min="37" max="37" width="25.375" style="34" bestFit="1" customWidth="1"/>
    <col min="38" max="38" width="21" style="34" bestFit="1" customWidth="1"/>
    <col min="39" max="39" width="27.625" style="34" bestFit="1" customWidth="1"/>
    <col min="40" max="40" width="18.375" style="34" customWidth="1"/>
    <col min="41" max="41" width="27.625" style="34" bestFit="1" customWidth="1"/>
    <col min="42" max="395" width="30.375" style="34" customWidth="1"/>
    <col min="396" max="397" width="21.25" style="34" customWidth="1"/>
    <col min="398" max="413" width="20.5" style="34" customWidth="1"/>
    <col min="414" max="414" width="21" style="34" bestFit="1" customWidth="1"/>
    <col min="415" max="415" width="25.125" style="34" bestFit="1" customWidth="1"/>
    <col min="416" max="416" width="23" style="34" bestFit="1" customWidth="1"/>
    <col min="417" max="417" width="33.375" style="34" bestFit="1" customWidth="1"/>
    <col min="418" max="418" width="25.125" style="34" bestFit="1" customWidth="1"/>
    <col min="419" max="419" width="28.875" style="34" bestFit="1" customWidth="1"/>
    <col min="420" max="420" width="23" style="34" bestFit="1" customWidth="1"/>
    <col min="421" max="421" width="18.875" style="34" customWidth="1"/>
    <col min="422" max="422" width="23" style="34" bestFit="1" customWidth="1"/>
    <col min="423" max="423" width="25.125" style="34" bestFit="1" customWidth="1"/>
    <col min="424" max="424" width="18.875" style="34" customWidth="1"/>
    <col min="425" max="425" width="19.125" style="34" customWidth="1"/>
    <col min="426" max="426" width="18.125" style="34" customWidth="1"/>
    <col min="427" max="427" width="18.875" style="34" customWidth="1"/>
    <col min="428" max="428" width="26.625" style="34" customWidth="1"/>
    <col min="429" max="429" width="22.125" style="34" customWidth="1"/>
    <col min="430" max="430" width="24.125" style="34" customWidth="1"/>
    <col min="431" max="431" width="21.375" style="34" customWidth="1"/>
    <col min="432" max="432" width="19.375" style="34" customWidth="1"/>
    <col min="433" max="433" width="20" style="34" customWidth="1"/>
    <col min="434" max="434" width="23.25" style="34" customWidth="1"/>
    <col min="435" max="435" width="18" style="34" customWidth="1"/>
    <col min="436" max="466" width="19" style="34" customWidth="1"/>
    <col min="467" max="471" width="20.25" style="34" customWidth="1"/>
    <col min="472" max="472" width="17.25" style="34" customWidth="1"/>
    <col min="473" max="473" width="17.75" style="34" customWidth="1"/>
    <col min="474" max="474" width="16.5" style="34" customWidth="1"/>
    <col min="475" max="477" width="21" style="34" customWidth="1"/>
    <col min="478" max="478" width="18.5" style="34" customWidth="1"/>
    <col min="479" max="483" width="21" style="34" customWidth="1"/>
    <col min="484" max="484" width="15.125" style="34" customWidth="1"/>
    <col min="485" max="500" width="21" style="34" customWidth="1"/>
    <col min="501" max="501" width="24.25" style="34" customWidth="1"/>
    <col min="502" max="502" width="18.875" style="34" bestFit="1" customWidth="1"/>
    <col min="503" max="503" width="21" style="34" bestFit="1" customWidth="1"/>
    <col min="504" max="504" width="23" style="38" bestFit="1" customWidth="1"/>
    <col min="505" max="505" width="8.625" style="38" bestFit="1" customWidth="1"/>
    <col min="506" max="506" width="21" style="38" bestFit="1" customWidth="1"/>
    <col min="507" max="507" width="23" style="38" bestFit="1" customWidth="1"/>
    <col min="508" max="508" width="8.625" style="38" bestFit="1" customWidth="1"/>
    <col min="509" max="509" width="22.875" style="34" customWidth="1"/>
    <col min="510" max="516" width="20.875" style="38" customWidth="1"/>
    <col min="517" max="517" width="23.25" style="38" customWidth="1"/>
    <col min="518" max="16384" width="9" style="34"/>
  </cols>
  <sheetData>
    <row r="1" spans="1:509" s="38" customFormat="1" ht="15" customHeight="1" x14ac:dyDescent="0.3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2"/>
      <c r="AQ1" s="2"/>
      <c r="AR1" s="2"/>
      <c r="AS1" s="2"/>
      <c r="AT1" s="2"/>
      <c r="AU1" s="2"/>
      <c r="AV1" s="2"/>
      <c r="AW1" s="2"/>
      <c r="AX1" s="29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32"/>
      <c r="MN1" s="23"/>
      <c r="MO1" s="23"/>
      <c r="MP1" s="23"/>
      <c r="MQ1" s="23"/>
      <c r="MR1" s="32"/>
      <c r="MS1" s="32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32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32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32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</row>
    <row r="2" spans="1:509" s="38" customFormat="1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</row>
    <row r="3" spans="1:509" s="38" customFormat="1" ht="15" customHeight="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</row>
    <row r="4" spans="1:509" ht="15" customHeight="1" x14ac:dyDescent="0.3"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5550-09B9-4E4F-862D-BCD281B53474}">
  <sheetPr>
    <tabColor rgb="FFFF0000"/>
    <pageSetUpPr fitToPage="1"/>
  </sheetPr>
  <dimension ref="A1:I41"/>
  <sheetViews>
    <sheetView zoomScale="55" zoomScaleNormal="55" zoomScaleSheetLayoutView="75" workbookViewId="0">
      <selection activeCell="J40" sqref="J40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267</v>
      </c>
      <c r="C2" s="254"/>
      <c r="D2" s="254"/>
      <c r="E2" s="254"/>
      <c r="F2" s="255"/>
    </row>
    <row r="3" spans="1:9" ht="40.5" customHeight="1" x14ac:dyDescent="0.3">
      <c r="A3" s="218">
        <f>'효성 피벗'!A2</f>
        <v>0</v>
      </c>
      <c r="B3" s="219" t="s">
        <v>13</v>
      </c>
      <c r="C3" s="224" t="s">
        <v>268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20</v>
      </c>
      <c r="C4" s="24">
        <f>IFERROR(VLOOKUP(A4,'효성 피벗'!A:SK,2,FALSE),0)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20</v>
      </c>
      <c r="C5" s="24">
        <f>IFERROR(VLOOKUP(A5,'효성 피벗'!A:SK,2,FALSE),0)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20</v>
      </c>
      <c r="C6" s="24">
        <f>IFERROR(VLOOKUP(A6,'효성 피벗'!A:SK,2,FALSE),0)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20</v>
      </c>
      <c r="C7" s="24">
        <f>IFERROR(VLOOKUP(A7,'효성 피벗'!A:SK,2,FALSE),0)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20</v>
      </c>
      <c r="C8" s="24">
        <f>IFERROR(VLOOKUP(A8,'효성 피벗'!A:SK,2,FALSE),0)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20</v>
      </c>
      <c r="C9" s="24">
        <f>IFERROR(VLOOKUP(A9,'효성 피벗'!A:SK,2,FALSE),0)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20</v>
      </c>
      <c r="C10" s="24">
        <f>IFERROR(VLOOKUP(A10,'효성 피벗'!A:SK,2,FALSE),0)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20</v>
      </c>
      <c r="C11" s="24">
        <f>IFERROR(VLOOKUP(A11,'효성 피벗'!A:SK,2,FALSE),0)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20</v>
      </c>
      <c r="C12" s="24">
        <f>IFERROR(VLOOKUP(A12,'효성 피벗'!A:SK,2,FALSE),0)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20</v>
      </c>
      <c r="C13" s="24">
        <f>IFERROR(VLOOKUP(A13,'효성 피벗'!A:SK,2,FALSE),0)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20</v>
      </c>
      <c r="C14" s="24">
        <f>IFERROR(VLOOKUP(A14,'효성 피벗'!A:SK,2,FALSE),0)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20</v>
      </c>
      <c r="C15" s="24">
        <f>IFERROR(VLOOKUP(A15,'효성 피벗'!A:SK,2,FALSE),0)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20</v>
      </c>
      <c r="C16" s="24">
        <f>IFERROR(VLOOKUP(A16,'효성 피벗'!A:SK,2,FALSE),0)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20</v>
      </c>
      <c r="C17" s="24">
        <f>IFERROR(VLOOKUP(A17,'효성 피벗'!A:SK,2,FALSE),0)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20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214" t="s">
        <v>46</v>
      </c>
      <c r="B21" s="50">
        <f t="shared" ref="B21:B23" si="3">$B$4</f>
        <v>20</v>
      </c>
      <c r="C21" s="24">
        <f>IFERROR(VLOOKUP(A21,'효성 피벗'!A:SK,2,FALSE),0)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214" t="s">
        <v>41</v>
      </c>
      <c r="B22" s="50">
        <f t="shared" si="3"/>
        <v>20</v>
      </c>
      <c r="C22" s="24">
        <f>IFERROR(VLOOKUP(A22,'효성 피벗'!A:SK,2,FALSE),0)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214" t="s">
        <v>62</v>
      </c>
      <c r="B23" s="50">
        <f t="shared" si="3"/>
        <v>20</v>
      </c>
      <c r="C23" s="24">
        <f>IFERROR(VLOOKUP(A23,'효성 피벗'!A:SK,2,FALSE),0)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20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223" t="s">
        <v>73</v>
      </c>
      <c r="B27" s="50">
        <f t="shared" ref="B27" si="4">$B$4</f>
        <v>20</v>
      </c>
      <c r="C27" s="24">
        <f>IFERROR(VLOOKUP(A27,'효성 피벗'!A:SK,2,FALSE),0)</f>
        <v>0</v>
      </c>
      <c r="D27" s="20">
        <f>IFERROR(ROUNDDOWN(C27/B27,0),"")</f>
        <v>0</v>
      </c>
      <c r="E27" s="51" t="s">
        <v>257</v>
      </c>
      <c r="F27" s="26">
        <f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20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49" t="s">
        <v>90</v>
      </c>
      <c r="B31" s="50">
        <f t="shared" ref="B31:B32" si="5">$B$4</f>
        <v>20</v>
      </c>
      <c r="C31" s="24">
        <f>IFERROR(VLOOKUP(A31,'효성 피벗'!A:SK,2,FALSE),0)</f>
        <v>0</v>
      </c>
      <c r="D31" s="20">
        <f>IFERROR(ROUNDDOWN(C31/B31,0),"")</f>
        <v>0</v>
      </c>
      <c r="E31" s="51" t="s">
        <v>258</v>
      </c>
      <c r="F31" s="26">
        <f>IFERROR(C31-(D31*B31),"")</f>
        <v>0</v>
      </c>
      <c r="H31" s="73"/>
      <c r="I31" s="73"/>
    </row>
    <row r="32" spans="1:9" ht="25.35" customHeight="1" x14ac:dyDescent="0.3">
      <c r="A32" s="49" t="s">
        <v>52</v>
      </c>
      <c r="B32" s="50">
        <f t="shared" si="5"/>
        <v>20</v>
      </c>
      <c r="C32" s="24">
        <f>IFERROR(VLOOKUP(A32,'효성 피벗'!A:SK,2,FALSE),0)</f>
        <v>0</v>
      </c>
      <c r="D32" s="20">
        <f t="shared" ref="D32" si="6">IFERROR(ROUNDDOWN(C32/B32,0),"")</f>
        <v>0</v>
      </c>
      <c r="E32" s="51" t="s">
        <v>259</v>
      </c>
      <c r="F32" s="26">
        <f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20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7.75" customHeight="1" x14ac:dyDescent="0.3">
      <c r="A36" s="52" t="s">
        <v>84</v>
      </c>
      <c r="B36" s="50">
        <f t="shared" ref="B36" si="7">$B$4</f>
        <v>20</v>
      </c>
      <c r="C36" s="24">
        <f>IFERROR(VLOOKUP(A36,'효성 피벗'!A:SK,2,FALSE),0)</f>
        <v>0</v>
      </c>
      <c r="D36" s="20">
        <f t="shared" ref="D36" si="8">IFERROR(ROUNDDOWN(C36/B36,0),"")</f>
        <v>0</v>
      </c>
      <c r="E36" s="215" t="s">
        <v>120</v>
      </c>
      <c r="F36" s="26">
        <f t="shared" ref="F36" si="9">IFERROR(C36-(D36*B36),"")</f>
        <v>0</v>
      </c>
      <c r="H36" s="73"/>
      <c r="I36" s="73"/>
    </row>
    <row r="37" spans="1:9" ht="6" customHeight="1" x14ac:dyDescent="0.3">
      <c r="A37" s="52"/>
      <c r="B37" s="50"/>
      <c r="C37" s="24"/>
      <c r="D37" s="20"/>
      <c r="E37" s="215"/>
      <c r="F37" s="26"/>
      <c r="H37" s="73"/>
      <c r="I37" s="73"/>
    </row>
    <row r="38" spans="1:9" ht="26.25" x14ac:dyDescent="0.3">
      <c r="A38" s="87" t="s">
        <v>3</v>
      </c>
      <c r="B38" s="57">
        <f>$B$4</f>
        <v>20</v>
      </c>
      <c r="C38" s="55">
        <f>SUM(C4:C17,C31:C32,C27:C27,C21:C23,C36)</f>
        <v>0</v>
      </c>
      <c r="D38" s="54">
        <f>IFERROR(ROUNDDOWN(C38/B38,0),"")</f>
        <v>0</v>
      </c>
      <c r="E38" s="56"/>
      <c r="F38" s="121">
        <f>IFERROR(C38-(D38*B38),"")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0"/>
      <c r="D39" s="41">
        <f>SUM(D4:D17,D31:D32,D27:D27,D21:D23,D36)</f>
        <v>0</v>
      </c>
      <c r="E39" s="48"/>
      <c r="F39" s="93">
        <f>SUM(F4:F17,F31:F32,F27:F27,F21:F23,F36)</f>
        <v>0</v>
      </c>
    </row>
    <row r="40" spans="1:9" ht="22.5" customHeight="1" x14ac:dyDescent="0.3">
      <c r="C40" s="77">
        <f>C19+C25+C29+C34+C36</f>
        <v>0</v>
      </c>
    </row>
    <row r="41" spans="1:9" x14ac:dyDescent="0.3">
      <c r="C41" s="34" t="b">
        <f>C40=C38</f>
        <v>1</v>
      </c>
    </row>
  </sheetData>
  <mergeCells count="7">
    <mergeCell ref="A33:F33"/>
    <mergeCell ref="A1:F1"/>
    <mergeCell ref="B2:F2"/>
    <mergeCell ref="A18:F18"/>
    <mergeCell ref="A24:F24"/>
    <mergeCell ref="A26:F26"/>
    <mergeCell ref="A28:F2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0000"/>
  </sheetPr>
  <dimension ref="A1:SZ14"/>
  <sheetViews>
    <sheetView zoomScaleNormal="100" zoomScaleSheetLayoutView="75" workbookViewId="0">
      <selection activeCell="B28" sqref="B28"/>
    </sheetView>
  </sheetViews>
  <sheetFormatPr defaultColWidth="9" defaultRowHeight="15" customHeight="1" x14ac:dyDescent="0.3"/>
  <cols>
    <col min="1" max="30" width="37.625" style="34" customWidth="1"/>
    <col min="31" max="31" width="22.25" style="34" bestFit="1" customWidth="1"/>
    <col min="32" max="34" width="18.375" style="34" customWidth="1"/>
    <col min="35" max="35" width="27.625" style="34" bestFit="1" customWidth="1"/>
    <col min="36" max="37" width="18.375" style="34" customWidth="1"/>
    <col min="38" max="38" width="27.625" style="34" bestFit="1" customWidth="1"/>
    <col min="39" max="39" width="18.375" style="34" customWidth="1"/>
    <col min="40" max="40" width="25.375" style="34" bestFit="1" customWidth="1"/>
    <col min="41" max="41" width="21" style="34" bestFit="1" customWidth="1"/>
    <col min="42" max="42" width="27.625" style="34" bestFit="1" customWidth="1"/>
    <col min="43" max="43" width="18.375" style="34" customWidth="1"/>
    <col min="44" max="44" width="27.625" style="34" bestFit="1" customWidth="1"/>
    <col min="45" max="398" width="30.375" style="34" customWidth="1"/>
    <col min="399" max="400" width="21.25" style="34" customWidth="1"/>
    <col min="401" max="416" width="20.5" style="34" customWidth="1"/>
    <col min="417" max="417" width="21" style="34" bestFit="1" customWidth="1"/>
    <col min="418" max="418" width="25.125" style="34" bestFit="1" customWidth="1"/>
    <col min="419" max="419" width="23" style="34" bestFit="1" customWidth="1"/>
    <col min="420" max="420" width="33.375" style="34" bestFit="1" customWidth="1"/>
    <col min="421" max="421" width="25.125" style="34" bestFit="1" customWidth="1"/>
    <col min="422" max="422" width="28.875" style="34" bestFit="1" customWidth="1"/>
    <col min="423" max="423" width="23" style="34" bestFit="1" customWidth="1"/>
    <col min="424" max="424" width="18.875" style="34" customWidth="1"/>
    <col min="425" max="425" width="23" style="34" bestFit="1" customWidth="1"/>
    <col min="426" max="426" width="25.125" style="34" bestFit="1" customWidth="1"/>
    <col min="427" max="427" width="18.875" style="34" customWidth="1"/>
    <col min="428" max="428" width="19.125" style="34" customWidth="1"/>
    <col min="429" max="429" width="18.125" style="34" customWidth="1"/>
    <col min="430" max="430" width="18.875" style="34" customWidth="1"/>
    <col min="431" max="431" width="26.625" style="34" customWidth="1"/>
    <col min="432" max="432" width="22.125" style="34" customWidth="1"/>
    <col min="433" max="433" width="24.125" style="34" customWidth="1"/>
    <col min="434" max="434" width="21.375" style="34" customWidth="1"/>
    <col min="435" max="435" width="19.375" style="34" customWidth="1"/>
    <col min="436" max="436" width="20" style="34" customWidth="1"/>
    <col min="437" max="437" width="23.25" style="34" customWidth="1"/>
    <col min="438" max="438" width="18" style="34" customWidth="1"/>
    <col min="439" max="469" width="19" style="34" customWidth="1"/>
    <col min="470" max="474" width="20.25" style="34" customWidth="1"/>
    <col min="475" max="475" width="17.25" style="34" customWidth="1"/>
    <col min="476" max="476" width="17.75" style="34" customWidth="1"/>
    <col min="477" max="477" width="16.5" style="34" customWidth="1"/>
    <col min="478" max="480" width="21" style="34" customWidth="1"/>
    <col min="481" max="481" width="18.5" style="34" customWidth="1"/>
    <col min="482" max="486" width="21" style="34" customWidth="1"/>
    <col min="487" max="487" width="15.125" style="34" customWidth="1"/>
    <col min="488" max="503" width="21" style="34" customWidth="1"/>
    <col min="504" max="504" width="24.25" style="34" customWidth="1"/>
    <col min="505" max="505" width="18.875" style="34" bestFit="1" customWidth="1"/>
    <col min="506" max="506" width="21" style="34" bestFit="1" customWidth="1"/>
    <col min="507" max="507" width="23" style="38" bestFit="1" customWidth="1"/>
    <col min="508" max="508" width="8.625" style="38" bestFit="1" customWidth="1"/>
    <col min="509" max="509" width="21" style="38" bestFit="1" customWidth="1"/>
    <col min="510" max="510" width="23" style="38" bestFit="1" customWidth="1"/>
    <col min="511" max="511" width="8.625" style="38" bestFit="1" customWidth="1"/>
    <col min="512" max="512" width="22.875" style="34" customWidth="1"/>
    <col min="513" max="519" width="20.875" style="38" customWidth="1"/>
    <col min="520" max="520" width="23.25" style="38" customWidth="1"/>
    <col min="521" max="16384" width="9" style="34"/>
  </cols>
  <sheetData>
    <row r="1" spans="1:512" s="38" customFormat="1" ht="15" customHeight="1" x14ac:dyDescent="0.3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2"/>
      <c r="AT1" s="2"/>
      <c r="AU1" s="2"/>
      <c r="AV1" s="2"/>
      <c r="AW1" s="2"/>
      <c r="AX1" s="2"/>
      <c r="AY1" s="2"/>
      <c r="AZ1" s="2"/>
      <c r="BA1" s="29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32"/>
      <c r="MQ1" s="23"/>
      <c r="MR1" s="23"/>
      <c r="MS1" s="23"/>
      <c r="MT1" s="23"/>
      <c r="MU1" s="32"/>
      <c r="MV1" s="32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32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32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32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</row>
    <row r="2" spans="1:512" s="38" customFormat="1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</row>
    <row r="3" spans="1:512" s="38" customFormat="1" ht="15" customHeight="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</row>
    <row r="4" spans="1:512" s="38" customFormat="1" ht="15" customHeight="1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</row>
    <row r="5" spans="1:512" s="38" customFormat="1" ht="15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</row>
    <row r="6" spans="1:512" s="38" customFormat="1" ht="15" customHeight="1" x14ac:dyDescent="0.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</row>
    <row r="7" spans="1:512" s="38" customFormat="1" ht="15" customHeight="1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</row>
    <row r="8" spans="1:512" s="38" customFormat="1" ht="1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</row>
    <row r="9" spans="1:512" s="38" customFormat="1" ht="15" customHeight="1" x14ac:dyDescent="0.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</row>
    <row r="10" spans="1:512" s="38" customFormat="1" ht="1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PD10" s="63"/>
    </row>
    <row r="11" spans="1:512" s="38" customFormat="1" ht="15" customHeight="1" x14ac:dyDescent="0.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PA11" s="64"/>
      <c r="PD11" s="63"/>
    </row>
    <row r="12" spans="1:512" s="38" customFormat="1" ht="15" customHeigh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PA12" s="64"/>
      <c r="PD12" s="63"/>
    </row>
    <row r="13" spans="1:512" ht="15" customHeight="1" x14ac:dyDescent="0.3"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T13" s="39"/>
    </row>
    <row r="14" spans="1:512" ht="15" customHeight="1" x14ac:dyDescent="0.3"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5882-8822-485E-9E1A-234956980374}">
  <sheetPr>
    <tabColor rgb="FFFF0000"/>
    <pageSetUpPr fitToPage="1"/>
  </sheetPr>
  <dimension ref="A1:I41"/>
  <sheetViews>
    <sheetView zoomScale="55" zoomScaleNormal="55" zoomScaleSheetLayoutView="75" workbookViewId="0">
      <selection sqref="A1:F9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9" ht="25.9" customHeight="1" thickBot="1" x14ac:dyDescent="0.35">
      <c r="A1" s="253"/>
      <c r="B1" s="253"/>
      <c r="C1" s="253"/>
      <c r="D1" s="253"/>
      <c r="E1" s="253"/>
      <c r="F1" s="253"/>
    </row>
    <row r="2" spans="1:9" ht="25.9" customHeight="1" x14ac:dyDescent="0.3">
      <c r="A2" s="217">
        <f ca="1">TODAY()</f>
        <v>46309</v>
      </c>
      <c r="B2" s="254" t="s">
        <v>274</v>
      </c>
      <c r="C2" s="254"/>
      <c r="D2" s="254"/>
      <c r="E2" s="254"/>
      <c r="F2" s="255"/>
    </row>
    <row r="3" spans="1:9" ht="40.5" customHeight="1" x14ac:dyDescent="0.3">
      <c r="A3" s="218">
        <f>'대신(냉동) 피벗'!A2</f>
        <v>0</v>
      </c>
      <c r="B3" s="219" t="s">
        <v>13</v>
      </c>
      <c r="C3" s="220" t="s">
        <v>277</v>
      </c>
      <c r="D3" s="221" t="s">
        <v>2</v>
      </c>
      <c r="E3" s="219" t="s">
        <v>23</v>
      </c>
      <c r="F3" s="222" t="s">
        <v>14</v>
      </c>
    </row>
    <row r="4" spans="1:9" ht="25.35" customHeight="1" x14ac:dyDescent="0.3">
      <c r="A4" s="52" t="s">
        <v>100</v>
      </c>
      <c r="B4" s="50">
        <v>36</v>
      </c>
      <c r="C4" s="24">
        <f>IFERROR(VLOOKUP(A4,'대신(냉동) 피벗'!A:SN,2,FALSE),0)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  <c r="H4" s="73"/>
      <c r="I4" s="73"/>
    </row>
    <row r="5" spans="1:9" ht="25.35" customHeight="1" x14ac:dyDescent="0.3">
      <c r="A5" s="52" t="s">
        <v>85</v>
      </c>
      <c r="B5" s="50">
        <f>$B$4</f>
        <v>36</v>
      </c>
      <c r="C5" s="24">
        <f>IFERROR(VLOOKUP(A5,'대신(냉동) 피벗'!A:SN,2,FALSE),0)</f>
        <v>0</v>
      </c>
      <c r="D5" s="20">
        <f t="shared" si="0"/>
        <v>0</v>
      </c>
      <c r="E5" s="51" t="s">
        <v>239</v>
      </c>
      <c r="F5" s="26">
        <f t="shared" si="1"/>
        <v>0</v>
      </c>
      <c r="H5" s="73"/>
      <c r="I5" s="73"/>
    </row>
    <row r="6" spans="1:9" ht="25.35" customHeight="1" x14ac:dyDescent="0.3">
      <c r="A6" s="49" t="s">
        <v>81</v>
      </c>
      <c r="B6" s="50">
        <f t="shared" ref="B6:B17" si="2">$B$4</f>
        <v>36</v>
      </c>
      <c r="C6" s="24">
        <f>IFERROR(VLOOKUP(A6,'대신(냉동) 피벗'!A:SN,2,FALSE),0)</f>
        <v>0</v>
      </c>
      <c r="D6" s="20">
        <f t="shared" si="0"/>
        <v>0</v>
      </c>
      <c r="E6" s="51" t="s">
        <v>240</v>
      </c>
      <c r="F6" s="26">
        <f t="shared" si="1"/>
        <v>0</v>
      </c>
      <c r="H6" s="73"/>
      <c r="I6" s="73"/>
    </row>
    <row r="7" spans="1:9" ht="25.35" customHeight="1" x14ac:dyDescent="0.3">
      <c r="A7" s="49" t="s">
        <v>75</v>
      </c>
      <c r="B7" s="50">
        <f t="shared" si="2"/>
        <v>36</v>
      </c>
      <c r="C7" s="24">
        <f>IFERROR(VLOOKUP(A7,'대신(냉동) 피벗'!A:SN,2,FALSE),0)</f>
        <v>0</v>
      </c>
      <c r="D7" s="20">
        <f t="shared" si="0"/>
        <v>0</v>
      </c>
      <c r="E7" s="51" t="s">
        <v>241</v>
      </c>
      <c r="F7" s="26">
        <f t="shared" si="1"/>
        <v>0</v>
      </c>
      <c r="H7" s="73"/>
      <c r="I7" s="73"/>
    </row>
    <row r="8" spans="1:9" ht="25.35" customHeight="1" x14ac:dyDescent="0.3">
      <c r="A8" s="49" t="s">
        <v>48</v>
      </c>
      <c r="B8" s="50">
        <f t="shared" si="2"/>
        <v>36</v>
      </c>
      <c r="C8" s="24">
        <f>IFERROR(VLOOKUP(A8,'대신(냉동) 피벗'!A:SN,2,FALSE),0)</f>
        <v>0</v>
      </c>
      <c r="D8" s="20">
        <f t="shared" si="0"/>
        <v>0</v>
      </c>
      <c r="E8" s="51" t="s">
        <v>115</v>
      </c>
      <c r="F8" s="26">
        <f t="shared" si="1"/>
        <v>0</v>
      </c>
      <c r="H8" s="73"/>
      <c r="I8" s="73"/>
    </row>
    <row r="9" spans="1:9" ht="25.35" customHeight="1" x14ac:dyDescent="0.3">
      <c r="A9" s="49" t="s">
        <v>35</v>
      </c>
      <c r="B9" s="50">
        <f t="shared" si="2"/>
        <v>36</v>
      </c>
      <c r="C9" s="24">
        <f>IFERROR(VLOOKUP(A9,'대신(냉동) 피벗'!A:SN,2,FALSE),0)</f>
        <v>0</v>
      </c>
      <c r="D9" s="20">
        <f t="shared" si="0"/>
        <v>0</v>
      </c>
      <c r="E9" s="51" t="s">
        <v>242</v>
      </c>
      <c r="F9" s="26">
        <f t="shared" si="1"/>
        <v>0</v>
      </c>
      <c r="H9" s="73"/>
      <c r="I9" s="73"/>
    </row>
    <row r="10" spans="1:9" ht="25.35" customHeight="1" x14ac:dyDescent="0.3">
      <c r="A10" s="49" t="s">
        <v>54</v>
      </c>
      <c r="B10" s="50">
        <f t="shared" si="2"/>
        <v>36</v>
      </c>
      <c r="C10" s="24">
        <f>IFERROR(VLOOKUP(A10,'대신(냉동) 피벗'!A:SN,2,FALSE),0)</f>
        <v>0</v>
      </c>
      <c r="D10" s="20">
        <f t="shared" si="0"/>
        <v>0</v>
      </c>
      <c r="E10" s="51" t="s">
        <v>243</v>
      </c>
      <c r="F10" s="26">
        <f t="shared" si="1"/>
        <v>0</v>
      </c>
      <c r="H10" s="73"/>
      <c r="I10" s="73"/>
    </row>
    <row r="11" spans="1:9" ht="25.35" customHeight="1" x14ac:dyDescent="0.3">
      <c r="A11" s="49" t="s">
        <v>58</v>
      </c>
      <c r="B11" s="50">
        <f t="shared" si="2"/>
        <v>36</v>
      </c>
      <c r="C11" s="24">
        <f>IFERROR(VLOOKUP(A11,'대신(냉동) 피벗'!A:SN,2,FALSE),0)</f>
        <v>0</v>
      </c>
      <c r="D11" s="20">
        <f t="shared" si="0"/>
        <v>0</v>
      </c>
      <c r="E11" s="51" t="s">
        <v>244</v>
      </c>
      <c r="F11" s="26">
        <f t="shared" si="1"/>
        <v>0</v>
      </c>
      <c r="H11" s="73"/>
      <c r="I11" s="73"/>
    </row>
    <row r="12" spans="1:9" ht="25.35" customHeight="1" x14ac:dyDescent="0.3">
      <c r="A12" s="49" t="s">
        <v>51</v>
      </c>
      <c r="B12" s="50">
        <f t="shared" si="2"/>
        <v>36</v>
      </c>
      <c r="C12" s="24">
        <f>IFERROR(VLOOKUP(A12,'대신(냉동) 피벗'!A:SN,2,FALSE),0)</f>
        <v>0</v>
      </c>
      <c r="D12" s="20">
        <f t="shared" si="0"/>
        <v>0</v>
      </c>
      <c r="E12" s="51" t="s">
        <v>245</v>
      </c>
      <c r="F12" s="26">
        <f t="shared" si="1"/>
        <v>0</v>
      </c>
      <c r="H12" s="73"/>
      <c r="I12" s="73"/>
    </row>
    <row r="13" spans="1:9" ht="25.35" customHeight="1" x14ac:dyDescent="0.3">
      <c r="A13" s="52" t="s">
        <v>45</v>
      </c>
      <c r="B13" s="50">
        <f t="shared" si="2"/>
        <v>36</v>
      </c>
      <c r="C13" s="24">
        <f>IFERROR(VLOOKUP(A13,'대신(냉동) 피벗'!A:SN,2,FALSE),0)</f>
        <v>0</v>
      </c>
      <c r="D13" s="20">
        <f t="shared" si="0"/>
        <v>0</v>
      </c>
      <c r="E13" s="51" t="s">
        <v>246</v>
      </c>
      <c r="F13" s="26">
        <f t="shared" si="1"/>
        <v>0</v>
      </c>
      <c r="H13" s="73"/>
      <c r="I13" s="73"/>
    </row>
    <row r="14" spans="1:9" ht="25.35" customHeight="1" x14ac:dyDescent="0.3">
      <c r="A14" s="49" t="s">
        <v>59</v>
      </c>
      <c r="B14" s="50">
        <f t="shared" si="2"/>
        <v>36</v>
      </c>
      <c r="C14" s="24">
        <f>IFERROR(VLOOKUP(A14,'대신(냉동) 피벗'!A:SN,2,FALSE),0)</f>
        <v>0</v>
      </c>
      <c r="D14" s="20">
        <f t="shared" si="0"/>
        <v>0</v>
      </c>
      <c r="E14" s="51" t="s">
        <v>247</v>
      </c>
      <c r="F14" s="26">
        <f t="shared" si="1"/>
        <v>0</v>
      </c>
      <c r="H14" s="73"/>
      <c r="I14" s="73"/>
    </row>
    <row r="15" spans="1:9" ht="25.35" customHeight="1" x14ac:dyDescent="0.3">
      <c r="A15" s="49" t="s">
        <v>40</v>
      </c>
      <c r="B15" s="50">
        <f t="shared" si="2"/>
        <v>36</v>
      </c>
      <c r="C15" s="24">
        <f>IFERROR(VLOOKUP(A15,'대신(냉동) 피벗'!A:SN,2,FALSE),0)</f>
        <v>0</v>
      </c>
      <c r="D15" s="20">
        <f t="shared" si="0"/>
        <v>0</v>
      </c>
      <c r="E15" s="51" t="s">
        <v>248</v>
      </c>
      <c r="F15" s="26">
        <f t="shared" si="1"/>
        <v>0</v>
      </c>
      <c r="H15" s="73"/>
      <c r="I15" s="73"/>
    </row>
    <row r="16" spans="1:9" ht="25.35" customHeight="1" x14ac:dyDescent="0.3">
      <c r="A16" s="49" t="s">
        <v>50</v>
      </c>
      <c r="B16" s="50">
        <f t="shared" si="2"/>
        <v>36</v>
      </c>
      <c r="C16" s="24">
        <f>IFERROR(VLOOKUP(A16,'대신(냉동) 피벗'!A:SN,2,FALSE),0)</f>
        <v>0</v>
      </c>
      <c r="D16" s="20">
        <f t="shared" si="0"/>
        <v>0</v>
      </c>
      <c r="E16" s="51" t="s">
        <v>249</v>
      </c>
      <c r="F16" s="26">
        <f t="shared" si="1"/>
        <v>0</v>
      </c>
      <c r="H16" s="73"/>
      <c r="I16" s="73"/>
    </row>
    <row r="17" spans="1:9" ht="25.35" customHeight="1" x14ac:dyDescent="0.3">
      <c r="A17" s="49" t="s">
        <v>55</v>
      </c>
      <c r="B17" s="50">
        <f t="shared" si="2"/>
        <v>36</v>
      </c>
      <c r="C17" s="24">
        <f>IFERROR(VLOOKUP(A17,'대신(냉동) 피벗'!A:SN,2,FALSE),0)</f>
        <v>0</v>
      </c>
      <c r="D17" s="20">
        <f t="shared" si="0"/>
        <v>0</v>
      </c>
      <c r="E17" s="51" t="s">
        <v>250</v>
      </c>
      <c r="F17" s="26">
        <f t="shared" si="1"/>
        <v>0</v>
      </c>
      <c r="H17" s="73"/>
      <c r="I17" s="73"/>
    </row>
    <row r="18" spans="1:9" ht="4.5" customHeight="1" x14ac:dyDescent="0.3">
      <c r="A18" s="241"/>
      <c r="B18" s="242"/>
      <c r="C18" s="242"/>
      <c r="D18" s="242"/>
      <c r="E18" s="242"/>
      <c r="F18" s="243"/>
      <c r="H18" s="73"/>
      <c r="I18" s="73"/>
    </row>
    <row r="19" spans="1:9" ht="32.450000000000003" customHeight="1" x14ac:dyDescent="0.3">
      <c r="A19" s="209" t="s">
        <v>122</v>
      </c>
      <c r="B19" s="210">
        <f>$B$4</f>
        <v>36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  <c r="H19" s="73"/>
      <c r="I19" s="73"/>
    </row>
    <row r="20" spans="1:9" ht="4.5" customHeight="1" x14ac:dyDescent="0.3">
      <c r="A20" s="181"/>
      <c r="B20" s="50"/>
      <c r="C20" s="50"/>
      <c r="D20" s="50"/>
      <c r="E20" s="50"/>
      <c r="F20" s="182"/>
      <c r="H20" s="73"/>
      <c r="I20" s="73"/>
    </row>
    <row r="21" spans="1:9" ht="25.35" customHeight="1" x14ac:dyDescent="0.3">
      <c r="A21" s="49" t="s">
        <v>46</v>
      </c>
      <c r="B21" s="50">
        <f t="shared" ref="B21:B23" si="3">$B$4</f>
        <v>36</v>
      </c>
      <c r="C21" s="24">
        <f>IFERROR(VLOOKUP(A21,'대신(냉동) 피벗'!A:SN,2,FALSE),0)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  <c r="H21" s="73"/>
      <c r="I21" s="73"/>
    </row>
    <row r="22" spans="1:9" ht="25.35" customHeight="1" x14ac:dyDescent="0.3">
      <c r="A22" s="49" t="s">
        <v>41</v>
      </c>
      <c r="B22" s="50">
        <f t="shared" si="3"/>
        <v>36</v>
      </c>
      <c r="C22" s="24">
        <f>IFERROR(VLOOKUP(A22,'대신(냉동) 피벗'!A:SN,2,FALSE),0)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  <c r="H22" s="73"/>
      <c r="I22" s="73"/>
    </row>
    <row r="23" spans="1:9" ht="25.35" customHeight="1" x14ac:dyDescent="0.3">
      <c r="A23" s="49" t="s">
        <v>62</v>
      </c>
      <c r="B23" s="50">
        <f t="shared" si="3"/>
        <v>36</v>
      </c>
      <c r="C23" s="24">
        <f>IFERROR(VLOOKUP(A23,'대신(냉동) 피벗'!A:SN,2,FALSE),0)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  <c r="H23" s="73"/>
      <c r="I23" s="73"/>
    </row>
    <row r="24" spans="1:9" ht="4.5" customHeight="1" x14ac:dyDescent="0.3">
      <c r="A24" s="241"/>
      <c r="B24" s="242"/>
      <c r="C24" s="242"/>
      <c r="D24" s="242"/>
      <c r="E24" s="242"/>
      <c r="F24" s="243"/>
      <c r="H24" s="73"/>
      <c r="I24" s="73"/>
    </row>
    <row r="25" spans="1:9" ht="32.450000000000003" customHeight="1" x14ac:dyDescent="0.3">
      <c r="A25" s="209" t="s">
        <v>237</v>
      </c>
      <c r="B25" s="210">
        <f>$B$4</f>
        <v>36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  <c r="H25" s="73"/>
      <c r="I25" s="73"/>
    </row>
    <row r="26" spans="1:9" ht="4.5" customHeight="1" x14ac:dyDescent="0.3">
      <c r="A26" s="241"/>
      <c r="B26" s="242"/>
      <c r="C26" s="242"/>
      <c r="D26" s="242"/>
      <c r="E26" s="242"/>
      <c r="F26" s="243"/>
      <c r="H26" s="73"/>
      <c r="I26" s="73"/>
    </row>
    <row r="27" spans="1:9" ht="25.35" customHeight="1" x14ac:dyDescent="0.3">
      <c r="A27" s="49" t="s">
        <v>73</v>
      </c>
      <c r="B27" s="50">
        <f t="shared" ref="B27" si="4">$B$4</f>
        <v>36</v>
      </c>
      <c r="C27" s="24">
        <f>IFERROR(VLOOKUP(A27,'대신(냉동) 피벗'!A:SN,2,FALSE),0)</f>
        <v>0</v>
      </c>
      <c r="D27" s="20">
        <f t="shared" ref="D27" si="5">IFERROR(ROUNDDOWN(C27/B27,0),"")</f>
        <v>0</v>
      </c>
      <c r="E27" s="51" t="s">
        <v>234</v>
      </c>
      <c r="F27" s="26">
        <f t="shared" ref="F27" si="6">IFERROR(C27-(D27*B27),"")</f>
        <v>0</v>
      </c>
      <c r="H27" s="73"/>
      <c r="I27" s="73"/>
    </row>
    <row r="28" spans="1:9" ht="4.5" customHeight="1" x14ac:dyDescent="0.3">
      <c r="A28" s="241"/>
      <c r="B28" s="242"/>
      <c r="C28" s="242"/>
      <c r="D28" s="242"/>
      <c r="E28" s="242"/>
      <c r="F28" s="243"/>
      <c r="H28" s="73"/>
      <c r="I28" s="73"/>
    </row>
    <row r="29" spans="1:9" ht="32.450000000000003" customHeight="1" x14ac:dyDescent="0.3">
      <c r="A29" s="209" t="s">
        <v>236</v>
      </c>
      <c r="B29" s="210">
        <f>$B$4</f>
        <v>36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  <c r="H29" s="73"/>
      <c r="I29" s="73"/>
    </row>
    <row r="30" spans="1:9" ht="4.5" customHeight="1" x14ac:dyDescent="0.3">
      <c r="A30" s="181"/>
      <c r="B30" s="50"/>
      <c r="C30" s="50"/>
      <c r="D30" s="50"/>
      <c r="E30" s="50"/>
      <c r="F30" s="182"/>
      <c r="H30" s="73"/>
      <c r="I30" s="73"/>
    </row>
    <row r="31" spans="1:9" ht="25.35" customHeight="1" x14ac:dyDescent="0.3">
      <c r="A31" s="214" t="s">
        <v>90</v>
      </c>
      <c r="B31" s="50">
        <f t="shared" ref="B31:B32" si="7">$B$4</f>
        <v>36</v>
      </c>
      <c r="C31" s="24">
        <f>IFERROR(VLOOKUP(A31,'대신(냉동) 피벗'!A:SN,2,FALSE),0)</f>
        <v>0</v>
      </c>
      <c r="D31" s="20">
        <f>IFERROR(ROUNDDOWN(C31/B31,0),"")</f>
        <v>0</v>
      </c>
      <c r="E31" s="51" t="s">
        <v>94</v>
      </c>
      <c r="F31" s="26">
        <f>IFERROR(C31-(D31*B31),"")</f>
        <v>0</v>
      </c>
      <c r="H31" s="73"/>
      <c r="I31" s="73"/>
    </row>
    <row r="32" spans="1:9" ht="25.35" customHeight="1" x14ac:dyDescent="0.3">
      <c r="A32" s="214" t="s">
        <v>52</v>
      </c>
      <c r="B32" s="50">
        <f t="shared" si="7"/>
        <v>36</v>
      </c>
      <c r="C32" s="24">
        <f>IFERROR(VLOOKUP(A32,'대신(냉동) 피벗'!A:SN,2,FALSE),0)</f>
        <v>0</v>
      </c>
      <c r="D32" s="20">
        <f t="shared" ref="D32" si="8">IFERROR(ROUNDDOWN(C32/B32,0),"")</f>
        <v>0</v>
      </c>
      <c r="E32" s="51" t="s">
        <v>5</v>
      </c>
      <c r="F32" s="26">
        <f t="shared" ref="F32" si="9">IFERROR(C32-(D32*B32),"")</f>
        <v>0</v>
      </c>
      <c r="H32" s="73"/>
      <c r="I32" s="73"/>
    </row>
    <row r="33" spans="1:9" ht="4.5" customHeight="1" x14ac:dyDescent="0.3">
      <c r="A33" s="241"/>
      <c r="B33" s="242"/>
      <c r="C33" s="242"/>
      <c r="D33" s="242"/>
      <c r="E33" s="242"/>
      <c r="F33" s="243"/>
      <c r="H33" s="73"/>
      <c r="I33" s="73"/>
    </row>
    <row r="34" spans="1:9" ht="32.450000000000003" customHeight="1" x14ac:dyDescent="0.3">
      <c r="A34" s="209" t="s">
        <v>235</v>
      </c>
      <c r="B34" s="210">
        <f>$B$4</f>
        <v>36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  <c r="H34" s="73"/>
      <c r="I34" s="73"/>
    </row>
    <row r="35" spans="1:9" ht="4.5" customHeight="1" x14ac:dyDescent="0.3">
      <c r="A35" s="181"/>
      <c r="B35" s="50"/>
      <c r="C35" s="50"/>
      <c r="D35" s="50"/>
      <c r="E35" s="50"/>
      <c r="F35" s="182"/>
      <c r="H35" s="73"/>
      <c r="I35" s="73"/>
    </row>
    <row r="36" spans="1:9" ht="24.95" customHeight="1" x14ac:dyDescent="0.3">
      <c r="A36" s="214" t="s">
        <v>84</v>
      </c>
      <c r="B36" s="50">
        <f t="shared" ref="B36" si="10">$B$4</f>
        <v>36</v>
      </c>
      <c r="C36" s="24">
        <f>IFERROR(VLOOKUP(A36,'대신(냉동) 피벗'!A:SN,2,FALSE),0)</f>
        <v>0</v>
      </c>
      <c r="D36" s="20">
        <f t="shared" ref="D36" si="11">IFERROR(ROUNDDOWN(C36/B36,0),"")</f>
        <v>0</v>
      </c>
      <c r="E36" s="51" t="s">
        <v>120</v>
      </c>
      <c r="F36" s="182"/>
      <c r="H36" s="73"/>
      <c r="I36" s="73"/>
    </row>
    <row r="37" spans="1:9" ht="3.75" customHeight="1" x14ac:dyDescent="0.3">
      <c r="A37" s="216"/>
      <c r="B37" s="50"/>
      <c r="C37" s="24"/>
      <c r="D37" s="20" t="str">
        <f>IFERROR(ROUNDDOWN(C37/B37,0),"")</f>
        <v/>
      </c>
      <c r="E37" s="51"/>
      <c r="F37" s="182" t="str">
        <f>IFERROR(C37-(D37*B37),"")</f>
        <v/>
      </c>
      <c r="H37" s="73"/>
      <c r="I37" s="73"/>
    </row>
    <row r="38" spans="1:9" ht="26.25" x14ac:dyDescent="0.3">
      <c r="A38" s="87" t="s">
        <v>3</v>
      </c>
      <c r="B38" s="57">
        <f>$B$4</f>
        <v>36</v>
      </c>
      <c r="C38" s="55">
        <f>SUM(C4:C17,C31:C32,C27:C27,C21:C23,C36)</f>
        <v>0</v>
      </c>
      <c r="D38" s="54">
        <f>SUM(D4:D17,D31:D32,D27:D27,D21:D23,D36)</f>
        <v>0</v>
      </c>
      <c r="E38" s="56"/>
      <c r="F38" s="121">
        <f>SUM(F4:F17,F31:F32,F27:F27,F21:F23,F36)</f>
        <v>0</v>
      </c>
      <c r="H38" s="73"/>
      <c r="I38" s="73"/>
    </row>
    <row r="39" spans="1:9" ht="27" thickBot="1" x14ac:dyDescent="0.35">
      <c r="A39" s="42" t="s">
        <v>238</v>
      </c>
      <c r="B39" s="43" t="s">
        <v>173</v>
      </c>
      <c r="C39" s="41"/>
      <c r="D39" s="41">
        <f>SUM(D4:D17,D31:D32,D27:D27,D21:D23,D36)</f>
        <v>0</v>
      </c>
      <c r="E39" s="48"/>
      <c r="F39" s="93">
        <f>SUM(F4:F17,F31:F32,F27:F27,F21:F23)</f>
        <v>0</v>
      </c>
    </row>
    <row r="40" spans="1:9" ht="22.5" customHeight="1" x14ac:dyDescent="0.3">
      <c r="C40" s="77">
        <f>C19+C25+C29+C34</f>
        <v>0</v>
      </c>
    </row>
    <row r="41" spans="1:9" x14ac:dyDescent="0.3">
      <c r="C41" s="34" t="b">
        <f>C40=C38</f>
        <v>1</v>
      </c>
    </row>
  </sheetData>
  <mergeCells count="7">
    <mergeCell ref="A1:F1"/>
    <mergeCell ref="B2:F2"/>
    <mergeCell ref="A33:F33"/>
    <mergeCell ref="A28:F28"/>
    <mergeCell ref="A24:F24"/>
    <mergeCell ref="A26:F26"/>
    <mergeCell ref="A18:F1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0000"/>
    <pageSetUpPr fitToPage="1"/>
  </sheetPr>
  <dimension ref="A1:F41"/>
  <sheetViews>
    <sheetView zoomScale="55" zoomScaleNormal="55" zoomScaleSheetLayoutView="75" workbookViewId="0">
      <selection activeCell="O23" sqref="O23"/>
    </sheetView>
  </sheetViews>
  <sheetFormatPr defaultColWidth="9" defaultRowHeight="16.5" x14ac:dyDescent="0.3"/>
  <cols>
    <col min="1" max="1" width="35.125" style="34" bestFit="1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11" width="9" style="34"/>
    <col min="12" max="12" width="10.625" style="34" customWidth="1"/>
    <col min="13" max="15" width="9" style="34"/>
    <col min="16" max="16" width="36.5" style="34" bestFit="1" customWidth="1"/>
    <col min="17" max="16384" width="9" style="34"/>
  </cols>
  <sheetData>
    <row r="1" spans="1:6" ht="25.9" customHeight="1" thickBot="1" x14ac:dyDescent="0.35">
      <c r="A1" s="253"/>
      <c r="B1" s="253"/>
      <c r="C1" s="253"/>
      <c r="D1" s="253"/>
      <c r="E1" s="253"/>
      <c r="F1" s="253"/>
    </row>
    <row r="2" spans="1:6" ht="25.9" customHeight="1" x14ac:dyDescent="0.3">
      <c r="A2" s="217">
        <f ca="1">TODAY()</f>
        <v>46309</v>
      </c>
      <c r="B2" s="254" t="s">
        <v>274</v>
      </c>
      <c r="C2" s="254"/>
      <c r="D2" s="254"/>
      <c r="E2" s="254"/>
      <c r="F2" s="255"/>
    </row>
    <row r="3" spans="1:6" ht="40.5" customHeight="1" x14ac:dyDescent="0.3">
      <c r="A3" s="218">
        <f>'대신(냉동) 피벗'!A2</f>
        <v>0</v>
      </c>
      <c r="B3" s="219" t="s">
        <v>13</v>
      </c>
      <c r="C3" s="220" t="s">
        <v>278</v>
      </c>
      <c r="D3" s="221" t="s">
        <v>2</v>
      </c>
      <c r="E3" s="219" t="s">
        <v>23</v>
      </c>
      <c r="F3" s="222" t="s">
        <v>14</v>
      </c>
    </row>
    <row r="4" spans="1:6" ht="25.35" customHeight="1" x14ac:dyDescent="0.3">
      <c r="A4" s="52" t="s">
        <v>100</v>
      </c>
      <c r="B4" s="50">
        <v>36</v>
      </c>
      <c r="C4" s="24">
        <f>IFERROR(VLOOKUP(A4,'대신(냉동) 피벗'!A:SN,3,FALSE),0)</f>
        <v>0</v>
      </c>
      <c r="D4" s="20">
        <f t="shared" ref="D4:D17" si="0">IFERROR(ROUNDDOWN(C4/B4,0),"")</f>
        <v>0</v>
      </c>
      <c r="E4" s="51" t="s">
        <v>99</v>
      </c>
      <c r="F4" s="26">
        <f t="shared" ref="F4:F17" si="1">IFERROR(C4-(D4*B4),"")</f>
        <v>0</v>
      </c>
    </row>
    <row r="5" spans="1:6" ht="25.35" customHeight="1" x14ac:dyDescent="0.3">
      <c r="A5" s="52" t="s">
        <v>85</v>
      </c>
      <c r="B5" s="50">
        <f>$B$4</f>
        <v>36</v>
      </c>
      <c r="C5" s="24">
        <f>IFERROR(VLOOKUP(A5,'대신(냉동) 피벗'!A:SN,3,FALSE),0)</f>
        <v>0</v>
      </c>
      <c r="D5" s="20">
        <f t="shared" si="0"/>
        <v>0</v>
      </c>
      <c r="E5" s="51" t="s">
        <v>239</v>
      </c>
      <c r="F5" s="26">
        <f t="shared" si="1"/>
        <v>0</v>
      </c>
    </row>
    <row r="6" spans="1:6" ht="25.35" customHeight="1" x14ac:dyDescent="0.3">
      <c r="A6" s="49" t="s">
        <v>81</v>
      </c>
      <c r="B6" s="50">
        <f t="shared" ref="B6:B17" si="2">$B$4</f>
        <v>36</v>
      </c>
      <c r="C6" s="24">
        <f>IFERROR(VLOOKUP(A6,'대신(냉동) 피벗'!A:SN,3,FALSE),0)</f>
        <v>0</v>
      </c>
      <c r="D6" s="20">
        <f t="shared" si="0"/>
        <v>0</v>
      </c>
      <c r="E6" s="51" t="s">
        <v>240</v>
      </c>
      <c r="F6" s="26">
        <f t="shared" si="1"/>
        <v>0</v>
      </c>
    </row>
    <row r="7" spans="1:6" ht="25.35" customHeight="1" x14ac:dyDescent="0.3">
      <c r="A7" s="49" t="s">
        <v>75</v>
      </c>
      <c r="B7" s="50">
        <f t="shared" si="2"/>
        <v>36</v>
      </c>
      <c r="C7" s="24">
        <f>IFERROR(VLOOKUP(A7,'대신(냉동) 피벗'!A:SN,3,FALSE),0)</f>
        <v>0</v>
      </c>
      <c r="D7" s="20">
        <f t="shared" si="0"/>
        <v>0</v>
      </c>
      <c r="E7" s="51" t="s">
        <v>241</v>
      </c>
      <c r="F7" s="26">
        <f t="shared" si="1"/>
        <v>0</v>
      </c>
    </row>
    <row r="8" spans="1:6" ht="25.35" customHeight="1" x14ac:dyDescent="0.3">
      <c r="A8" s="49" t="s">
        <v>48</v>
      </c>
      <c r="B8" s="50">
        <f t="shared" si="2"/>
        <v>36</v>
      </c>
      <c r="C8" s="24">
        <f>IFERROR(VLOOKUP(A8,'대신(냉동) 피벗'!A:SN,3,FALSE),0)</f>
        <v>0</v>
      </c>
      <c r="D8" s="20">
        <f t="shared" si="0"/>
        <v>0</v>
      </c>
      <c r="E8" s="51" t="s">
        <v>115</v>
      </c>
      <c r="F8" s="26">
        <f t="shared" si="1"/>
        <v>0</v>
      </c>
    </row>
    <row r="9" spans="1:6" ht="25.35" customHeight="1" x14ac:dyDescent="0.3">
      <c r="A9" s="49" t="s">
        <v>35</v>
      </c>
      <c r="B9" s="50">
        <f t="shared" si="2"/>
        <v>36</v>
      </c>
      <c r="C9" s="24">
        <f>IFERROR(VLOOKUP(A9,'대신(냉동) 피벗'!A:SN,3,FALSE),0)</f>
        <v>0</v>
      </c>
      <c r="D9" s="20">
        <f t="shared" si="0"/>
        <v>0</v>
      </c>
      <c r="E9" s="51" t="s">
        <v>242</v>
      </c>
      <c r="F9" s="26">
        <f t="shared" si="1"/>
        <v>0</v>
      </c>
    </row>
    <row r="10" spans="1:6" ht="25.35" customHeight="1" x14ac:dyDescent="0.3">
      <c r="A10" s="49" t="s">
        <v>54</v>
      </c>
      <c r="B10" s="50">
        <f t="shared" si="2"/>
        <v>36</v>
      </c>
      <c r="C10" s="24">
        <f>IFERROR(VLOOKUP(A10,'대신(냉동) 피벗'!A:SN,3,FALSE),0)</f>
        <v>0</v>
      </c>
      <c r="D10" s="20">
        <f t="shared" si="0"/>
        <v>0</v>
      </c>
      <c r="E10" s="51" t="s">
        <v>243</v>
      </c>
      <c r="F10" s="26">
        <f t="shared" si="1"/>
        <v>0</v>
      </c>
    </row>
    <row r="11" spans="1:6" ht="25.35" customHeight="1" x14ac:dyDescent="0.3">
      <c r="A11" s="49" t="s">
        <v>58</v>
      </c>
      <c r="B11" s="50">
        <f t="shared" si="2"/>
        <v>36</v>
      </c>
      <c r="C11" s="24">
        <f>IFERROR(VLOOKUP(A11,'대신(냉동) 피벗'!A:SN,3,FALSE),0)</f>
        <v>0</v>
      </c>
      <c r="D11" s="20">
        <f t="shared" si="0"/>
        <v>0</v>
      </c>
      <c r="E11" s="51" t="s">
        <v>244</v>
      </c>
      <c r="F11" s="26">
        <f t="shared" si="1"/>
        <v>0</v>
      </c>
    </row>
    <row r="12" spans="1:6" ht="25.35" customHeight="1" x14ac:dyDescent="0.3">
      <c r="A12" s="49" t="s">
        <v>51</v>
      </c>
      <c r="B12" s="50">
        <f t="shared" si="2"/>
        <v>36</v>
      </c>
      <c r="C12" s="24">
        <f>IFERROR(VLOOKUP(A12,'대신(냉동) 피벗'!A:SN,3,FALSE),0)</f>
        <v>0</v>
      </c>
      <c r="D12" s="20">
        <f t="shared" si="0"/>
        <v>0</v>
      </c>
      <c r="E12" s="51" t="s">
        <v>245</v>
      </c>
      <c r="F12" s="26">
        <f t="shared" si="1"/>
        <v>0</v>
      </c>
    </row>
    <row r="13" spans="1:6" ht="25.35" customHeight="1" x14ac:dyDescent="0.3">
      <c r="A13" s="52" t="s">
        <v>45</v>
      </c>
      <c r="B13" s="50">
        <f t="shared" si="2"/>
        <v>36</v>
      </c>
      <c r="C13" s="24">
        <f>IFERROR(VLOOKUP(A13,'대신(냉동) 피벗'!A:SN,3,FALSE),0)</f>
        <v>0</v>
      </c>
      <c r="D13" s="20">
        <f t="shared" si="0"/>
        <v>0</v>
      </c>
      <c r="E13" s="51" t="s">
        <v>246</v>
      </c>
      <c r="F13" s="26">
        <f t="shared" si="1"/>
        <v>0</v>
      </c>
    </row>
    <row r="14" spans="1:6" ht="25.35" customHeight="1" x14ac:dyDescent="0.3">
      <c r="A14" s="49" t="s">
        <v>59</v>
      </c>
      <c r="B14" s="50">
        <f t="shared" si="2"/>
        <v>36</v>
      </c>
      <c r="C14" s="24">
        <f>IFERROR(VLOOKUP(A14,'대신(냉동) 피벗'!A:SN,3,FALSE),0)</f>
        <v>0</v>
      </c>
      <c r="D14" s="20">
        <f t="shared" si="0"/>
        <v>0</v>
      </c>
      <c r="E14" s="51" t="s">
        <v>247</v>
      </c>
      <c r="F14" s="26">
        <f t="shared" si="1"/>
        <v>0</v>
      </c>
    </row>
    <row r="15" spans="1:6" ht="25.35" customHeight="1" x14ac:dyDescent="0.3">
      <c r="A15" s="49" t="s">
        <v>40</v>
      </c>
      <c r="B15" s="50">
        <f t="shared" si="2"/>
        <v>36</v>
      </c>
      <c r="C15" s="24">
        <f>IFERROR(VLOOKUP(A15,'대신(냉동) 피벗'!A:SN,3,FALSE),0)</f>
        <v>0</v>
      </c>
      <c r="D15" s="20">
        <f t="shared" si="0"/>
        <v>0</v>
      </c>
      <c r="E15" s="51" t="s">
        <v>248</v>
      </c>
      <c r="F15" s="26">
        <f t="shared" si="1"/>
        <v>0</v>
      </c>
    </row>
    <row r="16" spans="1:6" ht="25.35" customHeight="1" x14ac:dyDescent="0.3">
      <c r="A16" s="49" t="s">
        <v>50</v>
      </c>
      <c r="B16" s="50">
        <f t="shared" si="2"/>
        <v>36</v>
      </c>
      <c r="C16" s="24">
        <f>IFERROR(VLOOKUP(A16,'대신(냉동) 피벗'!A:SN,3,FALSE),0)</f>
        <v>0</v>
      </c>
      <c r="D16" s="20">
        <f t="shared" si="0"/>
        <v>0</v>
      </c>
      <c r="E16" s="51" t="s">
        <v>249</v>
      </c>
      <c r="F16" s="26">
        <f t="shared" si="1"/>
        <v>0</v>
      </c>
    </row>
    <row r="17" spans="1:6" ht="25.35" customHeight="1" x14ac:dyDescent="0.3">
      <c r="A17" s="49" t="s">
        <v>55</v>
      </c>
      <c r="B17" s="50">
        <f t="shared" si="2"/>
        <v>36</v>
      </c>
      <c r="C17" s="24">
        <f>IFERROR(VLOOKUP(A17,'대신(냉동) 피벗'!A:SN,3,FALSE),0)</f>
        <v>0</v>
      </c>
      <c r="D17" s="20">
        <f t="shared" si="0"/>
        <v>0</v>
      </c>
      <c r="E17" s="51" t="s">
        <v>250</v>
      </c>
      <c r="F17" s="26">
        <f t="shared" si="1"/>
        <v>0</v>
      </c>
    </row>
    <row r="18" spans="1:6" ht="4.5" customHeight="1" x14ac:dyDescent="0.3">
      <c r="A18" s="241"/>
      <c r="B18" s="242"/>
      <c r="C18" s="242"/>
      <c r="D18" s="242"/>
      <c r="E18" s="242"/>
      <c r="F18" s="243"/>
    </row>
    <row r="19" spans="1:6" ht="32.450000000000003" customHeight="1" x14ac:dyDescent="0.3">
      <c r="A19" s="209" t="s">
        <v>122</v>
      </c>
      <c r="B19" s="210">
        <f>$B$4</f>
        <v>36</v>
      </c>
      <c r="C19" s="211">
        <f>SUM(C4:C17)</f>
        <v>0</v>
      </c>
      <c r="D19" s="55">
        <f>IFERROR(ROUNDDOWN(C19/B19,0),"")</f>
        <v>0</v>
      </c>
      <c r="E19" s="212"/>
      <c r="F19" s="213">
        <f>IFERROR(C19-(D19*B19),"")</f>
        <v>0</v>
      </c>
    </row>
    <row r="20" spans="1:6" ht="4.5" customHeight="1" x14ac:dyDescent="0.3">
      <c r="A20" s="181"/>
      <c r="B20" s="50"/>
      <c r="C20" s="50"/>
      <c r="D20" s="50"/>
      <c r="E20" s="50"/>
      <c r="F20" s="182"/>
    </row>
    <row r="21" spans="1:6" ht="25.35" customHeight="1" x14ac:dyDescent="0.3">
      <c r="A21" s="49" t="s">
        <v>46</v>
      </c>
      <c r="B21" s="50">
        <f t="shared" ref="B21:B23" si="3">$B$4</f>
        <v>36</v>
      </c>
      <c r="C21" s="24">
        <f>IFERROR(VLOOKUP(A21,'대신(냉동) 피벗'!A:SN,3,FALSE),0)</f>
        <v>0</v>
      </c>
      <c r="D21" s="20">
        <f>IFERROR(ROUNDDOWN(C21/B21,0),"")</f>
        <v>0</v>
      </c>
      <c r="E21" s="51" t="s">
        <v>251</v>
      </c>
      <c r="F21" s="26">
        <f>IFERROR(C21-(D21*B21),"")</f>
        <v>0</v>
      </c>
    </row>
    <row r="22" spans="1:6" ht="25.35" customHeight="1" x14ac:dyDescent="0.3">
      <c r="A22" s="49" t="s">
        <v>41</v>
      </c>
      <c r="B22" s="50">
        <f t="shared" si="3"/>
        <v>36</v>
      </c>
      <c r="C22" s="24">
        <f>IFERROR(VLOOKUP(A22,'대신(냉동) 피벗'!A:SN,3,FALSE),0)</f>
        <v>0</v>
      </c>
      <c r="D22" s="20">
        <f>IFERROR(ROUNDDOWN(C22/B22,0),"")</f>
        <v>0</v>
      </c>
      <c r="E22" s="51" t="s">
        <v>252</v>
      </c>
      <c r="F22" s="26">
        <f>IFERROR(C22-(D22*B22),"")</f>
        <v>0</v>
      </c>
    </row>
    <row r="23" spans="1:6" ht="25.35" customHeight="1" x14ac:dyDescent="0.3">
      <c r="A23" s="49" t="s">
        <v>62</v>
      </c>
      <c r="B23" s="50">
        <f t="shared" si="3"/>
        <v>36</v>
      </c>
      <c r="C23" s="24">
        <f>IFERROR(VLOOKUP(A23,'대신(냉동) 피벗'!A:SN,3,FALSE),0)</f>
        <v>0</v>
      </c>
      <c r="D23" s="20">
        <f>IFERROR(ROUNDDOWN(C23/B23,0),"")</f>
        <v>0</v>
      </c>
      <c r="E23" s="51" t="s">
        <v>253</v>
      </c>
      <c r="F23" s="26">
        <f>IFERROR(C23-(D23*B23),"")</f>
        <v>0</v>
      </c>
    </row>
    <row r="24" spans="1:6" ht="4.5" customHeight="1" x14ac:dyDescent="0.3">
      <c r="A24" s="241"/>
      <c r="B24" s="242"/>
      <c r="C24" s="242"/>
      <c r="D24" s="242"/>
      <c r="E24" s="242"/>
      <c r="F24" s="243"/>
    </row>
    <row r="25" spans="1:6" ht="32.450000000000003" customHeight="1" x14ac:dyDescent="0.3">
      <c r="A25" s="209" t="s">
        <v>237</v>
      </c>
      <c r="B25" s="210">
        <f>$B$4</f>
        <v>36</v>
      </c>
      <c r="C25" s="211">
        <f>SUM(C21:C23)</f>
        <v>0</v>
      </c>
      <c r="D25" s="55">
        <f>IFERROR(ROUNDDOWN(C25/B25,0),"")</f>
        <v>0</v>
      </c>
      <c r="E25" s="212"/>
      <c r="F25" s="213">
        <f>IFERROR(C25-(D25*B25),"")</f>
        <v>0</v>
      </c>
    </row>
    <row r="26" spans="1:6" ht="4.5" customHeight="1" x14ac:dyDescent="0.3">
      <c r="A26" s="241"/>
      <c r="B26" s="242"/>
      <c r="C26" s="242"/>
      <c r="D26" s="242"/>
      <c r="E26" s="242"/>
      <c r="F26" s="243"/>
    </row>
    <row r="27" spans="1:6" ht="25.35" customHeight="1" x14ac:dyDescent="0.3">
      <c r="A27" s="49" t="s">
        <v>73</v>
      </c>
      <c r="B27" s="50">
        <f t="shared" ref="B27" si="4">$B$4</f>
        <v>36</v>
      </c>
      <c r="C27" s="24">
        <f>IFERROR(VLOOKUP(A27,'대신(냉동) 피벗'!A:SN,3,FALSE),0)</f>
        <v>0</v>
      </c>
      <c r="D27" s="20">
        <f t="shared" ref="D27" si="5">IFERROR(ROUNDDOWN(C27/B27,0),"")</f>
        <v>0</v>
      </c>
      <c r="E27" s="51" t="s">
        <v>234</v>
      </c>
      <c r="F27" s="26">
        <f t="shared" ref="F27" si="6">IFERROR(C27-(D27*B27),"")</f>
        <v>0</v>
      </c>
    </row>
    <row r="28" spans="1:6" ht="4.5" customHeight="1" x14ac:dyDescent="0.3">
      <c r="A28" s="241"/>
      <c r="B28" s="242"/>
      <c r="C28" s="242"/>
      <c r="D28" s="242"/>
      <c r="E28" s="242"/>
      <c r="F28" s="243"/>
    </row>
    <row r="29" spans="1:6" ht="32.450000000000003" customHeight="1" x14ac:dyDescent="0.3">
      <c r="A29" s="209" t="s">
        <v>236</v>
      </c>
      <c r="B29" s="210">
        <f>$B$4</f>
        <v>36</v>
      </c>
      <c r="C29" s="211">
        <f>SUM(C27:C27)</f>
        <v>0</v>
      </c>
      <c r="D29" s="55">
        <f>IFERROR(ROUNDDOWN(C29/B29,0),"")</f>
        <v>0</v>
      </c>
      <c r="E29" s="212"/>
      <c r="F29" s="213">
        <f>IFERROR(C29-(D29*B29),"")</f>
        <v>0</v>
      </c>
    </row>
    <row r="30" spans="1:6" ht="4.5" customHeight="1" x14ac:dyDescent="0.3">
      <c r="A30" s="181"/>
      <c r="B30" s="50"/>
      <c r="C30" s="50"/>
      <c r="D30" s="50"/>
      <c r="E30" s="50"/>
      <c r="F30" s="182"/>
    </row>
    <row r="31" spans="1:6" ht="25.35" customHeight="1" x14ac:dyDescent="0.3">
      <c r="A31" s="214" t="s">
        <v>90</v>
      </c>
      <c r="B31" s="50">
        <f t="shared" ref="B31:B32" si="7">$B$4</f>
        <v>36</v>
      </c>
      <c r="C31" s="24">
        <f>IFERROR(VLOOKUP(A31,'대신(냉동) 피벗'!A:SN,3,FALSE),0)</f>
        <v>0</v>
      </c>
      <c r="D31" s="20">
        <f t="shared" ref="D31:D32" si="8">IFERROR(ROUNDDOWN(C31/B31,0),"")</f>
        <v>0</v>
      </c>
      <c r="E31" s="51" t="s">
        <v>94</v>
      </c>
      <c r="F31" s="26">
        <f t="shared" ref="F31:F32" si="9">IFERROR(C31-(D31*B31),"")</f>
        <v>0</v>
      </c>
    </row>
    <row r="32" spans="1:6" ht="25.35" customHeight="1" x14ac:dyDescent="0.3">
      <c r="A32" s="214" t="s">
        <v>52</v>
      </c>
      <c r="B32" s="50">
        <f t="shared" si="7"/>
        <v>36</v>
      </c>
      <c r="C32" s="24">
        <f>IFERROR(VLOOKUP(A32,'대신(냉동) 피벗'!A:SN,3,FALSE),0)</f>
        <v>0</v>
      </c>
      <c r="D32" s="20">
        <f t="shared" si="8"/>
        <v>0</v>
      </c>
      <c r="E32" s="51" t="s">
        <v>5</v>
      </c>
      <c r="F32" s="26">
        <f t="shared" si="9"/>
        <v>0</v>
      </c>
    </row>
    <row r="33" spans="1:6" ht="4.5" customHeight="1" x14ac:dyDescent="0.3">
      <c r="A33" s="241"/>
      <c r="B33" s="242"/>
      <c r="C33" s="242"/>
      <c r="D33" s="242"/>
      <c r="E33" s="242"/>
      <c r="F33" s="243"/>
    </row>
    <row r="34" spans="1:6" ht="32.450000000000003" customHeight="1" x14ac:dyDescent="0.3">
      <c r="A34" s="209" t="s">
        <v>235</v>
      </c>
      <c r="B34" s="210">
        <f>$B$4</f>
        <v>36</v>
      </c>
      <c r="C34" s="211">
        <f>SUM(C31:C32)</f>
        <v>0</v>
      </c>
      <c r="D34" s="55">
        <f>IFERROR(ROUNDDOWN(C34/B34,0),"")</f>
        <v>0</v>
      </c>
      <c r="E34" s="212"/>
      <c r="F34" s="213">
        <f>IFERROR(C34-(D34*B34),"")</f>
        <v>0</v>
      </c>
    </row>
    <row r="35" spans="1:6" ht="4.5" customHeight="1" x14ac:dyDescent="0.3">
      <c r="A35" s="181"/>
      <c r="B35" s="50"/>
      <c r="C35" s="50"/>
      <c r="D35" s="50"/>
      <c r="E35" s="50"/>
      <c r="F35" s="182"/>
    </row>
    <row r="36" spans="1:6" ht="24.95" customHeight="1" x14ac:dyDescent="0.3">
      <c r="A36" s="214" t="s">
        <v>84</v>
      </c>
      <c r="B36" s="50">
        <f t="shared" ref="B36" si="10">$B$4</f>
        <v>36</v>
      </c>
      <c r="C36" s="24">
        <f>IFERROR(VLOOKUP(A36,'대신(냉동) 피벗'!A:SN,3,FALSE),0)</f>
        <v>0</v>
      </c>
      <c r="D36" s="20">
        <f t="shared" ref="D36" si="11">IFERROR(ROUNDDOWN(C36/B36,0),"")</f>
        <v>0</v>
      </c>
      <c r="E36" s="215" t="s">
        <v>120</v>
      </c>
      <c r="F36" s="182"/>
    </row>
    <row r="37" spans="1:6" ht="3.75" customHeight="1" x14ac:dyDescent="0.3">
      <c r="A37" s="216"/>
      <c r="B37" s="50"/>
      <c r="C37" s="24"/>
      <c r="D37" s="20" t="str">
        <f>IFERROR(ROUNDDOWN(C37/B37,0),"")</f>
        <v/>
      </c>
      <c r="E37" s="215"/>
      <c r="F37" s="182" t="str">
        <f>IFERROR(C37-(D37*B37),"")</f>
        <v/>
      </c>
    </row>
    <row r="38" spans="1:6" ht="26.25" x14ac:dyDescent="0.3">
      <c r="A38" s="87" t="s">
        <v>3</v>
      </c>
      <c r="B38" s="57">
        <f>$B$4</f>
        <v>36</v>
      </c>
      <c r="C38" s="55">
        <f>SUM(C4:C17,C31:C32,C27:C27,C21:C23,C36)</f>
        <v>0</v>
      </c>
      <c r="D38" s="54">
        <f>SUM(D4:D17,D31:D32,D27:D27,D21:D23,D36)</f>
        <v>0</v>
      </c>
      <c r="E38" s="56"/>
      <c r="F38" s="121">
        <f>SUM(F4:F17,F31:F32,F27:F27,F21:F23,F36)</f>
        <v>0</v>
      </c>
    </row>
    <row r="39" spans="1:6" ht="27" thickBot="1" x14ac:dyDescent="0.35">
      <c r="A39" s="42" t="s">
        <v>238</v>
      </c>
      <c r="B39" s="43" t="s">
        <v>173</v>
      </c>
      <c r="C39" s="225"/>
      <c r="D39" s="41">
        <f>SUM(D4:D17,D31:D32,D27:D27,D21:D23,D36)</f>
        <v>0</v>
      </c>
      <c r="E39" s="48"/>
      <c r="F39" s="93">
        <f>SUM(F4:F17,F31:F32,F27:F27,F21:F23)</f>
        <v>0</v>
      </c>
    </row>
    <row r="40" spans="1:6" ht="22.5" customHeight="1" x14ac:dyDescent="0.3">
      <c r="C40" s="77">
        <f>C19+C25+C29+C34</f>
        <v>0</v>
      </c>
    </row>
    <row r="41" spans="1:6" x14ac:dyDescent="0.3">
      <c r="C41" s="34" t="b">
        <f>C40=C38</f>
        <v>1</v>
      </c>
    </row>
  </sheetData>
  <sortState xmlns:xlrd2="http://schemas.microsoft.com/office/spreadsheetml/2017/richdata2" ref="A31:P35">
    <sortCondition ref="A31:A35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7">
    <mergeCell ref="A1:F1"/>
    <mergeCell ref="B2:F2"/>
    <mergeCell ref="A33:F33"/>
    <mergeCell ref="A28:F28"/>
    <mergeCell ref="A24:F24"/>
    <mergeCell ref="A26:F26"/>
    <mergeCell ref="A18:F18"/>
  </mergeCells>
  <phoneticPr fontId="13" type="noConversion"/>
  <printOptions horizontalCentered="1" verticalCentered="1"/>
  <pageMargins left="0" right="0" top="0" bottom="0" header="0" footer="0"/>
  <pageSetup paperSize="9" scale="8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1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62" t="s">
        <v>131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IFERROR(VLOOKUP(A4,#REF!,2,FALSE),0)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IFERROR(VLOOKUP(A5,#REF!,2,FALSE),0)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IFERROR(VLOOKUP(A10,#REF!,2,FALSE),0)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IFERROR(VLOOKUP(A16,#REF!,2,FALSE),0)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IFERROR(VLOOKUP(A19,#REF!,2,FALSE),0)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IFERROR(VLOOKUP(A20,#REF!,2,FALSE),0)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69" t="s">
        <v>171</v>
      </c>
      <c r="B22" s="178">
        <f>B4</f>
        <v>36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4"/>
      <c r="D23" s="165"/>
      <c r="E23" s="166"/>
      <c r="F23" s="165"/>
      <c r="G23" s="67"/>
      <c r="H23" s="67"/>
    </row>
    <row r="24" spans="1:25" ht="25.35" customHeight="1" x14ac:dyDescent="0.3">
      <c r="A24" s="172" t="s">
        <v>58</v>
      </c>
      <c r="B24" s="174">
        <f t="shared" si="2"/>
        <v>36</v>
      </c>
      <c r="C24" s="175">
        <f>IFERROR(VLOOKUP(A24,#REF!,2,FALSE),0)</f>
        <v>0</v>
      </c>
      <c r="D24" s="176">
        <f t="shared" ref="D24:D31" si="3">IFERROR(ROUNDDOWN(C24/B24,0),"")</f>
        <v>0</v>
      </c>
      <c r="E24" s="173" t="s">
        <v>11</v>
      </c>
      <c r="F24" s="177">
        <f t="shared" ref="F24:F31" si="4">IFERROR(C24-(D24*B24),"")</f>
        <v>0</v>
      </c>
      <c r="G24" s="163"/>
      <c r="H24" s="163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IFERROR(VLOOKUP(A25,#REF!,2,FALSE),0)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IFERROR(VLOOKUP(A26,#REF!,2,FALSE),0)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IFERROR(VLOOKUP(A27,#REF!,2,FALSE),0)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IFERROR(VLOOKUP(A30,#REF!,2,FALSE),0)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IFERROR(VLOOKUP(A32,#REF!,2,FALSE),0)</f>
        <v>0</v>
      </c>
      <c r="D32" s="20">
        <f t="shared" ref="D32:D43" si="5">IFERROR(ROUNDDOWN(C32/B32,0),"")</f>
        <v>0</v>
      </c>
      <c r="E32" s="51" t="s">
        <v>97</v>
      </c>
      <c r="F32" s="26">
        <f t="shared" ref="F32:F43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IFERROR(VLOOKUP(A33,#REF!,2,FALSE),0)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IFERROR(VLOOKUP(A34,#REF!,2,FALSE),0)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IFERROR(VLOOKUP(A35,#REF!,2,FALSE),0)</f>
        <v>0</v>
      </c>
      <c r="D35" s="28">
        <f t="shared" si="5"/>
        <v>0</v>
      </c>
      <c r="E35" s="36" t="s">
        <v>16</v>
      </c>
      <c r="F35" s="31">
        <f t="shared" si="6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IFERROR(VLOOKUP(A36,#REF!,2,FALSE),0)</f>
        <v>0</v>
      </c>
      <c r="D36" s="20">
        <f t="shared" si="5"/>
        <v>0</v>
      </c>
      <c r="E36" s="51" t="s">
        <v>24</v>
      </c>
      <c r="F36" s="26">
        <f t="shared" si="6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IFERROR(VLOOKUP(A37,#REF!,2,FALSE),0)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IFERROR(VLOOKUP(A38,#REF!,2,FALSE),0)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IFERROR(VLOOKUP(A39,#REF!,2,FALSE),0)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IFERROR(VLOOKUP(A40,#REF!,2,FALSE),0)</f>
        <v>0</v>
      </c>
      <c r="D40" s="20">
        <f t="shared" si="5"/>
        <v>0</v>
      </c>
      <c r="E40" s="51" t="s">
        <v>19</v>
      </c>
      <c r="F40" s="26">
        <f t="shared" si="6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IFERROR(VLOOKUP(A41,#REF!,2,FALSE),0)</f>
        <v>0</v>
      </c>
      <c r="D41" s="28">
        <f t="shared" si="5"/>
        <v>0</v>
      </c>
      <c r="E41" s="36" t="s">
        <v>20</v>
      </c>
      <c r="F41" s="31">
        <f t="shared" si="6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IFERROR(VLOOKUP(A42,#REF!,2,FALSE),0)</f>
        <v>0</v>
      </c>
      <c r="D42" s="20">
        <f t="shared" si="5"/>
        <v>0</v>
      </c>
      <c r="E42" s="51" t="s">
        <v>25</v>
      </c>
      <c r="F42" s="26">
        <f t="shared" si="6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IFERROR(VLOOKUP(A43,#REF!,2,FALSE),0)</f>
        <v>0</v>
      </c>
      <c r="D43" s="28">
        <f t="shared" si="5"/>
        <v>0</v>
      </c>
      <c r="E43" s="36" t="s">
        <v>72</v>
      </c>
      <c r="F43" s="31">
        <f t="shared" si="6"/>
        <v>0</v>
      </c>
      <c r="G43" s="67"/>
      <c r="H43" s="67"/>
    </row>
    <row r="44" spans="1:25" ht="4.5" customHeight="1" x14ac:dyDescent="0.3">
      <c r="A44" s="241"/>
      <c r="B44" s="242"/>
      <c r="C44" s="242"/>
      <c r="D44" s="242"/>
      <c r="E44" s="242"/>
      <c r="F44" s="243"/>
    </row>
    <row r="45" spans="1:25" ht="34.15" customHeight="1" thickBot="1" x14ac:dyDescent="0.35">
      <c r="A45" s="171" t="s">
        <v>172</v>
      </c>
      <c r="B45" s="178">
        <f>B4</f>
        <v>36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4" t="s">
        <v>177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13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62" t="s">
        <v>132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IFERROR(VLOOKUP(A4,#REF!,3,FALSE),0)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IFERROR(VLOOKUP(A5,#REF!,3,FALSE),0)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IFERROR(VLOOKUP(A6,#REF!,3,FALSE),0)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IFERROR(VLOOKUP(A7,#REF!,3,FALSE),0)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IFERROR(VLOOKUP(A8,#REF!,3,FALSE),0)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IFERROR(VLOOKUP(A9,#REF!,3,FALSE),0)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IFERROR(VLOOKUP(A10,#REF!,3,FALSE),0)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IFERROR(VLOOKUP(A11,#REF!,3,FALSE),0)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IFERROR(VLOOKUP(A12,#REF!,3,FALSE),0)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IFERROR(VLOOKUP(A13,#REF!,3,FALSE),0)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IFERROR(VLOOKUP(A14,#REF!,3,FALSE),0)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71"/>
      <c r="B15" s="272"/>
      <c r="C15" s="272"/>
      <c r="D15" s="272"/>
      <c r="E15" s="272"/>
      <c r="F15" s="273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0"/>
      <c r="B17" s="270"/>
      <c r="C17" s="270"/>
      <c r="D17" s="270"/>
      <c r="E17" s="270"/>
      <c r="F17" s="270"/>
    </row>
    <row r="18" spans="1:8" ht="25.35" customHeight="1" x14ac:dyDescent="0.3">
      <c r="A18" s="172" t="s">
        <v>59</v>
      </c>
      <c r="B18" s="174">
        <f t="shared" ref="B18:B43" si="3">$B$4</f>
        <v>36</v>
      </c>
      <c r="C18" s="175">
        <f>IFERROR(VLOOKUP(A18,#REF!,3,FALSE),0)</f>
        <v>0</v>
      </c>
      <c r="D18" s="176">
        <f>IFERROR(ROUNDDOWN(C18/B18,0),"")</f>
        <v>0</v>
      </c>
      <c r="E18" s="173" t="s">
        <v>117</v>
      </c>
      <c r="F18" s="177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IFERROR(VLOOKUP(A19,#REF!,3,FALSE),0)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IFERROR(VLOOKUP(A20,#REF!,3,FALSE),0)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IFERROR(VLOOKUP(A21,#REF!,3,FALSE),0)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IFERROR(VLOOKUP(A22,#REF!,3,FALSE),0)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IFERROR(VLOOKUP(A23,#REF!,3,FALSE),0)</f>
        <v>0</v>
      </c>
      <c r="D23" s="28">
        <f t="shared" ref="D23:D36" si="4">IFERROR(ROUNDDOWN(C23/B23,0),"")</f>
        <v>0</v>
      </c>
      <c r="E23" s="36" t="s">
        <v>21</v>
      </c>
      <c r="F23" s="31">
        <f t="shared" ref="F23:F36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IFERROR(VLOOKUP(A24,#REF!,3,FALSE),0)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IFERROR(VLOOKUP(A25,#REF!,3,FALSE),0)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IFERROR(VLOOKUP(A26,#REF!,3,FALSE),0)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IFERROR(VLOOKUP(A27,#REF!,3,FALSE),0)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IFERROR(VLOOKUP(A28,#REF!,3,FALSE),0)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IFERROR(VLOOKUP(A29,#REF!,3,FALSE),0)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IFERROR(VLOOKUP(A30,#REF!,3,FALSE),0)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IFERROR(VLOOKUP(A31,#REF!,3,FALSE),0)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IFERROR(VLOOKUP(A32,#REF!,3,FALSE),0)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IFERROR(VLOOKUP(A33,#REF!,3,FALSE),0)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IFERROR(VLOOKUP(A34,#REF!,3,FALSE),0)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IFERROR(VLOOKUP(A35,#REF!,3,FALSE),0)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IFERROR(VLOOKUP(A36,#REF!,3,FALSE),0)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IFERROR(VLOOKUP(A37,#REF!,3,FALSE),0)</f>
        <v>0</v>
      </c>
      <c r="D37" s="28">
        <f t="shared" ref="D37:D43" si="6">IFERROR(ROUNDDOWN(C37/B37,0),"")</f>
        <v>0</v>
      </c>
      <c r="E37" s="36" t="s">
        <v>97</v>
      </c>
      <c r="F37" s="31">
        <f t="shared" ref="F37:F43" si="7">IFERROR(C37-(D37*B37),"")</f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IFERROR(VLOOKUP(A38,#REF!,3,FALSE),0)</f>
        <v>0</v>
      </c>
      <c r="D38" s="20">
        <f t="shared" si="6"/>
        <v>0</v>
      </c>
      <c r="E38" s="51" t="s">
        <v>8</v>
      </c>
      <c r="F38" s="26">
        <f t="shared" si="7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IFERROR(VLOOKUP(A39,#REF!,3,FALSE),0)</f>
        <v>0</v>
      </c>
      <c r="D39" s="28">
        <f t="shared" si="6"/>
        <v>0</v>
      </c>
      <c r="E39" s="36" t="s">
        <v>9</v>
      </c>
      <c r="F39" s="31">
        <f t="shared" si="7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IFERROR(VLOOKUP(A40,#REF!,3,FALSE),0)</f>
        <v>0</v>
      </c>
      <c r="D40" s="20">
        <f t="shared" si="6"/>
        <v>0</v>
      </c>
      <c r="E40" s="51" t="s">
        <v>19</v>
      </c>
      <c r="F40" s="26">
        <f t="shared" si="7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IFERROR(VLOOKUP(A41,#REF!,3,FALSE),0)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IFERROR(VLOOKUP(A42,#REF!,3,FALSE),0)</f>
        <v>0</v>
      </c>
      <c r="D42" s="20">
        <f t="shared" si="6"/>
        <v>0</v>
      </c>
      <c r="E42" s="51" t="s">
        <v>25</v>
      </c>
      <c r="F42" s="26">
        <f t="shared" si="7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IFERROR(VLOOKUP(A43,#REF!,3,FALSE),0)</f>
        <v>0</v>
      </c>
      <c r="D43" s="28">
        <f t="shared" si="6"/>
        <v>0</v>
      </c>
      <c r="E43" s="36" t="s">
        <v>72</v>
      </c>
      <c r="F43" s="31">
        <f t="shared" si="7"/>
        <v>0</v>
      </c>
      <c r="G43" s="67"/>
      <c r="H43" s="67"/>
    </row>
    <row r="44" spans="1:25" ht="10.5" customHeight="1" thickBot="1" x14ac:dyDescent="0.35">
      <c r="A44" s="238"/>
      <c r="B44" s="239"/>
      <c r="C44" s="239"/>
      <c r="D44" s="239"/>
      <c r="E44" s="239"/>
      <c r="F44" s="240"/>
    </row>
    <row r="45" spans="1:25" ht="25.35" customHeight="1" thickBot="1" x14ac:dyDescent="0.35">
      <c r="A45" s="136" t="s">
        <v>172</v>
      </c>
      <c r="B45" s="189">
        <f>B20</f>
        <v>36</v>
      </c>
      <c r="C45" s="138">
        <f>SUM($C$18:$C$43)</f>
        <v>0</v>
      </c>
      <c r="D45" s="138">
        <f>IFERROR(ROUNDDOWN(C45/B45,0),"")</f>
        <v>0</v>
      </c>
      <c r="E45" s="139"/>
      <c r="F45" s="140">
        <f>IFERROR(C45-(D45*B45),"")</f>
        <v>0</v>
      </c>
    </row>
    <row r="46" spans="1:25" ht="9" customHeight="1" thickBot="1" x14ac:dyDescent="0.35">
      <c r="A46" s="270"/>
      <c r="B46" s="270"/>
      <c r="C46" s="270"/>
      <c r="D46" s="270"/>
      <c r="E46" s="270"/>
      <c r="F46" s="270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5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1">
        <f>IFERROR($F$48-($G$48*$B$4),"")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6">
    <mergeCell ref="A44:F44"/>
    <mergeCell ref="A46:F46"/>
    <mergeCell ref="A1:F1"/>
    <mergeCell ref="B2:F2"/>
    <mergeCell ref="A15:F15"/>
    <mergeCell ref="A17:F17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14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133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IFERROR(VLOOKUP(A4,#REF!,4,FALSE),0)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IFERROR(VLOOKUP(A5,#REF!,4,FALSE),0)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IFERROR(VLOOKUP(A6,#REF!,4,FALSE),0)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IFERROR(VLOOKUP(A7,#REF!,4,FALSE),0)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IFERROR(VLOOKUP(A8,#REF!,4,FALSE),0)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IFERROR(VLOOKUP(A9,#REF!,4,FALSE),0)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IFERROR(VLOOKUP(A10,#REF!,4,FALSE),0)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IFERROR(VLOOKUP(A11,#REF!,4,FALSE),0)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IFERROR(VLOOKUP(A12,#REF!,4,FALSE),0)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IFERROR(VLOOKUP(A13,#REF!,4,FALSE),0)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IFERROR(VLOOKUP(A14,#REF!,4,FALSE),0)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IFERROR(VLOOKUP(A15,#REF!,4,FALSE),0)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IFERROR(VLOOKUP(A16,#REF!,4,FALSE),0)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IFERROR(VLOOKUP(A17,#REF!,4,FALSE),0)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IFERROR(VLOOKUP(A18,#REF!,4,FALSE),0)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IFERROR(VLOOKUP(A19,#REF!,4,FALSE),0)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IFERROR(VLOOKUP(A20,#REF!,4,FALSE),0)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69" t="s">
        <v>171</v>
      </c>
      <c r="B22" s="178">
        <f>B4</f>
        <v>36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4"/>
      <c r="D23" s="165"/>
      <c r="E23" s="166"/>
      <c r="F23" s="165"/>
      <c r="G23" s="67"/>
      <c r="H23" s="67"/>
    </row>
    <row r="24" spans="1:25" ht="25.35" customHeight="1" x14ac:dyDescent="0.3">
      <c r="A24" s="172" t="s">
        <v>58</v>
      </c>
      <c r="B24" s="174">
        <f t="shared" si="2"/>
        <v>36</v>
      </c>
      <c r="C24" s="175">
        <f>IFERROR(VLOOKUP(A24,#REF!,4,FALSE),0)</f>
        <v>0</v>
      </c>
      <c r="D24" s="176">
        <f t="shared" ref="D24:D31" si="3">IFERROR(ROUNDDOWN(C24/B24,0),"")</f>
        <v>0</v>
      </c>
      <c r="E24" s="173" t="s">
        <v>11</v>
      </c>
      <c r="F24" s="177">
        <f t="shared" ref="F24:F31" si="4">IFERROR(C24-(D24*B24),"")</f>
        <v>0</v>
      </c>
      <c r="G24" s="163"/>
      <c r="H24" s="163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IFERROR(VLOOKUP(A25,#REF!,4,FALSE),0)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IFERROR(VLOOKUP(A26,#REF!,4,FALSE),0)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IFERROR(VLOOKUP(A27,#REF!,4,FALSE),0)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IFERROR(VLOOKUP(A28,#REF!,4,FALSE),0)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IFERROR(VLOOKUP(A29,#REF!,4,FALSE),0)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IFERROR(VLOOKUP(A30,#REF!,4,FALSE),0)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IFERROR(VLOOKUP(A31,#REF!,4,FALSE),0)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IFERROR(VLOOKUP(A32,#REF!,4,FALSE),0)</f>
        <v>0</v>
      </c>
      <c r="D32" s="20">
        <f t="shared" ref="D32:D43" si="5">IFERROR(ROUNDDOWN(C32/B32,0),"")</f>
        <v>0</v>
      </c>
      <c r="E32" s="51" t="s">
        <v>97</v>
      </c>
      <c r="F32" s="26">
        <f t="shared" ref="F32:F43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IFERROR(VLOOKUP(A33,#REF!,4,FALSE),0)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IFERROR(VLOOKUP(A34,#REF!,4,FALSE),0)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IFERROR(VLOOKUP(A35,#REF!,4,FALSE),0)</f>
        <v>0</v>
      </c>
      <c r="D35" s="28">
        <f t="shared" si="5"/>
        <v>0</v>
      </c>
      <c r="E35" s="36" t="s">
        <v>16</v>
      </c>
      <c r="F35" s="31">
        <f t="shared" si="6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IFERROR(VLOOKUP(A36,#REF!,4,FALSE),0)</f>
        <v>0</v>
      </c>
      <c r="D36" s="20">
        <f t="shared" si="5"/>
        <v>0</v>
      </c>
      <c r="E36" s="51" t="s">
        <v>24</v>
      </c>
      <c r="F36" s="26">
        <f t="shared" si="6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IFERROR(VLOOKUP(A37,#REF!,4,FALSE),0)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IFERROR(VLOOKUP(A38,#REF!,4,FALSE),0)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IFERROR(VLOOKUP(A39,#REF!,4,FALSE),0)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IFERROR(VLOOKUP(A40,#REF!,4,FALSE),0)</f>
        <v>0</v>
      </c>
      <c r="D40" s="20">
        <f t="shared" si="5"/>
        <v>0</v>
      </c>
      <c r="E40" s="51" t="s">
        <v>19</v>
      </c>
      <c r="F40" s="26">
        <f t="shared" si="6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IFERROR(VLOOKUP(A41,#REF!,4,FALSE),0)</f>
        <v>0</v>
      </c>
      <c r="D41" s="28">
        <f t="shared" si="5"/>
        <v>0</v>
      </c>
      <c r="E41" s="36" t="s">
        <v>20</v>
      </c>
      <c r="F41" s="31">
        <f t="shared" si="6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IFERROR(VLOOKUP(A42,#REF!,4,FALSE),0)</f>
        <v>0</v>
      </c>
      <c r="D42" s="20">
        <f t="shared" si="5"/>
        <v>0</v>
      </c>
      <c r="E42" s="51" t="s">
        <v>25</v>
      </c>
      <c r="F42" s="26">
        <f t="shared" si="6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IFERROR(VLOOKUP(A43,#REF!,4,FALSE),0)</f>
        <v>0</v>
      </c>
      <c r="D43" s="28">
        <f t="shared" si="5"/>
        <v>0</v>
      </c>
      <c r="E43" s="36" t="s">
        <v>72</v>
      </c>
      <c r="F43" s="31">
        <f t="shared" si="6"/>
        <v>0</v>
      </c>
      <c r="G43" s="67"/>
      <c r="H43" s="67"/>
    </row>
    <row r="44" spans="1:25" ht="4.5" customHeight="1" x14ac:dyDescent="0.3">
      <c r="A44" s="241"/>
      <c r="B44" s="242"/>
      <c r="C44" s="242"/>
      <c r="D44" s="242"/>
      <c r="E44" s="242"/>
      <c r="F44" s="243"/>
    </row>
    <row r="45" spans="1:25" ht="34.15" customHeight="1" thickBot="1" x14ac:dyDescent="0.35">
      <c r="A45" s="171" t="s">
        <v>172</v>
      </c>
      <c r="B45" s="178">
        <f>B4</f>
        <v>36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16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134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IFERROR(VLOOKUP(A4,#REF!,5,FALSE),0)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IFERROR(VLOOKUP(A5,#REF!,5,FALSE),0)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IFERROR(VLOOKUP(A6,#REF!,5,FALSE),0)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IFERROR(VLOOKUP(A7,#REF!,5,FALSE),0)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IFERROR(VLOOKUP(A8,#REF!,5,FALSE),0)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IFERROR(VLOOKUP(A9,#REF!,5,FALSE),0)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IFERROR(VLOOKUP(A10,#REF!,5,FALSE),0)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IFERROR(VLOOKUP(A11,#REF!,5,FALSE),0)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IFERROR(VLOOKUP(A12,#REF!,5,FALSE),0)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IFERROR(VLOOKUP(A13,#REF!,5,FALSE),0)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IFERROR(VLOOKUP(A14,#REF!,5,FALSE),0)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71"/>
      <c r="B15" s="272"/>
      <c r="C15" s="272"/>
      <c r="D15" s="272"/>
      <c r="E15" s="272"/>
      <c r="F15" s="273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0"/>
      <c r="B17" s="270"/>
      <c r="C17" s="270"/>
      <c r="D17" s="270"/>
      <c r="E17" s="270"/>
      <c r="F17" s="270"/>
    </row>
    <row r="18" spans="1:8" ht="25.35" customHeight="1" x14ac:dyDescent="0.3">
      <c r="A18" s="172" t="s">
        <v>59</v>
      </c>
      <c r="B18" s="174">
        <f t="shared" ref="B18:B43" si="3">$B$4</f>
        <v>36</v>
      </c>
      <c r="C18" s="175">
        <f>IFERROR(VLOOKUP(A18,#REF!,5,FALSE),0)</f>
        <v>0</v>
      </c>
      <c r="D18" s="176">
        <f>IFERROR(ROUNDDOWN(C18/B18,0),"")</f>
        <v>0</v>
      </c>
      <c r="E18" s="173" t="s">
        <v>117</v>
      </c>
      <c r="F18" s="177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IFERROR(VLOOKUP(A19,#REF!,5,FALSE),0)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IFERROR(VLOOKUP(A20,#REF!,5,FALSE),0)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IFERROR(VLOOKUP(A21,#REF!,5,FALSE),0)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IFERROR(VLOOKUP(A22,#REF!,5,FALSE),0)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IFERROR(VLOOKUP(A23,#REF!,5,FALSE),0)</f>
        <v>0</v>
      </c>
      <c r="D23" s="28">
        <f t="shared" ref="D23:D36" si="4">IFERROR(ROUNDDOWN(C23/B23,0),"")</f>
        <v>0</v>
      </c>
      <c r="E23" s="36" t="s">
        <v>21</v>
      </c>
      <c r="F23" s="31">
        <f t="shared" ref="F23:F36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IFERROR(VLOOKUP(A24,#REF!,5,FALSE),0)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IFERROR(VLOOKUP(A25,#REF!,5,FALSE),0)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IFERROR(VLOOKUP(A26,#REF!,5,FALSE),0)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IFERROR(VLOOKUP(A27,#REF!,5,FALSE),0)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IFERROR(VLOOKUP(A28,#REF!,5,FALSE),0)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IFERROR(VLOOKUP(A29,#REF!,5,FALSE),0)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IFERROR(VLOOKUP(A30,#REF!,5,FALSE),0)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IFERROR(VLOOKUP(A31,#REF!,5,FALSE),0)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IFERROR(VLOOKUP(A32,#REF!,5,FALSE),0)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IFERROR(VLOOKUP(A33,#REF!,5,FALSE),0)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IFERROR(VLOOKUP(A34,#REF!,5,FALSE),0)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IFERROR(VLOOKUP(A35,#REF!,5,FALSE),0)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IFERROR(VLOOKUP(A36,#REF!,5,FALSE),0)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IFERROR(VLOOKUP(A37,#REF!,5,FALSE),0)</f>
        <v>0</v>
      </c>
      <c r="D37" s="28">
        <f t="shared" ref="D37:D43" si="6">IFERROR(ROUNDDOWN(C37/B37,0),"")</f>
        <v>0</v>
      </c>
      <c r="E37" s="36" t="s">
        <v>97</v>
      </c>
      <c r="F37" s="31">
        <f t="shared" ref="F37:F43" si="7">IFERROR(C37-(D37*B37),"")</f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IFERROR(VLOOKUP(A38,#REF!,5,FALSE),0)</f>
        <v>0</v>
      </c>
      <c r="D38" s="20">
        <f t="shared" si="6"/>
        <v>0</v>
      </c>
      <c r="E38" s="51" t="s">
        <v>8</v>
      </c>
      <c r="F38" s="26">
        <f t="shared" si="7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IFERROR(VLOOKUP(A39,#REF!,5,FALSE),0)</f>
        <v>0</v>
      </c>
      <c r="D39" s="28">
        <f t="shared" si="6"/>
        <v>0</v>
      </c>
      <c r="E39" s="36" t="s">
        <v>9</v>
      </c>
      <c r="F39" s="31">
        <f t="shared" si="7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IFERROR(VLOOKUP(A40,#REF!,5,FALSE),0)</f>
        <v>0</v>
      </c>
      <c r="D40" s="20">
        <f t="shared" si="6"/>
        <v>0</v>
      </c>
      <c r="E40" s="51" t="s">
        <v>19</v>
      </c>
      <c r="F40" s="26">
        <f t="shared" si="7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IFERROR(VLOOKUP(A41,#REF!,5,FALSE),0)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IFERROR(VLOOKUP(A42,#REF!,5,FALSE),0)</f>
        <v>0</v>
      </c>
      <c r="D42" s="20">
        <f t="shared" si="6"/>
        <v>0</v>
      </c>
      <c r="E42" s="51" t="s">
        <v>25</v>
      </c>
      <c r="F42" s="26">
        <f t="shared" si="7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IFERROR(VLOOKUP(A43,#REF!,5,FALSE),0)</f>
        <v>0</v>
      </c>
      <c r="D43" s="28">
        <f t="shared" si="6"/>
        <v>0</v>
      </c>
      <c r="E43" s="36" t="s">
        <v>72</v>
      </c>
      <c r="F43" s="31">
        <f t="shared" si="7"/>
        <v>0</v>
      </c>
      <c r="G43" s="67"/>
      <c r="H43" s="67"/>
    </row>
    <row r="44" spans="1:25" ht="10.5" customHeight="1" thickBot="1" x14ac:dyDescent="0.35">
      <c r="A44" s="238"/>
      <c r="B44" s="239"/>
      <c r="C44" s="239"/>
      <c r="D44" s="239"/>
      <c r="E44" s="239"/>
      <c r="F44" s="240"/>
    </row>
    <row r="45" spans="1:25" ht="25.35" customHeight="1" thickBot="1" x14ac:dyDescent="0.35">
      <c r="A45" s="136" t="s">
        <v>172</v>
      </c>
      <c r="B45" s="189">
        <f>B20</f>
        <v>36</v>
      </c>
      <c r="C45" s="138">
        <f>SUM($C$18:$C$43)</f>
        <v>0</v>
      </c>
      <c r="D45" s="138">
        <f>IFERROR(ROUNDDOWN(C45/B45,0),"")</f>
        <v>0</v>
      </c>
      <c r="E45" s="139"/>
      <c r="F45" s="140">
        <f>IFERROR(C45-(D45*B45),"")</f>
        <v>0</v>
      </c>
    </row>
    <row r="46" spans="1:25" ht="9" customHeight="1" thickBot="1" x14ac:dyDescent="0.35">
      <c r="A46" s="270"/>
      <c r="B46" s="270"/>
      <c r="C46" s="270"/>
      <c r="D46" s="270"/>
      <c r="E46" s="270"/>
      <c r="F46" s="270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5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1">
        <f>IFERROR($F$48-($G$48*$B$4),"")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6">
    <mergeCell ref="A44:F44"/>
    <mergeCell ref="A46:F46"/>
    <mergeCell ref="A1:F1"/>
    <mergeCell ref="B2:F2"/>
    <mergeCell ref="A15:F15"/>
    <mergeCell ref="A17:F17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19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129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IFERROR(VLOOKUP(A4,#REF!,6,FALSE),0)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IFERROR(VLOOKUP(A5,#REF!,6,FALSE),0)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IFERROR(VLOOKUP(A6,#REF!,6,FALSE),0)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IFERROR(VLOOKUP(A7,#REF!,6,FALSE),0)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IFERROR(VLOOKUP(A8,#REF!,6,FALSE),0)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IFERROR(VLOOKUP(A9,#REF!,6,FALSE),0)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IFERROR(VLOOKUP(A10,#REF!,6,FALSE),0)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IFERROR(VLOOKUP(A11,#REF!,6,FALSE),0)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IFERROR(VLOOKUP(A12,#REF!,6,FALSE),0)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IFERROR(VLOOKUP(A13,#REF!,6,FALSE),0)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IFERROR(VLOOKUP(A14,#REF!,6,FALSE),0)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IFERROR(VLOOKUP(A15,#REF!,6,FALSE),0)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IFERROR(VLOOKUP(A16,#REF!,6,FALSE),0)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IFERROR(VLOOKUP(A17,#REF!,6,FALSE),0)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IFERROR(VLOOKUP(A18,#REF!,6,FALSE),0)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IFERROR(VLOOKUP(A19,#REF!,6,FALSE),0)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IFERROR(VLOOKUP(A20,#REF!,6,FALSE),0)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69" t="s">
        <v>171</v>
      </c>
      <c r="B22" s="178">
        <f>B4</f>
        <v>36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4"/>
      <c r="D23" s="165"/>
      <c r="E23" s="166"/>
      <c r="F23" s="165"/>
      <c r="G23" s="67"/>
      <c r="H23" s="67"/>
    </row>
    <row r="24" spans="1:25" ht="25.35" customHeight="1" x14ac:dyDescent="0.3">
      <c r="A24" s="172" t="s">
        <v>58</v>
      </c>
      <c r="B24" s="174">
        <f t="shared" si="2"/>
        <v>36</v>
      </c>
      <c r="C24" s="175">
        <f>IFERROR(VLOOKUP(A24,#REF!,6,FALSE),0)</f>
        <v>0</v>
      </c>
      <c r="D24" s="176">
        <f t="shared" ref="D24:D31" si="3">IFERROR(ROUNDDOWN(C24/B24,0),"")</f>
        <v>0</v>
      </c>
      <c r="E24" s="173" t="s">
        <v>11</v>
      </c>
      <c r="F24" s="177">
        <f t="shared" ref="F24:F31" si="4">IFERROR(C24-(D24*B24),"")</f>
        <v>0</v>
      </c>
      <c r="G24" s="163"/>
      <c r="H24" s="163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IFERROR(VLOOKUP(A25,#REF!,6,FALSE),0)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IFERROR(VLOOKUP(A26,#REF!,6,FALSE),0)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IFERROR(VLOOKUP(A27,#REF!,6,FALSE),0)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IFERROR(VLOOKUP(A28,#REF!,6,FALSE),0)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IFERROR(VLOOKUP(A29,#REF!,6,FALSE),0)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IFERROR(VLOOKUP(A30,#REF!,6,FALSE),0)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IFERROR(VLOOKUP(A31,#REF!,6,FALSE),0)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IFERROR(VLOOKUP(A32,#REF!,6,FALSE),0)</f>
        <v>0</v>
      </c>
      <c r="D32" s="20">
        <f t="shared" ref="D32:D34" si="5">IFERROR(ROUNDDOWN(C32/B32,0),"")</f>
        <v>0</v>
      </c>
      <c r="E32" s="51" t="s">
        <v>97</v>
      </c>
      <c r="F32" s="26">
        <f t="shared" ref="F32:F34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IFERROR(VLOOKUP(A33,#REF!,6,FALSE),0)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IFERROR(VLOOKUP(A34,#REF!,6,FALSE),0)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IFERROR(VLOOKUP(A35,#REF!,6,FALSE),0)</f>
        <v>0</v>
      </c>
      <c r="D35" s="28">
        <f t="shared" ref="D35:D43" si="7">IFERROR(ROUNDDOWN(C35/B35,0),"")</f>
        <v>0</v>
      </c>
      <c r="E35" s="36" t="s">
        <v>16</v>
      </c>
      <c r="F35" s="31">
        <f t="shared" ref="F35:F43" si="8">IFERROR(C35-(D35*B35),"")</f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IFERROR(VLOOKUP(A36,#REF!,6,FALSE),0)</f>
        <v>0</v>
      </c>
      <c r="D36" s="20">
        <f t="shared" si="7"/>
        <v>0</v>
      </c>
      <c r="E36" s="51" t="s">
        <v>24</v>
      </c>
      <c r="F36" s="26">
        <f t="shared" si="8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IFERROR(VLOOKUP(A37,#REF!,6,FALSE),0)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IFERROR(VLOOKUP(A38,#REF!,6,FALSE),0)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IFERROR(VLOOKUP(A39,#REF!,6,FALSE),0)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IFERROR(VLOOKUP(A40,#REF!,6,FALSE),0)</f>
        <v>0</v>
      </c>
      <c r="D40" s="20">
        <f t="shared" si="7"/>
        <v>0</v>
      </c>
      <c r="E40" s="51" t="s">
        <v>19</v>
      </c>
      <c r="F40" s="26">
        <f t="shared" si="8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IFERROR(VLOOKUP(A41,#REF!,6,FALSE),0)</f>
        <v>0</v>
      </c>
      <c r="D41" s="28">
        <f t="shared" si="7"/>
        <v>0</v>
      </c>
      <c r="E41" s="36" t="s">
        <v>20</v>
      </c>
      <c r="F41" s="31">
        <f t="shared" si="8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IFERROR(VLOOKUP(A42,#REF!,6,FALSE),0)</f>
        <v>0</v>
      </c>
      <c r="D42" s="20">
        <f t="shared" si="7"/>
        <v>0</v>
      </c>
      <c r="E42" s="51" t="s">
        <v>25</v>
      </c>
      <c r="F42" s="26">
        <f t="shared" si="8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IFERROR(VLOOKUP(A43,#REF!,6,FALSE),0)</f>
        <v>0</v>
      </c>
      <c r="D43" s="28">
        <f t="shared" si="7"/>
        <v>0</v>
      </c>
      <c r="E43" s="36" t="s">
        <v>72</v>
      </c>
      <c r="F43" s="31">
        <f t="shared" si="8"/>
        <v>0</v>
      </c>
      <c r="G43" s="67"/>
      <c r="H43" s="67"/>
    </row>
    <row r="44" spans="1:25" ht="4.5" customHeight="1" x14ac:dyDescent="0.3">
      <c r="A44" s="241"/>
      <c r="B44" s="242"/>
      <c r="C44" s="242"/>
      <c r="D44" s="242"/>
      <c r="E44" s="242"/>
      <c r="F44" s="243"/>
    </row>
    <row r="45" spans="1:25" ht="34.15" customHeight="1" thickBot="1" x14ac:dyDescent="0.35">
      <c r="A45" s="171" t="s">
        <v>172</v>
      </c>
      <c r="B45" s="178">
        <f>B4</f>
        <v>36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2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130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IFERROR(VLOOKUP(A4,#REF!,7,FALSE),0)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IFERROR(VLOOKUP(A5,#REF!,7,FALSE),0)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IFERROR(VLOOKUP(A6,#REF!,7,FALSE),0)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IFERROR(VLOOKUP(A7,#REF!,7,FALSE),0)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IFERROR(VLOOKUP(A8,#REF!,7,FALSE),0)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IFERROR(VLOOKUP(A9,#REF!,7,FALSE),0)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IFERROR(VLOOKUP(A10,#REF!,7,FALSE),0)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IFERROR(VLOOKUP(A11,#REF!,7,FALSE),0)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IFERROR(VLOOKUP(A12,#REF!,7,FALSE),0)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IFERROR(VLOOKUP(A13,#REF!,7,FALSE),0)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IFERROR(VLOOKUP(A14,#REF!,7,FALSE),0)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71"/>
      <c r="B15" s="272"/>
      <c r="C15" s="272"/>
      <c r="D15" s="272"/>
      <c r="E15" s="272"/>
      <c r="F15" s="273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0"/>
      <c r="B17" s="270"/>
      <c r="C17" s="270"/>
      <c r="D17" s="270"/>
      <c r="E17" s="270"/>
      <c r="F17" s="270"/>
    </row>
    <row r="18" spans="1:8" ht="25.35" customHeight="1" x14ac:dyDescent="0.3">
      <c r="A18" s="172" t="s">
        <v>59</v>
      </c>
      <c r="B18" s="174">
        <f t="shared" ref="B18:B43" si="3">$B$4</f>
        <v>36</v>
      </c>
      <c r="C18" s="175">
        <f>IFERROR(VLOOKUP(A18,#REF!,7,FALSE),0)</f>
        <v>0</v>
      </c>
      <c r="D18" s="176">
        <f>IFERROR(ROUNDDOWN(C18/B18,0),"")</f>
        <v>0</v>
      </c>
      <c r="E18" s="173" t="s">
        <v>117</v>
      </c>
      <c r="F18" s="177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IFERROR(VLOOKUP(A19,#REF!,7,FALSE),0)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IFERROR(VLOOKUP(A20,#REF!,7,FALSE),0)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IFERROR(VLOOKUP(A21,#REF!,7,FALSE),0)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IFERROR(VLOOKUP(A22,#REF!,7,FALSE),0)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IFERROR(VLOOKUP(A23,#REF!,7,FALSE),0)</f>
        <v>0</v>
      </c>
      <c r="D23" s="28">
        <f t="shared" ref="D23:D36" si="4">IFERROR(ROUNDDOWN(C23/B23,0),"")</f>
        <v>0</v>
      </c>
      <c r="E23" s="36" t="s">
        <v>21</v>
      </c>
      <c r="F23" s="31">
        <f t="shared" ref="F23:F36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IFERROR(VLOOKUP(A24,#REF!,7,FALSE),0)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IFERROR(VLOOKUP(A25,#REF!,7,FALSE),0)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IFERROR(VLOOKUP(A26,#REF!,7,FALSE),0)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IFERROR(VLOOKUP(A27,#REF!,7,FALSE),0)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IFERROR(VLOOKUP(A28,#REF!,7,FALSE),0)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IFERROR(VLOOKUP(A29,#REF!,7,FALSE),0)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IFERROR(VLOOKUP(A30,#REF!,7,FALSE),0)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IFERROR(VLOOKUP(A31,#REF!,7,FALSE),0)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IFERROR(VLOOKUP(A32,#REF!,7,FALSE),0)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IFERROR(VLOOKUP(A33,#REF!,7,FALSE),0)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IFERROR(VLOOKUP(A34,#REF!,7,FALSE),0)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IFERROR(VLOOKUP(A35,#REF!,7,FALSE),0)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IFERROR(VLOOKUP(A36,#REF!,7,FALSE),0)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IFERROR(VLOOKUP(A37,#REF!,7,FALSE),0)</f>
        <v>0</v>
      </c>
      <c r="D37" s="28">
        <f t="shared" ref="D37:D43" si="6">IFERROR(ROUNDDOWN(C37/B37,0),"")</f>
        <v>0</v>
      </c>
      <c r="E37" s="36" t="s">
        <v>97</v>
      </c>
      <c r="F37" s="31">
        <f t="shared" ref="F37:F43" si="7">IFERROR(C37-(D37*B37),"")</f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IFERROR(VLOOKUP(A38,#REF!,7,FALSE),0)</f>
        <v>0</v>
      </c>
      <c r="D38" s="20">
        <f t="shared" si="6"/>
        <v>0</v>
      </c>
      <c r="E38" s="51" t="s">
        <v>8</v>
      </c>
      <c r="F38" s="26">
        <f t="shared" si="7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IFERROR(VLOOKUP(A39,#REF!,7,FALSE),0)</f>
        <v>0</v>
      </c>
      <c r="D39" s="28">
        <f t="shared" si="6"/>
        <v>0</v>
      </c>
      <c r="E39" s="36" t="s">
        <v>9</v>
      </c>
      <c r="F39" s="31">
        <f t="shared" si="7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IFERROR(VLOOKUP(A40,#REF!,7,FALSE),0)</f>
        <v>0</v>
      </c>
      <c r="D40" s="20">
        <f t="shared" si="6"/>
        <v>0</v>
      </c>
      <c r="E40" s="51" t="s">
        <v>19</v>
      </c>
      <c r="F40" s="26">
        <f t="shared" si="7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IFERROR(VLOOKUP(A41,#REF!,7,FALSE),0)</f>
        <v>0</v>
      </c>
      <c r="D41" s="28">
        <f t="shared" si="6"/>
        <v>0</v>
      </c>
      <c r="E41" s="36" t="s">
        <v>20</v>
      </c>
      <c r="F41" s="31">
        <f t="shared" si="7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IFERROR(VLOOKUP(A42,#REF!,7,FALSE),0)</f>
        <v>0</v>
      </c>
      <c r="D42" s="20">
        <f t="shared" si="6"/>
        <v>0</v>
      </c>
      <c r="E42" s="51" t="s">
        <v>25</v>
      </c>
      <c r="F42" s="26">
        <f t="shared" si="7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IFERROR(VLOOKUP(A43,#REF!,7,FALSE),0)</f>
        <v>0</v>
      </c>
      <c r="D43" s="28">
        <f t="shared" si="6"/>
        <v>0</v>
      </c>
      <c r="E43" s="36" t="s">
        <v>72</v>
      </c>
      <c r="F43" s="31">
        <f t="shared" si="7"/>
        <v>0</v>
      </c>
      <c r="G43" s="67"/>
      <c r="H43" s="67"/>
    </row>
    <row r="44" spans="1:25" ht="10.5" customHeight="1" thickBot="1" x14ac:dyDescent="0.35">
      <c r="A44" s="238"/>
      <c r="B44" s="239"/>
      <c r="C44" s="239"/>
      <c r="D44" s="239"/>
      <c r="E44" s="239"/>
      <c r="F44" s="240"/>
    </row>
    <row r="45" spans="1:25" ht="25.35" customHeight="1" thickBot="1" x14ac:dyDescent="0.35">
      <c r="A45" s="136" t="s">
        <v>172</v>
      </c>
      <c r="B45" s="189">
        <f>B20</f>
        <v>36</v>
      </c>
      <c r="C45" s="138">
        <f>SUM($C$18:$C$43)</f>
        <v>0</v>
      </c>
      <c r="D45" s="138">
        <f>IFERROR(ROUNDDOWN(C45/B45,0),"")</f>
        <v>0</v>
      </c>
      <c r="E45" s="139"/>
      <c r="F45" s="140">
        <f>IFERROR(C45-(D45*B45),"")</f>
        <v>0</v>
      </c>
    </row>
    <row r="46" spans="1:25" ht="9" customHeight="1" thickBot="1" x14ac:dyDescent="0.35">
      <c r="A46" s="270"/>
      <c r="B46" s="270"/>
      <c r="C46" s="270"/>
      <c r="D46" s="270"/>
      <c r="E46" s="270"/>
      <c r="F46" s="270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5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1">
        <f>IFERROR($F$48-($G$48*$B$4),"")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6">
    <mergeCell ref="A1:F1"/>
    <mergeCell ref="B2:F2"/>
    <mergeCell ref="A46:F46"/>
    <mergeCell ref="A15:F15"/>
    <mergeCell ref="A44:F44"/>
    <mergeCell ref="A17:F17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266D-C8A7-4E13-BE3F-A05CEF929087}">
  <sheetPr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227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IFERROR(VLOOKUP(A4,#REF!,8,FALSE),0)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IFERROR(VLOOKUP(A5,#REF!,8,FALSE),0)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IFERROR(VLOOKUP(A6,#REF!,8,FALSE),0)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IFERROR(VLOOKUP(A7,#REF!,8,FALSE),0)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IFERROR(VLOOKUP(A8,#REF!,8,FALSE),0)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IFERROR(VLOOKUP(A9,#REF!,8,FALSE),0)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IFERROR(VLOOKUP(A10,#REF!,8,FALSE),0)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IFERROR(VLOOKUP(A11,#REF!,8,FALSE),0)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IFERROR(VLOOKUP(A12,#REF!,8,FALSE),0)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IFERROR(VLOOKUP(A13,#REF!,8,FALSE),0)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IFERROR(VLOOKUP(A14,#REF!,8,FALSE),0)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IFERROR(VLOOKUP(A15,#REF!,8,FALSE),0)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IFERROR(VLOOKUP(A16,#REF!,8,FALSE),0)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IFERROR(VLOOKUP(A17,#REF!,8,FALSE),0)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IFERROR(VLOOKUP(A18,#REF!,8,FALSE),0)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IFERROR(VLOOKUP(A19,#REF!,8,FALSE),0)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IFERROR(VLOOKUP(A20,#REF!,8,FALSE),0)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69" t="s">
        <v>171</v>
      </c>
      <c r="B22" s="178">
        <f>B4</f>
        <v>36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4"/>
      <c r="D23" s="165"/>
      <c r="E23" s="166"/>
      <c r="F23" s="165"/>
      <c r="G23" s="67"/>
      <c r="H23" s="67"/>
    </row>
    <row r="24" spans="1:25" ht="25.35" customHeight="1" x14ac:dyDescent="0.3">
      <c r="A24" s="172" t="s">
        <v>58</v>
      </c>
      <c r="B24" s="174">
        <f t="shared" si="2"/>
        <v>36</v>
      </c>
      <c r="C24" s="175">
        <f>IFERROR(VLOOKUP(A24,#REF!,8,FALSE),0)</f>
        <v>0</v>
      </c>
      <c r="D24" s="176">
        <f t="shared" ref="D24:D43" si="3">IFERROR(ROUNDDOWN(C24/B24,0),"")</f>
        <v>0</v>
      </c>
      <c r="E24" s="173" t="s">
        <v>11</v>
      </c>
      <c r="F24" s="177">
        <f t="shared" ref="F24:F43" si="4">IFERROR(C24-(D24*B24),"")</f>
        <v>0</v>
      </c>
      <c r="G24" s="163"/>
      <c r="H24" s="163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IFERROR(VLOOKUP(A25,#REF!,8,FALSE),0)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IFERROR(VLOOKUP(A26,#REF!,8,FALSE),0)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IFERROR(VLOOKUP(A27,#REF!,8,FALSE),0)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IFERROR(VLOOKUP(A28,#REF!,8,FALSE),0)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IFERROR(VLOOKUP(A29,#REF!,8,FALSE),0)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IFERROR(VLOOKUP(A30,#REF!,8,FALSE),0)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IFERROR(VLOOKUP(A31,#REF!,8,FALSE),0)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IFERROR(VLOOKUP(A32,#REF!,8,FALSE),0)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IFERROR(VLOOKUP(A33,#REF!,8,FALSE),0)</f>
        <v>0</v>
      </c>
      <c r="D33" s="28">
        <f t="shared" si="3"/>
        <v>0</v>
      </c>
      <c r="E33" s="36" t="s">
        <v>8</v>
      </c>
      <c r="F33" s="31">
        <f t="shared" si="4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IFERROR(VLOOKUP(A34,#REF!,8,FALSE),0)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IFERROR(VLOOKUP(A35,#REF!,8,FALSE),0)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IFERROR(VLOOKUP(A36,#REF!,8,FALSE),0)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IFERROR(VLOOKUP(A37,#REF!,8,FALSE),0)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IFERROR(VLOOKUP(A38,#REF!,8,FALSE),0)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IFERROR(VLOOKUP(A39,#REF!,8,FALSE),0)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IFERROR(VLOOKUP(A40,#REF!,8,FALSE),0)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IFERROR(VLOOKUP(A41,#REF!,8,FALSE),0)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IFERROR(VLOOKUP(A42,#REF!,8,FALSE),0)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IFERROR(VLOOKUP(A43,#REF!,8,FALSE),0)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67"/>
      <c r="H43" s="67"/>
    </row>
    <row r="44" spans="1:25" ht="4.5" customHeight="1" x14ac:dyDescent="0.3">
      <c r="A44" s="241"/>
      <c r="B44" s="242"/>
      <c r="C44" s="242"/>
      <c r="D44" s="242"/>
      <c r="E44" s="242"/>
      <c r="F44" s="243"/>
    </row>
    <row r="45" spans="1:25" ht="34.15" customHeight="1" thickBot="1" x14ac:dyDescent="0.35">
      <c r="A45" s="171" t="s">
        <v>172</v>
      </c>
      <c r="B45" s="178">
        <f>B4</f>
        <v>36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4DE2-7EF9-4FB0-8F2C-BA2BEBC4F614}">
  <sheetPr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3" t="s">
        <v>174</v>
      </c>
      <c r="C2" s="274"/>
      <c r="D2" s="274"/>
      <c r="E2" s="274"/>
      <c r="F2" s="275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228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IFERROR(VLOOKUP(A4,#REF!,9,FALSE),0)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IFERROR(VLOOKUP(A5,#REF!,9,FALSE),0)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IFERROR(VLOOKUP(A6,#REF!,9,FALSE),0)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IFERROR(VLOOKUP(A7,#REF!,9,FALSE),0)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IFERROR(VLOOKUP(A8,#REF!,9,FALSE),0)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IFERROR(VLOOKUP(A9,#REF!,9,FALSE),0)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IFERROR(VLOOKUP(A10,#REF!,9,FALSE),0)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IFERROR(VLOOKUP(A11,#REF!,9,FALSE),0)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IFERROR(VLOOKUP(A12,#REF!,9,FALSE),0)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IFERROR(VLOOKUP(A13,#REF!,9,FALSE),0)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IFERROR(VLOOKUP(A14,#REF!,9,FALSE),0)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63"/>
      <c r="B15" s="264"/>
      <c r="C15" s="264"/>
      <c r="D15" s="264"/>
      <c r="E15" s="264"/>
      <c r="F15" s="265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0"/>
      <c r="B17" s="270"/>
      <c r="C17" s="270"/>
      <c r="D17" s="270"/>
      <c r="E17" s="270"/>
      <c r="F17" s="270"/>
    </row>
    <row r="18" spans="1:8" ht="25.35" customHeight="1" x14ac:dyDescent="0.3">
      <c r="A18" s="172" t="s">
        <v>59</v>
      </c>
      <c r="B18" s="174">
        <f t="shared" ref="B18:B43" si="3">$B$4</f>
        <v>36</v>
      </c>
      <c r="C18" s="175">
        <f>IFERROR(VLOOKUP(A18,#REF!,9,FALSE),0)</f>
        <v>0</v>
      </c>
      <c r="D18" s="176">
        <f>IFERROR(ROUNDDOWN(C18/B18,0),"")</f>
        <v>0</v>
      </c>
      <c r="E18" s="173" t="s">
        <v>117</v>
      </c>
      <c r="F18" s="177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IFERROR(VLOOKUP(A19,#REF!,9,FALSE),0)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IFERROR(VLOOKUP(A20,#REF!,9,FALSE),0)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IFERROR(VLOOKUP(A21,#REF!,9,FALSE),0)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IFERROR(VLOOKUP(A22,#REF!,9,FALSE),0)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IFERROR(VLOOKUP(A23,#REF!,9,FALSE),0)</f>
        <v>0</v>
      </c>
      <c r="D23" s="28">
        <f t="shared" ref="D23:D43" si="4">IFERROR(ROUNDDOWN(C23/B23,0),"")</f>
        <v>0</v>
      </c>
      <c r="E23" s="36" t="s">
        <v>21</v>
      </c>
      <c r="F23" s="31">
        <f t="shared" ref="F23:F43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IFERROR(VLOOKUP(A24,#REF!,9,FALSE),0)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IFERROR(VLOOKUP(A25,#REF!,9,FALSE),0)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IFERROR(VLOOKUP(A26,#REF!,9,FALSE),0)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IFERROR(VLOOKUP(A27,#REF!,9,FALSE),0)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IFERROR(VLOOKUP(A28,#REF!,9,FALSE),0)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IFERROR(VLOOKUP(A29,#REF!,9,FALSE),0)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IFERROR(VLOOKUP(A30,#REF!,9,FALSE),0)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IFERROR(VLOOKUP(A31,#REF!,9,FALSE),0)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IFERROR(VLOOKUP(A32,#REF!,9,FALSE),0)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IFERROR(VLOOKUP(A33,#REF!,9,FALSE),0)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IFERROR(VLOOKUP(A34,#REF!,9,FALSE),0)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IFERROR(VLOOKUP(A35,#REF!,9,FALSE),0)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IFERROR(VLOOKUP(A36,#REF!,9,FALSE),0)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IFERROR(VLOOKUP(A37,#REF!,9,FALSE),0)</f>
        <v>0</v>
      </c>
      <c r="D37" s="28">
        <f t="shared" si="4"/>
        <v>0</v>
      </c>
      <c r="E37" s="36" t="s">
        <v>97</v>
      </c>
      <c r="F37" s="31">
        <f t="shared" si="5"/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IFERROR(VLOOKUP(A38,#REF!,9,FALSE),0)</f>
        <v>0</v>
      </c>
      <c r="D38" s="20">
        <f t="shared" si="4"/>
        <v>0</v>
      </c>
      <c r="E38" s="51" t="s">
        <v>8</v>
      </c>
      <c r="F38" s="26">
        <f t="shared" si="5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IFERROR(VLOOKUP(A39,#REF!,9,FALSE),0)</f>
        <v>0</v>
      </c>
      <c r="D39" s="28">
        <f t="shared" si="4"/>
        <v>0</v>
      </c>
      <c r="E39" s="36" t="s">
        <v>9</v>
      </c>
      <c r="F39" s="31">
        <f t="shared" si="5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IFERROR(VLOOKUP(A40,#REF!,9,FALSE),0)</f>
        <v>0</v>
      </c>
      <c r="D40" s="20">
        <f t="shared" si="4"/>
        <v>0</v>
      </c>
      <c r="E40" s="51" t="s">
        <v>19</v>
      </c>
      <c r="F40" s="26">
        <f t="shared" si="5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IFERROR(VLOOKUP(A41,#REF!,9,FALSE),0)</f>
        <v>0</v>
      </c>
      <c r="D41" s="28">
        <f t="shared" si="4"/>
        <v>0</v>
      </c>
      <c r="E41" s="36" t="s">
        <v>20</v>
      </c>
      <c r="F41" s="31">
        <f t="shared" si="5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IFERROR(VLOOKUP(A42,#REF!,9,FALSE),0)</f>
        <v>0</v>
      </c>
      <c r="D42" s="20">
        <f t="shared" si="4"/>
        <v>0</v>
      </c>
      <c r="E42" s="51" t="s">
        <v>25</v>
      </c>
      <c r="F42" s="26">
        <f t="shared" si="5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IFERROR(VLOOKUP(A43,#REF!,9,FALSE),0)</f>
        <v>0</v>
      </c>
      <c r="D43" s="28">
        <f t="shared" si="4"/>
        <v>0</v>
      </c>
      <c r="E43" s="36" t="s">
        <v>72</v>
      </c>
      <c r="F43" s="31">
        <f t="shared" si="5"/>
        <v>0</v>
      </c>
      <c r="G43" s="67"/>
      <c r="H43" s="67"/>
    </row>
    <row r="44" spans="1:25" ht="10.5" customHeight="1" thickBot="1" x14ac:dyDescent="0.35">
      <c r="A44" s="276"/>
      <c r="B44" s="277"/>
      <c r="C44" s="277"/>
      <c r="D44" s="277"/>
      <c r="E44" s="277"/>
      <c r="F44" s="278"/>
    </row>
    <row r="45" spans="1:25" ht="25.35" customHeight="1" thickBot="1" x14ac:dyDescent="0.35">
      <c r="A45" s="136" t="s">
        <v>172</v>
      </c>
      <c r="B45" s="189">
        <f>B20</f>
        <v>36</v>
      </c>
      <c r="C45" s="138">
        <f>SUM($C$18:$C$43)</f>
        <v>0</v>
      </c>
      <c r="D45" s="138">
        <f>IFERROR(ROUNDDOWN(C45/B45,0),"")</f>
        <v>0</v>
      </c>
      <c r="E45" s="139"/>
      <c r="F45" s="140">
        <f>IFERROR(C45-(D45*B45),"")</f>
        <v>0</v>
      </c>
    </row>
    <row r="46" spans="1:25" ht="9" customHeight="1" thickBot="1" x14ac:dyDescent="0.35">
      <c r="A46" s="270"/>
      <c r="B46" s="270"/>
      <c r="C46" s="270"/>
      <c r="D46" s="270"/>
      <c r="E46" s="270"/>
      <c r="F46" s="270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5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1">
        <f>IFERROR($F$48-($G$48*$B$4),"")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6">
    <mergeCell ref="A46:F46"/>
    <mergeCell ref="A1:F1"/>
    <mergeCell ref="B2:F2"/>
    <mergeCell ref="A15:F15"/>
    <mergeCell ref="A17:F17"/>
    <mergeCell ref="A44:F44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84D1-2D44-4F00-AA62-E57CC51444EE}">
  <sheetPr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225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IFERROR(VLOOKUP(A4,#REF!,10,FALSE),0)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IFERROR(VLOOKUP(A5,#REF!,10,FALSE),0)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IFERROR(VLOOKUP(A6,#REF!,10,FALSE),0)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IFERROR(VLOOKUP(A7,#REF!,10,FALSE),0)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IFERROR(VLOOKUP(A8,#REF!,10,FALSE),0)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IFERROR(VLOOKUP(A9,#REF!,10,FALSE),0)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IFERROR(VLOOKUP(A10,#REF!,10,FALSE),0)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IFERROR(VLOOKUP(A11,#REF!,10,FALSE),0)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IFERROR(VLOOKUP(A12,#REF!,10,FALSE),0)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IFERROR(VLOOKUP(A13,#REF!,10,FALSE),0)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IFERROR(VLOOKUP(A14,#REF!,10,FALSE),0)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IFERROR(VLOOKUP(A15,#REF!,10,FALSE),0)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IFERROR(VLOOKUP(A16,#REF!,10,FALSE),0)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IFERROR(VLOOKUP(A17,#REF!,10,FALSE),0)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IFERROR(VLOOKUP(A18,#REF!,10,FALSE),0)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IFERROR(VLOOKUP(A19,#REF!,10,FALSE),0)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IFERROR(VLOOKUP(A20,#REF!,10,FALSE),0)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69" t="s">
        <v>171</v>
      </c>
      <c r="B22" s="178">
        <f>B4</f>
        <v>36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4"/>
      <c r="D23" s="165"/>
      <c r="E23" s="166"/>
      <c r="F23" s="165"/>
      <c r="G23" s="67"/>
      <c r="H23" s="67"/>
    </row>
    <row r="24" spans="1:25" ht="25.35" customHeight="1" x14ac:dyDescent="0.3">
      <c r="A24" s="172" t="s">
        <v>58</v>
      </c>
      <c r="B24" s="174">
        <f t="shared" si="2"/>
        <v>36</v>
      </c>
      <c r="C24" s="175">
        <f>IFERROR(VLOOKUP(A24,#REF!,10,FALSE),0)</f>
        <v>0</v>
      </c>
      <c r="D24" s="176">
        <f t="shared" ref="D24:D43" si="3">IFERROR(ROUNDDOWN(C24/B24,0),"")</f>
        <v>0</v>
      </c>
      <c r="E24" s="173" t="s">
        <v>11</v>
      </c>
      <c r="F24" s="177">
        <f t="shared" ref="F24:F43" si="4">IFERROR(C24-(D24*B24),"")</f>
        <v>0</v>
      </c>
      <c r="G24" s="163"/>
      <c r="H24" s="163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IFERROR(VLOOKUP(A25,#REF!,10,FALSE),0)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IFERROR(VLOOKUP(A26,#REF!,10,FALSE),0)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IFERROR(VLOOKUP(A27,#REF!,10,FALSE),0)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IFERROR(VLOOKUP(A28,#REF!,10,FALSE),0)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IFERROR(VLOOKUP(A29,#REF!,10,FALSE),0)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IFERROR(VLOOKUP(A30,#REF!,10,FALSE),0)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IFERROR(VLOOKUP(A31,#REF!,10,FALSE),0)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IFERROR(VLOOKUP(A32,#REF!,10,FALSE),0)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IFERROR(VLOOKUP(A33,#REF!,10,FALSE),0)</f>
        <v>0</v>
      </c>
      <c r="D33" s="28">
        <f t="shared" si="3"/>
        <v>0</v>
      </c>
      <c r="E33" s="36" t="s">
        <v>8</v>
      </c>
      <c r="F33" s="31">
        <f t="shared" si="4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IFERROR(VLOOKUP(A34,#REF!,10,FALSE),0)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IFERROR(VLOOKUP(A35,#REF!,10,FALSE),0)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IFERROR(VLOOKUP(A36,#REF!,10,FALSE),0)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IFERROR(VLOOKUP(A37,#REF!,10,FALSE),0)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IFERROR(VLOOKUP(A38,#REF!,10,FALSE),0)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IFERROR(VLOOKUP(A39,#REF!,10,FALSE),0)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IFERROR(VLOOKUP(A40,#REF!,10,FALSE),0)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IFERROR(VLOOKUP(A41,#REF!,10,FALSE),0)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IFERROR(VLOOKUP(A42,#REF!,10,FALSE),0)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IFERROR(VLOOKUP(A43,#REF!,10,FALSE),0)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67"/>
      <c r="H43" s="67"/>
    </row>
    <row r="44" spans="1:25" ht="4.5" customHeight="1" x14ac:dyDescent="0.3">
      <c r="A44" s="241"/>
      <c r="B44" s="242"/>
      <c r="C44" s="242"/>
      <c r="D44" s="242"/>
      <c r="E44" s="242"/>
      <c r="F44" s="243"/>
    </row>
    <row r="45" spans="1:25" ht="34.15" customHeight="1" thickBot="1" x14ac:dyDescent="0.35">
      <c r="A45" s="171" t="s">
        <v>172</v>
      </c>
      <c r="B45" s="178">
        <f>B4</f>
        <v>36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50FF-3F4B-4F2B-B67F-19CA125C42AD}">
  <sheetPr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226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IFERROR(VLOOKUP(A4,#REF!,11,FALSE),0)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IFERROR(VLOOKUP(A5,#REF!,11,FALSE),0)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IFERROR(VLOOKUP(A6,#REF!,11,FALSE),0)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IFERROR(VLOOKUP(A7,#REF!,11,FALSE),0)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IFERROR(VLOOKUP(A8,#REF!,11,FALSE),0)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IFERROR(VLOOKUP(A9,#REF!,11,FALSE),0)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IFERROR(VLOOKUP(A10,#REF!,11,FALSE),0)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IFERROR(VLOOKUP(A11,#REF!,11,FALSE),0)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IFERROR(VLOOKUP(A12,#REF!,11,FALSE),0)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IFERROR(VLOOKUP(A13,#REF!,11,FALSE),0)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IFERROR(VLOOKUP(A14,#REF!,11,FALSE),0)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71"/>
      <c r="B15" s="272"/>
      <c r="C15" s="272"/>
      <c r="D15" s="272"/>
      <c r="E15" s="272"/>
      <c r="F15" s="273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0"/>
      <c r="B17" s="270"/>
      <c r="C17" s="270"/>
      <c r="D17" s="270"/>
      <c r="E17" s="270"/>
      <c r="F17" s="270"/>
    </row>
    <row r="18" spans="1:8" ht="25.35" customHeight="1" x14ac:dyDescent="0.3">
      <c r="A18" s="172" t="s">
        <v>59</v>
      </c>
      <c r="B18" s="174">
        <f t="shared" ref="B18:B43" si="3">$B$4</f>
        <v>36</v>
      </c>
      <c r="C18" s="175">
        <f>IFERROR(VLOOKUP(A18,#REF!,11,FALSE),0)</f>
        <v>0</v>
      </c>
      <c r="D18" s="176">
        <f>IFERROR(ROUNDDOWN(C18/B18,0),"")</f>
        <v>0</v>
      </c>
      <c r="E18" s="173" t="s">
        <v>117</v>
      </c>
      <c r="F18" s="177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IFERROR(VLOOKUP(A19,#REF!,11,FALSE),0)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IFERROR(VLOOKUP(A20,#REF!,11,FALSE),0)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IFERROR(VLOOKUP(A21,#REF!,11,FALSE),0)</f>
        <v>0</v>
      </c>
      <c r="D21" s="28">
        <f>IFERROR(ROUNDDOWN(C21/B21,0),"")</f>
        <v>0</v>
      </c>
      <c r="E21" s="36" t="s">
        <v>16</v>
      </c>
      <c r="F21" s="31">
        <f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IFERROR(VLOOKUP(A22,#REF!,11,FALSE),0)</f>
        <v>0</v>
      </c>
      <c r="D22" s="20">
        <f>IFERROR(ROUNDDOWN(C22/B22,0),"")</f>
        <v>0</v>
      </c>
      <c r="E22" s="51" t="s">
        <v>24</v>
      </c>
      <c r="F22" s="26">
        <f>IFERROR(C22-(D22*B22),"")</f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IFERROR(VLOOKUP(A23,#REF!,11,FALSE),0)</f>
        <v>0</v>
      </c>
      <c r="D23" s="28">
        <f t="shared" ref="D23:D43" si="4">IFERROR(ROUNDDOWN(C23/B23,0),"")</f>
        <v>0</v>
      </c>
      <c r="E23" s="36" t="s">
        <v>21</v>
      </c>
      <c r="F23" s="31">
        <f t="shared" ref="F23:F43" si="5">IFERROR(C23-(D23*B23),"")</f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IFERROR(VLOOKUP(A24,#REF!,11,FALSE),0)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IFERROR(VLOOKUP(A25,#REF!,11,FALSE),0)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IFERROR(VLOOKUP(A26,#REF!,11,FALSE),0)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IFERROR(VLOOKUP(A27,#REF!,11,FALSE),0)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IFERROR(VLOOKUP(A28,#REF!,11,FALSE),0)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IFERROR(VLOOKUP(A29,#REF!,11,FALSE),0)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IFERROR(VLOOKUP(A30,#REF!,11,FALSE),0)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IFERROR(VLOOKUP(A31,#REF!,11,FALSE),0)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IFERROR(VLOOKUP(A32,#REF!,11,FALSE),0)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IFERROR(VLOOKUP(A33,#REF!,11,FALSE),0)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IFERROR(VLOOKUP(A34,#REF!,11,FALSE),0)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IFERROR(VLOOKUP(A35,#REF!,11,FALSE),0)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IFERROR(VLOOKUP(A36,#REF!,11,FALSE),0)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IFERROR(VLOOKUP(A37,#REF!,11,FALSE),0)</f>
        <v>0</v>
      </c>
      <c r="D37" s="28">
        <f t="shared" si="4"/>
        <v>0</v>
      </c>
      <c r="E37" s="36" t="s">
        <v>97</v>
      </c>
      <c r="F37" s="31">
        <f t="shared" si="5"/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IFERROR(VLOOKUP(A38,#REF!,11,FALSE),0)</f>
        <v>0</v>
      </c>
      <c r="D38" s="20">
        <f t="shared" si="4"/>
        <v>0</v>
      </c>
      <c r="E38" s="51" t="s">
        <v>8</v>
      </c>
      <c r="F38" s="26">
        <f t="shared" si="5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IFERROR(VLOOKUP(A39,#REF!,11,FALSE),0)</f>
        <v>0</v>
      </c>
      <c r="D39" s="28">
        <f t="shared" si="4"/>
        <v>0</v>
      </c>
      <c r="E39" s="36" t="s">
        <v>9</v>
      </c>
      <c r="F39" s="31">
        <f t="shared" si="5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IFERROR(VLOOKUP(A40,#REF!,11,FALSE),0)</f>
        <v>0</v>
      </c>
      <c r="D40" s="20">
        <f t="shared" si="4"/>
        <v>0</v>
      </c>
      <c r="E40" s="51" t="s">
        <v>19</v>
      </c>
      <c r="F40" s="26">
        <f t="shared" si="5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IFERROR(VLOOKUP(A41,#REF!,11,FALSE),0)</f>
        <v>0</v>
      </c>
      <c r="D41" s="28">
        <f t="shared" si="4"/>
        <v>0</v>
      </c>
      <c r="E41" s="36" t="s">
        <v>20</v>
      </c>
      <c r="F41" s="31">
        <f t="shared" si="5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IFERROR(VLOOKUP(A42,#REF!,11,FALSE),0)</f>
        <v>0</v>
      </c>
      <c r="D42" s="20">
        <f t="shared" si="4"/>
        <v>0</v>
      </c>
      <c r="E42" s="51" t="s">
        <v>25</v>
      </c>
      <c r="F42" s="26">
        <f t="shared" si="5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IFERROR(VLOOKUP(A43,#REF!,11,FALSE),0)</f>
        <v>0</v>
      </c>
      <c r="D43" s="28">
        <f t="shared" si="4"/>
        <v>0</v>
      </c>
      <c r="E43" s="36" t="s">
        <v>72</v>
      </c>
      <c r="F43" s="31">
        <f t="shared" si="5"/>
        <v>0</v>
      </c>
      <c r="G43" s="67"/>
      <c r="H43" s="67"/>
    </row>
    <row r="44" spans="1:25" ht="10.5" customHeight="1" thickBot="1" x14ac:dyDescent="0.35">
      <c r="A44" s="238"/>
      <c r="B44" s="239"/>
      <c r="C44" s="239"/>
      <c r="D44" s="239"/>
      <c r="E44" s="239"/>
      <c r="F44" s="240"/>
    </row>
    <row r="45" spans="1:25" ht="25.35" customHeight="1" thickBot="1" x14ac:dyDescent="0.35">
      <c r="A45" s="136" t="s">
        <v>172</v>
      </c>
      <c r="B45" s="189">
        <f>B20</f>
        <v>36</v>
      </c>
      <c r="C45" s="138">
        <f>SUM($C$18:$C$43)</f>
        <v>0</v>
      </c>
      <c r="D45" s="138">
        <f>IFERROR(ROUNDDOWN(C45/B45,0),"")</f>
        <v>0</v>
      </c>
      <c r="E45" s="139"/>
      <c r="F45" s="140">
        <f>IFERROR(C45-(D45*B45),"")</f>
        <v>0</v>
      </c>
    </row>
    <row r="46" spans="1:25" ht="9" customHeight="1" thickBot="1" x14ac:dyDescent="0.35">
      <c r="A46" s="270"/>
      <c r="B46" s="270"/>
      <c r="C46" s="270"/>
      <c r="D46" s="270"/>
      <c r="E46" s="270"/>
      <c r="F46" s="270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5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1">
        <f>IFERROR($F$48-($G$48*$B$4),"")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6">
    <mergeCell ref="A46:F46"/>
    <mergeCell ref="A1:F1"/>
    <mergeCell ref="B2:F2"/>
    <mergeCell ref="A15:F15"/>
    <mergeCell ref="A17:F17"/>
    <mergeCell ref="A44:F44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D9B3-DF46-4736-BB87-DE69C7BA46F2}">
  <sheetPr codeName="Sheet123">
    <tabColor rgb="FF7030A0"/>
    <pageSetUpPr fitToPage="1"/>
  </sheetPr>
  <dimension ref="A1:Y49"/>
  <sheetViews>
    <sheetView zoomScale="40" zoomScaleNormal="40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175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7" t="s">
        <v>50</v>
      </c>
      <c r="B4" s="37">
        <v>36</v>
      </c>
      <c r="C4" s="27">
        <f>IFERROR(VLOOKUP(A4,#REF!,12,FALSE),0)</f>
        <v>0</v>
      </c>
      <c r="D4" s="28">
        <f t="shared" ref="D4:D18" si="0">IFERROR(ROUNDDOWN(C4/B4,0),"")</f>
        <v>0</v>
      </c>
      <c r="E4" s="36" t="s">
        <v>17</v>
      </c>
      <c r="F4" s="31">
        <f t="shared" ref="F4:F18" si="1">IFERROR(C4-(D4*B4),"")</f>
        <v>0</v>
      </c>
    </row>
    <row r="5" spans="1:8" ht="25.35" customHeight="1" x14ac:dyDescent="0.3">
      <c r="A5" s="49" t="s">
        <v>35</v>
      </c>
      <c r="B5" s="50">
        <f>$B$4</f>
        <v>36</v>
      </c>
      <c r="C5" s="24">
        <f>IFERROR(VLOOKUP(A5,#REF!,12,FALSE),0)</f>
        <v>0</v>
      </c>
      <c r="D5" s="20">
        <f t="shared" si="0"/>
        <v>0</v>
      </c>
      <c r="E5" s="51" t="s">
        <v>10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46</v>
      </c>
      <c r="B6" s="37">
        <f t="shared" ref="B6:B43" si="2">$B$4</f>
        <v>36</v>
      </c>
      <c r="C6" s="27">
        <f>IFERROR(VLOOKUP(A6,#REF!,12,FALSE),0)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70"/>
      <c r="H6" s="70"/>
    </row>
    <row r="7" spans="1:8" ht="25.35" customHeight="1" x14ac:dyDescent="0.3">
      <c r="A7" s="49" t="s">
        <v>56</v>
      </c>
      <c r="B7" s="50">
        <f t="shared" si="2"/>
        <v>36</v>
      </c>
      <c r="C7" s="24">
        <f>IFERROR(VLOOKUP(A7,#REF!,12,FALSE),0)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70"/>
      <c r="H7" s="70"/>
    </row>
    <row r="8" spans="1:8" ht="25.35" customHeight="1" x14ac:dyDescent="0.3">
      <c r="A8" s="47" t="s">
        <v>41</v>
      </c>
      <c r="B8" s="37">
        <f t="shared" si="2"/>
        <v>36</v>
      </c>
      <c r="C8" s="27">
        <f>IFERROR(VLOOKUP(A8,#REF!,12,FALSE),0)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67"/>
      <c r="H8" s="67"/>
    </row>
    <row r="9" spans="1:8" ht="25.35" customHeight="1" x14ac:dyDescent="0.3">
      <c r="A9" s="49" t="s">
        <v>62</v>
      </c>
      <c r="B9" s="50">
        <f t="shared" si="2"/>
        <v>36</v>
      </c>
      <c r="C9" s="24">
        <f>IFERROR(VLOOKUP(A9,#REF!,12,FALSE),0)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70"/>
      <c r="H9" s="70"/>
    </row>
    <row r="10" spans="1:8" ht="25.35" customHeight="1" x14ac:dyDescent="0.3">
      <c r="A10" s="47" t="s">
        <v>124</v>
      </c>
      <c r="B10" s="37">
        <f t="shared" si="2"/>
        <v>36</v>
      </c>
      <c r="C10" s="27">
        <f>IFERROR(VLOOKUP(A10,#REF!,12,FALSE),0)</f>
        <v>0</v>
      </c>
      <c r="D10" s="28">
        <f t="shared" si="0"/>
        <v>0</v>
      </c>
      <c r="E10" s="36" t="s">
        <v>120</v>
      </c>
      <c r="F10" s="31">
        <f t="shared" si="1"/>
        <v>0</v>
      </c>
    </row>
    <row r="11" spans="1:8" ht="25.35" customHeight="1" x14ac:dyDescent="0.3">
      <c r="A11" s="49" t="s">
        <v>90</v>
      </c>
      <c r="B11" s="50">
        <f t="shared" si="2"/>
        <v>36</v>
      </c>
      <c r="C11" s="24">
        <f>IFERROR(VLOOKUP(A11,#REF!,12,FALSE),0)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91</v>
      </c>
      <c r="B12" s="37">
        <f t="shared" si="2"/>
        <v>36</v>
      </c>
      <c r="C12" s="27">
        <f>IFERROR(VLOOKUP(A12,#REF!,12,FALSE),0)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73</v>
      </c>
      <c r="B13" s="50">
        <f t="shared" si="2"/>
        <v>36</v>
      </c>
      <c r="C13" s="24">
        <f>IFERROR(VLOOKUP(A13,#REF!,12,FALSE),0)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67"/>
      <c r="H13" s="67"/>
    </row>
    <row r="14" spans="1:8" ht="25.35" customHeight="1" x14ac:dyDescent="0.3">
      <c r="A14" s="47" t="s">
        <v>74</v>
      </c>
      <c r="B14" s="37">
        <f t="shared" si="2"/>
        <v>36</v>
      </c>
      <c r="C14" s="27">
        <f>IFERROR(VLOOKUP(A14,#REF!,12,FALSE),0)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67"/>
      <c r="H14" s="67"/>
    </row>
    <row r="15" spans="1:8" ht="25.35" customHeight="1" x14ac:dyDescent="0.3">
      <c r="A15" s="49" t="s">
        <v>93</v>
      </c>
      <c r="B15" s="50">
        <f t="shared" si="2"/>
        <v>36</v>
      </c>
      <c r="C15" s="24">
        <f>IFERROR(VLOOKUP(A15,#REF!,12,FALSE),0)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70"/>
      <c r="H15" s="70"/>
    </row>
    <row r="16" spans="1:8" ht="25.35" customHeight="1" x14ac:dyDescent="0.3">
      <c r="A16" s="47" t="s">
        <v>52</v>
      </c>
      <c r="B16" s="37">
        <f t="shared" si="2"/>
        <v>36</v>
      </c>
      <c r="C16" s="27">
        <f>IFERROR(VLOOKUP(A16,#REF!,12,FALSE),0)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67"/>
      <c r="H16" s="67"/>
    </row>
    <row r="17" spans="1:25" ht="25.35" customHeight="1" x14ac:dyDescent="0.3">
      <c r="A17" s="49" t="s">
        <v>48</v>
      </c>
      <c r="B17" s="50">
        <f t="shared" si="2"/>
        <v>36</v>
      </c>
      <c r="C17" s="24">
        <f>IFERROR(VLOOKUP(A17,#REF!,12,FALSE),0)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70"/>
      <c r="H17" s="70"/>
    </row>
    <row r="18" spans="1:25" ht="25.35" customHeight="1" x14ac:dyDescent="0.3">
      <c r="A18" s="46" t="s">
        <v>57</v>
      </c>
      <c r="B18" s="37">
        <f t="shared" si="2"/>
        <v>36</v>
      </c>
      <c r="C18" s="27">
        <f>IFERROR(VLOOKUP(A18,#REF!,12,FALSE),0)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25" ht="25.35" customHeight="1" x14ac:dyDescent="0.3">
      <c r="A19" s="49" t="s">
        <v>59</v>
      </c>
      <c r="B19" s="50">
        <f t="shared" si="2"/>
        <v>36</v>
      </c>
      <c r="C19" s="24">
        <f>IFERROR(VLOOKUP(A19,#REF!,12,FALSE),0)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70"/>
      <c r="H19" s="70"/>
    </row>
    <row r="20" spans="1:25" ht="25.35" customHeight="1" x14ac:dyDescent="0.3">
      <c r="A20" s="46" t="s">
        <v>55</v>
      </c>
      <c r="B20" s="37">
        <f t="shared" si="2"/>
        <v>36</v>
      </c>
      <c r="C20" s="27">
        <f>IFERROR(VLOOKUP(A20,#REF!,12,FALSE),0)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25" ht="5.45" customHeight="1" x14ac:dyDescent="0.3">
      <c r="A21" s="52"/>
      <c r="B21" s="50"/>
      <c r="C21" s="24"/>
      <c r="D21" s="20"/>
      <c r="E21" s="51"/>
      <c r="F21" s="26"/>
      <c r="G21" s="67"/>
      <c r="H21" s="67"/>
    </row>
    <row r="22" spans="1:25" ht="25.35" customHeight="1" thickBot="1" x14ac:dyDescent="0.35">
      <c r="A22" s="169" t="s">
        <v>171</v>
      </c>
      <c r="B22" s="178">
        <f>B4</f>
        <v>36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67"/>
      <c r="H22" s="67"/>
    </row>
    <row r="23" spans="1:25" ht="8.4499999999999993" customHeight="1" thickBot="1" x14ac:dyDescent="0.35">
      <c r="C23" s="164"/>
      <c r="D23" s="165"/>
      <c r="E23" s="166"/>
      <c r="F23" s="165"/>
      <c r="G23" s="67"/>
      <c r="H23" s="67"/>
    </row>
    <row r="24" spans="1:25" ht="25.35" customHeight="1" x14ac:dyDescent="0.3">
      <c r="A24" s="172" t="s">
        <v>58</v>
      </c>
      <c r="B24" s="174">
        <f t="shared" si="2"/>
        <v>36</v>
      </c>
      <c r="C24" s="175">
        <f>IFERROR(VLOOKUP(A24,#REF!,12,FALSE),0)</f>
        <v>0</v>
      </c>
      <c r="D24" s="176">
        <f t="shared" ref="D24:D31" si="3">IFERROR(ROUNDDOWN(C24/B24,0),"")</f>
        <v>0</v>
      </c>
      <c r="E24" s="173" t="s">
        <v>11</v>
      </c>
      <c r="F24" s="177">
        <f t="shared" ref="F24:F31" si="4">IFERROR(C24-(D24*B24),"")</f>
        <v>0</v>
      </c>
      <c r="G24" s="163"/>
      <c r="H24" s="163"/>
    </row>
    <row r="25" spans="1:25" ht="25.35" customHeight="1" x14ac:dyDescent="0.3">
      <c r="A25" s="47" t="s">
        <v>53</v>
      </c>
      <c r="B25" s="37">
        <f t="shared" si="2"/>
        <v>36</v>
      </c>
      <c r="C25" s="27">
        <f>IFERROR(VLOOKUP(A25,#REF!,12,FALSE),0)</f>
        <v>0</v>
      </c>
      <c r="D25" s="28">
        <f t="shared" si="3"/>
        <v>0</v>
      </c>
      <c r="E25" s="36" t="s">
        <v>6</v>
      </c>
      <c r="F25" s="31">
        <f t="shared" si="4"/>
        <v>0</v>
      </c>
    </row>
    <row r="26" spans="1:25" ht="25.35" customHeight="1" x14ac:dyDescent="0.3">
      <c r="A26" s="49" t="s">
        <v>71</v>
      </c>
      <c r="B26" s="50">
        <f t="shared" si="2"/>
        <v>36</v>
      </c>
      <c r="C26" s="24">
        <f>IFERROR(VLOOKUP(A26,#REF!,12,FALSE),0)</f>
        <v>0</v>
      </c>
      <c r="D26" s="20">
        <f t="shared" si="3"/>
        <v>0</v>
      </c>
      <c r="E26" s="51" t="s">
        <v>70</v>
      </c>
      <c r="F26" s="26">
        <f t="shared" si="4"/>
        <v>0</v>
      </c>
    </row>
    <row r="27" spans="1:25" ht="25.35" customHeight="1" x14ac:dyDescent="0.3">
      <c r="A27" s="47" t="s">
        <v>51</v>
      </c>
      <c r="B27" s="37">
        <f t="shared" si="2"/>
        <v>36</v>
      </c>
      <c r="C27" s="27">
        <f>IFERROR(VLOOKUP(A27,#REF!,12,FALSE),0)</f>
        <v>0</v>
      </c>
      <c r="D27" s="28">
        <f t="shared" si="3"/>
        <v>0</v>
      </c>
      <c r="E27" s="36" t="s">
        <v>7</v>
      </c>
      <c r="F27" s="31">
        <f t="shared" si="4"/>
        <v>0</v>
      </c>
    </row>
    <row r="28" spans="1:25" ht="25.35" customHeight="1" x14ac:dyDescent="0.3">
      <c r="A28" s="49" t="s">
        <v>37</v>
      </c>
      <c r="B28" s="50">
        <f t="shared" si="2"/>
        <v>36</v>
      </c>
      <c r="C28" s="24">
        <f>IFERROR(VLOOKUP(A28,#REF!,12,FALSE),0)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25" ht="25.35" customHeight="1" x14ac:dyDescent="0.3">
      <c r="A29" s="47" t="s">
        <v>101</v>
      </c>
      <c r="B29" s="37">
        <f t="shared" si="2"/>
        <v>36</v>
      </c>
      <c r="C29" s="27">
        <f>IFERROR(VLOOKUP(A29,#REF!,12,FALSE),0)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25" ht="25.35" customHeight="1" x14ac:dyDescent="0.3">
      <c r="A30" s="49" t="s">
        <v>104</v>
      </c>
      <c r="B30" s="50">
        <f t="shared" si="2"/>
        <v>36</v>
      </c>
      <c r="C30" s="24">
        <f>IFERROR(VLOOKUP(A30,#REF!,12,FALSE),0)</f>
        <v>0</v>
      </c>
      <c r="D30" s="20">
        <f t="shared" si="3"/>
        <v>0</v>
      </c>
      <c r="E30" s="51" t="s">
        <v>102</v>
      </c>
      <c r="F30" s="26">
        <f t="shared" si="4"/>
        <v>0</v>
      </c>
    </row>
    <row r="31" spans="1:25" ht="25.35" customHeight="1" x14ac:dyDescent="0.3">
      <c r="A31" s="46" t="s">
        <v>81</v>
      </c>
      <c r="B31" s="37">
        <f t="shared" si="2"/>
        <v>36</v>
      </c>
      <c r="C31" s="27">
        <f>IFERROR(VLOOKUP(A31,#REF!,12,FALSE),0)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67"/>
      <c r="H31" s="67"/>
    </row>
    <row r="32" spans="1:25" ht="25.35" customHeight="1" x14ac:dyDescent="0.3">
      <c r="A32" s="52" t="s">
        <v>82</v>
      </c>
      <c r="B32" s="50">
        <f t="shared" si="2"/>
        <v>36</v>
      </c>
      <c r="C32" s="24">
        <f>IFERROR(VLOOKUP(A32,#REF!,12,FALSE),0)</f>
        <v>0</v>
      </c>
      <c r="D32" s="20">
        <f t="shared" ref="D32:D43" si="5">IFERROR(ROUNDDOWN(C32/B32,0),"")</f>
        <v>0</v>
      </c>
      <c r="E32" s="51" t="s">
        <v>97</v>
      </c>
      <c r="F32" s="26">
        <f t="shared" ref="F32:F43" si="6">IFERROR(C32-(D32*B32),"")</f>
        <v>0</v>
      </c>
      <c r="G32" s="67"/>
      <c r="H32" s="67"/>
      <c r="Y32" s="78"/>
    </row>
    <row r="33" spans="1:25" ht="25.35" customHeight="1" x14ac:dyDescent="0.3">
      <c r="A33" s="47" t="s">
        <v>54</v>
      </c>
      <c r="B33" s="37">
        <f t="shared" si="2"/>
        <v>36</v>
      </c>
      <c r="C33" s="27">
        <f>IFERROR(VLOOKUP(A33,#REF!,12,FALSE),0)</f>
        <v>0</v>
      </c>
      <c r="D33" s="28">
        <f t="shared" si="5"/>
        <v>0</v>
      </c>
      <c r="E33" s="36" t="s">
        <v>8</v>
      </c>
      <c r="F33" s="31">
        <f t="shared" si="6"/>
        <v>0</v>
      </c>
    </row>
    <row r="34" spans="1:25" ht="25.35" customHeight="1" x14ac:dyDescent="0.3">
      <c r="A34" s="49" t="s">
        <v>60</v>
      </c>
      <c r="B34" s="50">
        <f t="shared" si="2"/>
        <v>36</v>
      </c>
      <c r="C34" s="24">
        <f>IFERROR(VLOOKUP(A34,#REF!,12,FALSE),0)</f>
        <v>0</v>
      </c>
      <c r="D34" s="20">
        <f t="shared" si="5"/>
        <v>0</v>
      </c>
      <c r="E34" s="51" t="s">
        <v>9</v>
      </c>
      <c r="F34" s="26">
        <f t="shared" si="6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25" ht="25.35" customHeight="1" x14ac:dyDescent="0.3">
      <c r="A35" s="47" t="s">
        <v>40</v>
      </c>
      <c r="B35" s="37">
        <f t="shared" si="2"/>
        <v>36</v>
      </c>
      <c r="C35" s="27">
        <f>IFERROR(VLOOKUP(A35,#REF!,12,FALSE),0)</f>
        <v>0</v>
      </c>
      <c r="D35" s="28">
        <f t="shared" si="5"/>
        <v>0</v>
      </c>
      <c r="E35" s="36" t="s">
        <v>16</v>
      </c>
      <c r="F35" s="31">
        <f t="shared" si="6"/>
        <v>0</v>
      </c>
      <c r="G35" s="67"/>
      <c r="H35" s="67"/>
    </row>
    <row r="36" spans="1:25" ht="25.35" customHeight="1" x14ac:dyDescent="0.3">
      <c r="A36" s="49" t="s">
        <v>38</v>
      </c>
      <c r="B36" s="50">
        <f t="shared" si="2"/>
        <v>36</v>
      </c>
      <c r="C36" s="24">
        <f>IFERROR(VLOOKUP(A36,#REF!,12,FALSE),0)</f>
        <v>0</v>
      </c>
      <c r="D36" s="20">
        <f t="shared" si="5"/>
        <v>0</v>
      </c>
      <c r="E36" s="51" t="s">
        <v>24</v>
      </c>
      <c r="F36" s="26">
        <f t="shared" si="6"/>
        <v>0</v>
      </c>
      <c r="G36" s="67"/>
      <c r="H36" s="67"/>
    </row>
    <row r="37" spans="1:25" ht="25.35" customHeight="1" x14ac:dyDescent="0.3">
      <c r="A37" s="47" t="s">
        <v>75</v>
      </c>
      <c r="B37" s="37">
        <f t="shared" si="2"/>
        <v>36</v>
      </c>
      <c r="C37" s="27">
        <f>IFERROR(VLOOKUP(A37,#REF!,12,FALSE),0)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67"/>
      <c r="H37" s="67"/>
    </row>
    <row r="38" spans="1:25" ht="25.35" customHeight="1" x14ac:dyDescent="0.3">
      <c r="A38" s="49" t="s">
        <v>76</v>
      </c>
      <c r="B38" s="50">
        <f t="shared" si="2"/>
        <v>36</v>
      </c>
      <c r="C38" s="24">
        <f>IFERROR(VLOOKUP(A38,#REF!,12,FALSE),0)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</row>
    <row r="39" spans="1:25" ht="25.35" customHeight="1" x14ac:dyDescent="0.3">
      <c r="A39" s="47" t="s">
        <v>77</v>
      </c>
      <c r="B39" s="37">
        <f t="shared" si="2"/>
        <v>36</v>
      </c>
      <c r="C39" s="27">
        <f>IFERROR(VLOOKUP(A39,#REF!,12,FALSE),0)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25" ht="25.35" customHeight="1" x14ac:dyDescent="0.3">
      <c r="A40" s="49" t="s">
        <v>45</v>
      </c>
      <c r="B40" s="50">
        <f t="shared" si="2"/>
        <v>36</v>
      </c>
      <c r="C40" s="24">
        <f>IFERROR(VLOOKUP(A40,#REF!,12,FALSE),0)</f>
        <v>0</v>
      </c>
      <c r="D40" s="20">
        <f t="shared" si="5"/>
        <v>0</v>
      </c>
      <c r="E40" s="51" t="s">
        <v>19</v>
      </c>
      <c r="F40" s="26">
        <f t="shared" si="6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2"/>
        <v>36</v>
      </c>
      <c r="C41" s="27">
        <f>IFERROR(VLOOKUP(A41,#REF!,12,FALSE),0)</f>
        <v>0</v>
      </c>
      <c r="D41" s="28">
        <f t="shared" si="5"/>
        <v>0</v>
      </c>
      <c r="E41" s="36" t="s">
        <v>20</v>
      </c>
      <c r="F41" s="31">
        <f t="shared" si="6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2"/>
        <v>36</v>
      </c>
      <c r="C42" s="24">
        <f>IFERROR(VLOOKUP(A42,#REF!,12,FALSE),0)</f>
        <v>0</v>
      </c>
      <c r="D42" s="20">
        <f t="shared" si="5"/>
        <v>0</v>
      </c>
      <c r="E42" s="51" t="s">
        <v>25</v>
      </c>
      <c r="F42" s="26">
        <f t="shared" si="6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2"/>
        <v>36</v>
      </c>
      <c r="C43" s="27">
        <f>IFERROR(VLOOKUP(A43,#REF!,12,FALSE),0)</f>
        <v>0</v>
      </c>
      <c r="D43" s="28">
        <f t="shared" si="5"/>
        <v>0</v>
      </c>
      <c r="E43" s="36" t="s">
        <v>72</v>
      </c>
      <c r="F43" s="31">
        <f t="shared" si="6"/>
        <v>0</v>
      </c>
      <c r="G43" s="67"/>
      <c r="H43" s="67"/>
    </row>
    <row r="44" spans="1:25" ht="4.5" customHeight="1" x14ac:dyDescent="0.3">
      <c r="A44" s="241"/>
      <c r="B44" s="242"/>
      <c r="C44" s="242"/>
      <c r="D44" s="242"/>
      <c r="E44" s="242"/>
      <c r="F44" s="243"/>
    </row>
    <row r="45" spans="1:25" ht="34.15" customHeight="1" thickBot="1" x14ac:dyDescent="0.35">
      <c r="A45" s="171" t="s">
        <v>172</v>
      </c>
      <c r="B45" s="178">
        <f>B4</f>
        <v>36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25" ht="5.45" customHeight="1" thickBot="1" x14ac:dyDescent="0.35">
      <c r="A46" s="191"/>
      <c r="C46" s="38"/>
      <c r="D46" s="38"/>
      <c r="E46" s="38"/>
      <c r="F46" s="192"/>
    </row>
    <row r="47" spans="1:25" ht="25.35" customHeight="1" x14ac:dyDescent="0.3">
      <c r="A47" s="87" t="s">
        <v>3</v>
      </c>
      <c r="B47" s="57">
        <f>B4</f>
        <v>36</v>
      </c>
      <c r="C47" s="76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9">
        <f>IFERROR(ROUNDDOWN(F48/B4,0),"")</f>
        <v>0</v>
      </c>
      <c r="H48" s="90">
        <f>IFERROR(F48-(G48*B4),"")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3">
    <mergeCell ref="A1:F1"/>
    <mergeCell ref="B2:F2"/>
    <mergeCell ref="A44:F44"/>
  </mergeCells>
  <phoneticPr fontId="13" type="noConversion"/>
  <printOptions horizontalCentered="1" verticalCentered="1"/>
  <pageMargins left="0" right="0" top="0" bottom="0" header="0" footer="0"/>
  <pageSetup paperSize="9" scale="6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531D-A575-450F-BA08-29C4100A737D}">
  <sheetPr codeName="Sheet124">
    <tabColor rgb="FF7030A0"/>
    <pageSetUpPr fitToPage="1"/>
  </sheetPr>
  <dimension ref="A1:Y49"/>
  <sheetViews>
    <sheetView zoomScale="42" zoomScaleNormal="42" zoomScaleSheetLayoutView="75" workbookViewId="0">
      <selection activeCell="A2" sqref="A2:F48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9" style="34" customWidth="1"/>
    <col min="8" max="16384" width="9" style="34"/>
  </cols>
  <sheetData>
    <row r="1" spans="1:8" ht="25.9" customHeight="1" thickBot="1" x14ac:dyDescent="0.35">
      <c r="A1" s="253" t="s">
        <v>87</v>
      </c>
      <c r="B1" s="253"/>
      <c r="C1" s="253"/>
      <c r="D1" s="253"/>
      <c r="E1" s="253"/>
      <c r="F1" s="253"/>
    </row>
    <row r="2" spans="1:8" ht="25.9" customHeight="1" thickBot="1" x14ac:dyDescent="0.35">
      <c r="A2" s="60">
        <f ca="1">TODAY()</f>
        <v>46309</v>
      </c>
      <c r="B2" s="232" t="s">
        <v>174</v>
      </c>
      <c r="C2" s="232"/>
      <c r="D2" s="232"/>
      <c r="E2" s="232"/>
      <c r="F2" s="269"/>
      <c r="G2" s="65" t="s">
        <v>92</v>
      </c>
      <c r="H2" s="6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176</v>
      </c>
      <c r="D3" s="22" t="s">
        <v>2</v>
      </c>
      <c r="E3" s="35" t="s">
        <v>23</v>
      </c>
      <c r="F3" s="25" t="s">
        <v>14</v>
      </c>
      <c r="G3" s="67"/>
      <c r="H3" s="67"/>
    </row>
    <row r="4" spans="1:8" ht="25.35" customHeight="1" x14ac:dyDescent="0.3">
      <c r="A4" s="49" t="s">
        <v>46</v>
      </c>
      <c r="B4" s="50">
        <v>36</v>
      </c>
      <c r="C4" s="24">
        <f>IFERROR(VLOOKUP(A4,#REF!,13,FALSE),0)</f>
        <v>0</v>
      </c>
      <c r="D4" s="20">
        <f t="shared" ref="D4:D14" si="0">IFERROR(ROUNDDOWN(C4/B4,0),"")</f>
        <v>0</v>
      </c>
      <c r="E4" s="51" t="s">
        <v>106</v>
      </c>
      <c r="F4" s="26">
        <f t="shared" ref="F4:F14" si="1">IFERROR(C4-(D4*B4),"")</f>
        <v>0</v>
      </c>
      <c r="G4" s="70"/>
      <c r="H4" s="70"/>
    </row>
    <row r="5" spans="1:8" ht="25.35" customHeight="1" x14ac:dyDescent="0.3">
      <c r="A5" s="135" t="s">
        <v>56</v>
      </c>
      <c r="B5" s="114">
        <f>$B$4</f>
        <v>36</v>
      </c>
      <c r="C5" s="111">
        <f>IFERROR(VLOOKUP(A5,#REF!,13,FALSE),0)</f>
        <v>0</v>
      </c>
      <c r="D5" s="112">
        <f t="shared" si="0"/>
        <v>0</v>
      </c>
      <c r="E5" s="113" t="s">
        <v>107</v>
      </c>
      <c r="F5" s="134">
        <f t="shared" si="1"/>
        <v>0</v>
      </c>
      <c r="G5" s="68">
        <f>IFERROR(ROUNDDOWN(SUM($F$6:$F$14,$F$18:$F$43)/$B$4,0),"")</f>
        <v>0</v>
      </c>
      <c r="H5" s="69">
        <f>IFERROR(SUM($F$6:$F$14,F18:F43)-($G$5*$B$4),"")</f>
        <v>0</v>
      </c>
    </row>
    <row r="6" spans="1:8" ht="25.35" customHeight="1" x14ac:dyDescent="0.3">
      <c r="A6" s="49" t="s">
        <v>41</v>
      </c>
      <c r="B6" s="50">
        <f t="shared" ref="B6:B14" si="2">$B$4</f>
        <v>36</v>
      </c>
      <c r="C6" s="24">
        <f>IFERROR(VLOOKUP(A6,#REF!,13,FALSE),0)</f>
        <v>0</v>
      </c>
      <c r="D6" s="20">
        <f t="shared" si="0"/>
        <v>0</v>
      </c>
      <c r="E6" s="51" t="s">
        <v>118</v>
      </c>
      <c r="F6" s="26">
        <f t="shared" si="1"/>
        <v>0</v>
      </c>
      <c r="G6" s="67"/>
      <c r="H6" s="67"/>
    </row>
    <row r="7" spans="1:8" ht="25.35" customHeight="1" x14ac:dyDescent="0.3">
      <c r="A7" s="49" t="s">
        <v>62</v>
      </c>
      <c r="B7" s="50">
        <f t="shared" si="2"/>
        <v>36</v>
      </c>
      <c r="C7" s="24">
        <f>IFERROR(VLOOKUP(A7,#REF!,13,FALSE),0)</f>
        <v>0</v>
      </c>
      <c r="D7" s="20">
        <f t="shared" si="0"/>
        <v>0</v>
      </c>
      <c r="E7" s="51" t="s">
        <v>119</v>
      </c>
      <c r="F7" s="26">
        <f t="shared" si="1"/>
        <v>0</v>
      </c>
      <c r="G7" s="70"/>
      <c r="H7" s="70"/>
    </row>
    <row r="8" spans="1:8" ht="25.35" customHeight="1" x14ac:dyDescent="0.3">
      <c r="A8" s="135" t="s">
        <v>124</v>
      </c>
      <c r="B8" s="114">
        <f t="shared" si="2"/>
        <v>36</v>
      </c>
      <c r="C8" s="111">
        <f>IFERROR(VLOOKUP(A8,#REF!,13,FALSE),0)</f>
        <v>0</v>
      </c>
      <c r="D8" s="112">
        <f>IFERROR(ROUNDDOWN(C8/B8,0),"")</f>
        <v>0</v>
      </c>
      <c r="E8" s="113" t="s">
        <v>120</v>
      </c>
      <c r="F8" s="134">
        <f>IFERROR(C8-(D8*B8),"")</f>
        <v>0</v>
      </c>
      <c r="G8" s="68">
        <f>IFERROR(ROUNDDOWN(SUM($F$9:$F$14,$F$18:$F$43)/$B$4,0),"")</f>
        <v>0</v>
      </c>
      <c r="H8" s="69">
        <f>IFERROR(SUM($F$9:$F$14,F18:F43)-($G8*$B$4),"")</f>
        <v>0</v>
      </c>
    </row>
    <row r="9" spans="1:8" ht="25.35" customHeight="1" x14ac:dyDescent="0.3">
      <c r="A9" s="49" t="s">
        <v>90</v>
      </c>
      <c r="B9" s="50">
        <f>$B$4</f>
        <v>36</v>
      </c>
      <c r="C9" s="24">
        <f>IFERROR(VLOOKUP(A9,#REF!,13,FALSE),0)</f>
        <v>0</v>
      </c>
      <c r="D9" s="20">
        <f>IFERROR(ROUNDDOWN(C9/B9,0),"")</f>
        <v>0</v>
      </c>
      <c r="E9" s="51" t="s">
        <v>112</v>
      </c>
      <c r="F9" s="26">
        <f>IFERROR(C9-(D9*B9),"")</f>
        <v>0</v>
      </c>
      <c r="G9" s="67"/>
      <c r="H9" s="67"/>
    </row>
    <row r="10" spans="1:8" ht="25.35" customHeight="1" x14ac:dyDescent="0.3">
      <c r="A10" s="49" t="s">
        <v>91</v>
      </c>
      <c r="B10" s="50">
        <f>$B$4</f>
        <v>36</v>
      </c>
      <c r="C10" s="24">
        <f>IFERROR(VLOOKUP(A10,#REF!,13,FALSE),0)</f>
        <v>0</v>
      </c>
      <c r="D10" s="20">
        <f>IFERROR(ROUNDDOWN(C10/B10,0),"")</f>
        <v>0</v>
      </c>
      <c r="E10" s="51" t="s">
        <v>113</v>
      </c>
      <c r="F10" s="26">
        <f>IFERROR(C10-(D10*B10),"")</f>
        <v>0</v>
      </c>
      <c r="G10" s="200"/>
      <c r="H10" s="200"/>
    </row>
    <row r="11" spans="1:8" ht="25.35" customHeight="1" x14ac:dyDescent="0.3">
      <c r="A11" s="135" t="s">
        <v>52</v>
      </c>
      <c r="B11" s="114">
        <f>$B$4</f>
        <v>36</v>
      </c>
      <c r="C11" s="111">
        <f>IFERROR(VLOOKUP(A11,#REF!,13,FALSE),0)</f>
        <v>0</v>
      </c>
      <c r="D11" s="112">
        <f>IFERROR(ROUNDDOWN(C11/B11,0),"")</f>
        <v>0</v>
      </c>
      <c r="E11" s="113" t="s">
        <v>114</v>
      </c>
      <c r="F11" s="134">
        <f>IFERROR(C11-(D11*B11),"")</f>
        <v>0</v>
      </c>
      <c r="G11" s="198">
        <f>IFERROR(ROUNDDOWN(SUM($F$12:$F$14,F18:F43)/$B$4,0),"")</f>
        <v>0</v>
      </c>
      <c r="H11" s="199">
        <f>IFERROR(SUM($F$12:$F$14,F18:F43)-($G$11*$B$4),"")</f>
        <v>0</v>
      </c>
    </row>
    <row r="12" spans="1:8" ht="25.35" customHeight="1" x14ac:dyDescent="0.3">
      <c r="A12" s="49" t="s">
        <v>73</v>
      </c>
      <c r="B12" s="50">
        <f t="shared" si="2"/>
        <v>36</v>
      </c>
      <c r="C12" s="24">
        <f>IFERROR(VLOOKUP(A12,#REF!,13,FALSE),0)</f>
        <v>0</v>
      </c>
      <c r="D12" s="20">
        <f t="shared" si="0"/>
        <v>0</v>
      </c>
      <c r="E12" s="51" t="s">
        <v>22</v>
      </c>
      <c r="F12" s="26">
        <f t="shared" si="1"/>
        <v>0</v>
      </c>
      <c r="G12" s="67"/>
      <c r="H12" s="67"/>
    </row>
    <row r="13" spans="1:8" ht="25.35" customHeight="1" x14ac:dyDescent="0.3">
      <c r="A13" s="49" t="s">
        <v>74</v>
      </c>
      <c r="B13" s="50">
        <f t="shared" si="2"/>
        <v>36</v>
      </c>
      <c r="C13" s="24">
        <f>IFERROR(VLOOKUP(A13,#REF!,13,FALSE),0)</f>
        <v>0</v>
      </c>
      <c r="D13" s="20">
        <f t="shared" si="0"/>
        <v>0</v>
      </c>
      <c r="E13" s="51" t="s">
        <v>18</v>
      </c>
      <c r="F13" s="26">
        <f t="shared" si="1"/>
        <v>0</v>
      </c>
      <c r="G13" s="67"/>
      <c r="H13" s="67"/>
    </row>
    <row r="14" spans="1:8" ht="30" customHeight="1" x14ac:dyDescent="0.3">
      <c r="A14" s="135" t="s">
        <v>93</v>
      </c>
      <c r="B14" s="114">
        <f t="shared" si="2"/>
        <v>36</v>
      </c>
      <c r="C14" s="111">
        <f>IFERROR(VLOOKUP(A14,#REF!,13,FALSE),0)</f>
        <v>0</v>
      </c>
      <c r="D14" s="112">
        <f t="shared" si="0"/>
        <v>0</v>
      </c>
      <c r="E14" s="113" t="s">
        <v>98</v>
      </c>
      <c r="F14" s="134">
        <f t="shared" si="1"/>
        <v>0</v>
      </c>
      <c r="G14" s="68">
        <f>IFERROR(ROUNDDOWN(SUM($F$18:$F$43)/$B$4,0),"")</f>
        <v>0</v>
      </c>
      <c r="H14" s="69">
        <f>IFERROR(SUM($F$18:$F$43)-($G$14*$B$4),"")</f>
        <v>0</v>
      </c>
    </row>
    <row r="15" spans="1:8" ht="6" customHeight="1" x14ac:dyDescent="0.3">
      <c r="A15" s="271"/>
      <c r="B15" s="272"/>
      <c r="C15" s="272"/>
      <c r="D15" s="272"/>
      <c r="E15" s="272"/>
      <c r="F15" s="273"/>
    </row>
    <row r="16" spans="1:8" ht="25.35" customHeight="1" thickBot="1" x14ac:dyDescent="0.35">
      <c r="A16" s="94" t="s">
        <v>171</v>
      </c>
      <c r="B16" s="190">
        <f>B4</f>
        <v>36</v>
      </c>
      <c r="C16" s="96">
        <f>SUM($C$4:$C$14)</f>
        <v>0</v>
      </c>
      <c r="D16" s="96">
        <f>IFERROR(ROUNDDOWN(C16/B16,0),"")</f>
        <v>0</v>
      </c>
      <c r="E16" s="97"/>
      <c r="F16" s="98">
        <f>IFERROR(C16-(D16*B16),"")</f>
        <v>0</v>
      </c>
    </row>
    <row r="17" spans="1:8" ht="7.5" customHeight="1" thickBot="1" x14ac:dyDescent="0.35">
      <c r="A17" s="270"/>
      <c r="B17" s="270"/>
      <c r="C17" s="270"/>
      <c r="D17" s="270"/>
      <c r="E17" s="270"/>
      <c r="F17" s="270"/>
    </row>
    <row r="18" spans="1:8" ht="25.35" customHeight="1" x14ac:dyDescent="0.3">
      <c r="A18" s="172" t="s">
        <v>59</v>
      </c>
      <c r="B18" s="174">
        <f t="shared" ref="B18:B43" si="3">$B$4</f>
        <v>36</v>
      </c>
      <c r="C18" s="175">
        <f>IFERROR(VLOOKUP(A18,#REF!,13,FALSE),0)</f>
        <v>0</v>
      </c>
      <c r="D18" s="176">
        <f>IFERROR(ROUNDDOWN(C18/B18,0),"")</f>
        <v>0</v>
      </c>
      <c r="E18" s="173" t="s">
        <v>117</v>
      </c>
      <c r="F18" s="177">
        <f>IFERROR(C18-(D18*B18),"")</f>
        <v>0</v>
      </c>
      <c r="G18" s="70"/>
      <c r="H18" s="70"/>
    </row>
    <row r="19" spans="1:8" ht="25.35" customHeight="1" x14ac:dyDescent="0.3">
      <c r="A19" s="47" t="s">
        <v>48</v>
      </c>
      <c r="B19" s="37">
        <f t="shared" si="3"/>
        <v>36</v>
      </c>
      <c r="C19" s="27">
        <f>IFERROR(VLOOKUP(A19,#REF!,13,FALSE),0)</f>
        <v>0</v>
      </c>
      <c r="D19" s="28">
        <f>IFERROR(ROUNDDOWN(C19/B19,0),"")</f>
        <v>0</v>
      </c>
      <c r="E19" s="36" t="s">
        <v>115</v>
      </c>
      <c r="F19" s="31">
        <f>IFERROR(C19-(D19*B19),"")</f>
        <v>0</v>
      </c>
      <c r="G19" s="70"/>
      <c r="H19" s="70"/>
    </row>
    <row r="20" spans="1:8" ht="25.35" customHeight="1" x14ac:dyDescent="0.3">
      <c r="A20" s="52" t="s">
        <v>57</v>
      </c>
      <c r="B20" s="50">
        <f t="shared" si="3"/>
        <v>36</v>
      </c>
      <c r="C20" s="24">
        <f>IFERROR(VLOOKUP(A20,#REF!,13,FALSE),0)</f>
        <v>0</v>
      </c>
      <c r="D20" s="20">
        <f>IFERROR(ROUNDDOWN(C20/B20,0),"")</f>
        <v>0</v>
      </c>
      <c r="E20" s="51" t="s">
        <v>116</v>
      </c>
      <c r="F20" s="26">
        <f>IFERROR(C20-(D20*B20),"")</f>
        <v>0</v>
      </c>
      <c r="G20" s="68">
        <f>IFERROR(ROUNDDOWN(SUM($F$21:$F$43)/$B$4,0),"")</f>
        <v>0</v>
      </c>
      <c r="H20" s="69">
        <f>IFERROR(SUM($F$21:$F$43)-($G$20*$B$19),"")</f>
        <v>0</v>
      </c>
    </row>
    <row r="21" spans="1:8" ht="25.35" customHeight="1" x14ac:dyDescent="0.3">
      <c r="A21" s="47" t="s">
        <v>40</v>
      </c>
      <c r="B21" s="37">
        <f t="shared" si="3"/>
        <v>36</v>
      </c>
      <c r="C21" s="27">
        <f>IFERROR(VLOOKUP(A21,#REF!,13,FALSE),0)</f>
        <v>0</v>
      </c>
      <c r="D21" s="28">
        <f t="shared" ref="D21:D43" si="4">IFERROR(ROUNDDOWN(C21/B21,0),"")</f>
        <v>0</v>
      </c>
      <c r="E21" s="36" t="s">
        <v>16</v>
      </c>
      <c r="F21" s="31">
        <f t="shared" ref="F21:F43" si="5">IFERROR(C21-(D21*B21),"")</f>
        <v>0</v>
      </c>
      <c r="G21" s="67"/>
      <c r="H21" s="67"/>
    </row>
    <row r="22" spans="1:8" ht="25.35" customHeight="1" x14ac:dyDescent="0.3">
      <c r="A22" s="49" t="s">
        <v>38</v>
      </c>
      <c r="B22" s="50">
        <f t="shared" si="3"/>
        <v>36</v>
      </c>
      <c r="C22" s="24">
        <f>IFERROR(VLOOKUP(A22,#REF!,13,FALSE),0)</f>
        <v>0</v>
      </c>
      <c r="D22" s="20">
        <f t="shared" si="4"/>
        <v>0</v>
      </c>
      <c r="E22" s="51" t="s">
        <v>24</v>
      </c>
      <c r="F22" s="26">
        <f t="shared" si="5"/>
        <v>0</v>
      </c>
      <c r="G22" s="67"/>
      <c r="H22" s="67"/>
    </row>
    <row r="23" spans="1:8" ht="25.35" customHeight="1" x14ac:dyDescent="0.3">
      <c r="A23" s="46" t="s">
        <v>55</v>
      </c>
      <c r="B23" s="37">
        <f t="shared" si="3"/>
        <v>36</v>
      </c>
      <c r="C23" s="27">
        <f>IFERROR(VLOOKUP(A23,#REF!,13,FALSE),0)</f>
        <v>0</v>
      </c>
      <c r="D23" s="28">
        <f t="shared" si="4"/>
        <v>0</v>
      </c>
      <c r="E23" s="36" t="s">
        <v>21</v>
      </c>
      <c r="F23" s="31">
        <f t="shared" si="5"/>
        <v>0</v>
      </c>
      <c r="G23" s="68">
        <f>IFERROR(ROUNDDOWN(SUM($F$24:$F$43)/$B$4,0),"")</f>
        <v>0</v>
      </c>
      <c r="H23" s="69">
        <f>IFERROR(SUM($F$24:$F$43)-($G$23*$B$23),"")</f>
        <v>0</v>
      </c>
    </row>
    <row r="24" spans="1:8" ht="25.35" customHeight="1" x14ac:dyDescent="0.3">
      <c r="A24" s="49" t="s">
        <v>75</v>
      </c>
      <c r="B24" s="50">
        <f t="shared" si="3"/>
        <v>36</v>
      </c>
      <c r="C24" s="24">
        <f>IFERROR(VLOOKUP(A24,#REF!,13,FALSE),0)</f>
        <v>0</v>
      </c>
      <c r="D24" s="20">
        <f t="shared" si="4"/>
        <v>0</v>
      </c>
      <c r="E24" s="51" t="s">
        <v>78</v>
      </c>
      <c r="F24" s="26">
        <f t="shared" si="5"/>
        <v>0</v>
      </c>
      <c r="G24" s="67"/>
      <c r="H24" s="67"/>
    </row>
    <row r="25" spans="1:8" ht="25.35" customHeight="1" x14ac:dyDescent="0.3">
      <c r="A25" s="47" t="s">
        <v>76</v>
      </c>
      <c r="B25" s="37">
        <f t="shared" si="3"/>
        <v>36</v>
      </c>
      <c r="C25" s="27">
        <f>IFERROR(VLOOKUP(A25,#REF!,13,FALSE),0)</f>
        <v>0</v>
      </c>
      <c r="D25" s="28">
        <f t="shared" si="4"/>
        <v>0</v>
      </c>
      <c r="E25" s="36" t="s">
        <v>79</v>
      </c>
      <c r="F25" s="31">
        <f t="shared" si="5"/>
        <v>0</v>
      </c>
    </row>
    <row r="26" spans="1:8" ht="25.35" customHeight="1" x14ac:dyDescent="0.3">
      <c r="A26" s="49" t="s">
        <v>77</v>
      </c>
      <c r="B26" s="50">
        <f t="shared" si="3"/>
        <v>36</v>
      </c>
      <c r="C26" s="24">
        <f>IFERROR(VLOOKUP(A26,#REF!,13,FALSE),0)</f>
        <v>0</v>
      </c>
      <c r="D26" s="20">
        <f t="shared" si="4"/>
        <v>0</v>
      </c>
      <c r="E26" s="51" t="s">
        <v>80</v>
      </c>
      <c r="F26" s="26">
        <f t="shared" si="5"/>
        <v>0</v>
      </c>
      <c r="G26" s="68">
        <f>IFERROR(ROUNDDOWN(SUM($F$27:$F$43)/$B$4,0),"")</f>
        <v>0</v>
      </c>
      <c r="H26" s="69">
        <f>IFERROR(SUM($F$27:$F$43)-($G$26*$B$28),"")</f>
        <v>0</v>
      </c>
    </row>
    <row r="27" spans="1:8" ht="25.35" customHeight="1" x14ac:dyDescent="0.3">
      <c r="A27" s="47" t="s">
        <v>50</v>
      </c>
      <c r="B27" s="37">
        <f>$B$4</f>
        <v>36</v>
      </c>
      <c r="C27" s="27">
        <f>IFERROR(VLOOKUP(A27,#REF!,13,FALSE),0)</f>
        <v>0</v>
      </c>
      <c r="D27" s="28">
        <f t="shared" si="4"/>
        <v>0</v>
      </c>
      <c r="E27" s="36" t="s">
        <v>17</v>
      </c>
      <c r="F27" s="31">
        <f t="shared" si="5"/>
        <v>0</v>
      </c>
    </row>
    <row r="28" spans="1:8" ht="25.35" customHeight="1" x14ac:dyDescent="0.3">
      <c r="A28" s="49" t="s">
        <v>35</v>
      </c>
      <c r="B28" s="50">
        <f t="shared" si="3"/>
        <v>36</v>
      </c>
      <c r="C28" s="24">
        <f>IFERROR(VLOOKUP(A28,#REF!,13,FALSE),0)</f>
        <v>0</v>
      </c>
      <c r="D28" s="20">
        <f t="shared" si="4"/>
        <v>0</v>
      </c>
      <c r="E28" s="51" t="s">
        <v>10</v>
      </c>
      <c r="F28" s="26">
        <f t="shared" si="5"/>
        <v>0</v>
      </c>
      <c r="G28" s="70"/>
      <c r="H28" s="70"/>
    </row>
    <row r="29" spans="1:8" ht="25.35" customHeight="1" x14ac:dyDescent="0.3">
      <c r="A29" s="47" t="s">
        <v>51</v>
      </c>
      <c r="B29" s="37">
        <f t="shared" si="3"/>
        <v>36</v>
      </c>
      <c r="C29" s="27">
        <f>IFERROR(VLOOKUP(A29,#REF!,13,FALSE),0)</f>
        <v>0</v>
      </c>
      <c r="D29" s="28">
        <f t="shared" si="4"/>
        <v>0</v>
      </c>
      <c r="E29" s="36" t="s">
        <v>7</v>
      </c>
      <c r="F29" s="31">
        <f t="shared" si="5"/>
        <v>0</v>
      </c>
    </row>
    <row r="30" spans="1:8" ht="25.35" customHeight="1" x14ac:dyDescent="0.3">
      <c r="A30" s="49" t="s">
        <v>37</v>
      </c>
      <c r="B30" s="50">
        <f t="shared" si="3"/>
        <v>36</v>
      </c>
      <c r="C30" s="24">
        <f>IFERROR(VLOOKUP(A30,#REF!,13,FALSE),0)</f>
        <v>0</v>
      </c>
      <c r="D30" s="20">
        <f t="shared" si="4"/>
        <v>0</v>
      </c>
      <c r="E30" s="51" t="s">
        <v>12</v>
      </c>
      <c r="F30" s="26">
        <f t="shared" si="5"/>
        <v>0</v>
      </c>
      <c r="G30" s="70"/>
      <c r="H30" s="70"/>
    </row>
    <row r="31" spans="1:8" ht="25.35" customHeight="1" x14ac:dyDescent="0.3">
      <c r="A31" s="47" t="s">
        <v>101</v>
      </c>
      <c r="B31" s="37">
        <f t="shared" si="3"/>
        <v>36</v>
      </c>
      <c r="C31" s="27">
        <f>IFERROR(VLOOKUP(A31,#REF!,13,FALSE),0)</f>
        <v>0</v>
      </c>
      <c r="D31" s="28">
        <f t="shared" si="4"/>
        <v>0</v>
      </c>
      <c r="E31" s="36" t="s">
        <v>99</v>
      </c>
      <c r="F31" s="31">
        <f t="shared" si="5"/>
        <v>0</v>
      </c>
    </row>
    <row r="32" spans="1:8" ht="25.35" customHeight="1" x14ac:dyDescent="0.3">
      <c r="A32" s="49" t="s">
        <v>104</v>
      </c>
      <c r="B32" s="50">
        <f t="shared" si="3"/>
        <v>36</v>
      </c>
      <c r="C32" s="24">
        <f>IFERROR(VLOOKUP(A32,#REF!,13,FALSE),0)</f>
        <v>0</v>
      </c>
      <c r="D32" s="20">
        <f t="shared" si="4"/>
        <v>0</v>
      </c>
      <c r="E32" s="51" t="s">
        <v>102</v>
      </c>
      <c r="F32" s="26">
        <f t="shared" si="5"/>
        <v>0</v>
      </c>
    </row>
    <row r="33" spans="1:25" ht="25.35" customHeight="1" x14ac:dyDescent="0.3">
      <c r="A33" s="47" t="s">
        <v>58</v>
      </c>
      <c r="B33" s="37">
        <f t="shared" si="3"/>
        <v>36</v>
      </c>
      <c r="C33" s="27">
        <f>IFERROR(VLOOKUP(A33,#REF!,13,FALSE),0)</f>
        <v>0</v>
      </c>
      <c r="D33" s="28">
        <f t="shared" si="4"/>
        <v>0</v>
      </c>
      <c r="E33" s="36" t="s">
        <v>11</v>
      </c>
      <c r="F33" s="31">
        <f t="shared" si="5"/>
        <v>0</v>
      </c>
    </row>
    <row r="34" spans="1:25" ht="25.35" customHeight="1" x14ac:dyDescent="0.3">
      <c r="A34" s="49" t="s">
        <v>53</v>
      </c>
      <c r="B34" s="50">
        <f t="shared" si="3"/>
        <v>36</v>
      </c>
      <c r="C34" s="24">
        <f>IFERROR(VLOOKUP(A34,#REF!,13,FALSE),0)</f>
        <v>0</v>
      </c>
      <c r="D34" s="20">
        <f t="shared" si="4"/>
        <v>0</v>
      </c>
      <c r="E34" s="51" t="s">
        <v>6</v>
      </c>
      <c r="F34" s="26">
        <f t="shared" si="5"/>
        <v>0</v>
      </c>
    </row>
    <row r="35" spans="1:25" ht="25.35" customHeight="1" x14ac:dyDescent="0.3">
      <c r="A35" s="47" t="s">
        <v>71</v>
      </c>
      <c r="B35" s="37">
        <f t="shared" si="3"/>
        <v>36</v>
      </c>
      <c r="C35" s="27">
        <f>IFERROR(VLOOKUP(A35,#REF!,13,FALSE),0)</f>
        <v>0</v>
      </c>
      <c r="D35" s="28">
        <f t="shared" si="4"/>
        <v>0</v>
      </c>
      <c r="E35" s="36" t="s">
        <v>70</v>
      </c>
      <c r="F35" s="31">
        <f t="shared" si="5"/>
        <v>0</v>
      </c>
    </row>
    <row r="36" spans="1:25" ht="25.35" customHeight="1" x14ac:dyDescent="0.3">
      <c r="A36" s="52" t="s">
        <v>81</v>
      </c>
      <c r="B36" s="50">
        <f t="shared" si="3"/>
        <v>36</v>
      </c>
      <c r="C36" s="24">
        <f>IFERROR(VLOOKUP(A36,#REF!,13,FALSE),0)</f>
        <v>0</v>
      </c>
      <c r="D36" s="20">
        <f t="shared" si="4"/>
        <v>0</v>
      </c>
      <c r="E36" s="51" t="s">
        <v>96</v>
      </c>
      <c r="F36" s="26">
        <f t="shared" si="5"/>
        <v>0</v>
      </c>
      <c r="G36" s="67"/>
      <c r="H36" s="67"/>
    </row>
    <row r="37" spans="1:25" ht="25.35" customHeight="1" x14ac:dyDescent="0.3">
      <c r="A37" s="46" t="s">
        <v>82</v>
      </c>
      <c r="B37" s="37">
        <f t="shared" si="3"/>
        <v>36</v>
      </c>
      <c r="C37" s="27">
        <f>IFERROR(VLOOKUP(A37,#REF!,13,FALSE),0)</f>
        <v>0</v>
      </c>
      <c r="D37" s="28">
        <f t="shared" si="4"/>
        <v>0</v>
      </c>
      <c r="E37" s="36" t="s">
        <v>97</v>
      </c>
      <c r="F37" s="31">
        <f t="shared" si="5"/>
        <v>0</v>
      </c>
      <c r="G37" s="68">
        <f>IFERROR(ROUNDDOWN(SUM($F$38:$F$43)/$B$4,0),"")</f>
        <v>0</v>
      </c>
      <c r="H37" s="69">
        <f>IFERROR(SUM($F$38:$F$43)-($G$37*$B$28),"")</f>
        <v>0</v>
      </c>
      <c r="Y37" s="78"/>
    </row>
    <row r="38" spans="1:25" ht="25.35" customHeight="1" x14ac:dyDescent="0.3">
      <c r="A38" s="49" t="s">
        <v>54</v>
      </c>
      <c r="B38" s="50">
        <f t="shared" si="3"/>
        <v>36</v>
      </c>
      <c r="C38" s="24">
        <f>IFERROR(VLOOKUP(A38,#REF!,13,FALSE),0)</f>
        <v>0</v>
      </c>
      <c r="D38" s="20">
        <f t="shared" si="4"/>
        <v>0</v>
      </c>
      <c r="E38" s="51" t="s">
        <v>8</v>
      </c>
      <c r="F38" s="26">
        <f t="shared" si="5"/>
        <v>0</v>
      </c>
    </row>
    <row r="39" spans="1:25" ht="25.35" customHeight="1" x14ac:dyDescent="0.3">
      <c r="A39" s="47" t="s">
        <v>60</v>
      </c>
      <c r="B39" s="37">
        <f t="shared" si="3"/>
        <v>36</v>
      </c>
      <c r="C39" s="27">
        <f>IFERROR(VLOOKUP(A39,#REF!,13,FALSE),0)</f>
        <v>0</v>
      </c>
      <c r="D39" s="28">
        <f t="shared" si="4"/>
        <v>0</v>
      </c>
      <c r="E39" s="36" t="s">
        <v>9</v>
      </c>
      <c r="F39" s="31">
        <f t="shared" si="5"/>
        <v>0</v>
      </c>
    </row>
    <row r="40" spans="1:25" ht="25.35" customHeight="1" x14ac:dyDescent="0.3">
      <c r="A40" s="49" t="s">
        <v>45</v>
      </c>
      <c r="B40" s="50">
        <f t="shared" si="3"/>
        <v>36</v>
      </c>
      <c r="C40" s="24">
        <f>IFERROR(VLOOKUP(A40,#REF!,13,FALSE),0)</f>
        <v>0</v>
      </c>
      <c r="D40" s="20">
        <f t="shared" si="4"/>
        <v>0</v>
      </c>
      <c r="E40" s="51" t="s">
        <v>19</v>
      </c>
      <c r="F40" s="26">
        <f t="shared" si="5"/>
        <v>0</v>
      </c>
      <c r="G40" s="67"/>
      <c r="H40" s="67"/>
      <c r="Y40" s="78"/>
    </row>
    <row r="41" spans="1:25" ht="25.35" customHeight="1" x14ac:dyDescent="0.3">
      <c r="A41" s="47" t="s">
        <v>39</v>
      </c>
      <c r="B41" s="37">
        <f t="shared" si="3"/>
        <v>36</v>
      </c>
      <c r="C41" s="27">
        <f>IFERROR(VLOOKUP(A41,#REF!,13,FALSE),0)</f>
        <v>0</v>
      </c>
      <c r="D41" s="28">
        <f t="shared" si="4"/>
        <v>0</v>
      </c>
      <c r="E41" s="36" t="s">
        <v>20</v>
      </c>
      <c r="F41" s="31">
        <f t="shared" si="5"/>
        <v>0</v>
      </c>
      <c r="G41" s="67"/>
      <c r="H41" s="67"/>
    </row>
    <row r="42" spans="1:25" ht="25.35" customHeight="1" x14ac:dyDescent="0.3">
      <c r="A42" s="52" t="s">
        <v>85</v>
      </c>
      <c r="B42" s="50">
        <f t="shared" si="3"/>
        <v>36</v>
      </c>
      <c r="C42" s="24">
        <f>IFERROR(VLOOKUP(A42,#REF!,13,FALSE),0)</f>
        <v>0</v>
      </c>
      <c r="D42" s="20">
        <f t="shared" si="4"/>
        <v>0</v>
      </c>
      <c r="E42" s="51" t="s">
        <v>25</v>
      </c>
      <c r="F42" s="26">
        <f t="shared" si="5"/>
        <v>0</v>
      </c>
      <c r="G42" s="67"/>
      <c r="H42" s="67"/>
    </row>
    <row r="43" spans="1:25" ht="25.35" customHeight="1" x14ac:dyDescent="0.3">
      <c r="A43" s="46" t="s">
        <v>86</v>
      </c>
      <c r="B43" s="37">
        <f t="shared" si="3"/>
        <v>36</v>
      </c>
      <c r="C43" s="27">
        <f>IFERROR(VLOOKUP(A43,#REF!,13,FALSE),0)</f>
        <v>0</v>
      </c>
      <c r="D43" s="28">
        <f t="shared" si="4"/>
        <v>0</v>
      </c>
      <c r="E43" s="36" t="s">
        <v>72</v>
      </c>
      <c r="F43" s="31">
        <f t="shared" si="5"/>
        <v>0</v>
      </c>
      <c r="G43" s="67"/>
      <c r="H43" s="67"/>
    </row>
    <row r="44" spans="1:25" ht="10.5" customHeight="1" thickBot="1" x14ac:dyDescent="0.35">
      <c r="A44" s="238"/>
      <c r="B44" s="239"/>
      <c r="C44" s="239"/>
      <c r="D44" s="239"/>
      <c r="E44" s="239"/>
      <c r="F44" s="240"/>
    </row>
    <row r="45" spans="1:25" ht="25.35" customHeight="1" thickBot="1" x14ac:dyDescent="0.35">
      <c r="A45" s="136" t="s">
        <v>172</v>
      </c>
      <c r="B45" s="189">
        <f>B20</f>
        <v>36</v>
      </c>
      <c r="C45" s="138">
        <f>SUM($C$18:$C$43)</f>
        <v>0</v>
      </c>
      <c r="D45" s="138">
        <f>IFERROR(ROUNDDOWN(C45/B45,0),"")</f>
        <v>0</v>
      </c>
      <c r="E45" s="139"/>
      <c r="F45" s="140">
        <f>IFERROR(C45-(D45*B45),"")</f>
        <v>0</v>
      </c>
    </row>
    <row r="46" spans="1:25" ht="9" customHeight="1" thickBot="1" x14ac:dyDescent="0.35">
      <c r="A46" s="270"/>
      <c r="B46" s="270"/>
      <c r="C46" s="270"/>
      <c r="D46" s="270"/>
      <c r="E46" s="270"/>
      <c r="F46" s="270"/>
    </row>
    <row r="47" spans="1:25" ht="25.35" customHeight="1" x14ac:dyDescent="0.3">
      <c r="A47" s="115" t="s">
        <v>3</v>
      </c>
      <c r="B47" s="116">
        <f>B27</f>
        <v>36</v>
      </c>
      <c r="C47" s="188">
        <f>SUM($C$16,$C$45)</f>
        <v>0</v>
      </c>
      <c r="D47" s="117">
        <f>IFERROR(ROUNDDOWN(C47/B47,0),"")</f>
        <v>0</v>
      </c>
      <c r="E47" s="118"/>
      <c r="F47" s="145">
        <f>IFERROR(C47-(D47*B47),"")</f>
        <v>0</v>
      </c>
      <c r="G47" s="170" t="s">
        <v>110</v>
      </c>
      <c r="H47" s="88" t="s">
        <v>111</v>
      </c>
    </row>
    <row r="48" spans="1:25" ht="24.75" customHeight="1" thickBot="1" x14ac:dyDescent="0.35">
      <c r="A48" s="42" t="s">
        <v>36</v>
      </c>
      <c r="B48" s="43" t="s">
        <v>173</v>
      </c>
      <c r="C48" s="40"/>
      <c r="D48" s="41">
        <f>SUM($D$4:$D$14,D18:D43)</f>
        <v>0</v>
      </c>
      <c r="E48" s="48"/>
      <c r="F48" s="93">
        <f>SUM($F$4:$F$14,$F$18:$F$43)</f>
        <v>0</v>
      </c>
      <c r="G48" s="201">
        <f>IFERROR(ROUNDDOWN($F$48/$B$4,0),"")</f>
        <v>0</v>
      </c>
      <c r="H48" s="161">
        <f>IFERROR($F$48-($G$48*$B$4),"")</f>
        <v>0</v>
      </c>
    </row>
    <row r="49" spans="7:8" ht="25.5" customHeight="1" x14ac:dyDescent="0.3">
      <c r="G49" s="197" t="s">
        <v>177</v>
      </c>
      <c r="H49" s="202" t="s">
        <v>173</v>
      </c>
    </row>
  </sheetData>
  <mergeCells count="6">
    <mergeCell ref="A46:F46"/>
    <mergeCell ref="A1:F1"/>
    <mergeCell ref="B2:F2"/>
    <mergeCell ref="A15:F15"/>
    <mergeCell ref="A17:F17"/>
    <mergeCell ref="A44:F44"/>
  </mergeCells>
  <phoneticPr fontId="13" type="noConversion"/>
  <printOptions horizontalCentered="1" verticalCentered="1"/>
  <pageMargins left="0" right="0" top="0" bottom="0" header="0" footer="0"/>
  <pageSetup paperSize="9" scale="68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71B2-59D8-40C5-BF12-3D4575C8668C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178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37">
        <v>40</v>
      </c>
      <c r="C4" s="27">
        <f>IFERROR(VLOOKUP(A4,#REF!,2,FALSE),0)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40</v>
      </c>
      <c r="C5" s="24">
        <f>IFERROR(VLOOKUP(A5,#REF!,2,FALSE),0)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137</v>
      </c>
      <c r="B6" s="37">
        <f t="shared" ref="B6:B43" si="2">$B$4</f>
        <v>40</v>
      </c>
      <c r="C6" s="27">
        <f>IFERROR(VLOOKUP(A6,#REF!,2,FALSE),0)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40</v>
      </c>
      <c r="C7" s="24">
        <f>IFERROR(VLOOKUP(A7,#REF!,2,FALSE),0)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40</v>
      </c>
      <c r="C8" s="27">
        <f>IFERROR(VLOOKUP(A8,#REF!,2,FALSE),0)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40</v>
      </c>
      <c r="C9" s="24">
        <f>IFERROR(VLOOKUP(A9,#REF!,2,FALSE),0)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40</v>
      </c>
      <c r="C10" s="27">
        <f>IFERROR(VLOOKUP(A10,#REF!,2,FALSE),0)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40</v>
      </c>
      <c r="C11" s="24">
        <f>IFERROR(VLOOKUP(A11,#REF!,2,FALSE),0)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6" t="s">
        <v>146</v>
      </c>
      <c r="B12" s="37">
        <f t="shared" si="2"/>
        <v>40</v>
      </c>
      <c r="C12" s="27">
        <f>IFERROR(VLOOKUP(A12,#REF!,2,FALSE),0)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147</v>
      </c>
      <c r="B13" s="50">
        <f t="shared" si="2"/>
        <v>40</v>
      </c>
      <c r="C13" s="24">
        <f>IFERROR(VLOOKUP(A13,#REF!,2,FALSE),0)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40</v>
      </c>
      <c r="C14" s="27">
        <f>IFERROR(VLOOKUP(A14,#REF!,2,FALSE),0)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40</v>
      </c>
      <c r="C15" s="24">
        <f>IFERROR(VLOOKUP(A15,#REF!,2,FALSE),0)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141</v>
      </c>
      <c r="B16" s="37">
        <f t="shared" si="2"/>
        <v>40</v>
      </c>
      <c r="C16" s="27">
        <f>IFERROR(VLOOKUP(A16,#REF!,2,FALSE),0)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40</v>
      </c>
      <c r="C17" s="24">
        <f>IFERROR(VLOOKUP(A17,#REF!,2,FALSE),0)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7" t="s">
        <v>140</v>
      </c>
      <c r="B18" s="37">
        <f t="shared" si="2"/>
        <v>40</v>
      </c>
      <c r="C18" s="27">
        <f>IFERROR(VLOOKUP(A18,#REF!,2,FALSE),0)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170</v>
      </c>
      <c r="B22" s="174">
        <f t="shared" si="2"/>
        <v>40</v>
      </c>
      <c r="C22" s="175">
        <f>IFERROR(VLOOKUP(A22,#REF!,2,FALSE),0)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206" t="s">
        <v>150</v>
      </c>
      <c r="B23" s="37">
        <f t="shared" si="2"/>
        <v>40</v>
      </c>
      <c r="C23" s="27">
        <f>IFERROR(VLOOKUP(A23,#REF!,2,FALSE),0)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52" t="s">
        <v>155</v>
      </c>
      <c r="B24" s="160">
        <f t="shared" si="2"/>
        <v>40</v>
      </c>
      <c r="C24" s="184">
        <f>IFERROR(VLOOKUP(A24,#REF!,2,FALSE),0)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6" t="s">
        <v>156</v>
      </c>
      <c r="B25" s="37">
        <f t="shared" si="2"/>
        <v>40</v>
      </c>
      <c r="C25" s="27">
        <f>IFERROR(VLOOKUP(A25,#REF!,2,FALSE),0)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40</v>
      </c>
      <c r="C26" s="24">
        <f>IFERROR(VLOOKUP(A26,#REF!,2,FALSE),0)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40</v>
      </c>
      <c r="C27" s="27">
        <f>IFERROR(VLOOKUP(A27,#REF!,2,FALSE),0)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40</v>
      </c>
      <c r="C28" s="24">
        <f>IFERROR(VLOOKUP(A28,#REF!,2,FALSE),0)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153</v>
      </c>
      <c r="B29" s="37">
        <f t="shared" si="2"/>
        <v>40</v>
      </c>
      <c r="C29" s="27">
        <f>IFERROR(VLOOKUP(A29,#REF!,2,FALSE),0)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154</v>
      </c>
      <c r="B30" s="50">
        <f t="shared" si="2"/>
        <v>40</v>
      </c>
      <c r="C30" s="24">
        <f>IFERROR(VLOOKUP(A30,#REF!,2,FALSE),0)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7" t="s">
        <v>151</v>
      </c>
      <c r="B31" s="37">
        <f t="shared" si="2"/>
        <v>40</v>
      </c>
      <c r="C31" s="27">
        <f>IFERROR(VLOOKUP(A31,#REF!,2,FALSE),0)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49" t="s">
        <v>152</v>
      </c>
      <c r="B32" s="50">
        <f t="shared" si="2"/>
        <v>40</v>
      </c>
      <c r="C32" s="24">
        <f>IFERROR(VLOOKUP(A32,#REF!,2,FALSE),0)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168</v>
      </c>
      <c r="B33" s="37">
        <f t="shared" si="2"/>
        <v>40</v>
      </c>
      <c r="C33" s="27">
        <f>IFERROR(VLOOKUP(A33,#REF!,2,FALSE),0)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169</v>
      </c>
      <c r="B34" s="50">
        <f t="shared" si="2"/>
        <v>40</v>
      </c>
      <c r="C34" s="24">
        <f>IFERROR(VLOOKUP(A34,#REF!,2,FALSE),0)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223</v>
      </c>
      <c r="B35" s="37">
        <f t="shared" si="2"/>
        <v>40</v>
      </c>
      <c r="C35" s="27">
        <f>IFERROR(VLOOKUP(A35,#REF!,2,FALSE),0)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160</v>
      </c>
      <c r="B36" s="50">
        <f t="shared" si="2"/>
        <v>40</v>
      </c>
      <c r="C36" s="24">
        <f>IFERROR(VLOOKUP(A36,#REF!,2,FALSE),0)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161</v>
      </c>
      <c r="B37" s="37">
        <f t="shared" si="2"/>
        <v>40</v>
      </c>
      <c r="C37" s="27">
        <f>IFERROR(VLOOKUP(A37,#REF!,2,FALSE),0)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162</v>
      </c>
      <c r="B38" s="50">
        <f t="shared" si="2"/>
        <v>40</v>
      </c>
      <c r="C38" s="24">
        <f>IFERROR(VLOOKUP(A38,#REF!,2,FALSE),0)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6" t="s">
        <v>163</v>
      </c>
      <c r="B39" s="37">
        <f t="shared" si="2"/>
        <v>40</v>
      </c>
      <c r="C39" s="27">
        <f>IFERROR(VLOOKUP(A39,#REF!,2,FALSE),0)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52" t="s">
        <v>164</v>
      </c>
      <c r="B40" s="50">
        <f t="shared" si="2"/>
        <v>40</v>
      </c>
      <c r="C40" s="24">
        <f>IFERROR(VLOOKUP(A40,#REF!,2,FALSE),0)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40</v>
      </c>
      <c r="C41" s="27">
        <f>IFERROR(VLOOKUP(A41,#REF!,2,FALSE),0)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49" t="s">
        <v>166</v>
      </c>
      <c r="B42" s="50">
        <f t="shared" si="2"/>
        <v>40</v>
      </c>
      <c r="C42" s="24">
        <f>IFERROR(VLOOKUP(A42,#REF!,2,FALSE),0)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7" t="s">
        <v>167</v>
      </c>
      <c r="B43" s="37">
        <f t="shared" si="2"/>
        <v>40</v>
      </c>
      <c r="C43" s="27">
        <f>IFERROR(VLOOKUP(A43,#REF!,2,FALSE),0)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3688-7C40-4217-BC84-34426D639740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179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206</v>
      </c>
      <c r="B4" s="37">
        <v>40</v>
      </c>
      <c r="C4" s="27">
        <f>IFERROR(VLOOKUP(A4,#REF!,3,FALSE),0)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212</v>
      </c>
      <c r="B5" s="50">
        <f>$B$4</f>
        <v>40</v>
      </c>
      <c r="C5" s="24">
        <f>IFERROR(VLOOKUP(A5,#REF!,3,FALSE),0)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199</v>
      </c>
      <c r="B6" s="37">
        <f t="shared" ref="B6:B43" si="2">$B$4</f>
        <v>40</v>
      </c>
      <c r="C6" s="27">
        <f>IFERROR(VLOOKUP(A6,#REF!,3,FALSE),0)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198</v>
      </c>
      <c r="B7" s="50">
        <f t="shared" si="2"/>
        <v>40</v>
      </c>
      <c r="C7" s="24">
        <f>IFERROR(VLOOKUP(A7,#REF!,3,FALSE),0)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207</v>
      </c>
      <c r="B8" s="37">
        <f t="shared" si="2"/>
        <v>40</v>
      </c>
      <c r="C8" s="27">
        <f>IFERROR(VLOOKUP(A8,#REF!,3,FALSE),0)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188</v>
      </c>
      <c r="B9" s="50">
        <f t="shared" si="2"/>
        <v>40</v>
      </c>
      <c r="C9" s="24">
        <f>IFERROR(VLOOKUP(A9,#REF!,3,FALSE),0)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224</v>
      </c>
      <c r="B10" s="37">
        <f t="shared" si="2"/>
        <v>40</v>
      </c>
      <c r="C10" s="27">
        <f>IFERROR(VLOOKUP(A10,#REF!,3,FALSE),0)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205</v>
      </c>
      <c r="B11" s="50">
        <f t="shared" si="2"/>
        <v>40</v>
      </c>
      <c r="C11" s="24">
        <f>IFERROR(VLOOKUP(A11,#REF!,3,FALSE),0)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204</v>
      </c>
      <c r="B12" s="37">
        <f t="shared" si="2"/>
        <v>40</v>
      </c>
      <c r="C12" s="27">
        <f>IFERROR(VLOOKUP(A12,#REF!,3,FALSE),0)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218</v>
      </c>
      <c r="B13" s="50">
        <f t="shared" si="2"/>
        <v>40</v>
      </c>
      <c r="C13" s="24">
        <f>IFERROR(VLOOKUP(A13,#REF!,3,FALSE),0)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213</v>
      </c>
      <c r="B14" s="37">
        <f t="shared" si="2"/>
        <v>40</v>
      </c>
      <c r="C14" s="27">
        <f>IFERROR(VLOOKUP(A14,#REF!,3,FALSE),0)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189</v>
      </c>
      <c r="B15" s="50">
        <f t="shared" si="2"/>
        <v>40</v>
      </c>
      <c r="C15" s="24">
        <f>IFERROR(VLOOKUP(A15,#REF!,3,FALSE),0)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208</v>
      </c>
      <c r="B16" s="37">
        <f t="shared" si="2"/>
        <v>40</v>
      </c>
      <c r="C16" s="27">
        <f>IFERROR(VLOOKUP(A16,#REF!,3,FALSE),0)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196</v>
      </c>
      <c r="B17" s="50">
        <f t="shared" si="2"/>
        <v>40</v>
      </c>
      <c r="C17" s="24">
        <f>IFERROR(VLOOKUP(A17,#REF!,3,FALSE),0)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195</v>
      </c>
      <c r="B18" s="37">
        <f t="shared" si="2"/>
        <v>40</v>
      </c>
      <c r="C18" s="27">
        <f>IFERROR(VLOOKUP(A18,#REF!,3,FALSE),0)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217</v>
      </c>
      <c r="B22" s="174">
        <f t="shared" si="2"/>
        <v>40</v>
      </c>
      <c r="C22" s="175">
        <f>IFERROR(VLOOKUP(A22,#REF!,3,FALSE),0)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46" t="s">
        <v>187</v>
      </c>
      <c r="B23" s="37">
        <f t="shared" si="2"/>
        <v>40</v>
      </c>
      <c r="C23" s="27">
        <f>IFERROR(VLOOKUP(A23,#REF!,3,FALSE),0)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215</v>
      </c>
      <c r="B24" s="160">
        <f t="shared" si="2"/>
        <v>40</v>
      </c>
      <c r="C24" s="184">
        <f>IFERROR(VLOOKUP(A24,#REF!,3,FALSE),0)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7" t="s">
        <v>214</v>
      </c>
      <c r="B25" s="37">
        <f t="shared" si="2"/>
        <v>40</v>
      </c>
      <c r="C25" s="27">
        <f>IFERROR(VLOOKUP(A25,#REF!,3,FALSE),0)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190</v>
      </c>
      <c r="B26" s="50">
        <f t="shared" si="2"/>
        <v>40</v>
      </c>
      <c r="C26" s="24">
        <f>IFERROR(VLOOKUP(A26,#REF!,3,FALSE),0)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197</v>
      </c>
      <c r="B27" s="37">
        <f t="shared" si="2"/>
        <v>40</v>
      </c>
      <c r="C27" s="27">
        <f>IFERROR(VLOOKUP(A27,#REF!,3,FALSE),0)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216</v>
      </c>
      <c r="B28" s="50">
        <f t="shared" si="2"/>
        <v>40</v>
      </c>
      <c r="C28" s="24">
        <f>IFERROR(VLOOKUP(A28,#REF!,3,FALSE),0)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192</v>
      </c>
      <c r="B29" s="37">
        <f t="shared" si="2"/>
        <v>40</v>
      </c>
      <c r="C29" s="27">
        <f>IFERROR(VLOOKUP(A29,#REF!,3,FALSE),0)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191</v>
      </c>
      <c r="B30" s="50">
        <f t="shared" si="2"/>
        <v>40</v>
      </c>
      <c r="C30" s="24">
        <f>IFERROR(VLOOKUP(A30,#REF!,3,FALSE),0)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210</v>
      </c>
      <c r="B31" s="37">
        <f t="shared" si="2"/>
        <v>40</v>
      </c>
      <c r="C31" s="27">
        <f>IFERROR(VLOOKUP(A31,#REF!,3,FALSE),0)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209</v>
      </c>
      <c r="B32" s="50">
        <f t="shared" si="2"/>
        <v>40</v>
      </c>
      <c r="C32" s="24">
        <f>IFERROR(VLOOKUP(A32,#REF!,3,FALSE),0)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219</v>
      </c>
      <c r="B33" s="37">
        <f t="shared" si="2"/>
        <v>40</v>
      </c>
      <c r="C33" s="27">
        <f>IFERROR(VLOOKUP(A33,#REF!,3,FALSE),0)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220</v>
      </c>
      <c r="B34" s="50">
        <f t="shared" si="2"/>
        <v>40</v>
      </c>
      <c r="C34" s="24">
        <f>IFERROR(VLOOKUP(A34,#REF!,3,FALSE),0)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211</v>
      </c>
      <c r="B35" s="37">
        <f t="shared" si="2"/>
        <v>40</v>
      </c>
      <c r="C35" s="27">
        <f>IFERROR(VLOOKUP(A35,#REF!,3,FALSE),0)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222</v>
      </c>
      <c r="B36" s="50">
        <f t="shared" si="2"/>
        <v>40</v>
      </c>
      <c r="C36" s="24">
        <f>IFERROR(VLOOKUP(A36,#REF!,3,FALSE),0)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221</v>
      </c>
      <c r="B37" s="37">
        <f t="shared" si="2"/>
        <v>40</v>
      </c>
      <c r="C37" s="27">
        <f>IFERROR(VLOOKUP(A37,#REF!,3,FALSE),0)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201</v>
      </c>
      <c r="B38" s="50">
        <f t="shared" si="2"/>
        <v>40</v>
      </c>
      <c r="C38" s="24">
        <f>IFERROR(VLOOKUP(A38,#REF!,3,FALSE),0)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200</v>
      </c>
      <c r="B39" s="37">
        <f t="shared" si="2"/>
        <v>40</v>
      </c>
      <c r="C39" s="27">
        <f>IFERROR(VLOOKUP(A39,#REF!,3,FALSE),0)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203</v>
      </c>
      <c r="B40" s="50">
        <f t="shared" si="2"/>
        <v>40</v>
      </c>
      <c r="C40" s="24">
        <f>IFERROR(VLOOKUP(A40,#REF!,3,FALSE),0)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202</v>
      </c>
      <c r="B41" s="37">
        <f t="shared" si="2"/>
        <v>40</v>
      </c>
      <c r="C41" s="27">
        <f>IFERROR(VLOOKUP(A41,#REF!,3,FALSE),0)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194</v>
      </c>
      <c r="B42" s="50">
        <f t="shared" si="2"/>
        <v>40</v>
      </c>
      <c r="C42" s="24">
        <f>IFERROR(VLOOKUP(A42,#REF!,3,FALSE),0)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193</v>
      </c>
      <c r="B43" s="37">
        <f t="shared" si="2"/>
        <v>40</v>
      </c>
      <c r="C43" s="27">
        <f>IFERROR(VLOOKUP(A43,#REF!,3,FALSE),0)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226A-6F21-40E6-8026-E5A9513FE8D7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180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206</v>
      </c>
      <c r="B4" s="37">
        <v>40</v>
      </c>
      <c r="C4" s="27">
        <f>IFERROR(VLOOKUP(A4,#REF!,4,FALSE),0)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212</v>
      </c>
      <c r="B5" s="50">
        <f>$B$4</f>
        <v>40</v>
      </c>
      <c r="C5" s="24">
        <f>IFERROR(VLOOKUP(A5,#REF!,4,FALSE),0)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199</v>
      </c>
      <c r="B6" s="37">
        <f t="shared" ref="B6:B43" si="2">$B$4</f>
        <v>40</v>
      </c>
      <c r="C6" s="27">
        <f>IFERROR(VLOOKUP(A6,#REF!,4,FALSE),0)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198</v>
      </c>
      <c r="B7" s="50">
        <f t="shared" si="2"/>
        <v>40</v>
      </c>
      <c r="C7" s="24">
        <f>IFERROR(VLOOKUP(A7,#REF!,4,FALSE),0)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207</v>
      </c>
      <c r="B8" s="37">
        <f t="shared" si="2"/>
        <v>40</v>
      </c>
      <c r="C8" s="27">
        <f>IFERROR(VLOOKUP(A8,#REF!,4,FALSE),0)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188</v>
      </c>
      <c r="B9" s="50">
        <f t="shared" si="2"/>
        <v>40</v>
      </c>
      <c r="C9" s="24">
        <f>IFERROR(VLOOKUP(A9,#REF!,4,FALSE),0)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224</v>
      </c>
      <c r="B10" s="37">
        <f t="shared" si="2"/>
        <v>40</v>
      </c>
      <c r="C10" s="27">
        <f>IFERROR(VLOOKUP(A10,#REF!,4,FALSE),0)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205</v>
      </c>
      <c r="B11" s="50">
        <f t="shared" si="2"/>
        <v>40</v>
      </c>
      <c r="C11" s="24">
        <f>IFERROR(VLOOKUP(A11,#REF!,4,FALSE),0)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204</v>
      </c>
      <c r="B12" s="37">
        <f t="shared" si="2"/>
        <v>40</v>
      </c>
      <c r="C12" s="27">
        <f>IFERROR(VLOOKUP(A12,#REF!,4,FALSE),0)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218</v>
      </c>
      <c r="B13" s="50">
        <f t="shared" si="2"/>
        <v>40</v>
      </c>
      <c r="C13" s="24">
        <f>IFERROR(VLOOKUP(A13,#REF!,4,FALSE),0)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213</v>
      </c>
      <c r="B14" s="37">
        <f t="shared" si="2"/>
        <v>40</v>
      </c>
      <c r="C14" s="27">
        <f>IFERROR(VLOOKUP(A14,#REF!,4,FALSE),0)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189</v>
      </c>
      <c r="B15" s="50">
        <f t="shared" si="2"/>
        <v>40</v>
      </c>
      <c r="C15" s="24">
        <f>IFERROR(VLOOKUP(A15,#REF!,4,FALSE),0)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208</v>
      </c>
      <c r="B16" s="37">
        <f t="shared" si="2"/>
        <v>40</v>
      </c>
      <c r="C16" s="27">
        <f>IFERROR(VLOOKUP(A16,#REF!,4,FALSE),0)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196</v>
      </c>
      <c r="B17" s="50">
        <f t="shared" si="2"/>
        <v>40</v>
      </c>
      <c r="C17" s="24">
        <f>IFERROR(VLOOKUP(A17,#REF!,4,FALSE),0)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195</v>
      </c>
      <c r="B18" s="37">
        <f t="shared" si="2"/>
        <v>40</v>
      </c>
      <c r="C18" s="27">
        <f>IFERROR(VLOOKUP(A18,#REF!,4,FALSE),0)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217</v>
      </c>
      <c r="B22" s="174">
        <f t="shared" si="2"/>
        <v>40</v>
      </c>
      <c r="C22" s="175">
        <f>IFERROR(VLOOKUP(A22,#REF!,4,FALSE),0)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46" t="s">
        <v>187</v>
      </c>
      <c r="B23" s="37">
        <f t="shared" si="2"/>
        <v>40</v>
      </c>
      <c r="C23" s="27">
        <f>IFERROR(VLOOKUP(A23,#REF!,4,FALSE),0)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215</v>
      </c>
      <c r="B24" s="160">
        <f t="shared" si="2"/>
        <v>40</v>
      </c>
      <c r="C24" s="184">
        <f>IFERROR(VLOOKUP(A24,#REF!,4,FALSE),0)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7" t="s">
        <v>214</v>
      </c>
      <c r="B25" s="37">
        <f t="shared" si="2"/>
        <v>40</v>
      </c>
      <c r="C25" s="27">
        <f>IFERROR(VLOOKUP(A25,#REF!,4,FALSE),0)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190</v>
      </c>
      <c r="B26" s="50">
        <f t="shared" si="2"/>
        <v>40</v>
      </c>
      <c r="C26" s="24">
        <f>IFERROR(VLOOKUP(A26,#REF!,4,FALSE),0)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197</v>
      </c>
      <c r="B27" s="37">
        <f t="shared" si="2"/>
        <v>40</v>
      </c>
      <c r="C27" s="27">
        <f>IFERROR(VLOOKUP(A27,#REF!,4,FALSE),0)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216</v>
      </c>
      <c r="B28" s="50">
        <f t="shared" si="2"/>
        <v>40</v>
      </c>
      <c r="C28" s="24">
        <f>IFERROR(VLOOKUP(A28,#REF!,4,FALSE),0)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192</v>
      </c>
      <c r="B29" s="37">
        <f t="shared" si="2"/>
        <v>40</v>
      </c>
      <c r="C29" s="27">
        <f>IFERROR(VLOOKUP(A29,#REF!,4,FALSE),0)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191</v>
      </c>
      <c r="B30" s="50">
        <f t="shared" si="2"/>
        <v>40</v>
      </c>
      <c r="C30" s="24">
        <f>IFERROR(VLOOKUP(A30,#REF!,4,FALSE),0)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210</v>
      </c>
      <c r="B31" s="37">
        <f t="shared" si="2"/>
        <v>40</v>
      </c>
      <c r="C31" s="27">
        <f>IFERROR(VLOOKUP(A31,#REF!,4,FALSE),0)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209</v>
      </c>
      <c r="B32" s="50">
        <f t="shared" si="2"/>
        <v>40</v>
      </c>
      <c r="C32" s="24">
        <f>IFERROR(VLOOKUP(A32,#REF!,4,FALSE),0)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219</v>
      </c>
      <c r="B33" s="37">
        <f t="shared" si="2"/>
        <v>40</v>
      </c>
      <c r="C33" s="27">
        <f>IFERROR(VLOOKUP(A33,#REF!,4,FALSE),0)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220</v>
      </c>
      <c r="B34" s="50">
        <f t="shared" si="2"/>
        <v>40</v>
      </c>
      <c r="C34" s="24">
        <f>IFERROR(VLOOKUP(A34,#REF!,4,FALSE),0)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211</v>
      </c>
      <c r="B35" s="37">
        <f t="shared" si="2"/>
        <v>40</v>
      </c>
      <c r="C35" s="27">
        <f>IFERROR(VLOOKUP(A35,#REF!,4,FALSE),0)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222</v>
      </c>
      <c r="B36" s="50">
        <f t="shared" si="2"/>
        <v>40</v>
      </c>
      <c r="C36" s="24">
        <f>IFERROR(VLOOKUP(A36,#REF!,4,FALSE),0)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221</v>
      </c>
      <c r="B37" s="37">
        <f t="shared" si="2"/>
        <v>40</v>
      </c>
      <c r="C37" s="27">
        <f>IFERROR(VLOOKUP(A37,#REF!,4,FALSE),0)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201</v>
      </c>
      <c r="B38" s="50">
        <f t="shared" si="2"/>
        <v>40</v>
      </c>
      <c r="C38" s="24">
        <f>IFERROR(VLOOKUP(A38,#REF!,4,FALSE),0)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200</v>
      </c>
      <c r="B39" s="37">
        <f t="shared" si="2"/>
        <v>40</v>
      </c>
      <c r="C39" s="27">
        <f>IFERROR(VLOOKUP(A39,#REF!,4,FALSE),0)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203</v>
      </c>
      <c r="B40" s="50">
        <f t="shared" si="2"/>
        <v>40</v>
      </c>
      <c r="C40" s="24">
        <f>IFERROR(VLOOKUP(A40,#REF!,4,FALSE),0)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202</v>
      </c>
      <c r="B41" s="37">
        <f t="shared" si="2"/>
        <v>40</v>
      </c>
      <c r="C41" s="27">
        <f>IFERROR(VLOOKUP(A41,#REF!,4,FALSE),0)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194</v>
      </c>
      <c r="B42" s="50">
        <f t="shared" si="2"/>
        <v>40</v>
      </c>
      <c r="C42" s="24">
        <f>IFERROR(VLOOKUP(A42,#REF!,4,FALSE),0)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193</v>
      </c>
      <c r="B43" s="37">
        <f t="shared" si="2"/>
        <v>40</v>
      </c>
      <c r="C43" s="27">
        <f>IFERROR(VLOOKUP(A43,#REF!,4,FALSE),0)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2DAE-62BB-49B0-B64E-0A5DCDEC7AF3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181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206</v>
      </c>
      <c r="B4" s="37">
        <v>40</v>
      </c>
      <c r="C4" s="27">
        <f>IFERROR(VLOOKUP(A4,#REF!,5,FALSE),0)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212</v>
      </c>
      <c r="B5" s="50">
        <f>$B$4</f>
        <v>40</v>
      </c>
      <c r="C5" s="24">
        <f>IFERROR(VLOOKUP(A5,#REF!,5,FALSE),0)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199</v>
      </c>
      <c r="B6" s="37">
        <f t="shared" ref="B6:B43" si="2">$B$4</f>
        <v>40</v>
      </c>
      <c r="C6" s="27">
        <f>IFERROR(VLOOKUP(A6,#REF!,5,FALSE),0)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198</v>
      </c>
      <c r="B7" s="50">
        <f t="shared" si="2"/>
        <v>40</v>
      </c>
      <c r="C7" s="24">
        <f>IFERROR(VLOOKUP(A7,#REF!,5,FALSE),0)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207</v>
      </c>
      <c r="B8" s="37">
        <f t="shared" si="2"/>
        <v>40</v>
      </c>
      <c r="C8" s="27">
        <f>IFERROR(VLOOKUP(A8,#REF!,5,FALSE),0)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188</v>
      </c>
      <c r="B9" s="50">
        <f t="shared" si="2"/>
        <v>40</v>
      </c>
      <c r="C9" s="24">
        <f>IFERROR(VLOOKUP(A9,#REF!,5,FALSE),0)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224</v>
      </c>
      <c r="B10" s="37">
        <f t="shared" si="2"/>
        <v>40</v>
      </c>
      <c r="C10" s="27">
        <f>IFERROR(VLOOKUP(A10,#REF!,5,FALSE),0)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205</v>
      </c>
      <c r="B11" s="50">
        <f t="shared" si="2"/>
        <v>40</v>
      </c>
      <c r="C11" s="24">
        <f>IFERROR(VLOOKUP(A11,#REF!,5,FALSE),0)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204</v>
      </c>
      <c r="B12" s="37">
        <f t="shared" si="2"/>
        <v>40</v>
      </c>
      <c r="C12" s="27">
        <f>IFERROR(VLOOKUP(A12,#REF!,5,FALSE),0)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218</v>
      </c>
      <c r="B13" s="50">
        <f t="shared" si="2"/>
        <v>40</v>
      </c>
      <c r="C13" s="24">
        <f>IFERROR(VLOOKUP(A13,#REF!,5,FALSE),0)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213</v>
      </c>
      <c r="B14" s="37">
        <f t="shared" si="2"/>
        <v>40</v>
      </c>
      <c r="C14" s="27">
        <f>IFERROR(VLOOKUP(A14,#REF!,5,FALSE),0)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189</v>
      </c>
      <c r="B15" s="50">
        <f t="shared" si="2"/>
        <v>40</v>
      </c>
      <c r="C15" s="24">
        <f>IFERROR(VLOOKUP(A15,#REF!,5,FALSE),0)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208</v>
      </c>
      <c r="B16" s="37">
        <f t="shared" si="2"/>
        <v>40</v>
      </c>
      <c r="C16" s="27">
        <f>IFERROR(VLOOKUP(A16,#REF!,5,FALSE),0)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196</v>
      </c>
      <c r="B17" s="50">
        <f t="shared" si="2"/>
        <v>40</v>
      </c>
      <c r="C17" s="24">
        <f>IFERROR(VLOOKUP(A17,#REF!,5,FALSE),0)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195</v>
      </c>
      <c r="B18" s="37">
        <f t="shared" si="2"/>
        <v>40</v>
      </c>
      <c r="C18" s="27">
        <f>IFERROR(VLOOKUP(A18,#REF!,5,FALSE),0)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217</v>
      </c>
      <c r="B22" s="174">
        <f t="shared" si="2"/>
        <v>40</v>
      </c>
      <c r="C22" s="175">
        <f>IFERROR(VLOOKUP(A22,#REF!,5,FALSE),0)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46" t="s">
        <v>187</v>
      </c>
      <c r="B23" s="37">
        <f t="shared" si="2"/>
        <v>40</v>
      </c>
      <c r="C23" s="27">
        <f>IFERROR(VLOOKUP(A23,#REF!,5,FALSE),0)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215</v>
      </c>
      <c r="B24" s="160">
        <f t="shared" si="2"/>
        <v>40</v>
      </c>
      <c r="C24" s="184">
        <f>IFERROR(VLOOKUP(A24,#REF!,5,FALSE),0)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7" t="s">
        <v>214</v>
      </c>
      <c r="B25" s="37">
        <f t="shared" si="2"/>
        <v>40</v>
      </c>
      <c r="C25" s="27">
        <f>IFERROR(VLOOKUP(A25,#REF!,5,FALSE),0)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190</v>
      </c>
      <c r="B26" s="50">
        <f t="shared" si="2"/>
        <v>40</v>
      </c>
      <c r="C26" s="24">
        <f>IFERROR(VLOOKUP(A26,#REF!,5,FALSE),0)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197</v>
      </c>
      <c r="B27" s="37">
        <f t="shared" si="2"/>
        <v>40</v>
      </c>
      <c r="C27" s="27">
        <f>IFERROR(VLOOKUP(A27,#REF!,5,FALSE),0)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216</v>
      </c>
      <c r="B28" s="50">
        <f t="shared" si="2"/>
        <v>40</v>
      </c>
      <c r="C28" s="24">
        <f>IFERROR(VLOOKUP(A28,#REF!,5,FALSE),0)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192</v>
      </c>
      <c r="B29" s="37">
        <f t="shared" si="2"/>
        <v>40</v>
      </c>
      <c r="C29" s="27">
        <f>IFERROR(VLOOKUP(A29,#REF!,5,FALSE),0)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191</v>
      </c>
      <c r="B30" s="50">
        <f t="shared" si="2"/>
        <v>40</v>
      </c>
      <c r="C30" s="24">
        <f>IFERROR(VLOOKUP(A30,#REF!,5,FALSE),0)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210</v>
      </c>
      <c r="B31" s="37">
        <f t="shared" si="2"/>
        <v>40</v>
      </c>
      <c r="C31" s="27">
        <f>IFERROR(VLOOKUP(A31,#REF!,5,FALSE),0)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209</v>
      </c>
      <c r="B32" s="50">
        <f t="shared" si="2"/>
        <v>40</v>
      </c>
      <c r="C32" s="24">
        <f>IFERROR(VLOOKUP(A32,#REF!,5,FALSE),0)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219</v>
      </c>
      <c r="B33" s="37">
        <f t="shared" si="2"/>
        <v>40</v>
      </c>
      <c r="C33" s="27">
        <f>IFERROR(VLOOKUP(A33,#REF!,5,FALSE),0)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220</v>
      </c>
      <c r="B34" s="50">
        <f t="shared" si="2"/>
        <v>40</v>
      </c>
      <c r="C34" s="24">
        <f>IFERROR(VLOOKUP(A34,#REF!,5,FALSE),0)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211</v>
      </c>
      <c r="B35" s="37">
        <f t="shared" si="2"/>
        <v>40</v>
      </c>
      <c r="C35" s="27">
        <f>IFERROR(VLOOKUP(A35,#REF!,5,FALSE),0)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222</v>
      </c>
      <c r="B36" s="50">
        <f t="shared" si="2"/>
        <v>40</v>
      </c>
      <c r="C36" s="24">
        <f>IFERROR(VLOOKUP(A36,#REF!,5,FALSE),0)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221</v>
      </c>
      <c r="B37" s="37">
        <f t="shared" si="2"/>
        <v>40</v>
      </c>
      <c r="C37" s="27">
        <f>IFERROR(VLOOKUP(A37,#REF!,5,FALSE),0)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201</v>
      </c>
      <c r="B38" s="50">
        <f t="shared" si="2"/>
        <v>40</v>
      </c>
      <c r="C38" s="24">
        <f>IFERROR(VLOOKUP(A38,#REF!,5,FALSE),0)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200</v>
      </c>
      <c r="B39" s="37">
        <f t="shared" si="2"/>
        <v>40</v>
      </c>
      <c r="C39" s="27">
        <f>IFERROR(VLOOKUP(A39,#REF!,5,FALSE),0)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203</v>
      </c>
      <c r="B40" s="50">
        <f t="shared" si="2"/>
        <v>40</v>
      </c>
      <c r="C40" s="24">
        <f>IFERROR(VLOOKUP(A40,#REF!,5,FALSE),0)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202</v>
      </c>
      <c r="B41" s="37">
        <f t="shared" si="2"/>
        <v>40</v>
      </c>
      <c r="C41" s="27">
        <f>IFERROR(VLOOKUP(A41,#REF!,5,FALSE),0)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194</v>
      </c>
      <c r="B42" s="50">
        <f t="shared" si="2"/>
        <v>40</v>
      </c>
      <c r="C42" s="24">
        <f>IFERROR(VLOOKUP(A42,#REF!,5,FALSE),0)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193</v>
      </c>
      <c r="B43" s="37">
        <f t="shared" si="2"/>
        <v>40</v>
      </c>
      <c r="C43" s="27">
        <f>IFERROR(VLOOKUP(A43,#REF!,5,FALSE),0)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8404-8D00-4D6A-A544-7E440D39BD5A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182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206</v>
      </c>
      <c r="B4" s="37">
        <v>40</v>
      </c>
      <c r="C4" s="27">
        <f>IFERROR(VLOOKUP(A4,#REF!,6,FALSE),0)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212</v>
      </c>
      <c r="B5" s="50">
        <f>$B$4</f>
        <v>40</v>
      </c>
      <c r="C5" s="24">
        <f>IFERROR(VLOOKUP(A5,#REF!,6,FALSE),0)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199</v>
      </c>
      <c r="B6" s="37">
        <f t="shared" ref="B6:B43" si="2">$B$4</f>
        <v>40</v>
      </c>
      <c r="C6" s="27">
        <f>IFERROR(VLOOKUP(A6,#REF!,6,FALSE),0)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198</v>
      </c>
      <c r="B7" s="50">
        <f t="shared" si="2"/>
        <v>40</v>
      </c>
      <c r="C7" s="24">
        <f>IFERROR(VLOOKUP(A7,#REF!,6,FALSE),0)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207</v>
      </c>
      <c r="B8" s="37">
        <f t="shared" si="2"/>
        <v>40</v>
      </c>
      <c r="C8" s="27">
        <f>IFERROR(VLOOKUP(A8,#REF!,6,FALSE),0)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188</v>
      </c>
      <c r="B9" s="50">
        <f t="shared" si="2"/>
        <v>40</v>
      </c>
      <c r="C9" s="24">
        <f>IFERROR(VLOOKUP(A9,#REF!,6,FALSE),0)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224</v>
      </c>
      <c r="B10" s="37">
        <f t="shared" si="2"/>
        <v>40</v>
      </c>
      <c r="C10" s="27">
        <f>IFERROR(VLOOKUP(A10,#REF!,6,FALSE),0)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205</v>
      </c>
      <c r="B11" s="50">
        <f t="shared" si="2"/>
        <v>40</v>
      </c>
      <c r="C11" s="24">
        <f>IFERROR(VLOOKUP(A11,#REF!,6,FALSE),0)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204</v>
      </c>
      <c r="B12" s="37">
        <f t="shared" si="2"/>
        <v>40</v>
      </c>
      <c r="C12" s="27">
        <f>IFERROR(VLOOKUP(A12,#REF!,6,FALSE),0)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218</v>
      </c>
      <c r="B13" s="50">
        <f t="shared" si="2"/>
        <v>40</v>
      </c>
      <c r="C13" s="24">
        <f>IFERROR(VLOOKUP(A13,#REF!,6,FALSE),0)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213</v>
      </c>
      <c r="B14" s="37">
        <f t="shared" si="2"/>
        <v>40</v>
      </c>
      <c r="C14" s="27">
        <f>IFERROR(VLOOKUP(A14,#REF!,6,FALSE),0)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189</v>
      </c>
      <c r="B15" s="50">
        <f t="shared" si="2"/>
        <v>40</v>
      </c>
      <c r="C15" s="24">
        <f>IFERROR(VLOOKUP(A15,#REF!,6,FALSE),0)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208</v>
      </c>
      <c r="B16" s="37">
        <f t="shared" si="2"/>
        <v>40</v>
      </c>
      <c r="C16" s="27">
        <f>IFERROR(VLOOKUP(A16,#REF!,6,FALSE),0)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196</v>
      </c>
      <c r="B17" s="50">
        <f t="shared" si="2"/>
        <v>40</v>
      </c>
      <c r="C17" s="24">
        <f>IFERROR(VLOOKUP(A17,#REF!,6,FALSE),0)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195</v>
      </c>
      <c r="B18" s="37">
        <f t="shared" si="2"/>
        <v>40</v>
      </c>
      <c r="C18" s="27">
        <f>IFERROR(VLOOKUP(A18,#REF!,6,FALSE),0)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217</v>
      </c>
      <c r="B22" s="174">
        <f t="shared" si="2"/>
        <v>40</v>
      </c>
      <c r="C22" s="175">
        <f>IFERROR(VLOOKUP(A22,#REF!,6,FALSE),0)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46" t="s">
        <v>187</v>
      </c>
      <c r="B23" s="37">
        <f t="shared" si="2"/>
        <v>40</v>
      </c>
      <c r="C23" s="27">
        <f>IFERROR(VLOOKUP(A23,#REF!,6,FALSE),0)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215</v>
      </c>
      <c r="B24" s="160">
        <f t="shared" si="2"/>
        <v>40</v>
      </c>
      <c r="C24" s="184">
        <f>IFERROR(VLOOKUP(A24,#REF!,6,FALSE),0)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7" t="s">
        <v>214</v>
      </c>
      <c r="B25" s="37">
        <f t="shared" si="2"/>
        <v>40</v>
      </c>
      <c r="C25" s="27">
        <f>IFERROR(VLOOKUP(A25,#REF!,6,FALSE),0)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190</v>
      </c>
      <c r="B26" s="50">
        <f t="shared" si="2"/>
        <v>40</v>
      </c>
      <c r="C26" s="24">
        <f>IFERROR(VLOOKUP(A26,#REF!,6,FALSE),0)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197</v>
      </c>
      <c r="B27" s="37">
        <f t="shared" si="2"/>
        <v>40</v>
      </c>
      <c r="C27" s="27">
        <f>IFERROR(VLOOKUP(A27,#REF!,6,FALSE),0)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216</v>
      </c>
      <c r="B28" s="50">
        <f t="shared" si="2"/>
        <v>40</v>
      </c>
      <c r="C28" s="24">
        <f>IFERROR(VLOOKUP(A28,#REF!,6,FALSE),0)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192</v>
      </c>
      <c r="B29" s="37">
        <f t="shared" si="2"/>
        <v>40</v>
      </c>
      <c r="C29" s="27">
        <f>IFERROR(VLOOKUP(A29,#REF!,6,FALSE),0)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191</v>
      </c>
      <c r="B30" s="50">
        <f t="shared" si="2"/>
        <v>40</v>
      </c>
      <c r="C30" s="24">
        <f>IFERROR(VLOOKUP(A30,#REF!,6,FALSE),0)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210</v>
      </c>
      <c r="B31" s="37">
        <f t="shared" si="2"/>
        <v>40</v>
      </c>
      <c r="C31" s="27">
        <f>IFERROR(VLOOKUP(A31,#REF!,6,FALSE),0)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209</v>
      </c>
      <c r="B32" s="50">
        <f t="shared" si="2"/>
        <v>40</v>
      </c>
      <c r="C32" s="24">
        <f>IFERROR(VLOOKUP(A32,#REF!,6,FALSE),0)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219</v>
      </c>
      <c r="B33" s="37">
        <f t="shared" si="2"/>
        <v>40</v>
      </c>
      <c r="C33" s="27">
        <f>IFERROR(VLOOKUP(A33,#REF!,6,FALSE),0)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220</v>
      </c>
      <c r="B34" s="50">
        <f t="shared" si="2"/>
        <v>40</v>
      </c>
      <c r="C34" s="24">
        <f>IFERROR(VLOOKUP(A34,#REF!,6,FALSE),0)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211</v>
      </c>
      <c r="B35" s="37">
        <f t="shared" si="2"/>
        <v>40</v>
      </c>
      <c r="C35" s="27">
        <f>IFERROR(VLOOKUP(A35,#REF!,6,FALSE),0)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222</v>
      </c>
      <c r="B36" s="50">
        <f t="shared" si="2"/>
        <v>40</v>
      </c>
      <c r="C36" s="24">
        <f>IFERROR(VLOOKUP(A36,#REF!,6,FALSE),0)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221</v>
      </c>
      <c r="B37" s="37">
        <f t="shared" si="2"/>
        <v>40</v>
      </c>
      <c r="C37" s="27">
        <f>IFERROR(VLOOKUP(A37,#REF!,6,FALSE),0)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201</v>
      </c>
      <c r="B38" s="50">
        <f t="shared" si="2"/>
        <v>40</v>
      </c>
      <c r="C38" s="24">
        <f>IFERROR(VLOOKUP(A38,#REF!,6,FALSE),0)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200</v>
      </c>
      <c r="B39" s="37">
        <f t="shared" si="2"/>
        <v>40</v>
      </c>
      <c r="C39" s="27">
        <f>IFERROR(VLOOKUP(A39,#REF!,6,FALSE),0)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203</v>
      </c>
      <c r="B40" s="50">
        <f t="shared" si="2"/>
        <v>40</v>
      </c>
      <c r="C40" s="24">
        <f>IFERROR(VLOOKUP(A40,#REF!,6,FALSE),0)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202</v>
      </c>
      <c r="B41" s="37">
        <f t="shared" si="2"/>
        <v>40</v>
      </c>
      <c r="C41" s="27">
        <f>IFERROR(VLOOKUP(A41,#REF!,6,FALSE),0)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194</v>
      </c>
      <c r="B42" s="50">
        <f t="shared" si="2"/>
        <v>40</v>
      </c>
      <c r="C42" s="24">
        <f>IFERROR(VLOOKUP(A42,#REF!,6,FALSE),0)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193</v>
      </c>
      <c r="B43" s="37">
        <f t="shared" si="2"/>
        <v>40</v>
      </c>
      <c r="C43" s="27">
        <f>IFERROR(VLOOKUP(A43,#REF!,6,FALSE),0)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F999-5E1C-44A2-9E92-C6CF26BA335A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183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206</v>
      </c>
      <c r="B4" s="37">
        <v>40</v>
      </c>
      <c r="C4" s="27">
        <f>IFERROR(VLOOKUP(A4,#REF!,7,FALSE),0)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212</v>
      </c>
      <c r="B5" s="50">
        <f>$B$4</f>
        <v>40</v>
      </c>
      <c r="C5" s="24">
        <f>IFERROR(VLOOKUP(A5,#REF!,7,FALSE),0)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199</v>
      </c>
      <c r="B6" s="37">
        <f t="shared" ref="B6:B43" si="2">$B$4</f>
        <v>40</v>
      </c>
      <c r="C6" s="27">
        <f>IFERROR(VLOOKUP(A6,#REF!,7,FALSE),0)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198</v>
      </c>
      <c r="B7" s="50">
        <f t="shared" si="2"/>
        <v>40</v>
      </c>
      <c r="C7" s="24">
        <f>IFERROR(VLOOKUP(A7,#REF!,7,FALSE),0)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207</v>
      </c>
      <c r="B8" s="37">
        <f t="shared" si="2"/>
        <v>40</v>
      </c>
      <c r="C8" s="27">
        <f>IFERROR(VLOOKUP(A8,#REF!,7,FALSE),0)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188</v>
      </c>
      <c r="B9" s="50">
        <f t="shared" si="2"/>
        <v>40</v>
      </c>
      <c r="C9" s="24">
        <f>IFERROR(VLOOKUP(A9,#REF!,7,FALSE),0)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224</v>
      </c>
      <c r="B10" s="37">
        <f t="shared" si="2"/>
        <v>40</v>
      </c>
      <c r="C10" s="27">
        <f>IFERROR(VLOOKUP(A10,#REF!,7,FALSE),0)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205</v>
      </c>
      <c r="B11" s="50">
        <f t="shared" si="2"/>
        <v>40</v>
      </c>
      <c r="C11" s="24">
        <f>IFERROR(VLOOKUP(A11,#REF!,7,FALSE),0)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204</v>
      </c>
      <c r="B12" s="37">
        <f t="shared" si="2"/>
        <v>40</v>
      </c>
      <c r="C12" s="27">
        <f>IFERROR(VLOOKUP(A12,#REF!,7,FALSE),0)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218</v>
      </c>
      <c r="B13" s="50">
        <f t="shared" si="2"/>
        <v>40</v>
      </c>
      <c r="C13" s="24">
        <f>IFERROR(VLOOKUP(A13,#REF!,7,FALSE),0)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213</v>
      </c>
      <c r="B14" s="37">
        <f t="shared" si="2"/>
        <v>40</v>
      </c>
      <c r="C14" s="27">
        <f>IFERROR(VLOOKUP(A14,#REF!,7,FALSE),0)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189</v>
      </c>
      <c r="B15" s="50">
        <f t="shared" si="2"/>
        <v>40</v>
      </c>
      <c r="C15" s="24">
        <f>IFERROR(VLOOKUP(A15,#REF!,7,FALSE),0)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208</v>
      </c>
      <c r="B16" s="37">
        <f t="shared" si="2"/>
        <v>40</v>
      </c>
      <c r="C16" s="27">
        <f>IFERROR(VLOOKUP(A16,#REF!,7,FALSE),0)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196</v>
      </c>
      <c r="B17" s="50">
        <f t="shared" si="2"/>
        <v>40</v>
      </c>
      <c r="C17" s="24">
        <f>IFERROR(VLOOKUP(A17,#REF!,7,FALSE),0)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195</v>
      </c>
      <c r="B18" s="37">
        <f t="shared" si="2"/>
        <v>40</v>
      </c>
      <c r="C18" s="27">
        <f>IFERROR(VLOOKUP(A18,#REF!,7,FALSE),0)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217</v>
      </c>
      <c r="B22" s="174">
        <f t="shared" si="2"/>
        <v>40</v>
      </c>
      <c r="C22" s="175">
        <f>IFERROR(VLOOKUP(A22,#REF!,7,FALSE),0)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46" t="s">
        <v>187</v>
      </c>
      <c r="B23" s="37">
        <f t="shared" si="2"/>
        <v>40</v>
      </c>
      <c r="C23" s="27">
        <f>IFERROR(VLOOKUP(A23,#REF!,7,FALSE),0)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215</v>
      </c>
      <c r="B24" s="160">
        <f t="shared" si="2"/>
        <v>40</v>
      </c>
      <c r="C24" s="184">
        <f>IFERROR(VLOOKUP(A24,#REF!,7,FALSE),0)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7" t="s">
        <v>214</v>
      </c>
      <c r="B25" s="37">
        <f t="shared" si="2"/>
        <v>40</v>
      </c>
      <c r="C25" s="27">
        <f>IFERROR(VLOOKUP(A25,#REF!,7,FALSE),0)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190</v>
      </c>
      <c r="B26" s="50">
        <f t="shared" si="2"/>
        <v>40</v>
      </c>
      <c r="C26" s="24">
        <f>IFERROR(VLOOKUP(A26,#REF!,7,FALSE),0)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197</v>
      </c>
      <c r="B27" s="37">
        <f t="shared" si="2"/>
        <v>40</v>
      </c>
      <c r="C27" s="27">
        <f>IFERROR(VLOOKUP(A27,#REF!,7,FALSE),0)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216</v>
      </c>
      <c r="B28" s="50">
        <f t="shared" si="2"/>
        <v>40</v>
      </c>
      <c r="C28" s="24">
        <f>IFERROR(VLOOKUP(A28,#REF!,7,FALSE),0)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192</v>
      </c>
      <c r="B29" s="37">
        <f t="shared" si="2"/>
        <v>40</v>
      </c>
      <c r="C29" s="27">
        <f>IFERROR(VLOOKUP(A29,#REF!,7,FALSE),0)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191</v>
      </c>
      <c r="B30" s="50">
        <f t="shared" si="2"/>
        <v>40</v>
      </c>
      <c r="C30" s="24">
        <f>IFERROR(VLOOKUP(A30,#REF!,7,FALSE),0)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210</v>
      </c>
      <c r="B31" s="37">
        <f t="shared" si="2"/>
        <v>40</v>
      </c>
      <c r="C31" s="27">
        <f>IFERROR(VLOOKUP(A31,#REF!,7,FALSE),0)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209</v>
      </c>
      <c r="B32" s="50">
        <f t="shared" si="2"/>
        <v>40</v>
      </c>
      <c r="C32" s="24">
        <f>IFERROR(VLOOKUP(A32,#REF!,7,FALSE),0)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219</v>
      </c>
      <c r="B33" s="37">
        <f t="shared" si="2"/>
        <v>40</v>
      </c>
      <c r="C33" s="27">
        <f>IFERROR(VLOOKUP(A33,#REF!,7,FALSE),0)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220</v>
      </c>
      <c r="B34" s="50">
        <f t="shared" si="2"/>
        <v>40</v>
      </c>
      <c r="C34" s="24">
        <f>IFERROR(VLOOKUP(A34,#REF!,7,FALSE),0)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211</v>
      </c>
      <c r="B35" s="37">
        <f t="shared" si="2"/>
        <v>40</v>
      </c>
      <c r="C35" s="27">
        <f>IFERROR(VLOOKUP(A35,#REF!,7,FALSE),0)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222</v>
      </c>
      <c r="B36" s="50">
        <f t="shared" si="2"/>
        <v>40</v>
      </c>
      <c r="C36" s="24">
        <f>IFERROR(VLOOKUP(A36,#REF!,7,FALSE),0)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221</v>
      </c>
      <c r="B37" s="37">
        <f t="shared" si="2"/>
        <v>40</v>
      </c>
      <c r="C37" s="27">
        <f>IFERROR(VLOOKUP(A37,#REF!,7,FALSE),0)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201</v>
      </c>
      <c r="B38" s="50">
        <f t="shared" si="2"/>
        <v>40</v>
      </c>
      <c r="C38" s="24">
        <f>IFERROR(VLOOKUP(A38,#REF!,7,FALSE),0)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200</v>
      </c>
      <c r="B39" s="37">
        <f t="shared" si="2"/>
        <v>40</v>
      </c>
      <c r="C39" s="27">
        <f>IFERROR(VLOOKUP(A39,#REF!,7,FALSE),0)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203</v>
      </c>
      <c r="B40" s="50">
        <f t="shared" si="2"/>
        <v>40</v>
      </c>
      <c r="C40" s="24">
        <f>IFERROR(VLOOKUP(A40,#REF!,7,FALSE),0)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202</v>
      </c>
      <c r="B41" s="37">
        <f t="shared" si="2"/>
        <v>40</v>
      </c>
      <c r="C41" s="27">
        <f>IFERROR(VLOOKUP(A41,#REF!,7,FALSE),0)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194</v>
      </c>
      <c r="B42" s="50">
        <f t="shared" si="2"/>
        <v>40</v>
      </c>
      <c r="C42" s="24">
        <f>IFERROR(VLOOKUP(A42,#REF!,7,FALSE),0)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193</v>
      </c>
      <c r="B43" s="37">
        <f t="shared" si="2"/>
        <v>40</v>
      </c>
      <c r="C43" s="27">
        <f>IFERROR(VLOOKUP(A43,#REF!,7,FALSE),0)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CBCA-8E37-4F54-89FF-BA716F09DEC8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184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206</v>
      </c>
      <c r="B4" s="37">
        <v>40</v>
      </c>
      <c r="C4" s="27">
        <f>IFERROR(VLOOKUP(A4,#REF!,8,FALSE),0)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212</v>
      </c>
      <c r="B5" s="50">
        <f>$B$4</f>
        <v>40</v>
      </c>
      <c r="C5" s="24">
        <f>IFERROR(VLOOKUP(A5,#REF!,8,FALSE),0)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199</v>
      </c>
      <c r="B6" s="37">
        <f t="shared" ref="B6:B43" si="2">$B$4</f>
        <v>40</v>
      </c>
      <c r="C6" s="27">
        <f>IFERROR(VLOOKUP(A6,#REF!,8,FALSE),0)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198</v>
      </c>
      <c r="B7" s="50">
        <f t="shared" si="2"/>
        <v>40</v>
      </c>
      <c r="C7" s="24">
        <f>IFERROR(VLOOKUP(A7,#REF!,8,FALSE),0)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207</v>
      </c>
      <c r="B8" s="37">
        <f t="shared" si="2"/>
        <v>40</v>
      </c>
      <c r="C8" s="27">
        <f>IFERROR(VLOOKUP(A8,#REF!,8,FALSE),0)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188</v>
      </c>
      <c r="B9" s="50">
        <f t="shared" si="2"/>
        <v>40</v>
      </c>
      <c r="C9" s="24">
        <f>IFERROR(VLOOKUP(A9,#REF!,8,FALSE),0)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224</v>
      </c>
      <c r="B10" s="37">
        <f t="shared" si="2"/>
        <v>40</v>
      </c>
      <c r="C10" s="27">
        <f>IFERROR(VLOOKUP(A10,#REF!,8,FALSE),0)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205</v>
      </c>
      <c r="B11" s="50">
        <f t="shared" si="2"/>
        <v>40</v>
      </c>
      <c r="C11" s="24">
        <f>IFERROR(VLOOKUP(A11,#REF!,8,FALSE),0)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204</v>
      </c>
      <c r="B12" s="37">
        <f t="shared" si="2"/>
        <v>40</v>
      </c>
      <c r="C12" s="27">
        <f>IFERROR(VLOOKUP(A12,#REF!,8,FALSE),0)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218</v>
      </c>
      <c r="B13" s="50">
        <f t="shared" si="2"/>
        <v>40</v>
      </c>
      <c r="C13" s="24">
        <f>IFERROR(VLOOKUP(A13,#REF!,8,FALSE),0)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213</v>
      </c>
      <c r="B14" s="37">
        <f t="shared" si="2"/>
        <v>40</v>
      </c>
      <c r="C14" s="27">
        <f>IFERROR(VLOOKUP(A14,#REF!,8,FALSE),0)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189</v>
      </c>
      <c r="B15" s="50">
        <f t="shared" si="2"/>
        <v>40</v>
      </c>
      <c r="C15" s="24">
        <f>IFERROR(VLOOKUP(A15,#REF!,8,FALSE),0)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208</v>
      </c>
      <c r="B16" s="37">
        <f t="shared" si="2"/>
        <v>40</v>
      </c>
      <c r="C16" s="27">
        <f>IFERROR(VLOOKUP(A16,#REF!,8,FALSE),0)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196</v>
      </c>
      <c r="B17" s="50">
        <f t="shared" si="2"/>
        <v>40</v>
      </c>
      <c r="C17" s="24">
        <f>IFERROR(VLOOKUP(A17,#REF!,8,FALSE),0)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195</v>
      </c>
      <c r="B18" s="37">
        <f t="shared" si="2"/>
        <v>40</v>
      </c>
      <c r="C18" s="27">
        <f>IFERROR(VLOOKUP(A18,#REF!,8,FALSE),0)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217</v>
      </c>
      <c r="B22" s="174">
        <f t="shared" si="2"/>
        <v>40</v>
      </c>
      <c r="C22" s="175">
        <f>IFERROR(VLOOKUP(A22,#REF!,8,FALSE),0)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46" t="s">
        <v>187</v>
      </c>
      <c r="B23" s="37">
        <f t="shared" si="2"/>
        <v>40</v>
      </c>
      <c r="C23" s="27">
        <f>IFERROR(VLOOKUP(A23,#REF!,8,FALSE),0)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215</v>
      </c>
      <c r="B24" s="160">
        <f t="shared" si="2"/>
        <v>40</v>
      </c>
      <c r="C24" s="184">
        <f>IFERROR(VLOOKUP(A24,#REF!,8,FALSE),0)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7" t="s">
        <v>214</v>
      </c>
      <c r="B25" s="37">
        <f t="shared" si="2"/>
        <v>40</v>
      </c>
      <c r="C25" s="27">
        <f>IFERROR(VLOOKUP(A25,#REF!,8,FALSE),0)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190</v>
      </c>
      <c r="B26" s="50">
        <f t="shared" si="2"/>
        <v>40</v>
      </c>
      <c r="C26" s="24">
        <f>IFERROR(VLOOKUP(A26,#REF!,8,FALSE),0)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197</v>
      </c>
      <c r="B27" s="37">
        <f t="shared" si="2"/>
        <v>40</v>
      </c>
      <c r="C27" s="27">
        <f>IFERROR(VLOOKUP(A27,#REF!,8,FALSE),0)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216</v>
      </c>
      <c r="B28" s="50">
        <f t="shared" si="2"/>
        <v>40</v>
      </c>
      <c r="C28" s="24">
        <f>IFERROR(VLOOKUP(A28,#REF!,8,FALSE),0)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192</v>
      </c>
      <c r="B29" s="37">
        <f t="shared" si="2"/>
        <v>40</v>
      </c>
      <c r="C29" s="27">
        <f>IFERROR(VLOOKUP(A29,#REF!,8,FALSE),0)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191</v>
      </c>
      <c r="B30" s="50">
        <f t="shared" si="2"/>
        <v>40</v>
      </c>
      <c r="C30" s="24">
        <f>IFERROR(VLOOKUP(A30,#REF!,8,FALSE),0)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210</v>
      </c>
      <c r="B31" s="37">
        <f t="shared" si="2"/>
        <v>40</v>
      </c>
      <c r="C31" s="27">
        <f>IFERROR(VLOOKUP(A31,#REF!,8,FALSE),0)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209</v>
      </c>
      <c r="B32" s="50">
        <f t="shared" si="2"/>
        <v>40</v>
      </c>
      <c r="C32" s="24">
        <f>IFERROR(VLOOKUP(A32,#REF!,8,FALSE),0)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219</v>
      </c>
      <c r="B33" s="37">
        <f t="shared" si="2"/>
        <v>40</v>
      </c>
      <c r="C33" s="27">
        <f>IFERROR(VLOOKUP(A33,#REF!,8,FALSE),0)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220</v>
      </c>
      <c r="B34" s="50">
        <f t="shared" si="2"/>
        <v>40</v>
      </c>
      <c r="C34" s="24">
        <f>IFERROR(VLOOKUP(A34,#REF!,8,FALSE),0)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211</v>
      </c>
      <c r="B35" s="37">
        <f t="shared" si="2"/>
        <v>40</v>
      </c>
      <c r="C35" s="27">
        <f>IFERROR(VLOOKUP(A35,#REF!,8,FALSE),0)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222</v>
      </c>
      <c r="B36" s="50">
        <f t="shared" si="2"/>
        <v>40</v>
      </c>
      <c r="C36" s="24">
        <f>IFERROR(VLOOKUP(A36,#REF!,8,FALSE),0)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221</v>
      </c>
      <c r="B37" s="37">
        <f t="shared" si="2"/>
        <v>40</v>
      </c>
      <c r="C37" s="27">
        <f>IFERROR(VLOOKUP(A37,#REF!,8,FALSE),0)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201</v>
      </c>
      <c r="B38" s="50">
        <f t="shared" si="2"/>
        <v>40</v>
      </c>
      <c r="C38" s="24">
        <f>IFERROR(VLOOKUP(A38,#REF!,8,FALSE),0)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200</v>
      </c>
      <c r="B39" s="37">
        <f t="shared" si="2"/>
        <v>40</v>
      </c>
      <c r="C39" s="27">
        <f>IFERROR(VLOOKUP(A39,#REF!,8,FALSE),0)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203</v>
      </c>
      <c r="B40" s="50">
        <f t="shared" si="2"/>
        <v>40</v>
      </c>
      <c r="C40" s="24">
        <f>IFERROR(VLOOKUP(A40,#REF!,8,FALSE),0)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202</v>
      </c>
      <c r="B41" s="37">
        <f t="shared" si="2"/>
        <v>40</v>
      </c>
      <c r="C41" s="27">
        <f>IFERROR(VLOOKUP(A41,#REF!,8,FALSE),0)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194</v>
      </c>
      <c r="B42" s="50">
        <f t="shared" si="2"/>
        <v>40</v>
      </c>
      <c r="C42" s="24">
        <f>IFERROR(VLOOKUP(A42,#REF!,8,FALSE),0)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193</v>
      </c>
      <c r="B43" s="37">
        <f t="shared" si="2"/>
        <v>40</v>
      </c>
      <c r="C43" s="27">
        <f>IFERROR(VLOOKUP(A43,#REF!,8,FALSE),0)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27EE-2A08-4729-9A1E-B7C5E7667E3A}">
  <sheetPr>
    <tabColor theme="9" tint="-0.249977111117893"/>
    <pageSetUpPr fitToPage="1"/>
  </sheetPr>
  <dimension ref="A1:H50"/>
  <sheetViews>
    <sheetView zoomScale="42" zoomScaleNormal="42" zoomScaleSheetLayoutView="75" workbookViewId="0">
      <selection activeCell="A22" sqref="A22:A43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79"/>
      <c r="B1" s="280"/>
      <c r="C1" s="280"/>
      <c r="D1" s="280"/>
      <c r="E1" s="280"/>
      <c r="F1" s="281"/>
    </row>
    <row r="2" spans="1:8" ht="25.9" customHeight="1" thickBot="1" x14ac:dyDescent="0.35">
      <c r="A2" s="60">
        <f ca="1">TODAY()</f>
        <v>46309</v>
      </c>
      <c r="B2" s="232" t="s">
        <v>186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120" t="s">
        <v>185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206</v>
      </c>
      <c r="B4" s="37">
        <v>40</v>
      </c>
      <c r="C4" s="27">
        <f>IFERROR(VLOOKUP(A4,#REF!,9,FALSE),0)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212</v>
      </c>
      <c r="B5" s="50">
        <f>$B$4</f>
        <v>40</v>
      </c>
      <c r="C5" s="24">
        <f>IFERROR(VLOOKUP(A5,#REF!,9,FALSE),0)</f>
        <v>0</v>
      </c>
      <c r="D5" s="20">
        <f t="shared" si="0"/>
        <v>0</v>
      </c>
      <c r="E5" s="51" t="s">
        <v>109</v>
      </c>
      <c r="F5" s="26">
        <f t="shared" si="1"/>
        <v>0</v>
      </c>
    </row>
    <row r="6" spans="1:8" ht="25.35" customHeight="1" x14ac:dyDescent="0.3">
      <c r="A6" s="47" t="s">
        <v>199</v>
      </c>
      <c r="B6" s="37">
        <f t="shared" ref="B6:B43" si="2">$B$4</f>
        <v>40</v>
      </c>
      <c r="C6" s="27">
        <f>IFERROR(VLOOKUP(A6,#REF!,9,FALSE),0)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198</v>
      </c>
      <c r="B7" s="50">
        <f t="shared" si="2"/>
        <v>40</v>
      </c>
      <c r="C7" s="24">
        <f>IFERROR(VLOOKUP(A7,#REF!,9,FALSE),0)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207</v>
      </c>
      <c r="B8" s="37">
        <f t="shared" si="2"/>
        <v>40</v>
      </c>
      <c r="C8" s="27">
        <f>IFERROR(VLOOKUP(A8,#REF!,9,FALSE),0)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188</v>
      </c>
      <c r="B9" s="50">
        <f t="shared" si="2"/>
        <v>40</v>
      </c>
      <c r="C9" s="24">
        <f>IFERROR(VLOOKUP(A9,#REF!,9,FALSE),0)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224</v>
      </c>
      <c r="B10" s="37">
        <f t="shared" si="2"/>
        <v>40</v>
      </c>
      <c r="C10" s="27">
        <f>IFERROR(VLOOKUP(A10,#REF!,9,FALSE),0)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205</v>
      </c>
      <c r="B11" s="50">
        <f t="shared" si="2"/>
        <v>40</v>
      </c>
      <c r="C11" s="24">
        <f>IFERROR(VLOOKUP(A11,#REF!,9,FALSE),0)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71">
        <f>IFERROR(ROUNDDOWN(SUM($F$12:$F$18,F22:F43)/$B$12,0),"")</f>
        <v>0</v>
      </c>
      <c r="H11" s="72">
        <f>IFERROR(SUM(F12:F18,F22:F43)-(G11*B12),"")</f>
        <v>0</v>
      </c>
    </row>
    <row r="12" spans="1:8" ht="25.35" customHeight="1" x14ac:dyDescent="0.3">
      <c r="A12" s="47" t="s">
        <v>204</v>
      </c>
      <c r="B12" s="37">
        <f t="shared" si="2"/>
        <v>40</v>
      </c>
      <c r="C12" s="27">
        <f>IFERROR(VLOOKUP(A12,#REF!,9,FALSE),0)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59"/>
      <c r="H12" s="59"/>
    </row>
    <row r="13" spans="1:8" ht="25.35" customHeight="1" x14ac:dyDescent="0.3">
      <c r="A13" s="49" t="s">
        <v>218</v>
      </c>
      <c r="B13" s="50">
        <f t="shared" si="2"/>
        <v>40</v>
      </c>
      <c r="C13" s="24">
        <f>IFERROR(VLOOKUP(A13,#REF!,9,FALSE),0)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213</v>
      </c>
      <c r="B14" s="37">
        <f t="shared" si="2"/>
        <v>40</v>
      </c>
      <c r="C14" s="27">
        <f>IFERROR(VLOOKUP(A14,#REF!,9,FALSE),0)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189</v>
      </c>
      <c r="B15" s="50">
        <f t="shared" si="2"/>
        <v>40</v>
      </c>
      <c r="C15" s="24">
        <f>IFERROR(VLOOKUP(A15,#REF!,9,FALSE),0)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208</v>
      </c>
      <c r="B16" s="37">
        <f t="shared" si="2"/>
        <v>40</v>
      </c>
      <c r="C16" s="27">
        <f>IFERROR(VLOOKUP(A16,#REF!,9,FALSE),0)</f>
        <v>0</v>
      </c>
      <c r="D16" s="28">
        <f t="shared" si="0"/>
        <v>0</v>
      </c>
      <c r="E16" s="36" t="s">
        <v>117</v>
      </c>
      <c r="F16" s="31">
        <f t="shared" si="1"/>
        <v>0</v>
      </c>
      <c r="G16" s="59"/>
      <c r="H16" s="59"/>
    </row>
    <row r="17" spans="1:8" ht="25.35" customHeight="1" x14ac:dyDescent="0.3">
      <c r="A17" s="49" t="s">
        <v>196</v>
      </c>
      <c r="B17" s="50">
        <f t="shared" si="2"/>
        <v>40</v>
      </c>
      <c r="C17" s="24">
        <f>IFERROR(VLOOKUP(A17,#REF!,9,FALSE),0)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195</v>
      </c>
      <c r="B18" s="37">
        <f t="shared" si="2"/>
        <v>40</v>
      </c>
      <c r="C18" s="27">
        <f>IFERROR(VLOOKUP(A18,#REF!,9,FALSE),0)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71">
        <f>IFERROR(ROUNDDOWN(SUM(F22:F43)/$B$18,0),"")</f>
        <v>0</v>
      </c>
      <c r="H18" s="72">
        <f>IFERROR(SUM(F22:F43)-(G18*B18),"")</f>
        <v>0</v>
      </c>
    </row>
    <row r="19" spans="1:8" ht="5.45" customHeight="1" x14ac:dyDescent="0.3">
      <c r="A19" s="167"/>
      <c r="C19" s="164"/>
      <c r="D19" s="165"/>
      <c r="E19" s="166"/>
      <c r="F19" s="168"/>
      <c r="G19" s="59"/>
      <c r="H19" s="59"/>
    </row>
    <row r="20" spans="1:8" ht="25.35" customHeight="1" thickBot="1" x14ac:dyDescent="0.35">
      <c r="A20" s="169" t="s">
        <v>171</v>
      </c>
      <c r="B20" s="178">
        <f>B4</f>
        <v>40</v>
      </c>
      <c r="C20" s="179">
        <f>SUM(C4:C19)</f>
        <v>0</v>
      </c>
      <c r="D20" s="96">
        <f>IFERROR(ROUNDDOWN(C20/B20,0),"")</f>
        <v>0</v>
      </c>
      <c r="E20" s="157"/>
      <c r="F20" s="98">
        <f>IFERROR(C20-(D20*B20),"")</f>
        <v>0</v>
      </c>
      <c r="G20" s="59"/>
      <c r="H20" s="59"/>
    </row>
    <row r="21" spans="1:8" ht="8.4499999999999993" customHeight="1" thickBot="1" x14ac:dyDescent="0.35">
      <c r="C21" s="164"/>
      <c r="D21" s="165"/>
      <c r="E21" s="166"/>
      <c r="F21" s="165"/>
      <c r="G21" s="59"/>
      <c r="H21" s="59"/>
    </row>
    <row r="22" spans="1:8" ht="25.35" customHeight="1" x14ac:dyDescent="0.3">
      <c r="A22" s="172" t="s">
        <v>217</v>
      </c>
      <c r="B22" s="174">
        <f t="shared" si="2"/>
        <v>40</v>
      </c>
      <c r="C22" s="175">
        <f>IFERROR(VLOOKUP(A22,#REF!,9,FALSE),0)</f>
        <v>0</v>
      </c>
      <c r="D22" s="176">
        <f>IFERROR(ROUNDDOWN(C22/B22,0),"")</f>
        <v>0</v>
      </c>
      <c r="E22" s="173" t="s">
        <v>114</v>
      </c>
      <c r="F22" s="177">
        <f>IFERROR(C22-(D22*B22),"")</f>
        <v>0</v>
      </c>
      <c r="G22" s="59"/>
      <c r="H22" s="59"/>
    </row>
    <row r="23" spans="1:8" ht="25.35" customHeight="1" x14ac:dyDescent="0.3">
      <c r="A23" s="46" t="s">
        <v>187</v>
      </c>
      <c r="B23" s="37">
        <f t="shared" si="2"/>
        <v>40</v>
      </c>
      <c r="C23" s="27">
        <f>IFERROR(VLOOKUP(A23,#REF!,9,FALSE),0)</f>
        <v>0</v>
      </c>
      <c r="D23" s="28">
        <f>IFERROR(ROUNDDOWN(C23/B23,0),"")</f>
        <v>0</v>
      </c>
      <c r="E23" s="36" t="s">
        <v>21</v>
      </c>
      <c r="F23" s="31">
        <f>IFERROR(C23-(D23*B23),"")</f>
        <v>0</v>
      </c>
      <c r="G23" s="59"/>
      <c r="H23" s="59"/>
    </row>
    <row r="24" spans="1:8" ht="25.35" customHeight="1" x14ac:dyDescent="0.3">
      <c r="A24" s="183" t="s">
        <v>215</v>
      </c>
      <c r="B24" s="160">
        <f t="shared" si="2"/>
        <v>40</v>
      </c>
      <c r="C24" s="184">
        <f>IFERROR(VLOOKUP(A24,#REF!,9,FALSE),0)</f>
        <v>0</v>
      </c>
      <c r="D24" s="185">
        <f t="shared" ref="D24:D43" si="3">IFERROR(ROUNDDOWN(C24/B24,0),"")</f>
        <v>0</v>
      </c>
      <c r="E24" s="186" t="s">
        <v>11</v>
      </c>
      <c r="F24" s="187">
        <f t="shared" ref="F24:F43" si="4">IFERROR(C24-(D24*B24),"")</f>
        <v>0</v>
      </c>
      <c r="G24" s="163"/>
      <c r="H24" s="163"/>
    </row>
    <row r="25" spans="1:8" ht="26.25" x14ac:dyDescent="0.3">
      <c r="A25" s="47" t="s">
        <v>214</v>
      </c>
      <c r="B25" s="37">
        <f t="shared" si="2"/>
        <v>40</v>
      </c>
      <c r="C25" s="27">
        <f>IFERROR(VLOOKUP(A25,#REF!,9,FALSE),0)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190</v>
      </c>
      <c r="B26" s="50">
        <f t="shared" si="2"/>
        <v>40</v>
      </c>
      <c r="C26" s="24">
        <f>IFERROR(VLOOKUP(A26,#REF!,9,FALSE),0)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197</v>
      </c>
      <c r="B27" s="37">
        <f t="shared" si="2"/>
        <v>40</v>
      </c>
      <c r="C27" s="27">
        <f>IFERROR(VLOOKUP(A27,#REF!,9,FALSE),0)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216</v>
      </c>
      <c r="B28" s="50">
        <f t="shared" si="2"/>
        <v>40</v>
      </c>
      <c r="C28" s="24">
        <f>IFERROR(VLOOKUP(A28,#REF!,9,FALSE),0)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59"/>
      <c r="H28" s="59"/>
    </row>
    <row r="29" spans="1:8" ht="26.25" x14ac:dyDescent="0.3">
      <c r="A29" s="47" t="s">
        <v>192</v>
      </c>
      <c r="B29" s="37">
        <f t="shared" si="2"/>
        <v>40</v>
      </c>
      <c r="C29" s="27">
        <f>IFERROR(VLOOKUP(A29,#REF!,9,FALSE),0)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71">
        <f>IFERROR(ROUNDDOWN(SUM($F$30:$F$43)/$B$29,0),"")</f>
        <v>0</v>
      </c>
      <c r="H29" s="72">
        <f>IFERROR(SUM(F30:F43)-(G29*B29),"")</f>
        <v>0</v>
      </c>
    </row>
    <row r="30" spans="1:8" ht="25.35" customHeight="1" x14ac:dyDescent="0.3">
      <c r="A30" s="49" t="s">
        <v>191</v>
      </c>
      <c r="B30" s="50">
        <f t="shared" si="2"/>
        <v>40</v>
      </c>
      <c r="C30" s="24">
        <f>IFERROR(VLOOKUP(A30,#REF!,9,FALSE),0)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210</v>
      </c>
      <c r="B31" s="37">
        <f t="shared" si="2"/>
        <v>40</v>
      </c>
      <c r="C31" s="27">
        <f>IFERROR(VLOOKUP(A31,#REF!,9,FALSE),0)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209</v>
      </c>
      <c r="B32" s="50">
        <f t="shared" si="2"/>
        <v>40</v>
      </c>
      <c r="C32" s="24">
        <f>IFERROR(VLOOKUP(A32,#REF!,9,FALSE),0)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219</v>
      </c>
      <c r="B33" s="37">
        <f t="shared" si="2"/>
        <v>40</v>
      </c>
      <c r="C33" s="27">
        <f>IFERROR(VLOOKUP(A33,#REF!,9,FALSE),0)</f>
        <v>0</v>
      </c>
      <c r="D33" s="28">
        <f t="shared" si="3"/>
        <v>0</v>
      </c>
      <c r="E33" s="36" t="s">
        <v>78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220</v>
      </c>
      <c r="B34" s="50">
        <f t="shared" si="2"/>
        <v>40</v>
      </c>
      <c r="C34" s="24">
        <f>IFERROR(VLOOKUP(A34,#REF!,9,FALSE),0)</f>
        <v>0</v>
      </c>
      <c r="D34" s="20">
        <f t="shared" si="3"/>
        <v>0</v>
      </c>
      <c r="E34" s="51" t="s">
        <v>79</v>
      </c>
      <c r="F34" s="26">
        <f t="shared" si="4"/>
        <v>0</v>
      </c>
      <c r="G34" s="59"/>
      <c r="H34" s="59"/>
    </row>
    <row r="35" spans="1:8" ht="25.35" customHeight="1" x14ac:dyDescent="0.3">
      <c r="A35" s="47" t="s">
        <v>211</v>
      </c>
      <c r="B35" s="37">
        <f t="shared" si="2"/>
        <v>40</v>
      </c>
      <c r="C35" s="27">
        <f>IFERROR(VLOOKUP(A35,#REF!,9,FALSE),0)</f>
        <v>0</v>
      </c>
      <c r="D35" s="28">
        <f t="shared" si="3"/>
        <v>0</v>
      </c>
      <c r="E35" s="36" t="s">
        <v>80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222</v>
      </c>
      <c r="B36" s="50">
        <f t="shared" si="2"/>
        <v>40</v>
      </c>
      <c r="C36" s="24">
        <f>IFERROR(VLOOKUP(A36,#REF!,9,FALSE),0)</f>
        <v>0</v>
      </c>
      <c r="D36" s="20">
        <f t="shared" si="3"/>
        <v>0</v>
      </c>
      <c r="E36" s="51" t="s">
        <v>8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221</v>
      </c>
      <c r="B37" s="37">
        <f t="shared" si="2"/>
        <v>40</v>
      </c>
      <c r="C37" s="27">
        <f>IFERROR(VLOOKUP(A37,#REF!,9,FALSE),0)</f>
        <v>0</v>
      </c>
      <c r="D37" s="28">
        <f t="shared" si="3"/>
        <v>0</v>
      </c>
      <c r="E37" s="36" t="s">
        <v>9</v>
      </c>
      <c r="F37" s="31">
        <f t="shared" si="4"/>
        <v>0</v>
      </c>
      <c r="G37" s="71">
        <f>IFERROR(ROUNDDOWN(SUM($F$38:$F$43)/$B$38,0),"")</f>
        <v>0</v>
      </c>
      <c r="H37" s="72">
        <f>IFERROR(SUM($F$38:$F$43)-($G$37*$B$38),"")</f>
        <v>0</v>
      </c>
    </row>
    <row r="38" spans="1:8" ht="25.35" customHeight="1" x14ac:dyDescent="0.3">
      <c r="A38" s="49" t="s">
        <v>201</v>
      </c>
      <c r="B38" s="50">
        <f t="shared" si="2"/>
        <v>40</v>
      </c>
      <c r="C38" s="24">
        <f>IFERROR(VLOOKUP(A38,#REF!,9,FALSE),0)</f>
        <v>0</v>
      </c>
      <c r="D38" s="20">
        <f t="shared" si="3"/>
        <v>0</v>
      </c>
      <c r="E38" s="51" t="s">
        <v>16</v>
      </c>
      <c r="F38" s="26">
        <f t="shared" si="4"/>
        <v>0</v>
      </c>
      <c r="G38" s="59"/>
      <c r="H38" s="59"/>
    </row>
    <row r="39" spans="1:8" ht="25.35" customHeight="1" x14ac:dyDescent="0.3">
      <c r="A39" s="47" t="s">
        <v>200</v>
      </c>
      <c r="B39" s="37">
        <f t="shared" si="2"/>
        <v>40</v>
      </c>
      <c r="C39" s="27">
        <f>IFERROR(VLOOKUP(A39,#REF!,9,FALSE),0)</f>
        <v>0</v>
      </c>
      <c r="D39" s="28">
        <f t="shared" si="3"/>
        <v>0</v>
      </c>
      <c r="E39" s="36" t="s">
        <v>24</v>
      </c>
      <c r="F39" s="31">
        <f t="shared" si="4"/>
        <v>0</v>
      </c>
      <c r="G39" s="59"/>
      <c r="H39" s="59"/>
    </row>
    <row r="40" spans="1:8" ht="25.35" customHeight="1" x14ac:dyDescent="0.3">
      <c r="A40" s="49" t="s">
        <v>203</v>
      </c>
      <c r="B40" s="50">
        <f t="shared" si="2"/>
        <v>40</v>
      </c>
      <c r="C40" s="24">
        <f>IFERROR(VLOOKUP(A40,#REF!,9,FALSE),0)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202</v>
      </c>
      <c r="B41" s="37">
        <f t="shared" si="2"/>
        <v>40</v>
      </c>
      <c r="C41" s="27">
        <f>IFERROR(VLOOKUP(A41,#REF!,9,FALSE),0)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194</v>
      </c>
      <c r="B42" s="50">
        <f t="shared" si="2"/>
        <v>40</v>
      </c>
      <c r="C42" s="24">
        <f>IFERROR(VLOOKUP(A42,#REF!,9,FALSE),0)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193</v>
      </c>
      <c r="B43" s="37">
        <f t="shared" si="2"/>
        <v>40</v>
      </c>
      <c r="C43" s="27">
        <f>IFERROR(VLOOKUP(A43,#REF!,9,FALSE),0)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SUM(C22:C43)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C20+C45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SUM(D4:D18,D22:D43)</f>
        <v>0</v>
      </c>
      <c r="E48" s="48"/>
      <c r="F48" s="93">
        <f>SUM(F4:F18,F22:F43)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5" t="s">
        <v>177</v>
      </c>
      <c r="H49" s="203" t="s">
        <v>173</v>
      </c>
    </row>
    <row r="50" spans="1:8" ht="17.25" x14ac:dyDescent="0.3">
      <c r="G50" s="195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B5A4-977B-4BDD-93D1-8449C7A29F6B}">
  <sheetPr>
    <tabColor theme="5" tint="0.39997558519241921"/>
    <pageSetUpPr fitToPage="1"/>
  </sheetPr>
  <dimension ref="A1:H50"/>
  <sheetViews>
    <sheetView zoomScale="40" zoomScaleNormal="40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83"/>
      <c r="B1" s="284"/>
      <c r="C1" s="284"/>
      <c r="D1" s="284"/>
      <c r="E1" s="284"/>
      <c r="F1" s="285"/>
    </row>
    <row r="2" spans="1:8" ht="25.9" customHeight="1" thickBot="1" x14ac:dyDescent="0.35">
      <c r="A2" s="60">
        <f ca="1">TODAY()</f>
        <v>46309</v>
      </c>
      <c r="B2" s="232" t="s">
        <v>229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231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50</v>
      </c>
      <c r="C4" s="27">
        <f>IFERROR(VLOOKUP(A4,#REF!,2,FALSE),0)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50</v>
      </c>
      <c r="C5" s="24">
        <f>IFERROR(VLOOKUP(A5,#REF!,2,FALSE),0)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50</v>
      </c>
      <c r="C6" s="27">
        <f>IFERROR(VLOOKUP(A6,#REF!,2,FALSE),0)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50</v>
      </c>
      <c r="C7" s="24">
        <f>IFERROR(VLOOKUP(A7,#REF!,2,FALSE),0)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50</v>
      </c>
      <c r="C8" s="27">
        <f>IFERROR(VLOOKUP(A8,#REF!,2,FALSE),0)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50</v>
      </c>
      <c r="C9" s="24">
        <f>IFERROR(VLOOKUP(A9,#REF!,2,FALSE),0)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50</v>
      </c>
      <c r="C10" s="27">
        <f>IFERROR(VLOOKUP(A10,#REF!,2,FALSE),0)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50</v>
      </c>
      <c r="C11" s="24">
        <f>IFERROR(VLOOKUP(A11,#REF!,2,FALSE),0)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146</v>
      </c>
      <c r="B12" s="37">
        <f t="shared" si="2"/>
        <v>50</v>
      </c>
      <c r="C12" s="27">
        <f>IFERROR(VLOOKUP(A12,#REF!,2,FALSE),0)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50</v>
      </c>
      <c r="C13" s="24">
        <f>IFERROR(VLOOKUP(A13,#REF!,2,FALSE),0)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50</v>
      </c>
      <c r="C14" s="27">
        <f>IFERROR(VLOOKUP(A14,#REF!,2,FALSE),0)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50</v>
      </c>
      <c r="C15" s="24">
        <f>IFERROR(VLOOKUP(A15,#REF!,2,FALSE),0)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50</v>
      </c>
      <c r="C16" s="27">
        <f>IFERROR(VLOOKUP(A16,#REF!,2,FALSE),0)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50</v>
      </c>
      <c r="C17" s="24">
        <f>IFERROR(VLOOKUP(A17,#REF!,2,FALSE),0)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50</v>
      </c>
      <c r="C18" s="27">
        <f>IFERROR(VLOOKUP(A18,#REF!,2,FALSE),0)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8" ht="25.35" customHeight="1" x14ac:dyDescent="0.3">
      <c r="A19" s="49" t="s">
        <v>141</v>
      </c>
      <c r="B19" s="50">
        <f t="shared" si="2"/>
        <v>50</v>
      </c>
      <c r="C19" s="24">
        <f>IFERROR(VLOOKUP(A19,#REF!,2,FALSE),0)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50</v>
      </c>
      <c r="C20" s="27">
        <f>IFERROR(VLOOKUP(A20,#REF!,2,FALSE),0)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69" t="s">
        <v>171</v>
      </c>
      <c r="B22" s="178">
        <f>B4</f>
        <v>50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4"/>
      <c r="D23" s="165"/>
      <c r="E23" s="166"/>
      <c r="F23" s="165"/>
      <c r="G23" s="59"/>
      <c r="H23" s="59"/>
    </row>
    <row r="24" spans="1:8" ht="25.35" customHeight="1" x14ac:dyDescent="0.3">
      <c r="A24" s="172" t="s">
        <v>155</v>
      </c>
      <c r="B24" s="174">
        <f t="shared" si="2"/>
        <v>50</v>
      </c>
      <c r="C24" s="175">
        <f>IFERROR(VLOOKUP(A24,#REF!,2,FALSE),0)</f>
        <v>0</v>
      </c>
      <c r="D24" s="176">
        <f t="shared" ref="D24:D43" si="3">IFERROR(ROUNDDOWN(C24/B24,0),"")</f>
        <v>0</v>
      </c>
      <c r="E24" s="173" t="s">
        <v>11</v>
      </c>
      <c r="F24" s="177">
        <f t="shared" ref="F24:F43" si="4">IFERROR(C24-(D24*B24),"")</f>
        <v>0</v>
      </c>
      <c r="G24" s="163"/>
      <c r="H24" s="163"/>
    </row>
    <row r="25" spans="1:8" ht="26.25" x14ac:dyDescent="0.3">
      <c r="A25" s="47" t="s">
        <v>156</v>
      </c>
      <c r="B25" s="37">
        <f t="shared" si="2"/>
        <v>50</v>
      </c>
      <c r="C25" s="27">
        <f>IFERROR(VLOOKUP(A25,#REF!,2,FALSE),0)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50</v>
      </c>
      <c r="C26" s="24">
        <f>IFERROR(VLOOKUP(A26,#REF!,2,FALSE),0)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50</v>
      </c>
      <c r="C27" s="27">
        <f>IFERROR(VLOOKUP(A27,#REF!,2,FALSE),0)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50</v>
      </c>
      <c r="C28" s="24">
        <f>IFERROR(VLOOKUP(A28,#REF!,2,FALSE),0)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50</v>
      </c>
      <c r="C29" s="27">
        <f>IFERROR(VLOOKUP(A29,#REF!,2,FALSE),0)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8" ht="25.35" customHeight="1" x14ac:dyDescent="0.3">
      <c r="A30" s="49" t="s">
        <v>154</v>
      </c>
      <c r="B30" s="50">
        <f t="shared" si="2"/>
        <v>50</v>
      </c>
      <c r="C30" s="24">
        <f>IFERROR(VLOOKUP(A30,#REF!,2,FALSE),0)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50</v>
      </c>
      <c r="C31" s="27">
        <f>IFERROR(VLOOKUP(A31,#REF!,2,FALSE),0)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50</v>
      </c>
      <c r="C32" s="24">
        <f>IFERROR(VLOOKUP(A32,#REF!,2,FALSE),0)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50</v>
      </c>
      <c r="C33" s="27">
        <f>IFERROR(VLOOKUP(A33,#REF!,2,FALSE),0)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50</v>
      </c>
      <c r="C34" s="24">
        <f>IFERROR(VLOOKUP(A34,#REF!,2,FALSE),0)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50</v>
      </c>
      <c r="C35" s="27">
        <f>IFERROR(VLOOKUP(A35,#REF!,2,FALSE),0)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50</v>
      </c>
      <c r="C36" s="24">
        <f>IFERROR(VLOOKUP(A36,#REF!,2,FALSE),0)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50</v>
      </c>
      <c r="C37" s="27">
        <f>IFERROR(VLOOKUP(A37,#REF!,2,FALSE),0)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50</v>
      </c>
      <c r="C38" s="24">
        <f>IFERROR(VLOOKUP(A38,#REF!,2,FALSE),0)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223</v>
      </c>
      <c r="B39" s="37">
        <f t="shared" si="2"/>
        <v>50</v>
      </c>
      <c r="C39" s="27">
        <f>IFERROR(VLOOKUP(A39,#REF!,2,FALSE),0)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50</v>
      </c>
      <c r="C40" s="24">
        <f>IFERROR(VLOOKUP(A40,#REF!,2,FALSE),0)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50</v>
      </c>
      <c r="C41" s="27">
        <f>IFERROR(VLOOKUP(A41,#REF!,2,FALSE),0)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50</v>
      </c>
      <c r="C42" s="24">
        <f>IFERROR(VLOOKUP(A42,#REF!,2,FALSE),0)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50</v>
      </c>
      <c r="C43" s="27">
        <f>IFERROR(VLOOKUP(A43,#REF!,2,FALSE),0)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50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50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6" t="s">
        <v>177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E2E-DA73-4C34-BF1C-50EDC9B59E6F}">
  <sheetPr>
    <tabColor theme="5" tint="0.39997558519241921"/>
    <pageSetUpPr fitToPage="1"/>
  </sheetPr>
  <dimension ref="A1:H50"/>
  <sheetViews>
    <sheetView zoomScale="40" zoomScaleNormal="40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83"/>
      <c r="B1" s="284"/>
      <c r="C1" s="284"/>
      <c r="D1" s="284"/>
      <c r="E1" s="284"/>
      <c r="F1" s="285"/>
    </row>
    <row r="2" spans="1:8" ht="25.9" customHeight="1" thickBot="1" x14ac:dyDescent="0.35">
      <c r="A2" s="60">
        <f ca="1">TODAY()</f>
        <v>46309</v>
      </c>
      <c r="B2" s="232" t="s">
        <v>229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232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50</v>
      </c>
      <c r="C4" s="27">
        <f>IFERROR(VLOOKUP(A4,#REF!,3,FALSE),0)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50</v>
      </c>
      <c r="C5" s="24">
        <f>IFERROR(VLOOKUP(A5,#REF!,3,FALSE),0)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50</v>
      </c>
      <c r="C6" s="27">
        <f>IFERROR(VLOOKUP(A6,#REF!,3,FALSE),0)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50</v>
      </c>
      <c r="C7" s="24">
        <f>IFERROR(VLOOKUP(A7,#REF!,3,FALSE),0)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50</v>
      </c>
      <c r="C8" s="27">
        <f>IFERROR(VLOOKUP(A8,#REF!,3,FALSE),0)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50</v>
      </c>
      <c r="C9" s="24">
        <f>IFERROR(VLOOKUP(A9,#REF!,3,FALSE),0)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50</v>
      </c>
      <c r="C10" s="27">
        <f>IFERROR(VLOOKUP(A10,#REF!,3,FALSE),0)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50</v>
      </c>
      <c r="C11" s="24">
        <f>IFERROR(VLOOKUP(A11,#REF!,3,FALSE),0)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146</v>
      </c>
      <c r="B12" s="37">
        <f t="shared" si="2"/>
        <v>50</v>
      </c>
      <c r="C12" s="27">
        <f>IFERROR(VLOOKUP(A12,#REF!,3,FALSE),0)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50</v>
      </c>
      <c r="C13" s="24">
        <f>IFERROR(VLOOKUP(A13,#REF!,3,FALSE),0)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50</v>
      </c>
      <c r="C14" s="27">
        <f>IFERROR(VLOOKUP(A14,#REF!,3,FALSE),0)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50</v>
      </c>
      <c r="C15" s="24">
        <f>IFERROR(VLOOKUP(A15,#REF!,3,FALSE),0)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50</v>
      </c>
      <c r="C16" s="27">
        <f>IFERROR(VLOOKUP(A16,#REF!,3,FALSE),0)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50</v>
      </c>
      <c r="C17" s="24">
        <f>IFERROR(VLOOKUP(A17,#REF!,3,FALSE),0)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50</v>
      </c>
      <c r="C18" s="27">
        <f>IFERROR(VLOOKUP(A18,#REF!,3,FALSE),0)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8" ht="25.35" customHeight="1" x14ac:dyDescent="0.3">
      <c r="A19" s="49" t="s">
        <v>141</v>
      </c>
      <c r="B19" s="50">
        <f t="shared" si="2"/>
        <v>50</v>
      </c>
      <c r="C19" s="24">
        <f>IFERROR(VLOOKUP(A19,#REF!,3,FALSE),0)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50</v>
      </c>
      <c r="C20" s="27">
        <f>IFERROR(VLOOKUP(A20,#REF!,3,FALSE),0)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69" t="s">
        <v>171</v>
      </c>
      <c r="B22" s="178">
        <f>B4</f>
        <v>50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4"/>
      <c r="D23" s="165"/>
      <c r="E23" s="166"/>
      <c r="F23" s="165"/>
      <c r="G23" s="59"/>
      <c r="H23" s="59"/>
    </row>
    <row r="24" spans="1:8" ht="25.35" customHeight="1" x14ac:dyDescent="0.3">
      <c r="A24" s="172" t="s">
        <v>155</v>
      </c>
      <c r="B24" s="174">
        <f t="shared" si="2"/>
        <v>50</v>
      </c>
      <c r="C24" s="175">
        <f>IFERROR(VLOOKUP(A24,#REF!,3,FALSE),0)</f>
        <v>0</v>
      </c>
      <c r="D24" s="176">
        <f t="shared" ref="D24:D43" si="3">IFERROR(ROUNDDOWN(C24/B24,0),"")</f>
        <v>0</v>
      </c>
      <c r="E24" s="173" t="s">
        <v>11</v>
      </c>
      <c r="F24" s="177">
        <f t="shared" ref="F24:F43" si="4">IFERROR(C24-(D24*B24),"")</f>
        <v>0</v>
      </c>
      <c r="G24" s="163"/>
      <c r="H24" s="163"/>
    </row>
    <row r="25" spans="1:8" ht="26.25" x14ac:dyDescent="0.3">
      <c r="A25" s="47" t="s">
        <v>156</v>
      </c>
      <c r="B25" s="37">
        <f t="shared" si="2"/>
        <v>50</v>
      </c>
      <c r="C25" s="27">
        <f>IFERROR(VLOOKUP(A25,#REF!,3,FALSE),0)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50</v>
      </c>
      <c r="C26" s="24">
        <f>IFERROR(VLOOKUP(A26,#REF!,3,FALSE),0)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50</v>
      </c>
      <c r="C27" s="27">
        <f>IFERROR(VLOOKUP(A27,#REF!,3,FALSE),0)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50</v>
      </c>
      <c r="C28" s="24">
        <f>IFERROR(VLOOKUP(A28,#REF!,3,FALSE),0)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50</v>
      </c>
      <c r="C29" s="27">
        <f>IFERROR(VLOOKUP(A29,#REF!,3,FALSE),0)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8" ht="25.35" customHeight="1" x14ac:dyDescent="0.3">
      <c r="A30" s="49" t="s">
        <v>154</v>
      </c>
      <c r="B30" s="50">
        <f t="shared" si="2"/>
        <v>50</v>
      </c>
      <c r="C30" s="24">
        <f>IFERROR(VLOOKUP(A30,#REF!,3,FALSE),0)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50</v>
      </c>
      <c r="C31" s="27">
        <f>IFERROR(VLOOKUP(A31,#REF!,3,FALSE),0)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50</v>
      </c>
      <c r="C32" s="24">
        <f>IFERROR(VLOOKUP(A32,#REF!,3,FALSE),0)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50</v>
      </c>
      <c r="C33" s="27">
        <f>IFERROR(VLOOKUP(A33,#REF!,3,FALSE),0)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50</v>
      </c>
      <c r="C34" s="24">
        <f>IFERROR(VLOOKUP(A34,#REF!,3,FALSE),0)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50</v>
      </c>
      <c r="C35" s="27">
        <f>IFERROR(VLOOKUP(A35,#REF!,3,FALSE),0)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50</v>
      </c>
      <c r="C36" s="24">
        <f>IFERROR(VLOOKUP(A36,#REF!,3,FALSE),0)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50</v>
      </c>
      <c r="C37" s="27">
        <f>IFERROR(VLOOKUP(A37,#REF!,3,FALSE),0)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50</v>
      </c>
      <c r="C38" s="24">
        <f>IFERROR(VLOOKUP(A38,#REF!,3,FALSE),0)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223</v>
      </c>
      <c r="B39" s="37">
        <f t="shared" si="2"/>
        <v>50</v>
      </c>
      <c r="C39" s="27">
        <f>IFERROR(VLOOKUP(A39,#REF!,3,FALSE),0)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50</v>
      </c>
      <c r="C40" s="24">
        <f>IFERROR(VLOOKUP(A40,#REF!,3,FALSE),0)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50</v>
      </c>
      <c r="C41" s="27">
        <f>IFERROR(VLOOKUP(A41,#REF!,3,FALSE),0)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50</v>
      </c>
      <c r="C42" s="24">
        <f>IFERROR(VLOOKUP(A42,#REF!,3,FALSE),0)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50</v>
      </c>
      <c r="C43" s="27">
        <f>IFERROR(VLOOKUP(A43,#REF!,3,FALSE),0)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50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50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6" t="s">
        <v>177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F53D-2EA9-4265-9627-3842D1121900}">
  <sheetPr>
    <tabColor theme="5" tint="0.39997558519241921"/>
    <pageSetUpPr fitToPage="1"/>
  </sheetPr>
  <dimension ref="A1:H50"/>
  <sheetViews>
    <sheetView topLeftCell="A15" zoomScale="55" zoomScaleNormal="55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83"/>
      <c r="B1" s="284"/>
      <c r="C1" s="284"/>
      <c r="D1" s="284"/>
      <c r="E1" s="284"/>
      <c r="F1" s="285"/>
    </row>
    <row r="2" spans="1:8" ht="25.9" customHeight="1" thickBot="1" x14ac:dyDescent="0.35">
      <c r="A2" s="60">
        <f ca="1">TODAY()</f>
        <v>46309</v>
      </c>
      <c r="B2" s="232" t="s">
        <v>229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233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50</v>
      </c>
      <c r="C4" s="27">
        <f>IFERROR(VLOOKUP(A4,#REF!,4,FALSE),0)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50</v>
      </c>
      <c r="C5" s="24">
        <f>IFERROR(VLOOKUP(A5,#REF!,4,FALSE),0)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50</v>
      </c>
      <c r="C6" s="27">
        <f>IFERROR(VLOOKUP(A6,#REF!,4,FALSE),0)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50</v>
      </c>
      <c r="C7" s="24">
        <f>IFERROR(VLOOKUP(A7,#REF!,4,FALSE),0)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50</v>
      </c>
      <c r="C8" s="27">
        <f>IFERROR(VLOOKUP(A8,#REF!,4,FALSE),0)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50</v>
      </c>
      <c r="C9" s="24">
        <f>IFERROR(VLOOKUP(A9,#REF!,4,FALSE),0)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50</v>
      </c>
      <c r="C10" s="27">
        <f>IFERROR(VLOOKUP(A10,#REF!,4,FALSE),0)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50</v>
      </c>
      <c r="C11" s="24">
        <f>IFERROR(VLOOKUP(A11,#REF!,4,FALSE),0)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146</v>
      </c>
      <c r="B12" s="37">
        <f t="shared" si="2"/>
        <v>50</v>
      </c>
      <c r="C12" s="27">
        <f>IFERROR(VLOOKUP(A12,#REF!,4,FALSE),0)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50</v>
      </c>
      <c r="C13" s="24">
        <f>IFERROR(VLOOKUP(A13,#REF!,4,FALSE),0)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50</v>
      </c>
      <c r="C14" s="27">
        <f>IFERROR(VLOOKUP(A14,#REF!,4,FALSE),0)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50</v>
      </c>
      <c r="C15" s="24">
        <f>IFERROR(VLOOKUP(A15,#REF!,4,FALSE),0)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50</v>
      </c>
      <c r="C16" s="27">
        <f>IFERROR(VLOOKUP(A16,#REF!,4,FALSE),0)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50</v>
      </c>
      <c r="C17" s="24">
        <f>IFERROR(VLOOKUP(A17,#REF!,4,FALSE),0)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50</v>
      </c>
      <c r="C18" s="27">
        <f>IFERROR(VLOOKUP(A18,#REF!,4,FALSE),0)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8" ht="25.35" customHeight="1" x14ac:dyDescent="0.3">
      <c r="A19" s="49" t="s">
        <v>141</v>
      </c>
      <c r="B19" s="50">
        <f t="shared" si="2"/>
        <v>50</v>
      </c>
      <c r="C19" s="24">
        <f>IFERROR(VLOOKUP(A19,#REF!,4,FALSE),0)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50</v>
      </c>
      <c r="C20" s="27">
        <f>IFERROR(VLOOKUP(A20,#REF!,4,FALSE),0)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69" t="s">
        <v>171</v>
      </c>
      <c r="B22" s="178">
        <f>B4</f>
        <v>50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4"/>
      <c r="D23" s="165"/>
      <c r="E23" s="166"/>
      <c r="F23" s="165"/>
      <c r="G23" s="59"/>
      <c r="H23" s="59"/>
    </row>
    <row r="24" spans="1:8" ht="25.35" customHeight="1" x14ac:dyDescent="0.3">
      <c r="A24" s="172" t="s">
        <v>155</v>
      </c>
      <c r="B24" s="174">
        <f t="shared" si="2"/>
        <v>50</v>
      </c>
      <c r="C24" s="175">
        <f>IFERROR(VLOOKUP(A24,#REF!,4,FALSE),0)</f>
        <v>0</v>
      </c>
      <c r="D24" s="176">
        <f t="shared" ref="D24:D43" si="3">IFERROR(ROUNDDOWN(C24/B24,0),"")</f>
        <v>0</v>
      </c>
      <c r="E24" s="173" t="s">
        <v>11</v>
      </c>
      <c r="F24" s="177">
        <f t="shared" ref="F24:F43" si="4">IFERROR(C24-(D24*B24),"")</f>
        <v>0</v>
      </c>
      <c r="G24" s="163"/>
      <c r="H24" s="163"/>
    </row>
    <row r="25" spans="1:8" ht="26.25" x14ac:dyDescent="0.3">
      <c r="A25" s="47" t="s">
        <v>156</v>
      </c>
      <c r="B25" s="37">
        <f t="shared" si="2"/>
        <v>50</v>
      </c>
      <c r="C25" s="27">
        <f>IFERROR(VLOOKUP(A25,#REF!,4,FALSE),0)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50</v>
      </c>
      <c r="C26" s="24">
        <f>IFERROR(VLOOKUP(A26,#REF!,4,FALSE),0)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50</v>
      </c>
      <c r="C27" s="27">
        <f>IFERROR(VLOOKUP(A27,#REF!,4,FALSE),0)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50</v>
      </c>
      <c r="C28" s="24">
        <f>IFERROR(VLOOKUP(A28,#REF!,4,FALSE),0)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50</v>
      </c>
      <c r="C29" s="27">
        <f>IFERROR(VLOOKUP(A29,#REF!,4,FALSE),0)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8" ht="25.35" customHeight="1" x14ac:dyDescent="0.3">
      <c r="A30" s="49" t="s">
        <v>154</v>
      </c>
      <c r="B30" s="50">
        <f t="shared" si="2"/>
        <v>50</v>
      </c>
      <c r="C30" s="24">
        <f>IFERROR(VLOOKUP(A30,#REF!,4,FALSE),0)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50</v>
      </c>
      <c r="C31" s="27">
        <f>IFERROR(VLOOKUP(A31,#REF!,4,FALSE),0)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50</v>
      </c>
      <c r="C32" s="24">
        <f>IFERROR(VLOOKUP(A32,#REF!,4,FALSE),0)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50</v>
      </c>
      <c r="C33" s="27">
        <f>IFERROR(VLOOKUP(A33,#REF!,4,FALSE),0)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50</v>
      </c>
      <c r="C34" s="24">
        <f>IFERROR(VLOOKUP(A34,#REF!,4,FALSE),0)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50</v>
      </c>
      <c r="C35" s="27">
        <f>IFERROR(VLOOKUP(A35,#REF!,4,FALSE),0)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50</v>
      </c>
      <c r="C36" s="24">
        <f>IFERROR(VLOOKUP(A36,#REF!,4,FALSE),0)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50</v>
      </c>
      <c r="C37" s="27">
        <f>IFERROR(VLOOKUP(A37,#REF!,4,FALSE),0)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50</v>
      </c>
      <c r="C38" s="24">
        <f>IFERROR(VLOOKUP(A38,#REF!,4,FALSE),0)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223</v>
      </c>
      <c r="B39" s="37">
        <f t="shared" si="2"/>
        <v>50</v>
      </c>
      <c r="C39" s="27">
        <f>IFERROR(VLOOKUP(A39,#REF!,4,FALSE),0)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50</v>
      </c>
      <c r="C40" s="24">
        <f>IFERROR(VLOOKUP(A40,#REF!,4,FALSE),0)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50</v>
      </c>
      <c r="C41" s="27">
        <f>IFERROR(VLOOKUP(A41,#REF!,4,FALSE),0)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50</v>
      </c>
      <c r="C42" s="24">
        <f>IFERROR(VLOOKUP(A42,#REF!,4,FALSE),0)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50</v>
      </c>
      <c r="C43" s="27">
        <f>IFERROR(VLOOKUP(A43,#REF!,4,FALSE),0)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50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50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6" t="s">
        <v>177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FD99-E1D5-431B-9348-C41163B475B4}">
  <sheetPr>
    <tabColor theme="5" tint="0.39997558519241921"/>
    <pageSetUpPr fitToPage="1"/>
  </sheetPr>
  <dimension ref="A1:H50"/>
  <sheetViews>
    <sheetView zoomScale="40" zoomScaleNormal="40" zoomScaleSheetLayoutView="75" workbookViewId="0">
      <selection activeCell="B39" sqref="B39:C39"/>
    </sheetView>
  </sheetViews>
  <sheetFormatPr defaultColWidth="9" defaultRowHeight="16.5" x14ac:dyDescent="0.3"/>
  <cols>
    <col min="1" max="1" width="33.25" style="34" customWidth="1"/>
    <col min="2" max="2" width="7.625" style="38" customWidth="1"/>
    <col min="3" max="3" width="31.875" style="34" customWidth="1"/>
    <col min="4" max="4" width="12.625" style="2" bestFit="1" customWidth="1"/>
    <col min="5" max="5" width="11.375" style="34" customWidth="1"/>
    <col min="6" max="6" width="11.125" style="2" customWidth="1"/>
    <col min="9" max="16384" width="9" style="34"/>
  </cols>
  <sheetData>
    <row r="1" spans="1:8" ht="25.9" customHeight="1" thickBot="1" x14ac:dyDescent="0.35">
      <c r="A1" s="283"/>
      <c r="B1" s="284"/>
      <c r="C1" s="284"/>
      <c r="D1" s="284"/>
      <c r="E1" s="284"/>
      <c r="F1" s="285"/>
    </row>
    <row r="2" spans="1:8" ht="25.9" customHeight="1" thickBot="1" x14ac:dyDescent="0.35">
      <c r="A2" s="60">
        <f ca="1">TODAY()</f>
        <v>46309</v>
      </c>
      <c r="B2" s="232" t="s">
        <v>229</v>
      </c>
      <c r="C2" s="232"/>
      <c r="D2" s="232"/>
      <c r="E2" s="232"/>
      <c r="F2" s="269"/>
      <c r="G2" s="61" t="s">
        <v>92</v>
      </c>
      <c r="H2" s="86" t="s">
        <v>83</v>
      </c>
    </row>
    <row r="3" spans="1:8" ht="40.5" customHeight="1" x14ac:dyDescent="0.3">
      <c r="A3" s="44" t="s">
        <v>67</v>
      </c>
      <c r="B3" s="35" t="s">
        <v>13</v>
      </c>
      <c r="C3" s="205" t="s">
        <v>230</v>
      </c>
      <c r="D3" s="33" t="s">
        <v>2</v>
      </c>
      <c r="E3" s="35" t="s">
        <v>23</v>
      </c>
      <c r="F3" s="45" t="s">
        <v>14</v>
      </c>
    </row>
    <row r="4" spans="1:8" ht="25.35" customHeight="1" x14ac:dyDescent="0.3">
      <c r="A4" s="47" t="s">
        <v>135</v>
      </c>
      <c r="B4" s="204">
        <v>40</v>
      </c>
      <c r="C4" s="27">
        <f>IFERROR(VLOOKUP(A4,#REF!,5,FALSE),0)</f>
        <v>0</v>
      </c>
      <c r="D4" s="28">
        <f t="shared" ref="D4:D18" si="0">IFERROR(ROUNDDOWN(C4/B4,0),"")</f>
        <v>0</v>
      </c>
      <c r="E4" s="36" t="s">
        <v>108</v>
      </c>
      <c r="F4" s="31">
        <f t="shared" ref="F4:F18" si="1">IFERROR(C4-(D4*B4),"")</f>
        <v>0</v>
      </c>
    </row>
    <row r="5" spans="1:8" ht="25.35" customHeight="1" x14ac:dyDescent="0.3">
      <c r="A5" s="49" t="s">
        <v>136</v>
      </c>
      <c r="B5" s="50">
        <f>$B$4</f>
        <v>40</v>
      </c>
      <c r="C5" s="24">
        <f>IFERROR(VLOOKUP(A5,#REF!,5,FALSE),0)</f>
        <v>0</v>
      </c>
      <c r="D5" s="20">
        <f t="shared" si="0"/>
        <v>0</v>
      </c>
      <c r="E5" s="51" t="s">
        <v>109</v>
      </c>
      <c r="F5" s="26">
        <f t="shared" si="1"/>
        <v>0</v>
      </c>
      <c r="G5" s="71">
        <f>IFERROR(ROUNDDOWN(SUM($F$6:$F$20,F24:F43)/$B$12,0),"")</f>
        <v>0</v>
      </c>
      <c r="H5" s="72">
        <f>IFERROR(SUM(F6:F20,F24:F43)-(G5*B6),"")</f>
        <v>0</v>
      </c>
    </row>
    <row r="6" spans="1:8" ht="25.35" customHeight="1" x14ac:dyDescent="0.3">
      <c r="A6" s="47" t="s">
        <v>137</v>
      </c>
      <c r="B6" s="37">
        <f t="shared" ref="B6:B43" si="2">$B$4</f>
        <v>40</v>
      </c>
      <c r="C6" s="27">
        <f>IFERROR(VLOOKUP(A6,#REF!,5,FALSE),0)</f>
        <v>0</v>
      </c>
      <c r="D6" s="28">
        <f t="shared" si="0"/>
        <v>0</v>
      </c>
      <c r="E6" s="36" t="s">
        <v>106</v>
      </c>
      <c r="F6" s="31">
        <f t="shared" si="1"/>
        <v>0</v>
      </c>
      <c r="G6" s="59"/>
      <c r="H6" s="59"/>
    </row>
    <row r="7" spans="1:8" ht="25.35" customHeight="1" x14ac:dyDescent="0.3">
      <c r="A7" s="49" t="s">
        <v>138</v>
      </c>
      <c r="B7" s="50">
        <f t="shared" si="2"/>
        <v>40</v>
      </c>
      <c r="C7" s="24">
        <f>IFERROR(VLOOKUP(A7,#REF!,5,FALSE),0)</f>
        <v>0</v>
      </c>
      <c r="D7" s="20">
        <f t="shared" si="0"/>
        <v>0</v>
      </c>
      <c r="E7" s="51" t="s">
        <v>107</v>
      </c>
      <c r="F7" s="26">
        <f t="shared" si="1"/>
        <v>0</v>
      </c>
      <c r="G7" s="59"/>
      <c r="H7" s="59"/>
    </row>
    <row r="8" spans="1:8" ht="25.35" customHeight="1" x14ac:dyDescent="0.3">
      <c r="A8" s="47" t="s">
        <v>143</v>
      </c>
      <c r="B8" s="37">
        <f t="shared" si="2"/>
        <v>40</v>
      </c>
      <c r="C8" s="27">
        <f>IFERROR(VLOOKUP(A8,#REF!,5,FALSE),0)</f>
        <v>0</v>
      </c>
      <c r="D8" s="28">
        <f t="shared" si="0"/>
        <v>0</v>
      </c>
      <c r="E8" s="36" t="s">
        <v>118</v>
      </c>
      <c r="F8" s="31">
        <f t="shared" si="1"/>
        <v>0</v>
      </c>
      <c r="G8" s="59"/>
      <c r="H8" s="59"/>
    </row>
    <row r="9" spans="1:8" ht="25.35" customHeight="1" x14ac:dyDescent="0.3">
      <c r="A9" s="49" t="s">
        <v>144</v>
      </c>
      <c r="B9" s="50">
        <f t="shared" si="2"/>
        <v>40</v>
      </c>
      <c r="C9" s="24">
        <f>IFERROR(VLOOKUP(A9,#REF!,5,FALSE),0)</f>
        <v>0</v>
      </c>
      <c r="D9" s="20">
        <f t="shared" si="0"/>
        <v>0</v>
      </c>
      <c r="E9" s="51" t="s">
        <v>119</v>
      </c>
      <c r="F9" s="26">
        <f t="shared" si="1"/>
        <v>0</v>
      </c>
      <c r="G9" s="59"/>
      <c r="H9" s="59"/>
    </row>
    <row r="10" spans="1:8" ht="25.35" customHeight="1" x14ac:dyDescent="0.3">
      <c r="A10" s="47" t="s">
        <v>142</v>
      </c>
      <c r="B10" s="37">
        <f t="shared" si="2"/>
        <v>40</v>
      </c>
      <c r="C10" s="27">
        <f>IFERROR(VLOOKUP(A10,#REF!,5,FALSE),0)</f>
        <v>0</v>
      </c>
      <c r="D10" s="28">
        <f t="shared" si="0"/>
        <v>0</v>
      </c>
      <c r="E10" s="36" t="s">
        <v>120</v>
      </c>
      <c r="F10" s="31">
        <f t="shared" si="1"/>
        <v>0</v>
      </c>
      <c r="G10" s="59"/>
      <c r="H10" s="59"/>
    </row>
    <row r="11" spans="1:8" ht="25.35" customHeight="1" x14ac:dyDescent="0.3">
      <c r="A11" s="49" t="s">
        <v>145</v>
      </c>
      <c r="B11" s="50">
        <f t="shared" si="2"/>
        <v>40</v>
      </c>
      <c r="C11" s="24">
        <f>IFERROR(VLOOKUP(A11,#REF!,5,FALSE),0)</f>
        <v>0</v>
      </c>
      <c r="D11" s="20">
        <f t="shared" si="0"/>
        <v>0</v>
      </c>
      <c r="E11" s="51" t="s">
        <v>112</v>
      </c>
      <c r="F11" s="26">
        <f t="shared" si="1"/>
        <v>0</v>
      </c>
      <c r="G11" s="163"/>
      <c r="H11" s="163"/>
    </row>
    <row r="12" spans="1:8" ht="25.35" customHeight="1" x14ac:dyDescent="0.3">
      <c r="A12" s="47" t="s">
        <v>146</v>
      </c>
      <c r="B12" s="37">
        <f t="shared" si="2"/>
        <v>40</v>
      </c>
      <c r="C12" s="27">
        <f>IFERROR(VLOOKUP(A12,#REF!,5,FALSE),0)</f>
        <v>0</v>
      </c>
      <c r="D12" s="28">
        <f t="shared" si="0"/>
        <v>0</v>
      </c>
      <c r="E12" s="36" t="s">
        <v>113</v>
      </c>
      <c r="F12" s="31">
        <f t="shared" si="1"/>
        <v>0</v>
      </c>
      <c r="G12" s="71">
        <f>IFERROR(ROUNDDOWN(SUM($F$13:$F$20,F24:F43)/$B$12,0),"")</f>
        <v>0</v>
      </c>
      <c r="H12" s="72">
        <f>IFERROR(SUM(F13:F20,F24:F43)-(G12*B13),"")</f>
        <v>0</v>
      </c>
    </row>
    <row r="13" spans="1:8" ht="25.35" customHeight="1" x14ac:dyDescent="0.3">
      <c r="A13" s="49" t="s">
        <v>147</v>
      </c>
      <c r="B13" s="50">
        <f t="shared" si="2"/>
        <v>40</v>
      </c>
      <c r="C13" s="24">
        <f>IFERROR(VLOOKUP(A13,#REF!,5,FALSE),0)</f>
        <v>0</v>
      </c>
      <c r="D13" s="20">
        <f t="shared" si="0"/>
        <v>0</v>
      </c>
      <c r="E13" s="51" t="s">
        <v>22</v>
      </c>
      <c r="F13" s="26">
        <f t="shared" si="1"/>
        <v>0</v>
      </c>
      <c r="G13" s="59"/>
      <c r="H13" s="59"/>
    </row>
    <row r="14" spans="1:8" ht="25.35" customHeight="1" x14ac:dyDescent="0.3">
      <c r="A14" s="47" t="s">
        <v>148</v>
      </c>
      <c r="B14" s="37">
        <f t="shared" si="2"/>
        <v>40</v>
      </c>
      <c r="C14" s="27">
        <f>IFERROR(VLOOKUP(A14,#REF!,5,FALSE),0)</f>
        <v>0</v>
      </c>
      <c r="D14" s="28">
        <f t="shared" si="0"/>
        <v>0</v>
      </c>
      <c r="E14" s="36" t="s">
        <v>18</v>
      </c>
      <c r="F14" s="31">
        <f t="shared" si="1"/>
        <v>0</v>
      </c>
      <c r="G14" s="59"/>
      <c r="H14" s="59"/>
    </row>
    <row r="15" spans="1:8" ht="25.35" customHeight="1" x14ac:dyDescent="0.3">
      <c r="A15" s="49" t="s">
        <v>149</v>
      </c>
      <c r="B15" s="50">
        <f t="shared" si="2"/>
        <v>40</v>
      </c>
      <c r="C15" s="24">
        <f>IFERROR(VLOOKUP(A15,#REF!,5,FALSE),0)</f>
        <v>0</v>
      </c>
      <c r="D15" s="20">
        <f t="shared" si="0"/>
        <v>0</v>
      </c>
      <c r="E15" s="51" t="s">
        <v>98</v>
      </c>
      <c r="F15" s="26">
        <f t="shared" si="1"/>
        <v>0</v>
      </c>
      <c r="G15" s="59"/>
      <c r="H15" s="59"/>
    </row>
    <row r="16" spans="1:8" ht="25.35" customHeight="1" x14ac:dyDescent="0.3">
      <c r="A16" s="47" t="s">
        <v>170</v>
      </c>
      <c r="B16" s="37">
        <f t="shared" si="2"/>
        <v>40</v>
      </c>
      <c r="C16" s="27">
        <f>IFERROR(VLOOKUP(A16,#REF!,5,FALSE),0)</f>
        <v>0</v>
      </c>
      <c r="D16" s="28">
        <f>IFERROR(ROUNDDOWN(C16/B16,0),"")</f>
        <v>0</v>
      </c>
      <c r="E16" s="36" t="s">
        <v>114</v>
      </c>
      <c r="F16" s="31">
        <f>IFERROR(C16-(D16*B16),"")</f>
        <v>0</v>
      </c>
      <c r="G16" s="59"/>
      <c r="H16" s="59"/>
    </row>
    <row r="17" spans="1:8" ht="25.35" customHeight="1" x14ac:dyDescent="0.3">
      <c r="A17" s="49" t="s">
        <v>139</v>
      </c>
      <c r="B17" s="50">
        <f t="shared" si="2"/>
        <v>40</v>
      </c>
      <c r="C17" s="24">
        <f>IFERROR(VLOOKUP(A17,#REF!,5,FALSE),0)</f>
        <v>0</v>
      </c>
      <c r="D17" s="20">
        <f t="shared" si="0"/>
        <v>0</v>
      </c>
      <c r="E17" s="51" t="s">
        <v>115</v>
      </c>
      <c r="F17" s="26">
        <f t="shared" si="1"/>
        <v>0</v>
      </c>
      <c r="G17" s="59"/>
      <c r="H17" s="59"/>
    </row>
    <row r="18" spans="1:8" ht="25.35" customHeight="1" x14ac:dyDescent="0.3">
      <c r="A18" s="46" t="s">
        <v>140</v>
      </c>
      <c r="B18" s="37">
        <f t="shared" si="2"/>
        <v>40</v>
      </c>
      <c r="C18" s="27">
        <f>IFERROR(VLOOKUP(A18,#REF!,5,FALSE),0)</f>
        <v>0</v>
      </c>
      <c r="D18" s="28">
        <f t="shared" si="0"/>
        <v>0</v>
      </c>
      <c r="E18" s="36" t="s">
        <v>116</v>
      </c>
      <c r="F18" s="31">
        <f t="shared" si="1"/>
        <v>0</v>
      </c>
      <c r="G18" s="163"/>
      <c r="H18" s="163"/>
    </row>
    <row r="19" spans="1:8" ht="25.35" customHeight="1" x14ac:dyDescent="0.3">
      <c r="A19" s="49" t="s">
        <v>141</v>
      </c>
      <c r="B19" s="50">
        <f t="shared" si="2"/>
        <v>40</v>
      </c>
      <c r="C19" s="24">
        <f>IFERROR(VLOOKUP(A19,#REF!,5,FALSE),0)</f>
        <v>0</v>
      </c>
      <c r="D19" s="20">
        <f>IFERROR(ROUNDDOWN(C19/B19,0),"")</f>
        <v>0</v>
      </c>
      <c r="E19" s="51" t="s">
        <v>117</v>
      </c>
      <c r="F19" s="26">
        <f>IFERROR(C19-(D19*B19),"")</f>
        <v>0</v>
      </c>
      <c r="G19" s="59"/>
      <c r="H19" s="59"/>
    </row>
    <row r="20" spans="1:8" ht="25.35" customHeight="1" x14ac:dyDescent="0.3">
      <c r="A20" s="46" t="s">
        <v>150</v>
      </c>
      <c r="B20" s="37">
        <f t="shared" si="2"/>
        <v>40</v>
      </c>
      <c r="C20" s="27">
        <f>IFERROR(VLOOKUP(A20,#REF!,5,FALSE),0)</f>
        <v>0</v>
      </c>
      <c r="D20" s="28">
        <f>IFERROR(ROUNDDOWN(C20/B20,0),"")</f>
        <v>0</v>
      </c>
      <c r="E20" s="36" t="s">
        <v>21</v>
      </c>
      <c r="F20" s="31">
        <f>IFERROR(C20-(D20*B20),"")</f>
        <v>0</v>
      </c>
      <c r="G20" s="71">
        <f>IFERROR(ROUNDDOWN(SUM(F24:F43)/$B$18,0),"")</f>
        <v>0</v>
      </c>
      <c r="H20" s="72">
        <f>IFERROR(SUM(F24:F43)-(G20*B20),"")</f>
        <v>0</v>
      </c>
    </row>
    <row r="21" spans="1:8" ht="5.45" customHeight="1" x14ac:dyDescent="0.3">
      <c r="A21" s="52"/>
      <c r="B21" s="50"/>
      <c r="C21" s="24"/>
      <c r="D21" s="20"/>
      <c r="E21" s="51"/>
      <c r="F21" s="26"/>
      <c r="G21" s="59"/>
      <c r="H21" s="59"/>
    </row>
    <row r="22" spans="1:8" ht="25.35" customHeight="1" thickBot="1" x14ac:dyDescent="0.35">
      <c r="A22" s="169" t="s">
        <v>171</v>
      </c>
      <c r="B22" s="178">
        <f>B4</f>
        <v>40</v>
      </c>
      <c r="C22" s="179">
        <f>SUM(C4:C21)</f>
        <v>0</v>
      </c>
      <c r="D22" s="96">
        <f>IFERROR(ROUNDDOWN(C22/B22,0),"")</f>
        <v>0</v>
      </c>
      <c r="E22" s="157"/>
      <c r="F22" s="98">
        <f>IFERROR(C22-(D22*B22),"")</f>
        <v>0</v>
      </c>
      <c r="G22" s="59"/>
      <c r="H22" s="59"/>
    </row>
    <row r="23" spans="1:8" ht="8.4499999999999993" customHeight="1" thickBot="1" x14ac:dyDescent="0.35">
      <c r="C23" s="164"/>
      <c r="D23" s="165"/>
      <c r="E23" s="166"/>
      <c r="F23" s="165"/>
      <c r="G23" s="59"/>
      <c r="H23" s="59"/>
    </row>
    <row r="24" spans="1:8" ht="25.35" customHeight="1" x14ac:dyDescent="0.3">
      <c r="A24" s="172" t="s">
        <v>155</v>
      </c>
      <c r="B24" s="174">
        <f t="shared" si="2"/>
        <v>40</v>
      </c>
      <c r="C24" s="175">
        <f>IFERROR(VLOOKUP(A24,#REF!,5,FALSE),0)</f>
        <v>0</v>
      </c>
      <c r="D24" s="176">
        <f t="shared" ref="D24:D43" si="3">IFERROR(ROUNDDOWN(C24/B24,0),"")</f>
        <v>0</v>
      </c>
      <c r="E24" s="173" t="s">
        <v>11</v>
      </c>
      <c r="F24" s="177">
        <f t="shared" ref="F24:F43" si="4">IFERROR(C24-(D24*B24),"")</f>
        <v>0</v>
      </c>
      <c r="G24" s="163"/>
      <c r="H24" s="163"/>
    </row>
    <row r="25" spans="1:8" ht="26.25" x14ac:dyDescent="0.3">
      <c r="A25" s="47" t="s">
        <v>156</v>
      </c>
      <c r="B25" s="37">
        <f t="shared" si="2"/>
        <v>40</v>
      </c>
      <c r="C25" s="27">
        <f>IFERROR(VLOOKUP(A25,#REF!,5,FALSE),0)</f>
        <v>0</v>
      </c>
      <c r="D25" s="28">
        <f t="shared" si="3"/>
        <v>0</v>
      </c>
      <c r="E25" s="36" t="s">
        <v>6</v>
      </c>
      <c r="F25" s="31">
        <f t="shared" si="4"/>
        <v>0</v>
      </c>
      <c r="G25" s="59"/>
      <c r="H25" s="59"/>
    </row>
    <row r="26" spans="1:8" ht="26.25" x14ac:dyDescent="0.3">
      <c r="A26" s="49" t="s">
        <v>157</v>
      </c>
      <c r="B26" s="50">
        <f t="shared" si="2"/>
        <v>40</v>
      </c>
      <c r="C26" s="24">
        <f>IFERROR(VLOOKUP(A26,#REF!,5,FALSE),0)</f>
        <v>0</v>
      </c>
      <c r="D26" s="20">
        <f t="shared" si="3"/>
        <v>0</v>
      </c>
      <c r="E26" s="51" t="s">
        <v>70</v>
      </c>
      <c r="F26" s="26">
        <f t="shared" si="4"/>
        <v>0</v>
      </c>
      <c r="G26" s="59"/>
      <c r="H26" s="59"/>
    </row>
    <row r="27" spans="1:8" ht="25.35" customHeight="1" x14ac:dyDescent="0.3">
      <c r="A27" s="47" t="s">
        <v>158</v>
      </c>
      <c r="B27" s="37">
        <f t="shared" si="2"/>
        <v>40</v>
      </c>
      <c r="C27" s="27">
        <f>IFERROR(VLOOKUP(A27,#REF!,5,FALSE),0)</f>
        <v>0</v>
      </c>
      <c r="D27" s="28">
        <f t="shared" si="3"/>
        <v>0</v>
      </c>
      <c r="E27" s="36" t="s">
        <v>7</v>
      </c>
      <c r="F27" s="31">
        <f t="shared" si="4"/>
        <v>0</v>
      </c>
      <c r="G27" s="59"/>
      <c r="H27" s="59"/>
    </row>
    <row r="28" spans="1:8" ht="25.35" customHeight="1" x14ac:dyDescent="0.3">
      <c r="A28" s="49" t="s">
        <v>159</v>
      </c>
      <c r="B28" s="50">
        <f t="shared" si="2"/>
        <v>40</v>
      </c>
      <c r="C28" s="24">
        <f>IFERROR(VLOOKUP(A28,#REF!,5,FALSE),0)</f>
        <v>0</v>
      </c>
      <c r="D28" s="20">
        <f t="shared" si="3"/>
        <v>0</v>
      </c>
      <c r="E28" s="51" t="s">
        <v>12</v>
      </c>
      <c r="F28" s="26">
        <f t="shared" si="4"/>
        <v>0</v>
      </c>
      <c r="G28" s="71">
        <f>IFERROR(ROUNDDOWN(SUM($F$29:$F$43)/$B$29,0),"")</f>
        <v>0</v>
      </c>
      <c r="H28" s="72">
        <f>IFERROR(SUM(F29:F43)-(G28*B28),"")</f>
        <v>0</v>
      </c>
    </row>
    <row r="29" spans="1:8" ht="26.25" x14ac:dyDescent="0.3">
      <c r="A29" s="47" t="s">
        <v>153</v>
      </c>
      <c r="B29" s="37">
        <f t="shared" si="2"/>
        <v>40</v>
      </c>
      <c r="C29" s="27">
        <f>IFERROR(VLOOKUP(A29,#REF!,5,FALSE),0)</f>
        <v>0</v>
      </c>
      <c r="D29" s="28">
        <f t="shared" si="3"/>
        <v>0</v>
      </c>
      <c r="E29" s="36" t="s">
        <v>99</v>
      </c>
      <c r="F29" s="31">
        <f t="shared" si="4"/>
        <v>0</v>
      </c>
      <c r="G29" s="163"/>
      <c r="H29" s="163"/>
    </row>
    <row r="30" spans="1:8" ht="25.35" customHeight="1" x14ac:dyDescent="0.3">
      <c r="A30" s="49" t="s">
        <v>154</v>
      </c>
      <c r="B30" s="50">
        <f t="shared" si="2"/>
        <v>40</v>
      </c>
      <c r="C30" s="24">
        <f>IFERROR(VLOOKUP(A30,#REF!,5,FALSE),0)</f>
        <v>0</v>
      </c>
      <c r="D30" s="20">
        <f t="shared" si="3"/>
        <v>0</v>
      </c>
      <c r="E30" s="51" t="s">
        <v>102</v>
      </c>
      <c r="F30" s="26">
        <f t="shared" si="4"/>
        <v>0</v>
      </c>
      <c r="G30" s="59"/>
      <c r="H30" s="59"/>
    </row>
    <row r="31" spans="1:8" ht="25.35" customHeight="1" x14ac:dyDescent="0.3">
      <c r="A31" s="46" t="s">
        <v>151</v>
      </c>
      <c r="B31" s="37">
        <f t="shared" si="2"/>
        <v>40</v>
      </c>
      <c r="C31" s="27">
        <f>IFERROR(VLOOKUP(A31,#REF!,5,FALSE),0)</f>
        <v>0</v>
      </c>
      <c r="D31" s="28">
        <f t="shared" si="3"/>
        <v>0</v>
      </c>
      <c r="E31" s="36" t="s">
        <v>96</v>
      </c>
      <c r="F31" s="31">
        <f t="shared" si="4"/>
        <v>0</v>
      </c>
      <c r="G31" s="59"/>
      <c r="H31" s="59"/>
    </row>
    <row r="32" spans="1:8" ht="25.35" customHeight="1" x14ac:dyDescent="0.3">
      <c r="A32" s="52" t="s">
        <v>152</v>
      </c>
      <c r="B32" s="50">
        <f t="shared" si="2"/>
        <v>40</v>
      </c>
      <c r="C32" s="24">
        <f>IFERROR(VLOOKUP(A32,#REF!,5,FALSE),0)</f>
        <v>0</v>
      </c>
      <c r="D32" s="20">
        <f t="shared" si="3"/>
        <v>0</v>
      </c>
      <c r="E32" s="51" t="s">
        <v>97</v>
      </c>
      <c r="F32" s="26">
        <f t="shared" si="4"/>
        <v>0</v>
      </c>
      <c r="G32" s="59"/>
      <c r="H32" s="59"/>
    </row>
    <row r="33" spans="1:8" ht="25.35" customHeight="1" x14ac:dyDescent="0.3">
      <c r="A33" s="47" t="s">
        <v>160</v>
      </c>
      <c r="B33" s="37">
        <f t="shared" si="2"/>
        <v>40</v>
      </c>
      <c r="C33" s="27">
        <f>IFERROR(VLOOKUP(A33,#REF!,5,FALSE),0)</f>
        <v>0</v>
      </c>
      <c r="D33" s="28">
        <f t="shared" si="3"/>
        <v>0</v>
      </c>
      <c r="E33" s="36" t="s">
        <v>8</v>
      </c>
      <c r="F33" s="31">
        <f t="shared" si="4"/>
        <v>0</v>
      </c>
      <c r="G33" s="59"/>
      <c r="H33" s="59"/>
    </row>
    <row r="34" spans="1:8" ht="25.35" customHeight="1" x14ac:dyDescent="0.3">
      <c r="A34" s="49" t="s">
        <v>161</v>
      </c>
      <c r="B34" s="50">
        <f t="shared" si="2"/>
        <v>40</v>
      </c>
      <c r="C34" s="24">
        <f>IFERROR(VLOOKUP(A34,#REF!,5,FALSE),0)</f>
        <v>0</v>
      </c>
      <c r="D34" s="20">
        <f t="shared" si="3"/>
        <v>0</v>
      </c>
      <c r="E34" s="51" t="s">
        <v>9</v>
      </c>
      <c r="F34" s="26">
        <f t="shared" si="4"/>
        <v>0</v>
      </c>
      <c r="G34" s="71">
        <f>IFERROR(ROUNDDOWN(SUM($F$35:$F$43)/$B$35,0),"")</f>
        <v>0</v>
      </c>
      <c r="H34" s="72">
        <f>IFERROR(SUM($F$35:$F$43)-($G$34*$B$35),"")</f>
        <v>0</v>
      </c>
    </row>
    <row r="35" spans="1:8" ht="25.35" customHeight="1" x14ac:dyDescent="0.3">
      <c r="A35" s="47" t="s">
        <v>162</v>
      </c>
      <c r="B35" s="37">
        <f t="shared" si="2"/>
        <v>40</v>
      </c>
      <c r="C35" s="27">
        <f>IFERROR(VLOOKUP(A35,#REF!,5,FALSE),0)</f>
        <v>0</v>
      </c>
      <c r="D35" s="28">
        <f t="shared" si="3"/>
        <v>0</v>
      </c>
      <c r="E35" s="36" t="s">
        <v>16</v>
      </c>
      <c r="F35" s="31">
        <f t="shared" si="4"/>
        <v>0</v>
      </c>
      <c r="G35" s="59"/>
      <c r="H35" s="59"/>
    </row>
    <row r="36" spans="1:8" ht="25.35" customHeight="1" x14ac:dyDescent="0.3">
      <c r="A36" s="49" t="s">
        <v>163</v>
      </c>
      <c r="B36" s="50">
        <f t="shared" si="2"/>
        <v>40</v>
      </c>
      <c r="C36" s="24">
        <f>IFERROR(VLOOKUP(A36,#REF!,5,FALSE),0)</f>
        <v>0</v>
      </c>
      <c r="D36" s="20">
        <f t="shared" si="3"/>
        <v>0</v>
      </c>
      <c r="E36" s="51" t="s">
        <v>24</v>
      </c>
      <c r="F36" s="26">
        <f t="shared" si="4"/>
        <v>0</v>
      </c>
      <c r="G36" s="59"/>
      <c r="H36" s="59"/>
    </row>
    <row r="37" spans="1:8" ht="25.35" customHeight="1" x14ac:dyDescent="0.3">
      <c r="A37" s="47" t="s">
        <v>168</v>
      </c>
      <c r="B37" s="37">
        <f t="shared" si="2"/>
        <v>40</v>
      </c>
      <c r="C37" s="27">
        <f>IFERROR(VLOOKUP(A37,#REF!,5,FALSE),0)</f>
        <v>0</v>
      </c>
      <c r="D37" s="28">
        <f>IFERROR(ROUNDDOWN(C37/B37,0),"")</f>
        <v>0</v>
      </c>
      <c r="E37" s="36" t="s">
        <v>78</v>
      </c>
      <c r="F37" s="31">
        <f>IFERROR(C37-(D37*B37),"")</f>
        <v>0</v>
      </c>
      <c r="G37" s="59"/>
      <c r="H37" s="59"/>
    </row>
    <row r="38" spans="1:8" ht="25.35" customHeight="1" x14ac:dyDescent="0.3">
      <c r="A38" s="49" t="s">
        <v>169</v>
      </c>
      <c r="B38" s="50">
        <f t="shared" si="2"/>
        <v>40</v>
      </c>
      <c r="C38" s="24">
        <f>IFERROR(VLOOKUP(A38,#REF!,5,FALSE),0)</f>
        <v>0</v>
      </c>
      <c r="D38" s="20">
        <f>IFERROR(ROUNDDOWN(C38/B38,0),"")</f>
        <v>0</v>
      </c>
      <c r="E38" s="51" t="s">
        <v>79</v>
      </c>
      <c r="F38" s="26">
        <f>IFERROR(C38-(D38*B38),"")</f>
        <v>0</v>
      </c>
      <c r="G38" s="59"/>
      <c r="H38" s="59"/>
    </row>
    <row r="39" spans="1:8" ht="25.35" customHeight="1" x14ac:dyDescent="0.3">
      <c r="A39" s="47" t="s">
        <v>223</v>
      </c>
      <c r="B39" s="37">
        <f t="shared" si="2"/>
        <v>40</v>
      </c>
      <c r="C39" s="27">
        <f>IFERROR(VLOOKUP(A39,#REF!,5,FALSE),0)</f>
        <v>0</v>
      </c>
      <c r="D39" s="28">
        <f>IFERROR(ROUNDDOWN(C39/B39,0),"")</f>
        <v>0</v>
      </c>
      <c r="E39" s="36" t="s">
        <v>80</v>
      </c>
      <c r="F39" s="31">
        <f>IFERROR(C39-(D39*B39),"")</f>
        <v>0</v>
      </c>
      <c r="G39" s="71">
        <f>IFERROR(ROUNDDOWN(SUM($F$40:$F$43)/$B$35,0),"")</f>
        <v>0</v>
      </c>
      <c r="H39" s="72">
        <f>IFERROR(SUM($F$40:$F$43)-($G$39*$B$35),"")</f>
        <v>0</v>
      </c>
    </row>
    <row r="40" spans="1:8" ht="25.35" customHeight="1" x14ac:dyDescent="0.3">
      <c r="A40" s="49" t="s">
        <v>164</v>
      </c>
      <c r="B40" s="50">
        <f t="shared" si="2"/>
        <v>40</v>
      </c>
      <c r="C40" s="24">
        <f>IFERROR(VLOOKUP(A40,#REF!,5,FALSE),0)</f>
        <v>0</v>
      </c>
      <c r="D40" s="20">
        <f t="shared" si="3"/>
        <v>0</v>
      </c>
      <c r="E40" s="51" t="s">
        <v>19</v>
      </c>
      <c r="F40" s="26">
        <f t="shared" si="4"/>
        <v>0</v>
      </c>
      <c r="G40" s="59"/>
      <c r="H40" s="59"/>
    </row>
    <row r="41" spans="1:8" ht="25.35" customHeight="1" x14ac:dyDescent="0.3">
      <c r="A41" s="47" t="s">
        <v>165</v>
      </c>
      <c r="B41" s="37">
        <f t="shared" si="2"/>
        <v>40</v>
      </c>
      <c r="C41" s="27">
        <f>IFERROR(VLOOKUP(A41,#REF!,5,FALSE),0)</f>
        <v>0</v>
      </c>
      <c r="D41" s="28">
        <f t="shared" si="3"/>
        <v>0</v>
      </c>
      <c r="E41" s="36" t="s">
        <v>20</v>
      </c>
      <c r="F41" s="31">
        <f t="shared" si="4"/>
        <v>0</v>
      </c>
      <c r="G41" s="59"/>
      <c r="H41" s="59"/>
    </row>
    <row r="42" spans="1:8" ht="25.35" customHeight="1" x14ac:dyDescent="0.3">
      <c r="A42" s="52" t="s">
        <v>166</v>
      </c>
      <c r="B42" s="50">
        <f t="shared" si="2"/>
        <v>40</v>
      </c>
      <c r="C42" s="24">
        <f>IFERROR(VLOOKUP(A42,#REF!,5,FALSE),0)</f>
        <v>0</v>
      </c>
      <c r="D42" s="20">
        <f t="shared" si="3"/>
        <v>0</v>
      </c>
      <c r="E42" s="51" t="s">
        <v>25</v>
      </c>
      <c r="F42" s="26">
        <f t="shared" si="4"/>
        <v>0</v>
      </c>
      <c r="G42" s="59"/>
      <c r="H42" s="59"/>
    </row>
    <row r="43" spans="1:8" ht="25.35" customHeight="1" x14ac:dyDescent="0.3">
      <c r="A43" s="46" t="s">
        <v>167</v>
      </c>
      <c r="B43" s="37">
        <f t="shared" si="2"/>
        <v>40</v>
      </c>
      <c r="C43" s="27">
        <f>IFERROR(VLOOKUP(A43,#REF!,5,FALSE),0)</f>
        <v>0</v>
      </c>
      <c r="D43" s="28">
        <f t="shared" si="3"/>
        <v>0</v>
      </c>
      <c r="E43" s="36" t="s">
        <v>72</v>
      </c>
      <c r="F43" s="31">
        <f t="shared" si="4"/>
        <v>0</v>
      </c>
      <c r="G43" s="59"/>
      <c r="H43" s="59"/>
    </row>
    <row r="44" spans="1:8" ht="4.5" customHeight="1" x14ac:dyDescent="0.3">
      <c r="A44" s="241"/>
      <c r="B44" s="242"/>
      <c r="C44" s="242"/>
      <c r="D44" s="242"/>
      <c r="E44" s="242"/>
      <c r="F44" s="243"/>
    </row>
    <row r="45" spans="1:8" ht="34.15" customHeight="1" thickBot="1" x14ac:dyDescent="0.35">
      <c r="A45" s="171" t="s">
        <v>172</v>
      </c>
      <c r="B45" s="178">
        <f>B4</f>
        <v>40</v>
      </c>
      <c r="C45" s="180">
        <f>SUM(C24:C43)</f>
        <v>0</v>
      </c>
      <c r="D45" s="96">
        <f>IFERROR(ROUNDDOWN(C45/B45,0),"")</f>
        <v>0</v>
      </c>
      <c r="E45" s="178"/>
      <c r="F45" s="98">
        <f>IFERROR(C45-(D45*B45),"")</f>
        <v>0</v>
      </c>
    </row>
    <row r="46" spans="1:8" ht="5.45" customHeight="1" thickBot="1" x14ac:dyDescent="0.35">
      <c r="A46" s="191"/>
      <c r="C46" s="38"/>
      <c r="D46" s="38"/>
      <c r="E46" s="38"/>
      <c r="F46" s="192"/>
    </row>
    <row r="47" spans="1:8" ht="25.35" customHeight="1" x14ac:dyDescent="0.3">
      <c r="A47" s="193" t="s">
        <v>3</v>
      </c>
      <c r="B47" s="57">
        <f>B4</f>
        <v>40</v>
      </c>
      <c r="C47" s="55">
        <f>C22+C45</f>
        <v>0</v>
      </c>
      <c r="D47" s="54">
        <f>IFERROR(ROUNDDOWN(C47/B47,0),"")</f>
        <v>0</v>
      </c>
      <c r="E47" s="56"/>
      <c r="F47" s="121">
        <f>IFERROR(C47-(D47*B47),"")</f>
        <v>0</v>
      </c>
      <c r="G47" s="79" t="s">
        <v>110</v>
      </c>
      <c r="H47" s="74" t="s">
        <v>111</v>
      </c>
    </row>
    <row r="48" spans="1:8" ht="24.75" customHeight="1" thickBot="1" x14ac:dyDescent="0.35">
      <c r="A48" s="42" t="s">
        <v>36</v>
      </c>
      <c r="B48" s="43" t="s">
        <v>173</v>
      </c>
      <c r="C48" s="40"/>
      <c r="D48" s="41">
        <f>SUM(D4:D20,D24:D43)</f>
        <v>0</v>
      </c>
      <c r="E48" s="48"/>
      <c r="F48" s="93">
        <f>SUM(F4:F20,F24:F43)</f>
        <v>0</v>
      </c>
      <c r="G48" s="80">
        <f>IFERROR(ROUNDDOWN(F48/B4,0),"")</f>
        <v>0</v>
      </c>
      <c r="H48" s="75">
        <f>IFERROR(F48-(G48*B4),"")</f>
        <v>0</v>
      </c>
    </row>
    <row r="49" spans="1:8" customFormat="1" ht="25.5" customHeight="1" x14ac:dyDescent="0.3">
      <c r="A49" s="282"/>
      <c r="B49" s="282"/>
      <c r="C49" s="282"/>
      <c r="D49" s="282"/>
      <c r="E49" s="282"/>
      <c r="F49" s="282"/>
      <c r="G49" s="196" t="s">
        <v>177</v>
      </c>
      <c r="H49" s="203" t="s">
        <v>173</v>
      </c>
    </row>
    <row r="50" spans="1:8" ht="17.25" x14ac:dyDescent="0.3">
      <c r="G50" s="196"/>
    </row>
  </sheetData>
  <mergeCells count="4">
    <mergeCell ref="A1:F1"/>
    <mergeCell ref="B2:F2"/>
    <mergeCell ref="A44:F44"/>
    <mergeCell ref="A49:F49"/>
  </mergeCells>
  <phoneticPr fontId="13" type="noConversion"/>
  <printOptions horizontalCentered="1" verticalCentered="1"/>
  <pageMargins left="0.23999999463558197" right="0.19680555164813995" top="0.19680555164813995" bottom="0.19680555164813995" header="0.19680555164813995" footer="0.19680555164813995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56</vt:i4>
      </vt:variant>
      <vt:variant>
        <vt:lpstr>이름 지정된 범위</vt:lpstr>
      </vt:variant>
      <vt:variant>
        <vt:i4>54</vt:i4>
      </vt:variant>
    </vt:vector>
  </HeadingPairs>
  <TitlesOfParts>
    <vt:vector size="110" baseType="lpstr">
      <vt:lpstr>검수장</vt:lpstr>
      <vt:lpstr>신라명과피벗</vt:lpstr>
      <vt:lpstr>리얼)모닝롤</vt:lpstr>
      <vt:lpstr>리치푸드 피벗</vt:lpstr>
      <vt:lpstr>그린스무디</vt:lpstr>
      <vt:lpstr>아미)수박스무디</vt:lpstr>
      <vt:lpstr>아미)카페라떼스무디</vt:lpstr>
      <vt:lpstr>딸기바나나스무디</vt:lpstr>
      <vt:lpstr>딸기블루베리망고스무디</vt:lpstr>
      <vt:lpstr>망고바나나스무디</vt:lpstr>
      <vt:lpstr>H2 피벗</vt:lpstr>
      <vt:lpstr>태극당)우유팥바70ML</vt:lpstr>
      <vt:lpstr>태극당)인절미콘150ML</vt:lpstr>
      <vt:lpstr>대광 피벗</vt:lpstr>
      <vt:lpstr>치킨25)매콤달콤닭강정(특수점)</vt:lpstr>
      <vt:lpstr>치킨25)매콤달콤닭강정200G(렌)</vt:lpstr>
      <vt:lpstr>윈즈 피벗</vt:lpstr>
      <vt:lpstr>바비바이츠)우베모찌바70ML</vt:lpstr>
      <vt:lpstr>티아이)아보카도아이스크림85G</vt:lpstr>
      <vt:lpstr>티아이)크림치즈브륄레90G</vt:lpstr>
      <vt:lpstr>제때 피벗 </vt:lpstr>
      <vt:lpstr>피프레도)생요거트딸기젤라또</vt:lpstr>
      <vt:lpstr>피프레도)생초코젤라또474ML</vt:lpstr>
      <vt:lpstr>한빛에프엘 피벗</vt:lpstr>
      <vt:lpstr>안데이코)뉴타마슈크림아이스68G</vt:lpstr>
      <vt:lpstr>안데이코)뉴타마슈크림아이스68G (수기발주)</vt:lpstr>
      <vt:lpstr>제주권(AZ공유)</vt:lpstr>
      <vt:lpstr>효성 피벗</vt:lpstr>
      <vt:lpstr>효성)김치어묵피만두(고단백)</vt:lpstr>
      <vt:lpstr>대신(냉동) 피벗</vt:lpstr>
      <vt:lpstr>리얼)불고기버거(1980원)</vt:lpstr>
      <vt:lpstr>리얼)치즈버거(1980원)</vt:lpstr>
      <vt:lpstr>2300원굿딜)매콤불고기1</vt:lpstr>
      <vt:lpstr>2300원굿딜)매콤불고기2</vt:lpstr>
      <vt:lpstr>2300원굿딜)불갈비버거1</vt:lpstr>
      <vt:lpstr>2300원굿딜)불갈비버거2</vt:lpstr>
      <vt:lpstr>NEW직화석쇠불고기버거1편</vt:lpstr>
      <vt:lpstr>NEW직화석쇠불고기버거2편</vt:lpstr>
      <vt:lpstr>매콤직화석쇠불고기버거1편</vt:lpstr>
      <vt:lpstr>매콤직화석쇠불고기버거2편</vt:lpstr>
      <vt:lpstr>치즈왕돈까스버거1편</vt:lpstr>
      <vt:lpstr>치즈왕돈까스버거2편</vt:lpstr>
      <vt:lpstr>황치즈직화석쇠불고기버거1편</vt:lpstr>
      <vt:lpstr>황치즈직화석쇠불고기버거2편</vt:lpstr>
      <vt:lpstr>예)그릭샐러드</vt:lpstr>
      <vt:lpstr>예)닭가슴살샐러드</vt:lpstr>
      <vt:lpstr>예)들기름막국수샐러드</vt:lpstr>
      <vt:lpstr>예)모짜렐라샐러드</vt:lpstr>
      <vt:lpstr>예)새우샐러드</vt:lpstr>
      <vt:lpstr>예)연어샐러드</vt:lpstr>
      <vt:lpstr>예)직화불고기샐러드)</vt:lpstr>
      <vt:lpstr>예)칠리치킨샐러드</vt:lpstr>
      <vt:lpstr>예약)26년순살갈비탕</vt:lpstr>
      <vt:lpstr>예약)26년스지도가니탕</vt:lpstr>
      <vt:lpstr>예약)26년전통추어탕</vt:lpstr>
      <vt:lpstr>예약)26년한마리민물장어덮밥</vt:lpstr>
      <vt:lpstr>'2300원굿딜)매콤불고기1'!Print_Area</vt:lpstr>
      <vt:lpstr>'2300원굿딜)매콤불고기2'!Print_Area</vt:lpstr>
      <vt:lpstr>'2300원굿딜)불갈비버거1'!Print_Area</vt:lpstr>
      <vt:lpstr>'2300원굿딜)불갈비버거2'!Print_Area</vt:lpstr>
      <vt:lpstr>'H2 피벗'!Print_Area</vt:lpstr>
      <vt:lpstr>NEW직화석쇠불고기버거1편!Print_Area</vt:lpstr>
      <vt:lpstr>NEW직화석쇠불고기버거2편!Print_Area</vt:lpstr>
      <vt:lpstr>검수장!Print_Area</vt:lpstr>
      <vt:lpstr>그린스무디!Print_Area</vt:lpstr>
      <vt:lpstr>'대광 피벗'!Print_Area</vt:lpstr>
      <vt:lpstr>'대신(냉동) 피벗'!Print_Area</vt:lpstr>
      <vt:lpstr>딸기바나나스무디!Print_Area</vt:lpstr>
      <vt:lpstr>딸기블루베리망고스무디!Print_Area</vt:lpstr>
      <vt:lpstr>'리얼)모닝롤'!Print_Area</vt:lpstr>
      <vt:lpstr>'리얼)불고기버거(1980원)'!Print_Area</vt:lpstr>
      <vt:lpstr>'리얼)치즈버거(1980원)'!Print_Area</vt:lpstr>
      <vt:lpstr>'리치푸드 피벗'!Print_Area</vt:lpstr>
      <vt:lpstr>망고바나나스무디!Print_Area</vt:lpstr>
      <vt:lpstr>매콤직화석쇠불고기버거1편!Print_Area</vt:lpstr>
      <vt:lpstr>매콤직화석쇠불고기버거2편!Print_Area</vt:lpstr>
      <vt:lpstr>'바비바이츠)우베모찌바70ML'!Print_Area</vt:lpstr>
      <vt:lpstr>'아미)수박스무디'!Print_Area</vt:lpstr>
      <vt:lpstr>'아미)카페라떼스무디'!Print_Area</vt:lpstr>
      <vt:lpstr>'안데이코)뉴타마슈크림아이스68G'!Print_Area</vt:lpstr>
      <vt:lpstr>'안데이코)뉴타마슈크림아이스68G (수기발주)'!Print_Area</vt:lpstr>
      <vt:lpstr>'예)그릭샐러드'!Print_Area</vt:lpstr>
      <vt:lpstr>'예)닭가슴살샐러드'!Print_Area</vt:lpstr>
      <vt:lpstr>'예)들기름막국수샐러드'!Print_Area</vt:lpstr>
      <vt:lpstr>'예)모짜렐라샐러드'!Print_Area</vt:lpstr>
      <vt:lpstr>'예)새우샐러드'!Print_Area</vt:lpstr>
      <vt:lpstr>'예)연어샐러드'!Print_Area</vt:lpstr>
      <vt:lpstr>'예)직화불고기샐러드)'!Print_Area</vt:lpstr>
      <vt:lpstr>'예)칠리치킨샐러드'!Print_Area</vt:lpstr>
      <vt:lpstr>'예약)26년순살갈비탕'!Print_Area</vt:lpstr>
      <vt:lpstr>'예약)26년스지도가니탕'!Print_Area</vt:lpstr>
      <vt:lpstr>'예약)26년전통추어탕'!Print_Area</vt:lpstr>
      <vt:lpstr>'예약)26년한마리민물장어덮밥'!Print_Area</vt:lpstr>
      <vt:lpstr>'윈즈 피벗'!Print_Area</vt:lpstr>
      <vt:lpstr>'제때 피벗 '!Print_Area</vt:lpstr>
      <vt:lpstr>치즈왕돈까스버거1편!Print_Area</vt:lpstr>
      <vt:lpstr>치즈왕돈까스버거2편!Print_Area</vt:lpstr>
      <vt:lpstr>'치킨25)매콤달콤닭강정(특수점)'!Print_Area</vt:lpstr>
      <vt:lpstr>'치킨25)매콤달콤닭강정200G(렌)'!Print_Area</vt:lpstr>
      <vt:lpstr>'태극당)우유팥바70ML'!Print_Area</vt:lpstr>
      <vt:lpstr>'태극당)인절미콘150ML'!Print_Area</vt:lpstr>
      <vt:lpstr>'티아이)아보카도아이스크림85G'!Print_Area</vt:lpstr>
      <vt:lpstr>'티아이)크림치즈브륄레90G'!Print_Area</vt:lpstr>
      <vt:lpstr>'피프레도)생요거트딸기젤라또'!Print_Area</vt:lpstr>
      <vt:lpstr>'피프레도)생초코젤라또474ML'!Print_Area</vt:lpstr>
      <vt:lpstr>'한빛에프엘 피벗'!Print_Area</vt:lpstr>
      <vt:lpstr>황치즈직화석쇠불고기버거1편!Print_Area</vt:lpstr>
      <vt:lpstr>황치즈직화석쇠불고기버거2편!Print_Area</vt:lpstr>
      <vt:lpstr>'효성 피벗'!Print_Area</vt:lpstr>
      <vt:lpstr>'효성)김치어묵피만두(고단백)'!Print_Area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2015</dc:creator>
  <cp:lastModifiedBy>oem</cp:lastModifiedBy>
  <cp:revision>2</cp:revision>
  <cp:lastPrinted>2026-10-14T04:49:18Z</cp:lastPrinted>
  <dcterms:created xsi:type="dcterms:W3CDTF">2019-12-22T14:27:20Z</dcterms:created>
  <dcterms:modified xsi:type="dcterms:W3CDTF">2026-10-14T06:55:55Z</dcterms:modified>
  <cp:version>1100.0100.01</cp:version>
</cp:coreProperties>
</file>