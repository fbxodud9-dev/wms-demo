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현재_통합_문서" defaultThemeVersion="124226"/>
  <mc:AlternateContent xmlns:mc="http://schemas.openxmlformats.org/markup-compatibility/2006">
    <mc:Choice Requires="x15">
      <x15ac:absPath xmlns:x15ac="http://schemas.microsoft.com/office/spreadsheetml/2010/11/ac" url="\\192.168.0.35\공유폴더\▶▶BGF, 세븐,코레일 발주+명세서\1.BGF 피킹검수\BGF 피킹검수(유라)\"/>
    </mc:Choice>
  </mc:AlternateContent>
  <xr:revisionPtr revIDLastSave="0" documentId="14_{4DC403E1-97AC-4906-A28C-670F65CD6157}" xr6:coauthVersionLast="47" xr6:coauthVersionMax="47" xr10:uidLastSave="{00000000-0000-0000-0000-000000000000}"/>
  <bookViews>
    <workbookView xWindow="33150" yWindow="0" windowWidth="22725" windowHeight="15420" tabRatio="908" firstSheet="0" activeTab="1" xr2:uid="{00000000-000D-0000-FFFF-FFFF00000000}"/>
  </bookViews>
  <sheets>
    <sheet name="참조은 피벗" sheetId="1715" r:id="rId4"/>
    <sheet name="참조은)그릭복숭아모찌롤" sheetId="2145" r:id="rId5"/>
    <sheet name="참조은)두바이쫀득초코" sheetId="2068" r:id="rId6"/>
    <sheet name="참조은)말차모찌롤케익" sheetId="1729" r:id="rId7"/>
    <sheet name="참조은)생초코파이" sheetId="1734" r:id="rId8"/>
    <sheet name="참조은)생초코파이쿠앤크" sheetId="1735" r:id="rId9"/>
    <sheet name="참조은)우유모찌롤케익" sheetId="2105" r:id="rId10"/>
    <sheet name="참조은)초코모찌롤케익" sheetId="2106" r:id="rId11"/>
    <sheet name="참조은 피벗(냉장 베이글)" sheetId="2150" r:id="rId12"/>
    <sheet name="KH)뉴욕베이글블루베리" sheetId="2151" r:id="rId13"/>
    <sheet name="KH)뉴욕베이글쿠앤크" sheetId="2152" r:id="rId14"/>
    <sheet name="KH)뉴욕베이글플레인" sheetId="2153" r:id="rId15"/>
    <sheet name="kH)뉴욕베이글피넛버터" sheetId="2154" r:id="rId16"/>
    <sheet name="조인앤조인 피벗" sheetId="2111" r:id="rId17"/>
    <sheet name="405)베어스무화과깜빠뉴" sheetId="2112" r:id="rId18"/>
    <sheet name="405)베어스지중해식깜빠뉴" sheetId="2113" r:id="rId19"/>
    <sheet name="널담)다크초코호두쿠키" sheetId="2114" r:id="rId20"/>
    <sheet name="널담)도넛케이크아몬드" sheetId="2174" r:id="rId21"/>
    <sheet name="널담)도넛케이크초코" sheetId="2169" r:id="rId22"/>
    <sheet name="널담)베이컨치즈베이글" sheetId="2158" r:id="rId23"/>
    <sheet name="널담)블랙올리브베이글" sheetId="2157" r:id="rId24"/>
    <sheet name="널담)화이트초코마카쿠키" sheetId="2115" r:id="rId25"/>
    <sheet name="널담)황치즈쿠키" sheetId="2116" r:id="rId26"/>
    <sheet name="대신 피벗" sheetId="2126" r:id="rId27"/>
    <sheet name="도)깐풍기&amp;표고탕수1" sheetId="2127" r:id="rId28"/>
    <sheet name="도)깐풍기&amp;표고탕수2" sheetId="2128" r:id="rId29"/>
    <sheet name="도)리얼모짜치즈돈까스1" sheetId="2129" r:id="rId30"/>
    <sheet name="도)리얼모짜치즈돈까스2" sheetId="2130" r:id="rId31"/>
    <sheet name="도)리얼치즈고구마돈까스1" sheetId="2164" r:id="rId32"/>
    <sheet name="도)리얼치즈고구마돈까스2" sheetId="2165" r:id="rId33"/>
    <sheet name="도)윙봉칠리탕수득템1" sheetId="2131" r:id="rId34"/>
    <sheet name="도)윙봉칠리탕수득템2" sheetId="2132" r:id="rId35"/>
    <sheet name="도)찍먹윙봉1" sheetId="2133" r:id="rId36"/>
    <sheet name="도)찍먹윙봉2" sheetId="2134" r:id="rId37"/>
    <sheet name="도)찍먹탕수육1" sheetId="2135" r:id="rId38"/>
    <sheet name="도)찍먹탕수육2" sheetId="2136" r:id="rId39"/>
    <sheet name="도)치맥아보트러플치킨1" sheetId="2146" r:id="rId40"/>
    <sheet name="도)치맥아보트러플치킨2" sheetId="2147" r:id="rId41"/>
    <sheet name="도)치즈매콤닭강정감자1" sheetId="2170" r:id="rId42"/>
    <sheet name="도)치즈매콤닭강정감자2" sheetId="2171" r:id="rId43"/>
    <sheet name="도)치즈청양간장닭강정1" sheetId="2160" r:id="rId44"/>
    <sheet name="도)치즈청양간장닭강정2" sheetId="2161" r:id="rId45"/>
    <sheet name="도)쿵야반반닭강정팩1" sheetId="2137" r:id="rId46"/>
    <sheet name="도)쿵야반반닭강정팩2" sheetId="2138" r:id="rId47"/>
    <sheet name="대신 APP예약피벗" sheetId="2148" r:id="rId48"/>
    <sheet name="APP)치맥아보트러플치킨2" sheetId="2149" r:id="rId49"/>
    <sheet name="네이처몬스터피벗" sheetId="2117" r:id="rId50"/>
    <sheet name="홍만당)요거트찹쌀떡딸기" sheetId="2162" r:id="rId51"/>
    <sheet name="홍만당)요거트찹쌀떡플레" sheetId="2163" r:id="rId52"/>
    <sheet name="홍만당)인절미버터토스트" sheetId="2141" r:id="rId53"/>
    <sheet name="홍만당)인절미토스트땅콩" sheetId="2159" r:id="rId54"/>
    <sheet name="홍만당)쫀득말차크림모찌 " sheetId="2120" r:id="rId55"/>
    <sheet name="홍만당)쫀득초코크림모찌" sheetId="2121" r:id="rId56"/>
    <sheet name="스윗밸런스 피벗" sheetId="2122" r:id="rId57"/>
    <sheet name="샐)닭가슴살&amp;단호박샐2" sheetId="2144" r:id="rId58"/>
    <sheet name="샐)돈불고기온샐러드2" sheetId="2172" r:id="rId59"/>
    <sheet name="샐)멕시칸닭가슴살샐러드2" sheetId="2123" r:id="rId60"/>
    <sheet name="샐)치킨너겟&amp;에그샐러드2" sheetId="2166" r:id="rId61"/>
    <sheet name="스윗밸런스 APP예약피벗" sheetId="2142" r:id="rId62"/>
    <sheet name="APP)너비아니랜치랩샌드2" sheetId="2143" r:id="rId63"/>
    <sheet name="스위트레시피 피벗" sheetId="2167" r:id="rId64"/>
    <sheet name="레쉬피)말차건반초콜릿" sheetId="2168" r:id="rId65"/>
    <sheet name="레쉬피)모찌파베다크" sheetId="2173" r:id="rId66"/>
  </sheets>
  <definedNames>
    <definedName name="_xlnm.Print_Area" localSheetId="14">'405)베어스무화과깜빠뉴'!$A$2:$H$48</definedName>
    <definedName name="_xlnm.Print_Area" localSheetId="15">'405)베어스지중해식깜빠뉴'!$A$2:$H$48</definedName>
    <definedName name="_xlnm.Print_Area" localSheetId="59">'APP)너비아니랜치랩샌드2'!$A$2:$H$48</definedName>
    <definedName name="_xlnm.Print_Area" localSheetId="45">'APP)치맥아보트러플치킨2'!$A$2:$H$48</definedName>
    <definedName name="_xlnm.Print_Area" localSheetId="9">'KH)뉴욕베이글블루베리'!$A$2:$H$48</definedName>
    <definedName name="_xlnm.Print_Area" localSheetId="10">'KH)뉴욕베이글쿠앤크'!$A$2:$H$48</definedName>
    <definedName name="_xlnm.Print_Area" localSheetId="11">'KH)뉴욕베이글플레인'!$A$2:$H$48</definedName>
    <definedName name="_xlnm.Print_Area" localSheetId="12">'kH)뉴욕베이글피넛버터'!$A$2:$H$48</definedName>
    <definedName name="_xlnm.Print_Area" localSheetId="16">'널담)다크초코호두쿠키'!$A$2:$H$48</definedName>
    <definedName name="_xlnm.Print_Area" localSheetId="17">'널담)도넛케이크아몬드'!$A$2:$H$48</definedName>
    <definedName name="_xlnm.Print_Area" localSheetId="18">'널담)도넛케이크초코'!$A$2:$H$48</definedName>
    <definedName name="_xlnm.Print_Area" localSheetId="19">'널담)베이컨치즈베이글'!$A$2:$H$48</definedName>
    <definedName name="_xlnm.Print_Area" localSheetId="20">'널담)블랙올리브베이글'!$A$2:$H$48</definedName>
    <definedName name="_xlnm.Print_Area" localSheetId="21">'널담)화이트초코마카쿠키'!$A$2:$H$48</definedName>
    <definedName name="_xlnm.Print_Area" localSheetId="22">'널담)황치즈쿠키'!$A$2:$H$48</definedName>
    <definedName name="_xlnm.Print_Area" localSheetId="46">네이처몬스터피벗!$A$1:$A$20</definedName>
    <definedName name="_xlnm.Print_Area" localSheetId="44">'대신 APP예약피벗'!$A$1:$A$4</definedName>
    <definedName name="_xlnm.Print_Area" localSheetId="23">'대신 피벗'!$A$1:$A$20</definedName>
    <definedName name="_xlnm.Print_Area" localSheetId="24">'도)깐풍기&amp;표고탕수1'!$A$2:$H$48</definedName>
    <definedName name="_xlnm.Print_Area" localSheetId="25">'도)깐풍기&amp;표고탕수2'!$A$2:$H$48</definedName>
    <definedName name="_xlnm.Print_Area" localSheetId="26">'도)리얼모짜치즈돈까스1'!$A$2:$H$48</definedName>
    <definedName name="_xlnm.Print_Area" localSheetId="27">'도)리얼모짜치즈돈까스2'!$A$2:$H$48</definedName>
    <definedName name="_xlnm.Print_Area" localSheetId="28">'도)리얼치즈고구마돈까스1'!$A$2:$H$48</definedName>
    <definedName name="_xlnm.Print_Area" localSheetId="29">'도)리얼치즈고구마돈까스2'!$A$2:$H$48</definedName>
    <definedName name="_xlnm.Print_Area" localSheetId="30">'도)윙봉칠리탕수득템1'!$A$2:$H$48</definedName>
    <definedName name="_xlnm.Print_Area" localSheetId="31">'도)윙봉칠리탕수득템2'!$A$2:$H$48</definedName>
    <definedName name="_xlnm.Print_Area" localSheetId="32">'도)찍먹윙봉1'!$A$2:$H$48</definedName>
    <definedName name="_xlnm.Print_Area" localSheetId="33">'도)찍먹윙봉2'!$A$2:$H$48</definedName>
    <definedName name="_xlnm.Print_Area" localSheetId="34">'도)찍먹탕수육1'!$A$2:$H$48</definedName>
    <definedName name="_xlnm.Print_Area" localSheetId="35">'도)찍먹탕수육2'!$A$2:$H$48</definedName>
    <definedName name="_xlnm.Print_Area" localSheetId="36">'도)치맥아보트러플치킨1'!$A$2:$H$48</definedName>
    <definedName name="_xlnm.Print_Area" localSheetId="37">'도)치맥아보트러플치킨2'!$A$2:$H$48</definedName>
    <definedName name="_xlnm.Print_Area" localSheetId="38">'도)치즈매콤닭강정감자1'!$A$2:$H$48</definedName>
    <definedName name="_xlnm.Print_Area" localSheetId="39">'도)치즈매콤닭강정감자2'!$A$2:$H$48</definedName>
    <definedName name="_xlnm.Print_Area" localSheetId="40">'도)치즈청양간장닭강정1'!$A$2:$H$48</definedName>
    <definedName name="_xlnm.Print_Area" localSheetId="41">'도)치즈청양간장닭강정2'!$A$2:$H$48</definedName>
    <definedName name="_xlnm.Print_Area" localSheetId="42">'도)쿵야반반닭강정팩1'!$A$2:$H$48</definedName>
    <definedName name="_xlnm.Print_Area" localSheetId="43">'도)쿵야반반닭강정팩2'!$A$2:$H$48</definedName>
    <definedName name="_xlnm.Print_Area" localSheetId="61">'레쉬피)말차건반초콜릿'!$A$2:$H$48</definedName>
    <definedName name="_xlnm.Print_Area" localSheetId="62">'레쉬피)모찌파베다크'!$A$2:$H$48</definedName>
    <definedName name="_xlnm.Print_Area" localSheetId="54">'샐)닭가슴살&amp;단호박샐2'!$A$2:$H$48</definedName>
    <definedName name="_xlnm.Print_Area" localSheetId="55">'샐)돈불고기온샐러드2'!$A$2:$H$48</definedName>
    <definedName name="_xlnm.Print_Area" localSheetId="56">'샐)멕시칸닭가슴살샐러드2'!$A$2:$H$48</definedName>
    <definedName name="_xlnm.Print_Area" localSheetId="57">'샐)치킨너겟&amp;에그샐러드2'!$A$2:$H$48</definedName>
    <definedName name="_xlnm.Print_Area" localSheetId="60">'스위트레시피 피벗'!$A$1:$A$20</definedName>
    <definedName name="_xlnm.Print_Area" localSheetId="58">'스윗밸런스 APP예약피벗'!$A$1:$A$4</definedName>
    <definedName name="_xlnm.Print_Area" localSheetId="53">'스윗밸런스 피벗'!$A$1:$A$20</definedName>
    <definedName name="_xlnm.Print_Area" localSheetId="13">'조인앤조인 피벗'!$A$1:$A$20</definedName>
    <definedName name="_xlnm.Print_Area" localSheetId="0">'참조은 피벗'!$A$1:$A$20</definedName>
    <definedName name="_xlnm.Print_Area" localSheetId="8">'참조은 피벗(냉장 베이글)'!$A$1:$A$20</definedName>
    <definedName name="_xlnm.Print_Area" localSheetId="1">'참조은)그릭복숭아모찌롤'!$A$2:$H$48</definedName>
    <definedName name="_xlnm.Print_Area" localSheetId="2">'참조은)두바이쫀득초코'!$A$2:$H$48</definedName>
    <definedName name="_xlnm.Print_Area" localSheetId="3">'참조은)말차모찌롤케익'!$A$2:$H$48</definedName>
    <definedName name="_xlnm.Print_Area" localSheetId="4">'참조은)생초코파이'!$A$2:$H$48</definedName>
    <definedName name="_xlnm.Print_Area" localSheetId="5">'참조은)생초코파이쿠앤크'!$A$2:$H$48</definedName>
    <definedName name="_xlnm.Print_Area" localSheetId="6">'참조은)우유모찌롤케익'!$A$2:$H$48</definedName>
    <definedName name="_xlnm.Print_Area" localSheetId="7">'참조은)초코모찌롤케익'!$A$2:$H$48</definedName>
    <definedName name="_xlnm.Print_Area" localSheetId="47">'홍만당)요거트찹쌀떡딸기'!$A$2:$H$48</definedName>
    <definedName name="_xlnm.Print_Area" localSheetId="48">'홍만당)요거트찹쌀떡플레'!$A$2:$H$48</definedName>
    <definedName name="_xlnm.Print_Area" localSheetId="49">'홍만당)인절미버터토스트'!$A$2:$H$48</definedName>
    <definedName name="_xlnm.Print_Area" localSheetId="50">'홍만당)인절미토스트땅콩'!$A$2:$H$48</definedName>
    <definedName name="_xlnm.Print_Area" localSheetId="51">'홍만당)쫀득말차크림모찌 '!$A$2:$H$48</definedName>
    <definedName name="_xlnm.Print_Area" localSheetId="52">'홍만당)쫀득초코크림모찌'!$A$2:$H$48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<sst xmlns="http://schemas.openxmlformats.org/spreadsheetml/2006/main" count="6575" uniqueCount="392">
  <si>
    <t>샐만사)리코타닭가슴살에그</t>
  </si>
  <si>
    <t>카카오)라이언초코케이크</t>
  </si>
  <si>
    <t>박스</t>
  </si>
  <si>
    <t>총합계</t>
  </si>
  <si>
    <t>족발</t>
  </si>
  <si>
    <t>익산</t>
  </si>
  <si>
    <t>고양2</t>
  </si>
  <si>
    <t>김포2</t>
  </si>
  <si>
    <t>도화</t>
  </si>
  <si>
    <t>도화2</t>
  </si>
  <si>
    <t>강릉</t>
  </si>
  <si>
    <t>고양</t>
  </si>
  <si>
    <t>김포3</t>
  </si>
  <si>
    <t>입수</t>
  </si>
  <si>
    <t>낱개</t>
  </si>
  <si>
    <t>껍데기</t>
  </si>
  <si>
    <t>발안</t>
  </si>
  <si>
    <t>원주</t>
  </si>
  <si>
    <t>경산2</t>
  </si>
  <si>
    <t>송파</t>
  </si>
  <si>
    <t>송파2</t>
  </si>
  <si>
    <t>아신A</t>
  </si>
  <si>
    <t>경산</t>
  </si>
  <si>
    <t>센터명</t>
  </si>
  <si>
    <t>발안2</t>
  </si>
  <si>
    <t>곤지암</t>
  </si>
  <si>
    <t>모서리족발
(냉장)</t>
  </si>
  <si>
    <t>소시지콘
치즈그라탕</t>
  </si>
  <si>
    <t>치킨에그콥
샐러드</t>
  </si>
  <si>
    <t>진가쭈꾸미 짬뽕</t>
  </si>
  <si>
    <t>쉬림프레몬콥샐러드</t>
  </si>
  <si>
    <t>직화)모둠햄부대찌개</t>
  </si>
  <si>
    <t>직화)스팸김치찌개</t>
  </si>
  <si>
    <t>케이준치킨에그샐러드</t>
  </si>
  <si>
    <t>VV68 ㈜지에스리테일경산일배센터</t>
  </si>
  <si>
    <t>VV69 ㈜지에스리테일강릉일배센터</t>
  </si>
  <si>
    <t>총 박스 수량  / 총 낱개 수량</t>
  </si>
  <si>
    <t>VV70 ㈜지에스리테일김포3일배</t>
  </si>
  <si>
    <t>VV71 (주)지에스리테일발안2일배</t>
  </si>
  <si>
    <t>VV55 (주)지에스리테일송파2일배</t>
  </si>
  <si>
    <t>VV17 (주)지에스리테일발안일배</t>
  </si>
  <si>
    <t>VV25 (주)지에스리테일진주일배</t>
  </si>
  <si>
    <t>VV11 (주)지에스리테일장성일배</t>
  </si>
  <si>
    <t>VV18 (주)지에스리테일이천일배</t>
  </si>
  <si>
    <t>VV52 (주)지에스리테일남양주일배</t>
  </si>
  <si>
    <t>VV53 (주)지에스리테일송파일배</t>
  </si>
  <si>
    <t>VV57 (주)지에스리테일김해일배</t>
  </si>
  <si>
    <t>VV50 (주)지에스리테일(제성)</t>
  </si>
  <si>
    <t>VV04 (주)지에스리테일공주일배</t>
  </si>
  <si>
    <t>VV60 ㈜지에스리테일오산일배</t>
  </si>
  <si>
    <t>VV16 (주)지에스리테일원주일배</t>
  </si>
  <si>
    <t>VV62 (주)지에스리테일김포2일배</t>
  </si>
  <si>
    <t>VV65 ㈜지에스리테일익산일배</t>
  </si>
  <si>
    <t>VV64 ㈜지에스리테일고양일배2</t>
  </si>
  <si>
    <t>VV66 지에스리테일인천도화일배</t>
  </si>
  <si>
    <t>VV03 (주)지에스리테일(아신A)</t>
  </si>
  <si>
    <t>VV58 (주)지에스리테일김해2일배</t>
  </si>
  <si>
    <t>VV75 (주)지에스리테일공주2일배</t>
  </si>
  <si>
    <t>VV63 ㈜지에스리테일고양일배센터</t>
  </si>
  <si>
    <t>VV34 (주)지에스리테일청주일배</t>
  </si>
  <si>
    <t>VV67 지에스리테일인천도화2일배</t>
  </si>
  <si>
    <t>VV40 (주)지에스리테일(해인경산)</t>
  </si>
  <si>
    <t>VV20 (주)지에스리테일(해인CVS)</t>
  </si>
  <si>
    <t>VV23 (주)지에스리테일(해인FF)</t>
  </si>
  <si>
    <t>돼지갈비</t>
  </si>
  <si>
    <t>반반족보세트</t>
  </si>
  <si>
    <t>검수 리스트</t>
  </si>
  <si>
    <t>행 레이블</t>
  </si>
  <si>
    <t>수제치즈돈까스</t>
  </si>
  <si>
    <t>직화불닭발</t>
  </si>
  <si>
    <t>고양3</t>
  </si>
  <si>
    <t>VV81 (주)지에스리테일고양저온3</t>
  </si>
  <si>
    <t>곤지암2</t>
  </si>
  <si>
    <t>VV83 지에스리테일경산저온</t>
  </si>
  <si>
    <t>VV84 ㈜지에스리테일경산2저온</t>
  </si>
  <si>
    <t>VV85 지에스리테일신오산1저온</t>
  </si>
  <si>
    <t>VV86 지에스리테일신오산2저온</t>
  </si>
  <si>
    <t>VV87 지에스리테일신오산3저온</t>
  </si>
  <si>
    <t>신오산1</t>
  </si>
  <si>
    <t>신오산2</t>
  </si>
  <si>
    <t>신오산3</t>
  </si>
  <si>
    <t>VV90 (주)지에스리테일포천저온</t>
  </si>
  <si>
    <t>VV91 (주)지에스리테일포천2저온</t>
  </si>
  <si>
    <t>낱개</t>
    <phoneticPr fontId="13" type="noConversion"/>
  </si>
  <si>
    <t>VV92 (주)지에스리테일신제주저온</t>
  </si>
  <si>
    <t>VV93 (주)지에스리테일곤지암센터</t>
  </si>
  <si>
    <t>VV94 (주)지에스리테일곤지암2센</t>
  </si>
  <si>
    <t>고기</t>
    <phoneticPr fontId="13" type="noConversion"/>
  </si>
  <si>
    <t>디저트</t>
    <phoneticPr fontId="13" type="noConversion"/>
  </si>
  <si>
    <t>열 레이블</t>
  </si>
  <si>
    <t>VV95 (주)지에스리테일신광주저온</t>
  </si>
  <si>
    <t>VV96 (주)지에스리테일신광주2저</t>
  </si>
  <si>
    <t>박스</t>
    <phoneticPr fontId="13" type="noConversion"/>
  </si>
  <si>
    <t>VV97 (주)지에스리테일경산3저온</t>
  </si>
  <si>
    <t>신광주</t>
  </si>
  <si>
    <t>신광주2</t>
  </si>
  <si>
    <t>포천</t>
  </si>
  <si>
    <t>포천2</t>
  </si>
  <si>
    <t>경산3</t>
  </si>
  <si>
    <t>고촌</t>
    <phoneticPr fontId="13" type="noConversion"/>
  </si>
  <si>
    <t>VV98 (주)지에스리테일고촌저온</t>
  </si>
  <si>
    <t>VV98 (주)지에스리테일고촌저온</t>
    <phoneticPr fontId="13" type="noConversion"/>
  </si>
  <si>
    <t>고촌2</t>
    <phoneticPr fontId="13" type="noConversion"/>
  </si>
  <si>
    <t>VV99 (주)지에스리테일고촌2저온</t>
  </si>
  <si>
    <t>VV99 (주)지에스리테일고촌2저온</t>
    <phoneticPr fontId="13" type="noConversion"/>
  </si>
  <si>
    <t>VV16 (주)지에스리테일원주일배</t>
    <phoneticPr fontId="13" type="noConversion"/>
  </si>
  <si>
    <t>김해</t>
    <phoneticPr fontId="13" type="noConversion"/>
  </si>
  <si>
    <t>김해2</t>
    <phoneticPr fontId="13" type="noConversion"/>
  </si>
  <si>
    <t>원주</t>
    <phoneticPr fontId="13" type="noConversion"/>
  </si>
  <si>
    <t>강릉</t>
    <phoneticPr fontId="13" type="noConversion"/>
  </si>
  <si>
    <t>소분박스</t>
    <phoneticPr fontId="13" type="noConversion"/>
  </si>
  <si>
    <t>소분낱개</t>
    <phoneticPr fontId="13" type="noConversion"/>
  </si>
  <si>
    <t>신광주</t>
    <phoneticPr fontId="13" type="noConversion"/>
  </si>
  <si>
    <t>신광주2</t>
    <phoneticPr fontId="13" type="noConversion"/>
  </si>
  <si>
    <t>익산</t>
    <phoneticPr fontId="13" type="noConversion"/>
  </si>
  <si>
    <t>공주</t>
    <phoneticPr fontId="13" type="noConversion"/>
  </si>
  <si>
    <t>공주2</t>
    <phoneticPr fontId="13" type="noConversion"/>
  </si>
  <si>
    <t>청주</t>
    <phoneticPr fontId="13" type="noConversion"/>
  </si>
  <si>
    <t>진주</t>
    <phoneticPr fontId="13" type="noConversion"/>
  </si>
  <si>
    <t>CVS</t>
    <phoneticPr fontId="13" type="noConversion"/>
  </si>
  <si>
    <t>신제주</t>
    <phoneticPr fontId="13" type="noConversion"/>
  </si>
  <si>
    <t>영남 합계</t>
    <phoneticPr fontId="13" type="noConversion"/>
  </si>
  <si>
    <t>수도권 합계</t>
    <phoneticPr fontId="13" type="noConversion"/>
  </si>
  <si>
    <t>호남 합계</t>
    <phoneticPr fontId="13" type="noConversion"/>
  </si>
  <si>
    <t>VV92 (주)지에스리테일신제주저온</t>
    <phoneticPr fontId="13" type="noConversion"/>
  </si>
  <si>
    <t>신라명과</t>
    <phoneticPr fontId="13" type="noConversion"/>
  </si>
  <si>
    <t>리얼)모닝롤208G</t>
    <phoneticPr fontId="13" type="noConversion"/>
  </si>
  <si>
    <t>리얼)모닝롤208G</t>
  </si>
  <si>
    <t>12/17</t>
  </si>
  <si>
    <t>NEW직화석쇠불고기버거1편</t>
    <phoneticPr fontId="13" type="noConversion"/>
  </si>
  <si>
    <t>NEW직화석쇠불고기버거2편</t>
    <phoneticPr fontId="13" type="noConversion"/>
  </si>
  <si>
    <t>2300원굿딜)매콤불고기1</t>
  </si>
  <si>
    <t>2300원굿딜)매콤불고기2</t>
  </si>
  <si>
    <t>2300원굿딜)불갈비버거1</t>
  </si>
  <si>
    <t>2300원굿딜)불갈비버거2</t>
  </si>
  <si>
    <t>(주)지에스리테일원주일배</t>
    <phoneticPr fontId="13" type="noConversion"/>
  </si>
  <si>
    <t>㈜지에스리테일강릉일배센터</t>
    <phoneticPr fontId="13" type="noConversion"/>
  </si>
  <si>
    <t>(주)지에스리테일김해일배</t>
    <phoneticPr fontId="13" type="noConversion"/>
  </si>
  <si>
    <t>(주)지에스리테일김해2일배</t>
    <phoneticPr fontId="13" type="noConversion"/>
  </si>
  <si>
    <t>(주)지에스리테일공주일배</t>
    <phoneticPr fontId="13" type="noConversion"/>
  </si>
  <si>
    <t>(주)지에스리테일공주2일배</t>
    <phoneticPr fontId="13" type="noConversion"/>
  </si>
  <si>
    <t>(주)지에스리테일청주일배</t>
    <phoneticPr fontId="13" type="noConversion"/>
  </si>
  <si>
    <t>(주)지에스리테일신제주저온</t>
    <phoneticPr fontId="13" type="noConversion"/>
  </si>
  <si>
    <t>(주)지에스리테일진주일배</t>
    <phoneticPr fontId="13" type="noConversion"/>
  </si>
  <si>
    <t>(주)지에스리테일(해인CVS)</t>
    <phoneticPr fontId="13" type="noConversion"/>
  </si>
  <si>
    <t>(주)지에스리테일신광주저온</t>
    <phoneticPr fontId="13" type="noConversion"/>
  </si>
  <si>
    <t>(주)지에스리테일신광주2저</t>
    <phoneticPr fontId="13" type="noConversion"/>
  </si>
  <si>
    <t>지에스리테일경산저온</t>
    <phoneticPr fontId="13" type="noConversion"/>
  </si>
  <si>
    <t>㈜지에스리테일경산2저온</t>
    <phoneticPr fontId="13" type="noConversion"/>
  </si>
  <si>
    <t>(주)지에스리테일경산3저온</t>
    <phoneticPr fontId="13" type="noConversion"/>
  </si>
  <si>
    <t>(주)지에스리테일(아신A)</t>
    <phoneticPr fontId="13" type="noConversion"/>
  </si>
  <si>
    <t>(주)지에스리테일포천저온</t>
    <phoneticPr fontId="13" type="noConversion"/>
  </si>
  <si>
    <t>(주)지에스리테일포천2저온</t>
    <phoneticPr fontId="13" type="noConversion"/>
  </si>
  <si>
    <t>(주)지에스리테일고촌저온</t>
    <phoneticPr fontId="13" type="noConversion"/>
  </si>
  <si>
    <t>(주)지에스리테일고촌2저온</t>
    <phoneticPr fontId="13" type="noConversion"/>
  </si>
  <si>
    <t>㈜지에스리테일고양일배센터</t>
    <phoneticPr fontId="13" type="noConversion"/>
  </si>
  <si>
    <t>㈜지에스리테일고양일배2</t>
    <phoneticPr fontId="13" type="noConversion"/>
  </si>
  <si>
    <t>(주)지에스리테일고양저온3</t>
    <phoneticPr fontId="13" type="noConversion"/>
  </si>
  <si>
    <t>(주)지에스리테일김포2일배</t>
    <phoneticPr fontId="13" type="noConversion"/>
  </si>
  <si>
    <t>㈜지에스리테일김포3일배</t>
    <phoneticPr fontId="13" type="noConversion"/>
  </si>
  <si>
    <t>지에스리테일인천도화일배</t>
    <phoneticPr fontId="13" type="noConversion"/>
  </si>
  <si>
    <t>지에스리테일인천도화2일배</t>
    <phoneticPr fontId="13" type="noConversion"/>
  </si>
  <si>
    <t>(주)지에스리테일발안일배</t>
    <phoneticPr fontId="13" type="noConversion"/>
  </si>
  <si>
    <t>(주)지에스리테일발안2일배</t>
    <phoneticPr fontId="13" type="noConversion"/>
  </si>
  <si>
    <t>(주)지에스리테일송파일배</t>
    <phoneticPr fontId="13" type="noConversion"/>
  </si>
  <si>
    <t>(주)지에스리테일송파2일배</t>
    <phoneticPr fontId="13" type="noConversion"/>
  </si>
  <si>
    <t>(주)지에스리테일곤지암센터</t>
    <phoneticPr fontId="13" type="noConversion"/>
  </si>
  <si>
    <t>(주)지에스리테일곤지암2센</t>
    <phoneticPr fontId="13" type="noConversion"/>
  </si>
  <si>
    <t>지에스리테일신오산1저온</t>
    <phoneticPr fontId="13" type="noConversion"/>
  </si>
  <si>
    <t>지에스리테일신오산2저온</t>
    <phoneticPr fontId="13" type="noConversion"/>
  </si>
  <si>
    <t>㈜지에스리테일익산일배</t>
    <phoneticPr fontId="13" type="noConversion"/>
  </si>
  <si>
    <t>A구역 합계</t>
    <phoneticPr fontId="13" type="noConversion"/>
  </si>
  <si>
    <t>B구역 합계</t>
    <phoneticPr fontId="13" type="noConversion"/>
  </si>
  <si>
    <t>□</t>
  </si>
  <si>
    <t>□</t>
    <phoneticPr fontId="13" type="noConversion"/>
  </si>
  <si>
    <t>조인앤조인 □</t>
    <phoneticPr fontId="13" type="noConversion"/>
  </si>
  <si>
    <t>대신 □</t>
    <phoneticPr fontId="13" type="noConversion"/>
  </si>
  <si>
    <t>황치즈직화석쇠불고기버거1편</t>
  </si>
  <si>
    <t>황치즈직화석쇠불고기버거2편</t>
  </si>
  <si>
    <t>김하나</t>
    <phoneticPr fontId="13" type="noConversion"/>
  </si>
  <si>
    <t>예)그릭샐러드</t>
    <phoneticPr fontId="13" type="noConversion"/>
  </si>
  <si>
    <t>예)닭가슴살샐러드</t>
    <phoneticPr fontId="13" type="noConversion"/>
  </si>
  <si>
    <t>예)들기름막국수샐러드</t>
    <phoneticPr fontId="13" type="noConversion"/>
  </si>
  <si>
    <t>예)모짜렐라샐러드</t>
    <phoneticPr fontId="13" type="noConversion"/>
  </si>
  <si>
    <t>예)새우샐러드</t>
    <phoneticPr fontId="13" type="noConversion"/>
  </si>
  <si>
    <t>예)연어샐러드</t>
    <phoneticPr fontId="13" type="noConversion"/>
  </si>
  <si>
    <t>예)직화불고기샐러드</t>
    <phoneticPr fontId="13" type="noConversion"/>
  </si>
  <si>
    <t>예)칠리치킨샐러드</t>
    <phoneticPr fontId="13" type="noConversion"/>
  </si>
  <si>
    <t>샐러드판다 □</t>
    <phoneticPr fontId="13" type="noConversion"/>
  </si>
  <si>
    <t>(주)지에스리테일(아신A)</t>
  </si>
  <si>
    <t>(주)지에스리테일(해인CVS)</t>
  </si>
  <si>
    <t>(주)지에스리테일경산3저온</t>
  </si>
  <si>
    <t>(주)지에스리테일고양저온3</t>
  </si>
  <si>
    <t>(주)지에스리테일고촌2저온</t>
  </si>
  <si>
    <t>(주)지에스리테일고촌저온</t>
  </si>
  <si>
    <t>(주)지에스리테일곤지암2센</t>
  </si>
  <si>
    <t>(주)지에스리테일곤지암센터</t>
  </si>
  <si>
    <t>(주)지에스리테일공주2일배</t>
  </si>
  <si>
    <t>(주)지에스리테일공주일배</t>
  </si>
  <si>
    <t>(주)지에스리테일김포2일배</t>
  </si>
  <si>
    <t>(주)지에스리테일김해2일배</t>
  </si>
  <si>
    <t>(주)지에스리테일김해일배</t>
  </si>
  <si>
    <t>(주)지에스리테일발안2일배</t>
  </si>
  <si>
    <t>(주)지에스리테일발안일배</t>
  </si>
  <si>
    <t>(주)지에스리테일송파2일배</t>
  </si>
  <si>
    <t>(주)지에스리테일송파일배</t>
  </si>
  <si>
    <t>(주)지에스리테일신광주2저</t>
  </si>
  <si>
    <t>(주)지에스리테일신광주저온</t>
  </si>
  <si>
    <t>(주)지에스리테일원주일배</t>
  </si>
  <si>
    <t>(주)지에스리테일진주일배</t>
  </si>
  <si>
    <t>(주)지에스리테일청주일배</t>
  </si>
  <si>
    <t>(주)지에스리테일포천2저온</t>
  </si>
  <si>
    <t>(주)지에스리테일포천저온</t>
  </si>
  <si>
    <t>지에스리테일신오산3저온</t>
  </si>
  <si>
    <t>㈜지에스리테일강릉일배센터</t>
  </si>
  <si>
    <t>㈜지에스리테일경산2저온</t>
  </si>
  <si>
    <t>㈜지에스리테일고양일배2</t>
  </si>
  <si>
    <t>㈜지에스리테일고양일배센터</t>
  </si>
  <si>
    <t>㈜지에스리테일김포3일배</t>
  </si>
  <si>
    <t>㈜지에스리테일익산일배</t>
  </si>
  <si>
    <t>지에스리테일경산저온</t>
  </si>
  <si>
    <t>지에스리테일신오산1저온</t>
  </si>
  <si>
    <t>지에스리테일신오산2저온</t>
  </si>
  <si>
    <t>지에스리테일인천도화2일배</t>
  </si>
  <si>
    <t>지에스리테일인천도화일배</t>
  </si>
  <si>
    <t>지에스리테일신오산3저온</t>
    <phoneticPr fontId="13" type="noConversion"/>
  </si>
  <si>
    <t>(주)지에스리테일신제주저온</t>
  </si>
  <si>
    <t>치즈왕돈까스버거1편</t>
  </si>
  <si>
    <t>치즈왕돈까스버거2편</t>
  </si>
  <si>
    <t>매콤직화석쇠불고기버거1편</t>
  </si>
  <si>
    <t>매콤직화석쇠불고기버거2편</t>
    <phoneticPr fontId="13" type="noConversion"/>
  </si>
  <si>
    <t>골든에프앤디 □</t>
    <phoneticPr fontId="13" type="noConversion"/>
  </si>
  <si>
    <t>예약)26년한마리민물장어덮밥</t>
    <phoneticPr fontId="13" type="noConversion"/>
  </si>
  <si>
    <t>예약)26년순살갈비탕</t>
    <phoneticPr fontId="13" type="noConversion"/>
  </si>
  <si>
    <t>예약)26년스지도가니탕</t>
    <phoneticPr fontId="13" type="noConversion"/>
  </si>
  <si>
    <t>예약)26년전통추어탕</t>
    <phoneticPr fontId="13" type="noConversion"/>
  </si>
  <si>
    <t>BGF로지스나주</t>
  </si>
  <si>
    <t>하이로지스</t>
  </si>
  <si>
    <t>씨제이김제</t>
  </si>
  <si>
    <t>씨제이경산</t>
  </si>
  <si>
    <t>BGF로지스대구</t>
  </si>
  <si>
    <t>엑소후레쉬양산</t>
  </si>
  <si>
    <t>극동로지스</t>
  </si>
  <si>
    <t>김해물류</t>
  </si>
  <si>
    <t>BGF로지스부산</t>
  </si>
  <si>
    <t>BGF로지스진주</t>
  </si>
  <si>
    <t>BGF로지스안성</t>
  </si>
  <si>
    <t>화인로지텍</t>
  </si>
  <si>
    <t>BGF로지스진천</t>
  </si>
  <si>
    <t>BGF로지스서인천1</t>
  </si>
  <si>
    <t>BGF로지스서인천2</t>
  </si>
  <si>
    <t>아신</t>
  </si>
  <si>
    <t>씨제이오산</t>
  </si>
  <si>
    <t>씨제이군포</t>
  </si>
  <si>
    <t>BGF로지스광주</t>
  </si>
  <si>
    <t>BGF로지스검단</t>
  </si>
  <si>
    <t>BGF로지스아산</t>
  </si>
  <si>
    <t>BGF로지스양주</t>
  </si>
  <si>
    <t>BGF로지스화성</t>
  </si>
  <si>
    <t>동부로지스</t>
  </si>
  <si>
    <t>BGF로지스강릉</t>
  </si>
  <si>
    <t>BGF로지스서귀포</t>
  </si>
  <si>
    <t>BGF로지스제주</t>
  </si>
  <si>
    <t>참조은 □</t>
    <phoneticPr fontId="13" type="noConversion"/>
  </si>
  <si>
    <t>나주</t>
    <phoneticPr fontId="13" type="noConversion"/>
  </si>
  <si>
    <t>김제</t>
    <phoneticPr fontId="13" type="noConversion"/>
  </si>
  <si>
    <t>경산</t>
    <phoneticPr fontId="13" type="noConversion"/>
  </si>
  <si>
    <t>대구</t>
    <phoneticPr fontId="13" type="noConversion"/>
  </si>
  <si>
    <t>양산</t>
    <phoneticPr fontId="13" type="noConversion"/>
  </si>
  <si>
    <t>부산</t>
    <phoneticPr fontId="13" type="noConversion"/>
  </si>
  <si>
    <t>안성</t>
    <phoneticPr fontId="13" type="noConversion"/>
  </si>
  <si>
    <t>진천</t>
    <phoneticPr fontId="13" type="noConversion"/>
  </si>
  <si>
    <t>서인천1</t>
    <phoneticPr fontId="13" type="noConversion"/>
  </si>
  <si>
    <t>서인천2</t>
    <phoneticPr fontId="13" type="noConversion"/>
  </si>
  <si>
    <t>아신</t>
    <phoneticPr fontId="13" type="noConversion"/>
  </si>
  <si>
    <t>오산</t>
    <phoneticPr fontId="13" type="noConversion"/>
  </si>
  <si>
    <t>군포</t>
    <phoneticPr fontId="13" type="noConversion"/>
  </si>
  <si>
    <t>광주</t>
    <phoneticPr fontId="13" type="noConversion"/>
  </si>
  <si>
    <t>아산</t>
    <phoneticPr fontId="13" type="noConversion"/>
  </si>
  <si>
    <t>양주</t>
    <phoneticPr fontId="13" type="noConversion"/>
  </si>
  <si>
    <t>화성</t>
    <phoneticPr fontId="13" type="noConversion"/>
  </si>
  <si>
    <t>서귀포</t>
    <phoneticPr fontId="13" type="noConversion"/>
  </si>
  <si>
    <t>제주</t>
    <phoneticPr fontId="13" type="noConversion"/>
  </si>
  <si>
    <t>호남권 합계</t>
    <phoneticPr fontId="13" type="noConversion"/>
  </si>
  <si>
    <t>경북(칠곡)합계</t>
    <phoneticPr fontId="13" type="noConversion"/>
  </si>
  <si>
    <t>경남(김해)합계</t>
    <phoneticPr fontId="13" type="noConversion"/>
  </si>
  <si>
    <t>총 박스/총 낱개수량</t>
    <phoneticPr fontId="13" type="noConversion"/>
  </si>
  <si>
    <t>참조은)두바이쫀득초코</t>
  </si>
  <si>
    <t>참조은)말차모찌롤케익</t>
  </si>
  <si>
    <t>참조은)생초코파이</t>
  </si>
  <si>
    <t>참조은)생초코파이쿠앤크</t>
  </si>
  <si>
    <t>참조은)우유모찌롤케익</t>
  </si>
  <si>
    <t>참조은)초코모찌롤케익</t>
  </si>
  <si>
    <t>참조은)두바이쫀득초코</t>
    <phoneticPr fontId="13" type="noConversion"/>
  </si>
  <si>
    <t>참조은)말차모찌롤케익</t>
    <phoneticPr fontId="13" type="noConversion"/>
  </si>
  <si>
    <t>참조은)생초코파이</t>
    <phoneticPr fontId="13" type="noConversion"/>
  </si>
  <si>
    <t>참조은)우유모찌롤케익</t>
    <phoneticPr fontId="13" type="noConversion"/>
  </si>
  <si>
    <t>참조은)초코모찌롤케익</t>
    <phoneticPr fontId="13" type="noConversion"/>
  </si>
  <si>
    <t>405)베어스무화과깜빠뉴</t>
  </si>
  <si>
    <t>405)베어스무화과깜빠뉴</t>
    <phoneticPr fontId="13" type="noConversion"/>
  </si>
  <si>
    <t>405)베어스지중해식깜빠뉴</t>
  </si>
  <si>
    <t>널담)다크초코호두쿠키</t>
  </si>
  <si>
    <t>널담)화이트초코마카쿠키</t>
  </si>
  <si>
    <t>널담)황치즈쿠키</t>
  </si>
  <si>
    <t>405)베어스지중해식깜빠뉴</t>
    <phoneticPr fontId="13" type="noConversion"/>
  </si>
  <si>
    <t>널담)다크초코호두쿠키</t>
    <phoneticPr fontId="13" type="noConversion"/>
  </si>
  <si>
    <t>널담)화이트초코마카쿠키</t>
    <phoneticPr fontId="13" type="noConversion"/>
  </si>
  <si>
    <t>홍만당)쫀득말차크림모찌</t>
  </si>
  <si>
    <t>홍만당)쫀득초코크림모찌</t>
  </si>
  <si>
    <t xml:space="preserve">홍만당)쫀득말차크림모찌 </t>
    <phoneticPr fontId="13" type="noConversion"/>
  </si>
  <si>
    <t>홍만당)쫀득초코크림모찌</t>
    <phoneticPr fontId="13" type="noConversion"/>
  </si>
  <si>
    <t>도)깐풍기&amp;표고탕수1</t>
  </si>
  <si>
    <t>도)깐풍기&amp;표고탕수1</t>
    <phoneticPr fontId="13" type="noConversion"/>
  </si>
  <si>
    <t>도)깐풍기&amp;표고탕수2</t>
  </si>
  <si>
    <t>도)리얼모짜치즈돈까스1</t>
  </si>
  <si>
    <t>도)리얼모짜치즈돈까스2</t>
  </si>
  <si>
    <t>도)윙봉칠리탕수득템1</t>
  </si>
  <si>
    <t>도)윙봉칠리탕수득템2</t>
  </si>
  <si>
    <t>도)찍먹윙봉1</t>
  </si>
  <si>
    <t>도)찍먹윙봉2</t>
  </si>
  <si>
    <t>도)찍먹탕수육1</t>
  </si>
  <si>
    <t>도)찍먹탕수육2</t>
  </si>
  <si>
    <t>도)깐풍기&amp;표고탕수2</t>
    <phoneticPr fontId="13" type="noConversion"/>
  </si>
  <si>
    <t>도)리얼모짜치즈돈까스1</t>
    <phoneticPr fontId="13" type="noConversion"/>
  </si>
  <si>
    <t>도)리얼모짜치즈돈까스2</t>
    <phoneticPr fontId="13" type="noConversion"/>
  </si>
  <si>
    <t>도)윙봉칠리탕수득템1</t>
    <phoneticPr fontId="13" type="noConversion"/>
  </si>
  <si>
    <t>도)윙봉칠리탕수득템2</t>
    <phoneticPr fontId="13" type="noConversion"/>
  </si>
  <si>
    <t>도)찍먹윙봉1</t>
    <phoneticPr fontId="13" type="noConversion"/>
  </si>
  <si>
    <t>도)찍먹윙봉2</t>
    <phoneticPr fontId="13" type="noConversion"/>
  </si>
  <si>
    <t>도)찍먹탕수육1</t>
    <phoneticPr fontId="13" type="noConversion"/>
  </si>
  <si>
    <t>도)찍먹탕수육2</t>
    <phoneticPr fontId="13" type="noConversion"/>
  </si>
  <si>
    <t>도)쿵야반반닭강정팩1</t>
    <phoneticPr fontId="13" type="noConversion"/>
  </si>
  <si>
    <t>도)쿵야반반닭강정팩2</t>
    <phoneticPr fontId="13" type="noConversion"/>
  </si>
  <si>
    <t>2편</t>
    <phoneticPr fontId="13" type="noConversion"/>
  </si>
  <si>
    <t>화인</t>
    <phoneticPr fontId="13" type="noConversion"/>
  </si>
  <si>
    <t>검단</t>
    <phoneticPr fontId="13" type="noConversion"/>
  </si>
  <si>
    <t>동부</t>
    <phoneticPr fontId="13" type="noConversion"/>
  </si>
  <si>
    <t>극동</t>
    <phoneticPr fontId="13" type="noConversion"/>
  </si>
  <si>
    <t>하이</t>
    <phoneticPr fontId="13" type="noConversion"/>
  </si>
  <si>
    <t>제주권 합계</t>
    <phoneticPr fontId="13" type="noConversion"/>
  </si>
  <si>
    <t>참조은)생초코파이 쿠앤크</t>
    <phoneticPr fontId="13" type="noConversion"/>
  </si>
  <si>
    <t>홍만당)인절미버터토스트</t>
    <phoneticPr fontId="13" type="noConversion"/>
  </si>
  <si>
    <t>홍만당)인절미버터토스트</t>
  </si>
  <si>
    <t>APP)너비아니랜치랩샌드2</t>
  </si>
  <si>
    <t>APP)너비아니랜치랩샌드2</t>
    <phoneticPr fontId="13" type="noConversion"/>
  </si>
  <si>
    <t>호연(대신) 1편 □</t>
    <phoneticPr fontId="13" type="noConversion"/>
  </si>
  <si>
    <t>호연(대신) 2편 □</t>
    <phoneticPr fontId="13" type="noConversion"/>
  </si>
  <si>
    <t>참조은)그릭복숭아모찌롤</t>
  </si>
  <si>
    <t>샐)멕시칸닭가슴살샐러드2</t>
  </si>
  <si>
    <t>도)치맥아보트러플치킨1</t>
  </si>
  <si>
    <t>도)치맥아보트러플치킨2</t>
  </si>
  <si>
    <t>APP)치맥아보트러플치킨2</t>
  </si>
  <si>
    <t>BGF로지스강릉</t>
    <phoneticPr fontId="13" type="noConversion"/>
  </si>
  <si>
    <t>KH)뉴욕베이글블루베리</t>
  </si>
  <si>
    <t>KH)뉴욕베이글쿠앤크</t>
  </si>
  <si>
    <t>KH)뉴욕베이글플레인</t>
  </si>
  <si>
    <t>kH)뉴욕베이글피넛버터</t>
  </si>
  <si>
    <t>참조은)그릭복숭아모찌롤</t>
    <phoneticPr fontId="13" type="noConversion"/>
  </si>
  <si>
    <t>9/9</t>
  </si>
  <si>
    <t>널담)블랙올리브베이글</t>
  </si>
  <si>
    <t>널담)베이컨치즈베이글</t>
  </si>
  <si>
    <t>도)쿵야반반닭강정팩1</t>
  </si>
  <si>
    <t>도)쿵야반반닭강정팩2</t>
  </si>
  <si>
    <t>홍만당)인절미토스트땅콩</t>
  </si>
  <si>
    <t>도)치즈청양간장닭강정1</t>
  </si>
  <si>
    <t>도)치즈청양간장닭강정2</t>
  </si>
  <si>
    <t>도)치즈청양간장닭강정2</t>
    <phoneticPr fontId="13" type="noConversion"/>
  </si>
  <si>
    <t>홍만당)요거트찹쌀떡플레</t>
  </si>
  <si>
    <t>샐)닭가슴살&amp;단호박샐2</t>
  </si>
  <si>
    <t>홍만당)요거트찹쌀떡딸기</t>
  </si>
  <si>
    <r>
      <t>홍만당)요거트찹쌀떡</t>
    </r>
    <r>
      <rPr>
        <b/>
        <sz val="22"/>
        <color rgb="FF000000"/>
        <rFont val="맑은 고딕"/>
        <family val="3"/>
        <charset val="129"/>
      </rPr>
      <t>딸기</t>
    </r>
    <phoneticPr fontId="13" type="noConversion"/>
  </si>
  <si>
    <r>
      <t>홍만당)요거트찹쌀떡</t>
    </r>
    <r>
      <rPr>
        <b/>
        <sz val="20"/>
        <color rgb="FF000000"/>
        <rFont val="맑은 고딕"/>
        <family val="3"/>
        <charset val="129"/>
      </rPr>
      <t>플레</t>
    </r>
    <phoneticPr fontId="13" type="noConversion"/>
  </si>
  <si>
    <t>도)리얼치즈고구마돈까스1</t>
  </si>
  <si>
    <t>도)리얼치즈고구마돈까스2</t>
  </si>
  <si>
    <r>
      <t>도)리얼</t>
    </r>
    <r>
      <rPr>
        <b/>
        <sz val="18"/>
        <color rgb="FF000000"/>
        <rFont val="맑은 고딕"/>
        <family val="3"/>
        <charset val="129"/>
      </rPr>
      <t xml:space="preserve">치즈고구마
</t>
    </r>
    <r>
      <rPr>
        <b/>
        <sz val="14"/>
        <color rgb="FF000000"/>
        <rFont val="맑은 고딕"/>
        <family val="3"/>
        <charset val="129"/>
      </rPr>
      <t>돈까스2</t>
    </r>
    <phoneticPr fontId="13" type="noConversion"/>
  </si>
  <si>
    <r>
      <t>도)리얼</t>
    </r>
    <r>
      <rPr>
        <b/>
        <sz val="18"/>
        <color rgb="FF000000"/>
        <rFont val="맑은 고딕"/>
        <family val="3"/>
        <charset val="129"/>
      </rPr>
      <t>치즈고구마</t>
    </r>
    <r>
      <rPr>
        <b/>
        <sz val="20"/>
        <color rgb="FF000000"/>
        <rFont val="맑은 고딕"/>
        <family val="3"/>
        <charset val="129"/>
      </rPr>
      <t xml:space="preserve">
</t>
    </r>
    <r>
      <rPr>
        <b/>
        <sz val="14"/>
        <color rgb="FF000000"/>
        <rFont val="맑은 고딕"/>
        <family val="3"/>
        <charset val="129"/>
      </rPr>
      <t>돈까스1</t>
    </r>
    <phoneticPr fontId="13" type="noConversion"/>
  </si>
  <si>
    <t>샐)치킨너겟&amp;에그샐러드2</t>
  </si>
  <si>
    <t>널담)도넛케이크초코</t>
    <phoneticPr fontId="13" type="noConversion"/>
  </si>
  <si>
    <t>도)치즈매콤닭강정감자1</t>
  </si>
  <si>
    <t>도)치즈매콤닭강정감자2</t>
    <phoneticPr fontId="13" type="noConversion"/>
  </si>
  <si>
    <t>레쉬피)말차건반초콜릿</t>
  </si>
  <si>
    <t>1편</t>
    <phoneticPr fontId="13" type="noConversion"/>
  </si>
  <si>
    <t xml:space="preserve">스위트레쉬피 (1편) □ </t>
    <phoneticPr fontId="13" type="noConversion"/>
  </si>
  <si>
    <t>스윗밸런스 (2편) □</t>
    <phoneticPr fontId="13" type="noConversion"/>
  </si>
  <si>
    <t>네이처몬스터 (1편) □</t>
    <phoneticPr fontId="13" type="noConversion"/>
  </si>
  <si>
    <t>널담)도넛케이크초코</t>
  </si>
  <si>
    <t>도)치즈매콤닭강정감자2</t>
  </si>
  <si>
    <t>샐)돈불고기온샐러드2</t>
  </si>
  <si>
    <t>레쉬피)모찌파베다크</t>
  </si>
  <si>
    <t>널담)도넛케이크아몬드</t>
  </si>
  <si>
    <t>10/17</t>
  </si>
  <si>
    <t>10/19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</si>
</sst>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1" formatCode="_-* #,##0_-;\-* #,##0_-;_-* &quot;-&quot;_-;_-@_-"/>
    <numFmt numFmtId="176" formatCode="mm&quot;월&quot;\ dd&quot;일&quot;"/>
  </numFmts>
  <fonts count="48" x14ac:knownFonts="1">
    <font>
      <sz val="11"/>
      <color rgb="FF000000"/>
      <name val="맑은 고딕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1"/>
      <color rgb="FF000000"/>
      <name val="맑은 고딕"/>
      <family val="3"/>
      <charset val="129"/>
    </font>
    <font>
      <b/>
      <sz val="12"/>
      <color rgb="FF000000"/>
      <name val="맑은 고딕"/>
      <family val="3"/>
      <charset val="129"/>
    </font>
    <font>
      <b/>
      <sz val="16"/>
      <color rgb="FF000000"/>
      <name val="맑은 고딕"/>
      <family val="3"/>
      <charset val="129"/>
    </font>
    <font>
      <b/>
      <sz val="14"/>
      <color rgb="FF000000"/>
      <name val="맑은 고딕"/>
      <family val="3"/>
      <charset val="129"/>
    </font>
    <font>
      <sz val="14"/>
      <color rgb="FF000000"/>
      <name val="맑은 고딕"/>
      <family val="3"/>
      <charset val="129"/>
    </font>
    <font>
      <b/>
      <sz val="13"/>
      <color rgb="FF000000"/>
      <name val="맑은 고딕"/>
      <family val="3"/>
      <charset val="129"/>
    </font>
    <font>
      <sz val="15"/>
      <color rgb="FF000000"/>
      <name val="맑은 고딕"/>
      <family val="3"/>
      <charset val="129"/>
    </font>
    <font>
      <b/>
      <sz val="15"/>
      <color rgb="FF000000"/>
      <name val="맑은 고딕"/>
      <family val="3"/>
      <charset val="129"/>
    </font>
    <font>
      <sz val="11"/>
      <color rgb="FF000000"/>
      <name val="맑은 고딕"/>
      <family val="3"/>
      <charset val="129"/>
    </font>
    <font>
      <sz val="8"/>
      <name val="돋움"/>
      <family val="3"/>
      <charset val="129"/>
    </font>
    <font>
      <sz val="11"/>
      <name val="맑은 고딕"/>
      <family val="3"/>
      <charset val="129"/>
    </font>
    <font>
      <sz val="11"/>
      <color rgb="FFFF0000"/>
      <name val="맑은 고딕"/>
      <family val="3"/>
      <charset val="129"/>
    </font>
    <font>
      <sz val="11"/>
      <color theme="1"/>
      <name val="맑은 고딕"/>
      <family val="3"/>
      <charset val="129"/>
    </font>
    <font>
      <sz val="16"/>
      <color rgb="FF000000"/>
      <name val="맑은 고딕"/>
      <family val="3"/>
      <charset val="129"/>
    </font>
    <font>
      <b/>
      <sz val="16"/>
      <color indexed="8"/>
      <name val="맑은 고딕"/>
      <family val="3"/>
      <charset val="129"/>
    </font>
    <font>
      <b/>
      <sz val="12"/>
      <color indexed="8"/>
      <name val="맑은 고딕"/>
      <family val="3"/>
      <charset val="129"/>
    </font>
    <font>
      <b/>
      <sz val="18"/>
      <color rgb="FF000000"/>
      <name val="맑은 고딕"/>
      <family val="3"/>
      <charset val="129"/>
    </font>
    <font>
      <b/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b/>
      <sz val="15"/>
      <color indexed="8"/>
      <name val="맑은 고딕"/>
      <family val="3"/>
      <charset val="129"/>
    </font>
    <font>
      <b/>
      <sz val="18"/>
      <color indexed="8"/>
      <name val="맑은 고딕"/>
      <family val="3"/>
      <charset val="129"/>
    </font>
    <font>
      <b/>
      <sz val="11"/>
      <color indexed="8"/>
      <name val="맑은 고딕"/>
      <family val="3"/>
      <charset val="129"/>
    </font>
    <font>
      <sz val="11"/>
      <color theme="1" tint="4.9989318521683403E-2"/>
      <name val="맑은 고딕"/>
      <family val="3"/>
      <charset val="129"/>
    </font>
    <font>
      <sz val="26"/>
      <color rgb="FF000000"/>
      <name val="맑은 고딕"/>
      <family val="3"/>
      <charset val="129"/>
    </font>
    <font>
      <sz val="16"/>
      <color indexed="8"/>
      <name val="맑은 고딕"/>
      <family val="3"/>
      <charset val="129"/>
    </font>
    <font>
      <b/>
      <sz val="20"/>
      <color rgb="FF000000"/>
      <name val="맑은 고딕"/>
      <family val="3"/>
      <charset val="129"/>
    </font>
    <font>
      <b/>
      <sz val="22"/>
      <color rgb="FF000000"/>
      <name val="맑은 고딕"/>
      <family val="3"/>
      <charset val="129"/>
    </font>
    <font>
      <sz val="14"/>
      <name val="맑은 고딕"/>
      <family val="3"/>
      <charset val="129"/>
    </font>
    <font>
      <sz val="16"/>
      <name val="맑은 고딕"/>
      <family val="3"/>
      <charset val="129"/>
    </font>
    <font>
      <b/>
      <sz val="16"/>
      <name val="맑은 고딕"/>
      <family val="3"/>
      <charset val="129"/>
    </font>
  </fonts>
  <fills count="52">
    <fill>
      <patternFill patternType="none"/>
    </fill>
    <fill>
      <patternFill patternType="gray125"/>
    </fill>
    <fill>
      <patternFill patternType="solid">
        <fgColor rgb="FFB7DEE8"/>
        <bgColor indexed="64"/>
      </patternFill>
    </fill>
    <fill>
      <patternFill patternType="solid">
        <fgColor rgb="FFB7DEE8"/>
        <bgColor rgb="FFDCE6F1"/>
      </patternFill>
    </fill>
    <fill>
      <patternFill patternType="solid">
        <fgColor rgb="FF92D050"/>
        <bgColor rgb="FFDCE6F1"/>
      </patternFill>
    </fill>
    <fill>
      <patternFill patternType="solid">
        <fgColor rgb="FF568ED4"/>
        <bgColor rgb="FFDCE6F1"/>
      </patternFill>
    </fill>
    <fill>
      <patternFill patternType="solid">
        <fgColor rgb="FFFFC000"/>
        <bgColor indexed="64"/>
      </patternFill>
    </fill>
    <fill>
      <patternFill patternType="solid">
        <fgColor rgb="FF92CDDD"/>
        <bgColor indexed="64"/>
      </patternFill>
    </fill>
    <fill>
      <patternFill patternType="solid">
        <fgColor rgb="FFFFFF00"/>
        <bgColor rgb="FFDCE6F1"/>
      </patternFill>
    </fill>
    <fill>
      <patternFill patternType="solid">
        <fgColor rgb="FF7030A0"/>
        <bgColor rgb="FFDCE6F1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B1F9C6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7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theme="1"/>
      </left>
      <right style="medium">
        <color theme="1"/>
      </right>
      <top style="medium">
        <color theme="1"/>
      </top>
      <bottom style="medium">
        <color theme="1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theme="1"/>
      </left>
      <right style="thin">
        <color indexed="64"/>
      </right>
      <top style="thin">
        <color indexed="64"/>
      </top>
      <bottom style="medium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theme="1"/>
      </bottom>
      <diagonal/>
    </border>
    <border>
      <left style="medium">
        <color theme="1"/>
      </left>
      <right/>
      <top style="medium">
        <color theme="1"/>
      </top>
      <bottom/>
      <diagonal/>
    </border>
    <border>
      <left/>
      <right/>
      <top style="medium">
        <color theme="1"/>
      </top>
      <bottom/>
      <diagonal/>
    </border>
    <border>
      <left/>
      <right style="medium">
        <color theme="1"/>
      </right>
      <top style="medium">
        <color theme="1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 style="thin">
        <color indexed="64"/>
      </right>
      <top style="medium">
        <color theme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theme="1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theme="1"/>
      </left>
      <right style="thin">
        <color indexed="64"/>
      </right>
      <top/>
      <bottom style="medium">
        <color theme="1"/>
      </bottom>
      <diagonal/>
    </border>
    <border>
      <left style="thin">
        <color indexed="64"/>
      </left>
      <right style="thin">
        <color indexed="64"/>
      </right>
      <top/>
      <bottom style="medium">
        <color theme="1"/>
      </bottom>
      <diagonal/>
    </border>
    <border>
      <left style="thin">
        <color indexed="64"/>
      </left>
      <right style="medium">
        <color theme="1"/>
      </right>
      <top/>
      <bottom style="medium">
        <color theme="1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medium">
        <color indexed="64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theme="1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theme="1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theme="1"/>
      </left>
      <right/>
      <top style="medium">
        <color theme="1"/>
      </top>
      <bottom style="medium">
        <color indexed="64"/>
      </bottom>
      <diagonal/>
    </border>
    <border>
      <left/>
      <right/>
      <top style="medium">
        <color theme="1"/>
      </top>
      <bottom style="medium">
        <color indexed="64"/>
      </bottom>
      <diagonal/>
    </border>
    <border>
      <left/>
      <right style="medium">
        <color theme="1"/>
      </right>
      <top style="medium">
        <color theme="1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61">
    <xf numFmtId="0" fontId="0" fillId="0" borderId="0">
      <alignment vertical="center"/>
    </xf>
    <xf numFmtId="41" fontId="12" fillId="0" borderId="0">
      <alignment vertical="center"/>
    </xf>
    <xf numFmtId="0" fontId="12" fillId="0" borderId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28" applyNumberFormat="0" applyFill="0" applyAlignment="0" applyProtection="0">
      <alignment vertical="center"/>
    </xf>
    <xf numFmtId="0" fontId="23" fillId="0" borderId="29" applyNumberFormat="0" applyFill="0" applyAlignment="0" applyProtection="0">
      <alignment vertical="center"/>
    </xf>
    <xf numFmtId="0" fontId="24" fillId="0" borderId="30" applyNumberFormat="0" applyFill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8" fillId="16" borderId="31" applyNumberFormat="0" applyAlignment="0" applyProtection="0">
      <alignment vertical="center"/>
    </xf>
    <xf numFmtId="0" fontId="29" fillId="17" borderId="32" applyNumberFormat="0" applyAlignment="0" applyProtection="0">
      <alignment vertical="center"/>
    </xf>
    <xf numFmtId="0" fontId="30" fillId="17" borderId="31" applyNumberFormat="0" applyAlignment="0" applyProtection="0">
      <alignment vertical="center"/>
    </xf>
    <xf numFmtId="0" fontId="31" fillId="0" borderId="33" applyNumberFormat="0" applyFill="0" applyAlignment="0" applyProtection="0">
      <alignment vertical="center"/>
    </xf>
    <xf numFmtId="0" fontId="32" fillId="18" borderId="34" applyNumberFormat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5" fillId="0" borderId="36" applyNumberFormat="0" applyFill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6" fillId="23" borderId="0" applyNumberFormat="0" applyBorder="0" applyAlignment="0" applyProtection="0">
      <alignment vertical="center"/>
    </xf>
    <xf numFmtId="0" fontId="36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6" fillId="27" borderId="0" applyNumberFormat="0" applyBorder="0" applyAlignment="0" applyProtection="0">
      <alignment vertical="center"/>
    </xf>
    <xf numFmtId="0" fontId="36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6" fillId="31" borderId="0" applyNumberFormat="0" applyBorder="0" applyAlignment="0" applyProtection="0">
      <alignment vertical="center"/>
    </xf>
    <xf numFmtId="0" fontId="36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6" fillId="35" borderId="0" applyNumberFormat="0" applyBorder="0" applyAlignment="0" applyProtection="0">
      <alignment vertical="center"/>
    </xf>
    <xf numFmtId="0" fontId="36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38" borderId="0" applyNumberFormat="0" applyBorder="0" applyAlignment="0" applyProtection="0">
      <alignment vertical="center"/>
    </xf>
    <xf numFmtId="0" fontId="36" fillId="39" borderId="0" applyNumberFormat="0" applyBorder="0" applyAlignment="0" applyProtection="0">
      <alignment vertical="center"/>
    </xf>
    <xf numFmtId="0" fontId="36" fillId="40" borderId="0" applyNumberFormat="0" applyBorder="0" applyAlignment="0" applyProtection="0">
      <alignment vertical="center"/>
    </xf>
    <xf numFmtId="0" fontId="3" fillId="41" borderId="0" applyNumberFormat="0" applyBorder="0" applyAlignment="0" applyProtection="0">
      <alignment vertical="center"/>
    </xf>
    <xf numFmtId="0" fontId="3" fillId="42" borderId="0" applyNumberFormat="0" applyBorder="0" applyAlignment="0" applyProtection="0">
      <alignment vertical="center"/>
    </xf>
    <xf numFmtId="0" fontId="36" fillId="4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9" borderId="35" applyNumberFormat="0" applyFont="0" applyAlignment="0" applyProtection="0">
      <alignment vertical="center"/>
    </xf>
    <xf numFmtId="0" fontId="2" fillId="0" borderId="0">
      <alignment vertical="center"/>
    </xf>
    <xf numFmtId="0" fontId="2" fillId="19" borderId="35" applyNumberFormat="0" applyFont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41" fontId="12" fillId="0" borderId="0">
      <alignment vertical="center"/>
    </xf>
    <xf numFmtId="0" fontId="1" fillId="0" borderId="0">
      <alignment vertical="center"/>
    </xf>
  </cellStyleXfs>
  <cellXfs count="311">
    <xf numFmtId="0" fontId="0" fillId="0" borderId="0" xfId="0">
      <alignment vertical="center"/>
    </xf>
    <xf numFmtId="0" fontId="0" fillId="0" borderId="1" xfId="0" applyBorder="1" applyAlignment="1">
      <alignment horizontal="left" vertical="center"/>
    </xf>
    <xf numFmtId="41" fontId="0" fillId="0" borderId="0" xfId="1" applyFont="1">
      <alignment vertical="center"/>
    </xf>
    <xf numFmtId="0" fontId="0" fillId="0" borderId="2" xfId="0" applyBorder="1" applyAlignment="1">
      <alignment horizontal="left" vertical="center"/>
    </xf>
    <xf numFmtId="0" fontId="0" fillId="2" borderId="3" xfId="0" applyFill="1" applyBorder="1" applyAlignment="1">
      <alignment horizontal="left" vertical="center"/>
    </xf>
    <xf numFmtId="0" fontId="0" fillId="2" borderId="4" xfId="0" applyFill="1" applyBorder="1">
      <alignment vertical="center"/>
    </xf>
    <xf numFmtId="0" fontId="0" fillId="0" borderId="5" xfId="0" applyBorder="1" applyAlignment="1">
      <alignment horizontal="left"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4" fillId="2" borderId="8" xfId="0" applyFont="1" applyFill="1" applyBorder="1">
      <alignment vertical="center"/>
    </xf>
    <xf numFmtId="0" fontId="4" fillId="3" borderId="9" xfId="0" applyFont="1" applyFill="1" applyBorder="1" applyAlignment="1">
      <alignment horizontal="center" vertical="center" wrapText="1"/>
    </xf>
    <xf numFmtId="41" fontId="0" fillId="0" borderId="6" xfId="1" applyFont="1" applyBorder="1" applyAlignment="1">
      <alignment horizontal="right" vertical="center"/>
    </xf>
    <xf numFmtId="0" fontId="4" fillId="4" borderId="10" xfId="0" applyFont="1" applyFill="1" applyBorder="1" applyAlignment="1">
      <alignment horizontal="center" vertical="center" wrapText="1"/>
    </xf>
    <xf numFmtId="0" fontId="4" fillId="5" borderId="10" xfId="0" applyFont="1" applyFill="1" applyBorder="1" applyAlignment="1">
      <alignment horizontal="center" vertical="center" wrapText="1"/>
    </xf>
    <xf numFmtId="0" fontId="4" fillId="6" borderId="10" xfId="0" applyFont="1" applyFill="1" applyBorder="1" applyAlignment="1">
      <alignment horizontal="center" vertical="center" wrapText="1"/>
    </xf>
    <xf numFmtId="0" fontId="4" fillId="7" borderId="10" xfId="0" applyFont="1" applyFill="1" applyBorder="1" applyAlignment="1">
      <alignment horizontal="center" vertical="center" wrapText="1"/>
    </xf>
    <xf numFmtId="0" fontId="4" fillId="5" borderId="12" xfId="0" applyFont="1" applyFill="1" applyBorder="1" applyAlignment="1">
      <alignment horizontal="center" vertical="center" wrapText="1"/>
    </xf>
    <xf numFmtId="0" fontId="4" fillId="8" borderId="12" xfId="0" applyFont="1" applyFill="1" applyBorder="1" applyAlignment="1">
      <alignment horizontal="center" vertical="center" wrapText="1"/>
    </xf>
    <xf numFmtId="0" fontId="4" fillId="9" borderId="12" xfId="0" applyFont="1" applyFill="1" applyBorder="1" applyAlignment="1">
      <alignment horizontal="center" vertical="center" wrapText="1"/>
    </xf>
    <xf numFmtId="41" fontId="0" fillId="0" borderId="0" xfId="0" applyNumberFormat="1">
      <alignment vertical="center"/>
    </xf>
    <xf numFmtId="41" fontId="8" fillId="0" borderId="1" xfId="1" applyFont="1" applyBorder="1">
      <alignment vertical="center"/>
    </xf>
    <xf numFmtId="176" fontId="0" fillId="0" borderId="0" xfId="0" applyNumberFormat="1">
      <alignment vertical="center"/>
    </xf>
    <xf numFmtId="41" fontId="5" fillId="0" borderId="1" xfId="1" applyFont="1" applyBorder="1" applyAlignment="1">
      <alignment horizontal="center" vertical="center"/>
    </xf>
    <xf numFmtId="41" fontId="0" fillId="0" borderId="0" xfId="1" applyFont="1" applyAlignment="1">
      <alignment horizontal="center" vertical="center"/>
    </xf>
    <xf numFmtId="41" fontId="10" fillId="0" borderId="1" xfId="1" applyFont="1" applyBorder="1">
      <alignment vertical="center"/>
    </xf>
    <xf numFmtId="41" fontId="5" fillId="0" borderId="15" xfId="1" applyFont="1" applyBorder="1" applyAlignment="1">
      <alignment horizontal="center" vertical="center"/>
    </xf>
    <xf numFmtId="41" fontId="8" fillId="0" borderId="15" xfId="1" applyFont="1" applyBorder="1">
      <alignment vertical="center"/>
    </xf>
    <xf numFmtId="41" fontId="10" fillId="10" borderId="1" xfId="1" applyFont="1" applyFill="1" applyBorder="1">
      <alignment vertical="center"/>
    </xf>
    <xf numFmtId="41" fontId="8" fillId="10" borderId="1" xfId="1" applyFont="1" applyFill="1" applyBorder="1">
      <alignment vertical="center"/>
    </xf>
    <xf numFmtId="41" fontId="12" fillId="0" borderId="0" xfId="1">
      <alignment vertical="center"/>
    </xf>
    <xf numFmtId="0" fontId="12" fillId="0" borderId="0" xfId="0" applyFont="1">
      <alignment vertical="center"/>
    </xf>
    <xf numFmtId="41" fontId="8" fillId="10" borderId="15" xfId="1" applyFont="1" applyFill="1" applyBorder="1">
      <alignment vertical="center"/>
    </xf>
    <xf numFmtId="41" fontId="12" fillId="0" borderId="0" xfId="1" applyAlignment="1">
      <alignment horizontal="center" vertical="center"/>
    </xf>
    <xf numFmtId="41" fontId="11" fillId="0" borderId="1" xfId="1" applyFont="1" applyBorder="1" applyAlignment="1">
      <alignment horizontal="center" vertical="center"/>
    </xf>
    <xf numFmtId="0" fontId="12" fillId="0" borderId="0" xfId="2">
      <alignment vertical="center"/>
    </xf>
    <xf numFmtId="0" fontId="4" fillId="0" borderId="1" xfId="2" applyFont="1" applyBorder="1" applyAlignment="1">
      <alignment horizontal="center" vertical="center"/>
    </xf>
    <xf numFmtId="0" fontId="6" fillId="10" borderId="1" xfId="2" applyFont="1" applyFill="1" applyBorder="1" applyAlignment="1">
      <alignment horizontal="center" vertical="center"/>
    </xf>
    <xf numFmtId="0" fontId="12" fillId="10" borderId="1" xfId="2" applyFill="1" applyBorder="1" applyAlignment="1">
      <alignment horizontal="center" vertical="center"/>
    </xf>
    <xf numFmtId="0" fontId="12" fillId="0" borderId="0" xfId="2" applyAlignment="1">
      <alignment horizontal="center" vertical="center"/>
    </xf>
    <xf numFmtId="0" fontId="12" fillId="11" borderId="0" xfId="2" applyFill="1">
      <alignment vertical="center"/>
    </xf>
    <xf numFmtId="41" fontId="17" fillId="11" borderId="4" xfId="1" applyFont="1" applyFill="1" applyBorder="1">
      <alignment vertical="center"/>
    </xf>
    <xf numFmtId="41" fontId="6" fillId="11" borderId="4" xfId="1" applyFont="1" applyFill="1" applyBorder="1">
      <alignment vertical="center"/>
    </xf>
    <xf numFmtId="0" fontId="11" fillId="11" borderId="3" xfId="2" applyFont="1" applyFill="1" applyBorder="1" applyAlignment="1">
      <alignment horizontal="left" vertical="center"/>
    </xf>
    <xf numFmtId="0" fontId="10" fillId="11" borderId="4" xfId="2" applyFont="1" applyFill="1" applyBorder="1" applyAlignment="1">
      <alignment horizontal="center" vertical="center"/>
    </xf>
    <xf numFmtId="0" fontId="4" fillId="0" borderId="2" xfId="2" applyFont="1" applyBorder="1">
      <alignment vertical="center"/>
    </xf>
    <xf numFmtId="41" fontId="11" fillId="0" borderId="15" xfId="1" applyFont="1" applyBorder="1" applyAlignment="1">
      <alignment horizontal="center" vertical="center"/>
    </xf>
    <xf numFmtId="0" fontId="12" fillId="10" borderId="2" xfId="2" applyFill="1" applyBorder="1">
      <alignment vertical="center"/>
    </xf>
    <xf numFmtId="0" fontId="12" fillId="10" borderId="2" xfId="2" applyFill="1" applyBorder="1" applyAlignment="1">
      <alignment horizontal="left" vertical="center"/>
    </xf>
    <xf numFmtId="0" fontId="6" fillId="11" borderId="4" xfId="2" applyFont="1" applyFill="1" applyBorder="1" applyAlignment="1">
      <alignment horizontal="left" vertical="center"/>
    </xf>
    <xf numFmtId="0" fontId="12" fillId="0" borderId="2" xfId="2" applyBorder="1" applyAlignment="1">
      <alignment horizontal="left" vertical="center"/>
    </xf>
    <xf numFmtId="0" fontId="12" fillId="0" borderId="1" xfId="2" applyBorder="1" applyAlignment="1">
      <alignment horizontal="center" vertical="center"/>
    </xf>
    <xf numFmtId="0" fontId="6" fillId="0" borderId="1" xfId="2" applyFont="1" applyBorder="1" applyAlignment="1">
      <alignment horizontal="center" vertical="center"/>
    </xf>
    <xf numFmtId="0" fontId="12" fillId="0" borderId="2" xfId="2" applyBorder="1">
      <alignment vertical="center"/>
    </xf>
    <xf numFmtId="14" fontId="12" fillId="0" borderId="0" xfId="2" applyNumberFormat="1">
      <alignment vertical="center"/>
    </xf>
    <xf numFmtId="41" fontId="6" fillId="10" borderId="1" xfId="1" applyFont="1" applyFill="1" applyBorder="1">
      <alignment vertical="center"/>
    </xf>
    <xf numFmtId="41" fontId="18" fillId="10" borderId="1" xfId="1" applyFont="1" applyFill="1" applyBorder="1">
      <alignment vertical="center"/>
    </xf>
    <xf numFmtId="0" fontId="6" fillId="10" borderId="1" xfId="2" applyFont="1" applyFill="1" applyBorder="1" applyAlignment="1">
      <alignment horizontal="left" vertical="center"/>
    </xf>
    <xf numFmtId="0" fontId="10" fillId="10" borderId="1" xfId="2" applyFont="1" applyFill="1" applyBorder="1" applyAlignment="1">
      <alignment horizontal="center" vertical="center"/>
    </xf>
    <xf numFmtId="0" fontId="16" fillId="0" borderId="0" xfId="2" applyFont="1">
      <alignment vertical="center"/>
    </xf>
    <xf numFmtId="0" fontId="7" fillId="0" borderId="0" xfId="0" applyFont="1" applyAlignment="1">
      <alignment horizontal="center" vertical="center"/>
    </xf>
    <xf numFmtId="14" fontId="7" fillId="0" borderId="22" xfId="2" applyNumberFormat="1" applyFont="1" applyBorder="1">
      <alignment vertical="center"/>
    </xf>
    <xf numFmtId="0" fontId="5" fillId="0" borderId="26" xfId="0" applyFont="1" applyBorder="1" applyAlignment="1">
      <alignment horizontal="center" vertical="center"/>
    </xf>
    <xf numFmtId="14" fontId="12" fillId="0" borderId="0" xfId="1" applyNumberFormat="1">
      <alignment vertical="center"/>
    </xf>
    <xf numFmtId="0" fontId="14" fillId="0" borderId="0" xfId="2" applyFont="1" applyAlignment="1">
      <alignment horizontal="center" vertical="center"/>
    </xf>
    <xf numFmtId="0" fontId="15" fillId="0" borderId="0" xfId="2" applyFont="1" applyAlignment="1">
      <alignment horizontal="center" vertical="center"/>
    </xf>
    <xf numFmtId="0" fontId="11" fillId="0" borderId="26" xfId="2" applyFont="1" applyBorder="1" applyAlignment="1">
      <alignment horizontal="center" vertical="center"/>
    </xf>
    <xf numFmtId="0" fontId="11" fillId="0" borderId="20" xfId="2" applyFont="1" applyBorder="1" applyAlignment="1">
      <alignment horizontal="center" vertical="center"/>
    </xf>
    <xf numFmtId="0" fontId="10" fillId="0" borderId="0" xfId="2" applyFont="1">
      <alignment vertical="center"/>
    </xf>
    <xf numFmtId="0" fontId="11" fillId="0" borderId="21" xfId="2" applyFont="1" applyBorder="1" applyAlignment="1">
      <alignment horizontal="center" vertical="center"/>
    </xf>
    <xf numFmtId="0" fontId="11" fillId="0" borderId="1" xfId="2" applyFont="1" applyBorder="1" applyAlignment="1">
      <alignment horizontal="center" vertical="center"/>
    </xf>
    <xf numFmtId="0" fontId="11" fillId="0" borderId="0" xfId="2" applyFont="1" applyAlignment="1">
      <alignment horizontal="center" vertical="center"/>
    </xf>
    <xf numFmtId="0" fontId="37" fillId="0" borderId="21" xfId="2" applyFont="1" applyBorder="1" applyAlignment="1">
      <alignment horizontal="center" vertical="center"/>
    </xf>
    <xf numFmtId="0" fontId="37" fillId="0" borderId="1" xfId="2" applyFont="1" applyBorder="1" applyAlignment="1">
      <alignment horizontal="center" vertical="center"/>
    </xf>
    <xf numFmtId="0" fontId="17" fillId="0" borderId="0" xfId="2" applyFont="1">
      <alignment vertical="center"/>
    </xf>
    <xf numFmtId="0" fontId="5" fillId="12" borderId="24" xfId="0" applyFont="1" applyFill="1" applyBorder="1">
      <alignment vertical="center"/>
    </xf>
    <xf numFmtId="0" fontId="20" fillId="12" borderId="19" xfId="0" applyFont="1" applyFill="1" applyBorder="1" applyAlignment="1">
      <alignment horizontal="center" vertical="center"/>
    </xf>
    <xf numFmtId="41" fontId="6" fillId="10" borderId="1" xfId="2" applyNumberFormat="1" applyFont="1" applyFill="1" applyBorder="1">
      <alignment vertical="center"/>
    </xf>
    <xf numFmtId="41" fontId="12" fillId="0" borderId="0" xfId="2" applyNumberFormat="1">
      <alignment vertical="center"/>
    </xf>
    <xf numFmtId="0" fontId="12" fillId="0" borderId="0" xfId="2" applyAlignment="1">
      <alignment horizontal="left" vertical="center"/>
    </xf>
    <xf numFmtId="0" fontId="5" fillId="12" borderId="38" xfId="0" applyFont="1" applyFill="1" applyBorder="1">
      <alignment vertical="center"/>
    </xf>
    <xf numFmtId="0" fontId="20" fillId="12" borderId="39" xfId="0" applyFont="1" applyFill="1" applyBorder="1" applyAlignment="1">
      <alignment horizontal="center" vertical="center"/>
    </xf>
    <xf numFmtId="0" fontId="11" fillId="11" borderId="40" xfId="2" applyFont="1" applyFill="1" applyBorder="1" applyAlignment="1">
      <alignment horizontal="left" vertical="center"/>
    </xf>
    <xf numFmtId="0" fontId="10" fillId="11" borderId="41" xfId="2" applyFont="1" applyFill="1" applyBorder="1" applyAlignment="1">
      <alignment horizontal="center" vertical="center"/>
    </xf>
    <xf numFmtId="41" fontId="17" fillId="11" borderId="41" xfId="1" applyFont="1" applyFill="1" applyBorder="1">
      <alignment vertical="center"/>
    </xf>
    <xf numFmtId="41" fontId="6" fillId="11" borderId="41" xfId="1" applyFont="1" applyFill="1" applyBorder="1">
      <alignment vertical="center"/>
    </xf>
    <xf numFmtId="0" fontId="6" fillId="11" borderId="41" xfId="2" applyFont="1" applyFill="1" applyBorder="1" applyAlignment="1">
      <alignment horizontal="left" vertical="center"/>
    </xf>
    <xf numFmtId="0" fontId="5" fillId="0" borderId="37" xfId="0" applyFont="1" applyBorder="1" applyAlignment="1">
      <alignment horizontal="center" vertical="center"/>
    </xf>
    <xf numFmtId="0" fontId="11" fillId="10" borderId="2" xfId="2" applyFont="1" applyFill="1" applyBorder="1" applyAlignment="1">
      <alignment horizontal="left" vertical="center"/>
    </xf>
    <xf numFmtId="0" fontId="39" fillId="12" borderId="24" xfId="2" applyFont="1" applyFill="1" applyBorder="1">
      <alignment vertical="center"/>
    </xf>
    <xf numFmtId="0" fontId="39" fillId="12" borderId="3" xfId="2" applyFont="1" applyFill="1" applyBorder="1">
      <alignment vertical="center"/>
    </xf>
    <xf numFmtId="0" fontId="39" fillId="12" borderId="19" xfId="2" applyFont="1" applyFill="1" applyBorder="1">
      <alignment vertical="center"/>
    </xf>
    <xf numFmtId="0" fontId="4" fillId="0" borderId="11" xfId="2" applyFont="1" applyBorder="1" applyAlignment="1">
      <alignment horizontal="center" vertical="center"/>
    </xf>
    <xf numFmtId="41" fontId="5" fillId="0" borderId="11" xfId="1" applyFont="1" applyBorder="1" applyAlignment="1">
      <alignment horizontal="center" vertical="center"/>
    </xf>
    <xf numFmtId="41" fontId="6" fillId="11" borderId="19" xfId="1" applyFont="1" applyFill="1" applyBorder="1">
      <alignment vertical="center"/>
    </xf>
    <xf numFmtId="0" fontId="11" fillId="0" borderId="3" xfId="2" applyFont="1" applyBorder="1" applyAlignment="1">
      <alignment horizontal="left" vertical="center"/>
    </xf>
    <xf numFmtId="0" fontId="10" fillId="0" borderId="4" xfId="2" applyFont="1" applyBorder="1" applyAlignment="1">
      <alignment horizontal="center" vertical="center"/>
    </xf>
    <xf numFmtId="41" fontId="6" fillId="0" borderId="4" xfId="1" applyFont="1" applyBorder="1">
      <alignment vertical="center"/>
    </xf>
    <xf numFmtId="0" fontId="6" fillId="0" borderId="4" xfId="2" applyFont="1" applyBorder="1" applyAlignment="1">
      <alignment horizontal="left" vertical="center"/>
    </xf>
    <xf numFmtId="41" fontId="6" fillId="0" borderId="19" xfId="1" applyFont="1" applyBorder="1">
      <alignment vertical="center"/>
    </xf>
    <xf numFmtId="0" fontId="11" fillId="44" borderId="46" xfId="2" applyFont="1" applyFill="1" applyBorder="1" applyAlignment="1">
      <alignment horizontal="left" vertical="center"/>
    </xf>
    <xf numFmtId="0" fontId="10" fillId="44" borderId="47" xfId="2" applyFont="1" applyFill="1" applyBorder="1" applyAlignment="1">
      <alignment horizontal="center" vertical="center"/>
    </xf>
    <xf numFmtId="41" fontId="6" fillId="44" borderId="47" xfId="1" applyFont="1" applyFill="1" applyBorder="1">
      <alignment vertical="center"/>
    </xf>
    <xf numFmtId="0" fontId="6" fillId="44" borderId="47" xfId="2" applyFont="1" applyFill="1" applyBorder="1" applyAlignment="1">
      <alignment horizontal="left" vertical="center"/>
    </xf>
    <xf numFmtId="0" fontId="12" fillId="0" borderId="45" xfId="2" applyBorder="1" applyAlignment="1">
      <alignment horizontal="center" vertical="center"/>
    </xf>
    <xf numFmtId="41" fontId="10" fillId="0" borderId="45" xfId="1" applyFont="1" applyBorder="1">
      <alignment vertical="center"/>
    </xf>
    <xf numFmtId="41" fontId="8" fillId="0" borderId="45" xfId="1" applyFont="1" applyBorder="1">
      <alignment vertical="center"/>
    </xf>
    <xf numFmtId="0" fontId="6" fillId="0" borderId="45" xfId="2" applyFont="1" applyBorder="1" applyAlignment="1">
      <alignment horizontal="center" vertical="center"/>
    </xf>
    <xf numFmtId="0" fontId="12" fillId="45" borderId="6" xfId="2" applyFill="1" applyBorder="1" applyAlignment="1">
      <alignment horizontal="center" vertical="center"/>
    </xf>
    <xf numFmtId="41" fontId="10" fillId="45" borderId="6" xfId="1" applyFont="1" applyFill="1" applyBorder="1">
      <alignment vertical="center"/>
    </xf>
    <xf numFmtId="41" fontId="8" fillId="45" borderId="6" xfId="1" applyFont="1" applyFill="1" applyBorder="1">
      <alignment vertical="center"/>
    </xf>
    <xf numFmtId="0" fontId="6" fillId="45" borderId="6" xfId="2" applyFont="1" applyFill="1" applyBorder="1" applyAlignment="1">
      <alignment horizontal="center" vertical="center"/>
    </xf>
    <xf numFmtId="41" fontId="10" fillId="45" borderId="1" xfId="1" applyFont="1" applyFill="1" applyBorder="1">
      <alignment vertical="center"/>
    </xf>
    <xf numFmtId="41" fontId="8" fillId="45" borderId="1" xfId="1" applyFont="1" applyFill="1" applyBorder="1">
      <alignment vertical="center"/>
    </xf>
    <xf numFmtId="0" fontId="6" fillId="45" borderId="1" xfId="2" applyFont="1" applyFill="1" applyBorder="1" applyAlignment="1">
      <alignment horizontal="center" vertical="center"/>
    </xf>
    <xf numFmtId="0" fontId="12" fillId="45" borderId="1" xfId="2" applyFill="1" applyBorder="1" applyAlignment="1">
      <alignment horizontal="center" vertical="center"/>
    </xf>
    <xf numFmtId="0" fontId="11" fillId="10" borderId="22" xfId="2" applyFont="1" applyFill="1" applyBorder="1" applyAlignment="1">
      <alignment horizontal="left" vertical="center"/>
    </xf>
    <xf numFmtId="0" fontId="10" fillId="10" borderId="23" xfId="2" applyFont="1" applyFill="1" applyBorder="1" applyAlignment="1">
      <alignment horizontal="center" vertical="center"/>
    </xf>
    <xf numFmtId="41" fontId="6" fillId="10" borderId="23" xfId="1" applyFont="1" applyFill="1" applyBorder="1">
      <alignment vertical="center"/>
    </xf>
    <xf numFmtId="0" fontId="6" fillId="10" borderId="23" xfId="2" applyFont="1" applyFill="1" applyBorder="1" applyAlignment="1">
      <alignment horizontal="left" vertical="center"/>
    </xf>
    <xf numFmtId="0" fontId="6" fillId="0" borderId="11" xfId="2" applyFont="1" applyBorder="1" applyAlignment="1">
      <alignment horizontal="center" vertical="center" wrapText="1"/>
    </xf>
    <xf numFmtId="0" fontId="9" fillId="0" borderId="1" xfId="2" applyFont="1" applyBorder="1" applyAlignment="1">
      <alignment horizontal="center" vertical="center" wrapText="1"/>
    </xf>
    <xf numFmtId="41" fontId="6" fillId="10" borderId="15" xfId="1" applyFont="1" applyFill="1" applyBorder="1">
      <alignment vertical="center"/>
    </xf>
    <xf numFmtId="0" fontId="11" fillId="0" borderId="50" xfId="2" applyFont="1" applyBorder="1" applyAlignment="1">
      <alignment horizontal="left" vertical="center"/>
    </xf>
    <xf numFmtId="0" fontId="10" fillId="0" borderId="51" xfId="2" applyFont="1" applyBorder="1" applyAlignment="1">
      <alignment horizontal="center" vertical="center"/>
    </xf>
    <xf numFmtId="41" fontId="6" fillId="0" borderId="51" xfId="1" applyFont="1" applyBorder="1">
      <alignment vertical="center"/>
    </xf>
    <xf numFmtId="0" fontId="6" fillId="0" borderId="51" xfId="2" applyFont="1" applyBorder="1" applyAlignment="1">
      <alignment horizontal="left" vertical="center"/>
    </xf>
    <xf numFmtId="41" fontId="6" fillId="0" borderId="52" xfId="1" applyFont="1" applyBorder="1">
      <alignment vertical="center"/>
    </xf>
    <xf numFmtId="0" fontId="4" fillId="0" borderId="16" xfId="2" applyFont="1" applyBorder="1">
      <alignment vertical="center"/>
    </xf>
    <xf numFmtId="41" fontId="5" fillId="0" borderId="17" xfId="1" applyFont="1" applyBorder="1" applyAlignment="1">
      <alignment horizontal="center" vertical="center"/>
    </xf>
    <xf numFmtId="0" fontId="12" fillId="0" borderId="53" xfId="2" applyBorder="1" applyAlignment="1">
      <alignment horizontal="left" vertical="center"/>
    </xf>
    <xf numFmtId="41" fontId="8" fillId="0" borderId="54" xfId="1" applyFont="1" applyBorder="1">
      <alignment vertical="center"/>
    </xf>
    <xf numFmtId="0" fontId="12" fillId="45" borderId="5" xfId="2" applyFill="1" applyBorder="1" applyAlignment="1">
      <alignment horizontal="left" vertical="center"/>
    </xf>
    <xf numFmtId="41" fontId="8" fillId="45" borderId="7" xfId="1" applyFont="1" applyFill="1" applyBorder="1">
      <alignment vertical="center"/>
    </xf>
    <xf numFmtId="0" fontId="12" fillId="45" borderId="2" xfId="2" applyFill="1" applyBorder="1">
      <alignment vertical="center"/>
    </xf>
    <xf numFmtId="41" fontId="8" fillId="45" borderId="15" xfId="1" applyFont="1" applyFill="1" applyBorder="1">
      <alignment vertical="center"/>
    </xf>
    <xf numFmtId="0" fontId="12" fillId="45" borderId="2" xfId="2" applyFill="1" applyBorder="1" applyAlignment="1">
      <alignment horizontal="left" vertical="center"/>
    </xf>
    <xf numFmtId="0" fontId="15" fillId="0" borderId="0" xfId="2" applyFont="1">
      <alignment vertical="center"/>
    </xf>
    <xf numFmtId="0" fontId="11" fillId="0" borderId="57" xfId="2" applyFont="1" applyBorder="1" applyAlignment="1">
      <alignment horizontal="left" vertical="center"/>
    </xf>
    <xf numFmtId="0" fontId="10" fillId="0" borderId="55" xfId="2" applyFont="1" applyBorder="1" applyAlignment="1">
      <alignment horizontal="center" vertical="center"/>
    </xf>
    <xf numFmtId="41" fontId="6" fillId="0" borderId="55" xfId="1" applyFont="1" applyBorder="1">
      <alignment vertical="center"/>
    </xf>
    <xf numFmtId="0" fontId="6" fillId="0" borderId="55" xfId="2" applyFont="1" applyBorder="1" applyAlignment="1">
      <alignment horizontal="left" vertical="center"/>
    </xf>
    <xf numFmtId="41" fontId="6" fillId="0" borderId="56" xfId="1" applyFont="1" applyBorder="1">
      <alignment vertical="center"/>
    </xf>
    <xf numFmtId="0" fontId="17" fillId="0" borderId="20" xfId="2" applyFont="1" applyBorder="1" applyAlignment="1">
      <alignment horizontal="center" vertical="center"/>
    </xf>
    <xf numFmtId="41" fontId="6" fillId="44" borderId="58" xfId="1" applyFont="1" applyFill="1" applyBorder="1">
      <alignment vertical="center"/>
    </xf>
    <xf numFmtId="41" fontId="6" fillId="11" borderId="59" xfId="1" applyFont="1" applyFill="1" applyBorder="1">
      <alignment vertical="center"/>
    </xf>
    <xf numFmtId="0" fontId="17" fillId="12" borderId="20" xfId="2" applyFont="1" applyFill="1" applyBorder="1" applyAlignment="1">
      <alignment horizontal="center" vertical="center"/>
    </xf>
    <xf numFmtId="41" fontId="6" fillId="10" borderId="24" xfId="1" applyFont="1" applyFill="1" applyBorder="1">
      <alignment vertical="center"/>
    </xf>
    <xf numFmtId="0" fontId="15" fillId="0" borderId="0" xfId="0" applyFont="1">
      <alignment vertical="center"/>
    </xf>
    <xf numFmtId="0" fontId="40" fillId="0" borderId="0" xfId="2" applyFont="1">
      <alignment vertical="center"/>
    </xf>
    <xf numFmtId="0" fontId="12" fillId="10" borderId="22" xfId="2" applyFill="1" applyBorder="1" applyAlignment="1">
      <alignment horizontal="left" vertical="center"/>
    </xf>
    <xf numFmtId="0" fontId="12" fillId="10" borderId="23" xfId="2" applyFill="1" applyBorder="1" applyAlignment="1">
      <alignment horizontal="center" vertical="center"/>
    </xf>
    <xf numFmtId="41" fontId="10" fillId="10" borderId="23" xfId="1" applyFont="1" applyFill="1" applyBorder="1">
      <alignment vertical="center"/>
    </xf>
    <xf numFmtId="41" fontId="8" fillId="10" borderId="23" xfId="1" applyFont="1" applyFill="1" applyBorder="1">
      <alignment vertical="center"/>
    </xf>
    <xf numFmtId="0" fontId="6" fillId="10" borderId="23" xfId="2" applyFont="1" applyFill="1" applyBorder="1" applyAlignment="1">
      <alignment horizontal="center" vertical="center"/>
    </xf>
    <xf numFmtId="0" fontId="17" fillId="0" borderId="60" xfId="2" applyFont="1" applyBorder="1" applyAlignment="1">
      <alignment horizontal="center" vertical="center"/>
    </xf>
    <xf numFmtId="41" fontId="8" fillId="10" borderId="24" xfId="1" applyFont="1" applyFill="1" applyBorder="1">
      <alignment vertical="center"/>
    </xf>
    <xf numFmtId="0" fontId="12" fillId="0" borderId="3" xfId="2" applyBorder="1" applyAlignment="1">
      <alignment horizontal="left" vertical="center"/>
    </xf>
    <xf numFmtId="41" fontId="10" fillId="0" borderId="4" xfId="1" applyFont="1" applyBorder="1">
      <alignment vertical="center"/>
    </xf>
    <xf numFmtId="41" fontId="8" fillId="0" borderId="4" xfId="1" applyFont="1" applyBorder="1">
      <alignment vertical="center"/>
    </xf>
    <xf numFmtId="0" fontId="6" fillId="0" borderId="4" xfId="2" applyFont="1" applyBorder="1" applyAlignment="1">
      <alignment horizontal="center" vertical="center"/>
    </xf>
    <xf numFmtId="41" fontId="8" fillId="0" borderId="19" xfId="1" applyFont="1" applyBorder="1">
      <alignment vertical="center"/>
    </xf>
    <xf numFmtId="0" fontId="12" fillId="0" borderId="4" xfId="2" applyBorder="1" applyAlignment="1">
      <alignment horizontal="center" vertical="center"/>
    </xf>
    <xf numFmtId="0" fontId="12" fillId="0" borderId="6" xfId="2" applyBorder="1" applyAlignment="1">
      <alignment horizontal="center" vertical="center"/>
    </xf>
    <xf numFmtId="0" fontId="38" fillId="12" borderId="19" xfId="2" applyFont="1" applyFill="1" applyBorder="1">
      <alignment vertical="center"/>
    </xf>
    <xf numFmtId="0" fontId="9" fillId="12" borderId="1" xfId="2" applyFont="1" applyFill="1" applyBorder="1" applyAlignment="1">
      <alignment horizontal="center" vertical="center" wrapText="1"/>
    </xf>
    <xf numFmtId="0" fontId="37" fillId="0" borderId="0" xfId="2" applyFont="1" applyAlignment="1">
      <alignment horizontal="center" vertical="center"/>
    </xf>
    <xf numFmtId="41" fontId="10" fillId="0" borderId="0" xfId="1" applyFont="1">
      <alignment vertical="center"/>
    </xf>
    <xf numFmtId="41" fontId="8" fillId="0" borderId="0" xfId="1" applyFont="1">
      <alignment vertical="center"/>
    </xf>
    <xf numFmtId="0" fontId="6" fillId="0" borderId="0" xfId="2" applyFont="1" applyAlignment="1">
      <alignment horizontal="center" vertical="center"/>
    </xf>
    <xf numFmtId="0" fontId="12" fillId="0" borderId="64" xfId="2" applyBorder="1">
      <alignment vertical="center"/>
    </xf>
    <xf numFmtId="41" fontId="8" fillId="0" borderId="65" xfId="1" applyFont="1" applyBorder="1">
      <alignment vertical="center"/>
    </xf>
    <xf numFmtId="0" fontId="18" fillId="0" borderId="3" xfId="2" applyFont="1" applyBorder="1">
      <alignment vertical="center"/>
    </xf>
    <xf numFmtId="0" fontId="39" fillId="12" borderId="38" xfId="2" applyFont="1" applyFill="1" applyBorder="1">
      <alignment vertical="center"/>
    </xf>
    <xf numFmtId="0" fontId="18" fillId="0" borderId="3" xfId="2" applyFont="1" applyBorder="1" applyAlignment="1">
      <alignment horizontal="center" vertical="center"/>
    </xf>
    <xf numFmtId="0" fontId="12" fillId="0" borderId="22" xfId="2" applyBorder="1" applyAlignment="1">
      <alignment horizontal="left" vertical="center"/>
    </xf>
    <xf numFmtId="0" fontId="6" fillId="0" borderId="23" xfId="2" applyFont="1" applyBorder="1" applyAlignment="1">
      <alignment horizontal="center" vertical="center"/>
    </xf>
    <xf numFmtId="0" fontId="12" fillId="0" borderId="23" xfId="2" applyBorder="1" applyAlignment="1">
      <alignment horizontal="center" vertical="center"/>
    </xf>
    <xf numFmtId="41" fontId="10" fillId="0" borderId="23" xfId="1" applyFont="1" applyBorder="1">
      <alignment vertical="center"/>
    </xf>
    <xf numFmtId="41" fontId="8" fillId="0" borderId="23" xfId="1" applyFont="1" applyBorder="1">
      <alignment vertical="center"/>
    </xf>
    <xf numFmtId="41" fontId="8" fillId="0" borderId="24" xfId="1" applyFont="1" applyBorder="1">
      <alignment vertical="center"/>
    </xf>
    <xf numFmtId="0" fontId="4" fillId="0" borderId="4" xfId="2" applyFont="1" applyBorder="1" applyAlignment="1">
      <alignment horizontal="center" vertical="center"/>
    </xf>
    <xf numFmtId="41" fontId="11" fillId="0" borderId="4" xfId="1" applyFont="1" applyBorder="1">
      <alignment vertical="center"/>
    </xf>
    <xf numFmtId="41" fontId="6" fillId="0" borderId="4" xfId="2" applyNumberFormat="1" applyFont="1" applyBorder="1" applyAlignment="1">
      <alignment horizontal="center" vertical="center"/>
    </xf>
    <xf numFmtId="0" fontId="12" fillId="0" borderId="2" xfId="2" applyBorder="1" applyAlignment="1">
      <alignment horizontal="center" vertical="center"/>
    </xf>
    <xf numFmtId="0" fontId="12" fillId="0" borderId="15" xfId="2" applyBorder="1" applyAlignment="1">
      <alignment horizontal="center" vertical="center"/>
    </xf>
    <xf numFmtId="0" fontId="12" fillId="0" borderId="5" xfId="2" applyBorder="1" applyAlignment="1">
      <alignment horizontal="left" vertical="center"/>
    </xf>
    <xf numFmtId="41" fontId="10" fillId="0" borderId="6" xfId="1" applyFont="1" applyBorder="1">
      <alignment vertical="center"/>
    </xf>
    <xf numFmtId="41" fontId="8" fillId="0" borderId="6" xfId="1" applyFont="1" applyBorder="1">
      <alignment vertical="center"/>
    </xf>
    <xf numFmtId="0" fontId="6" fillId="0" borderId="6" xfId="2" applyFont="1" applyBorder="1" applyAlignment="1">
      <alignment horizontal="center" vertical="center"/>
    </xf>
    <xf numFmtId="41" fontId="8" fillId="0" borderId="7" xfId="1" applyFont="1" applyBorder="1">
      <alignment vertical="center"/>
    </xf>
    <xf numFmtId="41" fontId="6" fillId="10" borderId="23" xfId="2" applyNumberFormat="1" applyFont="1" applyFill="1" applyBorder="1">
      <alignment vertical="center"/>
    </xf>
    <xf numFmtId="0" fontId="11" fillId="0" borderId="55" xfId="2" applyFont="1" applyBorder="1" applyAlignment="1">
      <alignment horizontal="center" vertical="center"/>
    </xf>
    <xf numFmtId="0" fontId="11" fillId="0" borderId="4" xfId="2" applyFont="1" applyBorder="1" applyAlignment="1">
      <alignment horizontal="center" vertical="center"/>
    </xf>
    <xf numFmtId="0" fontId="12" fillId="0" borderId="64" xfId="2" applyBorder="1" applyAlignment="1">
      <alignment horizontal="center" vertical="center"/>
    </xf>
    <xf numFmtId="0" fontId="12" fillId="0" borderId="65" xfId="2" applyBorder="1" applyAlignment="1">
      <alignment horizontal="center" vertical="center"/>
    </xf>
    <xf numFmtId="0" fontId="11" fillId="10" borderId="2" xfId="2" applyFont="1" applyFill="1" applyBorder="1" applyAlignment="1">
      <alignment horizontal="center" vertical="center"/>
    </xf>
    <xf numFmtId="0" fontId="5" fillId="0" borderId="0" xfId="2" applyFont="1">
      <alignment vertical="center"/>
    </xf>
    <xf numFmtId="0" fontId="5" fillId="0" borderId="0" xfId="0" applyFont="1">
      <alignment vertical="center"/>
    </xf>
    <xf numFmtId="0" fontId="19" fillId="0" borderId="0" xfId="0" applyFont="1">
      <alignment vertical="center"/>
    </xf>
    <xf numFmtId="0" fontId="19" fillId="0" borderId="0" xfId="2" applyFont="1">
      <alignment vertical="center"/>
    </xf>
    <xf numFmtId="0" fontId="11" fillId="0" borderId="68" xfId="2" applyFont="1" applyBorder="1" applyAlignment="1">
      <alignment horizontal="center" vertical="center"/>
    </xf>
    <xf numFmtId="0" fontId="11" fillId="0" borderId="6" xfId="2" applyFont="1" applyBorder="1" applyAlignment="1">
      <alignment horizontal="center" vertical="center"/>
    </xf>
    <xf numFmtId="0" fontId="11" fillId="0" borderId="13" xfId="2" applyFont="1" applyBorder="1" applyAlignment="1">
      <alignment horizontal="center" vertical="center"/>
    </xf>
    <xf numFmtId="0" fontId="38" fillId="12" borderId="39" xfId="2" applyFont="1" applyFill="1" applyBorder="1">
      <alignment vertical="center"/>
    </xf>
    <xf numFmtId="0" fontId="41" fillId="0" borderId="0" xfId="2" applyFont="1">
      <alignment vertical="center"/>
    </xf>
    <xf numFmtId="0" fontId="41" fillId="0" borderId="0" xfId="0" applyFont="1">
      <alignment vertical="center"/>
    </xf>
    <xf numFmtId="0" fontId="12" fillId="46" borderId="1" xfId="2" applyFill="1" applyBorder="1" applyAlignment="1">
      <alignment horizontal="center" vertical="center"/>
    </xf>
    <xf numFmtId="0" fontId="9" fillId="48" borderId="1" xfId="2" applyFont="1" applyFill="1" applyBorder="1" applyAlignment="1">
      <alignment horizontal="center" vertical="center" wrapText="1"/>
    </xf>
    <xf numFmtId="0" fontId="12" fillId="10" borderId="16" xfId="2" applyFill="1" applyBorder="1">
      <alignment vertical="center"/>
    </xf>
    <xf numFmtId="0" fontId="6" fillId="10" borderId="2" xfId="2" applyFont="1" applyFill="1" applyBorder="1" applyAlignment="1">
      <alignment horizontal="left" vertical="center"/>
    </xf>
    <xf numFmtId="41" fontId="6" fillId="10" borderId="1" xfId="2" applyNumberFormat="1" applyFont="1" applyFill="1" applyBorder="1" applyAlignment="1">
      <alignment horizontal="center" vertical="center"/>
    </xf>
    <xf numFmtId="0" fontId="18" fillId="10" borderId="2" xfId="2" applyFont="1" applyFill="1" applyBorder="1" applyAlignment="1">
      <alignment horizontal="left" vertical="center"/>
    </xf>
    <xf numFmtId="41" fontId="18" fillId="10" borderId="1" xfId="2" applyNumberFormat="1" applyFont="1" applyFill="1" applyBorder="1" applyAlignment="1">
      <alignment horizontal="center" vertical="center"/>
    </xf>
    <xf numFmtId="0" fontId="18" fillId="10" borderId="1" xfId="2" applyFont="1" applyFill="1" applyBorder="1" applyAlignment="1">
      <alignment horizontal="center" vertical="center"/>
    </xf>
    <xf numFmtId="41" fontId="18" fillId="10" borderId="15" xfId="1" applyFont="1" applyFill="1" applyBorder="1">
      <alignment vertical="center"/>
    </xf>
    <xf numFmtId="14" fontId="7" fillId="47" borderId="22" xfId="2" applyNumberFormat="1" applyFont="1" applyFill="1" applyBorder="1" applyAlignment="1">
      <alignment horizontal="left" vertical="center"/>
    </xf>
    <xf numFmtId="0" fontId="38" fillId="12" borderId="39" xfId="2" applyFont="1" applyFill="1" applyBorder="1" applyAlignment="1">
      <alignment horizontal="center" vertical="center"/>
    </xf>
    <xf numFmtId="0" fontId="38" fillId="12" borderId="19" xfId="2" applyFont="1" applyFill="1" applyBorder="1" applyAlignment="1">
      <alignment horizontal="center" vertical="center"/>
    </xf>
    <xf numFmtId="14" fontId="4" fillId="47" borderId="1" xfId="2" applyNumberFormat="1" applyFont="1" applyFill="1" applyBorder="1" applyAlignment="1">
      <alignment horizontal="center" vertical="center"/>
    </xf>
    <xf numFmtId="0" fontId="12" fillId="49" borderId="1" xfId="2" applyFill="1" applyBorder="1" applyAlignment="1">
      <alignment horizontal="center" vertical="center"/>
    </xf>
    <xf numFmtId="0" fontId="8" fillId="0" borderId="2" xfId="2" applyFont="1" applyBorder="1">
      <alignment vertical="center"/>
    </xf>
    <xf numFmtId="0" fontId="8" fillId="0" borderId="2" xfId="2" applyFont="1" applyBorder="1" applyAlignment="1">
      <alignment horizontal="left" vertical="center"/>
    </xf>
    <xf numFmtId="0" fontId="5" fillId="47" borderId="2" xfId="2" applyFont="1" applyFill="1" applyBorder="1">
      <alignment vertical="center"/>
    </xf>
    <xf numFmtId="0" fontId="6" fillId="47" borderId="1" xfId="2" applyFont="1" applyFill="1" applyBorder="1" applyAlignment="1">
      <alignment horizontal="center" vertical="center"/>
    </xf>
    <xf numFmtId="0" fontId="17" fillId="0" borderId="1" xfId="2" applyFont="1" applyBorder="1" applyAlignment="1">
      <alignment horizontal="center" vertical="center"/>
    </xf>
    <xf numFmtId="0" fontId="42" fillId="10" borderId="1" xfId="2" applyFont="1" applyFill="1" applyBorder="1" applyAlignment="1">
      <alignment horizontal="center" vertical="center"/>
    </xf>
    <xf numFmtId="0" fontId="17" fillId="10" borderId="1" xfId="2" applyFont="1" applyFill="1" applyBorder="1" applyAlignment="1">
      <alignment horizontal="center" vertical="center"/>
    </xf>
    <xf numFmtId="41" fontId="17" fillId="0" borderId="1" xfId="1" applyFont="1" applyBorder="1">
      <alignment vertical="center"/>
    </xf>
    <xf numFmtId="41" fontId="17" fillId="0" borderId="15" xfId="1" applyFont="1" applyBorder="1">
      <alignment vertical="center"/>
    </xf>
    <xf numFmtId="0" fontId="7" fillId="47" borderId="1" xfId="2" applyFont="1" applyFill="1" applyBorder="1" applyAlignment="1">
      <alignment horizontal="center" vertical="center"/>
    </xf>
    <xf numFmtId="41" fontId="7" fillId="47" borderId="1" xfId="1" applyFont="1" applyFill="1" applyBorder="1" applyAlignment="1">
      <alignment horizontal="center" vertical="center"/>
    </xf>
    <xf numFmtId="41" fontId="7" fillId="47" borderId="15" xfId="1" applyFont="1" applyFill="1" applyBorder="1" applyAlignment="1">
      <alignment horizontal="center" vertical="center"/>
    </xf>
    <xf numFmtId="0" fontId="19" fillId="12" borderId="38" xfId="2" applyFont="1" applyFill="1" applyBorder="1" applyAlignment="1">
      <alignment horizontal="center" vertical="center"/>
    </xf>
    <xf numFmtId="0" fontId="19" fillId="12" borderId="24" xfId="2" applyFont="1" applyFill="1" applyBorder="1" applyAlignment="1">
      <alignment horizontal="center" vertical="center"/>
    </xf>
    <xf numFmtId="0" fontId="12" fillId="12" borderId="0" xfId="2" applyFill="1">
      <alignment vertical="center"/>
    </xf>
    <xf numFmtId="0" fontId="7" fillId="12" borderId="1" xfId="2" applyFont="1" applyFill="1" applyBorder="1" applyAlignment="1">
      <alignment horizontal="center" vertical="center"/>
    </xf>
    <xf numFmtId="14" fontId="12" fillId="0" borderId="1" xfId="1" applyNumberFormat="1" applyBorder="1">
      <alignment vertical="center"/>
    </xf>
    <xf numFmtId="14" fontId="12" fillId="50" borderId="1" xfId="1" applyNumberFormat="1" applyFill="1" applyBorder="1">
      <alignment vertical="center"/>
    </xf>
    <xf numFmtId="14" fontId="12" fillId="0" borderId="1" xfId="2" applyNumberFormat="1" applyBorder="1">
      <alignment vertical="center"/>
    </xf>
    <xf numFmtId="14" fontId="12" fillId="50" borderId="1" xfId="2" applyNumberFormat="1" applyFill="1" applyBorder="1">
      <alignment vertical="center"/>
    </xf>
    <xf numFmtId="0" fontId="12" fillId="0" borderId="1" xfId="2" applyBorder="1">
      <alignment vertical="center"/>
    </xf>
    <xf numFmtId="0" fontId="12" fillId="50" borderId="1" xfId="2" applyFill="1" applyBorder="1">
      <alignment vertical="center"/>
    </xf>
    <xf numFmtId="0" fontId="7" fillId="44" borderId="1" xfId="2" applyFont="1" applyFill="1" applyBorder="1" applyAlignment="1">
      <alignment horizontal="center" vertical="center"/>
    </xf>
    <xf numFmtId="41" fontId="17" fillId="11" borderId="1" xfId="1" applyFont="1" applyFill="1" applyBorder="1">
      <alignment vertical="center"/>
    </xf>
    <xf numFmtId="14" fontId="12" fillId="11" borderId="1" xfId="1" applyNumberFormat="1" applyFill="1" applyBorder="1">
      <alignment vertical="center"/>
    </xf>
    <xf numFmtId="14" fontId="12" fillId="11" borderId="1" xfId="2" applyNumberFormat="1" applyFill="1" applyBorder="1">
      <alignment vertical="center"/>
    </xf>
    <xf numFmtId="0" fontId="12" fillId="11" borderId="1" xfId="2" applyFill="1" applyBorder="1">
      <alignment vertical="center"/>
    </xf>
    <xf numFmtId="14" fontId="12" fillId="11" borderId="0" xfId="1" applyNumberFormat="1" applyFill="1">
      <alignment vertical="center"/>
    </xf>
    <xf numFmtId="14" fontId="12" fillId="11" borderId="0" xfId="2" applyNumberFormat="1" applyFill="1">
      <alignment vertical="center"/>
    </xf>
    <xf numFmtId="0" fontId="7" fillId="12" borderId="1" xfId="2" applyFont="1" applyFill="1" applyBorder="1" applyAlignment="1">
      <alignment horizontal="center" vertical="center" wrapText="1"/>
    </xf>
    <xf numFmtId="14" fontId="12" fillId="50" borderId="0" xfId="1" applyNumberFormat="1" applyFill="1">
      <alignment vertical="center"/>
    </xf>
    <xf numFmtId="0" fontId="45" fillId="0" borderId="2" xfId="2" applyFont="1" applyBorder="1" applyAlignment="1">
      <alignment horizontal="left" vertical="center"/>
    </xf>
    <xf numFmtId="0" fontId="46" fillId="0" borderId="1" xfId="2" applyFont="1" applyBorder="1" applyAlignment="1">
      <alignment horizontal="center" vertical="center"/>
    </xf>
    <xf numFmtId="41" fontId="46" fillId="0" borderId="1" xfId="1" applyFont="1" applyBorder="1">
      <alignment vertical="center"/>
    </xf>
    <xf numFmtId="0" fontId="47" fillId="0" borderId="1" xfId="2" applyFont="1" applyBorder="1" applyAlignment="1">
      <alignment horizontal="center" vertical="center"/>
    </xf>
    <xf numFmtId="41" fontId="46" fillId="0" borderId="15" xfId="1" applyFont="1" applyBorder="1">
      <alignment vertical="center"/>
    </xf>
    <xf numFmtId="0" fontId="6" fillId="47" borderId="23" xfId="2" applyFont="1" applyFill="1" applyBorder="1" applyAlignment="1">
      <alignment horizontal="center" vertical="center"/>
    </xf>
    <xf numFmtId="0" fontId="6" fillId="47" borderId="24" xfId="2" applyFont="1" applyFill="1" applyBorder="1" applyAlignment="1">
      <alignment horizontal="center" vertical="center"/>
    </xf>
    <xf numFmtId="0" fontId="12" fillId="0" borderId="48" xfId="2" applyBorder="1" applyAlignment="1">
      <alignment horizontal="center" vertical="center"/>
    </xf>
    <xf numFmtId="0" fontId="12" fillId="0" borderId="27" xfId="2" applyBorder="1" applyAlignment="1">
      <alignment horizontal="center" vertical="center"/>
    </xf>
    <xf numFmtId="0" fontId="12" fillId="0" borderId="49" xfId="2" applyBorder="1" applyAlignment="1">
      <alignment horizontal="center" vertical="center"/>
    </xf>
    <xf numFmtId="0" fontId="6" fillId="47" borderId="25" xfId="2" applyFont="1" applyFill="1" applyBorder="1" applyAlignment="1">
      <alignment horizontal="center" vertical="center"/>
    </xf>
    <xf numFmtId="0" fontId="6" fillId="47" borderId="14" xfId="2" applyFont="1" applyFill="1" applyBorder="1" applyAlignment="1">
      <alignment horizontal="center" vertical="center"/>
    </xf>
    <xf numFmtId="0" fontId="6" fillId="47" borderId="18" xfId="2" applyFont="1" applyFill="1" applyBorder="1" applyAlignment="1">
      <alignment horizontal="center" vertical="center"/>
    </xf>
    <xf numFmtId="0" fontId="12" fillId="51" borderId="0" xfId="2" applyFill="1">
      <alignment vertical="center"/>
    </xf>
    <xf numFmtId="0" fontId="8" fillId="51" borderId="2" xfId="2" applyFont="1" applyFill="1" applyBorder="1" applyAlignment="1">
      <alignment horizontal="left" vertical="center"/>
    </xf>
    <xf numFmtId="0" fontId="17" fillId="51" borderId="1" xfId="2" applyFont="1" applyFill="1" applyBorder="1" applyAlignment="1">
      <alignment horizontal="center" vertical="center"/>
    </xf>
    <xf numFmtId="41" fontId="17" fillId="51" borderId="1" xfId="1" applyFont="1" applyFill="1" applyBorder="1">
      <alignment vertical="center"/>
    </xf>
    <xf numFmtId="0" fontId="6" fillId="51" borderId="1" xfId="2" applyFont="1" applyFill="1" applyBorder="1" applyAlignment="1">
      <alignment horizontal="center" vertical="center"/>
    </xf>
    <xf numFmtId="41" fontId="17" fillId="51" borderId="15" xfId="1" applyFont="1" applyFill="1" applyBorder="1">
      <alignment vertical="center"/>
    </xf>
    <xf numFmtId="14" fontId="11" fillId="0" borderId="0" xfId="2" applyNumberFormat="1" applyFont="1" applyAlignment="1">
      <alignment horizontal="center" vertical="center"/>
    </xf>
    <xf numFmtId="0" fontId="6" fillId="47" borderId="25" xfId="2" applyFont="1" applyFill="1" applyBorder="1" applyAlignment="1">
      <alignment horizontal="center" vertical="center"/>
    </xf>
    <xf numFmtId="0" fontId="6" fillId="47" borderId="38" xfId="2" applyFont="1" applyFill="1" applyBorder="1" applyAlignment="1">
      <alignment horizontal="center" vertical="center"/>
    </xf>
    <xf numFmtId="0" fontId="12" fillId="0" borderId="0" xfId="2" applyAlignment="1">
      <alignment horizontal="center" vertical="center"/>
    </xf>
    <xf numFmtId="14" fontId="7" fillId="0" borderId="0" xfId="2" applyNumberFormat="1" applyFont="1" applyAlignment="1">
      <alignment horizontal="center" vertical="center"/>
    </xf>
    <xf numFmtId="0" fontId="7" fillId="0" borderId="23" xfId="2" applyFont="1" applyBorder="1" applyAlignment="1">
      <alignment horizontal="center" vertical="center"/>
    </xf>
    <xf numFmtId="0" fontId="7" fillId="0" borderId="25" xfId="2" applyFont="1" applyBorder="1" applyAlignment="1">
      <alignment horizontal="center" vertical="center"/>
    </xf>
    <xf numFmtId="0" fontId="12" fillId="0" borderId="3" xfId="2" applyBorder="1" applyAlignment="1">
      <alignment horizontal="center" vertical="center"/>
    </xf>
    <xf numFmtId="0" fontId="12" fillId="0" borderId="4" xfId="2" applyBorder="1" applyAlignment="1">
      <alignment horizontal="center" vertical="center"/>
    </xf>
    <xf numFmtId="0" fontId="12" fillId="0" borderId="19" xfId="2" applyBorder="1" applyAlignment="1">
      <alignment horizontal="center" vertical="center"/>
    </xf>
    <xf numFmtId="0" fontId="11" fillId="0" borderId="0" xfId="2" applyFont="1" applyAlignment="1">
      <alignment horizontal="center" vertical="center"/>
    </xf>
    <xf numFmtId="0" fontId="12" fillId="0" borderId="57" xfId="2" applyBorder="1" applyAlignment="1">
      <alignment horizontal="center" vertical="center"/>
    </xf>
    <xf numFmtId="0" fontId="12" fillId="0" borderId="55" xfId="2" applyBorder="1" applyAlignment="1">
      <alignment horizontal="center" vertical="center"/>
    </xf>
    <xf numFmtId="0" fontId="12" fillId="0" borderId="56" xfId="2" applyBorder="1" applyAlignment="1">
      <alignment horizontal="center" vertical="center"/>
    </xf>
    <xf numFmtId="0" fontId="12" fillId="0" borderId="2" xfId="2" applyBorder="1" applyAlignment="1">
      <alignment horizontal="center" vertical="center"/>
    </xf>
    <xf numFmtId="0" fontId="12" fillId="0" borderId="1" xfId="2" applyBorder="1" applyAlignment="1">
      <alignment horizontal="center" vertical="center"/>
    </xf>
    <xf numFmtId="0" fontId="12" fillId="0" borderId="15" xfId="2" applyBorder="1" applyAlignment="1">
      <alignment horizontal="center" vertical="center"/>
    </xf>
    <xf numFmtId="0" fontId="6" fillId="47" borderId="23" xfId="2" applyFont="1" applyFill="1" applyBorder="1" applyAlignment="1">
      <alignment horizontal="center" vertical="center"/>
    </xf>
    <xf numFmtId="0" fontId="6" fillId="47" borderId="24" xfId="2" applyFont="1" applyFill="1" applyBorder="1" applyAlignment="1">
      <alignment horizontal="center" vertical="center"/>
    </xf>
    <xf numFmtId="0" fontId="12" fillId="0" borderId="48" xfId="2" applyBorder="1" applyAlignment="1">
      <alignment horizontal="center" vertical="center"/>
    </xf>
    <xf numFmtId="0" fontId="12" fillId="0" borderId="27" xfId="2" applyBorder="1" applyAlignment="1">
      <alignment horizontal="center" vertical="center"/>
    </xf>
    <xf numFmtId="0" fontId="12" fillId="0" borderId="49" xfId="2" applyBorder="1" applyAlignment="1">
      <alignment horizontal="center" vertical="center"/>
    </xf>
    <xf numFmtId="0" fontId="6" fillId="47" borderId="14" xfId="2" applyFont="1" applyFill="1" applyBorder="1" applyAlignment="1">
      <alignment horizontal="center" vertical="center"/>
    </xf>
    <xf numFmtId="0" fontId="6" fillId="47" borderId="18" xfId="2" applyFont="1" applyFill="1" applyBorder="1" applyAlignment="1">
      <alignment horizontal="center" vertical="center"/>
    </xf>
    <xf numFmtId="0" fontId="7" fillId="0" borderId="24" xfId="2" applyFont="1" applyBorder="1" applyAlignment="1">
      <alignment horizontal="center" vertical="center"/>
    </xf>
    <xf numFmtId="0" fontId="11" fillId="0" borderId="26" xfId="2" applyFont="1" applyBorder="1" applyAlignment="1">
      <alignment horizontal="center" vertical="center"/>
    </xf>
    <xf numFmtId="0" fontId="12" fillId="0" borderId="16" xfId="2" applyBorder="1" applyAlignment="1">
      <alignment horizontal="center" vertical="center"/>
    </xf>
    <xf numFmtId="0" fontId="12" fillId="0" borderId="11" xfId="2" applyBorder="1" applyAlignment="1">
      <alignment horizontal="center" vertical="center"/>
    </xf>
    <xf numFmtId="0" fontId="12" fillId="0" borderId="17" xfId="2" applyBorder="1" applyAlignment="1">
      <alignment horizontal="center" vertical="center"/>
    </xf>
    <xf numFmtId="0" fontId="7" fillId="0" borderId="14" xfId="2" applyFont="1" applyBorder="1" applyAlignment="1">
      <alignment horizontal="center" vertical="center"/>
    </xf>
    <xf numFmtId="0" fontId="7" fillId="0" borderId="18" xfId="2" applyFont="1" applyBorder="1" applyAlignment="1">
      <alignment horizontal="center" vertical="center"/>
    </xf>
    <xf numFmtId="0" fontId="12" fillId="0" borderId="66" xfId="2" applyBorder="1" applyAlignment="1">
      <alignment horizontal="center" vertical="center"/>
    </xf>
    <xf numFmtId="0" fontId="12" fillId="0" borderId="67" xfId="2" applyBorder="1" applyAlignment="1">
      <alignment horizontal="center" vertical="center"/>
    </xf>
    <xf numFmtId="0" fontId="12" fillId="0" borderId="69" xfId="2" applyBorder="1" applyAlignment="1">
      <alignment horizontal="center" vertical="center"/>
    </xf>
    <xf numFmtId="14" fontId="11" fillId="0" borderId="61" xfId="2" applyNumberFormat="1" applyFont="1" applyBorder="1" applyAlignment="1">
      <alignment horizontal="center" vertical="center"/>
    </xf>
    <xf numFmtId="14" fontId="11" fillId="0" borderId="62" xfId="2" applyNumberFormat="1" applyFont="1" applyBorder="1" applyAlignment="1">
      <alignment horizontal="center" vertical="center"/>
    </xf>
    <xf numFmtId="14" fontId="11" fillId="0" borderId="63" xfId="2" applyNumberFormat="1" applyFont="1" applyBorder="1" applyAlignment="1">
      <alignment horizontal="center" vertical="center"/>
    </xf>
    <xf numFmtId="0" fontId="11" fillId="11" borderId="0" xfId="0" applyFont="1" applyFill="1" applyAlignment="1">
      <alignment horizontal="center" vertical="center"/>
    </xf>
    <xf numFmtId="14" fontId="11" fillId="0" borderId="42" xfId="2" applyNumberFormat="1" applyFont="1" applyBorder="1" applyAlignment="1">
      <alignment horizontal="center" vertical="center"/>
    </xf>
    <xf numFmtId="14" fontId="11" fillId="0" borderId="43" xfId="2" applyNumberFormat="1" applyFont="1" applyBorder="1" applyAlignment="1">
      <alignment horizontal="center" vertical="center"/>
    </xf>
    <xf numFmtId="14" fontId="11" fillId="0" borderId="44" xfId="2" applyNumberFormat="1" applyFont="1" applyBorder="1" applyAlignment="1">
      <alignment horizontal="center" vertical="center"/>
    </xf>
  </cellXfs>
  <cellStyles count="61">
    <cellStyle name="20% - 강조색1" xfId="20" builtinId="30" customBuiltin="1"/>
    <cellStyle name="20% - 강조색1 2" xfId="47" xr:uid="{00000000-0005-0000-0000-000001000000}"/>
    <cellStyle name="20% - 강조색2" xfId="24" builtinId="34" customBuiltin="1"/>
    <cellStyle name="20% - 강조색2 2" xfId="49" xr:uid="{00000000-0005-0000-0000-000003000000}"/>
    <cellStyle name="20% - 강조색3" xfId="28" builtinId="38" customBuiltin="1"/>
    <cellStyle name="20% - 강조색3 2" xfId="51" xr:uid="{00000000-0005-0000-0000-000005000000}"/>
    <cellStyle name="20% - 강조색4" xfId="32" builtinId="42" customBuiltin="1"/>
    <cellStyle name="20% - 강조색4 2" xfId="53" xr:uid="{00000000-0005-0000-0000-000007000000}"/>
    <cellStyle name="20% - 강조색5" xfId="36" builtinId="46" customBuiltin="1"/>
    <cellStyle name="20% - 강조색5 2" xfId="55" xr:uid="{00000000-0005-0000-0000-000009000000}"/>
    <cellStyle name="20% - 강조색6" xfId="40" builtinId="50" customBuiltin="1"/>
    <cellStyle name="20% - 강조색6 2" xfId="57" xr:uid="{00000000-0005-0000-0000-00000B000000}"/>
    <cellStyle name="40% - 강조색1" xfId="21" builtinId="31" customBuiltin="1"/>
    <cellStyle name="40% - 강조색1 2" xfId="48" xr:uid="{00000000-0005-0000-0000-00000D000000}"/>
    <cellStyle name="40% - 강조색2" xfId="25" builtinId="35" customBuiltin="1"/>
    <cellStyle name="40% - 강조색2 2" xfId="50" xr:uid="{00000000-0005-0000-0000-00000F000000}"/>
    <cellStyle name="40% - 강조색3" xfId="29" builtinId="39" customBuiltin="1"/>
    <cellStyle name="40% - 강조색3 2" xfId="52" xr:uid="{00000000-0005-0000-0000-000011000000}"/>
    <cellStyle name="40% - 강조색4" xfId="33" builtinId="43" customBuiltin="1"/>
    <cellStyle name="40% - 강조색4 2" xfId="54" xr:uid="{00000000-0005-0000-0000-000013000000}"/>
    <cellStyle name="40% - 강조색5" xfId="37" builtinId="47" customBuiltin="1"/>
    <cellStyle name="40% - 강조색5 2" xfId="56" xr:uid="{00000000-0005-0000-0000-000015000000}"/>
    <cellStyle name="40% - 강조색6" xfId="41" builtinId="51" customBuiltin="1"/>
    <cellStyle name="40% - 강조색6 2" xfId="58" xr:uid="{00000000-0005-0000-0000-000017000000}"/>
    <cellStyle name="60% - 강조색1" xfId="22" builtinId="32" customBuiltin="1"/>
    <cellStyle name="60% - 강조색2" xfId="26" builtinId="36" customBuiltin="1"/>
    <cellStyle name="60% - 강조색3" xfId="30" builtinId="40" customBuiltin="1"/>
    <cellStyle name="60% - 강조색4" xfId="34" builtinId="44" customBuiltin="1"/>
    <cellStyle name="60% - 강조색5" xfId="38" builtinId="48" customBuiltin="1"/>
    <cellStyle name="60% - 강조색6" xfId="42" builtinId="52" customBuiltin="1"/>
    <cellStyle name="강조색1" xfId="19" builtinId="29" customBuiltin="1"/>
    <cellStyle name="강조색2" xfId="23" builtinId="33" customBuiltin="1"/>
    <cellStyle name="강조색3" xfId="27" builtinId="37" customBuiltin="1"/>
    <cellStyle name="강조색4" xfId="31" builtinId="41" customBuiltin="1"/>
    <cellStyle name="강조색5" xfId="35" builtinId="45" customBuiltin="1"/>
    <cellStyle name="강조색6" xfId="39" builtinId="49" customBuiltin="1"/>
    <cellStyle name="경고문" xfId="16" builtinId="11" customBuiltin="1"/>
    <cellStyle name="계산" xfId="13" builtinId="22" customBuiltin="1"/>
    <cellStyle name="나쁨" xfId="9" builtinId="27" customBuiltin="1"/>
    <cellStyle name="메모 2" xfId="44" xr:uid="{00000000-0005-0000-0000-000027000000}"/>
    <cellStyle name="메모 3" xfId="46" xr:uid="{00000000-0005-0000-0000-000028000000}"/>
    <cellStyle name="보통" xfId="10" builtinId="28" customBuiltin="1"/>
    <cellStyle name="설명 텍스트" xfId="17" builtinId="53" customBuiltin="1"/>
    <cellStyle name="셀 확인" xfId="15" builtinId="23" customBuiltin="1"/>
    <cellStyle name="쉼표 [0]" xfId="1" builtinId="6"/>
    <cellStyle name="쉼표 [0] 2" xfId="59" xr:uid="{00000000-0005-0000-0000-00002D000000}"/>
    <cellStyle name="연결된 셀" xfId="14" builtinId="24" customBuiltin="1"/>
    <cellStyle name="요약" xfId="18" builtinId="25" customBuiltin="1"/>
    <cellStyle name="입력" xfId="11" builtinId="20" customBuiltin="1"/>
    <cellStyle name="제목" xfId="3" builtinId="15" customBuiltin="1"/>
    <cellStyle name="제목 1" xfId="4" builtinId="16" customBuiltin="1"/>
    <cellStyle name="제목 2" xfId="5" builtinId="17" customBuiltin="1"/>
    <cellStyle name="제목 3" xfId="6" builtinId="18" customBuiltin="1"/>
    <cellStyle name="제목 4" xfId="7" builtinId="19" customBuiltin="1"/>
    <cellStyle name="좋음" xfId="8" builtinId="26" customBuiltin="1"/>
    <cellStyle name="출력" xfId="12" builtinId="21" customBuiltin="1"/>
    <cellStyle name="표준" xfId="0" builtinId="0"/>
    <cellStyle name="표준 2" xfId="2" xr:uid="{00000000-0005-0000-0000-000039000000}"/>
    <cellStyle name="표준 3" xfId="43" xr:uid="{00000000-0005-0000-0000-00003A000000}"/>
    <cellStyle name="표준 4" xfId="45" xr:uid="{00000000-0005-0000-0000-00003B000000}"/>
    <cellStyle name="표준 5" xfId="60" xr:uid="{00000000-0005-0000-0000-00003C000000}"/>
  </cellStyles>
  <dxfs count="14">
    <dxf>
      <fill>
        <patternFill patternType="solid">
          <fgColor rgb="FF6182D6"/>
          <bgColor rgb="FF6182D6"/>
        </patternFill>
      </fill>
    </dxf>
    <dxf>
      <fill>
        <patternFill patternType="solid">
          <fgColor rgb="FF94A5DF"/>
          <bgColor rgb="FF94A5DF"/>
        </patternFill>
      </fill>
      <border>
        <top style="thin">
          <color rgb="FF6182D6"/>
        </top>
        <bottom style="thin">
          <color rgb="FF6182D6"/>
        </bottom>
      </border>
    </dxf>
    <dxf>
      <font>
        <b/>
      </font>
    </dxf>
    <dxf>
      <font>
        <b/>
      </font>
    </dxf>
    <dxf>
      <font>
        <b/>
      </font>
      <border>
        <top style="thin">
          <color rgb="FF6182D6"/>
        </top>
      </border>
    </dxf>
    <dxf>
      <font>
        <b/>
      </font>
      <border>
        <bottom style="medium">
          <color rgb="FF6182D6"/>
        </bottom>
      </border>
    </dxf>
    <dxf>
      <font>
        <color rgb="FF000000"/>
      </font>
      <border>
        <left/>
        <right/>
        <top style="medium">
          <color rgb="FF6182D6"/>
        </top>
        <bottom style="medium">
          <color rgb="FF6182D6"/>
        </bottom>
        <vertical/>
        <horizontal/>
      </border>
    </dxf>
    <dxf>
      <fill>
        <patternFill patternType="solid">
          <fgColor rgb="FFAEBFEA"/>
          <bgColor rgb="FFAEBFEA"/>
        </patternFill>
      </fill>
    </dxf>
    <dxf>
      <fill>
        <patternFill patternType="solid">
          <fgColor rgb="FFAEBFEA"/>
          <bgColor rgb="FFAEBFEA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top style="thick">
          <color rgb="FFFFFFFF"/>
        </top>
      </border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bottom style="thick">
          <color rgb="FFFFFFFF"/>
        </bottom>
      </border>
    </dxf>
    <dxf>
      <font>
        <color rgb="FF000000"/>
      </font>
      <fill>
        <patternFill patternType="solid">
          <fgColor rgb="FFD7DFF4"/>
          <bgColor rgb="FFD7DFF4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 style="thin">
          <color rgb="FFFFFFFF"/>
        </vertical>
        <horizontal style="thin">
          <color rgb="FFFFFFFF"/>
        </horizontal>
      </border>
    </dxf>
  </dxfs>
  <tableStyles count="2" defaultTableStyle="TableStyleMedium2" defaultPivotStyle="PivotStyleLight16">
    <tableStyle name="Normal Style 1 - Accent 1" pivot="0" count="7" xr9:uid="{00000000-0011-0000-FFFF-FFFF00000000}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firstColumnStripe" dxfId="7"/>
    </tableStyle>
    <tableStyle name="Light Style 1 - Accent 1" table="0" count="7" xr9:uid="{00000000-0011-0000-FFFF-FFFF01000000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</tableStyles>
  <colors>
    <mruColors>
      <color rgb="FFE977DB"/>
      <color rgb="FFF9BFEE"/>
      <color rgb="FFFFD85D"/>
      <color rgb="FFD48FFF"/>
      <color rgb="FFB1F9C6"/>
      <color rgb="FFCCFF33"/>
      <color rgb="FFF599E3"/>
      <color rgb="FF8E5A54"/>
      <color rgb="FFFF5050"/>
      <color rgb="FFB897C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16" Type="http://schemas.openxmlformats.org/officeDocument/2006/relationships/worksheet" Target="worksheets/sheet16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5" Type="http://schemas.openxmlformats.org/officeDocument/2006/relationships/worksheet" Target="worksheets/sheet5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93" Type="http://schemas.openxmlformats.org/officeDocument/2006/relationships/sharedStrings" Target="sharedStrings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91" Type="http://schemas.openxmlformats.org/officeDocument/2006/relationships/theme" Target="theme/theme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" Type="http://schemas.openxmlformats.org/officeDocument/2006/relationships/worksheet" Target="worksheets/sheet7.xml"/><Relationship Id="rId92" Type="http://schemas.openxmlformats.org/officeDocument/2006/relationships/styles" Target="styles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61" Type="http://schemas.openxmlformats.org/officeDocument/2006/relationships/worksheet" Target="worksheets/sheet6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2.bin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3.bin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4.bin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5.bin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6.bin"/></Relationships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2">
    <tabColor theme="5" tint="0.59999389629810485"/>
  </sheetPr>
  <dimension ref="A1:SR39"/>
  <sheetViews>
    <sheetView zoomScale="64" zoomScaleNormal="64" zoomScaleSheetLayoutView="75" workbookViewId="0">
      <selection activeCell="B29" sqref="B29:H29"/>
    </sheetView>
  </sheetViews>
  <sheetFormatPr defaultColWidth="9" defaultRowHeight="15" customHeight="1" x14ac:dyDescent="0.3"/>
  <cols>
    <col min="1" max="2" width="23.5" style="34" customWidth="1"/>
    <col min="3" max="3" width="20.125" style="34" customWidth="1"/>
    <col min="4" max="4" width="22.25" style="34" customWidth="1"/>
    <col min="5" max="5" width="23.5" style="34" customWidth="1"/>
    <col min="6" max="6" width="24.875" style="34" customWidth="1"/>
    <col min="7" max="8" width="18.875" style="34" customWidth="1"/>
    <col min="9" max="9" width="28.125" style="34" customWidth="1"/>
    <col min="10" max="22" width="37.625" style="34" customWidth="1"/>
    <col min="23" max="23" width="22.25" style="34" bestFit="1" customWidth="1"/>
    <col min="24" max="26" width="18.375" style="34" customWidth="1"/>
    <col min="27" max="27" width="27.625" style="34" bestFit="1" customWidth="1"/>
    <col min="28" max="29" width="18.375" style="34" customWidth="1"/>
    <col min="30" max="30" width="27.625" style="34" bestFit="1" customWidth="1"/>
    <col min="31" max="31" width="18.375" style="34" customWidth="1"/>
    <col min="32" max="32" width="25.375" style="34" bestFit="1" customWidth="1"/>
    <col min="33" max="33" width="21" style="34" bestFit="1" customWidth="1"/>
    <col min="34" max="34" width="27.625" style="34" bestFit="1" customWidth="1"/>
    <col min="35" max="35" width="18.375" style="34" customWidth="1"/>
    <col min="36" max="36" width="27.625" style="34" bestFit="1" customWidth="1"/>
    <col min="37" max="390" width="30.375" style="34" customWidth="1"/>
    <col min="391" max="392" width="21.25" style="34" customWidth="1"/>
    <col min="393" max="408" width="20.5" style="34" customWidth="1"/>
    <col min="409" max="409" width="21" style="34" bestFit="1" customWidth="1"/>
    <col min="410" max="410" width="25.125" style="34" bestFit="1" customWidth="1"/>
    <col min="411" max="411" width="23" style="34" bestFit="1" customWidth="1"/>
    <col min="412" max="412" width="33.375" style="34" bestFit="1" customWidth="1"/>
    <col min="413" max="413" width="25.125" style="34" bestFit="1" customWidth="1"/>
    <col min="414" max="414" width="28.875" style="34" bestFit="1" customWidth="1"/>
    <col min="415" max="415" width="23" style="34" bestFit="1" customWidth="1"/>
    <col min="416" max="416" width="18.875" style="34" customWidth="1"/>
    <col min="417" max="417" width="23" style="34" bestFit="1" customWidth="1"/>
    <col min="418" max="418" width="25.125" style="34" bestFit="1" customWidth="1"/>
    <col min="419" max="419" width="18.875" style="34" customWidth="1"/>
    <col min="420" max="420" width="19.125" style="34" customWidth="1"/>
    <col min="421" max="421" width="18.125" style="34" customWidth="1"/>
    <col min="422" max="422" width="18.875" style="34" customWidth="1"/>
    <col min="423" max="423" width="26.625" style="34" customWidth="1"/>
    <col min="424" max="424" width="22.125" style="34" customWidth="1"/>
    <col min="425" max="425" width="24.125" style="34" customWidth="1"/>
    <col min="426" max="426" width="21.375" style="34" customWidth="1"/>
    <col min="427" max="427" width="19.375" style="34" customWidth="1"/>
    <col min="428" max="428" width="20" style="34" customWidth="1"/>
    <col min="429" max="429" width="23.25" style="34" customWidth="1"/>
    <col min="430" max="430" width="18" style="34" customWidth="1"/>
    <col min="431" max="461" width="19" style="34" customWidth="1"/>
    <col min="462" max="466" width="20.25" style="34" customWidth="1"/>
    <col min="467" max="467" width="17.25" style="34" customWidth="1"/>
    <col min="468" max="468" width="17.75" style="34" customWidth="1"/>
    <col min="469" max="469" width="16.5" style="34" customWidth="1"/>
    <col min="470" max="472" width="21" style="34" customWidth="1"/>
    <col min="473" max="473" width="18.5" style="34" customWidth="1"/>
    <col min="474" max="478" width="21" style="34" customWidth="1"/>
    <col min="479" max="479" width="15.125" style="34" customWidth="1"/>
    <col min="480" max="495" width="21" style="34" customWidth="1"/>
    <col min="496" max="496" width="24.25" style="34" customWidth="1"/>
    <col min="497" max="497" width="18.875" style="34" bestFit="1" customWidth="1"/>
    <col min="498" max="498" width="21" style="34" bestFit="1" customWidth="1"/>
    <col min="499" max="499" width="23" style="38" bestFit="1" customWidth="1"/>
    <col min="500" max="500" width="8.625" style="38" bestFit="1" customWidth="1"/>
    <col min="501" max="501" width="21" style="38" bestFit="1" customWidth="1"/>
    <col min="502" max="502" width="23" style="38" bestFit="1" customWidth="1"/>
    <col min="503" max="503" width="8.625" style="38" bestFit="1" customWidth="1"/>
    <col min="504" max="504" width="22.875" style="34" customWidth="1"/>
    <col min="505" max="511" width="20.875" style="38" customWidth="1"/>
    <col min="512" max="512" width="23.25" style="38" customWidth="1"/>
    <col min="513" max="16384" width="9" style="34"/>
  </cols>
  <sheetData>
    <row r="1" spans="1:504" s="38" customFormat="1" ht="15" customHeight="1" x14ac:dyDescent="0.3">
      <c r="A1" s="62" t="s">
        <v>391</v>
      </c>
      <c r="B1" s="62" t="s">
        <v>89</v>
      </c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2"/>
      <c r="AL1" s="2"/>
      <c r="AM1" s="2"/>
      <c r="AN1" s="2"/>
      <c r="AO1" s="2"/>
      <c r="AP1" s="2"/>
      <c r="AQ1" s="2"/>
      <c r="AR1" s="2"/>
      <c r="AS1" s="29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2"/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2"/>
      <c r="EV1" s="2"/>
      <c r="EW1" s="2"/>
      <c r="EX1" s="2"/>
      <c r="EY1" s="2"/>
      <c r="EZ1" s="2"/>
      <c r="FA1" s="2"/>
      <c r="FB1" s="2"/>
      <c r="FC1" s="2"/>
      <c r="FD1" s="2"/>
      <c r="FE1" s="2"/>
      <c r="FF1" s="2"/>
      <c r="FG1" s="2"/>
      <c r="FH1" s="2"/>
      <c r="FI1" s="2"/>
      <c r="FJ1" s="2"/>
      <c r="FK1" s="2"/>
      <c r="FL1" s="2"/>
      <c r="FM1" s="2"/>
      <c r="FN1" s="2"/>
      <c r="FO1" s="2"/>
      <c r="FP1" s="2"/>
      <c r="FQ1" s="2"/>
      <c r="FR1" s="2"/>
      <c r="FS1" s="2"/>
      <c r="FT1" s="2"/>
      <c r="FU1" s="2"/>
      <c r="FV1" s="2"/>
      <c r="FW1" s="2"/>
      <c r="FX1" s="2"/>
      <c r="FY1" s="2"/>
      <c r="FZ1" s="2"/>
      <c r="GA1" s="2"/>
      <c r="GB1" s="2"/>
      <c r="GC1" s="2"/>
      <c r="GD1" s="2"/>
      <c r="GE1" s="2"/>
      <c r="GF1" s="2"/>
      <c r="GG1" s="2"/>
      <c r="GH1" s="2"/>
      <c r="GI1" s="2"/>
      <c r="GJ1" s="2"/>
      <c r="GK1" s="2"/>
      <c r="GL1" s="2"/>
      <c r="GM1" s="2"/>
      <c r="GN1" s="2"/>
      <c r="GO1" s="2"/>
      <c r="GP1" s="2"/>
      <c r="GQ1" s="2"/>
      <c r="GR1" s="2"/>
      <c r="GS1" s="2"/>
      <c r="GT1" s="2"/>
      <c r="GU1" s="23"/>
      <c r="GV1" s="23"/>
      <c r="GW1" s="23"/>
      <c r="GX1" s="23"/>
      <c r="GY1" s="23"/>
      <c r="GZ1" s="23"/>
      <c r="HA1" s="23"/>
      <c r="HB1" s="23"/>
      <c r="HC1" s="23"/>
      <c r="HD1" s="23"/>
      <c r="HE1" s="23"/>
      <c r="HF1" s="23"/>
      <c r="HG1" s="23"/>
      <c r="HH1" s="23"/>
      <c r="HI1" s="23"/>
      <c r="HJ1" s="23"/>
      <c r="HK1" s="23"/>
      <c r="HL1" s="23"/>
      <c r="HM1" s="23"/>
      <c r="HN1" s="23"/>
      <c r="HO1" s="23"/>
      <c r="HP1" s="23"/>
      <c r="HQ1" s="23"/>
      <c r="HR1" s="23"/>
      <c r="HS1" s="23"/>
      <c r="HT1" s="23"/>
      <c r="HU1" s="23"/>
      <c r="HV1" s="23"/>
      <c r="HW1" s="23"/>
      <c r="HX1" s="23"/>
      <c r="HY1" s="23"/>
      <c r="HZ1" s="23"/>
      <c r="IA1" s="23"/>
      <c r="IB1" s="23"/>
      <c r="IC1" s="23"/>
      <c r="ID1" s="23"/>
      <c r="IE1" s="23"/>
      <c r="IF1" s="23"/>
      <c r="IG1" s="23"/>
      <c r="IH1" s="23"/>
      <c r="II1" s="23"/>
      <c r="IJ1" s="23"/>
      <c r="IK1" s="23"/>
      <c r="IL1" s="23"/>
      <c r="IM1" s="23"/>
      <c r="IN1" s="23"/>
      <c r="IO1" s="23"/>
      <c r="IP1" s="23"/>
      <c r="IQ1" s="23"/>
      <c r="IR1" s="23"/>
      <c r="IS1" s="23"/>
      <c r="IT1" s="23"/>
      <c r="IU1" s="23"/>
      <c r="IV1" s="23"/>
      <c r="IW1" s="23"/>
      <c r="IX1" s="23"/>
      <c r="IY1" s="23"/>
      <c r="IZ1" s="23"/>
      <c r="JA1" s="23"/>
      <c r="JB1" s="23"/>
      <c r="JC1" s="23"/>
      <c r="JD1" s="23"/>
      <c r="JE1" s="23"/>
      <c r="JF1" s="23"/>
      <c r="JG1" s="23"/>
      <c r="JH1" s="23"/>
      <c r="JI1" s="23"/>
      <c r="JJ1" s="23"/>
      <c r="JK1" s="23"/>
      <c r="JL1" s="23"/>
      <c r="JM1" s="23"/>
      <c r="JN1" s="23"/>
      <c r="JO1" s="23"/>
      <c r="JP1" s="23"/>
      <c r="JQ1" s="23"/>
      <c r="JR1" s="23"/>
      <c r="JS1" s="23"/>
      <c r="JT1" s="23"/>
      <c r="JU1" s="23"/>
      <c r="JV1" s="23"/>
      <c r="JW1" s="23"/>
      <c r="JX1" s="23"/>
      <c r="JY1" s="23"/>
      <c r="JZ1" s="23"/>
      <c r="KA1" s="23"/>
      <c r="KB1" s="23"/>
      <c r="KC1" s="23"/>
      <c r="KD1" s="23"/>
      <c r="KE1" s="23"/>
      <c r="KF1" s="23"/>
      <c r="KG1" s="23"/>
      <c r="KH1" s="23"/>
      <c r="KI1" s="23"/>
      <c r="KJ1" s="23"/>
      <c r="KK1" s="23"/>
      <c r="KL1" s="23"/>
      <c r="KM1" s="23"/>
      <c r="KN1" s="23"/>
      <c r="KO1" s="23"/>
      <c r="KP1" s="23"/>
      <c r="KQ1" s="23"/>
      <c r="KR1" s="23"/>
      <c r="KS1" s="23"/>
      <c r="KT1" s="23"/>
      <c r="KU1" s="23"/>
      <c r="KV1" s="23"/>
      <c r="KW1" s="23"/>
      <c r="KX1" s="23"/>
      <c r="KY1" s="23"/>
      <c r="KZ1" s="23"/>
      <c r="LA1" s="23"/>
      <c r="LB1" s="23"/>
      <c r="LC1" s="23"/>
      <c r="LD1" s="23"/>
      <c r="LE1" s="23"/>
      <c r="LF1" s="23"/>
      <c r="LG1" s="23"/>
      <c r="LH1" s="23"/>
      <c r="LI1" s="23"/>
      <c r="LJ1" s="23"/>
      <c r="LK1" s="23"/>
      <c r="LL1" s="23"/>
      <c r="LM1" s="23"/>
      <c r="LN1" s="23"/>
      <c r="LO1" s="23"/>
      <c r="LP1" s="23"/>
      <c r="LQ1" s="23"/>
      <c r="LR1" s="23"/>
      <c r="LS1" s="23"/>
      <c r="LT1" s="23"/>
      <c r="LU1" s="23"/>
      <c r="LV1" s="23"/>
      <c r="LW1" s="23"/>
      <c r="LX1" s="23"/>
      <c r="LY1" s="23"/>
      <c r="LZ1" s="23"/>
      <c r="MA1" s="23"/>
      <c r="MB1" s="23"/>
      <c r="MC1" s="23"/>
      <c r="MD1" s="23"/>
      <c r="ME1" s="23"/>
      <c r="MF1" s="23"/>
      <c r="MG1" s="23"/>
      <c r="MH1" s="32"/>
      <c r="MI1" s="23"/>
      <c r="MJ1" s="23"/>
      <c r="MK1" s="23"/>
      <c r="ML1" s="23"/>
      <c r="MM1" s="32"/>
      <c r="MN1" s="32"/>
      <c r="MO1" s="23"/>
      <c r="MP1" s="23"/>
      <c r="MQ1" s="23"/>
      <c r="MR1" s="23"/>
      <c r="MS1" s="23"/>
      <c r="MT1" s="23"/>
      <c r="MU1" s="23"/>
      <c r="MV1" s="23"/>
      <c r="MW1" s="23"/>
      <c r="MX1" s="23"/>
      <c r="MY1" s="23"/>
      <c r="MZ1" s="23"/>
      <c r="NA1" s="23"/>
      <c r="NB1" s="23"/>
      <c r="NC1" s="23"/>
      <c r="ND1" s="23"/>
      <c r="NE1" s="23"/>
      <c r="NF1" s="23"/>
      <c r="NG1" s="23"/>
      <c r="NH1" s="23"/>
      <c r="NI1" s="23"/>
      <c r="NJ1" s="23"/>
      <c r="NK1" s="23"/>
      <c r="NL1" s="23"/>
      <c r="NM1" s="23"/>
      <c r="NN1" s="23"/>
      <c r="NO1" s="23"/>
      <c r="NP1" s="23"/>
      <c r="NQ1" s="23"/>
      <c r="NR1" s="23"/>
      <c r="NS1" s="23"/>
      <c r="NT1" s="23"/>
      <c r="NU1" s="23"/>
      <c r="NV1" s="23"/>
      <c r="NW1" s="23"/>
      <c r="NX1" s="23"/>
      <c r="NY1" s="23"/>
      <c r="NZ1" s="23"/>
      <c r="OA1" s="23"/>
      <c r="OB1" s="23"/>
      <c r="OC1" s="23"/>
      <c r="OD1" s="23"/>
      <c r="OE1" s="23"/>
      <c r="OF1" s="23"/>
      <c r="OG1" s="23"/>
      <c r="OH1" s="23"/>
      <c r="OI1" s="23"/>
      <c r="OJ1" s="23"/>
      <c r="OK1" s="23"/>
      <c r="OL1" s="23"/>
      <c r="OM1" s="23"/>
      <c r="ON1" s="23"/>
      <c r="OO1" s="23"/>
      <c r="OP1" s="23"/>
      <c r="OQ1" s="23"/>
      <c r="OR1" s="23"/>
      <c r="OS1" s="32"/>
      <c r="OT1" s="23"/>
      <c r="OU1" s="23"/>
      <c r="OV1" s="23"/>
      <c r="OW1" s="23"/>
      <c r="OX1" s="23"/>
      <c r="OY1" s="23"/>
      <c r="OZ1" s="23"/>
      <c r="PA1" s="23"/>
      <c r="PB1" s="23"/>
      <c r="PC1" s="23"/>
      <c r="PD1" s="23"/>
      <c r="PE1" s="23"/>
      <c r="PF1" s="23"/>
      <c r="PG1" s="23"/>
      <c r="PH1" s="23"/>
      <c r="PI1" s="23"/>
      <c r="PJ1" s="23"/>
      <c r="PK1" s="23"/>
      <c r="PL1" s="23"/>
      <c r="PM1" s="23"/>
      <c r="PN1" s="23"/>
      <c r="PO1" s="32"/>
      <c r="PP1" s="23"/>
      <c r="PQ1" s="23"/>
      <c r="PR1" s="23"/>
      <c r="PS1" s="23"/>
      <c r="PT1" s="23"/>
      <c r="PU1" s="23"/>
      <c r="PV1" s="23"/>
      <c r="PW1" s="23"/>
      <c r="PX1" s="23"/>
      <c r="PY1" s="23"/>
      <c r="PZ1" s="23"/>
      <c r="QA1" s="23"/>
      <c r="QB1" s="23"/>
      <c r="QC1" s="32"/>
      <c r="QD1" s="23"/>
      <c r="QE1" s="23"/>
      <c r="QF1" s="23"/>
      <c r="QG1" s="23"/>
      <c r="QH1" s="23"/>
      <c r="QI1" s="23"/>
      <c r="QJ1" s="23"/>
      <c r="QK1" s="23"/>
      <c r="QL1" s="23"/>
      <c r="QM1" s="23"/>
      <c r="QN1" s="23"/>
      <c r="QO1" s="23"/>
      <c r="QP1" s="23"/>
      <c r="QQ1" s="23"/>
      <c r="QR1" s="23"/>
      <c r="QS1" s="23"/>
      <c r="QT1" s="23"/>
      <c r="QU1" s="23"/>
      <c r="QV1" s="23"/>
      <c r="QW1" s="23"/>
      <c r="QX1" s="23"/>
      <c r="QY1" s="23"/>
      <c r="QZ1" s="23"/>
      <c r="RA1" s="23"/>
      <c r="RB1" s="23"/>
      <c r="RC1" s="23"/>
      <c r="RD1" s="23"/>
      <c r="RE1" s="23"/>
      <c r="RF1" s="23"/>
      <c r="RG1" s="23"/>
      <c r="RH1" s="23"/>
      <c r="RI1" s="23"/>
      <c r="RJ1" s="23"/>
      <c r="RK1" s="23"/>
      <c r="RL1" s="23"/>
      <c r="RM1" s="23"/>
      <c r="RN1" s="23"/>
      <c r="RO1" s="23"/>
      <c r="RP1" s="23"/>
      <c r="RQ1" s="23"/>
      <c r="RR1" s="23"/>
      <c r="RS1" s="23"/>
      <c r="RT1" s="23"/>
      <c r="RU1" s="23"/>
      <c r="RV1" s="23"/>
      <c r="RW1" s="23"/>
      <c r="RX1" s="23"/>
      <c r="RY1" s="23"/>
      <c r="RZ1" s="23"/>
      <c r="SA1" s="23"/>
      <c r="SB1" s="23"/>
      <c r="SC1" s="23"/>
      <c r="SD1" s="23"/>
      <c r="SE1" s="23"/>
      <c r="SF1" s="23"/>
      <c r="SG1" s="23"/>
      <c r="SH1" s="23"/>
      <c r="SI1" s="23"/>
      <c r="SJ1" s="23"/>
    </row>
    <row r="2" spans="1:504" s="38" customFormat="1" ht="15" customHeight="1" x14ac:dyDescent="0.3">
      <c r="A2" s="53" t="s">
        <v>67</v>
      </c>
      <c r="B2" s="53" t="s">
        <v>347</v>
      </c>
      <c r="C2" s="53" t="s">
        <v>287</v>
      </c>
      <c r="D2" s="53" t="s">
        <v>288</v>
      </c>
      <c r="E2" s="53" t="s">
        <v>289</v>
      </c>
      <c r="F2" s="53" t="s">
        <v>290</v>
      </c>
      <c r="G2" s="53" t="s">
        <v>291</v>
      </c>
      <c r="H2" s="53" t="s">
        <v>292</v>
      </c>
      <c r="I2" s="53" t="s">
        <v>3</v>
      </c>
      <c r="J2" s="53"/>
      <c r="K2" s="53"/>
      <c r="L2" s="53"/>
      <c r="M2" s="53"/>
      <c r="N2" s="53"/>
      <c r="O2" s="53"/>
      <c r="P2" s="53"/>
      <c r="Q2" s="53"/>
      <c r="R2" s="53"/>
      <c r="S2" s="53"/>
      <c r="T2" s="53"/>
      <c r="U2" s="53"/>
      <c r="V2" s="53"/>
      <c r="W2" s="53"/>
      <c r="X2" s="53"/>
      <c r="Y2" s="53"/>
      <c r="Z2" s="53"/>
      <c r="AA2" s="53"/>
      <c r="AB2" s="53"/>
      <c r="AC2" s="53"/>
      <c r="AD2" s="53"/>
      <c r="AE2" s="53"/>
      <c r="AF2" s="53"/>
      <c r="AG2" s="53"/>
      <c r="AH2" s="53"/>
      <c r="AI2" s="53"/>
      <c r="AJ2" s="53"/>
      <c r="AK2" s="34"/>
      <c r="AL2" s="34"/>
      <c r="AM2" s="34"/>
      <c r="AN2" s="34"/>
      <c r="AO2" s="34"/>
      <c r="AP2" s="34"/>
      <c r="AQ2" s="34"/>
      <c r="AR2" s="34"/>
      <c r="AS2" s="34"/>
      <c r="AT2" s="34"/>
      <c r="AU2" s="34"/>
      <c r="AV2" s="34"/>
      <c r="AW2" s="34"/>
      <c r="AX2" s="34"/>
      <c r="AY2" s="34"/>
      <c r="AZ2" s="34"/>
      <c r="BA2" s="34"/>
      <c r="BB2" s="34"/>
      <c r="BC2" s="34"/>
      <c r="BD2" s="34"/>
      <c r="BE2" s="34"/>
      <c r="BF2" s="34"/>
      <c r="BG2" s="34"/>
      <c r="BH2" s="34"/>
      <c r="BI2" s="34"/>
      <c r="BJ2" s="34"/>
      <c r="BK2" s="34"/>
      <c r="BL2" s="34"/>
      <c r="BM2" s="34"/>
      <c r="BN2" s="34"/>
      <c r="BO2" s="34"/>
      <c r="BP2" s="34"/>
      <c r="BQ2" s="34"/>
      <c r="BR2" s="34"/>
      <c r="BS2" s="34"/>
      <c r="BT2" s="34"/>
      <c r="BU2" s="34"/>
      <c r="BV2" s="34"/>
      <c r="BW2" s="34"/>
      <c r="BX2" s="34"/>
      <c r="BY2" s="34"/>
      <c r="BZ2" s="34"/>
      <c r="CA2" s="34"/>
      <c r="CB2" s="34"/>
      <c r="CC2" s="34"/>
      <c r="CD2" s="34"/>
      <c r="CE2" s="34"/>
      <c r="CF2" s="34"/>
      <c r="CG2" s="34"/>
      <c r="CH2" s="34"/>
      <c r="CI2" s="34"/>
      <c r="CJ2" s="34"/>
      <c r="CK2" s="34"/>
      <c r="CL2" s="34"/>
      <c r="CM2" s="34"/>
      <c r="CN2" s="34"/>
      <c r="CO2" s="34"/>
      <c r="CP2" s="34"/>
      <c r="CQ2" s="34"/>
      <c r="CR2" s="34"/>
      <c r="CS2" s="34"/>
      <c r="CT2" s="34"/>
      <c r="CU2" s="34"/>
      <c r="CV2" s="34"/>
      <c r="CW2" s="34"/>
      <c r="CX2" s="34"/>
      <c r="CY2" s="34"/>
      <c r="CZ2" s="34"/>
      <c r="DA2" s="34"/>
      <c r="DB2" s="34"/>
      <c r="DC2" s="34"/>
      <c r="DD2" s="34"/>
      <c r="DE2" s="34"/>
      <c r="DF2" s="34"/>
      <c r="DG2" s="34"/>
      <c r="DH2" s="34"/>
      <c r="DI2" s="34"/>
      <c r="DJ2" s="34"/>
      <c r="DK2" s="34"/>
      <c r="DL2" s="34"/>
      <c r="DM2" s="34"/>
      <c r="DN2" s="34"/>
      <c r="DO2" s="34"/>
      <c r="DP2" s="34"/>
      <c r="DQ2" s="34"/>
      <c r="DR2" s="34"/>
      <c r="DS2" s="34"/>
      <c r="DT2" s="34"/>
      <c r="DU2" s="34"/>
      <c r="DV2" s="34"/>
      <c r="DW2" s="34"/>
      <c r="DX2" s="34"/>
      <c r="DY2" s="34"/>
      <c r="DZ2" s="34"/>
      <c r="EA2" s="34"/>
      <c r="EB2" s="34"/>
      <c r="EC2" s="34"/>
      <c r="ED2" s="34"/>
      <c r="EE2" s="34"/>
      <c r="EF2" s="34"/>
      <c r="EG2" s="34"/>
      <c r="EH2" s="34"/>
      <c r="EI2" s="34"/>
      <c r="EJ2" s="34"/>
      <c r="EK2" s="34"/>
      <c r="EL2" s="34"/>
      <c r="EM2" s="34"/>
      <c r="EN2" s="34"/>
      <c r="EO2" s="34"/>
      <c r="EP2" s="34"/>
      <c r="EQ2" s="34"/>
      <c r="ER2" s="34"/>
      <c r="ES2" s="34"/>
      <c r="ET2" s="34"/>
      <c r="EU2" s="34"/>
      <c r="EV2" s="34"/>
      <c r="EW2" s="34"/>
      <c r="EX2" s="34"/>
      <c r="EY2" s="34"/>
      <c r="EZ2" s="34"/>
      <c r="FA2" s="34"/>
      <c r="FB2" s="34"/>
      <c r="FC2" s="34"/>
      <c r="FD2" s="34"/>
      <c r="FE2" s="34"/>
      <c r="FF2" s="34"/>
      <c r="FG2" s="34"/>
      <c r="FH2" s="34"/>
      <c r="FI2" s="34"/>
      <c r="FJ2" s="34"/>
      <c r="FK2" s="34"/>
      <c r="FL2" s="34"/>
      <c r="FM2" s="34"/>
      <c r="FN2" s="34"/>
      <c r="FO2" s="34"/>
      <c r="FP2" s="34"/>
      <c r="FQ2" s="34"/>
      <c r="FR2" s="34"/>
      <c r="FS2" s="34"/>
      <c r="FT2" s="34"/>
      <c r="FU2" s="34"/>
      <c r="FV2" s="34"/>
      <c r="FW2" s="34"/>
      <c r="FX2" s="34"/>
      <c r="FY2" s="34"/>
      <c r="FZ2" s="34"/>
      <c r="GA2" s="34"/>
      <c r="GB2" s="34"/>
      <c r="GC2" s="34"/>
      <c r="GD2" s="34"/>
      <c r="GE2" s="34"/>
      <c r="GF2" s="34"/>
      <c r="GG2" s="34"/>
      <c r="GH2" s="34"/>
      <c r="GI2" s="34"/>
      <c r="GJ2" s="34"/>
      <c r="GK2" s="34"/>
      <c r="GL2" s="34"/>
      <c r="GM2" s="34"/>
      <c r="GN2" s="34"/>
      <c r="GO2" s="34"/>
      <c r="GP2" s="34"/>
      <c r="GQ2" s="34"/>
      <c r="GR2" s="34"/>
      <c r="GS2" s="34"/>
      <c r="GT2" s="34"/>
    </row>
    <row r="3" spans="1:504" s="38" customFormat="1" ht="15" customHeight="1" x14ac:dyDescent="0.3">
      <c r="A3" s="34" t="s">
        <v>260</v>
      </c>
      <c r="B3" s="34">
        <v>28</v>
      </c>
      <c r="C3" s="34">
        <v>4</v>
      </c>
      <c r="D3" s="34">
        <v>7</v>
      </c>
      <c r="E3" s="34">
        <v>11</v>
      </c>
      <c r="F3" s="34">
        <v>9</v>
      </c>
      <c r="G3" s="34">
        <v>20</v>
      </c>
      <c r="H3" s="34">
        <v>22</v>
      </c>
      <c r="I3" s="34">
        <v>101</v>
      </c>
      <c r="J3" s="34"/>
      <c r="K3" s="34"/>
      <c r="L3" s="34"/>
      <c r="M3" s="34"/>
      <c r="N3" s="34"/>
      <c r="O3" s="34"/>
      <c r="P3" s="34"/>
      <c r="Q3" s="34"/>
      <c r="R3" s="34"/>
      <c r="S3" s="34"/>
      <c r="T3" s="34"/>
      <c r="U3" s="34"/>
      <c r="V3" s="34"/>
      <c r="W3" s="34"/>
      <c r="X3" s="58"/>
      <c r="Y3" s="58"/>
      <c r="Z3" s="58"/>
      <c r="AA3" s="58"/>
      <c r="AB3" s="58"/>
      <c r="AC3" s="58"/>
      <c r="AD3" s="58"/>
      <c r="AE3" s="58"/>
      <c r="AF3" s="58"/>
      <c r="AG3" s="58"/>
      <c r="AH3" s="58"/>
      <c r="AI3" s="58"/>
      <c r="AJ3" s="58"/>
      <c r="AK3" s="34"/>
      <c r="AL3" s="34"/>
      <c r="AM3" s="34"/>
      <c r="AN3" s="34"/>
      <c r="AO3" s="34"/>
      <c r="AP3" s="34"/>
      <c r="AQ3" s="34"/>
      <c r="AR3" s="34"/>
      <c r="AS3" s="34"/>
      <c r="AT3" s="34"/>
      <c r="AU3" s="34"/>
      <c r="AV3" s="34"/>
      <c r="AW3" s="34"/>
      <c r="AX3" s="34"/>
      <c r="AY3" s="34"/>
      <c r="AZ3" s="34"/>
      <c r="BA3" s="34"/>
      <c r="BB3" s="34"/>
      <c r="BC3" s="34"/>
      <c r="BD3" s="34"/>
      <c r="BE3" s="34"/>
      <c r="BF3" s="34"/>
      <c r="BG3" s="34"/>
      <c r="BH3" s="34"/>
      <c r="BI3" s="34"/>
      <c r="BJ3" s="34"/>
      <c r="BK3" s="34"/>
      <c r="BL3" s="34"/>
      <c r="BM3" s="34"/>
      <c r="BN3" s="34"/>
      <c r="BO3" s="34"/>
      <c r="BP3" s="34"/>
      <c r="BQ3" s="34"/>
      <c r="BR3" s="34"/>
      <c r="BS3" s="34"/>
      <c r="BT3" s="34"/>
      <c r="BU3" s="34"/>
      <c r="BV3" s="34"/>
      <c r="BW3" s="34"/>
      <c r="BX3" s="34"/>
      <c r="BY3" s="34"/>
      <c r="BZ3" s="34"/>
      <c r="CA3" s="34"/>
      <c r="CB3" s="34"/>
      <c r="CC3" s="34"/>
      <c r="CD3" s="34"/>
      <c r="CE3" s="34"/>
      <c r="CF3" s="34"/>
      <c r="CG3" s="34"/>
      <c r="CH3" s="34"/>
      <c r="CI3" s="34"/>
      <c r="CJ3" s="34"/>
      <c r="CK3" s="34"/>
      <c r="CL3" s="34"/>
      <c r="CM3" s="34"/>
      <c r="CN3" s="34"/>
      <c r="CO3" s="34"/>
      <c r="CP3" s="34"/>
      <c r="CQ3" s="34"/>
      <c r="CR3" s="34"/>
      <c r="CS3" s="34"/>
      <c r="CT3" s="34"/>
      <c r="CU3" s="34"/>
      <c r="CV3" s="34"/>
      <c r="CW3" s="34"/>
      <c r="CX3" s="34"/>
      <c r="CY3" s="34"/>
      <c r="CZ3" s="34"/>
      <c r="DA3" s="34"/>
      <c r="DB3" s="34"/>
      <c r="DC3" s="34"/>
      <c r="DD3" s="34"/>
      <c r="DE3" s="34"/>
      <c r="DF3" s="34"/>
      <c r="DG3" s="34"/>
      <c r="DH3" s="34"/>
      <c r="DI3" s="34"/>
      <c r="DJ3" s="34"/>
      <c r="DK3" s="34"/>
      <c r="DL3" s="34"/>
      <c r="DM3" s="34"/>
      <c r="DN3" s="34"/>
      <c r="DO3" s="34"/>
      <c r="DP3" s="34"/>
      <c r="DQ3" s="34"/>
      <c r="DR3" s="34"/>
      <c r="DS3" s="34"/>
      <c r="DT3" s="34"/>
      <c r="DU3" s="34"/>
      <c r="DV3" s="34"/>
      <c r="DW3" s="34"/>
      <c r="DX3" s="34"/>
      <c r="DY3" s="34"/>
      <c r="DZ3" s="34"/>
      <c r="EA3" s="34"/>
      <c r="EB3" s="34"/>
      <c r="EC3" s="34"/>
      <c r="ED3" s="34"/>
      <c r="EE3" s="34"/>
      <c r="EF3" s="34"/>
      <c r="EG3" s="34"/>
      <c r="EH3" s="34"/>
      <c r="EI3" s="34"/>
      <c r="EJ3" s="34"/>
      <c r="EK3" s="34"/>
      <c r="EL3" s="34"/>
      <c r="EM3" s="34"/>
      <c r="EN3" s="34"/>
      <c r="EO3" s="34"/>
      <c r="EP3" s="34"/>
      <c r="EQ3" s="34"/>
      <c r="ER3" s="34"/>
      <c r="ES3" s="34"/>
      <c r="ET3" s="34"/>
      <c r="EU3" s="34"/>
      <c r="EV3" s="34"/>
      <c r="EW3" s="34"/>
      <c r="EX3" s="34"/>
      <c r="EY3" s="34"/>
      <c r="EZ3" s="34"/>
      <c r="FA3" s="34"/>
      <c r="FB3" s="34"/>
      <c r="FC3" s="34"/>
      <c r="FD3" s="34"/>
      <c r="FE3" s="34"/>
      <c r="FF3" s="34"/>
      <c r="FG3" s="34"/>
      <c r="FH3" s="34"/>
      <c r="FI3" s="34"/>
      <c r="FJ3" s="34"/>
      <c r="FK3" s="34"/>
      <c r="FL3" s="34"/>
      <c r="FM3" s="34"/>
      <c r="FN3" s="34"/>
      <c r="FO3" s="34"/>
      <c r="FP3" s="34"/>
      <c r="FQ3" s="34"/>
      <c r="FR3" s="34"/>
      <c r="FS3" s="34"/>
      <c r="FT3" s="34"/>
      <c r="FU3" s="34"/>
      <c r="FV3" s="34"/>
      <c r="FW3" s="34"/>
      <c r="FX3" s="34"/>
      <c r="FY3" s="34"/>
      <c r="FZ3" s="34"/>
      <c r="GA3" s="34"/>
      <c r="GB3" s="34"/>
      <c r="GC3" s="34"/>
      <c r="GD3" s="34"/>
      <c r="GE3" s="34"/>
      <c r="GF3" s="34"/>
      <c r="GG3" s="34"/>
      <c r="GH3" s="34"/>
      <c r="GI3" s="34"/>
      <c r="GJ3" s="34"/>
      <c r="GK3" s="34"/>
      <c r="GL3" s="34"/>
      <c r="GM3" s="34"/>
      <c r="GN3" s="34"/>
      <c r="GO3" s="34"/>
      <c r="GP3" s="34"/>
      <c r="GQ3" s="34"/>
      <c r="GR3" s="34"/>
      <c r="GS3" s="34"/>
      <c r="GT3" s="34"/>
    </row>
    <row r="4" spans="1:504" s="38" customFormat="1" ht="15" customHeight="1" x14ac:dyDescent="0.3">
      <c r="A4" s="34" t="s">
        <v>255</v>
      </c>
      <c r="B4" s="34">
        <v>223</v>
      </c>
      <c r="C4" s="34">
        <v>125</v>
      </c>
      <c r="D4" s="34">
        <v>110</v>
      </c>
      <c r="E4" s="34">
        <v>167</v>
      </c>
      <c r="F4" s="34">
        <v>81</v>
      </c>
      <c r="G4" s="34">
        <v>266</v>
      </c>
      <c r="H4" s="34">
        <v>235</v>
      </c>
      <c r="I4" s="34">
        <v>1207</v>
      </c>
      <c r="J4" s="34"/>
      <c r="K4" s="34"/>
      <c r="L4" s="34"/>
      <c r="M4" s="34"/>
      <c r="N4" s="34"/>
      <c r="O4" s="34"/>
      <c r="P4" s="34"/>
      <c r="Q4" s="34"/>
      <c r="R4" s="34"/>
      <c r="S4" s="34"/>
      <c r="T4" s="34"/>
      <c r="U4" s="34"/>
      <c r="V4" s="34"/>
      <c r="W4" s="34"/>
      <c r="X4" s="58"/>
      <c r="Y4" s="58"/>
      <c r="Z4" s="58"/>
      <c r="AA4" s="58"/>
      <c r="AB4" s="58"/>
      <c r="AC4" s="58"/>
      <c r="AD4" s="58"/>
      <c r="AE4" s="58"/>
      <c r="AF4" s="58"/>
      <c r="AG4" s="58"/>
      <c r="AH4" s="58"/>
      <c r="AI4" s="58"/>
      <c r="AJ4" s="58"/>
      <c r="AK4" s="34"/>
      <c r="AL4" s="34"/>
      <c r="AM4" s="34"/>
      <c r="AN4" s="34"/>
      <c r="AO4" s="34"/>
      <c r="AP4" s="34"/>
      <c r="AQ4" s="34"/>
      <c r="AR4" s="34"/>
      <c r="AS4" s="34"/>
      <c r="AT4" s="34"/>
      <c r="AU4" s="34"/>
      <c r="AV4" s="34"/>
      <c r="AW4" s="34"/>
      <c r="AX4" s="34"/>
      <c r="AY4" s="34"/>
      <c r="AZ4" s="34"/>
      <c r="BA4" s="34"/>
      <c r="BB4" s="34"/>
      <c r="BC4" s="34"/>
      <c r="BD4" s="34"/>
      <c r="BE4" s="34"/>
      <c r="BF4" s="34"/>
      <c r="BG4" s="34"/>
      <c r="BH4" s="34"/>
      <c r="BI4" s="34"/>
      <c r="BJ4" s="34"/>
      <c r="BK4" s="34"/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4"/>
      <c r="BZ4" s="34"/>
      <c r="CA4" s="34"/>
      <c r="CB4" s="34"/>
      <c r="CC4" s="34"/>
      <c r="CD4" s="34"/>
      <c r="CE4" s="34"/>
      <c r="CF4" s="34"/>
      <c r="CG4" s="34"/>
      <c r="CH4" s="34"/>
      <c r="CI4" s="34"/>
      <c r="CJ4" s="34"/>
      <c r="CK4" s="34"/>
      <c r="CL4" s="34"/>
      <c r="CM4" s="34"/>
      <c r="CN4" s="34"/>
      <c r="CO4" s="34"/>
      <c r="CP4" s="34"/>
      <c r="CQ4" s="34"/>
      <c r="CR4" s="34"/>
      <c r="CS4" s="34"/>
      <c r="CT4" s="34"/>
      <c r="CU4" s="34"/>
      <c r="CV4" s="34"/>
      <c r="CW4" s="34"/>
      <c r="CX4" s="34"/>
      <c r="CY4" s="34"/>
      <c r="CZ4" s="34"/>
      <c r="DA4" s="34"/>
      <c r="DB4" s="34"/>
      <c r="DC4" s="34"/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4"/>
      <c r="DO4" s="34"/>
      <c r="DP4" s="34"/>
      <c r="DQ4" s="34"/>
      <c r="DR4" s="34"/>
      <c r="DS4" s="34"/>
      <c r="DT4" s="34"/>
      <c r="DU4" s="34"/>
      <c r="DV4" s="34"/>
      <c r="DW4" s="34"/>
      <c r="DX4" s="34"/>
      <c r="DY4" s="34"/>
      <c r="DZ4" s="34"/>
      <c r="EA4" s="34"/>
      <c r="EB4" s="34"/>
      <c r="EC4" s="34"/>
      <c r="ED4" s="34"/>
      <c r="EE4" s="34"/>
      <c r="EF4" s="34"/>
      <c r="EG4" s="34"/>
      <c r="EH4" s="34"/>
      <c r="EI4" s="34"/>
      <c r="EJ4" s="34"/>
      <c r="EK4" s="34"/>
      <c r="EL4" s="34"/>
      <c r="EM4" s="34"/>
      <c r="EN4" s="34"/>
      <c r="EO4" s="34"/>
      <c r="EP4" s="34"/>
      <c r="EQ4" s="34"/>
      <c r="ER4" s="34"/>
      <c r="ES4" s="34"/>
      <c r="ET4" s="34"/>
      <c r="EU4" s="34"/>
      <c r="EV4" s="34"/>
      <c r="EW4" s="34"/>
      <c r="EX4" s="34"/>
      <c r="EY4" s="34"/>
      <c r="EZ4" s="34"/>
      <c r="FA4" s="34"/>
      <c r="FB4" s="34"/>
      <c r="FC4" s="34"/>
      <c r="FD4" s="34"/>
      <c r="FE4" s="34"/>
      <c r="FF4" s="34"/>
      <c r="FG4" s="34"/>
      <c r="FH4" s="34"/>
      <c r="FI4" s="34"/>
      <c r="FJ4" s="34"/>
      <c r="FK4" s="34"/>
      <c r="FL4" s="34"/>
      <c r="FM4" s="34"/>
      <c r="FN4" s="34"/>
      <c r="FO4" s="34"/>
      <c r="FP4" s="34"/>
      <c r="FQ4" s="34"/>
      <c r="FR4" s="34"/>
      <c r="FS4" s="34"/>
      <c r="FT4" s="34"/>
      <c r="FU4" s="34"/>
      <c r="FV4" s="34"/>
      <c r="FW4" s="34"/>
      <c r="FX4" s="34"/>
      <c r="FY4" s="34"/>
      <c r="FZ4" s="34"/>
      <c r="GA4" s="34"/>
      <c r="GB4" s="34"/>
      <c r="GC4" s="34"/>
      <c r="GD4" s="34"/>
      <c r="GE4" s="34"/>
      <c r="GF4" s="34"/>
      <c r="GG4" s="34"/>
      <c r="GH4" s="34"/>
      <c r="GI4" s="34"/>
      <c r="GJ4" s="34"/>
      <c r="GK4" s="34"/>
      <c r="GL4" s="34"/>
      <c r="GM4" s="34"/>
      <c r="GN4" s="34"/>
      <c r="GO4" s="34"/>
      <c r="GP4" s="34"/>
      <c r="GQ4" s="34"/>
      <c r="GR4" s="34"/>
      <c r="GS4" s="34"/>
      <c r="GT4" s="34"/>
    </row>
    <row r="5" spans="1:504" s="38" customFormat="1" ht="15" customHeight="1" x14ac:dyDescent="0.3">
      <c r="A5" s="34" t="s">
        <v>254</v>
      </c>
      <c r="B5" s="34">
        <v>206</v>
      </c>
      <c r="C5" s="34">
        <v>51</v>
      </c>
      <c r="D5" s="34">
        <v>88</v>
      </c>
      <c r="E5" s="34">
        <v>188</v>
      </c>
      <c r="F5" s="34">
        <v>78</v>
      </c>
      <c r="G5" s="34">
        <v>210</v>
      </c>
      <c r="H5" s="34">
        <v>185</v>
      </c>
      <c r="I5" s="34">
        <v>1006</v>
      </c>
      <c r="J5" s="34"/>
      <c r="K5" s="34"/>
      <c r="L5" s="34"/>
      <c r="M5" s="34"/>
      <c r="N5" s="34"/>
      <c r="O5" s="34"/>
      <c r="P5" s="34"/>
      <c r="Q5" s="34"/>
      <c r="R5" s="34"/>
      <c r="S5" s="34"/>
      <c r="T5" s="34"/>
      <c r="U5" s="34"/>
      <c r="V5" s="34"/>
      <c r="W5" s="34"/>
      <c r="X5" s="58"/>
      <c r="Y5" s="58"/>
      <c r="Z5" s="58"/>
      <c r="AA5" s="58"/>
      <c r="AB5" s="58"/>
      <c r="AC5" s="58"/>
      <c r="AD5" s="58"/>
      <c r="AE5" s="58"/>
      <c r="AF5" s="58"/>
      <c r="AG5" s="58"/>
      <c r="AH5" s="58"/>
      <c r="AI5" s="58"/>
      <c r="AJ5" s="58"/>
      <c r="AK5" s="34"/>
      <c r="AL5" s="34"/>
      <c r="AM5" s="34"/>
      <c r="AN5" s="34"/>
      <c r="AO5" s="34"/>
      <c r="AP5" s="34"/>
      <c r="AQ5" s="34"/>
      <c r="AR5" s="34"/>
      <c r="AS5" s="34"/>
      <c r="AT5" s="34"/>
      <c r="AU5" s="34"/>
      <c r="AV5" s="34"/>
      <c r="AW5" s="34"/>
      <c r="AX5" s="34"/>
      <c r="AY5" s="34"/>
      <c r="AZ5" s="34"/>
      <c r="BA5" s="34"/>
      <c r="BB5" s="34"/>
      <c r="BC5" s="34"/>
      <c r="BD5" s="34"/>
      <c r="BE5" s="34"/>
      <c r="BF5" s="34"/>
      <c r="BG5" s="34"/>
      <c r="BH5" s="34"/>
      <c r="BI5" s="34"/>
      <c r="BJ5" s="34"/>
      <c r="BK5" s="34"/>
      <c r="BL5" s="34"/>
      <c r="BM5" s="34"/>
      <c r="BN5" s="34"/>
      <c r="BO5" s="34"/>
      <c r="BP5" s="34"/>
      <c r="BQ5" s="34"/>
      <c r="BR5" s="34"/>
      <c r="BS5" s="34"/>
      <c r="BT5" s="34"/>
      <c r="BU5" s="34"/>
      <c r="BV5" s="34"/>
      <c r="BW5" s="34"/>
      <c r="BX5" s="34"/>
      <c r="BY5" s="34"/>
      <c r="BZ5" s="34"/>
      <c r="CA5" s="34"/>
      <c r="CB5" s="34"/>
      <c r="CC5" s="34"/>
      <c r="CD5" s="34"/>
      <c r="CE5" s="34"/>
      <c r="CF5" s="34"/>
      <c r="CG5" s="34"/>
      <c r="CH5" s="34"/>
      <c r="CI5" s="34"/>
      <c r="CJ5" s="34"/>
      <c r="CK5" s="34"/>
      <c r="CL5" s="34"/>
      <c r="CM5" s="34"/>
      <c r="CN5" s="34"/>
      <c r="CO5" s="34"/>
      <c r="CP5" s="34"/>
      <c r="CQ5" s="34"/>
      <c r="CR5" s="34"/>
      <c r="CS5" s="34"/>
      <c r="CT5" s="34"/>
      <c r="CU5" s="34"/>
      <c r="CV5" s="34"/>
      <c r="CW5" s="34"/>
      <c r="CX5" s="34"/>
      <c r="CY5" s="34"/>
      <c r="CZ5" s="34"/>
      <c r="DA5" s="34"/>
      <c r="DB5" s="34"/>
      <c r="DC5" s="34"/>
      <c r="DD5" s="34"/>
      <c r="DE5" s="34"/>
      <c r="DF5" s="34"/>
      <c r="DG5" s="34"/>
      <c r="DH5" s="34"/>
      <c r="DI5" s="34"/>
      <c r="DJ5" s="34"/>
      <c r="DK5" s="34"/>
      <c r="DL5" s="34"/>
      <c r="DM5" s="34"/>
      <c r="DN5" s="34"/>
      <c r="DO5" s="34"/>
      <c r="DP5" s="34"/>
      <c r="DQ5" s="34"/>
      <c r="DR5" s="34"/>
      <c r="DS5" s="34"/>
      <c r="DT5" s="34"/>
      <c r="DU5" s="34"/>
      <c r="DV5" s="34"/>
      <c r="DW5" s="34"/>
      <c r="DX5" s="34"/>
      <c r="DY5" s="34"/>
      <c r="DZ5" s="34"/>
      <c r="EA5" s="34"/>
      <c r="EB5" s="34"/>
      <c r="EC5" s="34"/>
      <c r="ED5" s="34"/>
      <c r="EE5" s="34"/>
      <c r="EF5" s="34"/>
      <c r="EG5" s="34"/>
      <c r="EH5" s="34"/>
      <c r="EI5" s="34"/>
      <c r="EJ5" s="34"/>
      <c r="EK5" s="34"/>
      <c r="EL5" s="34"/>
      <c r="EM5" s="34"/>
      <c r="EN5" s="34"/>
      <c r="EO5" s="34"/>
      <c r="EP5" s="34"/>
      <c r="EQ5" s="34"/>
      <c r="ER5" s="34"/>
      <c r="ES5" s="34"/>
      <c r="ET5" s="34"/>
      <c r="EU5" s="34"/>
      <c r="EV5" s="34"/>
      <c r="EW5" s="34"/>
      <c r="EX5" s="34"/>
      <c r="EY5" s="34"/>
      <c r="EZ5" s="34"/>
      <c r="FA5" s="34"/>
      <c r="FB5" s="34"/>
      <c r="FC5" s="34"/>
      <c r="FD5" s="34"/>
      <c r="FE5" s="34"/>
      <c r="FF5" s="34"/>
      <c r="FG5" s="34"/>
      <c r="FH5" s="34"/>
      <c r="FI5" s="34"/>
      <c r="FJ5" s="34"/>
      <c r="FK5" s="34"/>
      <c r="FL5" s="34"/>
      <c r="FM5" s="34"/>
      <c r="FN5" s="34"/>
      <c r="FO5" s="34"/>
      <c r="FP5" s="34"/>
      <c r="FQ5" s="34"/>
      <c r="FR5" s="34"/>
      <c r="FS5" s="34"/>
      <c r="FT5" s="34"/>
      <c r="FU5" s="34"/>
      <c r="FV5" s="34"/>
      <c r="FW5" s="34"/>
      <c r="FX5" s="34"/>
      <c r="FY5" s="34"/>
      <c r="FZ5" s="34"/>
      <c r="GA5" s="34"/>
      <c r="GB5" s="34"/>
      <c r="GC5" s="34"/>
      <c r="GD5" s="34"/>
      <c r="GE5" s="34"/>
      <c r="GF5" s="34"/>
      <c r="GG5" s="34"/>
      <c r="GH5" s="34"/>
      <c r="GI5" s="34"/>
      <c r="GJ5" s="34"/>
      <c r="GK5" s="34"/>
      <c r="GL5" s="34"/>
      <c r="GM5" s="34"/>
      <c r="GN5" s="34"/>
      <c r="GO5" s="34"/>
      <c r="GP5" s="34"/>
      <c r="GQ5" s="34"/>
      <c r="GR5" s="34"/>
      <c r="GS5" s="34"/>
      <c r="GT5" s="34"/>
    </row>
    <row r="6" spans="1:504" s="38" customFormat="1" ht="15" customHeight="1" x14ac:dyDescent="0.3">
      <c r="A6" s="34" t="s">
        <v>236</v>
      </c>
      <c r="B6" s="34">
        <v>124</v>
      </c>
      <c r="C6" s="34">
        <v>9</v>
      </c>
      <c r="D6" s="34">
        <v>31</v>
      </c>
      <c r="E6" s="34">
        <v>52</v>
      </c>
      <c r="F6" s="34">
        <v>29</v>
      </c>
      <c r="G6" s="34">
        <v>104</v>
      </c>
      <c r="H6" s="34">
        <v>103</v>
      </c>
      <c r="I6" s="34">
        <v>452</v>
      </c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58"/>
      <c r="Y6" s="58"/>
      <c r="Z6" s="58"/>
      <c r="AA6" s="58"/>
      <c r="AB6" s="58"/>
      <c r="AC6" s="58"/>
      <c r="AD6" s="58"/>
      <c r="AE6" s="58"/>
      <c r="AF6" s="58"/>
      <c r="AG6" s="58"/>
      <c r="AH6" s="58"/>
      <c r="AI6" s="58"/>
      <c r="AJ6" s="58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  <c r="EY6" s="34"/>
      <c r="EZ6" s="34"/>
      <c r="FA6" s="34"/>
      <c r="FB6" s="34"/>
      <c r="FC6" s="34"/>
      <c r="FD6" s="34"/>
      <c r="FE6" s="34"/>
      <c r="FF6" s="34"/>
      <c r="FG6" s="34"/>
      <c r="FH6" s="34"/>
      <c r="FI6" s="34"/>
      <c r="FJ6" s="34"/>
      <c r="FK6" s="34"/>
      <c r="FL6" s="34"/>
      <c r="FM6" s="34"/>
      <c r="FN6" s="34"/>
      <c r="FO6" s="34"/>
      <c r="FP6" s="34"/>
      <c r="FQ6" s="34"/>
      <c r="FR6" s="34"/>
      <c r="FS6" s="34"/>
      <c r="FT6" s="34"/>
      <c r="FU6" s="34"/>
      <c r="FV6" s="34"/>
      <c r="FW6" s="34"/>
      <c r="FX6" s="34"/>
      <c r="FY6" s="34"/>
      <c r="FZ6" s="34"/>
      <c r="GA6" s="34"/>
      <c r="GB6" s="34"/>
      <c r="GC6" s="34"/>
      <c r="GD6" s="34"/>
      <c r="GE6" s="34"/>
      <c r="GF6" s="34"/>
      <c r="GG6" s="34"/>
      <c r="GH6" s="34"/>
      <c r="GI6" s="34"/>
      <c r="GJ6" s="34"/>
      <c r="GK6" s="34"/>
      <c r="GL6" s="34"/>
      <c r="GM6" s="34"/>
      <c r="GN6" s="34"/>
      <c r="GO6" s="34"/>
      <c r="GP6" s="34"/>
      <c r="GQ6" s="34"/>
      <c r="GR6" s="34"/>
      <c r="GS6" s="34"/>
      <c r="GT6" s="34"/>
    </row>
    <row r="7" spans="1:504" s="38" customFormat="1" ht="15" customHeight="1" x14ac:dyDescent="0.3">
      <c r="A7" s="34" t="s">
        <v>240</v>
      </c>
      <c r="B7" s="34">
        <v>91</v>
      </c>
      <c r="C7" s="34">
        <v>15</v>
      </c>
      <c r="D7" s="34">
        <v>28</v>
      </c>
      <c r="E7" s="34">
        <v>63</v>
      </c>
      <c r="F7" s="34">
        <v>27</v>
      </c>
      <c r="G7" s="34">
        <v>84</v>
      </c>
      <c r="H7" s="34">
        <v>77</v>
      </c>
      <c r="I7" s="34">
        <v>385</v>
      </c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58"/>
      <c r="Y7" s="58"/>
      <c r="Z7" s="58"/>
      <c r="AA7" s="58"/>
      <c r="AB7" s="58"/>
      <c r="AC7" s="58"/>
      <c r="AD7" s="58"/>
      <c r="AE7" s="58"/>
      <c r="AF7" s="58"/>
      <c r="AG7" s="58"/>
      <c r="AH7" s="58"/>
      <c r="AI7" s="58"/>
      <c r="AJ7" s="58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  <c r="EY7" s="34"/>
      <c r="EZ7" s="34"/>
      <c r="FA7" s="34"/>
      <c r="FB7" s="34"/>
      <c r="FC7" s="34"/>
      <c r="FD7" s="34"/>
      <c r="FE7" s="34"/>
      <c r="FF7" s="34"/>
      <c r="FG7" s="34"/>
      <c r="FH7" s="34"/>
      <c r="FI7" s="34"/>
      <c r="FJ7" s="34"/>
      <c r="FK7" s="34"/>
      <c r="FL7" s="34"/>
      <c r="FM7" s="34"/>
      <c r="FN7" s="34"/>
      <c r="FO7" s="34"/>
      <c r="FP7" s="34"/>
      <c r="FQ7" s="34"/>
      <c r="FR7" s="34"/>
      <c r="FS7" s="34"/>
      <c r="FT7" s="34"/>
      <c r="FU7" s="34"/>
      <c r="FV7" s="34"/>
      <c r="FW7" s="34"/>
      <c r="FX7" s="34"/>
      <c r="FY7" s="34"/>
      <c r="FZ7" s="34"/>
      <c r="GA7" s="34"/>
      <c r="GB7" s="34"/>
      <c r="GC7" s="34"/>
      <c r="GD7" s="34"/>
      <c r="GE7" s="34"/>
      <c r="GF7" s="34"/>
      <c r="GG7" s="34"/>
      <c r="GH7" s="34"/>
      <c r="GI7" s="34"/>
      <c r="GJ7" s="34"/>
      <c r="GK7" s="34"/>
      <c r="GL7" s="34"/>
      <c r="GM7" s="34"/>
      <c r="GN7" s="34"/>
      <c r="GO7" s="34"/>
      <c r="GP7" s="34"/>
      <c r="GQ7" s="34"/>
      <c r="GR7" s="34"/>
      <c r="GS7" s="34"/>
      <c r="GT7" s="34"/>
    </row>
    <row r="8" spans="1:504" s="38" customFormat="1" ht="15" customHeight="1" x14ac:dyDescent="0.3">
      <c r="A8" s="34" t="s">
        <v>244</v>
      </c>
      <c r="B8" s="34">
        <v>112</v>
      </c>
      <c r="C8" s="34">
        <v>29</v>
      </c>
      <c r="D8" s="34">
        <v>95</v>
      </c>
      <c r="E8" s="34">
        <v>60</v>
      </c>
      <c r="F8" s="34">
        <v>34</v>
      </c>
      <c r="G8" s="34">
        <v>167</v>
      </c>
      <c r="H8" s="34">
        <v>102</v>
      </c>
      <c r="I8" s="34">
        <v>599</v>
      </c>
      <c r="J8" s="34"/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58"/>
      <c r="Y8" s="58"/>
      <c r="Z8" s="58"/>
      <c r="AA8" s="58"/>
      <c r="AB8" s="58"/>
      <c r="AC8" s="58"/>
      <c r="AD8" s="58"/>
      <c r="AE8" s="58"/>
      <c r="AF8" s="58"/>
      <c r="AG8" s="58"/>
      <c r="AH8" s="58"/>
      <c r="AI8" s="58"/>
      <c r="AJ8" s="58"/>
      <c r="AK8" s="34"/>
      <c r="AL8" s="34"/>
      <c r="AM8" s="34"/>
      <c r="AN8" s="34"/>
      <c r="AO8" s="34"/>
      <c r="AP8" s="34"/>
      <c r="AQ8" s="34"/>
      <c r="AR8" s="34"/>
      <c r="AS8" s="34"/>
      <c r="AT8" s="34"/>
      <c r="AU8" s="34"/>
      <c r="AV8" s="34"/>
      <c r="AW8" s="34"/>
      <c r="AX8" s="34"/>
      <c r="AY8" s="34"/>
      <c r="AZ8" s="34"/>
      <c r="BA8" s="34"/>
      <c r="BB8" s="34"/>
      <c r="BC8" s="34"/>
      <c r="BD8" s="34"/>
      <c r="BE8" s="34"/>
      <c r="BF8" s="34"/>
      <c r="BG8" s="34"/>
      <c r="BH8" s="34"/>
      <c r="BI8" s="34"/>
      <c r="BJ8" s="34"/>
      <c r="BK8" s="34"/>
      <c r="BL8" s="34"/>
      <c r="BM8" s="34"/>
      <c r="BN8" s="34"/>
      <c r="BO8" s="34"/>
      <c r="BP8" s="34"/>
      <c r="BQ8" s="34"/>
      <c r="BR8" s="34"/>
      <c r="BS8" s="34"/>
      <c r="BT8" s="34"/>
      <c r="BU8" s="34"/>
      <c r="BV8" s="34"/>
      <c r="BW8" s="34"/>
      <c r="BX8" s="34"/>
      <c r="BY8" s="34"/>
      <c r="BZ8" s="34"/>
      <c r="CA8" s="34"/>
      <c r="CB8" s="34"/>
      <c r="CC8" s="34"/>
      <c r="CD8" s="34"/>
      <c r="CE8" s="34"/>
      <c r="CF8" s="34"/>
      <c r="CG8" s="34"/>
      <c r="CH8" s="34"/>
      <c r="CI8" s="34"/>
      <c r="CJ8" s="34"/>
      <c r="CK8" s="34"/>
      <c r="CL8" s="34"/>
      <c r="CM8" s="34"/>
      <c r="CN8" s="34"/>
      <c r="CO8" s="34"/>
      <c r="CP8" s="34"/>
      <c r="CQ8" s="34"/>
      <c r="CR8" s="34"/>
      <c r="CS8" s="34"/>
      <c r="CT8" s="34"/>
      <c r="CU8" s="34"/>
      <c r="CV8" s="34"/>
      <c r="CW8" s="34"/>
      <c r="CX8" s="34"/>
      <c r="CY8" s="34"/>
      <c r="CZ8" s="34"/>
      <c r="DA8" s="34"/>
      <c r="DB8" s="34"/>
      <c r="DC8" s="34"/>
      <c r="DD8" s="34"/>
      <c r="DE8" s="34"/>
      <c r="DF8" s="34"/>
      <c r="DG8" s="34"/>
      <c r="DH8" s="34"/>
      <c r="DI8" s="34"/>
      <c r="DJ8" s="34"/>
      <c r="DK8" s="34"/>
      <c r="DL8" s="34"/>
      <c r="DM8" s="34"/>
      <c r="DN8" s="34"/>
      <c r="DO8" s="34"/>
      <c r="DP8" s="34"/>
      <c r="DQ8" s="34"/>
      <c r="DR8" s="34"/>
      <c r="DS8" s="34"/>
      <c r="DT8" s="34"/>
      <c r="DU8" s="34"/>
      <c r="DV8" s="34"/>
      <c r="DW8" s="34"/>
      <c r="DX8" s="34"/>
      <c r="DY8" s="34"/>
      <c r="DZ8" s="34"/>
      <c r="EA8" s="34"/>
      <c r="EB8" s="34"/>
      <c r="EC8" s="34"/>
      <c r="ED8" s="34"/>
      <c r="EE8" s="34"/>
      <c r="EF8" s="34"/>
      <c r="EG8" s="34"/>
      <c r="EH8" s="34"/>
      <c r="EI8" s="34"/>
      <c r="EJ8" s="34"/>
      <c r="EK8" s="34"/>
      <c r="EL8" s="34"/>
      <c r="EM8" s="34"/>
      <c r="EN8" s="34"/>
      <c r="EO8" s="34"/>
      <c r="EP8" s="34"/>
      <c r="EQ8" s="34"/>
      <c r="ER8" s="34"/>
      <c r="ES8" s="34"/>
      <c r="ET8" s="34"/>
      <c r="EU8" s="34"/>
      <c r="EV8" s="34"/>
      <c r="EW8" s="34"/>
      <c r="EX8" s="34"/>
      <c r="EY8" s="34"/>
      <c r="EZ8" s="34"/>
      <c r="FA8" s="34"/>
      <c r="FB8" s="34"/>
      <c r="FC8" s="34"/>
      <c r="FD8" s="34"/>
      <c r="FE8" s="34"/>
      <c r="FF8" s="34"/>
      <c r="FG8" s="34"/>
      <c r="FH8" s="34"/>
      <c r="FI8" s="34"/>
      <c r="FJ8" s="34"/>
      <c r="FK8" s="34"/>
      <c r="FL8" s="34"/>
      <c r="FM8" s="34"/>
      <c r="FN8" s="34"/>
      <c r="FO8" s="34"/>
      <c r="FP8" s="34"/>
      <c r="FQ8" s="34"/>
      <c r="FR8" s="34"/>
      <c r="FS8" s="34"/>
      <c r="FT8" s="34"/>
      <c r="FU8" s="34"/>
      <c r="FV8" s="34"/>
      <c r="FW8" s="34"/>
      <c r="FX8" s="34"/>
      <c r="FY8" s="34"/>
      <c r="FZ8" s="34"/>
      <c r="GA8" s="34"/>
      <c r="GB8" s="34"/>
      <c r="GC8" s="34"/>
      <c r="GD8" s="34"/>
      <c r="GE8" s="34"/>
      <c r="GF8" s="34"/>
      <c r="GG8" s="34"/>
      <c r="GH8" s="34"/>
      <c r="GI8" s="34"/>
      <c r="GJ8" s="34"/>
      <c r="GK8" s="34"/>
      <c r="GL8" s="34"/>
      <c r="GM8" s="34"/>
      <c r="GN8" s="34"/>
      <c r="GO8" s="34"/>
      <c r="GP8" s="34"/>
      <c r="GQ8" s="34"/>
      <c r="GR8" s="34"/>
      <c r="GS8" s="34"/>
      <c r="GT8" s="34"/>
    </row>
    <row r="9" spans="1:504" s="38" customFormat="1" ht="15" customHeight="1" x14ac:dyDescent="0.3">
      <c r="A9" s="34" t="s">
        <v>261</v>
      </c>
      <c r="B9" s="234">
        <v>23</v>
      </c>
      <c r="C9" s="234">
        <v>8</v>
      </c>
      <c r="D9" s="234">
        <v>5</v>
      </c>
      <c r="E9" s="234">
        <v>25</v>
      </c>
      <c r="F9" s="234">
        <v>9</v>
      </c>
      <c r="G9" s="234">
        <v>24</v>
      </c>
      <c r="H9" s="234">
        <v>16</v>
      </c>
      <c r="I9" s="234">
        <v>110</v>
      </c>
      <c r="J9" s="34"/>
      <c r="K9" s="34"/>
      <c r="L9" s="34"/>
      <c r="M9" s="34"/>
      <c r="N9" s="34"/>
      <c r="O9" s="34"/>
      <c r="P9" s="34"/>
      <c r="Q9" s="34"/>
      <c r="R9" s="34"/>
      <c r="S9" s="34"/>
      <c r="T9" s="34"/>
      <c r="U9" s="34"/>
      <c r="V9" s="34"/>
      <c r="W9" s="34"/>
      <c r="X9" s="58"/>
      <c r="Y9" s="58"/>
      <c r="Z9" s="58"/>
      <c r="AA9" s="58"/>
      <c r="AB9" s="58"/>
      <c r="AC9" s="58"/>
      <c r="AD9" s="58"/>
      <c r="AE9" s="58"/>
      <c r="AF9" s="58"/>
      <c r="AG9" s="58"/>
      <c r="AH9" s="58"/>
      <c r="AI9" s="58"/>
      <c r="AJ9" s="58"/>
      <c r="AK9" s="34"/>
      <c r="AL9" s="34"/>
      <c r="AM9" s="34"/>
      <c r="AN9" s="34"/>
      <c r="AO9" s="34"/>
      <c r="AP9" s="34"/>
      <c r="AQ9" s="34"/>
      <c r="AR9" s="34"/>
      <c r="AS9" s="34"/>
      <c r="AT9" s="34"/>
      <c r="AU9" s="34"/>
      <c r="AV9" s="34"/>
      <c r="AW9" s="34"/>
      <c r="AX9" s="34"/>
      <c r="AY9" s="34"/>
      <c r="AZ9" s="34"/>
      <c r="BA9" s="34"/>
      <c r="BB9" s="34"/>
      <c r="BC9" s="34"/>
      <c r="BD9" s="34"/>
      <c r="BE9" s="34"/>
      <c r="BF9" s="34"/>
      <c r="BG9" s="34"/>
      <c r="BH9" s="34"/>
      <c r="BI9" s="34"/>
      <c r="BJ9" s="34"/>
      <c r="BK9" s="34"/>
      <c r="BL9" s="34"/>
      <c r="BM9" s="34"/>
      <c r="BN9" s="34"/>
      <c r="BO9" s="34"/>
      <c r="BP9" s="34"/>
      <c r="BQ9" s="34"/>
      <c r="BR9" s="34"/>
      <c r="BS9" s="34"/>
      <c r="BT9" s="34"/>
      <c r="BU9" s="34"/>
      <c r="BV9" s="34"/>
      <c r="BW9" s="34"/>
      <c r="BX9" s="34"/>
      <c r="BY9" s="34"/>
      <c r="BZ9" s="34"/>
      <c r="CA9" s="34"/>
      <c r="CB9" s="34"/>
      <c r="CC9" s="34"/>
      <c r="CD9" s="34"/>
      <c r="CE9" s="34"/>
      <c r="CF9" s="34"/>
      <c r="CG9" s="34"/>
      <c r="CH9" s="34"/>
      <c r="CI9" s="34"/>
      <c r="CJ9" s="34"/>
      <c r="CK9" s="34"/>
      <c r="CL9" s="34"/>
      <c r="CM9" s="34"/>
      <c r="CN9" s="34"/>
      <c r="CO9" s="34"/>
      <c r="CP9" s="34"/>
      <c r="CQ9" s="34"/>
      <c r="CR9" s="34"/>
      <c r="CS9" s="34"/>
      <c r="CT9" s="34"/>
      <c r="CU9" s="34"/>
      <c r="CV9" s="34"/>
      <c r="CW9" s="34"/>
      <c r="CX9" s="34"/>
      <c r="CY9" s="34"/>
      <c r="CZ9" s="34"/>
      <c r="DA9" s="34"/>
      <c r="DB9" s="34"/>
      <c r="DC9" s="34"/>
      <c r="DD9" s="34"/>
      <c r="DE9" s="34"/>
      <c r="DF9" s="34"/>
      <c r="DG9" s="34"/>
      <c r="DH9" s="34"/>
      <c r="DI9" s="34"/>
      <c r="DJ9" s="34"/>
      <c r="DK9" s="34"/>
      <c r="DL9" s="34"/>
      <c r="DM9" s="34"/>
      <c r="DN9" s="34"/>
      <c r="DO9" s="34"/>
      <c r="DP9" s="34"/>
      <c r="DQ9" s="34"/>
      <c r="DR9" s="34"/>
      <c r="DS9" s="34"/>
      <c r="DT9" s="34"/>
      <c r="DU9" s="34"/>
      <c r="DV9" s="34"/>
      <c r="DW9" s="34"/>
      <c r="DX9" s="34"/>
      <c r="DY9" s="34"/>
      <c r="DZ9" s="34"/>
      <c r="EA9" s="34"/>
      <c r="EB9" s="34"/>
      <c r="EC9" s="34"/>
      <c r="ED9" s="34"/>
      <c r="EE9" s="34"/>
      <c r="EF9" s="34"/>
      <c r="EG9" s="34"/>
      <c r="EH9" s="34"/>
      <c r="EI9" s="34"/>
      <c r="EJ9" s="34"/>
      <c r="EK9" s="34"/>
      <c r="EL9" s="34"/>
      <c r="EM9" s="34"/>
      <c r="EN9" s="34"/>
      <c r="EO9" s="34"/>
      <c r="EP9" s="34"/>
      <c r="EQ9" s="34"/>
      <c r="ER9" s="34"/>
      <c r="ES9" s="34"/>
      <c r="ET9" s="34"/>
      <c r="EU9" s="34"/>
      <c r="EV9" s="34"/>
      <c r="EW9" s="34"/>
      <c r="EX9" s="34"/>
      <c r="EY9" s="34"/>
      <c r="EZ9" s="34"/>
      <c r="FA9" s="34"/>
      <c r="FB9" s="34"/>
      <c r="FC9" s="34"/>
      <c r="FD9" s="34"/>
      <c r="FE9" s="34"/>
      <c r="FF9" s="34"/>
      <c r="FG9" s="34"/>
      <c r="FH9" s="34"/>
      <c r="FI9" s="34"/>
      <c r="FJ9" s="34"/>
      <c r="FK9" s="34"/>
      <c r="FL9" s="34"/>
      <c r="FM9" s="34"/>
      <c r="FN9" s="34"/>
      <c r="FO9" s="34"/>
      <c r="FP9" s="34"/>
      <c r="FQ9" s="34"/>
      <c r="FR9" s="34"/>
      <c r="FS9" s="34"/>
      <c r="FT9" s="34"/>
      <c r="FU9" s="34"/>
      <c r="FV9" s="34"/>
      <c r="FW9" s="34"/>
      <c r="FX9" s="34"/>
      <c r="FY9" s="34"/>
      <c r="FZ9" s="34"/>
      <c r="GA9" s="34"/>
      <c r="GB9" s="34"/>
      <c r="GC9" s="34"/>
      <c r="GD9" s="34"/>
      <c r="GE9" s="34"/>
      <c r="GF9" s="34"/>
      <c r="GG9" s="34"/>
      <c r="GH9" s="34"/>
      <c r="GI9" s="34"/>
      <c r="GJ9" s="34"/>
      <c r="GK9" s="34"/>
      <c r="GL9" s="34"/>
      <c r="GM9" s="34"/>
      <c r="GN9" s="34"/>
      <c r="GO9" s="34"/>
      <c r="GP9" s="34"/>
      <c r="GQ9" s="34"/>
      <c r="GR9" s="34"/>
      <c r="GS9" s="34"/>
      <c r="GT9" s="34"/>
    </row>
    <row r="10" spans="1:504" s="38" customFormat="1" ht="15" customHeight="1" x14ac:dyDescent="0.3">
      <c r="A10" s="34" t="s">
        <v>249</v>
      </c>
      <c r="B10" s="34">
        <v>144</v>
      </c>
      <c r="C10" s="34">
        <v>53</v>
      </c>
      <c r="D10" s="34">
        <v>44</v>
      </c>
      <c r="E10" s="34">
        <v>113</v>
      </c>
      <c r="F10" s="34">
        <v>36</v>
      </c>
      <c r="G10" s="34">
        <v>141</v>
      </c>
      <c r="H10" s="34">
        <v>111</v>
      </c>
      <c r="I10" s="34">
        <v>642</v>
      </c>
      <c r="J10" s="34"/>
      <c r="K10" s="34"/>
      <c r="L10" s="34"/>
      <c r="M10" s="34"/>
      <c r="N10" s="34"/>
      <c r="O10" s="34"/>
      <c r="P10" s="34"/>
      <c r="Q10" s="34"/>
      <c r="R10" s="34"/>
      <c r="S10" s="34"/>
      <c r="T10" s="34"/>
      <c r="U10" s="34"/>
      <c r="V10" s="34"/>
      <c r="W10" s="34"/>
      <c r="X10" s="58"/>
      <c r="Y10" s="58"/>
      <c r="Z10" s="58"/>
      <c r="AA10" s="58"/>
      <c r="AB10" s="58"/>
      <c r="AC10" s="58"/>
      <c r="AD10" s="58"/>
      <c r="AE10" s="58"/>
      <c r="AF10" s="58"/>
      <c r="AG10" s="58"/>
      <c r="AH10" s="58"/>
      <c r="AI10" s="58"/>
      <c r="AJ10" s="58"/>
      <c r="AK10" s="34"/>
      <c r="AL10" s="34"/>
      <c r="AM10" s="34"/>
      <c r="AN10" s="34"/>
      <c r="AO10" s="34"/>
      <c r="AP10" s="34"/>
      <c r="AQ10" s="34"/>
      <c r="AR10" s="34"/>
      <c r="AS10" s="34"/>
      <c r="AT10" s="34"/>
      <c r="AU10" s="34"/>
      <c r="AV10" s="34"/>
      <c r="AW10" s="34"/>
      <c r="AX10" s="34"/>
      <c r="AY10" s="34"/>
      <c r="AZ10" s="34"/>
      <c r="BA10" s="34"/>
      <c r="BB10" s="34"/>
      <c r="BC10" s="34"/>
      <c r="BD10" s="34"/>
      <c r="BE10" s="34"/>
      <c r="BF10" s="34"/>
      <c r="BG10" s="34"/>
      <c r="BH10" s="34"/>
      <c r="BI10" s="34"/>
      <c r="BJ10" s="34"/>
      <c r="BK10" s="34"/>
      <c r="BL10" s="34"/>
      <c r="BM10" s="34"/>
      <c r="BN10" s="34"/>
      <c r="BO10" s="34"/>
      <c r="BP10" s="34"/>
      <c r="BQ10" s="34"/>
      <c r="BR10" s="34"/>
      <c r="BS10" s="34"/>
      <c r="BT10" s="34"/>
      <c r="BU10" s="34"/>
      <c r="BV10" s="34"/>
      <c r="BW10" s="34"/>
      <c r="BX10" s="34"/>
      <c r="BY10" s="34"/>
      <c r="BZ10" s="34"/>
      <c r="CA10" s="34"/>
      <c r="CB10" s="34"/>
      <c r="CC10" s="34"/>
      <c r="CD10" s="34"/>
      <c r="CE10" s="34"/>
      <c r="CF10" s="34"/>
      <c r="CG10" s="34"/>
      <c r="CH10" s="34"/>
      <c r="CI10" s="34"/>
      <c r="CJ10" s="34"/>
      <c r="CK10" s="34"/>
      <c r="CL10" s="34"/>
      <c r="CM10" s="34"/>
      <c r="CN10" s="34"/>
      <c r="CO10" s="34"/>
      <c r="CP10" s="34"/>
      <c r="CQ10" s="34"/>
      <c r="CR10" s="34"/>
      <c r="CS10" s="34"/>
      <c r="CT10" s="34"/>
      <c r="CU10" s="34"/>
      <c r="CV10" s="34"/>
      <c r="CW10" s="34"/>
      <c r="CX10" s="34"/>
      <c r="CY10" s="34"/>
      <c r="CZ10" s="34"/>
      <c r="DA10" s="34"/>
      <c r="DB10" s="34"/>
      <c r="DC10" s="34"/>
      <c r="DD10" s="34"/>
      <c r="DE10" s="34"/>
      <c r="DF10" s="34"/>
      <c r="DG10" s="34"/>
      <c r="DH10" s="34"/>
      <c r="DI10" s="34"/>
      <c r="DJ10" s="34"/>
      <c r="DK10" s="34"/>
      <c r="DL10" s="34"/>
      <c r="DM10" s="34"/>
      <c r="DN10" s="34"/>
      <c r="DO10" s="34"/>
      <c r="DP10" s="34"/>
      <c r="DQ10" s="34"/>
      <c r="DR10" s="34"/>
      <c r="DS10" s="34"/>
      <c r="DT10" s="34"/>
      <c r="DU10" s="34"/>
      <c r="DV10" s="34"/>
      <c r="DW10" s="34"/>
      <c r="DX10" s="34"/>
      <c r="DY10" s="34"/>
      <c r="DZ10" s="34"/>
      <c r="EA10" s="34"/>
      <c r="EB10" s="34"/>
      <c r="EC10" s="34"/>
      <c r="ED10" s="34"/>
      <c r="EE10" s="34"/>
      <c r="EF10" s="34"/>
      <c r="EG10" s="34"/>
      <c r="EH10" s="34"/>
      <c r="EI10" s="34"/>
      <c r="EJ10" s="34"/>
      <c r="EK10" s="34"/>
      <c r="EL10" s="34"/>
      <c r="EM10" s="34"/>
      <c r="EN10" s="34"/>
      <c r="EO10" s="34"/>
      <c r="EP10" s="34"/>
      <c r="EQ10" s="34"/>
      <c r="ER10" s="34"/>
      <c r="ES10" s="34"/>
      <c r="ET10" s="34"/>
      <c r="EU10" s="34"/>
      <c r="EV10" s="34"/>
      <c r="EW10" s="34"/>
      <c r="EX10" s="34"/>
      <c r="EY10" s="34"/>
      <c r="EZ10" s="34"/>
      <c r="FA10" s="34"/>
      <c r="FB10" s="34"/>
      <c r="FC10" s="34"/>
      <c r="FD10" s="34"/>
      <c r="FE10" s="34"/>
      <c r="FF10" s="34"/>
      <c r="FG10" s="34"/>
      <c r="FH10" s="34"/>
      <c r="FI10" s="34"/>
      <c r="FJ10" s="34"/>
      <c r="FK10" s="34"/>
      <c r="FL10" s="34"/>
      <c r="FM10" s="34"/>
      <c r="FN10" s="34"/>
      <c r="FO10" s="34"/>
      <c r="FP10" s="34"/>
      <c r="FQ10" s="34"/>
      <c r="FR10" s="34"/>
      <c r="FS10" s="34"/>
      <c r="FT10" s="34"/>
      <c r="FU10" s="34"/>
      <c r="FV10" s="34"/>
      <c r="FW10" s="34"/>
      <c r="FX10" s="34"/>
      <c r="FY10" s="34"/>
      <c r="FZ10" s="34"/>
      <c r="GA10" s="34"/>
      <c r="GB10" s="34"/>
      <c r="GC10" s="34"/>
      <c r="GD10" s="34"/>
      <c r="GE10" s="34"/>
      <c r="GF10" s="34"/>
      <c r="GG10" s="34"/>
      <c r="GH10" s="34"/>
      <c r="GI10" s="34"/>
      <c r="GJ10" s="34"/>
      <c r="GK10" s="34"/>
      <c r="GL10" s="34"/>
      <c r="GM10" s="34"/>
      <c r="GN10" s="34"/>
      <c r="GO10" s="34"/>
      <c r="GP10" s="34"/>
      <c r="GQ10" s="34"/>
      <c r="GR10" s="34"/>
      <c r="GS10" s="34"/>
      <c r="GT10" s="34"/>
      <c r="OV10" s="63"/>
    </row>
    <row r="11" spans="1:504" s="38" customFormat="1" ht="15" customHeight="1" x14ac:dyDescent="0.3">
      <c r="A11" s="34" t="s">
        <v>250</v>
      </c>
      <c r="B11" s="34">
        <v>152</v>
      </c>
      <c r="C11" s="34">
        <v>82</v>
      </c>
      <c r="D11" s="34">
        <v>41</v>
      </c>
      <c r="E11" s="34">
        <v>122</v>
      </c>
      <c r="F11" s="34">
        <v>45</v>
      </c>
      <c r="G11" s="34">
        <v>109</v>
      </c>
      <c r="H11" s="34">
        <v>116</v>
      </c>
      <c r="I11" s="34">
        <v>667</v>
      </c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58"/>
      <c r="Y11" s="58"/>
      <c r="Z11" s="58"/>
      <c r="AA11" s="58"/>
      <c r="AB11" s="58"/>
      <c r="AC11" s="58"/>
      <c r="AD11" s="58"/>
      <c r="AE11" s="58"/>
      <c r="AF11" s="58"/>
      <c r="AG11" s="58"/>
      <c r="AH11" s="58"/>
      <c r="AI11" s="58"/>
      <c r="AJ11" s="58"/>
      <c r="AK11" s="34"/>
      <c r="AL11" s="34"/>
      <c r="AM11" s="34"/>
      <c r="AN11" s="34"/>
      <c r="AO11" s="34"/>
      <c r="AP11" s="34"/>
      <c r="AQ11" s="34"/>
      <c r="AR11" s="34"/>
      <c r="AS11" s="34"/>
      <c r="AT11" s="34"/>
      <c r="AU11" s="34"/>
      <c r="AV11" s="34"/>
      <c r="AW11" s="34"/>
      <c r="AX11" s="34"/>
      <c r="AY11" s="34"/>
      <c r="AZ11" s="34"/>
      <c r="BA11" s="34"/>
      <c r="BB11" s="34"/>
      <c r="BC11" s="34"/>
      <c r="BD11" s="34"/>
      <c r="BE11" s="34"/>
      <c r="BF11" s="34"/>
      <c r="BG11" s="34"/>
      <c r="BH11" s="34"/>
      <c r="BI11" s="34"/>
      <c r="BJ11" s="34"/>
      <c r="BK11" s="34"/>
      <c r="BL11" s="34"/>
      <c r="BM11" s="34"/>
      <c r="BN11" s="34"/>
      <c r="BO11" s="34"/>
      <c r="BP11" s="34"/>
      <c r="BQ11" s="34"/>
      <c r="BR11" s="34"/>
      <c r="BS11" s="34"/>
      <c r="BT11" s="34"/>
      <c r="BU11" s="34"/>
      <c r="BV11" s="34"/>
      <c r="BW11" s="34"/>
      <c r="BX11" s="34"/>
      <c r="BY11" s="34"/>
      <c r="BZ11" s="34"/>
      <c r="CA11" s="34"/>
      <c r="CB11" s="34"/>
      <c r="CC11" s="34"/>
      <c r="CD11" s="34"/>
      <c r="CE11" s="34"/>
      <c r="CF11" s="34"/>
      <c r="CG11" s="34"/>
      <c r="CH11" s="34"/>
      <c r="CI11" s="34"/>
      <c r="CJ11" s="34"/>
      <c r="CK11" s="34"/>
      <c r="CL11" s="34"/>
      <c r="CM11" s="34"/>
      <c r="CN11" s="34"/>
      <c r="CO11" s="34"/>
      <c r="CP11" s="34"/>
      <c r="CQ11" s="34"/>
      <c r="CR11" s="34"/>
      <c r="CS11" s="34"/>
      <c r="CT11" s="34"/>
      <c r="CU11" s="34"/>
      <c r="CV11" s="34"/>
      <c r="CW11" s="34"/>
      <c r="CX11" s="34"/>
      <c r="CY11" s="34"/>
      <c r="CZ11" s="34"/>
      <c r="DA11" s="34"/>
      <c r="DB11" s="34"/>
      <c r="DC11" s="34"/>
      <c r="DD11" s="34"/>
      <c r="DE11" s="34"/>
      <c r="DF11" s="34"/>
      <c r="DG11" s="34"/>
      <c r="DH11" s="34"/>
      <c r="DI11" s="34"/>
      <c r="DJ11" s="34"/>
      <c r="DK11" s="34"/>
      <c r="DL11" s="34"/>
      <c r="DM11" s="34"/>
      <c r="DN11" s="34"/>
      <c r="DO11" s="34"/>
      <c r="DP11" s="34"/>
      <c r="DQ11" s="34"/>
      <c r="DR11" s="34"/>
      <c r="DS11" s="34"/>
      <c r="DT11" s="34"/>
      <c r="DU11" s="34"/>
      <c r="DV11" s="34"/>
      <c r="DW11" s="34"/>
      <c r="DX11" s="34"/>
      <c r="DY11" s="34"/>
      <c r="DZ11" s="34"/>
      <c r="EA11" s="34"/>
      <c r="EB11" s="34"/>
      <c r="EC11" s="34"/>
      <c r="ED11" s="34"/>
      <c r="EE11" s="34"/>
      <c r="EF11" s="34"/>
      <c r="EG11" s="34"/>
      <c r="EH11" s="34"/>
      <c r="EI11" s="34"/>
      <c r="EJ11" s="34"/>
      <c r="EK11" s="34"/>
      <c r="EL11" s="34"/>
      <c r="EM11" s="34"/>
      <c r="EN11" s="34"/>
      <c r="EO11" s="34"/>
      <c r="EP11" s="34"/>
      <c r="EQ11" s="34"/>
      <c r="ER11" s="34"/>
      <c r="ES11" s="34"/>
      <c r="ET11" s="34"/>
      <c r="EU11" s="34"/>
      <c r="EV11" s="34"/>
      <c r="EW11" s="34"/>
      <c r="EX11" s="34"/>
      <c r="EY11" s="34"/>
      <c r="EZ11" s="34"/>
      <c r="FA11" s="34"/>
      <c r="FB11" s="34"/>
      <c r="FC11" s="34"/>
      <c r="FD11" s="34"/>
      <c r="FE11" s="34"/>
      <c r="FF11" s="34"/>
      <c r="FG11" s="34"/>
      <c r="FH11" s="34"/>
      <c r="FI11" s="34"/>
      <c r="FJ11" s="34"/>
      <c r="FK11" s="34"/>
      <c r="FL11" s="34"/>
      <c r="FM11" s="34"/>
      <c r="FN11" s="34"/>
      <c r="FO11" s="34"/>
      <c r="FP11" s="34"/>
      <c r="FQ11" s="34"/>
      <c r="FR11" s="34"/>
      <c r="FS11" s="34"/>
      <c r="FT11" s="34"/>
      <c r="FU11" s="34"/>
      <c r="FV11" s="34"/>
      <c r="FW11" s="34"/>
      <c r="FX11" s="34"/>
      <c r="FY11" s="34"/>
      <c r="FZ11" s="34"/>
      <c r="GA11" s="34"/>
      <c r="GB11" s="34"/>
      <c r="GC11" s="34"/>
      <c r="GD11" s="34"/>
      <c r="GE11" s="34"/>
      <c r="GF11" s="34"/>
      <c r="GG11" s="34"/>
      <c r="GH11" s="34"/>
      <c r="GI11" s="34"/>
      <c r="GJ11" s="34"/>
      <c r="GK11" s="34"/>
      <c r="GL11" s="34"/>
      <c r="GM11" s="34"/>
      <c r="GN11" s="34"/>
      <c r="GO11" s="34"/>
      <c r="GP11" s="34"/>
      <c r="GQ11" s="34"/>
      <c r="GR11" s="34"/>
      <c r="GS11" s="34"/>
      <c r="GT11" s="34"/>
      <c r="OS11" s="64"/>
      <c r="OV11" s="63"/>
    </row>
    <row r="12" spans="1:504" s="38" customFormat="1" ht="15" customHeight="1" x14ac:dyDescent="0.3">
      <c r="A12" s="34" t="s">
        <v>256</v>
      </c>
      <c r="B12" s="34">
        <v>79</v>
      </c>
      <c r="C12" s="34">
        <v>10</v>
      </c>
      <c r="D12" s="34">
        <v>27</v>
      </c>
      <c r="E12" s="34">
        <v>26</v>
      </c>
      <c r="F12" s="34">
        <v>14</v>
      </c>
      <c r="G12" s="34">
        <v>65</v>
      </c>
      <c r="H12" s="34">
        <v>70</v>
      </c>
      <c r="I12" s="34">
        <v>291</v>
      </c>
      <c r="J12" s="34"/>
      <c r="K12" s="34"/>
      <c r="L12" s="34"/>
      <c r="M12" s="34"/>
      <c r="N12" s="34"/>
      <c r="O12" s="34"/>
      <c r="P12" s="34"/>
      <c r="Q12" s="34"/>
      <c r="R12" s="34"/>
      <c r="S12" s="34"/>
      <c r="T12" s="34"/>
      <c r="U12" s="34"/>
      <c r="V12" s="34"/>
      <c r="W12" s="34"/>
      <c r="X12" s="58"/>
      <c r="Y12" s="58"/>
      <c r="Z12" s="58"/>
      <c r="AA12" s="58"/>
      <c r="AB12" s="58"/>
      <c r="AC12" s="58"/>
      <c r="AD12" s="58"/>
      <c r="AE12" s="58"/>
      <c r="AF12" s="58"/>
      <c r="AG12" s="58"/>
      <c r="AH12" s="58"/>
      <c r="AI12" s="58"/>
      <c r="AJ12" s="58"/>
      <c r="AK12" s="34"/>
      <c r="AL12" s="34"/>
      <c r="AM12" s="34"/>
      <c r="AN12" s="34"/>
      <c r="AO12" s="34"/>
      <c r="AP12" s="34"/>
      <c r="AQ12" s="34"/>
      <c r="AR12" s="34"/>
      <c r="AS12" s="34"/>
      <c r="AT12" s="34"/>
      <c r="AU12" s="34"/>
      <c r="AV12" s="34"/>
      <c r="AW12" s="34"/>
      <c r="AX12" s="34"/>
      <c r="AY12" s="34"/>
      <c r="AZ12" s="34"/>
      <c r="BA12" s="34"/>
      <c r="BB12" s="34"/>
      <c r="BC12" s="34"/>
      <c r="BD12" s="34"/>
      <c r="BE12" s="34"/>
      <c r="BF12" s="34"/>
      <c r="BG12" s="34"/>
      <c r="BH12" s="34"/>
      <c r="BI12" s="34"/>
      <c r="BJ12" s="34"/>
      <c r="BK12" s="34"/>
      <c r="BL12" s="34"/>
      <c r="BM12" s="34"/>
      <c r="BN12" s="34"/>
      <c r="BO12" s="34"/>
      <c r="BP12" s="34"/>
      <c r="BQ12" s="34"/>
      <c r="BR12" s="34"/>
      <c r="BS12" s="34"/>
      <c r="BT12" s="34"/>
      <c r="BU12" s="34"/>
      <c r="BV12" s="34"/>
      <c r="BW12" s="34"/>
      <c r="BX12" s="34"/>
      <c r="BY12" s="34"/>
      <c r="BZ12" s="34"/>
      <c r="CA12" s="34"/>
      <c r="CB12" s="34"/>
      <c r="CC12" s="34"/>
      <c r="CD12" s="34"/>
      <c r="CE12" s="34"/>
      <c r="CF12" s="34"/>
      <c r="CG12" s="34"/>
      <c r="CH12" s="34"/>
      <c r="CI12" s="34"/>
      <c r="CJ12" s="34"/>
      <c r="CK12" s="34"/>
      <c r="CL12" s="34"/>
      <c r="CM12" s="34"/>
      <c r="CN12" s="34"/>
      <c r="CO12" s="34"/>
      <c r="CP12" s="34"/>
      <c r="CQ12" s="34"/>
      <c r="CR12" s="34"/>
      <c r="CS12" s="34"/>
      <c r="CT12" s="34"/>
      <c r="CU12" s="34"/>
      <c r="CV12" s="34"/>
      <c r="CW12" s="34"/>
      <c r="CX12" s="34"/>
      <c r="CY12" s="34"/>
      <c r="CZ12" s="34"/>
      <c r="DA12" s="34"/>
      <c r="DB12" s="34"/>
      <c r="DC12" s="34"/>
      <c r="DD12" s="34"/>
      <c r="DE12" s="34"/>
      <c r="DF12" s="34"/>
      <c r="DG12" s="34"/>
      <c r="DH12" s="34"/>
      <c r="DI12" s="34"/>
      <c r="DJ12" s="34"/>
      <c r="DK12" s="34"/>
      <c r="DL12" s="34"/>
      <c r="DM12" s="34"/>
      <c r="DN12" s="34"/>
      <c r="DO12" s="34"/>
      <c r="DP12" s="34"/>
      <c r="DQ12" s="34"/>
      <c r="DR12" s="34"/>
      <c r="DS12" s="34"/>
      <c r="DT12" s="34"/>
      <c r="DU12" s="34"/>
      <c r="DV12" s="34"/>
      <c r="DW12" s="34"/>
      <c r="DX12" s="34"/>
      <c r="DY12" s="34"/>
      <c r="DZ12" s="34"/>
      <c r="EA12" s="34"/>
      <c r="EB12" s="34"/>
      <c r="EC12" s="34"/>
      <c r="ED12" s="34"/>
      <c r="EE12" s="34"/>
      <c r="EF12" s="34"/>
      <c r="EG12" s="34"/>
      <c r="EH12" s="34"/>
      <c r="EI12" s="34"/>
      <c r="EJ12" s="34"/>
      <c r="EK12" s="34"/>
      <c r="EL12" s="34"/>
      <c r="EM12" s="34"/>
      <c r="EN12" s="34"/>
      <c r="EO12" s="34"/>
      <c r="EP12" s="34"/>
      <c r="EQ12" s="34"/>
      <c r="ER12" s="34"/>
      <c r="ES12" s="34"/>
      <c r="ET12" s="34"/>
      <c r="EU12" s="34"/>
      <c r="EV12" s="34"/>
      <c r="EW12" s="34"/>
      <c r="EX12" s="34"/>
      <c r="EY12" s="34"/>
      <c r="EZ12" s="34"/>
      <c r="FA12" s="34"/>
      <c r="FB12" s="34"/>
      <c r="FC12" s="34"/>
      <c r="FD12" s="34"/>
      <c r="FE12" s="34"/>
      <c r="FF12" s="34"/>
      <c r="FG12" s="34"/>
      <c r="FH12" s="34"/>
      <c r="FI12" s="34"/>
      <c r="FJ12" s="34"/>
      <c r="FK12" s="34"/>
      <c r="FL12" s="34"/>
      <c r="FM12" s="34"/>
      <c r="FN12" s="34"/>
      <c r="FO12" s="34"/>
      <c r="FP12" s="34"/>
      <c r="FQ12" s="34"/>
      <c r="FR12" s="34"/>
      <c r="FS12" s="34"/>
      <c r="FT12" s="34"/>
      <c r="FU12" s="34"/>
      <c r="FV12" s="34"/>
      <c r="FW12" s="34"/>
      <c r="FX12" s="34"/>
      <c r="FY12" s="34"/>
      <c r="FZ12" s="34"/>
      <c r="GA12" s="34"/>
      <c r="GB12" s="34"/>
      <c r="GC12" s="34"/>
      <c r="GD12" s="34"/>
      <c r="GE12" s="34"/>
      <c r="GF12" s="34"/>
      <c r="GG12" s="34"/>
      <c r="GH12" s="34"/>
      <c r="GI12" s="34"/>
      <c r="GJ12" s="34"/>
      <c r="GK12" s="34"/>
      <c r="GL12" s="34"/>
      <c r="GM12" s="34"/>
      <c r="GN12" s="34"/>
      <c r="GO12" s="34"/>
      <c r="GP12" s="34"/>
      <c r="GQ12" s="34"/>
      <c r="GR12" s="34"/>
      <c r="GS12" s="34"/>
      <c r="GT12" s="34"/>
      <c r="OS12" s="64"/>
      <c r="OV12" s="63"/>
    </row>
    <row r="13" spans="1:504" s="38" customFormat="1" ht="15" customHeight="1" x14ac:dyDescent="0.3">
      <c r="A13" s="34" t="s">
        <v>246</v>
      </c>
      <c r="B13" s="34">
        <v>90</v>
      </c>
      <c r="C13" s="34">
        <v>17</v>
      </c>
      <c r="D13" s="34">
        <v>41</v>
      </c>
      <c r="E13" s="34">
        <v>39</v>
      </c>
      <c r="F13" s="34">
        <v>27</v>
      </c>
      <c r="G13" s="34">
        <v>68</v>
      </c>
      <c r="H13" s="34">
        <v>80</v>
      </c>
      <c r="I13" s="34">
        <v>362</v>
      </c>
      <c r="J13" s="34"/>
      <c r="K13" s="34"/>
      <c r="L13" s="34"/>
      <c r="M13" s="34"/>
      <c r="N13" s="34"/>
      <c r="O13" s="34"/>
      <c r="P13" s="34"/>
      <c r="Q13" s="34"/>
      <c r="R13" s="34"/>
      <c r="S13" s="34"/>
      <c r="T13" s="34"/>
      <c r="U13" s="34"/>
      <c r="V13" s="34"/>
      <c r="W13" s="136"/>
      <c r="X13" s="58"/>
      <c r="Y13" s="58"/>
      <c r="Z13" s="58"/>
      <c r="AA13" s="58"/>
      <c r="AB13" s="58"/>
      <c r="AC13" s="58"/>
      <c r="AD13" s="58"/>
      <c r="AE13" s="58"/>
      <c r="AF13" s="58"/>
      <c r="AG13" s="58"/>
      <c r="AH13" s="58"/>
      <c r="AI13" s="58"/>
      <c r="AJ13" s="58"/>
      <c r="AK13" s="34"/>
      <c r="AL13" s="34"/>
      <c r="AM13" s="34"/>
      <c r="AN13" s="34"/>
      <c r="AO13" s="34"/>
      <c r="AP13" s="34"/>
      <c r="AQ13" s="34"/>
      <c r="AR13" s="34"/>
      <c r="AS13" s="34"/>
      <c r="AT13" s="34"/>
      <c r="AU13" s="34"/>
      <c r="AV13" s="34"/>
      <c r="AW13" s="34"/>
      <c r="AX13" s="34"/>
      <c r="AY13" s="34"/>
      <c r="AZ13" s="34"/>
      <c r="BA13" s="34"/>
      <c r="BB13" s="34"/>
      <c r="BC13" s="34"/>
      <c r="BD13" s="34"/>
      <c r="BE13" s="34"/>
      <c r="BF13" s="34"/>
      <c r="BG13" s="34"/>
      <c r="BH13" s="34"/>
      <c r="BI13" s="34"/>
      <c r="BJ13" s="34"/>
      <c r="BK13" s="34"/>
      <c r="BL13" s="34"/>
      <c r="BM13" s="34"/>
      <c r="BN13" s="34"/>
      <c r="BO13" s="34"/>
      <c r="BP13" s="34"/>
      <c r="BQ13" s="34"/>
      <c r="BR13" s="34"/>
      <c r="BS13" s="34"/>
      <c r="BT13" s="34"/>
      <c r="BU13" s="34"/>
      <c r="BV13" s="34"/>
      <c r="BW13" s="34"/>
      <c r="BX13" s="34"/>
      <c r="BY13" s="34"/>
      <c r="BZ13" s="34"/>
      <c r="CA13" s="34"/>
      <c r="CB13" s="34"/>
      <c r="CC13" s="34"/>
      <c r="CD13" s="34"/>
      <c r="CE13" s="34"/>
      <c r="CF13" s="34"/>
      <c r="CG13" s="34"/>
      <c r="CH13" s="34"/>
      <c r="CI13" s="34"/>
      <c r="CJ13" s="34"/>
      <c r="CK13" s="34"/>
      <c r="CL13" s="34"/>
      <c r="CM13" s="34"/>
      <c r="CN13" s="34"/>
      <c r="CO13" s="34"/>
      <c r="CP13" s="34"/>
      <c r="CQ13" s="34"/>
      <c r="CR13" s="34"/>
      <c r="CS13" s="34"/>
      <c r="CT13" s="34"/>
      <c r="CU13" s="34"/>
      <c r="CV13" s="34"/>
      <c r="CW13" s="34"/>
      <c r="CX13" s="34"/>
      <c r="CY13" s="34"/>
      <c r="CZ13" s="34"/>
      <c r="DA13" s="34"/>
      <c r="DB13" s="34"/>
      <c r="DC13" s="34"/>
      <c r="DD13" s="34"/>
      <c r="DE13" s="34"/>
      <c r="DF13" s="34"/>
      <c r="DG13" s="34"/>
      <c r="DH13" s="34"/>
      <c r="DI13" s="34"/>
      <c r="DJ13" s="34"/>
      <c r="DK13" s="34"/>
      <c r="DL13" s="34"/>
      <c r="DM13" s="34"/>
      <c r="DN13" s="34"/>
      <c r="DO13" s="34"/>
      <c r="DP13" s="34"/>
      <c r="DQ13" s="34"/>
      <c r="DR13" s="34"/>
      <c r="DS13" s="34"/>
      <c r="DT13" s="34"/>
      <c r="DU13" s="34"/>
      <c r="DV13" s="34"/>
      <c r="DW13" s="34"/>
      <c r="DX13" s="34"/>
      <c r="DY13" s="34"/>
      <c r="DZ13" s="34"/>
      <c r="EA13" s="34"/>
      <c r="EB13" s="34"/>
      <c r="EC13" s="34"/>
      <c r="ED13" s="34"/>
      <c r="EE13" s="34"/>
      <c r="EF13" s="34"/>
      <c r="EG13" s="34"/>
      <c r="EH13" s="34"/>
      <c r="EI13" s="34"/>
      <c r="EJ13" s="34"/>
      <c r="EK13" s="34"/>
      <c r="EL13" s="34"/>
      <c r="EM13" s="34"/>
      <c r="EN13" s="34"/>
      <c r="EO13" s="34"/>
      <c r="EP13" s="34"/>
      <c r="EQ13" s="34"/>
      <c r="ER13" s="34"/>
      <c r="ES13" s="34"/>
      <c r="ET13" s="34"/>
      <c r="EU13" s="34"/>
      <c r="EV13" s="34"/>
      <c r="EW13" s="34"/>
      <c r="EX13" s="34"/>
      <c r="EY13" s="34"/>
      <c r="EZ13" s="34"/>
      <c r="FA13" s="34"/>
      <c r="FB13" s="34"/>
      <c r="FC13" s="34"/>
      <c r="FD13" s="34"/>
      <c r="FE13" s="34"/>
      <c r="FF13" s="34"/>
      <c r="FG13" s="34"/>
      <c r="FH13" s="34"/>
      <c r="FI13" s="34"/>
      <c r="FJ13" s="34"/>
      <c r="FK13" s="34"/>
      <c r="FL13" s="34"/>
      <c r="FM13" s="34"/>
      <c r="FN13" s="34"/>
      <c r="FO13" s="34"/>
      <c r="FP13" s="34"/>
      <c r="FQ13" s="34"/>
      <c r="FR13" s="34"/>
      <c r="FS13" s="34"/>
      <c r="FT13" s="34"/>
      <c r="FU13" s="34"/>
      <c r="FV13" s="34"/>
      <c r="FW13" s="34"/>
      <c r="FX13" s="34"/>
      <c r="FY13" s="34"/>
      <c r="FZ13" s="34"/>
      <c r="GA13" s="34"/>
      <c r="GB13" s="34"/>
      <c r="GC13" s="34"/>
      <c r="GD13" s="34"/>
      <c r="GE13" s="34"/>
      <c r="GF13" s="34"/>
      <c r="GG13" s="34"/>
      <c r="GH13" s="34"/>
      <c r="GI13" s="34"/>
      <c r="GJ13" s="34"/>
      <c r="GK13" s="34"/>
      <c r="GL13" s="34"/>
      <c r="GM13" s="34"/>
      <c r="GN13" s="34"/>
      <c r="GO13" s="34"/>
      <c r="GP13" s="34"/>
      <c r="GQ13" s="34"/>
      <c r="GR13" s="34"/>
      <c r="GS13" s="34"/>
      <c r="GT13" s="34"/>
      <c r="OV13" s="63"/>
    </row>
    <row r="14" spans="1:504" s="38" customFormat="1" ht="15" customHeight="1" x14ac:dyDescent="0.3">
      <c r="A14" s="34" t="s">
        <v>257</v>
      </c>
      <c r="B14" s="34">
        <v>56</v>
      </c>
      <c r="C14" s="34">
        <v>14</v>
      </c>
      <c r="D14" s="34">
        <v>16</v>
      </c>
      <c r="E14" s="34">
        <v>38</v>
      </c>
      <c r="F14" s="34">
        <v>16</v>
      </c>
      <c r="G14" s="34">
        <v>46</v>
      </c>
      <c r="H14" s="34">
        <v>56</v>
      </c>
      <c r="I14" s="34">
        <v>242</v>
      </c>
      <c r="J14" s="34"/>
      <c r="K14" s="34"/>
      <c r="L14" s="34"/>
      <c r="M14" s="34"/>
      <c r="N14" s="34"/>
      <c r="O14" s="34"/>
      <c r="P14" s="34"/>
      <c r="Q14" s="34"/>
      <c r="R14" s="34"/>
      <c r="S14" s="34"/>
      <c r="T14" s="34"/>
      <c r="U14" s="34"/>
      <c r="V14" s="34"/>
      <c r="W14" s="148"/>
      <c r="X14" s="58"/>
      <c r="Y14" s="58"/>
      <c r="Z14" s="58"/>
      <c r="AA14" s="58"/>
      <c r="AB14" s="58"/>
      <c r="AC14" s="58"/>
      <c r="AD14" s="58"/>
      <c r="AE14" s="58"/>
      <c r="AF14" s="58"/>
      <c r="AG14" s="58"/>
      <c r="AH14" s="58"/>
      <c r="AI14" s="58"/>
      <c r="AJ14" s="58"/>
      <c r="AK14" s="34"/>
      <c r="AL14" s="34"/>
      <c r="AM14" s="34"/>
      <c r="AN14" s="34"/>
      <c r="AO14" s="34"/>
      <c r="AP14" s="34"/>
      <c r="AQ14" s="34"/>
      <c r="AR14" s="34"/>
      <c r="AS14" s="34"/>
      <c r="AT14" s="34"/>
      <c r="AU14" s="34"/>
      <c r="AV14" s="34"/>
      <c r="AW14" s="34"/>
      <c r="AX14" s="34"/>
      <c r="AY14" s="34"/>
      <c r="AZ14" s="34"/>
      <c r="BA14" s="34"/>
      <c r="BB14" s="34"/>
      <c r="BC14" s="34"/>
      <c r="BD14" s="34"/>
      <c r="BE14" s="34"/>
      <c r="BF14" s="34"/>
      <c r="BG14" s="34"/>
      <c r="BH14" s="34"/>
      <c r="BI14" s="34"/>
      <c r="BJ14" s="34"/>
      <c r="BK14" s="34"/>
      <c r="BL14" s="34"/>
      <c r="BM14" s="34"/>
      <c r="BN14" s="34"/>
      <c r="BO14" s="34"/>
      <c r="BP14" s="34"/>
      <c r="BQ14" s="34"/>
      <c r="BR14" s="34"/>
      <c r="BS14" s="34"/>
      <c r="BT14" s="34"/>
      <c r="BU14" s="34"/>
      <c r="BV14" s="34"/>
      <c r="BW14" s="34"/>
      <c r="BX14" s="34"/>
      <c r="BY14" s="34"/>
      <c r="BZ14" s="34"/>
      <c r="CA14" s="34"/>
      <c r="CB14" s="34"/>
      <c r="CC14" s="34"/>
      <c r="CD14" s="34"/>
      <c r="CE14" s="34"/>
      <c r="CF14" s="34"/>
      <c r="CG14" s="34"/>
      <c r="CH14" s="34"/>
      <c r="CI14" s="34"/>
      <c r="CJ14" s="34"/>
      <c r="CK14" s="34"/>
      <c r="CL14" s="34"/>
      <c r="CM14" s="34"/>
      <c r="CN14" s="34"/>
      <c r="CO14" s="34"/>
      <c r="CP14" s="34"/>
      <c r="CQ14" s="34"/>
      <c r="CR14" s="34"/>
      <c r="CS14" s="34"/>
      <c r="CT14" s="34"/>
      <c r="CU14" s="34"/>
      <c r="CV14" s="34"/>
      <c r="CW14" s="34"/>
      <c r="CX14" s="34"/>
      <c r="CY14" s="34"/>
      <c r="CZ14" s="34"/>
      <c r="DA14" s="34"/>
      <c r="DB14" s="34"/>
      <c r="DC14" s="34"/>
      <c r="DD14" s="34"/>
      <c r="DE14" s="34"/>
      <c r="DF14" s="34"/>
      <c r="DG14" s="34"/>
      <c r="DH14" s="34"/>
      <c r="DI14" s="34"/>
      <c r="DJ14" s="34"/>
      <c r="DK14" s="34"/>
      <c r="DL14" s="34"/>
      <c r="DM14" s="34"/>
      <c r="DN14" s="34"/>
      <c r="DO14" s="34"/>
      <c r="DP14" s="34"/>
      <c r="DQ14" s="34"/>
      <c r="DR14" s="34"/>
      <c r="DS14" s="34"/>
      <c r="DT14" s="34"/>
      <c r="DU14" s="34"/>
      <c r="DV14" s="34"/>
      <c r="DW14" s="34"/>
      <c r="DX14" s="34"/>
      <c r="DY14" s="34"/>
      <c r="DZ14" s="34"/>
      <c r="EA14" s="34"/>
      <c r="EB14" s="34"/>
      <c r="EC14" s="34"/>
      <c r="ED14" s="34"/>
      <c r="EE14" s="34"/>
      <c r="EF14" s="34"/>
      <c r="EG14" s="34"/>
      <c r="EH14" s="34"/>
      <c r="EI14" s="34"/>
      <c r="EJ14" s="34"/>
      <c r="EK14" s="34"/>
      <c r="EL14" s="34"/>
      <c r="EM14" s="34"/>
      <c r="EN14" s="34"/>
      <c r="EO14" s="34"/>
      <c r="EP14" s="34"/>
      <c r="EQ14" s="34"/>
      <c r="ER14" s="34"/>
      <c r="ES14" s="34"/>
      <c r="ET14" s="34"/>
      <c r="EU14" s="34"/>
      <c r="EV14" s="34"/>
      <c r="EW14" s="34"/>
      <c r="EX14" s="34"/>
      <c r="EY14" s="34"/>
      <c r="EZ14" s="34"/>
      <c r="FA14" s="34"/>
      <c r="FB14" s="34"/>
      <c r="FC14" s="34"/>
      <c r="FD14" s="34"/>
      <c r="FE14" s="34"/>
      <c r="FF14" s="34"/>
      <c r="FG14" s="34"/>
      <c r="FH14" s="34"/>
      <c r="FI14" s="34"/>
      <c r="FJ14" s="34"/>
      <c r="FK14" s="34"/>
      <c r="FL14" s="34"/>
      <c r="FM14" s="34"/>
      <c r="FN14" s="34"/>
      <c r="FO14" s="34"/>
      <c r="FP14" s="34"/>
      <c r="FQ14" s="34"/>
      <c r="FR14" s="34"/>
      <c r="FS14" s="34"/>
      <c r="FT14" s="34"/>
      <c r="FU14" s="34"/>
      <c r="FV14" s="34"/>
      <c r="FW14" s="34"/>
      <c r="FX14" s="34"/>
      <c r="FY14" s="34"/>
      <c r="FZ14" s="34"/>
      <c r="GA14" s="34"/>
      <c r="GB14" s="34"/>
      <c r="GC14" s="34"/>
      <c r="GD14" s="34"/>
      <c r="GE14" s="34"/>
      <c r="GF14" s="34"/>
      <c r="GG14" s="34"/>
      <c r="GH14" s="34"/>
      <c r="GI14" s="34"/>
      <c r="GJ14" s="34"/>
      <c r="GK14" s="34"/>
      <c r="GL14" s="34"/>
      <c r="GM14" s="34"/>
      <c r="GN14" s="34"/>
      <c r="GO14" s="34"/>
      <c r="GP14" s="34"/>
      <c r="GQ14" s="34"/>
      <c r="GR14" s="34"/>
      <c r="GS14" s="34"/>
      <c r="GT14" s="34"/>
      <c r="OV14" s="63"/>
    </row>
    <row r="15" spans="1:504" s="38" customFormat="1" ht="15" customHeight="1" x14ac:dyDescent="0.3">
      <c r="A15" s="34" t="s">
        <v>262</v>
      </c>
      <c r="B15" s="234">
        <v>32</v>
      </c>
      <c r="C15" s="234">
        <v>7</v>
      </c>
      <c r="D15" s="234">
        <v>6</v>
      </c>
      <c r="E15" s="234">
        <v>32</v>
      </c>
      <c r="F15" s="234">
        <v>8</v>
      </c>
      <c r="G15" s="234">
        <v>31</v>
      </c>
      <c r="H15" s="234">
        <v>31</v>
      </c>
      <c r="I15" s="234">
        <v>147</v>
      </c>
      <c r="J15" s="34"/>
      <c r="K15" s="34"/>
      <c r="L15" s="34"/>
      <c r="M15" s="34"/>
      <c r="N15" s="34"/>
      <c r="O15" s="34"/>
      <c r="P15" s="34"/>
      <c r="Q15" s="34"/>
      <c r="R15" s="34"/>
      <c r="S15" s="34"/>
      <c r="T15" s="34"/>
      <c r="U15" s="34"/>
      <c r="V15" s="34"/>
      <c r="W15" s="34"/>
      <c r="X15" s="58"/>
      <c r="Y15" s="58"/>
      <c r="Z15" s="58"/>
      <c r="AA15" s="58"/>
      <c r="AB15" s="58"/>
      <c r="AC15" s="58"/>
      <c r="AD15" s="58"/>
      <c r="AE15" s="58"/>
      <c r="AF15" s="58"/>
      <c r="AG15" s="58"/>
      <c r="AH15" s="58"/>
      <c r="AI15" s="58"/>
      <c r="AJ15" s="58"/>
      <c r="AK15" s="34"/>
      <c r="AL15" s="34"/>
      <c r="AM15" s="34"/>
      <c r="AN15" s="34"/>
      <c r="AO15" s="34"/>
      <c r="AP15" s="34"/>
      <c r="AQ15" s="34"/>
      <c r="AR15" s="34"/>
      <c r="AS15" s="34"/>
      <c r="AT15" s="34"/>
      <c r="AU15" s="34"/>
      <c r="AV15" s="34"/>
      <c r="AW15" s="34"/>
      <c r="AX15" s="34"/>
      <c r="AY15" s="34"/>
      <c r="AZ15" s="34"/>
      <c r="BA15" s="34"/>
      <c r="BB15" s="34"/>
      <c r="BC15" s="34"/>
      <c r="BD15" s="34"/>
      <c r="BE15" s="34"/>
      <c r="BF15" s="34"/>
      <c r="BG15" s="34"/>
      <c r="BH15" s="34"/>
      <c r="BI15" s="34"/>
      <c r="BJ15" s="34"/>
      <c r="BK15" s="34"/>
      <c r="BL15" s="34"/>
      <c r="BM15" s="34"/>
      <c r="BN15" s="34"/>
      <c r="BO15" s="34"/>
      <c r="BP15" s="34"/>
      <c r="BQ15" s="34"/>
      <c r="BR15" s="34"/>
      <c r="BS15" s="34"/>
      <c r="BT15" s="34"/>
      <c r="BU15" s="34"/>
      <c r="BV15" s="34"/>
      <c r="BW15" s="34"/>
      <c r="BX15" s="34"/>
      <c r="BY15" s="34"/>
      <c r="BZ15" s="34"/>
      <c r="CA15" s="34"/>
      <c r="CB15" s="34"/>
      <c r="CC15" s="34"/>
      <c r="CD15" s="34"/>
      <c r="CE15" s="34"/>
      <c r="CF15" s="34"/>
      <c r="CG15" s="34"/>
      <c r="CH15" s="34"/>
      <c r="CI15" s="34"/>
      <c r="CJ15" s="34"/>
      <c r="CK15" s="34"/>
      <c r="CL15" s="34"/>
      <c r="CM15" s="34"/>
      <c r="CN15" s="34"/>
      <c r="CO15" s="34"/>
      <c r="CP15" s="34"/>
      <c r="CQ15" s="34"/>
      <c r="CR15" s="34"/>
      <c r="CS15" s="34"/>
      <c r="CT15" s="34"/>
      <c r="CU15" s="34"/>
      <c r="CV15" s="34"/>
      <c r="CW15" s="34"/>
      <c r="CX15" s="34"/>
      <c r="CY15" s="34"/>
      <c r="CZ15" s="34"/>
      <c r="DA15" s="34"/>
      <c r="DB15" s="34"/>
      <c r="DC15" s="34"/>
      <c r="DD15" s="34"/>
      <c r="DE15" s="34"/>
      <c r="DF15" s="34"/>
      <c r="DG15" s="34"/>
      <c r="DH15" s="34"/>
      <c r="DI15" s="34"/>
      <c r="DJ15" s="34"/>
      <c r="DK15" s="34"/>
      <c r="DL15" s="34"/>
      <c r="DM15" s="34"/>
      <c r="DN15" s="34"/>
      <c r="DO15" s="34"/>
      <c r="DP15" s="34"/>
      <c r="DQ15" s="34"/>
      <c r="DR15" s="34"/>
      <c r="DS15" s="34"/>
      <c r="DT15" s="34"/>
      <c r="DU15" s="34"/>
      <c r="DV15" s="34"/>
      <c r="DW15" s="34"/>
      <c r="DX15" s="34"/>
      <c r="DY15" s="34"/>
      <c r="DZ15" s="34"/>
      <c r="EA15" s="34"/>
      <c r="EB15" s="34"/>
      <c r="EC15" s="34"/>
      <c r="ED15" s="34"/>
      <c r="EE15" s="34"/>
      <c r="EF15" s="34"/>
      <c r="EG15" s="34"/>
      <c r="EH15" s="34"/>
      <c r="EI15" s="34"/>
      <c r="EJ15" s="34"/>
      <c r="EK15" s="34"/>
      <c r="EL15" s="34"/>
      <c r="EM15" s="34"/>
      <c r="EN15" s="34"/>
      <c r="EO15" s="34"/>
      <c r="EP15" s="34"/>
      <c r="EQ15" s="34"/>
      <c r="ER15" s="34"/>
      <c r="ES15" s="34"/>
      <c r="ET15" s="34"/>
      <c r="EU15" s="34"/>
      <c r="EV15" s="34"/>
      <c r="EW15" s="34"/>
      <c r="EX15" s="34"/>
      <c r="EY15" s="34"/>
      <c r="EZ15" s="34"/>
      <c r="FA15" s="34"/>
      <c r="FB15" s="34"/>
      <c r="FC15" s="34"/>
      <c r="FD15" s="34"/>
      <c r="FE15" s="34"/>
      <c r="FF15" s="34"/>
      <c r="FG15" s="34"/>
      <c r="FH15" s="34"/>
      <c r="FI15" s="34"/>
      <c r="FJ15" s="34"/>
      <c r="FK15" s="34"/>
      <c r="FL15" s="34"/>
      <c r="FM15" s="34"/>
      <c r="FN15" s="34"/>
      <c r="FO15" s="34"/>
      <c r="FP15" s="34"/>
      <c r="FQ15" s="34"/>
      <c r="FR15" s="34"/>
      <c r="FS15" s="34"/>
      <c r="FT15" s="34"/>
      <c r="FU15" s="34"/>
      <c r="FV15" s="34"/>
      <c r="FW15" s="34"/>
      <c r="FX15" s="34"/>
      <c r="FY15" s="34"/>
      <c r="FZ15" s="34"/>
      <c r="GA15" s="34"/>
      <c r="GB15" s="34"/>
      <c r="GC15" s="34"/>
      <c r="GD15" s="34"/>
      <c r="GE15" s="34"/>
      <c r="GF15" s="34"/>
      <c r="GG15" s="34"/>
      <c r="GH15" s="34"/>
      <c r="GI15" s="34"/>
      <c r="GJ15" s="34"/>
      <c r="GK15" s="34"/>
      <c r="GL15" s="34"/>
      <c r="GM15" s="34"/>
      <c r="GN15" s="34"/>
      <c r="GO15" s="34"/>
      <c r="GP15" s="34"/>
      <c r="GQ15" s="34"/>
      <c r="GR15" s="34"/>
      <c r="GS15" s="34"/>
      <c r="GT15" s="34"/>
    </row>
    <row r="16" spans="1:504" s="38" customFormat="1" ht="15" customHeight="1" x14ac:dyDescent="0.3">
      <c r="A16" s="34" t="s">
        <v>245</v>
      </c>
      <c r="B16" s="34">
        <v>75</v>
      </c>
      <c r="C16" s="34">
        <v>17</v>
      </c>
      <c r="D16" s="34">
        <v>19</v>
      </c>
      <c r="E16" s="34">
        <v>35</v>
      </c>
      <c r="F16" s="34">
        <v>15</v>
      </c>
      <c r="G16" s="34">
        <v>61</v>
      </c>
      <c r="H16" s="34">
        <v>45</v>
      </c>
      <c r="I16" s="34">
        <v>267</v>
      </c>
      <c r="J16" s="34"/>
      <c r="K16" s="34"/>
      <c r="L16" s="34"/>
      <c r="M16" s="34"/>
      <c r="N16" s="34"/>
      <c r="O16" s="34"/>
      <c r="P16" s="34"/>
      <c r="Q16" s="34"/>
      <c r="R16" s="34"/>
      <c r="S16" s="34"/>
      <c r="T16" s="34"/>
      <c r="U16" s="34"/>
      <c r="V16" s="34"/>
      <c r="W16" s="34"/>
      <c r="X16" s="58"/>
      <c r="Y16" s="58"/>
      <c r="Z16" s="58"/>
      <c r="AA16" s="58"/>
      <c r="AB16" s="58"/>
      <c r="AC16" s="58"/>
      <c r="AD16" s="58"/>
      <c r="AE16" s="58"/>
      <c r="AF16" s="58"/>
      <c r="AG16" s="58"/>
      <c r="AH16" s="58"/>
      <c r="AI16" s="58"/>
      <c r="AJ16" s="58"/>
      <c r="AK16" s="34"/>
      <c r="AL16" s="34"/>
      <c r="AM16" s="34"/>
      <c r="AN16" s="34"/>
      <c r="AO16" s="34"/>
      <c r="AP16" s="34"/>
      <c r="AQ16" s="34"/>
      <c r="AR16" s="34"/>
      <c r="AS16" s="34"/>
      <c r="AT16" s="34"/>
      <c r="AU16" s="34"/>
      <c r="AV16" s="34"/>
      <c r="AW16" s="34"/>
      <c r="AX16" s="34"/>
      <c r="AY16" s="34"/>
      <c r="AZ16" s="34"/>
      <c r="BA16" s="34"/>
      <c r="BB16" s="34"/>
      <c r="BC16" s="34"/>
      <c r="BD16" s="34"/>
      <c r="BE16" s="34"/>
      <c r="BF16" s="34"/>
      <c r="BG16" s="34"/>
      <c r="BH16" s="34"/>
      <c r="BI16" s="34"/>
      <c r="BJ16" s="34"/>
      <c r="BK16" s="34"/>
      <c r="BL16" s="34"/>
      <c r="BM16" s="34"/>
      <c r="BN16" s="34"/>
      <c r="BO16" s="34"/>
      <c r="BP16" s="34"/>
      <c r="BQ16" s="34"/>
      <c r="BR16" s="34"/>
      <c r="BS16" s="34"/>
      <c r="BT16" s="34"/>
      <c r="BU16" s="34"/>
      <c r="BV16" s="34"/>
      <c r="BW16" s="34"/>
      <c r="BX16" s="34"/>
      <c r="BY16" s="34"/>
      <c r="BZ16" s="34"/>
      <c r="CA16" s="34"/>
      <c r="CB16" s="34"/>
      <c r="CC16" s="34"/>
      <c r="CD16" s="34"/>
      <c r="CE16" s="34"/>
      <c r="CF16" s="34"/>
      <c r="CG16" s="34"/>
      <c r="CH16" s="34"/>
      <c r="CI16" s="34"/>
      <c r="CJ16" s="34"/>
      <c r="CK16" s="34"/>
      <c r="CL16" s="34"/>
      <c r="CM16" s="34"/>
      <c r="CN16" s="34"/>
      <c r="CO16" s="34"/>
      <c r="CP16" s="34"/>
      <c r="CQ16" s="34"/>
      <c r="CR16" s="34"/>
      <c r="CS16" s="34"/>
      <c r="CT16" s="34"/>
      <c r="CU16" s="34"/>
      <c r="CV16" s="34"/>
      <c r="CW16" s="34"/>
      <c r="CX16" s="34"/>
      <c r="CY16" s="34"/>
      <c r="CZ16" s="34"/>
      <c r="DA16" s="34"/>
      <c r="DB16" s="34"/>
      <c r="DC16" s="34"/>
      <c r="DD16" s="34"/>
      <c r="DE16" s="34"/>
      <c r="DF16" s="34"/>
      <c r="DG16" s="34"/>
      <c r="DH16" s="34"/>
      <c r="DI16" s="34"/>
      <c r="DJ16" s="34"/>
      <c r="DK16" s="34"/>
      <c r="DL16" s="34"/>
      <c r="DM16" s="34"/>
      <c r="DN16" s="34"/>
      <c r="DO16" s="34"/>
      <c r="DP16" s="34"/>
      <c r="DQ16" s="34"/>
      <c r="DR16" s="34"/>
      <c r="DS16" s="34"/>
      <c r="DT16" s="34"/>
      <c r="DU16" s="34"/>
      <c r="DV16" s="34"/>
      <c r="DW16" s="34"/>
      <c r="DX16" s="34"/>
      <c r="DY16" s="34"/>
      <c r="DZ16" s="34"/>
      <c r="EA16" s="34"/>
      <c r="EB16" s="34"/>
      <c r="EC16" s="34"/>
      <c r="ED16" s="34"/>
      <c r="EE16" s="34"/>
      <c r="EF16" s="34"/>
      <c r="EG16" s="34"/>
      <c r="EH16" s="34"/>
      <c r="EI16" s="34"/>
      <c r="EJ16" s="34"/>
      <c r="EK16" s="34"/>
      <c r="EL16" s="34"/>
      <c r="EM16" s="34"/>
      <c r="EN16" s="34"/>
      <c r="EO16" s="34"/>
      <c r="EP16" s="34"/>
      <c r="EQ16" s="34"/>
      <c r="ER16" s="34"/>
      <c r="ES16" s="34"/>
      <c r="ET16" s="34"/>
      <c r="EU16" s="34"/>
      <c r="EV16" s="34"/>
      <c r="EW16" s="34"/>
      <c r="EX16" s="34"/>
      <c r="EY16" s="34"/>
      <c r="EZ16" s="34"/>
      <c r="FA16" s="34"/>
      <c r="FB16" s="34"/>
      <c r="FC16" s="34"/>
      <c r="FD16" s="34"/>
      <c r="FE16" s="34"/>
      <c r="FF16" s="34"/>
      <c r="FG16" s="34"/>
      <c r="FH16" s="34"/>
      <c r="FI16" s="34"/>
      <c r="FJ16" s="34"/>
      <c r="FK16" s="34"/>
      <c r="FL16" s="34"/>
      <c r="FM16" s="34"/>
      <c r="FN16" s="34"/>
      <c r="FO16" s="34"/>
      <c r="FP16" s="34"/>
      <c r="FQ16" s="34"/>
      <c r="FR16" s="34"/>
      <c r="FS16" s="34"/>
      <c r="FT16" s="34"/>
      <c r="FU16" s="34"/>
      <c r="FV16" s="34"/>
      <c r="FW16" s="34"/>
      <c r="FX16" s="34"/>
      <c r="FY16" s="34"/>
      <c r="FZ16" s="34"/>
      <c r="GA16" s="34"/>
      <c r="GB16" s="34"/>
      <c r="GC16" s="34"/>
      <c r="GD16" s="34"/>
      <c r="GE16" s="34"/>
      <c r="GF16" s="34"/>
      <c r="GG16" s="34"/>
      <c r="GH16" s="34"/>
      <c r="GI16" s="34"/>
      <c r="GJ16" s="34"/>
      <c r="GK16" s="34"/>
      <c r="GL16" s="34"/>
      <c r="GM16" s="34"/>
      <c r="GN16" s="34"/>
      <c r="GO16" s="34"/>
      <c r="GP16" s="34"/>
      <c r="GQ16" s="34"/>
      <c r="GR16" s="34"/>
      <c r="GS16" s="34"/>
      <c r="GT16" s="34"/>
    </row>
    <row r="17" spans="1:202" s="38" customFormat="1" ht="15" customHeight="1" x14ac:dyDescent="0.3">
      <c r="A17" s="34" t="s">
        <v>248</v>
      </c>
      <c r="B17" s="34">
        <v>95</v>
      </c>
      <c r="C17" s="34">
        <v>17</v>
      </c>
      <c r="D17" s="34">
        <v>23</v>
      </c>
      <c r="E17" s="34">
        <v>42</v>
      </c>
      <c r="F17" s="34">
        <v>32</v>
      </c>
      <c r="G17" s="34">
        <v>87</v>
      </c>
      <c r="H17" s="34">
        <v>89</v>
      </c>
      <c r="I17" s="34">
        <v>385</v>
      </c>
      <c r="J17" s="34"/>
      <c r="K17" s="34"/>
      <c r="L17" s="34"/>
      <c r="M17" s="34"/>
      <c r="N17" s="34"/>
      <c r="O17" s="34"/>
      <c r="P17" s="34"/>
      <c r="Q17" s="34"/>
      <c r="R17" s="34"/>
      <c r="S17" s="34"/>
      <c r="T17" s="34"/>
      <c r="U17" s="34"/>
      <c r="V17" s="34"/>
      <c r="W17" s="34"/>
      <c r="X17" s="58"/>
      <c r="Y17" s="58"/>
      <c r="Z17" s="58"/>
      <c r="AA17" s="58"/>
      <c r="AB17" s="58"/>
      <c r="AC17" s="58"/>
      <c r="AD17" s="58"/>
      <c r="AE17" s="58"/>
      <c r="AF17" s="58"/>
      <c r="AG17" s="58"/>
      <c r="AH17" s="58"/>
      <c r="AI17" s="58"/>
      <c r="AJ17" s="58"/>
      <c r="AK17" s="34"/>
      <c r="AL17" s="34"/>
      <c r="AM17" s="34"/>
      <c r="AN17" s="34"/>
      <c r="AO17" s="34"/>
      <c r="AP17" s="34"/>
      <c r="AQ17" s="34"/>
      <c r="AR17" s="34"/>
      <c r="AS17" s="34"/>
      <c r="AT17" s="34"/>
      <c r="AU17" s="34"/>
      <c r="AV17" s="34"/>
      <c r="AW17" s="34"/>
      <c r="AX17" s="34"/>
      <c r="AY17" s="34"/>
      <c r="AZ17" s="34"/>
      <c r="BA17" s="34"/>
      <c r="BB17" s="34"/>
      <c r="BC17" s="34"/>
      <c r="BD17" s="34"/>
      <c r="BE17" s="34"/>
      <c r="BF17" s="34"/>
      <c r="BG17" s="34"/>
      <c r="BH17" s="34"/>
      <c r="BI17" s="34"/>
      <c r="BJ17" s="34"/>
      <c r="BK17" s="34"/>
      <c r="BL17" s="34"/>
      <c r="BM17" s="34"/>
      <c r="BN17" s="34"/>
      <c r="BO17" s="34"/>
      <c r="BP17" s="34"/>
      <c r="BQ17" s="34"/>
      <c r="BR17" s="34"/>
      <c r="BS17" s="34"/>
      <c r="BT17" s="34"/>
      <c r="BU17" s="34"/>
      <c r="BV17" s="34"/>
      <c r="BW17" s="34"/>
      <c r="BX17" s="34"/>
      <c r="BY17" s="34"/>
      <c r="BZ17" s="34"/>
      <c r="CA17" s="34"/>
      <c r="CB17" s="34"/>
      <c r="CC17" s="34"/>
      <c r="CD17" s="34"/>
      <c r="CE17" s="34"/>
      <c r="CF17" s="34"/>
      <c r="CG17" s="34"/>
      <c r="CH17" s="34"/>
      <c r="CI17" s="34"/>
      <c r="CJ17" s="34"/>
      <c r="CK17" s="34"/>
      <c r="CL17" s="34"/>
      <c r="CM17" s="34"/>
      <c r="CN17" s="34"/>
      <c r="CO17" s="34"/>
      <c r="CP17" s="34"/>
      <c r="CQ17" s="34"/>
      <c r="CR17" s="34"/>
      <c r="CS17" s="34"/>
      <c r="CT17" s="34"/>
      <c r="CU17" s="34"/>
      <c r="CV17" s="34"/>
      <c r="CW17" s="34"/>
      <c r="CX17" s="34"/>
      <c r="CY17" s="34"/>
      <c r="CZ17" s="34"/>
      <c r="DA17" s="34"/>
      <c r="DB17" s="34"/>
      <c r="DC17" s="34"/>
      <c r="DD17" s="34"/>
      <c r="DE17" s="34"/>
      <c r="DF17" s="34"/>
      <c r="DG17" s="34"/>
      <c r="DH17" s="34"/>
      <c r="DI17" s="34"/>
      <c r="DJ17" s="34"/>
      <c r="DK17" s="34"/>
      <c r="DL17" s="34"/>
      <c r="DM17" s="34"/>
      <c r="DN17" s="34"/>
      <c r="DO17" s="34"/>
      <c r="DP17" s="34"/>
      <c r="DQ17" s="34"/>
      <c r="DR17" s="34"/>
      <c r="DS17" s="34"/>
      <c r="DT17" s="34"/>
      <c r="DU17" s="34"/>
      <c r="DV17" s="34"/>
      <c r="DW17" s="34"/>
      <c r="DX17" s="34"/>
      <c r="DY17" s="34"/>
      <c r="DZ17" s="34"/>
      <c r="EA17" s="34"/>
      <c r="EB17" s="34"/>
      <c r="EC17" s="34"/>
      <c r="ED17" s="34"/>
      <c r="EE17" s="34"/>
      <c r="EF17" s="34"/>
      <c r="EG17" s="34"/>
      <c r="EH17" s="34"/>
      <c r="EI17" s="34"/>
      <c r="EJ17" s="34"/>
      <c r="EK17" s="34"/>
      <c r="EL17" s="34"/>
      <c r="EM17" s="34"/>
      <c r="EN17" s="34"/>
      <c r="EO17" s="34"/>
      <c r="EP17" s="34"/>
      <c r="EQ17" s="34"/>
      <c r="ER17" s="34"/>
      <c r="ES17" s="34"/>
      <c r="ET17" s="34"/>
      <c r="EU17" s="34"/>
      <c r="EV17" s="34"/>
      <c r="EW17" s="34"/>
      <c r="EX17" s="34"/>
      <c r="EY17" s="34"/>
      <c r="EZ17" s="34"/>
      <c r="FA17" s="34"/>
      <c r="FB17" s="34"/>
      <c r="FC17" s="34"/>
      <c r="FD17" s="34"/>
      <c r="FE17" s="34"/>
      <c r="FF17" s="34"/>
      <c r="FG17" s="34"/>
      <c r="FH17" s="34"/>
      <c r="FI17" s="34"/>
      <c r="FJ17" s="34"/>
      <c r="FK17" s="34"/>
      <c r="FL17" s="34"/>
      <c r="FM17" s="34"/>
      <c r="FN17" s="34"/>
      <c r="FO17" s="34"/>
      <c r="FP17" s="34"/>
      <c r="FQ17" s="34"/>
      <c r="FR17" s="34"/>
      <c r="FS17" s="34"/>
      <c r="FT17" s="34"/>
      <c r="FU17" s="34"/>
      <c r="FV17" s="34"/>
      <c r="FW17" s="34"/>
      <c r="FX17" s="34"/>
      <c r="FY17" s="34"/>
      <c r="FZ17" s="34"/>
      <c r="GA17" s="34"/>
      <c r="GB17" s="34"/>
      <c r="GC17" s="34"/>
      <c r="GD17" s="34"/>
      <c r="GE17" s="34"/>
      <c r="GF17" s="34"/>
      <c r="GG17" s="34"/>
      <c r="GH17" s="34"/>
      <c r="GI17" s="34"/>
      <c r="GJ17" s="34"/>
      <c r="GK17" s="34"/>
      <c r="GL17" s="34"/>
      <c r="GM17" s="34"/>
      <c r="GN17" s="34"/>
      <c r="GO17" s="34"/>
      <c r="GP17" s="34"/>
      <c r="GQ17" s="34"/>
      <c r="GR17" s="34"/>
      <c r="GS17" s="34"/>
      <c r="GT17" s="34"/>
    </row>
    <row r="18" spans="1:202" s="38" customFormat="1" ht="15" customHeight="1" x14ac:dyDescent="0.3">
      <c r="A18" s="34" t="s">
        <v>258</v>
      </c>
      <c r="B18" s="34">
        <v>62</v>
      </c>
      <c r="C18" s="34">
        <v>5</v>
      </c>
      <c r="D18" s="34">
        <v>20</v>
      </c>
      <c r="E18" s="34">
        <v>27</v>
      </c>
      <c r="F18" s="34">
        <v>10</v>
      </c>
      <c r="G18" s="34">
        <v>44</v>
      </c>
      <c r="H18" s="34">
        <v>56</v>
      </c>
      <c r="I18" s="34">
        <v>224</v>
      </c>
      <c r="J18" s="34"/>
      <c r="K18" s="34"/>
      <c r="L18" s="34"/>
      <c r="M18" s="34"/>
      <c r="N18" s="34"/>
      <c r="O18" s="34"/>
      <c r="P18" s="34"/>
      <c r="Q18" s="34"/>
      <c r="R18" s="34"/>
      <c r="S18" s="34"/>
      <c r="T18" s="34"/>
      <c r="U18" s="34"/>
      <c r="V18" s="34"/>
      <c r="W18" s="34"/>
      <c r="X18" s="58"/>
      <c r="Y18" s="58"/>
      <c r="Z18" s="58"/>
      <c r="AA18" s="58"/>
      <c r="AB18" s="58"/>
      <c r="AC18" s="58"/>
      <c r="AD18" s="58"/>
      <c r="AE18" s="58"/>
      <c r="AF18" s="58"/>
      <c r="AG18" s="58"/>
      <c r="AH18" s="58"/>
      <c r="AI18" s="58"/>
      <c r="AJ18" s="58"/>
      <c r="AK18" s="34"/>
      <c r="AL18" s="34"/>
      <c r="AM18" s="34"/>
      <c r="AN18" s="34"/>
      <c r="AO18" s="34"/>
      <c r="AP18" s="34"/>
      <c r="AQ18" s="34"/>
      <c r="AR18" s="34"/>
      <c r="AS18" s="34"/>
      <c r="AT18" s="34"/>
      <c r="AU18" s="34"/>
      <c r="AV18" s="34"/>
      <c r="AW18" s="34"/>
      <c r="AX18" s="34"/>
      <c r="AY18" s="34"/>
      <c r="AZ18" s="34"/>
      <c r="BA18" s="34"/>
      <c r="BB18" s="34"/>
      <c r="BC18" s="34"/>
      <c r="BD18" s="34"/>
      <c r="BE18" s="34"/>
      <c r="BF18" s="34"/>
      <c r="BG18" s="34"/>
      <c r="BH18" s="34"/>
      <c r="BI18" s="34"/>
      <c r="BJ18" s="34"/>
      <c r="BK18" s="34"/>
      <c r="BL18" s="34"/>
      <c r="BM18" s="34"/>
      <c r="BN18" s="34"/>
      <c r="BO18" s="34"/>
      <c r="BP18" s="34"/>
      <c r="BQ18" s="34"/>
      <c r="BR18" s="34"/>
      <c r="BS18" s="34"/>
      <c r="BT18" s="34"/>
      <c r="BU18" s="34"/>
      <c r="BV18" s="34"/>
      <c r="BW18" s="34"/>
      <c r="BX18" s="34"/>
      <c r="BY18" s="34"/>
      <c r="BZ18" s="34"/>
      <c r="CA18" s="34"/>
      <c r="CB18" s="34"/>
      <c r="CC18" s="34"/>
      <c r="CD18" s="34"/>
      <c r="CE18" s="34"/>
      <c r="CF18" s="34"/>
      <c r="CG18" s="34"/>
      <c r="CH18" s="34"/>
      <c r="CI18" s="34"/>
      <c r="CJ18" s="34"/>
      <c r="CK18" s="34"/>
      <c r="CL18" s="34"/>
      <c r="CM18" s="34"/>
      <c r="CN18" s="34"/>
      <c r="CO18" s="34"/>
      <c r="CP18" s="34"/>
      <c r="CQ18" s="34"/>
      <c r="CR18" s="34"/>
      <c r="CS18" s="34"/>
      <c r="CT18" s="34"/>
      <c r="CU18" s="34"/>
      <c r="CV18" s="34"/>
      <c r="CW18" s="34"/>
      <c r="CX18" s="34"/>
      <c r="CY18" s="34"/>
      <c r="CZ18" s="34"/>
      <c r="DA18" s="34"/>
      <c r="DB18" s="34"/>
      <c r="DC18" s="34"/>
      <c r="DD18" s="34"/>
      <c r="DE18" s="34"/>
      <c r="DF18" s="34"/>
      <c r="DG18" s="34"/>
      <c r="DH18" s="34"/>
      <c r="DI18" s="34"/>
      <c r="DJ18" s="34"/>
      <c r="DK18" s="34"/>
      <c r="DL18" s="34"/>
      <c r="DM18" s="34"/>
      <c r="DN18" s="34"/>
      <c r="DO18" s="34"/>
      <c r="DP18" s="34"/>
      <c r="DQ18" s="34"/>
      <c r="DR18" s="34"/>
      <c r="DS18" s="34"/>
      <c r="DT18" s="34"/>
      <c r="DU18" s="34"/>
      <c r="DV18" s="34"/>
      <c r="DW18" s="34"/>
      <c r="DX18" s="34"/>
      <c r="DY18" s="34"/>
      <c r="DZ18" s="34"/>
      <c r="EA18" s="34"/>
      <c r="EB18" s="34"/>
      <c r="EC18" s="34"/>
      <c r="ED18" s="34"/>
      <c r="EE18" s="34"/>
      <c r="EF18" s="34"/>
      <c r="EG18" s="34"/>
      <c r="EH18" s="34"/>
      <c r="EI18" s="34"/>
      <c r="EJ18" s="34"/>
      <c r="EK18" s="34"/>
      <c r="EL18" s="34"/>
      <c r="EM18" s="34"/>
      <c r="EN18" s="34"/>
      <c r="EO18" s="34"/>
      <c r="EP18" s="34"/>
      <c r="EQ18" s="34"/>
      <c r="ER18" s="34"/>
      <c r="ES18" s="34"/>
      <c r="ET18" s="34"/>
      <c r="EU18" s="34"/>
      <c r="EV18" s="34"/>
      <c r="EW18" s="34"/>
      <c r="EX18" s="34"/>
      <c r="EY18" s="34"/>
      <c r="EZ18" s="34"/>
      <c r="FA18" s="34"/>
      <c r="FB18" s="34"/>
      <c r="FC18" s="34"/>
      <c r="FD18" s="34"/>
      <c r="FE18" s="34"/>
      <c r="FF18" s="34"/>
      <c r="FG18" s="34"/>
      <c r="FH18" s="34"/>
      <c r="FI18" s="34"/>
      <c r="FJ18" s="34"/>
      <c r="FK18" s="34"/>
      <c r="FL18" s="34"/>
      <c r="FM18" s="34"/>
      <c r="FN18" s="34"/>
      <c r="FO18" s="34"/>
      <c r="FP18" s="34"/>
      <c r="FQ18" s="34"/>
      <c r="FR18" s="34"/>
      <c r="FS18" s="34"/>
      <c r="FT18" s="34"/>
      <c r="FU18" s="34"/>
      <c r="FV18" s="34"/>
      <c r="FW18" s="34"/>
      <c r="FX18" s="34"/>
      <c r="FY18" s="34"/>
      <c r="FZ18" s="34"/>
      <c r="GA18" s="34"/>
      <c r="GB18" s="34"/>
      <c r="GC18" s="34"/>
      <c r="GD18" s="34"/>
      <c r="GE18" s="34"/>
      <c r="GF18" s="34"/>
      <c r="GG18" s="34"/>
      <c r="GH18" s="34"/>
      <c r="GI18" s="34"/>
      <c r="GJ18" s="34"/>
      <c r="GK18" s="34"/>
      <c r="GL18" s="34"/>
      <c r="GM18" s="34"/>
      <c r="GN18" s="34"/>
      <c r="GO18" s="34"/>
      <c r="GP18" s="34"/>
      <c r="GQ18" s="34"/>
      <c r="GR18" s="34"/>
      <c r="GS18" s="34"/>
      <c r="GT18" s="34"/>
    </row>
    <row r="19" spans="1:202" s="38" customFormat="1" ht="16.5" x14ac:dyDescent="0.3">
      <c r="A19" s="34" t="s">
        <v>242</v>
      </c>
      <c r="B19" s="34">
        <v>87</v>
      </c>
      <c r="C19" s="34">
        <v>23</v>
      </c>
      <c r="D19" s="34">
        <v>36</v>
      </c>
      <c r="E19" s="34">
        <v>49</v>
      </c>
      <c r="F19" s="34">
        <v>29</v>
      </c>
      <c r="G19" s="34">
        <v>76</v>
      </c>
      <c r="H19" s="34">
        <v>66</v>
      </c>
      <c r="I19" s="34">
        <v>366</v>
      </c>
      <c r="J19" s="34"/>
      <c r="K19" s="34"/>
      <c r="L19" s="34"/>
      <c r="M19" s="34"/>
      <c r="N19" s="34"/>
      <c r="O19" s="34"/>
      <c r="P19" s="34"/>
      <c r="Q19" s="34"/>
      <c r="R19" s="34"/>
      <c r="S19" s="34"/>
      <c r="T19" s="34"/>
      <c r="U19" s="34"/>
      <c r="V19" s="34"/>
      <c r="W19" s="34"/>
      <c r="X19" s="58"/>
      <c r="Y19" s="58"/>
      <c r="Z19" s="58"/>
      <c r="AA19" s="58"/>
      <c r="AB19" s="58"/>
      <c r="AC19" s="58"/>
      <c r="AD19" s="58"/>
      <c r="AE19" s="58"/>
      <c r="AF19" s="58"/>
      <c r="AG19" s="58"/>
      <c r="AH19" s="58"/>
      <c r="AI19" s="58"/>
      <c r="AJ19" s="58"/>
      <c r="AK19" s="34"/>
      <c r="AL19" s="34"/>
      <c r="AM19" s="34"/>
      <c r="AN19" s="34"/>
      <c r="AO19" s="34"/>
      <c r="AP19" s="34"/>
      <c r="AQ19" s="34"/>
      <c r="AR19" s="34"/>
      <c r="AS19" s="34"/>
      <c r="AT19" s="34"/>
      <c r="AU19" s="34"/>
      <c r="AV19" s="34"/>
      <c r="AW19" s="34"/>
      <c r="AX19" s="34"/>
      <c r="AY19" s="34"/>
      <c r="AZ19" s="34"/>
      <c r="BA19" s="34"/>
      <c r="BB19" s="34"/>
      <c r="BC19" s="34"/>
      <c r="BD19" s="34"/>
      <c r="BE19" s="34"/>
      <c r="BF19" s="34"/>
      <c r="BG19" s="34"/>
      <c r="BH19" s="34"/>
      <c r="BI19" s="34"/>
      <c r="BJ19" s="34"/>
      <c r="BK19" s="34"/>
      <c r="BL19" s="34"/>
      <c r="BM19" s="34"/>
      <c r="BN19" s="34"/>
      <c r="BO19" s="34"/>
      <c r="BP19" s="34"/>
      <c r="BQ19" s="34"/>
      <c r="BR19" s="34"/>
      <c r="BS19" s="34"/>
      <c r="BT19" s="34"/>
      <c r="BU19" s="34"/>
      <c r="BV19" s="34"/>
      <c r="BW19" s="34"/>
      <c r="BX19" s="34"/>
      <c r="BY19" s="34"/>
      <c r="BZ19" s="34"/>
      <c r="CA19" s="34"/>
      <c r="CB19" s="34"/>
      <c r="CC19" s="34"/>
      <c r="CD19" s="34"/>
      <c r="CE19" s="34"/>
      <c r="CF19" s="34"/>
      <c r="CG19" s="34"/>
      <c r="CH19" s="34"/>
      <c r="CI19" s="34"/>
      <c r="CJ19" s="34"/>
      <c r="CK19" s="34"/>
      <c r="CL19" s="34"/>
      <c r="CM19" s="34"/>
      <c r="CN19" s="34"/>
      <c r="CO19" s="34"/>
      <c r="CP19" s="34"/>
      <c r="CQ19" s="34"/>
      <c r="CR19" s="34"/>
      <c r="CS19" s="34"/>
      <c r="CT19" s="34"/>
      <c r="CU19" s="34"/>
      <c r="CV19" s="34"/>
      <c r="CW19" s="34"/>
      <c r="CX19" s="34"/>
      <c r="CY19" s="34"/>
      <c r="CZ19" s="34"/>
      <c r="DA19" s="34"/>
      <c r="DB19" s="34"/>
      <c r="DC19" s="34"/>
      <c r="DD19" s="34"/>
      <c r="DE19" s="34"/>
      <c r="DF19" s="34"/>
      <c r="DG19" s="34"/>
      <c r="DH19" s="34"/>
      <c r="DI19" s="34"/>
      <c r="DJ19" s="34"/>
      <c r="DK19" s="34"/>
      <c r="DL19" s="34"/>
      <c r="DM19" s="34"/>
      <c r="DN19" s="34"/>
      <c r="DO19" s="34"/>
      <c r="DP19" s="34"/>
      <c r="DQ19" s="34"/>
      <c r="DR19" s="34"/>
      <c r="DS19" s="34"/>
      <c r="DT19" s="34"/>
      <c r="DU19" s="34"/>
      <c r="DV19" s="34"/>
      <c r="DW19" s="34"/>
      <c r="DX19" s="34"/>
      <c r="DY19" s="34"/>
      <c r="DZ19" s="34"/>
      <c r="EA19" s="34"/>
      <c r="EB19" s="34"/>
      <c r="EC19" s="34"/>
      <c r="ED19" s="34"/>
      <c r="EE19" s="34"/>
      <c r="EF19" s="34"/>
      <c r="EG19" s="34"/>
      <c r="EH19" s="34"/>
      <c r="EI19" s="34"/>
      <c r="EJ19" s="34"/>
      <c r="EK19" s="34"/>
      <c r="EL19" s="34"/>
      <c r="EM19" s="34"/>
      <c r="EN19" s="34"/>
      <c r="EO19" s="34"/>
      <c r="EP19" s="34"/>
      <c r="EQ19" s="34"/>
      <c r="ER19" s="34"/>
      <c r="ES19" s="34"/>
      <c r="ET19" s="34"/>
      <c r="EU19" s="34"/>
      <c r="EV19" s="34"/>
      <c r="EW19" s="34"/>
      <c r="EX19" s="34"/>
      <c r="EY19" s="34"/>
      <c r="EZ19" s="34"/>
      <c r="FA19" s="34"/>
      <c r="FB19" s="34"/>
      <c r="FC19" s="34"/>
      <c r="FD19" s="34"/>
      <c r="FE19" s="34"/>
      <c r="FF19" s="34"/>
      <c r="FG19" s="34"/>
      <c r="FH19" s="34"/>
      <c r="FI19" s="34"/>
      <c r="FJ19" s="34"/>
      <c r="FK19" s="34"/>
      <c r="FL19" s="34"/>
      <c r="FM19" s="34"/>
      <c r="FN19" s="34"/>
      <c r="FO19" s="34"/>
      <c r="FP19" s="34"/>
      <c r="FQ19" s="34"/>
      <c r="FR19" s="34"/>
      <c r="FS19" s="34"/>
      <c r="FT19" s="34"/>
      <c r="FU19" s="34"/>
      <c r="FV19" s="34"/>
      <c r="FW19" s="34"/>
      <c r="FX19" s="34"/>
      <c r="FY19" s="34"/>
      <c r="FZ19" s="34"/>
      <c r="GA19" s="34"/>
      <c r="GB19" s="34"/>
      <c r="GC19" s="34"/>
      <c r="GD19" s="34"/>
      <c r="GE19" s="34"/>
      <c r="GF19" s="34"/>
      <c r="GG19" s="34"/>
      <c r="GH19" s="34"/>
      <c r="GI19" s="34"/>
      <c r="GJ19" s="34"/>
      <c r="GK19" s="34"/>
      <c r="GL19" s="34"/>
      <c r="GM19" s="34"/>
      <c r="GN19" s="34"/>
      <c r="GO19" s="34"/>
      <c r="GP19" s="34"/>
      <c r="GQ19" s="34"/>
      <c r="GR19" s="34"/>
      <c r="GS19" s="34"/>
      <c r="GT19" s="34"/>
    </row>
    <row r="20" spans="1:202" s="38" customFormat="1" ht="16.5" customHeight="1" x14ac:dyDescent="0.3">
      <c r="A20" s="34" t="s">
        <v>259</v>
      </c>
      <c r="B20" s="34">
        <v>54</v>
      </c>
      <c r="C20" s="34">
        <v>15</v>
      </c>
      <c r="D20" s="34">
        <v>22</v>
      </c>
      <c r="E20" s="34">
        <v>33</v>
      </c>
      <c r="F20" s="34">
        <v>20</v>
      </c>
      <c r="G20" s="34">
        <v>53</v>
      </c>
      <c r="H20" s="34">
        <v>54</v>
      </c>
      <c r="I20" s="34">
        <v>251</v>
      </c>
      <c r="J20" s="34"/>
      <c r="K20" s="34"/>
      <c r="L20" s="34"/>
      <c r="M20" s="34"/>
      <c r="N20" s="34"/>
      <c r="O20" s="34"/>
      <c r="P20" s="34"/>
      <c r="Q20" s="34"/>
      <c r="R20" s="34"/>
      <c r="S20" s="34"/>
      <c r="T20" s="34"/>
      <c r="U20" s="34"/>
      <c r="V20" s="34"/>
      <c r="W20" s="34"/>
      <c r="X20" s="58"/>
      <c r="Y20" s="58"/>
      <c r="Z20" s="58"/>
      <c r="AA20" s="58"/>
      <c r="AB20" s="58"/>
      <c r="AC20" s="58"/>
      <c r="AD20" s="58"/>
      <c r="AE20" s="58"/>
      <c r="AF20" s="58"/>
      <c r="AG20" s="58"/>
      <c r="AH20" s="58"/>
      <c r="AI20" s="58"/>
      <c r="AJ20" s="58"/>
      <c r="AK20" s="34"/>
      <c r="AL20" s="34"/>
      <c r="AM20" s="34"/>
      <c r="AN20" s="34"/>
      <c r="AO20" s="34"/>
      <c r="AP20" s="34"/>
      <c r="AQ20" s="34"/>
      <c r="AR20" s="34"/>
      <c r="AS20" s="34"/>
      <c r="AT20" s="34"/>
      <c r="AU20" s="34"/>
      <c r="AV20" s="34"/>
      <c r="AW20" s="34"/>
      <c r="AX20" s="34"/>
      <c r="AY20" s="34"/>
      <c r="AZ20" s="34"/>
      <c r="BA20" s="34"/>
      <c r="BB20" s="34"/>
      <c r="BC20" s="34"/>
      <c r="BD20" s="34"/>
      <c r="BE20" s="34"/>
      <c r="BF20" s="34"/>
      <c r="BG20" s="34"/>
      <c r="BH20" s="34"/>
      <c r="BI20" s="34"/>
      <c r="BJ20" s="34"/>
      <c r="BK20" s="34"/>
      <c r="BL20" s="34"/>
      <c r="BM20" s="34"/>
      <c r="BN20" s="34"/>
      <c r="BO20" s="34"/>
      <c r="BP20" s="34"/>
      <c r="BQ20" s="34"/>
      <c r="BR20" s="34"/>
      <c r="BS20" s="34"/>
      <c r="BT20" s="34"/>
      <c r="BU20" s="34"/>
      <c r="BV20" s="34"/>
      <c r="BW20" s="34"/>
      <c r="BX20" s="34"/>
      <c r="BY20" s="34"/>
      <c r="BZ20" s="34"/>
      <c r="CA20" s="34"/>
      <c r="CB20" s="34"/>
      <c r="CC20" s="34"/>
      <c r="CD20" s="34"/>
      <c r="CE20" s="34"/>
      <c r="CF20" s="34"/>
      <c r="CG20" s="34"/>
      <c r="CH20" s="34"/>
      <c r="CI20" s="34"/>
      <c r="CJ20" s="34"/>
      <c r="CK20" s="34"/>
      <c r="CL20" s="34"/>
      <c r="CM20" s="34"/>
      <c r="CN20" s="34"/>
      <c r="CO20" s="34"/>
      <c r="CP20" s="34"/>
      <c r="CQ20" s="34"/>
      <c r="CR20" s="34"/>
      <c r="CS20" s="34"/>
      <c r="CT20" s="34"/>
      <c r="CU20" s="34"/>
      <c r="CV20" s="34"/>
      <c r="CW20" s="34"/>
      <c r="CX20" s="34"/>
      <c r="CY20" s="34"/>
      <c r="CZ20" s="34"/>
      <c r="DA20" s="34"/>
      <c r="DB20" s="34"/>
      <c r="DC20" s="34"/>
      <c r="DD20" s="34"/>
      <c r="DE20" s="34"/>
      <c r="DF20" s="34"/>
      <c r="DG20" s="34"/>
      <c r="DH20" s="34"/>
      <c r="DI20" s="34"/>
      <c r="DJ20" s="34"/>
      <c r="DK20" s="34"/>
      <c r="DL20" s="34"/>
      <c r="DM20" s="34"/>
      <c r="DN20" s="34"/>
      <c r="DO20" s="34"/>
      <c r="DP20" s="34"/>
      <c r="DQ20" s="34"/>
      <c r="DR20" s="34"/>
      <c r="DS20" s="34"/>
      <c r="DT20" s="34"/>
      <c r="DU20" s="34"/>
      <c r="DV20" s="34"/>
      <c r="DW20" s="34"/>
      <c r="DX20" s="34"/>
      <c r="DY20" s="34"/>
      <c r="DZ20" s="34"/>
      <c r="EA20" s="34"/>
      <c r="EB20" s="34"/>
      <c r="EC20" s="34"/>
      <c r="ED20" s="34"/>
      <c r="EE20" s="34"/>
      <c r="EF20" s="34"/>
      <c r="EG20" s="34"/>
      <c r="EH20" s="34"/>
      <c r="EI20" s="34"/>
      <c r="EJ20" s="34"/>
      <c r="EK20" s="34"/>
      <c r="EL20" s="34"/>
      <c r="EM20" s="34"/>
      <c r="EN20" s="34"/>
      <c r="EO20" s="34"/>
      <c r="EP20" s="34"/>
      <c r="EQ20" s="34"/>
      <c r="ER20" s="34"/>
      <c r="ES20" s="34"/>
      <c r="ET20" s="34"/>
      <c r="EU20" s="34"/>
      <c r="EV20" s="34"/>
      <c r="EW20" s="34"/>
      <c r="EX20" s="34"/>
      <c r="EY20" s="34"/>
      <c r="EZ20" s="34"/>
      <c r="FA20" s="34"/>
      <c r="FB20" s="34"/>
      <c r="FC20" s="34"/>
      <c r="FD20" s="34"/>
      <c r="FE20" s="34"/>
      <c r="FF20" s="34"/>
      <c r="FG20" s="34"/>
      <c r="FH20" s="34"/>
      <c r="FI20" s="34"/>
      <c r="FJ20" s="34"/>
      <c r="FK20" s="34"/>
      <c r="FL20" s="34"/>
      <c r="FM20" s="34"/>
      <c r="FN20" s="34"/>
      <c r="FO20" s="34"/>
      <c r="FP20" s="34"/>
      <c r="FQ20" s="34"/>
      <c r="FR20" s="34"/>
      <c r="FS20" s="34"/>
      <c r="FT20" s="34"/>
      <c r="FU20" s="34"/>
      <c r="FV20" s="34"/>
      <c r="FW20" s="34"/>
      <c r="FX20" s="34"/>
      <c r="FY20" s="34"/>
      <c r="FZ20" s="34"/>
      <c r="GA20" s="34"/>
      <c r="GB20" s="34"/>
      <c r="GC20" s="34"/>
      <c r="GD20" s="34"/>
      <c r="GE20" s="34"/>
      <c r="GF20" s="34"/>
      <c r="GG20" s="34"/>
      <c r="GH20" s="34"/>
      <c r="GI20" s="34"/>
      <c r="GJ20" s="34"/>
      <c r="GK20" s="34"/>
      <c r="GL20" s="34"/>
      <c r="GM20" s="34"/>
      <c r="GN20" s="34"/>
      <c r="GO20" s="34"/>
      <c r="GP20" s="34"/>
      <c r="GQ20" s="34"/>
      <c r="GR20" s="34"/>
      <c r="GS20" s="34"/>
      <c r="GT20" s="34"/>
    </row>
    <row r="21" spans="1:202" s="38" customFormat="1" ht="15" customHeight="1" x14ac:dyDescent="0.3">
      <c r="A21" s="34" t="s">
        <v>239</v>
      </c>
      <c r="B21" s="34">
        <v>97</v>
      </c>
      <c r="C21" s="34">
        <v>19</v>
      </c>
      <c r="D21" s="34">
        <v>38</v>
      </c>
      <c r="E21" s="34">
        <v>67</v>
      </c>
      <c r="F21" s="34">
        <v>44</v>
      </c>
      <c r="G21" s="34">
        <v>88</v>
      </c>
      <c r="H21" s="34">
        <v>93</v>
      </c>
      <c r="I21" s="34">
        <v>446</v>
      </c>
      <c r="J21" s="34"/>
      <c r="K21" s="34"/>
      <c r="L21" s="34"/>
      <c r="M21" s="34"/>
      <c r="N21" s="34"/>
      <c r="O21" s="34"/>
      <c r="P21" s="34"/>
      <c r="Q21" s="34"/>
      <c r="R21" s="34"/>
      <c r="S21" s="34"/>
      <c r="T21" s="34"/>
      <c r="U21" s="34"/>
      <c r="V21" s="34"/>
      <c r="W21" s="34"/>
      <c r="X21" s="58"/>
      <c r="Y21" s="58"/>
      <c r="Z21" s="58"/>
      <c r="AA21" s="58"/>
      <c r="AB21" s="58"/>
      <c r="AC21" s="58"/>
      <c r="AD21" s="58"/>
      <c r="AE21" s="58"/>
      <c r="AF21" s="58"/>
      <c r="AG21" s="58"/>
      <c r="AH21" s="58"/>
      <c r="AI21" s="58"/>
      <c r="AJ21" s="58"/>
      <c r="AK21" s="34"/>
      <c r="AL21" s="34"/>
      <c r="AM21" s="34"/>
      <c r="AN21" s="34"/>
      <c r="AO21" s="34"/>
      <c r="AP21" s="34"/>
      <c r="AQ21" s="34"/>
      <c r="AR21" s="34"/>
      <c r="AS21" s="34"/>
      <c r="AT21" s="34"/>
      <c r="AU21" s="34"/>
      <c r="AV21" s="34"/>
      <c r="AW21" s="34"/>
      <c r="AX21" s="34"/>
      <c r="AY21" s="34"/>
      <c r="AZ21" s="34"/>
      <c r="BA21" s="34"/>
      <c r="BB21" s="34"/>
      <c r="BC21" s="34"/>
      <c r="BD21" s="34"/>
      <c r="BE21" s="34"/>
      <c r="BF21" s="34"/>
      <c r="BG21" s="34"/>
      <c r="BH21" s="34"/>
      <c r="BI21" s="34"/>
      <c r="BJ21" s="34"/>
      <c r="BK21" s="34"/>
      <c r="BL21" s="34"/>
      <c r="BM21" s="34"/>
      <c r="BN21" s="34"/>
      <c r="BO21" s="34"/>
      <c r="BP21" s="34"/>
      <c r="BQ21" s="34"/>
      <c r="BR21" s="34"/>
      <c r="BS21" s="34"/>
      <c r="BT21" s="34"/>
      <c r="BU21" s="34"/>
      <c r="BV21" s="34"/>
      <c r="BW21" s="34"/>
      <c r="BX21" s="34"/>
      <c r="BY21" s="34"/>
      <c r="BZ21" s="34"/>
      <c r="CA21" s="34"/>
      <c r="CB21" s="34"/>
      <c r="CC21" s="34"/>
      <c r="CD21" s="34"/>
      <c r="CE21" s="34"/>
      <c r="CF21" s="34"/>
      <c r="CG21" s="34"/>
      <c r="CH21" s="34"/>
      <c r="CI21" s="34"/>
      <c r="CJ21" s="34"/>
      <c r="CK21" s="34"/>
      <c r="CL21" s="34"/>
      <c r="CM21" s="34"/>
      <c r="CN21" s="34"/>
      <c r="CO21" s="34"/>
      <c r="CP21" s="34"/>
      <c r="CQ21" s="34"/>
      <c r="CR21" s="34"/>
      <c r="CS21" s="34"/>
      <c r="CT21" s="34"/>
      <c r="CU21" s="34"/>
      <c r="CV21" s="34"/>
      <c r="CW21" s="34"/>
      <c r="CX21" s="34"/>
      <c r="CY21" s="34"/>
      <c r="CZ21" s="34"/>
      <c r="DA21" s="34"/>
      <c r="DB21" s="34"/>
      <c r="DC21" s="34"/>
      <c r="DD21" s="34"/>
      <c r="DE21" s="34"/>
      <c r="DF21" s="34"/>
      <c r="DG21" s="34"/>
      <c r="DH21" s="34"/>
      <c r="DI21" s="34"/>
      <c r="DJ21" s="34"/>
      <c r="DK21" s="34"/>
      <c r="DL21" s="34"/>
      <c r="DM21" s="34"/>
      <c r="DN21" s="34"/>
      <c r="DO21" s="34"/>
      <c r="DP21" s="34"/>
      <c r="DQ21" s="34"/>
      <c r="DR21" s="34"/>
      <c r="DS21" s="34"/>
      <c r="DT21" s="34"/>
      <c r="DU21" s="34"/>
      <c r="DV21" s="34"/>
      <c r="DW21" s="34"/>
      <c r="DX21" s="34"/>
      <c r="DY21" s="34"/>
      <c r="DZ21" s="34"/>
      <c r="EA21" s="34"/>
      <c r="EB21" s="34"/>
      <c r="EC21" s="34"/>
      <c r="ED21" s="34"/>
      <c r="EE21" s="34"/>
      <c r="EF21" s="34"/>
      <c r="EG21" s="34"/>
      <c r="EH21" s="34"/>
      <c r="EI21" s="34"/>
      <c r="EJ21" s="34"/>
      <c r="EK21" s="34"/>
      <c r="EL21" s="34"/>
      <c r="EM21" s="34"/>
      <c r="EN21" s="34"/>
      <c r="EO21" s="34"/>
      <c r="EP21" s="34"/>
      <c r="EQ21" s="34"/>
      <c r="ER21" s="34"/>
      <c r="ES21" s="34"/>
      <c r="ET21" s="34"/>
      <c r="EU21" s="34"/>
      <c r="EV21" s="34"/>
      <c r="EW21" s="34"/>
      <c r="EX21" s="34"/>
      <c r="EY21" s="34"/>
      <c r="EZ21" s="34"/>
      <c r="FA21" s="34"/>
      <c r="FB21" s="34"/>
      <c r="FC21" s="34"/>
      <c r="FD21" s="34"/>
      <c r="FE21" s="34"/>
      <c r="FF21" s="34"/>
      <c r="FG21" s="34"/>
      <c r="FH21" s="34"/>
      <c r="FI21" s="34"/>
      <c r="FJ21" s="34"/>
      <c r="FK21" s="34"/>
      <c r="FL21" s="34"/>
      <c r="FM21" s="34"/>
      <c r="FN21" s="34"/>
      <c r="FO21" s="34"/>
      <c r="FP21" s="34"/>
      <c r="FQ21" s="34"/>
      <c r="FR21" s="34"/>
      <c r="FS21" s="34"/>
      <c r="FT21" s="34"/>
      <c r="FU21" s="34"/>
      <c r="FV21" s="34"/>
      <c r="FW21" s="34"/>
      <c r="FX21" s="34"/>
      <c r="FY21" s="34"/>
      <c r="FZ21" s="34"/>
      <c r="GA21" s="34"/>
      <c r="GB21" s="34"/>
      <c r="GC21" s="34"/>
      <c r="GD21" s="34"/>
      <c r="GE21" s="34"/>
      <c r="GF21" s="34"/>
      <c r="GG21" s="34"/>
      <c r="GH21" s="34"/>
      <c r="GI21" s="34"/>
      <c r="GJ21" s="34"/>
      <c r="GK21" s="34"/>
      <c r="GL21" s="34"/>
      <c r="GM21" s="34"/>
      <c r="GN21" s="34"/>
      <c r="GO21" s="34"/>
      <c r="GP21" s="34"/>
      <c r="GQ21" s="34"/>
      <c r="GR21" s="34"/>
      <c r="GS21" s="34"/>
      <c r="GT21" s="34"/>
    </row>
    <row r="22" spans="1:202" s="38" customFormat="1" ht="15" customHeight="1" x14ac:dyDescent="0.3">
      <c r="A22" s="34" t="s">
        <v>253</v>
      </c>
      <c r="B22" s="34">
        <v>175</v>
      </c>
      <c r="C22" s="34">
        <v>23</v>
      </c>
      <c r="D22" s="34">
        <v>62</v>
      </c>
      <c r="E22" s="34">
        <v>96</v>
      </c>
      <c r="F22" s="34">
        <v>53</v>
      </c>
      <c r="G22" s="34">
        <v>172</v>
      </c>
      <c r="H22" s="34">
        <v>129</v>
      </c>
      <c r="I22" s="34">
        <v>710</v>
      </c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58"/>
      <c r="Y22" s="58"/>
      <c r="Z22" s="58"/>
      <c r="AA22" s="58"/>
      <c r="AB22" s="58"/>
      <c r="AC22" s="58"/>
      <c r="AD22" s="58"/>
      <c r="AE22" s="58"/>
      <c r="AF22" s="58"/>
      <c r="AG22" s="58"/>
      <c r="AH22" s="58"/>
      <c r="AI22" s="58"/>
      <c r="AJ22" s="58"/>
      <c r="AK22" s="34"/>
      <c r="AL22" s="34"/>
      <c r="AM22" s="34"/>
      <c r="AN22" s="34"/>
      <c r="AO22" s="34"/>
      <c r="AP22" s="34"/>
      <c r="AQ22" s="34"/>
      <c r="AR22" s="34"/>
      <c r="AS22" s="34"/>
      <c r="AT22" s="34"/>
      <c r="AU22" s="34"/>
      <c r="AV22" s="34"/>
      <c r="AW22" s="34"/>
      <c r="AX22" s="34"/>
      <c r="AY22" s="34"/>
      <c r="AZ22" s="34"/>
      <c r="BA22" s="34"/>
      <c r="BB22" s="34"/>
      <c r="BC22" s="34"/>
      <c r="BD22" s="34"/>
      <c r="BE22" s="34"/>
      <c r="BF22" s="34"/>
      <c r="BG22" s="34"/>
      <c r="BH22" s="34"/>
      <c r="BI22" s="34"/>
      <c r="BJ22" s="34"/>
      <c r="BK22" s="34"/>
      <c r="BL22" s="34"/>
      <c r="BM22" s="34"/>
      <c r="BN22" s="34"/>
      <c r="BO22" s="34"/>
      <c r="BP22" s="34"/>
      <c r="BQ22" s="34"/>
      <c r="BR22" s="34"/>
      <c r="BS22" s="34"/>
      <c r="BT22" s="34"/>
      <c r="BU22" s="34"/>
      <c r="BV22" s="34"/>
      <c r="BW22" s="34"/>
      <c r="BX22" s="34"/>
      <c r="BY22" s="34"/>
      <c r="BZ22" s="34"/>
      <c r="CA22" s="34"/>
      <c r="CB22" s="34"/>
      <c r="CC22" s="34"/>
      <c r="CD22" s="34"/>
      <c r="CE22" s="34"/>
      <c r="CF22" s="34"/>
      <c r="CG22" s="34"/>
      <c r="CH22" s="34"/>
      <c r="CI22" s="34"/>
      <c r="CJ22" s="34"/>
      <c r="CK22" s="34"/>
      <c r="CL22" s="34"/>
      <c r="CM22" s="34"/>
      <c r="CN22" s="34"/>
      <c r="CO22" s="34"/>
      <c r="CP22" s="34"/>
      <c r="CQ22" s="34"/>
      <c r="CR22" s="34"/>
      <c r="CS22" s="34"/>
      <c r="CT22" s="34"/>
      <c r="CU22" s="34"/>
      <c r="CV22" s="34"/>
      <c r="CW22" s="34"/>
      <c r="CX22" s="34"/>
      <c r="CY22" s="34"/>
      <c r="CZ22" s="34"/>
      <c r="DA22" s="34"/>
      <c r="DB22" s="34"/>
      <c r="DC22" s="34"/>
      <c r="DD22" s="34"/>
      <c r="DE22" s="34"/>
      <c r="DF22" s="34"/>
      <c r="DG22" s="34"/>
      <c r="DH22" s="34"/>
      <c r="DI22" s="34"/>
      <c r="DJ22" s="34"/>
      <c r="DK22" s="34"/>
      <c r="DL22" s="34"/>
      <c r="DM22" s="34"/>
      <c r="DN22" s="34"/>
      <c r="DO22" s="34"/>
      <c r="DP22" s="34"/>
      <c r="DQ22" s="34"/>
      <c r="DR22" s="34"/>
      <c r="DS22" s="34"/>
      <c r="DT22" s="34"/>
      <c r="DU22" s="34"/>
      <c r="DV22" s="34"/>
      <c r="DW22" s="34"/>
      <c r="DX22" s="34"/>
      <c r="DY22" s="34"/>
      <c r="DZ22" s="34"/>
      <c r="EA22" s="34"/>
      <c r="EB22" s="34"/>
      <c r="EC22" s="34"/>
      <c r="ED22" s="34"/>
      <c r="EE22" s="34"/>
      <c r="EF22" s="34"/>
      <c r="EG22" s="34"/>
      <c r="EH22" s="34"/>
      <c r="EI22" s="34"/>
      <c r="EJ22" s="34"/>
      <c r="EK22" s="34"/>
      <c r="EL22" s="34"/>
      <c r="EM22" s="34"/>
      <c r="EN22" s="34"/>
      <c r="EO22" s="34"/>
      <c r="EP22" s="34"/>
      <c r="EQ22" s="34"/>
      <c r="ER22" s="34"/>
      <c r="ES22" s="34"/>
      <c r="ET22" s="34"/>
      <c r="EU22" s="34"/>
      <c r="EV22" s="34"/>
      <c r="EW22" s="34"/>
      <c r="EX22" s="34"/>
      <c r="EY22" s="34"/>
      <c r="EZ22" s="34"/>
      <c r="FA22" s="34"/>
      <c r="FB22" s="34"/>
      <c r="FC22" s="34"/>
      <c r="FD22" s="34"/>
      <c r="FE22" s="34"/>
      <c r="FF22" s="34"/>
      <c r="FG22" s="34"/>
      <c r="FH22" s="34"/>
      <c r="FI22" s="34"/>
      <c r="FJ22" s="34"/>
      <c r="FK22" s="34"/>
      <c r="FL22" s="34"/>
      <c r="FM22" s="34"/>
      <c r="FN22" s="34"/>
      <c r="FO22" s="34"/>
      <c r="FP22" s="34"/>
      <c r="FQ22" s="34"/>
      <c r="FR22" s="34"/>
      <c r="FS22" s="34"/>
      <c r="FT22" s="34"/>
      <c r="FU22" s="34"/>
      <c r="FV22" s="34"/>
      <c r="FW22" s="34"/>
      <c r="FX22" s="34"/>
      <c r="FY22" s="34"/>
      <c r="FZ22" s="34"/>
      <c r="GA22" s="34"/>
      <c r="GB22" s="34"/>
      <c r="GC22" s="34"/>
      <c r="GD22" s="34"/>
      <c r="GE22" s="34"/>
      <c r="GF22" s="34"/>
      <c r="GG22" s="34"/>
      <c r="GH22" s="34"/>
      <c r="GI22" s="34"/>
      <c r="GJ22" s="34"/>
      <c r="GK22" s="34"/>
      <c r="GL22" s="34"/>
      <c r="GM22" s="34"/>
      <c r="GN22" s="34"/>
      <c r="GO22" s="34"/>
      <c r="GP22" s="34"/>
      <c r="GQ22" s="34"/>
      <c r="GR22" s="34"/>
      <c r="GS22" s="34"/>
      <c r="GT22" s="34"/>
    </row>
    <row r="23" spans="1:202" s="38" customFormat="1" ht="15" customHeight="1" x14ac:dyDescent="0.3">
      <c r="A23" s="34" t="s">
        <v>238</v>
      </c>
      <c r="B23" s="34">
        <v>60</v>
      </c>
      <c r="C23" s="34">
        <v>7</v>
      </c>
      <c r="D23" s="34">
        <v>26</v>
      </c>
      <c r="E23" s="34">
        <v>35</v>
      </c>
      <c r="F23" s="34">
        <v>15</v>
      </c>
      <c r="G23" s="34">
        <v>59</v>
      </c>
      <c r="H23" s="34">
        <v>61</v>
      </c>
      <c r="I23" s="34">
        <v>263</v>
      </c>
      <c r="J23" s="34"/>
      <c r="K23" s="34"/>
      <c r="L23" s="34"/>
      <c r="M23" s="34"/>
      <c r="N23" s="34"/>
      <c r="O23" s="34"/>
      <c r="P23" s="34"/>
      <c r="Q23" s="34"/>
      <c r="R23" s="34"/>
      <c r="S23" s="34"/>
      <c r="T23" s="34"/>
      <c r="U23" s="34"/>
      <c r="V23" s="34"/>
      <c r="W23" s="34"/>
      <c r="X23" s="58"/>
      <c r="Y23" s="58"/>
      <c r="Z23" s="58"/>
      <c r="AA23" s="58"/>
      <c r="AB23" s="58"/>
      <c r="AC23" s="58"/>
      <c r="AD23" s="58"/>
      <c r="AE23" s="58"/>
      <c r="AF23" s="58"/>
      <c r="AG23" s="58"/>
      <c r="AH23" s="58"/>
      <c r="AI23" s="58"/>
      <c r="AJ23" s="58"/>
      <c r="AK23" s="34"/>
      <c r="AL23" s="34"/>
      <c r="AM23" s="34"/>
      <c r="AN23" s="34"/>
      <c r="AO23" s="34"/>
      <c r="AP23" s="34"/>
      <c r="AQ23" s="34"/>
      <c r="AR23" s="34"/>
      <c r="AS23" s="34"/>
      <c r="AT23" s="34"/>
      <c r="AU23" s="34"/>
      <c r="AV23" s="34"/>
      <c r="AW23" s="34"/>
      <c r="AX23" s="34"/>
      <c r="AY23" s="34"/>
      <c r="AZ23" s="34"/>
      <c r="BA23" s="34"/>
      <c r="BB23" s="34"/>
      <c r="BC23" s="34"/>
      <c r="BD23" s="34"/>
      <c r="BE23" s="34"/>
      <c r="BF23" s="34"/>
      <c r="BG23" s="34"/>
      <c r="BH23" s="34"/>
      <c r="BI23" s="34"/>
      <c r="BJ23" s="34"/>
      <c r="BK23" s="34"/>
      <c r="BL23" s="34"/>
      <c r="BM23" s="34"/>
      <c r="BN23" s="34"/>
      <c r="BO23" s="34"/>
      <c r="BP23" s="34"/>
      <c r="BQ23" s="34"/>
      <c r="BR23" s="34"/>
      <c r="BS23" s="34"/>
      <c r="BT23" s="34"/>
      <c r="BU23" s="34"/>
      <c r="BV23" s="34"/>
      <c r="BW23" s="34"/>
      <c r="BX23" s="34"/>
      <c r="BY23" s="34"/>
      <c r="BZ23" s="34"/>
      <c r="CA23" s="34"/>
      <c r="CB23" s="34"/>
      <c r="CC23" s="34"/>
      <c r="CD23" s="34"/>
      <c r="CE23" s="34"/>
      <c r="CF23" s="34"/>
      <c r="CG23" s="34"/>
      <c r="CH23" s="34"/>
      <c r="CI23" s="34"/>
      <c r="CJ23" s="34"/>
      <c r="CK23" s="34"/>
      <c r="CL23" s="34"/>
      <c r="CM23" s="34"/>
      <c r="CN23" s="34"/>
      <c r="CO23" s="34"/>
      <c r="CP23" s="34"/>
      <c r="CQ23" s="34"/>
      <c r="CR23" s="34"/>
      <c r="CS23" s="34"/>
      <c r="CT23" s="34"/>
      <c r="CU23" s="34"/>
      <c r="CV23" s="34"/>
      <c r="CW23" s="34"/>
      <c r="CX23" s="34"/>
      <c r="CY23" s="34"/>
      <c r="CZ23" s="34"/>
      <c r="DA23" s="34"/>
      <c r="DB23" s="34"/>
      <c r="DC23" s="34"/>
      <c r="DD23" s="34"/>
      <c r="DE23" s="34"/>
      <c r="DF23" s="34"/>
      <c r="DG23" s="34"/>
      <c r="DH23" s="34"/>
      <c r="DI23" s="34"/>
      <c r="DJ23" s="34"/>
      <c r="DK23" s="34"/>
      <c r="DL23" s="34"/>
      <c r="DM23" s="34"/>
      <c r="DN23" s="34"/>
      <c r="DO23" s="34"/>
      <c r="DP23" s="34"/>
      <c r="DQ23" s="34"/>
      <c r="DR23" s="34"/>
      <c r="DS23" s="34"/>
      <c r="DT23" s="34"/>
      <c r="DU23" s="34"/>
      <c r="DV23" s="34"/>
      <c r="DW23" s="34"/>
      <c r="DX23" s="34"/>
      <c r="DY23" s="34"/>
      <c r="DZ23" s="34"/>
      <c r="EA23" s="34"/>
      <c r="EB23" s="34"/>
      <c r="EC23" s="34"/>
      <c r="ED23" s="34"/>
      <c r="EE23" s="34"/>
      <c r="EF23" s="34"/>
      <c r="EG23" s="34"/>
      <c r="EH23" s="34"/>
      <c r="EI23" s="34"/>
      <c r="EJ23" s="34"/>
      <c r="EK23" s="34"/>
      <c r="EL23" s="34"/>
      <c r="EM23" s="34"/>
      <c r="EN23" s="34"/>
      <c r="EO23" s="34"/>
      <c r="EP23" s="34"/>
      <c r="EQ23" s="34"/>
      <c r="ER23" s="34"/>
      <c r="ES23" s="34"/>
      <c r="ET23" s="34"/>
      <c r="EU23" s="34"/>
      <c r="EV23" s="34"/>
      <c r="EW23" s="34"/>
      <c r="EX23" s="34"/>
      <c r="EY23" s="34"/>
      <c r="EZ23" s="34"/>
      <c r="FA23" s="34"/>
      <c r="FB23" s="34"/>
      <c r="FC23" s="34"/>
      <c r="FD23" s="34"/>
      <c r="FE23" s="34"/>
      <c r="FF23" s="34"/>
      <c r="FG23" s="34"/>
      <c r="FH23" s="34"/>
      <c r="FI23" s="34"/>
      <c r="FJ23" s="34"/>
      <c r="FK23" s="34"/>
      <c r="FL23" s="34"/>
      <c r="FM23" s="34"/>
      <c r="FN23" s="34"/>
      <c r="FO23" s="34"/>
      <c r="FP23" s="34"/>
      <c r="FQ23" s="34"/>
      <c r="FR23" s="34"/>
      <c r="FS23" s="34"/>
      <c r="FT23" s="34"/>
      <c r="FU23" s="34"/>
      <c r="FV23" s="34"/>
      <c r="FW23" s="34"/>
      <c r="FX23" s="34"/>
      <c r="FY23" s="34"/>
      <c r="FZ23" s="34"/>
      <c r="GA23" s="34"/>
      <c r="GB23" s="34"/>
      <c r="GC23" s="34"/>
      <c r="GD23" s="34"/>
      <c r="GE23" s="34"/>
      <c r="GF23" s="34"/>
      <c r="GG23" s="34"/>
      <c r="GH23" s="34"/>
      <c r="GI23" s="34"/>
      <c r="GJ23" s="34"/>
      <c r="GK23" s="34"/>
      <c r="GL23" s="34"/>
      <c r="GM23" s="34"/>
      <c r="GN23" s="34"/>
      <c r="GO23" s="34"/>
      <c r="GP23" s="34"/>
      <c r="GQ23" s="34"/>
      <c r="GR23" s="34"/>
      <c r="GS23" s="34"/>
      <c r="GT23" s="34"/>
    </row>
    <row r="24" spans="1:202" s="38" customFormat="1" ht="15" customHeight="1" x14ac:dyDescent="0.3">
      <c r="A24" s="34" t="s">
        <v>252</v>
      </c>
      <c r="B24" s="34">
        <v>128</v>
      </c>
      <c r="C24" s="34">
        <v>40</v>
      </c>
      <c r="D24" s="34">
        <v>35</v>
      </c>
      <c r="E24" s="34">
        <v>92</v>
      </c>
      <c r="F24" s="34">
        <v>54</v>
      </c>
      <c r="G24" s="34">
        <v>119</v>
      </c>
      <c r="H24" s="34">
        <v>104</v>
      </c>
      <c r="I24" s="34">
        <v>572</v>
      </c>
      <c r="J24" s="34"/>
      <c r="K24" s="34"/>
      <c r="L24" s="34"/>
      <c r="M24" s="34"/>
      <c r="N24" s="34"/>
      <c r="O24" s="34"/>
      <c r="P24" s="34"/>
      <c r="Q24" s="34"/>
      <c r="R24" s="34"/>
      <c r="S24" s="34"/>
      <c r="T24" s="34"/>
      <c r="U24" s="34"/>
      <c r="V24" s="34"/>
      <c r="W24" s="34"/>
      <c r="X24" s="58"/>
      <c r="Y24" s="58"/>
      <c r="Z24" s="58"/>
      <c r="AA24" s="58"/>
      <c r="AB24" s="58"/>
      <c r="AC24" s="58"/>
      <c r="AD24" s="58"/>
      <c r="AE24" s="58"/>
      <c r="AF24" s="58"/>
      <c r="AG24" s="58"/>
      <c r="AH24" s="58"/>
      <c r="AI24" s="58"/>
      <c r="AJ24" s="58"/>
      <c r="AK24" s="34"/>
      <c r="AL24" s="34"/>
      <c r="AM24" s="34"/>
      <c r="AN24" s="34"/>
      <c r="AO24" s="34"/>
      <c r="AP24" s="34"/>
      <c r="AQ24" s="34"/>
      <c r="AR24" s="34"/>
      <c r="AS24" s="34"/>
      <c r="AT24" s="34"/>
      <c r="AU24" s="34"/>
      <c r="AV24" s="34"/>
      <c r="AW24" s="34"/>
      <c r="AX24" s="34"/>
      <c r="AY24" s="34"/>
      <c r="AZ24" s="34"/>
      <c r="BA24" s="34"/>
      <c r="BB24" s="34"/>
      <c r="BC24" s="34"/>
      <c r="BD24" s="34"/>
      <c r="BE24" s="34"/>
      <c r="BF24" s="34"/>
      <c r="BG24" s="34"/>
      <c r="BH24" s="34"/>
      <c r="BI24" s="34"/>
      <c r="BJ24" s="34"/>
      <c r="BK24" s="34"/>
      <c r="BL24" s="34"/>
      <c r="BM24" s="34"/>
      <c r="BN24" s="34"/>
      <c r="BO24" s="34"/>
      <c r="BP24" s="34"/>
      <c r="BQ24" s="34"/>
      <c r="BR24" s="34"/>
      <c r="BS24" s="34"/>
      <c r="BT24" s="34"/>
      <c r="BU24" s="34"/>
      <c r="BV24" s="34"/>
      <c r="BW24" s="34"/>
      <c r="BX24" s="34"/>
      <c r="BY24" s="34"/>
      <c r="BZ24" s="34"/>
      <c r="CA24" s="34"/>
      <c r="CB24" s="34"/>
      <c r="CC24" s="34"/>
      <c r="CD24" s="34"/>
      <c r="CE24" s="34"/>
      <c r="CF24" s="34"/>
      <c r="CG24" s="34"/>
      <c r="CH24" s="34"/>
      <c r="CI24" s="34"/>
      <c r="CJ24" s="34"/>
      <c r="CK24" s="34"/>
      <c r="CL24" s="34"/>
      <c r="CM24" s="34"/>
      <c r="CN24" s="34"/>
      <c r="CO24" s="34"/>
      <c r="CP24" s="34"/>
      <c r="CQ24" s="34"/>
      <c r="CR24" s="34"/>
      <c r="CS24" s="34"/>
      <c r="CT24" s="34"/>
      <c r="CU24" s="34"/>
      <c r="CV24" s="34"/>
      <c r="CW24" s="34"/>
      <c r="CX24" s="34"/>
      <c r="CY24" s="34"/>
      <c r="CZ24" s="34"/>
      <c r="DA24" s="34"/>
      <c r="DB24" s="34"/>
      <c r="DC24" s="34"/>
      <c r="DD24" s="34"/>
      <c r="DE24" s="34"/>
      <c r="DF24" s="34"/>
      <c r="DG24" s="34"/>
      <c r="DH24" s="34"/>
      <c r="DI24" s="34"/>
      <c r="DJ24" s="34"/>
      <c r="DK24" s="34"/>
      <c r="DL24" s="34"/>
      <c r="DM24" s="34"/>
      <c r="DN24" s="34"/>
      <c r="DO24" s="34"/>
      <c r="DP24" s="34"/>
      <c r="DQ24" s="34"/>
      <c r="DR24" s="34"/>
      <c r="DS24" s="34"/>
      <c r="DT24" s="34"/>
      <c r="DU24" s="34"/>
      <c r="DV24" s="34"/>
      <c r="DW24" s="34"/>
      <c r="DX24" s="34"/>
      <c r="DY24" s="34"/>
      <c r="DZ24" s="34"/>
      <c r="EA24" s="34"/>
      <c r="EB24" s="34"/>
      <c r="EC24" s="34"/>
      <c r="ED24" s="34"/>
      <c r="EE24" s="34"/>
      <c r="EF24" s="34"/>
      <c r="EG24" s="34"/>
      <c r="EH24" s="34"/>
      <c r="EI24" s="34"/>
      <c r="EJ24" s="34"/>
      <c r="EK24" s="34"/>
      <c r="EL24" s="34"/>
      <c r="EM24" s="34"/>
      <c r="EN24" s="34"/>
      <c r="EO24" s="34"/>
      <c r="EP24" s="34"/>
      <c r="EQ24" s="34"/>
      <c r="ER24" s="34"/>
      <c r="ES24" s="34"/>
      <c r="ET24" s="34"/>
      <c r="EU24" s="34"/>
      <c r="EV24" s="34"/>
      <c r="EW24" s="34"/>
      <c r="EX24" s="34"/>
      <c r="EY24" s="34"/>
      <c r="EZ24" s="34"/>
      <c r="FA24" s="34"/>
      <c r="FB24" s="34"/>
      <c r="FC24" s="34"/>
      <c r="FD24" s="34"/>
      <c r="FE24" s="34"/>
      <c r="FF24" s="34"/>
      <c r="FG24" s="34"/>
      <c r="FH24" s="34"/>
      <c r="FI24" s="34"/>
      <c r="FJ24" s="34"/>
      <c r="FK24" s="34"/>
      <c r="FL24" s="34"/>
      <c r="FM24" s="34"/>
      <c r="FN24" s="34"/>
      <c r="FO24" s="34"/>
      <c r="FP24" s="34"/>
      <c r="FQ24" s="34"/>
      <c r="FR24" s="34"/>
      <c r="FS24" s="34"/>
      <c r="FT24" s="34"/>
      <c r="FU24" s="34"/>
      <c r="FV24" s="34"/>
      <c r="FW24" s="34"/>
      <c r="FX24" s="34"/>
      <c r="FY24" s="34"/>
      <c r="FZ24" s="34"/>
      <c r="GA24" s="34"/>
      <c r="GB24" s="34"/>
      <c r="GC24" s="34"/>
      <c r="GD24" s="34"/>
      <c r="GE24" s="34"/>
      <c r="GF24" s="34"/>
      <c r="GG24" s="34"/>
      <c r="GH24" s="34"/>
      <c r="GI24" s="34"/>
      <c r="GJ24" s="34"/>
      <c r="GK24" s="34"/>
      <c r="GL24" s="34"/>
      <c r="GM24" s="34"/>
      <c r="GN24" s="34"/>
      <c r="GO24" s="34"/>
      <c r="GP24" s="34"/>
      <c r="GQ24" s="34"/>
      <c r="GR24" s="34"/>
      <c r="GS24" s="34"/>
      <c r="GT24" s="34"/>
    </row>
    <row r="25" spans="1:202" s="38" customFormat="1" ht="15" customHeight="1" x14ac:dyDescent="0.3">
      <c r="A25" s="34" t="s">
        <v>251</v>
      </c>
      <c r="B25" s="34">
        <v>126</v>
      </c>
      <c r="C25" s="34">
        <v>16</v>
      </c>
      <c r="D25" s="34">
        <v>42</v>
      </c>
      <c r="E25" s="34">
        <v>86</v>
      </c>
      <c r="F25" s="34">
        <v>47</v>
      </c>
      <c r="G25" s="34">
        <v>145</v>
      </c>
      <c r="H25" s="34">
        <v>116</v>
      </c>
      <c r="I25" s="34">
        <v>578</v>
      </c>
      <c r="J25" s="34"/>
      <c r="K25" s="34"/>
      <c r="L25" s="34"/>
      <c r="M25" s="34"/>
      <c r="N25" s="34"/>
      <c r="O25" s="34"/>
      <c r="P25" s="34"/>
      <c r="Q25" s="34"/>
      <c r="R25" s="34"/>
      <c r="S25" s="34"/>
      <c r="T25" s="34"/>
      <c r="U25" s="34"/>
      <c r="V25" s="34"/>
      <c r="W25" s="34"/>
      <c r="X25" s="58"/>
      <c r="Y25" s="58"/>
      <c r="Z25" s="58"/>
      <c r="AA25" s="58"/>
      <c r="AB25" s="58"/>
      <c r="AC25" s="58"/>
      <c r="AD25" s="58"/>
      <c r="AE25" s="58"/>
      <c r="AF25" s="58"/>
      <c r="AG25" s="58"/>
      <c r="AH25" s="58"/>
      <c r="AI25" s="58"/>
      <c r="AJ25" s="58"/>
      <c r="AK25" s="34"/>
      <c r="AL25" s="34"/>
      <c r="AM25" s="34"/>
      <c r="AN25" s="34"/>
      <c r="AO25" s="34"/>
      <c r="AP25" s="34"/>
      <c r="AQ25" s="34"/>
      <c r="AR25" s="34"/>
      <c r="AS25" s="34"/>
      <c r="AT25" s="34"/>
      <c r="AU25" s="34"/>
      <c r="AV25" s="34"/>
      <c r="AW25" s="34"/>
      <c r="AX25" s="34"/>
      <c r="AY25" s="34"/>
      <c r="AZ25" s="34"/>
      <c r="BA25" s="34"/>
      <c r="BB25" s="34"/>
      <c r="BC25" s="34"/>
      <c r="BD25" s="34"/>
      <c r="BE25" s="34"/>
      <c r="BF25" s="34"/>
      <c r="BG25" s="34"/>
      <c r="BH25" s="34"/>
      <c r="BI25" s="34"/>
      <c r="BJ25" s="34"/>
      <c r="BK25" s="34"/>
      <c r="BL25" s="34"/>
      <c r="BM25" s="34"/>
      <c r="BN25" s="34"/>
      <c r="BO25" s="34"/>
      <c r="BP25" s="34"/>
      <c r="BQ25" s="34"/>
      <c r="BR25" s="34"/>
      <c r="BS25" s="34"/>
      <c r="BT25" s="34"/>
      <c r="BU25" s="34"/>
      <c r="BV25" s="34"/>
      <c r="BW25" s="34"/>
      <c r="BX25" s="34"/>
      <c r="BY25" s="34"/>
      <c r="BZ25" s="34"/>
      <c r="CA25" s="34"/>
      <c r="CB25" s="34"/>
      <c r="CC25" s="34"/>
      <c r="CD25" s="34"/>
      <c r="CE25" s="34"/>
      <c r="CF25" s="34"/>
      <c r="CG25" s="34"/>
      <c r="CH25" s="34"/>
      <c r="CI25" s="34"/>
      <c r="CJ25" s="34"/>
      <c r="CK25" s="34"/>
      <c r="CL25" s="34"/>
      <c r="CM25" s="34"/>
      <c r="CN25" s="34"/>
      <c r="CO25" s="34"/>
      <c r="CP25" s="34"/>
      <c r="CQ25" s="34"/>
      <c r="CR25" s="34"/>
      <c r="CS25" s="34"/>
      <c r="CT25" s="34"/>
      <c r="CU25" s="34"/>
      <c r="CV25" s="34"/>
      <c r="CW25" s="34"/>
      <c r="CX25" s="34"/>
      <c r="CY25" s="34"/>
      <c r="CZ25" s="34"/>
      <c r="DA25" s="34"/>
      <c r="DB25" s="34"/>
      <c r="DC25" s="34"/>
      <c r="DD25" s="34"/>
      <c r="DE25" s="34"/>
      <c r="DF25" s="34"/>
      <c r="DG25" s="34"/>
      <c r="DH25" s="34"/>
      <c r="DI25" s="34"/>
      <c r="DJ25" s="34"/>
      <c r="DK25" s="34"/>
      <c r="DL25" s="34"/>
      <c r="DM25" s="34"/>
      <c r="DN25" s="34"/>
      <c r="DO25" s="34"/>
      <c r="DP25" s="34"/>
      <c r="DQ25" s="34"/>
      <c r="DR25" s="34"/>
      <c r="DS25" s="34"/>
      <c r="DT25" s="34"/>
      <c r="DU25" s="34"/>
      <c r="DV25" s="34"/>
      <c r="DW25" s="34"/>
      <c r="DX25" s="34"/>
      <c r="DY25" s="34"/>
      <c r="DZ25" s="34"/>
      <c r="EA25" s="34"/>
      <c r="EB25" s="34"/>
      <c r="EC25" s="34"/>
      <c r="ED25" s="34"/>
      <c r="EE25" s="34"/>
      <c r="EF25" s="34"/>
      <c r="EG25" s="34"/>
      <c r="EH25" s="34"/>
      <c r="EI25" s="34"/>
      <c r="EJ25" s="34"/>
      <c r="EK25" s="34"/>
      <c r="EL25" s="34"/>
      <c r="EM25" s="34"/>
      <c r="EN25" s="34"/>
      <c r="EO25" s="34"/>
      <c r="EP25" s="34"/>
      <c r="EQ25" s="34"/>
      <c r="ER25" s="34"/>
      <c r="ES25" s="34"/>
      <c r="ET25" s="34"/>
      <c r="EU25" s="34"/>
      <c r="EV25" s="34"/>
      <c r="EW25" s="34"/>
      <c r="EX25" s="34"/>
      <c r="EY25" s="34"/>
      <c r="EZ25" s="34"/>
      <c r="FA25" s="34"/>
      <c r="FB25" s="34"/>
      <c r="FC25" s="34"/>
      <c r="FD25" s="34"/>
      <c r="FE25" s="34"/>
      <c r="FF25" s="34"/>
      <c r="FG25" s="34"/>
      <c r="FH25" s="34"/>
      <c r="FI25" s="34"/>
      <c r="FJ25" s="34"/>
      <c r="FK25" s="34"/>
      <c r="FL25" s="34"/>
      <c r="FM25" s="34"/>
      <c r="FN25" s="34"/>
      <c r="FO25" s="34"/>
      <c r="FP25" s="34"/>
      <c r="FQ25" s="34"/>
      <c r="FR25" s="34"/>
      <c r="FS25" s="34"/>
      <c r="FT25" s="34"/>
      <c r="FU25" s="34"/>
      <c r="FV25" s="34"/>
      <c r="FW25" s="34"/>
      <c r="FX25" s="34"/>
      <c r="FY25" s="34"/>
      <c r="FZ25" s="34"/>
      <c r="GA25" s="34"/>
      <c r="GB25" s="34"/>
      <c r="GC25" s="34"/>
      <c r="GD25" s="34"/>
      <c r="GE25" s="34"/>
      <c r="GF25" s="34"/>
      <c r="GG25" s="34"/>
      <c r="GH25" s="34"/>
      <c r="GI25" s="34"/>
      <c r="GJ25" s="34"/>
      <c r="GK25" s="34"/>
      <c r="GL25" s="34"/>
      <c r="GM25" s="34"/>
      <c r="GN25" s="34"/>
      <c r="GO25" s="34"/>
      <c r="GP25" s="34"/>
      <c r="GQ25" s="34"/>
      <c r="GR25" s="34"/>
      <c r="GS25" s="34"/>
      <c r="GT25" s="34"/>
    </row>
    <row r="26" spans="1:202" s="38" customFormat="1" ht="15" customHeight="1" x14ac:dyDescent="0.3">
      <c r="A26" s="34" t="s">
        <v>241</v>
      </c>
      <c r="B26" s="34">
        <v>149</v>
      </c>
      <c r="C26" s="34">
        <v>19</v>
      </c>
      <c r="D26" s="34">
        <v>44</v>
      </c>
      <c r="E26" s="34">
        <v>87</v>
      </c>
      <c r="F26" s="34">
        <v>47</v>
      </c>
      <c r="G26" s="34">
        <v>116</v>
      </c>
      <c r="H26" s="34">
        <v>120</v>
      </c>
      <c r="I26" s="34">
        <v>582</v>
      </c>
      <c r="J26" s="34"/>
      <c r="K26" s="34"/>
      <c r="L26" s="34"/>
      <c r="M26" s="34"/>
      <c r="N26" s="34"/>
      <c r="O26" s="34"/>
      <c r="P26" s="34"/>
      <c r="Q26" s="34"/>
      <c r="R26" s="34"/>
      <c r="S26" s="34"/>
      <c r="T26" s="34"/>
      <c r="U26" s="34"/>
      <c r="V26" s="34"/>
      <c r="W26" s="34"/>
      <c r="X26" s="58"/>
      <c r="Y26" s="58"/>
      <c r="Z26" s="58"/>
      <c r="AA26" s="58"/>
      <c r="AB26" s="58"/>
      <c r="AC26" s="58"/>
      <c r="AD26" s="58"/>
      <c r="AE26" s="58"/>
      <c r="AF26" s="58"/>
      <c r="AG26" s="58"/>
      <c r="AH26" s="58"/>
      <c r="AI26" s="58"/>
      <c r="AJ26" s="58"/>
      <c r="AK26" s="34"/>
      <c r="AL26" s="34"/>
      <c r="AM26" s="34"/>
      <c r="AN26" s="34"/>
      <c r="AO26" s="34"/>
      <c r="AP26" s="34"/>
      <c r="AQ26" s="34"/>
      <c r="AR26" s="34"/>
      <c r="AS26" s="34"/>
      <c r="AT26" s="34"/>
      <c r="AU26" s="34"/>
      <c r="AV26" s="34"/>
      <c r="AW26" s="34"/>
      <c r="AX26" s="34"/>
      <c r="AY26" s="34"/>
      <c r="AZ26" s="34"/>
      <c r="BA26" s="34"/>
      <c r="BB26" s="34"/>
      <c r="BC26" s="34"/>
      <c r="BD26" s="34"/>
      <c r="BE26" s="34"/>
      <c r="BF26" s="34"/>
      <c r="BG26" s="34"/>
      <c r="BH26" s="34"/>
      <c r="BI26" s="34"/>
      <c r="BJ26" s="34"/>
      <c r="BK26" s="34"/>
      <c r="BL26" s="34"/>
      <c r="BM26" s="34"/>
      <c r="BN26" s="34"/>
      <c r="BO26" s="34"/>
      <c r="BP26" s="34"/>
      <c r="BQ26" s="34"/>
      <c r="BR26" s="34"/>
      <c r="BS26" s="34"/>
      <c r="BT26" s="34"/>
      <c r="BU26" s="34"/>
      <c r="BV26" s="34"/>
      <c r="BW26" s="34"/>
      <c r="BX26" s="34"/>
      <c r="BY26" s="34"/>
      <c r="BZ26" s="34"/>
      <c r="CA26" s="34"/>
      <c r="CB26" s="34"/>
      <c r="CC26" s="34"/>
      <c r="CD26" s="34"/>
      <c r="CE26" s="34"/>
      <c r="CF26" s="34"/>
      <c r="CG26" s="34"/>
      <c r="CH26" s="34"/>
      <c r="CI26" s="34"/>
      <c r="CJ26" s="34"/>
      <c r="CK26" s="34"/>
      <c r="CL26" s="34"/>
      <c r="CM26" s="34"/>
      <c r="CN26" s="34"/>
      <c r="CO26" s="34"/>
      <c r="CP26" s="34"/>
      <c r="CQ26" s="34"/>
      <c r="CR26" s="34"/>
      <c r="CS26" s="34"/>
      <c r="CT26" s="34"/>
      <c r="CU26" s="34"/>
      <c r="CV26" s="34"/>
      <c r="CW26" s="34"/>
      <c r="CX26" s="34"/>
      <c r="CY26" s="34"/>
      <c r="CZ26" s="34"/>
      <c r="DA26" s="34"/>
      <c r="DB26" s="34"/>
      <c r="DC26" s="34"/>
      <c r="DD26" s="34"/>
      <c r="DE26" s="34"/>
      <c r="DF26" s="34"/>
      <c r="DG26" s="34"/>
      <c r="DH26" s="34"/>
      <c r="DI26" s="34"/>
      <c r="DJ26" s="34"/>
      <c r="DK26" s="34"/>
      <c r="DL26" s="34"/>
      <c r="DM26" s="34"/>
      <c r="DN26" s="34"/>
      <c r="DO26" s="34"/>
      <c r="DP26" s="34"/>
      <c r="DQ26" s="34"/>
      <c r="DR26" s="34"/>
      <c r="DS26" s="34"/>
      <c r="DT26" s="34"/>
      <c r="DU26" s="34"/>
      <c r="DV26" s="34"/>
      <c r="DW26" s="34"/>
      <c r="DX26" s="34"/>
      <c r="DY26" s="34"/>
      <c r="DZ26" s="34"/>
      <c r="EA26" s="34"/>
      <c r="EB26" s="34"/>
      <c r="EC26" s="34"/>
      <c r="ED26" s="34"/>
      <c r="EE26" s="34"/>
      <c r="EF26" s="34"/>
      <c r="EG26" s="34"/>
      <c r="EH26" s="34"/>
      <c r="EI26" s="34"/>
      <c r="EJ26" s="34"/>
      <c r="EK26" s="34"/>
      <c r="EL26" s="34"/>
      <c r="EM26" s="34"/>
      <c r="EN26" s="34"/>
      <c r="EO26" s="34"/>
      <c r="EP26" s="34"/>
      <c r="EQ26" s="34"/>
      <c r="ER26" s="34"/>
      <c r="ES26" s="34"/>
      <c r="ET26" s="34"/>
      <c r="EU26" s="34"/>
      <c r="EV26" s="34"/>
      <c r="EW26" s="34"/>
      <c r="EX26" s="34"/>
      <c r="EY26" s="34"/>
      <c r="EZ26" s="34"/>
      <c r="FA26" s="34"/>
      <c r="FB26" s="34"/>
      <c r="FC26" s="34"/>
      <c r="FD26" s="34"/>
      <c r="FE26" s="34"/>
      <c r="FF26" s="34"/>
      <c r="FG26" s="34"/>
      <c r="FH26" s="34"/>
      <c r="FI26" s="34"/>
      <c r="FJ26" s="34"/>
      <c r="FK26" s="34"/>
      <c r="FL26" s="34"/>
      <c r="FM26" s="34"/>
      <c r="FN26" s="34"/>
      <c r="FO26" s="34"/>
      <c r="FP26" s="34"/>
      <c r="FQ26" s="34"/>
      <c r="FR26" s="34"/>
      <c r="FS26" s="34"/>
      <c r="FT26" s="34"/>
      <c r="FU26" s="34"/>
      <c r="FV26" s="34"/>
      <c r="FW26" s="34"/>
      <c r="FX26" s="34"/>
      <c r="FY26" s="34"/>
      <c r="FZ26" s="34"/>
      <c r="GA26" s="34"/>
      <c r="GB26" s="34"/>
      <c r="GC26" s="34"/>
      <c r="GD26" s="34"/>
      <c r="GE26" s="34"/>
      <c r="GF26" s="34"/>
      <c r="GG26" s="34"/>
      <c r="GH26" s="34"/>
      <c r="GI26" s="34"/>
      <c r="GJ26" s="34"/>
      <c r="GK26" s="34"/>
      <c r="GL26" s="34"/>
      <c r="GM26" s="34"/>
      <c r="GN26" s="34"/>
      <c r="GO26" s="34"/>
      <c r="GP26" s="34"/>
      <c r="GQ26" s="34"/>
      <c r="GR26" s="34"/>
      <c r="GS26" s="34"/>
      <c r="GT26" s="34"/>
    </row>
    <row r="27" spans="1:202" s="38" customFormat="1" ht="15" customHeight="1" x14ac:dyDescent="0.3">
      <c r="A27" s="34" t="s">
        <v>237</v>
      </c>
      <c r="B27" s="34">
        <v>90</v>
      </c>
      <c r="C27" s="34">
        <v>12</v>
      </c>
      <c r="D27" s="34">
        <v>28</v>
      </c>
      <c r="E27" s="34">
        <v>46</v>
      </c>
      <c r="F27" s="34">
        <v>28</v>
      </c>
      <c r="G27" s="34">
        <v>69</v>
      </c>
      <c r="H27" s="34">
        <v>70</v>
      </c>
      <c r="I27" s="34">
        <v>343</v>
      </c>
      <c r="J27" s="34"/>
      <c r="K27" s="34"/>
      <c r="L27" s="34"/>
      <c r="M27" s="34"/>
      <c r="N27" s="34"/>
      <c r="O27" s="34"/>
      <c r="P27" s="34"/>
      <c r="Q27" s="34"/>
      <c r="R27" s="34"/>
      <c r="S27" s="34"/>
      <c r="T27" s="34"/>
      <c r="U27" s="34"/>
      <c r="V27" s="34"/>
      <c r="W27" s="34"/>
      <c r="X27" s="58"/>
      <c r="Y27" s="58"/>
      <c r="Z27" s="58"/>
      <c r="AA27" s="58"/>
      <c r="AB27" s="58"/>
      <c r="AC27" s="58"/>
      <c r="AD27" s="58"/>
      <c r="AE27" s="58"/>
      <c r="AF27" s="58"/>
      <c r="AG27" s="58"/>
      <c r="AH27" s="58"/>
      <c r="AI27" s="58"/>
      <c r="AJ27" s="58"/>
      <c r="AK27" s="34"/>
      <c r="AL27" s="34"/>
      <c r="AM27" s="34"/>
      <c r="AN27" s="34"/>
      <c r="AO27" s="34"/>
      <c r="AP27" s="34"/>
      <c r="AQ27" s="34"/>
      <c r="AR27" s="34"/>
      <c r="AS27" s="34"/>
      <c r="AT27" s="34"/>
      <c r="AU27" s="34"/>
      <c r="AV27" s="34"/>
      <c r="AW27" s="34"/>
      <c r="AX27" s="34"/>
      <c r="AY27" s="34"/>
      <c r="AZ27" s="34"/>
      <c r="BA27" s="34"/>
      <c r="BB27" s="34"/>
      <c r="BC27" s="34"/>
      <c r="BD27" s="34"/>
      <c r="BE27" s="34"/>
      <c r="BF27" s="34"/>
      <c r="BG27" s="34"/>
      <c r="BH27" s="34"/>
      <c r="BI27" s="34"/>
      <c r="BJ27" s="34"/>
      <c r="BK27" s="34"/>
      <c r="BL27" s="34"/>
      <c r="BM27" s="34"/>
      <c r="BN27" s="34"/>
      <c r="BO27" s="34"/>
      <c r="BP27" s="34"/>
      <c r="BQ27" s="34"/>
      <c r="BR27" s="34"/>
      <c r="BS27" s="34"/>
      <c r="BT27" s="34"/>
      <c r="BU27" s="34"/>
      <c r="BV27" s="34"/>
      <c r="BW27" s="34"/>
      <c r="BX27" s="34"/>
      <c r="BY27" s="34"/>
      <c r="BZ27" s="34"/>
      <c r="CA27" s="34"/>
      <c r="CB27" s="34"/>
      <c r="CC27" s="34"/>
      <c r="CD27" s="34"/>
      <c r="CE27" s="34"/>
      <c r="CF27" s="34"/>
      <c r="CG27" s="34"/>
      <c r="CH27" s="34"/>
      <c r="CI27" s="34"/>
      <c r="CJ27" s="34"/>
      <c r="CK27" s="34"/>
      <c r="CL27" s="34"/>
      <c r="CM27" s="34"/>
      <c r="CN27" s="34"/>
      <c r="CO27" s="34"/>
      <c r="CP27" s="34"/>
      <c r="CQ27" s="34"/>
      <c r="CR27" s="34"/>
      <c r="CS27" s="34"/>
      <c r="CT27" s="34"/>
      <c r="CU27" s="34"/>
      <c r="CV27" s="34"/>
      <c r="CW27" s="34"/>
      <c r="CX27" s="34"/>
      <c r="CY27" s="34"/>
      <c r="CZ27" s="34"/>
      <c r="DA27" s="34"/>
      <c r="DB27" s="34"/>
      <c r="DC27" s="34"/>
      <c r="DD27" s="34"/>
      <c r="DE27" s="34"/>
      <c r="DF27" s="34"/>
      <c r="DG27" s="34"/>
      <c r="DH27" s="34"/>
      <c r="DI27" s="34"/>
      <c r="DJ27" s="34"/>
      <c r="DK27" s="34"/>
      <c r="DL27" s="34"/>
      <c r="DM27" s="34"/>
      <c r="DN27" s="34"/>
      <c r="DO27" s="34"/>
      <c r="DP27" s="34"/>
      <c r="DQ27" s="34"/>
      <c r="DR27" s="34"/>
      <c r="DS27" s="34"/>
      <c r="DT27" s="34"/>
      <c r="DU27" s="34"/>
      <c r="DV27" s="34"/>
      <c r="DW27" s="34"/>
      <c r="DX27" s="34"/>
      <c r="DY27" s="34"/>
      <c r="DZ27" s="34"/>
      <c r="EA27" s="34"/>
      <c r="EB27" s="34"/>
      <c r="EC27" s="34"/>
      <c r="ED27" s="34"/>
      <c r="EE27" s="34"/>
      <c r="EF27" s="34"/>
      <c r="EG27" s="34"/>
      <c r="EH27" s="34"/>
      <c r="EI27" s="34"/>
      <c r="EJ27" s="34"/>
      <c r="EK27" s="34"/>
      <c r="EL27" s="34"/>
      <c r="EM27" s="34"/>
      <c r="EN27" s="34"/>
      <c r="EO27" s="34"/>
      <c r="EP27" s="34"/>
      <c r="EQ27" s="34"/>
      <c r="ER27" s="34"/>
      <c r="ES27" s="34"/>
      <c r="ET27" s="34"/>
      <c r="EU27" s="34"/>
      <c r="EV27" s="34"/>
      <c r="EW27" s="34"/>
      <c r="EX27" s="34"/>
      <c r="EY27" s="34"/>
      <c r="EZ27" s="34"/>
      <c r="FA27" s="34"/>
      <c r="FB27" s="34"/>
      <c r="FC27" s="34"/>
      <c r="FD27" s="34"/>
      <c r="FE27" s="34"/>
      <c r="FF27" s="34"/>
      <c r="FG27" s="34"/>
      <c r="FH27" s="34"/>
      <c r="FI27" s="34"/>
      <c r="FJ27" s="34"/>
      <c r="FK27" s="34"/>
      <c r="FL27" s="34"/>
      <c r="FM27" s="34"/>
      <c r="FN27" s="34"/>
      <c r="FO27" s="34"/>
      <c r="FP27" s="34"/>
      <c r="FQ27" s="34"/>
      <c r="FR27" s="34"/>
      <c r="FS27" s="34"/>
      <c r="FT27" s="34"/>
      <c r="FU27" s="34"/>
      <c r="FV27" s="34"/>
      <c r="FW27" s="34"/>
      <c r="FX27" s="34"/>
      <c r="FY27" s="34"/>
      <c r="FZ27" s="34"/>
      <c r="GA27" s="34"/>
      <c r="GB27" s="34"/>
      <c r="GC27" s="34"/>
      <c r="GD27" s="34"/>
      <c r="GE27" s="34"/>
      <c r="GF27" s="34"/>
      <c r="GG27" s="34"/>
      <c r="GH27" s="34"/>
      <c r="GI27" s="34"/>
      <c r="GJ27" s="34"/>
      <c r="GK27" s="34"/>
      <c r="GL27" s="34"/>
      <c r="GM27" s="34"/>
      <c r="GN27" s="34"/>
      <c r="GO27" s="34"/>
      <c r="GP27" s="34"/>
      <c r="GQ27" s="34"/>
      <c r="GR27" s="34"/>
      <c r="GS27" s="34"/>
      <c r="GT27" s="34"/>
    </row>
    <row r="28" spans="1:202" s="38" customFormat="1" ht="15" customHeight="1" x14ac:dyDescent="0.3">
      <c r="A28" s="34" t="s">
        <v>247</v>
      </c>
      <c r="B28" s="34">
        <v>94</v>
      </c>
      <c r="C28" s="34">
        <v>13</v>
      </c>
      <c r="D28" s="34">
        <v>43</v>
      </c>
      <c r="E28" s="34">
        <v>76</v>
      </c>
      <c r="F28" s="34">
        <v>32</v>
      </c>
      <c r="G28" s="34">
        <v>93</v>
      </c>
      <c r="H28" s="34">
        <v>95</v>
      </c>
      <c r="I28" s="34">
        <v>446</v>
      </c>
      <c r="J28" s="34"/>
      <c r="K28" s="34"/>
      <c r="L28" s="34"/>
      <c r="M28" s="34"/>
      <c r="N28" s="34"/>
      <c r="O28" s="34"/>
      <c r="P28" s="34"/>
      <c r="Q28" s="34"/>
      <c r="R28" s="34"/>
      <c r="S28" s="34"/>
      <c r="T28" s="34"/>
      <c r="U28" s="34"/>
      <c r="V28" s="34"/>
      <c r="W28" s="34"/>
      <c r="X28" s="58"/>
      <c r="Y28" s="58"/>
      <c r="Z28" s="58"/>
      <c r="AA28" s="58"/>
      <c r="AB28" s="58"/>
      <c r="AC28" s="58"/>
      <c r="AD28" s="58"/>
      <c r="AE28" s="58"/>
      <c r="AF28" s="58"/>
      <c r="AG28" s="58"/>
      <c r="AH28" s="58"/>
      <c r="AI28" s="58"/>
      <c r="AJ28" s="58"/>
      <c r="AK28" s="34"/>
      <c r="AL28" s="34"/>
      <c r="AM28" s="34"/>
      <c r="AN28" s="34"/>
      <c r="AO28" s="34"/>
      <c r="AP28" s="34"/>
      <c r="AQ28" s="34"/>
      <c r="AR28" s="34"/>
      <c r="AS28" s="34"/>
      <c r="AT28" s="34"/>
      <c r="AU28" s="34"/>
      <c r="AV28" s="34"/>
      <c r="AW28" s="34"/>
      <c r="AX28" s="34"/>
      <c r="AY28" s="34"/>
      <c r="AZ28" s="34"/>
      <c r="BA28" s="34"/>
      <c r="BB28" s="34"/>
      <c r="BC28" s="34"/>
      <c r="BD28" s="34"/>
      <c r="BE28" s="34"/>
      <c r="BF28" s="34"/>
      <c r="BG28" s="34"/>
      <c r="BH28" s="34"/>
      <c r="BI28" s="34"/>
      <c r="BJ28" s="34"/>
      <c r="BK28" s="34"/>
      <c r="BL28" s="34"/>
      <c r="BM28" s="34"/>
      <c r="BN28" s="34"/>
      <c r="BO28" s="34"/>
      <c r="BP28" s="34"/>
      <c r="BQ28" s="34"/>
      <c r="BR28" s="34"/>
      <c r="BS28" s="34"/>
      <c r="BT28" s="34"/>
      <c r="BU28" s="34"/>
      <c r="BV28" s="34"/>
      <c r="BW28" s="34"/>
      <c r="BX28" s="34"/>
      <c r="BY28" s="34"/>
      <c r="BZ28" s="34"/>
      <c r="CA28" s="34"/>
      <c r="CB28" s="34"/>
      <c r="CC28" s="34"/>
      <c r="CD28" s="34"/>
      <c r="CE28" s="34"/>
      <c r="CF28" s="34"/>
      <c r="CG28" s="34"/>
      <c r="CH28" s="34"/>
      <c r="CI28" s="34"/>
      <c r="CJ28" s="34"/>
      <c r="CK28" s="34"/>
      <c r="CL28" s="34"/>
      <c r="CM28" s="34"/>
      <c r="CN28" s="34"/>
      <c r="CO28" s="34"/>
      <c r="CP28" s="34"/>
      <c r="CQ28" s="34"/>
      <c r="CR28" s="34"/>
      <c r="CS28" s="34"/>
      <c r="CT28" s="34"/>
      <c r="CU28" s="34"/>
      <c r="CV28" s="34"/>
      <c r="CW28" s="34"/>
      <c r="CX28" s="34"/>
      <c r="CY28" s="34"/>
      <c r="CZ28" s="34"/>
      <c r="DA28" s="34"/>
      <c r="DB28" s="34"/>
      <c r="DC28" s="34"/>
      <c r="DD28" s="34"/>
      <c r="DE28" s="34"/>
      <c r="DF28" s="34"/>
      <c r="DG28" s="34"/>
      <c r="DH28" s="34"/>
      <c r="DI28" s="34"/>
      <c r="DJ28" s="34"/>
      <c r="DK28" s="34"/>
      <c r="DL28" s="34"/>
      <c r="DM28" s="34"/>
      <c r="DN28" s="34"/>
      <c r="DO28" s="34"/>
      <c r="DP28" s="34"/>
      <c r="DQ28" s="34"/>
      <c r="DR28" s="34"/>
      <c r="DS28" s="34"/>
      <c r="DT28" s="34"/>
      <c r="DU28" s="34"/>
      <c r="DV28" s="34"/>
      <c r="DW28" s="34"/>
      <c r="DX28" s="34"/>
      <c r="DY28" s="34"/>
      <c r="DZ28" s="34"/>
      <c r="EA28" s="34"/>
      <c r="EB28" s="34"/>
      <c r="EC28" s="34"/>
      <c r="ED28" s="34"/>
      <c r="EE28" s="34"/>
      <c r="EF28" s="34"/>
      <c r="EG28" s="34"/>
      <c r="EH28" s="34"/>
      <c r="EI28" s="34"/>
      <c r="EJ28" s="34"/>
      <c r="EK28" s="34"/>
      <c r="EL28" s="34"/>
      <c r="EM28" s="34"/>
      <c r="EN28" s="34"/>
      <c r="EO28" s="34"/>
      <c r="EP28" s="34"/>
      <c r="EQ28" s="34"/>
      <c r="ER28" s="34"/>
      <c r="ES28" s="34"/>
      <c r="ET28" s="34"/>
      <c r="EU28" s="34"/>
      <c r="EV28" s="34"/>
      <c r="EW28" s="34"/>
      <c r="EX28" s="34"/>
      <c r="EY28" s="34"/>
      <c r="EZ28" s="34"/>
      <c r="FA28" s="34"/>
      <c r="FB28" s="34"/>
      <c r="FC28" s="34"/>
      <c r="FD28" s="34"/>
      <c r="FE28" s="34"/>
      <c r="FF28" s="34"/>
      <c r="FG28" s="34"/>
      <c r="FH28" s="34"/>
      <c r="FI28" s="34"/>
      <c r="FJ28" s="34"/>
      <c r="FK28" s="34"/>
      <c r="FL28" s="34"/>
      <c r="FM28" s="34"/>
      <c r="FN28" s="34"/>
      <c r="FO28" s="34"/>
      <c r="FP28" s="34"/>
      <c r="FQ28" s="34"/>
      <c r="FR28" s="34"/>
      <c r="FS28" s="34"/>
      <c r="FT28" s="34"/>
      <c r="FU28" s="34"/>
      <c r="FV28" s="34"/>
      <c r="FW28" s="34"/>
      <c r="FX28" s="34"/>
      <c r="FY28" s="34"/>
      <c r="FZ28" s="34"/>
      <c r="GA28" s="34"/>
      <c r="GB28" s="34"/>
      <c r="GC28" s="34"/>
      <c r="GD28" s="34"/>
      <c r="GE28" s="34"/>
      <c r="GF28" s="34"/>
      <c r="GG28" s="34"/>
      <c r="GH28" s="34"/>
      <c r="GI28" s="34"/>
      <c r="GJ28" s="34"/>
      <c r="GK28" s="34"/>
      <c r="GL28" s="34"/>
      <c r="GM28" s="34"/>
      <c r="GN28" s="34"/>
      <c r="GO28" s="34"/>
      <c r="GP28" s="34"/>
      <c r="GQ28" s="34"/>
      <c r="GR28" s="34"/>
      <c r="GS28" s="34"/>
      <c r="GT28" s="34"/>
    </row>
    <row r="29" spans="1:202" ht="15" customHeight="1" x14ac:dyDescent="0.3">
      <c r="A29" s="34" t="s">
        <v>3</v>
      </c>
      <c r="B29" s="34">
        <v>2652</v>
      </c>
      <c r="C29" s="34">
        <v>650</v>
      </c>
      <c r="D29" s="34">
        <v>977</v>
      </c>
      <c r="E29" s="34">
        <v>1707</v>
      </c>
      <c r="F29" s="34">
        <v>839</v>
      </c>
      <c r="G29" s="34">
        <v>2517</v>
      </c>
      <c r="H29" s="34">
        <v>2302</v>
      </c>
      <c r="I29" s="34">
        <v>11644</v>
      </c>
      <c r="X29" s="58"/>
      <c r="Y29" s="58"/>
      <c r="Z29" s="58"/>
      <c r="AA29" s="58"/>
      <c r="AB29" s="58"/>
      <c r="AC29" s="58"/>
      <c r="AD29" s="58"/>
      <c r="AE29" s="58"/>
      <c r="AF29" s="58"/>
      <c r="AG29" s="58"/>
      <c r="AH29" s="58"/>
      <c r="AI29" s="58"/>
      <c r="AJ29" s="58"/>
    </row>
    <row r="30" spans="1:202" ht="15" customHeight="1" x14ac:dyDescent="0.3">
      <c r="X30" s="58"/>
      <c r="Y30" s="58"/>
      <c r="Z30" s="58"/>
      <c r="AA30" s="58"/>
      <c r="AB30" s="58"/>
      <c r="AC30" s="58"/>
      <c r="AD30" s="58"/>
      <c r="AE30" s="58"/>
      <c r="AF30" s="58"/>
      <c r="AG30" s="58"/>
      <c r="AH30" s="58"/>
      <c r="AI30" s="58"/>
    </row>
    <row r="31" spans="1:202" ht="15" customHeight="1" x14ac:dyDescent="0.3">
      <c r="X31" s="58"/>
      <c r="Y31" s="58"/>
      <c r="Z31" s="58"/>
      <c r="AA31" s="58"/>
      <c r="AB31" s="58"/>
      <c r="AC31" s="58"/>
      <c r="AD31" s="58"/>
      <c r="AE31" s="58"/>
      <c r="AF31" s="58"/>
      <c r="AG31" s="58"/>
      <c r="AH31" s="58"/>
      <c r="AI31" s="58"/>
      <c r="AJ31" s="58"/>
    </row>
    <row r="32" spans="1:202" ht="15" customHeight="1" x14ac:dyDescent="0.3">
      <c r="X32" s="58"/>
      <c r="Y32" s="58"/>
      <c r="Z32" s="58"/>
      <c r="AA32" s="58"/>
      <c r="AB32" s="58"/>
      <c r="AC32" s="58"/>
      <c r="AD32" s="58"/>
      <c r="AE32" s="58"/>
      <c r="AF32" s="58"/>
      <c r="AG32" s="58"/>
      <c r="AH32" s="58"/>
      <c r="AI32" s="58"/>
      <c r="AJ32" s="58"/>
    </row>
    <row r="33" spans="24:38" ht="15" customHeight="1" x14ac:dyDescent="0.3">
      <c r="X33" s="58"/>
      <c r="Y33" s="58"/>
      <c r="Z33" s="58"/>
      <c r="AA33" s="58"/>
      <c r="AB33" s="58"/>
      <c r="AC33" s="58"/>
      <c r="AD33" s="58"/>
      <c r="AE33" s="58"/>
      <c r="AF33" s="58"/>
      <c r="AG33" s="58"/>
      <c r="AH33" s="58"/>
      <c r="AI33" s="58"/>
      <c r="AJ33" s="58"/>
    </row>
    <row r="34" spans="24:38" ht="15" customHeight="1" x14ac:dyDescent="0.3">
      <c r="X34" s="58"/>
      <c r="Y34" s="58"/>
      <c r="Z34" s="58"/>
      <c r="AA34" s="58"/>
      <c r="AB34" s="58"/>
      <c r="AC34" s="58"/>
      <c r="AD34" s="58"/>
      <c r="AE34" s="58"/>
      <c r="AF34" s="58"/>
      <c r="AG34" s="58"/>
      <c r="AH34" s="58"/>
      <c r="AI34" s="58"/>
      <c r="AJ34" s="58"/>
    </row>
    <row r="35" spans="24:38" ht="15" customHeight="1" x14ac:dyDescent="0.3">
      <c r="X35" s="58"/>
      <c r="Y35" s="58"/>
      <c r="Z35" s="58"/>
      <c r="AA35" s="58"/>
      <c r="AB35" s="58"/>
      <c r="AC35" s="58"/>
      <c r="AD35" s="58"/>
      <c r="AE35" s="58"/>
      <c r="AF35" s="58"/>
      <c r="AG35" s="58"/>
      <c r="AH35" s="58"/>
      <c r="AI35" s="58"/>
      <c r="AJ35" s="58"/>
    </row>
    <row r="36" spans="24:38" ht="15" customHeight="1" x14ac:dyDescent="0.3">
      <c r="X36" s="58"/>
      <c r="Y36" s="58"/>
      <c r="Z36" s="58"/>
      <c r="AA36" s="58"/>
      <c r="AB36" s="58"/>
      <c r="AC36" s="58"/>
      <c r="AD36" s="58"/>
      <c r="AE36" s="58"/>
      <c r="AF36" s="58"/>
      <c r="AG36" s="58"/>
      <c r="AH36" s="58"/>
      <c r="AI36" s="58"/>
      <c r="AJ36" s="58"/>
    </row>
    <row r="37" spans="24:38" ht="15" customHeight="1" x14ac:dyDescent="0.3">
      <c r="X37" s="58"/>
      <c r="Y37" s="58"/>
      <c r="Z37" s="58"/>
      <c r="AA37" s="58"/>
      <c r="AB37" s="58"/>
      <c r="AC37" s="58"/>
      <c r="AD37" s="58"/>
      <c r="AE37" s="58"/>
      <c r="AF37" s="58"/>
      <c r="AG37" s="58"/>
      <c r="AH37" s="58"/>
      <c r="AI37" s="58"/>
      <c r="AJ37" s="58"/>
    </row>
    <row r="38" spans="24:38" ht="15" customHeight="1" x14ac:dyDescent="0.3">
      <c r="X38" s="58"/>
      <c r="Y38" s="58"/>
      <c r="Z38" s="58"/>
      <c r="AA38" s="58"/>
      <c r="AB38" s="58"/>
      <c r="AC38" s="58"/>
      <c r="AD38" s="58"/>
      <c r="AE38" s="58"/>
      <c r="AF38" s="58"/>
      <c r="AG38" s="58"/>
      <c r="AH38" s="58"/>
      <c r="AI38" s="58"/>
      <c r="AJ38" s="58"/>
      <c r="AL38" s="39"/>
    </row>
    <row r="39" spans="24:38" ht="15" customHeight="1" x14ac:dyDescent="0.3">
      <c r="X39" s="58"/>
      <c r="Y39" s="58"/>
      <c r="Z39" s="58"/>
      <c r="AA39" s="58"/>
      <c r="AB39" s="58"/>
      <c r="AC39" s="58"/>
      <c r="AD39" s="58"/>
      <c r="AE39" s="58"/>
      <c r="AF39" s="58"/>
      <c r="AG39" s="58"/>
      <c r="AH39" s="58"/>
      <c r="AI39" s="58"/>
      <c r="AJ39" s="58"/>
    </row>
  </sheetData>
  <phoneticPr fontId="13" type="noConversion"/>
  <printOptions horizontalCentered="1" verticalCentered="1"/>
  <pageMargins left="0" right="0" top="0" bottom="0" header="0" footer="0"/>
  <pageSetup paperSize="9" scale="75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BCF79C-B502-4CCA-A3C6-2FDF782CD21F}">
  <sheetPr>
    <tabColor theme="5" tint="0.59999389629810485"/>
    <pageSetUpPr fitToPage="1"/>
  </sheetPr>
  <dimension ref="A1:K49"/>
  <sheetViews>
    <sheetView zoomScale="40" zoomScaleNormal="40" zoomScaleSheetLayoutView="75" workbookViewId="0">
      <selection activeCell="A2" sqref="A2:F47"/>
    </sheetView>
  </sheetViews>
  <sheetFormatPr defaultColWidth="9" defaultRowHeight="16.5" x14ac:dyDescent="0.3"/>
  <cols>
    <col min="1" max="1" width="24.75" style="34" customWidth="1"/>
    <col min="2" max="2" width="7.625" style="38" customWidth="1"/>
    <col min="3" max="3" width="30.625" style="34" customWidth="1"/>
    <col min="4" max="4" width="9.875" style="2" customWidth="1"/>
    <col min="5" max="5" width="11.375" style="34" customWidth="1"/>
    <col min="6" max="6" width="11.125" style="2" customWidth="1"/>
    <col min="7" max="7" width="8.375" style="34" customWidth="1"/>
    <col min="8" max="8" width="9" style="34" customWidth="1"/>
    <col min="9" max="13" width="9" style="34"/>
    <col min="14" max="14" width="10.625" style="34" customWidth="1"/>
    <col min="15" max="17" width="9" style="34"/>
    <col min="18" max="18" width="36.5" style="34" bestFit="1" customWidth="1"/>
    <col min="19" max="16384" width="9" style="34"/>
  </cols>
  <sheetData>
    <row r="1" spans="1:11" ht="25.9" customHeight="1" thickBot="1" x14ac:dyDescent="0.35">
      <c r="A1" s="270"/>
      <c r="B1" s="270"/>
      <c r="C1" s="270"/>
      <c r="D1" s="270"/>
      <c r="E1" s="270"/>
      <c r="F1" s="270"/>
    </row>
    <row r="2" spans="1:11" ht="25.9" customHeight="1" x14ac:dyDescent="0.3">
      <c r="A2" s="215">
        <f ca="1">TODAY()</f>
        <v>46314</v>
      </c>
      <c r="B2" s="287" t="s">
        <v>263</v>
      </c>
      <c r="C2" s="287"/>
      <c r="D2" s="287"/>
      <c r="E2" s="287"/>
      <c r="F2" s="288"/>
      <c r="G2" s="67"/>
      <c r="H2" s="67"/>
    </row>
    <row r="3" spans="1:11" ht="40.5" customHeight="1" x14ac:dyDescent="0.3">
      <c r="A3" s="222" t="s">
        <v>67</v>
      </c>
      <c r="B3" s="223" t="s">
        <v>13</v>
      </c>
      <c r="C3" s="229" t="s">
        <v>357</v>
      </c>
      <c r="D3" s="230" t="s">
        <v>2</v>
      </c>
      <c r="E3" s="229" t="s">
        <v>23</v>
      </c>
      <c r="F3" s="231" t="s">
        <v>14</v>
      </c>
      <c r="G3" s="67"/>
      <c r="H3" s="67"/>
    </row>
    <row r="4" spans="1:11" ht="25.35" customHeight="1" x14ac:dyDescent="0.3">
      <c r="A4" s="220" t="s">
        <v>260</v>
      </c>
      <c r="B4" s="224">
        <v>45</v>
      </c>
      <c r="C4" s="227">
        <f>IFERROR(VLOOKUP(A4,'참조은 피벗'!A:SF,2,FALSE),0)</f>
        <v>28</v>
      </c>
      <c r="D4" s="227">
        <f t="shared" ref="D4:D18" si="0">IFERROR(ROUNDDOWN(C4/B4,0),"")</f>
        <v>0</v>
      </c>
      <c r="E4" s="51" t="s">
        <v>109</v>
      </c>
      <c r="F4" s="228">
        <f t="shared" ref="F4:F18" si="1">IFERROR(C4-(D4*B4),"")</f>
        <v>28</v>
      </c>
      <c r="G4" s="67"/>
      <c r="H4" s="67"/>
      <c r="J4" s="73"/>
      <c r="K4" s="73"/>
    </row>
    <row r="5" spans="1:11" ht="25.35" customHeight="1" x14ac:dyDescent="0.3">
      <c r="A5" s="221" t="s">
        <v>255</v>
      </c>
      <c r="B5" s="224">
        <f t="shared" ref="B5:B18" si="2">$B$4</f>
        <v>45</v>
      </c>
      <c r="C5" s="227">
        <f>IFERROR(VLOOKUP(A5,'참조은 피벗'!A:SF,2,FALSE),0)</f>
        <v>223</v>
      </c>
      <c r="D5" s="227">
        <f t="shared" si="0"/>
        <v>4</v>
      </c>
      <c r="E5" s="51" t="s">
        <v>335</v>
      </c>
      <c r="F5" s="228">
        <f t="shared" si="1"/>
        <v>43</v>
      </c>
      <c r="G5" s="67"/>
      <c r="H5" s="67"/>
      <c r="J5" s="73"/>
      <c r="K5" s="73"/>
    </row>
    <row r="6" spans="1:11" ht="25.35" customHeight="1" x14ac:dyDescent="0.3">
      <c r="A6" s="221" t="s">
        <v>249</v>
      </c>
      <c r="B6" s="224">
        <f t="shared" si="2"/>
        <v>45</v>
      </c>
      <c r="C6" s="227">
        <f>IFERROR(VLOOKUP(A6,'참조은 피벗'!A:SF,2,FALSE),0)</f>
        <v>144</v>
      </c>
      <c r="D6" s="227">
        <f>IFERROR(ROUNDDOWN(C6/B6,0),"")</f>
        <v>3</v>
      </c>
      <c r="E6" s="51" t="s">
        <v>272</v>
      </c>
      <c r="F6" s="228">
        <f>IFERROR(C6-(D6*B6),"")</f>
        <v>9</v>
      </c>
      <c r="G6" s="67"/>
      <c r="H6" s="67"/>
      <c r="J6" s="73"/>
      <c r="K6" s="73"/>
    </row>
    <row r="7" spans="1:11" ht="25.35" customHeight="1" x14ac:dyDescent="0.3">
      <c r="A7" s="221" t="s">
        <v>250</v>
      </c>
      <c r="B7" s="224">
        <f t="shared" si="2"/>
        <v>45</v>
      </c>
      <c r="C7" s="227">
        <f>IFERROR(VLOOKUP(A7,'참조은 피벗'!A:SF,2,FALSE),0)</f>
        <v>152</v>
      </c>
      <c r="D7" s="227">
        <f>IFERROR(ROUNDDOWN(C7/B7,0),"")</f>
        <v>3</v>
      </c>
      <c r="E7" s="51" t="s">
        <v>273</v>
      </c>
      <c r="F7" s="228">
        <f>IFERROR(C7-(D7*B7),"")</f>
        <v>17</v>
      </c>
      <c r="G7" s="67"/>
      <c r="H7" s="67"/>
      <c r="J7" s="73"/>
      <c r="K7" s="73"/>
    </row>
    <row r="8" spans="1:11" ht="25.35" customHeight="1" x14ac:dyDescent="0.3">
      <c r="A8" s="221" t="s">
        <v>248</v>
      </c>
      <c r="B8" s="224">
        <f t="shared" si="2"/>
        <v>45</v>
      </c>
      <c r="C8" s="227">
        <f>IFERROR(VLOOKUP(A8,'참조은 피벗'!A:SF,2,FALSE),0)</f>
        <v>95</v>
      </c>
      <c r="D8" s="227">
        <f>IFERROR(ROUNDDOWN(C8/B8,0),"")</f>
        <v>2</v>
      </c>
      <c r="E8" s="51" t="s">
        <v>271</v>
      </c>
      <c r="F8" s="228">
        <f>IFERROR(C8-(D8*B8),"")</f>
        <v>5</v>
      </c>
      <c r="G8" s="67"/>
      <c r="H8" s="67"/>
      <c r="J8" s="73"/>
      <c r="K8" s="73"/>
    </row>
    <row r="9" spans="1:11" ht="25.35" customHeight="1" x14ac:dyDescent="0.3">
      <c r="A9" s="221" t="s">
        <v>246</v>
      </c>
      <c r="B9" s="224">
        <f t="shared" si="2"/>
        <v>45</v>
      </c>
      <c r="C9" s="227">
        <f>IFERROR(VLOOKUP(A9,'참조은 피벗'!A:SF,2,FALSE),0)</f>
        <v>90</v>
      </c>
      <c r="D9" s="227">
        <f t="shared" si="0"/>
        <v>2</v>
      </c>
      <c r="E9" s="51" t="s">
        <v>270</v>
      </c>
      <c r="F9" s="228">
        <f t="shared" si="1"/>
        <v>0</v>
      </c>
      <c r="G9" s="67"/>
      <c r="H9" s="67"/>
      <c r="J9" s="73"/>
      <c r="K9" s="73"/>
    </row>
    <row r="10" spans="1:11" ht="25.35" customHeight="1" x14ac:dyDescent="0.3">
      <c r="A10" s="221" t="s">
        <v>256</v>
      </c>
      <c r="B10" s="224">
        <f t="shared" si="2"/>
        <v>45</v>
      </c>
      <c r="C10" s="227">
        <f>IFERROR(VLOOKUP(A10,'참조은 피벗'!A:SF,2,FALSE),0)</f>
        <v>79</v>
      </c>
      <c r="D10" s="227">
        <f>IFERROR(ROUNDDOWN(C10/B10,0),"")</f>
        <v>1</v>
      </c>
      <c r="E10" s="51" t="s">
        <v>278</v>
      </c>
      <c r="F10" s="228">
        <f>IFERROR(C10-(D10*B10),"")</f>
        <v>34</v>
      </c>
      <c r="G10" s="67"/>
      <c r="H10" s="67"/>
      <c r="J10" s="73"/>
      <c r="K10" s="73"/>
    </row>
    <row r="11" spans="1:11" ht="25.35" customHeight="1" x14ac:dyDescent="0.3">
      <c r="A11" s="221" t="s">
        <v>247</v>
      </c>
      <c r="B11" s="224">
        <f t="shared" si="2"/>
        <v>45</v>
      </c>
      <c r="C11" s="227">
        <f>IFERROR(VLOOKUP(A11,'참조은 피벗'!A:SF,2,FALSE),0)</f>
        <v>94</v>
      </c>
      <c r="D11" s="227">
        <f t="shared" si="0"/>
        <v>2</v>
      </c>
      <c r="E11" s="51" t="s">
        <v>334</v>
      </c>
      <c r="F11" s="228">
        <f t="shared" si="1"/>
        <v>4</v>
      </c>
      <c r="G11" s="67"/>
      <c r="H11" s="67"/>
      <c r="J11" s="73"/>
      <c r="K11" s="73"/>
    </row>
    <row r="12" spans="1:11" ht="25.35" customHeight="1" x14ac:dyDescent="0.3">
      <c r="A12" s="221" t="s">
        <v>251</v>
      </c>
      <c r="B12" s="224">
        <f t="shared" si="2"/>
        <v>45</v>
      </c>
      <c r="C12" s="227">
        <f>IFERROR(VLOOKUP(A12,'참조은 피벗'!A:SF,2,FALSE),0)</f>
        <v>126</v>
      </c>
      <c r="D12" s="227">
        <f t="shared" si="0"/>
        <v>2</v>
      </c>
      <c r="E12" s="51" t="s">
        <v>274</v>
      </c>
      <c r="F12" s="228">
        <f t="shared" si="1"/>
        <v>36</v>
      </c>
      <c r="G12" s="67"/>
      <c r="H12" s="67"/>
      <c r="J12" s="73"/>
      <c r="K12" s="73"/>
    </row>
    <row r="13" spans="1:11" ht="25.35" customHeight="1" x14ac:dyDescent="0.3">
      <c r="A13" s="220" t="s">
        <v>252</v>
      </c>
      <c r="B13" s="224">
        <f t="shared" si="2"/>
        <v>45</v>
      </c>
      <c r="C13" s="227">
        <f>IFERROR(VLOOKUP(A13,'참조은 피벗'!A:SF,2,FALSE),0)</f>
        <v>128</v>
      </c>
      <c r="D13" s="227">
        <f t="shared" si="0"/>
        <v>2</v>
      </c>
      <c r="E13" s="51" t="s">
        <v>275</v>
      </c>
      <c r="F13" s="228">
        <f t="shared" si="1"/>
        <v>38</v>
      </c>
      <c r="G13" s="67"/>
      <c r="H13" s="67"/>
      <c r="J13" s="73"/>
      <c r="K13" s="73"/>
    </row>
    <row r="14" spans="1:11" ht="25.35" customHeight="1" x14ac:dyDescent="0.3">
      <c r="A14" s="221" t="s">
        <v>253</v>
      </c>
      <c r="B14" s="224">
        <f t="shared" si="2"/>
        <v>45</v>
      </c>
      <c r="C14" s="227">
        <f>IFERROR(VLOOKUP(A14,'참조은 피벗'!A:SF,2,FALSE),0)</f>
        <v>175</v>
      </c>
      <c r="D14" s="227">
        <f t="shared" si="0"/>
        <v>3</v>
      </c>
      <c r="E14" s="51" t="s">
        <v>276</v>
      </c>
      <c r="F14" s="228">
        <f t="shared" si="1"/>
        <v>40</v>
      </c>
      <c r="G14" s="67"/>
      <c r="H14" s="67"/>
      <c r="J14" s="73"/>
      <c r="K14" s="73"/>
    </row>
    <row r="15" spans="1:11" ht="25.35" customHeight="1" x14ac:dyDescent="0.3">
      <c r="A15" s="221" t="s">
        <v>254</v>
      </c>
      <c r="B15" s="224">
        <f t="shared" si="2"/>
        <v>45</v>
      </c>
      <c r="C15" s="227">
        <f>IFERROR(VLOOKUP(A15,'참조은 피벗'!A:SF,2,FALSE),0)</f>
        <v>206</v>
      </c>
      <c r="D15" s="227">
        <f t="shared" si="0"/>
        <v>4</v>
      </c>
      <c r="E15" s="51" t="s">
        <v>277</v>
      </c>
      <c r="F15" s="228">
        <f t="shared" si="1"/>
        <v>26</v>
      </c>
      <c r="G15" s="67"/>
      <c r="H15" s="67"/>
      <c r="J15" s="73"/>
      <c r="K15" s="73"/>
    </row>
    <row r="16" spans="1:11" ht="25.35" customHeight="1" x14ac:dyDescent="0.3">
      <c r="A16" s="221" t="s">
        <v>257</v>
      </c>
      <c r="B16" s="224">
        <f t="shared" si="2"/>
        <v>45</v>
      </c>
      <c r="C16" s="227">
        <f>IFERROR(VLOOKUP(A16,'참조은 피벗'!A:SF,2,FALSE),0)</f>
        <v>56</v>
      </c>
      <c r="D16" s="227">
        <f t="shared" si="0"/>
        <v>1</v>
      </c>
      <c r="E16" s="51" t="s">
        <v>279</v>
      </c>
      <c r="F16" s="228">
        <f t="shared" si="1"/>
        <v>11</v>
      </c>
      <c r="G16" s="67"/>
      <c r="H16" s="67"/>
      <c r="J16" s="73"/>
      <c r="K16" s="73"/>
    </row>
    <row r="17" spans="1:11" ht="25.35" customHeight="1" x14ac:dyDescent="0.3">
      <c r="A17" s="221" t="s">
        <v>258</v>
      </c>
      <c r="B17" s="224">
        <f t="shared" si="2"/>
        <v>45</v>
      </c>
      <c r="C17" s="227">
        <f>IFERROR(VLOOKUP(A17,'참조은 피벗'!A:SF,2,FALSE),0)</f>
        <v>62</v>
      </c>
      <c r="D17" s="227">
        <f t="shared" si="0"/>
        <v>1</v>
      </c>
      <c r="E17" s="51" t="s">
        <v>280</v>
      </c>
      <c r="F17" s="228">
        <f t="shared" si="1"/>
        <v>17</v>
      </c>
      <c r="G17" s="67"/>
      <c r="H17" s="67"/>
      <c r="J17" s="73"/>
      <c r="K17" s="73"/>
    </row>
    <row r="18" spans="1:11" ht="25.35" customHeight="1" x14ac:dyDescent="0.3">
      <c r="A18" s="221" t="s">
        <v>259</v>
      </c>
      <c r="B18" s="224">
        <f t="shared" si="2"/>
        <v>45</v>
      </c>
      <c r="C18" s="227">
        <f>IFERROR(VLOOKUP(A18,'참조은 피벗'!A:SF,2,FALSE),0)</f>
        <v>54</v>
      </c>
      <c r="D18" s="227">
        <f t="shared" si="0"/>
        <v>1</v>
      </c>
      <c r="E18" s="51" t="s">
        <v>336</v>
      </c>
      <c r="F18" s="228">
        <f t="shared" si="1"/>
        <v>9</v>
      </c>
      <c r="G18" s="67"/>
      <c r="H18" s="67"/>
      <c r="J18" s="73"/>
      <c r="K18" s="73"/>
    </row>
    <row r="19" spans="1:11" ht="4.5" customHeight="1" x14ac:dyDescent="0.3">
      <c r="A19" s="284"/>
      <c r="B19" s="285"/>
      <c r="C19" s="285"/>
      <c r="D19" s="285"/>
      <c r="E19" s="285"/>
      <c r="F19" s="286"/>
      <c r="J19" s="73"/>
      <c r="K19" s="73"/>
    </row>
    <row r="20" spans="1:11" ht="32.450000000000003" customHeight="1" x14ac:dyDescent="0.3">
      <c r="A20" s="211" t="s">
        <v>122</v>
      </c>
      <c r="B20" s="225">
        <f>$B$4</f>
        <v>45</v>
      </c>
      <c r="C20" s="212">
        <f>SUM(C4:C18)</f>
        <v>1712</v>
      </c>
      <c r="D20" s="55">
        <f>IFERROR(ROUNDDOWN(C20/B20,0),"")</f>
        <v>38</v>
      </c>
      <c r="E20" s="213"/>
      <c r="F20" s="214">
        <f>IFERROR(C20-(D20*B20),"")</f>
        <v>2</v>
      </c>
      <c r="J20" s="73"/>
      <c r="K20" s="73"/>
    </row>
    <row r="21" spans="1:11" ht="4.5" customHeight="1" x14ac:dyDescent="0.3">
      <c r="A21" s="183"/>
      <c r="B21" s="224"/>
      <c r="C21" s="50"/>
      <c r="D21" s="50"/>
      <c r="E21" s="50"/>
      <c r="F21" s="184"/>
      <c r="J21" s="73"/>
      <c r="K21" s="73"/>
    </row>
    <row r="22" spans="1:11" ht="25.35" customHeight="1" x14ac:dyDescent="0.3">
      <c r="A22" s="221" t="s">
        <v>241</v>
      </c>
      <c r="B22" s="224">
        <f t="shared" ref="B22:B26" si="3">$B$4</f>
        <v>45</v>
      </c>
      <c r="C22" s="227">
        <f>IFERROR(VLOOKUP(A22,'참조은 피벗'!A:SF,2,FALSE),0)</f>
        <v>149</v>
      </c>
      <c r="D22" s="227">
        <f>IFERROR(ROUNDDOWN(C22/B22,0),"")</f>
        <v>3</v>
      </c>
      <c r="E22" s="51" t="s">
        <v>268</v>
      </c>
      <c r="F22" s="228">
        <f>IFERROR(C22-(D22*B22),"")</f>
        <v>14</v>
      </c>
      <c r="G22" s="67"/>
      <c r="H22" s="67"/>
      <c r="J22" s="73"/>
      <c r="K22" s="73"/>
    </row>
    <row r="23" spans="1:11" ht="25.35" customHeight="1" x14ac:dyDescent="0.3">
      <c r="A23" s="221" t="s">
        <v>242</v>
      </c>
      <c r="B23" s="224">
        <f t="shared" si="3"/>
        <v>45</v>
      </c>
      <c r="C23" s="227">
        <f>IFERROR(VLOOKUP(A23,'참조은 피벗'!A:SF,2,FALSE),0)</f>
        <v>87</v>
      </c>
      <c r="D23" s="227">
        <f>IFERROR(ROUNDDOWN(C23/B23,0),"")</f>
        <v>1</v>
      </c>
      <c r="E23" s="51" t="s">
        <v>337</v>
      </c>
      <c r="F23" s="228">
        <f>IFERROR(C23-(D23*B23),"")</f>
        <v>42</v>
      </c>
      <c r="G23" s="67"/>
      <c r="H23" s="67"/>
      <c r="J23" s="73"/>
      <c r="K23" s="73"/>
    </row>
    <row r="24" spans="1:11" ht="25.35" customHeight="1" x14ac:dyDescent="0.3">
      <c r="A24" s="221" t="s">
        <v>243</v>
      </c>
      <c r="B24" s="224">
        <f t="shared" si="3"/>
        <v>45</v>
      </c>
      <c r="C24" s="227">
        <f>IFERROR(VLOOKUP(A24,'참조은 피벗'!A:SF,2,FALSE),0)</f>
        <v>0</v>
      </c>
      <c r="D24" s="227">
        <f>IFERROR(ROUNDDOWN(C24/B24,0),"")</f>
        <v>0</v>
      </c>
      <c r="E24" s="51" t="s">
        <v>106</v>
      </c>
      <c r="F24" s="228">
        <f>IFERROR(C24-(D24*B24),"")</f>
        <v>0</v>
      </c>
      <c r="G24" s="67"/>
      <c r="H24" s="67"/>
      <c r="J24" s="73"/>
      <c r="K24" s="73"/>
    </row>
    <row r="25" spans="1:11" ht="25.35" customHeight="1" x14ac:dyDescent="0.3">
      <c r="A25" s="221" t="s">
        <v>244</v>
      </c>
      <c r="B25" s="224">
        <f t="shared" si="3"/>
        <v>45</v>
      </c>
      <c r="C25" s="227">
        <f>IFERROR(VLOOKUP(A25,'참조은 피벗'!A:SF,2,FALSE),0)</f>
        <v>112</v>
      </c>
      <c r="D25" s="227">
        <f>IFERROR(ROUNDDOWN(C25/B25,0),"")</f>
        <v>2</v>
      </c>
      <c r="E25" s="51" t="s">
        <v>269</v>
      </c>
      <c r="F25" s="228">
        <f>IFERROR(C25-(D25*B25),"")</f>
        <v>22</v>
      </c>
      <c r="G25" s="67"/>
      <c r="H25" s="67"/>
      <c r="J25" s="73"/>
      <c r="K25" s="73"/>
    </row>
    <row r="26" spans="1:11" ht="25.35" customHeight="1" x14ac:dyDescent="0.3">
      <c r="A26" s="221" t="s">
        <v>245</v>
      </c>
      <c r="B26" s="224">
        <f t="shared" si="3"/>
        <v>45</v>
      </c>
      <c r="C26" s="227">
        <f>IFERROR(VLOOKUP(A26,'참조은 피벗'!A:SF,2,FALSE),0)</f>
        <v>75</v>
      </c>
      <c r="D26" s="227">
        <f>IFERROR(ROUNDDOWN(C26/B26,0),"")</f>
        <v>1</v>
      </c>
      <c r="E26" s="51" t="s">
        <v>118</v>
      </c>
      <c r="F26" s="228">
        <f>IFERROR(C26-(D26*B26),"")</f>
        <v>30</v>
      </c>
      <c r="G26" s="67"/>
      <c r="H26" s="67"/>
      <c r="J26" s="73"/>
      <c r="K26" s="73"/>
    </row>
    <row r="27" spans="1:11" ht="4.5" customHeight="1" x14ac:dyDescent="0.3">
      <c r="A27" s="284"/>
      <c r="B27" s="285"/>
      <c r="C27" s="285"/>
      <c r="D27" s="285"/>
      <c r="E27" s="285"/>
      <c r="F27" s="286"/>
      <c r="G27" s="67"/>
      <c r="H27" s="67"/>
      <c r="J27" s="73"/>
      <c r="K27" s="73"/>
    </row>
    <row r="28" spans="1:11" ht="32.450000000000003" customHeight="1" x14ac:dyDescent="0.3">
      <c r="A28" s="211" t="s">
        <v>285</v>
      </c>
      <c r="B28" s="225">
        <f>$B$4</f>
        <v>45</v>
      </c>
      <c r="C28" s="212">
        <f>SUM(C22:C26)</f>
        <v>423</v>
      </c>
      <c r="D28" s="55">
        <f>IFERROR(ROUNDDOWN(C28/B28,0),"")</f>
        <v>9</v>
      </c>
      <c r="E28" s="213"/>
      <c r="F28" s="214">
        <f>IFERROR(C28-(D28*B28),"")</f>
        <v>18</v>
      </c>
      <c r="G28" s="67"/>
      <c r="H28" s="67"/>
      <c r="J28" s="73"/>
      <c r="K28" s="73"/>
    </row>
    <row r="29" spans="1:11" ht="4.5" customHeight="1" x14ac:dyDescent="0.3">
      <c r="A29" s="284"/>
      <c r="B29" s="285"/>
      <c r="C29" s="285"/>
      <c r="D29" s="285"/>
      <c r="E29" s="285"/>
      <c r="F29" s="286"/>
      <c r="G29" s="67"/>
      <c r="H29" s="67"/>
      <c r="J29" s="73"/>
      <c r="K29" s="73"/>
    </row>
    <row r="30" spans="1:11" ht="25.35" customHeight="1" x14ac:dyDescent="0.3">
      <c r="A30" s="221" t="s">
        <v>239</v>
      </c>
      <c r="B30" s="224">
        <f t="shared" ref="B30:B31" si="4">$B$4</f>
        <v>45</v>
      </c>
      <c r="C30" s="227">
        <f>IFERROR(VLOOKUP(A30,'참조은 피벗'!A:SF,2,FALSE),0)</f>
        <v>97</v>
      </c>
      <c r="D30" s="227">
        <f t="shared" ref="D30:D31" si="5">IFERROR(ROUNDDOWN(C30/B30,0),"")</f>
        <v>2</v>
      </c>
      <c r="E30" s="51" t="s">
        <v>266</v>
      </c>
      <c r="F30" s="228">
        <f t="shared" ref="F30:F31" si="6">IFERROR(C30-(D30*B30),"")</f>
        <v>7</v>
      </c>
      <c r="G30" s="67"/>
      <c r="H30" s="67"/>
      <c r="J30" s="73"/>
      <c r="K30" s="73"/>
    </row>
    <row r="31" spans="1:11" ht="25.35" customHeight="1" x14ac:dyDescent="0.3">
      <c r="A31" s="221" t="s">
        <v>240</v>
      </c>
      <c r="B31" s="224">
        <f t="shared" si="4"/>
        <v>45</v>
      </c>
      <c r="C31" s="227">
        <f>IFERROR(VLOOKUP(A31,'참조은 피벗'!A:SF,2,FALSE),0)</f>
        <v>91</v>
      </c>
      <c r="D31" s="227">
        <f t="shared" si="5"/>
        <v>2</v>
      </c>
      <c r="E31" s="51" t="s">
        <v>267</v>
      </c>
      <c r="F31" s="228">
        <f t="shared" si="6"/>
        <v>1</v>
      </c>
      <c r="G31" s="67"/>
      <c r="H31" s="67"/>
      <c r="J31" s="73"/>
      <c r="K31" s="73"/>
    </row>
    <row r="32" spans="1:11" ht="4.5" customHeight="1" x14ac:dyDescent="0.3">
      <c r="A32" s="284"/>
      <c r="B32" s="285"/>
      <c r="C32" s="285"/>
      <c r="D32" s="285"/>
      <c r="E32" s="285"/>
      <c r="F32" s="286"/>
      <c r="G32" s="67"/>
      <c r="H32" s="67"/>
      <c r="J32" s="73"/>
      <c r="K32" s="73"/>
    </row>
    <row r="33" spans="1:11" ht="32.450000000000003" customHeight="1" x14ac:dyDescent="0.3">
      <c r="A33" s="211" t="s">
        <v>284</v>
      </c>
      <c r="B33" s="225">
        <f>$B$4</f>
        <v>45</v>
      </c>
      <c r="C33" s="212">
        <f>SUM(C30:C31)</f>
        <v>188</v>
      </c>
      <c r="D33" s="55">
        <f>IFERROR(ROUNDDOWN(C33/B33,0),"")</f>
        <v>4</v>
      </c>
      <c r="E33" s="213"/>
      <c r="F33" s="214">
        <f>IFERROR(C33-(D33*B33),"")</f>
        <v>8</v>
      </c>
      <c r="G33" s="67"/>
      <c r="H33" s="67"/>
      <c r="J33" s="73"/>
      <c r="K33" s="73"/>
    </row>
    <row r="34" spans="1:11" ht="4.5" customHeight="1" x14ac:dyDescent="0.3">
      <c r="A34" s="183"/>
      <c r="B34" s="224"/>
      <c r="C34" s="50"/>
      <c r="D34" s="50"/>
      <c r="E34" s="50"/>
      <c r="F34" s="184"/>
      <c r="G34" s="67"/>
      <c r="H34" s="67"/>
      <c r="J34" s="73"/>
      <c r="K34" s="73"/>
    </row>
    <row r="35" spans="1:11" ht="25.35" customHeight="1" x14ac:dyDescent="0.3">
      <c r="A35" s="221" t="s">
        <v>236</v>
      </c>
      <c r="B35" s="224">
        <f t="shared" ref="B35:B37" si="7">$B$4</f>
        <v>45</v>
      </c>
      <c r="C35" s="227">
        <f>IFERROR(VLOOKUP(A35,'참조은 피벗'!A:SF,2,FALSE),0)</f>
        <v>124</v>
      </c>
      <c r="D35" s="227">
        <f>IFERROR(ROUNDDOWN(C35/B35,0),"")</f>
        <v>2</v>
      </c>
      <c r="E35" s="51" t="s">
        <v>264</v>
      </c>
      <c r="F35" s="228">
        <f>IFERROR(C35-(D35*B35),"")</f>
        <v>34</v>
      </c>
      <c r="G35" s="67"/>
      <c r="H35" s="67"/>
      <c r="J35" s="73"/>
      <c r="K35" s="73"/>
    </row>
    <row r="36" spans="1:11" ht="25.35" customHeight="1" x14ac:dyDescent="0.3">
      <c r="A36" s="221" t="s">
        <v>237</v>
      </c>
      <c r="B36" s="224">
        <f t="shared" si="7"/>
        <v>45</v>
      </c>
      <c r="C36" s="227">
        <f>IFERROR(VLOOKUP(A36,'참조은 피벗'!A:SF,2,FALSE),0)</f>
        <v>90</v>
      </c>
      <c r="D36" s="227">
        <f t="shared" ref="D36:D37" si="8">IFERROR(ROUNDDOWN(C36/B36,0),"")</f>
        <v>2</v>
      </c>
      <c r="E36" s="51" t="s">
        <v>338</v>
      </c>
      <c r="F36" s="228">
        <f t="shared" ref="F36:F37" si="9">IFERROR(C36-(D36*B36),"")</f>
        <v>0</v>
      </c>
      <c r="G36" s="67"/>
      <c r="H36" s="67"/>
      <c r="J36" s="73"/>
      <c r="K36" s="73"/>
    </row>
    <row r="37" spans="1:11" ht="25.35" customHeight="1" x14ac:dyDescent="0.3">
      <c r="A37" s="221" t="s">
        <v>238</v>
      </c>
      <c r="B37" s="224">
        <f t="shared" si="7"/>
        <v>45</v>
      </c>
      <c r="C37" s="227">
        <f>IFERROR(VLOOKUP(A37,'참조은 피벗'!A:SF,2,FALSE),0)</f>
        <v>60</v>
      </c>
      <c r="D37" s="227">
        <f t="shared" si="8"/>
        <v>1</v>
      </c>
      <c r="E37" s="51" t="s">
        <v>265</v>
      </c>
      <c r="F37" s="228">
        <f t="shared" si="9"/>
        <v>15</v>
      </c>
      <c r="G37" s="67"/>
      <c r="H37" s="67"/>
      <c r="J37" s="73"/>
      <c r="K37" s="73"/>
    </row>
    <row r="38" spans="1:11" ht="4.5" customHeight="1" x14ac:dyDescent="0.3">
      <c r="A38" s="284"/>
      <c r="B38" s="285"/>
      <c r="C38" s="285"/>
      <c r="D38" s="285"/>
      <c r="E38" s="285"/>
      <c r="F38" s="286"/>
      <c r="G38" s="67"/>
      <c r="H38" s="67"/>
      <c r="J38" s="73"/>
      <c r="K38" s="73"/>
    </row>
    <row r="39" spans="1:11" ht="32.450000000000003" customHeight="1" x14ac:dyDescent="0.3">
      <c r="A39" s="211" t="s">
        <v>283</v>
      </c>
      <c r="B39" s="225">
        <f>$B$4</f>
        <v>45</v>
      </c>
      <c r="C39" s="212">
        <f>SUM(C35:C37)</f>
        <v>274</v>
      </c>
      <c r="D39" s="55">
        <f>IFERROR(ROUNDDOWN(C39/B39,0),"")</f>
        <v>6</v>
      </c>
      <c r="E39" s="213"/>
      <c r="F39" s="214">
        <f>IFERROR(C39-(D39*B39),"")</f>
        <v>4</v>
      </c>
      <c r="G39" s="67"/>
      <c r="H39" s="67"/>
      <c r="J39" s="73"/>
      <c r="K39" s="73"/>
    </row>
    <row r="40" spans="1:11" ht="4.5" customHeight="1" x14ac:dyDescent="0.3">
      <c r="A40" s="183"/>
      <c r="B40" s="224"/>
      <c r="C40" s="50"/>
      <c r="D40" s="50"/>
      <c r="E40" s="50"/>
      <c r="F40" s="184"/>
      <c r="G40" s="67"/>
      <c r="H40" s="67"/>
      <c r="J40" s="73"/>
      <c r="K40" s="73"/>
    </row>
    <row r="41" spans="1:11" ht="25.35" customHeight="1" x14ac:dyDescent="0.3">
      <c r="A41" s="221" t="s">
        <v>261</v>
      </c>
      <c r="B41" s="224">
        <f t="shared" ref="B41:B42" si="10">$B$4</f>
        <v>45</v>
      </c>
      <c r="C41" s="227">
        <f>IFERROR(VLOOKUP(A41,'참조은 피벗'!A:SF,2,FALSE),0)</f>
        <v>23</v>
      </c>
      <c r="D41" s="227">
        <f t="shared" ref="D41:D42" si="11">IFERROR(ROUNDDOWN(C41/B41,0),"")</f>
        <v>0</v>
      </c>
      <c r="E41" s="51" t="s">
        <v>281</v>
      </c>
      <c r="F41" s="228">
        <f t="shared" ref="F41:F42" si="12">IFERROR(C41-(D41*B41),"")</f>
        <v>23</v>
      </c>
      <c r="G41" s="67"/>
      <c r="H41" s="67"/>
      <c r="J41" s="73"/>
      <c r="K41" s="73"/>
    </row>
    <row r="42" spans="1:11" ht="25.35" customHeight="1" x14ac:dyDescent="0.3">
      <c r="A42" s="221" t="s">
        <v>262</v>
      </c>
      <c r="B42" s="224">
        <f t="shared" si="10"/>
        <v>45</v>
      </c>
      <c r="C42" s="227">
        <f>IFERROR(VLOOKUP(A42,'참조은 피벗'!A:SF,2,FALSE),0)</f>
        <v>32</v>
      </c>
      <c r="D42" s="227">
        <f t="shared" si="11"/>
        <v>0</v>
      </c>
      <c r="E42" s="51" t="s">
        <v>282</v>
      </c>
      <c r="F42" s="228">
        <f t="shared" si="12"/>
        <v>32</v>
      </c>
      <c r="G42" s="67"/>
      <c r="H42" s="67"/>
      <c r="J42" s="73"/>
      <c r="K42" s="73"/>
    </row>
    <row r="43" spans="1:11" ht="4.5" customHeight="1" x14ac:dyDescent="0.3">
      <c r="A43" s="284"/>
      <c r="B43" s="285"/>
      <c r="C43" s="285"/>
      <c r="D43" s="285"/>
      <c r="E43" s="285"/>
      <c r="F43" s="286"/>
      <c r="G43" s="67"/>
      <c r="H43" s="67"/>
      <c r="J43" s="73"/>
      <c r="K43" s="73"/>
    </row>
    <row r="44" spans="1:11" ht="32.450000000000003" customHeight="1" x14ac:dyDescent="0.3">
      <c r="A44" s="211" t="s">
        <v>339</v>
      </c>
      <c r="B44" s="225">
        <f>$B$4</f>
        <v>45</v>
      </c>
      <c r="C44" s="212">
        <f>SUM(C41:C42)</f>
        <v>55</v>
      </c>
      <c r="D44" s="55">
        <f>IFERROR(ROUNDDOWN(C44/B44,0),"")</f>
        <v>1</v>
      </c>
      <c r="E44" s="213"/>
      <c r="F44" s="214">
        <f>IFERROR(C44-(D44*B44),"")</f>
        <v>10</v>
      </c>
      <c r="G44" s="67"/>
      <c r="H44" s="67"/>
      <c r="J44" s="73"/>
      <c r="K44" s="73"/>
    </row>
    <row r="45" spans="1:11" ht="4.5" customHeight="1" thickBot="1" x14ac:dyDescent="0.35">
      <c r="A45" s="183"/>
      <c r="B45" s="50"/>
      <c r="C45" s="50"/>
      <c r="D45" s="50"/>
      <c r="E45" s="50"/>
      <c r="F45" s="184"/>
      <c r="G45" s="67"/>
      <c r="H45" s="67"/>
      <c r="J45" s="73"/>
      <c r="K45" s="73"/>
    </row>
    <row r="46" spans="1:11" ht="26.25" x14ac:dyDescent="0.3">
      <c r="A46" s="87" t="s">
        <v>3</v>
      </c>
      <c r="B46" s="226">
        <f>$B$4</f>
        <v>45</v>
      </c>
      <c r="C46" s="55">
        <f>SUM(C4:C18,C35:C37,C30:C31,C22:C26,C41:C42)</f>
        <v>2652</v>
      </c>
      <c r="D46" s="54">
        <f>IFERROR(ROUNDDOWN(C46/B46,0),"")</f>
        <v>58</v>
      </c>
      <c r="E46" s="56"/>
      <c r="F46" s="121">
        <f>IFERROR(C46-(D46*B46),"")</f>
        <v>42</v>
      </c>
      <c r="G46" s="232" t="s">
        <v>110</v>
      </c>
      <c r="H46" s="233" t="s">
        <v>111</v>
      </c>
      <c r="J46" s="73"/>
      <c r="K46" s="73"/>
    </row>
    <row r="47" spans="1:11" ht="27" thickBot="1" x14ac:dyDescent="0.35">
      <c r="A47" s="42" t="s">
        <v>286</v>
      </c>
      <c r="B47" s="43" t="s">
        <v>173</v>
      </c>
      <c r="C47" s="40"/>
      <c r="D47" s="41">
        <f>SUM(D4:D18,D35:D37,D30:D31,D22:D26,D41:D42)</f>
        <v>47</v>
      </c>
      <c r="E47" s="48"/>
      <c r="F47" s="93">
        <f>SUM(F4:F18,F35:F37,F30:F31,F22:F26,F41:F42)</f>
        <v>537</v>
      </c>
      <c r="G47" s="216">
        <f>IFERROR(ROUNDDOWN(F47/B35,0),"")</f>
        <v>11</v>
      </c>
      <c r="H47" s="217">
        <f>IFERROR(F47-(G47*B35),"")</f>
        <v>42</v>
      </c>
    </row>
    <row r="48" spans="1:11" ht="22.5" customHeight="1" x14ac:dyDescent="0.3">
      <c r="C48" s="77">
        <f>C20+C28+C33+C39+C44</f>
        <v>2652</v>
      </c>
      <c r="G48" s="199"/>
      <c r="H48" s="34" t="s">
        <v>174</v>
      </c>
    </row>
    <row r="49" spans="3:3" x14ac:dyDescent="0.3">
      <c r="C49" s="34" t="b">
        <f>C48=C46</f>
        <v>1</v>
      </c>
    </row>
  </sheetData>
  <mergeCells count="8">
    <mergeCell ref="A38:F38"/>
    <mergeCell ref="A43:F43"/>
    <mergeCell ref="A1:F1"/>
    <mergeCell ref="B2:F2"/>
    <mergeCell ref="A19:F19"/>
    <mergeCell ref="A27:F27"/>
    <mergeCell ref="A29:F29"/>
    <mergeCell ref="A32:F32"/>
  </mergeCells>
  <phoneticPr fontId="13" type="noConversion"/>
  <printOptions horizontalCentered="1" verticalCentered="1"/>
  <pageMargins left="0" right="0" top="0" bottom="0" header="0" footer="0"/>
  <pageSetup paperSize="9" scale="77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285882-8822-485E-9E1A-234956980374}">
  <sheetPr>
    <tabColor theme="5" tint="0.59999389629810485"/>
    <pageSetUpPr fitToPage="1"/>
  </sheetPr>
  <dimension ref="A1:K49"/>
  <sheetViews>
    <sheetView zoomScale="40" zoomScaleNormal="40" zoomScaleSheetLayoutView="75" workbookViewId="0">
      <selection activeCell="A2" sqref="A2:F47"/>
    </sheetView>
  </sheetViews>
  <sheetFormatPr defaultColWidth="9" defaultRowHeight="16.5" x14ac:dyDescent="0.3"/>
  <cols>
    <col min="1" max="1" width="24.75" style="34" customWidth="1"/>
    <col min="2" max="2" width="7.625" style="38" customWidth="1"/>
    <col min="3" max="3" width="30.625" style="34" customWidth="1"/>
    <col min="4" max="4" width="9.875" style="2" customWidth="1"/>
    <col min="5" max="5" width="11.375" style="34" customWidth="1"/>
    <col min="6" max="6" width="11.125" style="2" customWidth="1"/>
    <col min="7" max="7" width="8.375" style="34" customWidth="1"/>
    <col min="8" max="8" width="9" style="34" customWidth="1"/>
    <col min="9" max="13" width="9" style="34"/>
    <col min="14" max="14" width="10.625" style="34" customWidth="1"/>
    <col min="15" max="17" width="9" style="34"/>
    <col min="18" max="18" width="36.5" style="34" bestFit="1" customWidth="1"/>
    <col min="19" max="16384" width="9" style="34"/>
  </cols>
  <sheetData>
    <row r="1" spans="1:11" ht="25.9" customHeight="1" thickBot="1" x14ac:dyDescent="0.35">
      <c r="A1" s="270"/>
      <c r="B1" s="270"/>
      <c r="C1" s="270"/>
      <c r="D1" s="270"/>
      <c r="E1" s="270"/>
      <c r="F1" s="270"/>
    </row>
    <row r="2" spans="1:11" ht="25.9" customHeight="1" x14ac:dyDescent="0.3">
      <c r="A2" s="215">
        <f ca="1">TODAY()</f>
        <v>46314</v>
      </c>
      <c r="B2" s="287" t="s">
        <v>263</v>
      </c>
      <c r="C2" s="287"/>
      <c r="D2" s="287"/>
      <c r="E2" s="287"/>
      <c r="F2" s="288"/>
      <c r="G2" s="67"/>
      <c r="H2" s="67"/>
    </row>
    <row r="3" spans="1:11" ht="40.5" customHeight="1" x14ac:dyDescent="0.3">
      <c r="A3" s="222" t="s">
        <v>67</v>
      </c>
      <c r="B3" s="223" t="s">
        <v>13</v>
      </c>
      <c r="C3" s="229" t="s">
        <v>293</v>
      </c>
      <c r="D3" s="230" t="s">
        <v>2</v>
      </c>
      <c r="E3" s="229" t="s">
        <v>23</v>
      </c>
      <c r="F3" s="231" t="s">
        <v>14</v>
      </c>
      <c r="G3" s="67"/>
      <c r="H3" s="67"/>
    </row>
    <row r="4" spans="1:11" ht="25.35" customHeight="1" x14ac:dyDescent="0.3">
      <c r="A4" s="220" t="s">
        <v>260</v>
      </c>
      <c r="B4" s="224">
        <v>48</v>
      </c>
      <c r="C4" s="227">
        <f>IFERROR(VLOOKUP(A4,'참조은 피벗'!A:SF,3,FALSE),0)</f>
        <v>4</v>
      </c>
      <c r="D4" s="227">
        <f t="shared" ref="D4:D18" si="0">IFERROR(ROUNDDOWN(C4/B4,0),"")</f>
        <v>0</v>
      </c>
      <c r="E4" s="51" t="s">
        <v>109</v>
      </c>
      <c r="F4" s="228">
        <f t="shared" ref="F4:F18" si="1">IFERROR(C4-(D4*B4),"")</f>
        <v>4</v>
      </c>
      <c r="G4" s="67"/>
      <c r="H4" s="67"/>
      <c r="J4" s="73"/>
      <c r="K4" s="73"/>
    </row>
    <row r="5" spans="1:11" ht="25.35" customHeight="1" x14ac:dyDescent="0.3">
      <c r="A5" s="221" t="s">
        <v>255</v>
      </c>
      <c r="B5" s="224">
        <f t="shared" ref="B5:B18" si="2">$B$4</f>
        <v>48</v>
      </c>
      <c r="C5" s="227">
        <f>IFERROR(VLOOKUP(A5,'참조은 피벗'!A:SF,3,FALSE),0)</f>
        <v>125</v>
      </c>
      <c r="D5" s="227">
        <f t="shared" ref="D5" si="3">IFERROR(ROUNDDOWN(C5/B5,0),"")</f>
        <v>2</v>
      </c>
      <c r="E5" s="51" t="s">
        <v>335</v>
      </c>
      <c r="F5" s="228">
        <f t="shared" ref="F5" si="4">IFERROR(C5-(D5*B5),"")</f>
        <v>29</v>
      </c>
      <c r="G5" s="67"/>
      <c r="H5" s="67"/>
      <c r="J5" s="73"/>
      <c r="K5" s="73"/>
    </row>
    <row r="6" spans="1:11" ht="25.35" customHeight="1" x14ac:dyDescent="0.3">
      <c r="A6" s="221" t="s">
        <v>249</v>
      </c>
      <c r="B6" s="224">
        <f t="shared" si="2"/>
        <v>48</v>
      </c>
      <c r="C6" s="227">
        <f>IFERROR(VLOOKUP(A6,'참조은 피벗'!A:SF,3,FALSE),0)</f>
        <v>53</v>
      </c>
      <c r="D6" s="227">
        <f>IFERROR(ROUNDDOWN(C6/B6,0),"")</f>
        <v>1</v>
      </c>
      <c r="E6" s="51" t="s">
        <v>272</v>
      </c>
      <c r="F6" s="228">
        <f>IFERROR(C6-(D6*B6),"")</f>
        <v>5</v>
      </c>
      <c r="G6" s="67"/>
      <c r="H6" s="67"/>
      <c r="J6" s="73"/>
      <c r="K6" s="73"/>
    </row>
    <row r="7" spans="1:11" ht="25.35" customHeight="1" x14ac:dyDescent="0.3">
      <c r="A7" s="221" t="s">
        <v>250</v>
      </c>
      <c r="B7" s="224">
        <f t="shared" si="2"/>
        <v>48</v>
      </c>
      <c r="C7" s="227">
        <f>IFERROR(VLOOKUP(A7,'참조은 피벗'!A:SF,3,FALSE),0)</f>
        <v>82</v>
      </c>
      <c r="D7" s="227">
        <f>IFERROR(ROUNDDOWN(C7/B7,0),"")</f>
        <v>1</v>
      </c>
      <c r="E7" s="51" t="s">
        <v>273</v>
      </c>
      <c r="F7" s="228">
        <f>IFERROR(C7-(D7*B7),"")</f>
        <v>34</v>
      </c>
      <c r="G7" s="67"/>
      <c r="H7" s="67"/>
      <c r="J7" s="73"/>
      <c r="K7" s="73"/>
    </row>
    <row r="8" spans="1:11" ht="25.35" customHeight="1" x14ac:dyDescent="0.3">
      <c r="A8" s="221" t="s">
        <v>248</v>
      </c>
      <c r="B8" s="224">
        <f t="shared" si="2"/>
        <v>48</v>
      </c>
      <c r="C8" s="227">
        <f>IFERROR(VLOOKUP(A8,'참조은 피벗'!A:SF,3,FALSE),0)</f>
        <v>17</v>
      </c>
      <c r="D8" s="227">
        <f>IFERROR(ROUNDDOWN(C8/B8,0),"")</f>
        <v>0</v>
      </c>
      <c r="E8" s="51" t="s">
        <v>271</v>
      </c>
      <c r="F8" s="228">
        <f>IFERROR(C8-(D8*B8),"")</f>
        <v>17</v>
      </c>
      <c r="G8" s="67"/>
      <c r="H8" s="67"/>
      <c r="J8" s="73"/>
      <c r="K8" s="73"/>
    </row>
    <row r="9" spans="1:11" ht="25.35" customHeight="1" x14ac:dyDescent="0.3">
      <c r="A9" s="221" t="s">
        <v>246</v>
      </c>
      <c r="B9" s="224">
        <f t="shared" si="2"/>
        <v>48</v>
      </c>
      <c r="C9" s="227">
        <f>IFERROR(VLOOKUP(A9,'참조은 피벗'!A:SF,3,FALSE),0)</f>
        <v>17</v>
      </c>
      <c r="D9" s="227">
        <f t="shared" si="0"/>
        <v>0</v>
      </c>
      <c r="E9" s="51" t="s">
        <v>270</v>
      </c>
      <c r="F9" s="228">
        <f t="shared" si="1"/>
        <v>17</v>
      </c>
      <c r="G9" s="67"/>
      <c r="H9" s="67"/>
      <c r="J9" s="73"/>
      <c r="K9" s="73"/>
    </row>
    <row r="10" spans="1:11" ht="25.35" customHeight="1" x14ac:dyDescent="0.3">
      <c r="A10" s="221" t="s">
        <v>256</v>
      </c>
      <c r="B10" s="224">
        <f t="shared" si="2"/>
        <v>48</v>
      </c>
      <c r="C10" s="227">
        <f>IFERROR(VLOOKUP(A10,'참조은 피벗'!A:SF,3,FALSE),0)</f>
        <v>10</v>
      </c>
      <c r="D10" s="227">
        <f>IFERROR(ROUNDDOWN(C10/B10,0),"")</f>
        <v>0</v>
      </c>
      <c r="E10" s="51" t="s">
        <v>278</v>
      </c>
      <c r="F10" s="228">
        <f>IFERROR(C10-(D10*B10),"")</f>
        <v>10</v>
      </c>
      <c r="G10" s="67"/>
      <c r="H10" s="67"/>
      <c r="J10" s="73"/>
      <c r="K10" s="73"/>
    </row>
    <row r="11" spans="1:11" ht="25.35" customHeight="1" x14ac:dyDescent="0.3">
      <c r="A11" s="221" t="s">
        <v>247</v>
      </c>
      <c r="B11" s="224">
        <f t="shared" si="2"/>
        <v>48</v>
      </c>
      <c r="C11" s="227">
        <f>IFERROR(VLOOKUP(A11,'참조은 피벗'!A:SF,3,FALSE),0)</f>
        <v>13</v>
      </c>
      <c r="D11" s="227">
        <f t="shared" si="0"/>
        <v>0</v>
      </c>
      <c r="E11" s="51" t="s">
        <v>334</v>
      </c>
      <c r="F11" s="228">
        <f t="shared" si="1"/>
        <v>13</v>
      </c>
      <c r="G11" s="67"/>
      <c r="H11" s="67"/>
      <c r="J11" s="73"/>
      <c r="K11" s="73"/>
    </row>
    <row r="12" spans="1:11" ht="25.35" customHeight="1" x14ac:dyDescent="0.3">
      <c r="A12" s="221" t="s">
        <v>251</v>
      </c>
      <c r="B12" s="224">
        <f t="shared" si="2"/>
        <v>48</v>
      </c>
      <c r="C12" s="227">
        <f>IFERROR(VLOOKUP(A12,'참조은 피벗'!A:SF,3,FALSE),0)</f>
        <v>16</v>
      </c>
      <c r="D12" s="227">
        <f t="shared" si="0"/>
        <v>0</v>
      </c>
      <c r="E12" s="51" t="s">
        <v>274</v>
      </c>
      <c r="F12" s="228">
        <f t="shared" si="1"/>
        <v>16</v>
      </c>
      <c r="G12" s="67"/>
      <c r="H12" s="67"/>
      <c r="J12" s="73"/>
      <c r="K12" s="73"/>
    </row>
    <row r="13" spans="1:11" ht="25.35" customHeight="1" x14ac:dyDescent="0.3">
      <c r="A13" s="220" t="s">
        <v>252</v>
      </c>
      <c r="B13" s="224">
        <f t="shared" si="2"/>
        <v>48</v>
      </c>
      <c r="C13" s="227">
        <f>IFERROR(VLOOKUP(A13,'참조은 피벗'!A:SF,3,FALSE),0)</f>
        <v>40</v>
      </c>
      <c r="D13" s="227">
        <f t="shared" si="0"/>
        <v>0</v>
      </c>
      <c r="E13" s="51" t="s">
        <v>275</v>
      </c>
      <c r="F13" s="228">
        <f t="shared" si="1"/>
        <v>40</v>
      </c>
      <c r="G13" s="67"/>
      <c r="H13" s="67"/>
      <c r="J13" s="73"/>
      <c r="K13" s="73"/>
    </row>
    <row r="14" spans="1:11" ht="25.35" customHeight="1" x14ac:dyDescent="0.3">
      <c r="A14" s="221" t="s">
        <v>253</v>
      </c>
      <c r="B14" s="224">
        <f t="shared" si="2"/>
        <v>48</v>
      </c>
      <c r="C14" s="227">
        <f>IFERROR(VLOOKUP(A14,'참조은 피벗'!A:SF,3,FALSE),0)</f>
        <v>23</v>
      </c>
      <c r="D14" s="227">
        <f t="shared" si="0"/>
        <v>0</v>
      </c>
      <c r="E14" s="51" t="s">
        <v>276</v>
      </c>
      <c r="F14" s="228">
        <f t="shared" si="1"/>
        <v>23</v>
      </c>
      <c r="G14" s="67"/>
      <c r="H14" s="67"/>
      <c r="J14" s="73"/>
      <c r="K14" s="73"/>
    </row>
    <row r="15" spans="1:11" ht="25.35" customHeight="1" x14ac:dyDescent="0.3">
      <c r="A15" s="221" t="s">
        <v>254</v>
      </c>
      <c r="B15" s="224">
        <f t="shared" si="2"/>
        <v>48</v>
      </c>
      <c r="C15" s="227">
        <f>IFERROR(VLOOKUP(A15,'참조은 피벗'!A:SF,3,FALSE),0)</f>
        <v>51</v>
      </c>
      <c r="D15" s="227">
        <f t="shared" si="0"/>
        <v>1</v>
      </c>
      <c r="E15" s="51" t="s">
        <v>277</v>
      </c>
      <c r="F15" s="228">
        <f t="shared" si="1"/>
        <v>3</v>
      </c>
      <c r="G15" s="67"/>
      <c r="H15" s="67"/>
      <c r="J15" s="73"/>
      <c r="K15" s="73"/>
    </row>
    <row r="16" spans="1:11" ht="25.35" customHeight="1" x14ac:dyDescent="0.3">
      <c r="A16" s="221" t="s">
        <v>257</v>
      </c>
      <c r="B16" s="224">
        <f t="shared" si="2"/>
        <v>48</v>
      </c>
      <c r="C16" s="227">
        <f>IFERROR(VLOOKUP(A16,'참조은 피벗'!A:SF,3,FALSE),0)</f>
        <v>14</v>
      </c>
      <c r="D16" s="227">
        <f t="shared" si="0"/>
        <v>0</v>
      </c>
      <c r="E16" s="51" t="s">
        <v>279</v>
      </c>
      <c r="F16" s="228">
        <f t="shared" si="1"/>
        <v>14</v>
      </c>
      <c r="G16" s="67"/>
      <c r="H16" s="67"/>
      <c r="J16" s="73"/>
      <c r="K16" s="73"/>
    </row>
    <row r="17" spans="1:11" ht="25.35" customHeight="1" x14ac:dyDescent="0.3">
      <c r="A17" s="221" t="s">
        <v>258</v>
      </c>
      <c r="B17" s="224">
        <f t="shared" si="2"/>
        <v>48</v>
      </c>
      <c r="C17" s="227">
        <f>IFERROR(VLOOKUP(A17,'참조은 피벗'!A:SF,3,FALSE),0)</f>
        <v>5</v>
      </c>
      <c r="D17" s="227">
        <f t="shared" si="0"/>
        <v>0</v>
      </c>
      <c r="E17" s="51" t="s">
        <v>280</v>
      </c>
      <c r="F17" s="228">
        <f t="shared" si="1"/>
        <v>5</v>
      </c>
      <c r="G17" s="67"/>
      <c r="H17" s="67"/>
      <c r="J17" s="73"/>
      <c r="K17" s="73"/>
    </row>
    <row r="18" spans="1:11" ht="25.35" customHeight="1" x14ac:dyDescent="0.3">
      <c r="A18" s="221" t="s">
        <v>259</v>
      </c>
      <c r="B18" s="224">
        <f t="shared" si="2"/>
        <v>48</v>
      </c>
      <c r="C18" s="227">
        <f>IFERROR(VLOOKUP(A18,'참조은 피벗'!A:SF,3,FALSE),0)</f>
        <v>15</v>
      </c>
      <c r="D18" s="227">
        <f t="shared" si="0"/>
        <v>0</v>
      </c>
      <c r="E18" s="51" t="s">
        <v>336</v>
      </c>
      <c r="F18" s="228">
        <f t="shared" si="1"/>
        <v>15</v>
      </c>
      <c r="G18" s="67"/>
      <c r="H18" s="67"/>
      <c r="J18" s="73"/>
      <c r="K18" s="73"/>
    </row>
    <row r="19" spans="1:11" ht="4.5" customHeight="1" x14ac:dyDescent="0.3">
      <c r="A19" s="284"/>
      <c r="B19" s="285"/>
      <c r="C19" s="285"/>
      <c r="D19" s="285"/>
      <c r="E19" s="285"/>
      <c r="F19" s="286"/>
      <c r="J19" s="73"/>
      <c r="K19" s="73"/>
    </row>
    <row r="20" spans="1:11" ht="32.450000000000003" customHeight="1" x14ac:dyDescent="0.3">
      <c r="A20" s="211" t="s">
        <v>122</v>
      </c>
      <c r="B20" s="225">
        <f>$B$4</f>
        <v>48</v>
      </c>
      <c r="C20" s="212">
        <f>SUM(C4:C18)</f>
        <v>485</v>
      </c>
      <c r="D20" s="55">
        <f>IFERROR(ROUNDDOWN(C20/B20,0),"")</f>
        <v>10</v>
      </c>
      <c r="E20" s="213"/>
      <c r="F20" s="214">
        <f>IFERROR(C20-(D20*B20),"")</f>
        <v>5</v>
      </c>
      <c r="J20" s="73"/>
      <c r="K20" s="73"/>
    </row>
    <row r="21" spans="1:11" ht="4.5" customHeight="1" x14ac:dyDescent="0.3">
      <c r="A21" s="183"/>
      <c r="B21" s="224"/>
      <c r="C21" s="50"/>
      <c r="D21" s="50"/>
      <c r="E21" s="50"/>
      <c r="F21" s="184"/>
      <c r="J21" s="73"/>
      <c r="K21" s="73"/>
    </row>
    <row r="22" spans="1:11" ht="25.35" customHeight="1" x14ac:dyDescent="0.3">
      <c r="A22" s="221" t="s">
        <v>241</v>
      </c>
      <c r="B22" s="224">
        <f t="shared" ref="B22:B26" si="5">$B$4</f>
        <v>48</v>
      </c>
      <c r="C22" s="227">
        <f>IFERROR(VLOOKUP(A22,'참조은 피벗'!A:SF,3,FALSE),0)</f>
        <v>19</v>
      </c>
      <c r="D22" s="227">
        <f>IFERROR(ROUNDDOWN(C22/B22,0),"")</f>
        <v>0</v>
      </c>
      <c r="E22" s="51" t="s">
        <v>268</v>
      </c>
      <c r="F22" s="228">
        <f>IFERROR(C22-(D22*B22),"")</f>
        <v>19</v>
      </c>
      <c r="G22" s="67"/>
      <c r="H22" s="67"/>
      <c r="J22" s="73"/>
      <c r="K22" s="73"/>
    </row>
    <row r="23" spans="1:11" ht="25.35" customHeight="1" x14ac:dyDescent="0.3">
      <c r="A23" s="221" t="s">
        <v>242</v>
      </c>
      <c r="B23" s="224">
        <f t="shared" si="5"/>
        <v>48</v>
      </c>
      <c r="C23" s="227">
        <f>IFERROR(VLOOKUP(A23,'참조은 피벗'!A:SF,3,FALSE),0)</f>
        <v>23</v>
      </c>
      <c r="D23" s="227">
        <f>IFERROR(ROUNDDOWN(C23/B23,0),"")</f>
        <v>0</v>
      </c>
      <c r="E23" s="51" t="s">
        <v>337</v>
      </c>
      <c r="F23" s="228">
        <f>IFERROR(C23-(D23*B23),"")</f>
        <v>23</v>
      </c>
      <c r="G23" s="67"/>
      <c r="H23" s="67"/>
      <c r="J23" s="73"/>
      <c r="K23" s="73"/>
    </row>
    <row r="24" spans="1:11" ht="25.35" customHeight="1" x14ac:dyDescent="0.3">
      <c r="A24" s="221" t="s">
        <v>243</v>
      </c>
      <c r="B24" s="224">
        <f t="shared" si="5"/>
        <v>48</v>
      </c>
      <c r="C24" s="227">
        <f>IFERROR(VLOOKUP(A24,'참조은 피벗'!A:SF,3,FALSE),0)</f>
        <v>0</v>
      </c>
      <c r="D24" s="227">
        <f>IFERROR(ROUNDDOWN(C24/B24,0),"")</f>
        <v>0</v>
      </c>
      <c r="E24" s="51" t="s">
        <v>106</v>
      </c>
      <c r="F24" s="228">
        <f>IFERROR(C24-(D24*B24),"")</f>
        <v>0</v>
      </c>
      <c r="G24" s="67"/>
      <c r="H24" s="67"/>
      <c r="J24" s="73"/>
      <c r="K24" s="73"/>
    </row>
    <row r="25" spans="1:11" ht="25.35" customHeight="1" x14ac:dyDescent="0.3">
      <c r="A25" s="221" t="s">
        <v>244</v>
      </c>
      <c r="B25" s="224">
        <f t="shared" si="5"/>
        <v>48</v>
      </c>
      <c r="C25" s="227">
        <f>IFERROR(VLOOKUP(A25,'참조은 피벗'!A:SF,3,FALSE),0)</f>
        <v>29</v>
      </c>
      <c r="D25" s="227">
        <f>IFERROR(ROUNDDOWN(C25/B25,0),"")</f>
        <v>0</v>
      </c>
      <c r="E25" s="51" t="s">
        <v>269</v>
      </c>
      <c r="F25" s="228">
        <f>IFERROR(C25-(D25*B25),"")</f>
        <v>29</v>
      </c>
      <c r="G25" s="67"/>
      <c r="H25" s="67"/>
      <c r="J25" s="73"/>
      <c r="K25" s="73"/>
    </row>
    <row r="26" spans="1:11" ht="25.35" customHeight="1" x14ac:dyDescent="0.3">
      <c r="A26" s="221" t="s">
        <v>245</v>
      </c>
      <c r="B26" s="224">
        <f t="shared" si="5"/>
        <v>48</v>
      </c>
      <c r="C26" s="227">
        <f>IFERROR(VLOOKUP(A26,'참조은 피벗'!A:SF,3,FALSE),0)</f>
        <v>17</v>
      </c>
      <c r="D26" s="227">
        <f>IFERROR(ROUNDDOWN(C26/B26,0),"")</f>
        <v>0</v>
      </c>
      <c r="E26" s="51" t="s">
        <v>118</v>
      </c>
      <c r="F26" s="228">
        <f>IFERROR(C26-(D26*B26),"")</f>
        <v>17</v>
      </c>
      <c r="G26" s="67"/>
      <c r="H26" s="67"/>
      <c r="J26" s="73"/>
      <c r="K26" s="73"/>
    </row>
    <row r="27" spans="1:11" ht="4.5" customHeight="1" x14ac:dyDescent="0.3">
      <c r="A27" s="284"/>
      <c r="B27" s="285"/>
      <c r="C27" s="285"/>
      <c r="D27" s="285"/>
      <c r="E27" s="285"/>
      <c r="F27" s="286"/>
      <c r="G27" s="67"/>
      <c r="H27" s="67"/>
      <c r="J27" s="73"/>
      <c r="K27" s="73"/>
    </row>
    <row r="28" spans="1:11" ht="32.450000000000003" customHeight="1" x14ac:dyDescent="0.3">
      <c r="A28" s="211" t="s">
        <v>285</v>
      </c>
      <c r="B28" s="225">
        <f>$B$4</f>
        <v>48</v>
      </c>
      <c r="C28" s="212">
        <f>SUM(C22:C26)</f>
        <v>88</v>
      </c>
      <c r="D28" s="55">
        <f>IFERROR(ROUNDDOWN(C28/B28,0),"")</f>
        <v>1</v>
      </c>
      <c r="E28" s="213"/>
      <c r="F28" s="214">
        <f>IFERROR(C28-(D28*B28),"")</f>
        <v>40</v>
      </c>
      <c r="G28" s="67"/>
      <c r="H28" s="67"/>
      <c r="J28" s="73"/>
      <c r="K28" s="73"/>
    </row>
    <row r="29" spans="1:11" ht="4.5" customHeight="1" x14ac:dyDescent="0.3">
      <c r="A29" s="284"/>
      <c r="B29" s="285"/>
      <c r="C29" s="285"/>
      <c r="D29" s="285"/>
      <c r="E29" s="285"/>
      <c r="F29" s="286"/>
      <c r="G29" s="67"/>
      <c r="H29" s="67"/>
      <c r="J29" s="73"/>
      <c r="K29" s="73"/>
    </row>
    <row r="30" spans="1:11" ht="25.35" customHeight="1" x14ac:dyDescent="0.3">
      <c r="A30" s="221" t="s">
        <v>239</v>
      </c>
      <c r="B30" s="224">
        <f t="shared" ref="B30:B31" si="6">$B$4</f>
        <v>48</v>
      </c>
      <c r="C30" s="227">
        <f>IFERROR(VLOOKUP(A30,'참조은 피벗'!A:SF,3,FALSE),0)</f>
        <v>19</v>
      </c>
      <c r="D30" s="227">
        <f t="shared" ref="D30:D31" si="7">IFERROR(ROUNDDOWN(C30/B30,0),"")</f>
        <v>0</v>
      </c>
      <c r="E30" s="51" t="s">
        <v>266</v>
      </c>
      <c r="F30" s="228">
        <f t="shared" ref="F30:F31" si="8">IFERROR(C30-(D30*B30),"")</f>
        <v>19</v>
      </c>
      <c r="G30" s="67"/>
      <c r="H30" s="67"/>
      <c r="J30" s="73"/>
      <c r="K30" s="73"/>
    </row>
    <row r="31" spans="1:11" ht="25.35" customHeight="1" x14ac:dyDescent="0.3">
      <c r="A31" s="221" t="s">
        <v>240</v>
      </c>
      <c r="B31" s="224">
        <f t="shared" si="6"/>
        <v>48</v>
      </c>
      <c r="C31" s="227">
        <f>IFERROR(VLOOKUP(A31,'참조은 피벗'!A:SF,3,FALSE),0)</f>
        <v>15</v>
      </c>
      <c r="D31" s="227">
        <f t="shared" si="7"/>
        <v>0</v>
      </c>
      <c r="E31" s="51" t="s">
        <v>267</v>
      </c>
      <c r="F31" s="228">
        <f t="shared" si="8"/>
        <v>15</v>
      </c>
      <c r="G31" s="67"/>
      <c r="H31" s="67"/>
      <c r="J31" s="73"/>
      <c r="K31" s="73"/>
    </row>
    <row r="32" spans="1:11" ht="4.5" customHeight="1" x14ac:dyDescent="0.3">
      <c r="A32" s="284"/>
      <c r="B32" s="285"/>
      <c r="C32" s="285"/>
      <c r="D32" s="285"/>
      <c r="E32" s="285"/>
      <c r="F32" s="286"/>
      <c r="G32" s="67"/>
      <c r="H32" s="67"/>
      <c r="J32" s="73"/>
      <c r="K32" s="73"/>
    </row>
    <row r="33" spans="1:11" ht="32.450000000000003" customHeight="1" x14ac:dyDescent="0.3">
      <c r="A33" s="211" t="s">
        <v>284</v>
      </c>
      <c r="B33" s="225">
        <f>$B$4</f>
        <v>48</v>
      </c>
      <c r="C33" s="212">
        <f>SUM(C30:C31)</f>
        <v>34</v>
      </c>
      <c r="D33" s="55">
        <f>IFERROR(ROUNDDOWN(C33/B33,0),"")</f>
        <v>0</v>
      </c>
      <c r="E33" s="213"/>
      <c r="F33" s="214">
        <f>IFERROR(C33-(D33*B33),"")</f>
        <v>34</v>
      </c>
      <c r="G33" s="67"/>
      <c r="H33" s="67"/>
      <c r="J33" s="73"/>
      <c r="K33" s="73"/>
    </row>
    <row r="34" spans="1:11" ht="4.5" customHeight="1" x14ac:dyDescent="0.3">
      <c r="A34" s="183"/>
      <c r="B34" s="224"/>
      <c r="C34" s="50"/>
      <c r="D34" s="50"/>
      <c r="E34" s="50"/>
      <c r="F34" s="184"/>
      <c r="G34" s="67"/>
      <c r="H34" s="67"/>
      <c r="J34" s="73"/>
      <c r="K34" s="73"/>
    </row>
    <row r="35" spans="1:11" ht="25.35" customHeight="1" x14ac:dyDescent="0.3">
      <c r="A35" s="221" t="s">
        <v>236</v>
      </c>
      <c r="B35" s="224">
        <f t="shared" ref="B35:B37" si="9">$B$4</f>
        <v>48</v>
      </c>
      <c r="C35" s="227">
        <f>IFERROR(VLOOKUP(A35,'참조은 피벗'!A:SF,3,FALSE),0)</f>
        <v>9</v>
      </c>
      <c r="D35" s="227">
        <f>IFERROR(ROUNDDOWN(C35/B35,0),"")</f>
        <v>0</v>
      </c>
      <c r="E35" s="51" t="s">
        <v>264</v>
      </c>
      <c r="F35" s="228">
        <f>IFERROR(C35-(D35*B35),"")</f>
        <v>9</v>
      </c>
      <c r="G35" s="67"/>
      <c r="H35" s="67"/>
      <c r="J35" s="73"/>
      <c r="K35" s="73"/>
    </row>
    <row r="36" spans="1:11" ht="25.35" customHeight="1" x14ac:dyDescent="0.3">
      <c r="A36" s="221" t="s">
        <v>237</v>
      </c>
      <c r="B36" s="224">
        <f t="shared" si="9"/>
        <v>48</v>
      </c>
      <c r="C36" s="227">
        <f>IFERROR(VLOOKUP(A36,'참조은 피벗'!A:SF,3,FALSE),0)</f>
        <v>12</v>
      </c>
      <c r="D36" s="227">
        <f t="shared" ref="D36:D37" si="10">IFERROR(ROUNDDOWN(C36/B36,0),"")</f>
        <v>0</v>
      </c>
      <c r="E36" s="51" t="s">
        <v>338</v>
      </c>
      <c r="F36" s="228">
        <f t="shared" ref="F36:F37" si="11">IFERROR(C36-(D36*B36),"")</f>
        <v>12</v>
      </c>
      <c r="G36" s="67"/>
      <c r="H36" s="67"/>
      <c r="J36" s="73"/>
      <c r="K36" s="73"/>
    </row>
    <row r="37" spans="1:11" ht="25.35" customHeight="1" x14ac:dyDescent="0.3">
      <c r="A37" s="221" t="s">
        <v>238</v>
      </c>
      <c r="B37" s="224">
        <f t="shared" si="9"/>
        <v>48</v>
      </c>
      <c r="C37" s="227">
        <f>IFERROR(VLOOKUP(A37,'참조은 피벗'!A:SF,3,FALSE),0)</f>
        <v>7</v>
      </c>
      <c r="D37" s="227">
        <f t="shared" si="10"/>
        <v>0</v>
      </c>
      <c r="E37" s="51" t="s">
        <v>265</v>
      </c>
      <c r="F37" s="228">
        <f t="shared" si="11"/>
        <v>7</v>
      </c>
      <c r="G37" s="67"/>
      <c r="H37" s="67"/>
      <c r="J37" s="73"/>
      <c r="K37" s="73"/>
    </row>
    <row r="38" spans="1:11" ht="4.5" customHeight="1" x14ac:dyDescent="0.3">
      <c r="A38" s="284"/>
      <c r="B38" s="285"/>
      <c r="C38" s="285"/>
      <c r="D38" s="285"/>
      <c r="E38" s="285"/>
      <c r="F38" s="286"/>
      <c r="G38" s="67"/>
      <c r="H38" s="67"/>
      <c r="J38" s="73"/>
      <c r="K38" s="73"/>
    </row>
    <row r="39" spans="1:11" ht="32.450000000000003" customHeight="1" x14ac:dyDescent="0.3">
      <c r="A39" s="211" t="s">
        <v>283</v>
      </c>
      <c r="B39" s="225">
        <f>$B$4</f>
        <v>48</v>
      </c>
      <c r="C39" s="212">
        <f>SUM(C35:C37)</f>
        <v>28</v>
      </c>
      <c r="D39" s="55">
        <f>IFERROR(ROUNDDOWN(C39/B39,0),"")</f>
        <v>0</v>
      </c>
      <c r="E39" s="213"/>
      <c r="F39" s="214">
        <f>IFERROR(C39-(D39*B39),"")</f>
        <v>28</v>
      </c>
      <c r="G39" s="67"/>
      <c r="H39" s="67"/>
      <c r="J39" s="73"/>
      <c r="K39" s="73"/>
    </row>
    <row r="40" spans="1:11" ht="4.5" customHeight="1" x14ac:dyDescent="0.3">
      <c r="A40" s="183"/>
      <c r="B40" s="224"/>
      <c r="C40" s="50"/>
      <c r="D40" s="50"/>
      <c r="E40" s="50"/>
      <c r="F40" s="184"/>
      <c r="G40" s="67"/>
      <c r="H40" s="67"/>
      <c r="J40" s="73"/>
      <c r="K40" s="73"/>
    </row>
    <row r="41" spans="1:11" ht="25.35" customHeight="1" x14ac:dyDescent="0.3">
      <c r="A41" s="221" t="s">
        <v>261</v>
      </c>
      <c r="B41" s="224">
        <f t="shared" ref="B41:B42" si="12">$B$4</f>
        <v>48</v>
      </c>
      <c r="C41" s="227">
        <f>IFERROR(VLOOKUP(A41,'참조은 피벗'!A:SF,3,FALSE),0)</f>
        <v>8</v>
      </c>
      <c r="D41" s="227">
        <f t="shared" ref="D41:D42" si="13">IFERROR(ROUNDDOWN(C41/B41,0),"")</f>
        <v>0</v>
      </c>
      <c r="E41" s="51" t="s">
        <v>281</v>
      </c>
      <c r="F41" s="228">
        <f t="shared" ref="F41:F42" si="14">IFERROR(C41-(D41*B41),"")</f>
        <v>8</v>
      </c>
      <c r="G41" s="67"/>
      <c r="H41" s="67"/>
      <c r="J41" s="73"/>
      <c r="K41" s="73"/>
    </row>
    <row r="42" spans="1:11" ht="25.35" customHeight="1" x14ac:dyDescent="0.3">
      <c r="A42" s="221" t="s">
        <v>262</v>
      </c>
      <c r="B42" s="224">
        <f t="shared" si="12"/>
        <v>48</v>
      </c>
      <c r="C42" s="227">
        <f>IFERROR(VLOOKUP(A42,'참조은 피벗'!A:SF,3,FALSE),0)</f>
        <v>7</v>
      </c>
      <c r="D42" s="227">
        <f t="shared" si="13"/>
        <v>0</v>
      </c>
      <c r="E42" s="51" t="s">
        <v>282</v>
      </c>
      <c r="F42" s="228">
        <f t="shared" si="14"/>
        <v>7</v>
      </c>
      <c r="G42" s="67"/>
      <c r="H42" s="67"/>
      <c r="J42" s="73"/>
      <c r="K42" s="73"/>
    </row>
    <row r="43" spans="1:11" ht="4.5" customHeight="1" x14ac:dyDescent="0.3">
      <c r="A43" s="284"/>
      <c r="B43" s="285"/>
      <c r="C43" s="285"/>
      <c r="D43" s="285"/>
      <c r="E43" s="285"/>
      <c r="F43" s="286"/>
      <c r="G43" s="67"/>
      <c r="H43" s="67"/>
      <c r="J43" s="73"/>
      <c r="K43" s="73"/>
    </row>
    <row r="44" spans="1:11" ht="32.450000000000003" customHeight="1" x14ac:dyDescent="0.3">
      <c r="A44" s="211" t="s">
        <v>339</v>
      </c>
      <c r="B44" s="225">
        <f>$B$4</f>
        <v>48</v>
      </c>
      <c r="C44" s="212">
        <f>SUM(C41:C42)</f>
        <v>15</v>
      </c>
      <c r="D44" s="55">
        <f>IFERROR(ROUNDDOWN(C44/B44,0),"")</f>
        <v>0</v>
      </c>
      <c r="E44" s="213"/>
      <c r="F44" s="214">
        <f>IFERROR(C44-(D44*B44),"")</f>
        <v>15</v>
      </c>
      <c r="G44" s="67"/>
      <c r="H44" s="67"/>
      <c r="J44" s="73"/>
      <c r="K44" s="73"/>
    </row>
    <row r="45" spans="1:11" ht="4.5" customHeight="1" thickBot="1" x14ac:dyDescent="0.35">
      <c r="A45" s="183"/>
      <c r="B45" s="50"/>
      <c r="C45" s="50"/>
      <c r="D45" s="50"/>
      <c r="E45" s="50"/>
      <c r="F45" s="184"/>
      <c r="G45" s="67"/>
      <c r="H45" s="67"/>
      <c r="J45" s="73"/>
      <c r="K45" s="73"/>
    </row>
    <row r="46" spans="1:11" ht="26.25" x14ac:dyDescent="0.3">
      <c r="A46" s="87" t="s">
        <v>3</v>
      </c>
      <c r="B46" s="226">
        <f>$B$4</f>
        <v>48</v>
      </c>
      <c r="C46" s="55">
        <f>SUM(C4:C18,C35:C37,C30:C31,C22:C26,C41:C42)</f>
        <v>650</v>
      </c>
      <c r="D46" s="54">
        <f>IFERROR(ROUNDDOWN(C46/B46,0),"")</f>
        <v>13</v>
      </c>
      <c r="E46" s="56"/>
      <c r="F46" s="121">
        <f>IFERROR(C46-(D46*B46),"")</f>
        <v>26</v>
      </c>
      <c r="G46" s="232" t="s">
        <v>110</v>
      </c>
      <c r="H46" s="233" t="s">
        <v>111</v>
      </c>
      <c r="J46" s="73"/>
      <c r="K46" s="73"/>
    </row>
    <row r="47" spans="1:11" ht="27" thickBot="1" x14ac:dyDescent="0.35">
      <c r="A47" s="42" t="s">
        <v>286</v>
      </c>
      <c r="B47" s="43" t="s">
        <v>173</v>
      </c>
      <c r="C47" s="40"/>
      <c r="D47" s="41">
        <f>SUM(D4:D18,D35:D37,D30:D31,D22:D26,D41:D42)</f>
        <v>5</v>
      </c>
      <c r="E47" s="48"/>
      <c r="F47" s="93">
        <f>SUM(F4:F18,F35:F37,F30:F31,F22:F26,F41:F42)</f>
        <v>410</v>
      </c>
      <c r="G47" s="216">
        <f>IFERROR(ROUNDDOWN(F47/B35,0),"")</f>
        <v>8</v>
      </c>
      <c r="H47" s="217">
        <f>IFERROR(F47-(G47*B35),"")</f>
        <v>26</v>
      </c>
    </row>
    <row r="48" spans="1:11" ht="22.5" customHeight="1" x14ac:dyDescent="0.3">
      <c r="C48" s="77">
        <f>C20+C28+C33+C39+C44</f>
        <v>650</v>
      </c>
      <c r="G48" s="199"/>
      <c r="H48" s="34" t="s">
        <v>174</v>
      </c>
    </row>
    <row r="49" spans="3:3" x14ac:dyDescent="0.3">
      <c r="C49" s="34" t="b">
        <f>C48=C46</f>
        <v>1</v>
      </c>
    </row>
  </sheetData>
  <mergeCells count="8">
    <mergeCell ref="A43:F43"/>
    <mergeCell ref="A1:F1"/>
    <mergeCell ref="B2:F2"/>
    <mergeCell ref="A38:F38"/>
    <mergeCell ref="A32:F32"/>
    <mergeCell ref="A27:F27"/>
    <mergeCell ref="A29:F29"/>
    <mergeCell ref="A19:F19"/>
  </mergeCells>
  <phoneticPr fontId="13" type="noConversion"/>
  <printOptions horizontalCentered="1" verticalCentered="1"/>
  <pageMargins left="0" right="0" top="0" bottom="0" header="0" footer="0"/>
  <pageSetup paperSize="9" scale="77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4">
    <tabColor theme="5" tint="0.59999389629810485"/>
    <pageSetUpPr fitToPage="1"/>
  </sheetPr>
  <dimension ref="A1:H49"/>
  <sheetViews>
    <sheetView zoomScale="40" zoomScaleNormal="40" zoomScaleSheetLayoutView="75" workbookViewId="0">
      <selection activeCell="A2" sqref="A2:F47"/>
    </sheetView>
  </sheetViews>
  <sheetFormatPr defaultColWidth="9" defaultRowHeight="16.5" x14ac:dyDescent="0.3"/>
  <cols>
    <col min="1" max="1" width="24.75" style="34" customWidth="1"/>
    <col min="2" max="2" width="7.625" style="38" customWidth="1"/>
    <col min="3" max="3" width="30.625" style="34" customWidth="1"/>
    <col min="4" max="4" width="9.875" style="2" customWidth="1"/>
    <col min="5" max="5" width="11.375" style="34" customWidth="1"/>
    <col min="6" max="6" width="11.125" style="2" customWidth="1"/>
    <col min="7" max="7" width="8.375" style="34" customWidth="1"/>
    <col min="8" max="8" width="9" style="34" customWidth="1"/>
    <col min="9" max="13" width="9" style="34"/>
    <col min="14" max="14" width="10.625" style="34" customWidth="1"/>
    <col min="15" max="17" width="9" style="34"/>
    <col min="18" max="18" width="36.5" style="34" bestFit="1" customWidth="1"/>
    <col min="19" max="16384" width="9" style="34"/>
  </cols>
  <sheetData>
    <row r="1" spans="1:8" ht="25.9" customHeight="1" thickBot="1" x14ac:dyDescent="0.35">
      <c r="A1" s="270"/>
      <c r="B1" s="270"/>
      <c r="C1" s="270"/>
      <c r="D1" s="270"/>
      <c r="E1" s="270"/>
      <c r="F1" s="270"/>
    </row>
    <row r="2" spans="1:8" ht="25.9" customHeight="1" x14ac:dyDescent="0.3">
      <c r="A2" s="215">
        <f ca="1">TODAY()</f>
        <v>46314</v>
      </c>
      <c r="B2" s="271" t="s">
        <v>263</v>
      </c>
      <c r="C2" s="292"/>
      <c r="D2" s="292"/>
      <c r="E2" s="292"/>
      <c r="F2" s="293"/>
      <c r="G2" s="67"/>
      <c r="H2" s="67"/>
    </row>
    <row r="3" spans="1:8" ht="40.5" customHeight="1" x14ac:dyDescent="0.3">
      <c r="A3" s="222" t="s">
        <v>67</v>
      </c>
      <c r="B3" s="223" t="s">
        <v>13</v>
      </c>
      <c r="C3" s="229" t="s">
        <v>294</v>
      </c>
      <c r="D3" s="230" t="s">
        <v>2</v>
      </c>
      <c r="E3" s="229" t="s">
        <v>23</v>
      </c>
      <c r="F3" s="231" t="s">
        <v>14</v>
      </c>
      <c r="G3" s="67"/>
      <c r="H3" s="67"/>
    </row>
    <row r="4" spans="1:8" ht="25.35" customHeight="1" x14ac:dyDescent="0.3">
      <c r="A4" s="220" t="s">
        <v>260</v>
      </c>
      <c r="B4" s="224">
        <v>45</v>
      </c>
      <c r="C4" s="227">
        <f>IFERROR(VLOOKUP(A4,'참조은 피벗'!A:SF,4,FALSE),0)</f>
        <v>7</v>
      </c>
      <c r="D4" s="227">
        <f t="shared" ref="D4:D18" si="0">IFERROR(ROUNDDOWN(C4/B4,0),"")</f>
        <v>0</v>
      </c>
      <c r="E4" s="51" t="s">
        <v>109</v>
      </c>
      <c r="F4" s="228">
        <f t="shared" ref="F4:F18" si="1">IFERROR(C4-(D4*B4),"")</f>
        <v>7</v>
      </c>
      <c r="G4" s="67"/>
      <c r="H4" s="67"/>
    </row>
    <row r="5" spans="1:8" ht="25.35" customHeight="1" x14ac:dyDescent="0.3">
      <c r="A5" s="221" t="s">
        <v>255</v>
      </c>
      <c r="B5" s="224">
        <f t="shared" ref="B5:B18" si="2">$B$4</f>
        <v>45</v>
      </c>
      <c r="C5" s="227">
        <f>IFERROR(VLOOKUP(A5,'참조은 피벗'!A:SF,4,FALSE),0)</f>
        <v>110</v>
      </c>
      <c r="D5" s="227">
        <f t="shared" ref="D5" si="3">IFERROR(ROUNDDOWN(C5/B5,0),"")</f>
        <v>2</v>
      </c>
      <c r="E5" s="51" t="s">
        <v>335</v>
      </c>
      <c r="F5" s="228">
        <f t="shared" ref="F5" si="4">IFERROR(C5-(D5*B5),"")</f>
        <v>20</v>
      </c>
      <c r="G5" s="67"/>
      <c r="H5" s="67"/>
    </row>
    <row r="6" spans="1:8" ht="25.35" customHeight="1" x14ac:dyDescent="0.3">
      <c r="A6" s="221" t="s">
        <v>249</v>
      </c>
      <c r="B6" s="224">
        <f t="shared" si="2"/>
        <v>45</v>
      </c>
      <c r="C6" s="227">
        <f>IFERROR(VLOOKUP(A6,'참조은 피벗'!A:SF,4,FALSE),0)</f>
        <v>44</v>
      </c>
      <c r="D6" s="227">
        <f>IFERROR(ROUNDDOWN(C6/B6,0),"")</f>
        <v>0</v>
      </c>
      <c r="E6" s="51" t="s">
        <v>272</v>
      </c>
      <c r="F6" s="228">
        <f>IFERROR(C6-(D6*B6),"")</f>
        <v>44</v>
      </c>
      <c r="G6" s="67"/>
      <c r="H6" s="67"/>
    </row>
    <row r="7" spans="1:8" ht="25.35" customHeight="1" x14ac:dyDescent="0.3">
      <c r="A7" s="221" t="s">
        <v>250</v>
      </c>
      <c r="B7" s="224">
        <f t="shared" si="2"/>
        <v>45</v>
      </c>
      <c r="C7" s="227">
        <f>IFERROR(VLOOKUP(A7,'참조은 피벗'!A:SF,4,FALSE),0)</f>
        <v>41</v>
      </c>
      <c r="D7" s="227">
        <f>IFERROR(ROUNDDOWN(C7/B7,0),"")</f>
        <v>0</v>
      </c>
      <c r="E7" s="51" t="s">
        <v>273</v>
      </c>
      <c r="F7" s="228">
        <f>IFERROR(C7-(D7*B7),"")</f>
        <v>41</v>
      </c>
      <c r="G7" s="67"/>
      <c r="H7" s="67"/>
    </row>
    <row r="8" spans="1:8" ht="25.35" customHeight="1" x14ac:dyDescent="0.3">
      <c r="A8" s="221" t="s">
        <v>248</v>
      </c>
      <c r="B8" s="224">
        <f t="shared" si="2"/>
        <v>45</v>
      </c>
      <c r="C8" s="227">
        <f>IFERROR(VLOOKUP(A8,'참조은 피벗'!A:SF,4,FALSE),0)</f>
        <v>23</v>
      </c>
      <c r="D8" s="227">
        <f>IFERROR(ROUNDDOWN(C8/B8,0),"")</f>
        <v>0</v>
      </c>
      <c r="E8" s="51" t="s">
        <v>271</v>
      </c>
      <c r="F8" s="228">
        <f>IFERROR(C8-(D8*B8),"")</f>
        <v>23</v>
      </c>
      <c r="G8" s="67"/>
      <c r="H8" s="67"/>
    </row>
    <row r="9" spans="1:8" ht="25.35" customHeight="1" x14ac:dyDescent="0.3">
      <c r="A9" s="221" t="s">
        <v>246</v>
      </c>
      <c r="B9" s="224">
        <f t="shared" si="2"/>
        <v>45</v>
      </c>
      <c r="C9" s="227">
        <f>IFERROR(VLOOKUP(A9,'참조은 피벗'!A:SF,4,FALSE),0)</f>
        <v>41</v>
      </c>
      <c r="D9" s="227">
        <f t="shared" si="0"/>
        <v>0</v>
      </c>
      <c r="E9" s="51" t="s">
        <v>270</v>
      </c>
      <c r="F9" s="228">
        <f t="shared" si="1"/>
        <v>41</v>
      </c>
      <c r="G9" s="67"/>
      <c r="H9" s="67"/>
    </row>
    <row r="10" spans="1:8" ht="25.35" customHeight="1" x14ac:dyDescent="0.3">
      <c r="A10" s="221" t="s">
        <v>256</v>
      </c>
      <c r="B10" s="224">
        <f t="shared" si="2"/>
        <v>45</v>
      </c>
      <c r="C10" s="227">
        <f>IFERROR(VLOOKUP(A10,'참조은 피벗'!A:SF,4,FALSE),0)</f>
        <v>27</v>
      </c>
      <c r="D10" s="227">
        <f>IFERROR(ROUNDDOWN(C10/B10,0),"")</f>
        <v>0</v>
      </c>
      <c r="E10" s="51" t="s">
        <v>278</v>
      </c>
      <c r="F10" s="228">
        <f>IFERROR(C10-(D10*B10),"")</f>
        <v>27</v>
      </c>
      <c r="G10" s="67"/>
      <c r="H10" s="67"/>
    </row>
    <row r="11" spans="1:8" ht="25.35" customHeight="1" x14ac:dyDescent="0.3">
      <c r="A11" s="221" t="s">
        <v>247</v>
      </c>
      <c r="B11" s="224">
        <f t="shared" si="2"/>
        <v>45</v>
      </c>
      <c r="C11" s="227">
        <f>IFERROR(VLOOKUP(A11,'참조은 피벗'!A:SF,4,FALSE),0)</f>
        <v>43</v>
      </c>
      <c r="D11" s="227">
        <f t="shared" si="0"/>
        <v>0</v>
      </c>
      <c r="E11" s="51" t="s">
        <v>334</v>
      </c>
      <c r="F11" s="228">
        <f t="shared" si="1"/>
        <v>43</v>
      </c>
      <c r="G11" s="67"/>
      <c r="H11" s="67"/>
    </row>
    <row r="12" spans="1:8" ht="25.35" customHeight="1" x14ac:dyDescent="0.3">
      <c r="A12" s="221" t="s">
        <v>251</v>
      </c>
      <c r="B12" s="224">
        <f t="shared" si="2"/>
        <v>45</v>
      </c>
      <c r="C12" s="227">
        <f>IFERROR(VLOOKUP(A12,'참조은 피벗'!A:SF,4,FALSE),0)</f>
        <v>42</v>
      </c>
      <c r="D12" s="227">
        <f t="shared" si="0"/>
        <v>0</v>
      </c>
      <c r="E12" s="51" t="s">
        <v>274</v>
      </c>
      <c r="F12" s="228">
        <f t="shared" si="1"/>
        <v>42</v>
      </c>
      <c r="G12" s="67"/>
      <c r="H12" s="67"/>
    </row>
    <row r="13" spans="1:8" ht="25.35" customHeight="1" x14ac:dyDescent="0.3">
      <c r="A13" s="220" t="s">
        <v>252</v>
      </c>
      <c r="B13" s="224">
        <f t="shared" si="2"/>
        <v>45</v>
      </c>
      <c r="C13" s="227">
        <f>IFERROR(VLOOKUP(A13,'참조은 피벗'!A:SF,4,FALSE),0)</f>
        <v>35</v>
      </c>
      <c r="D13" s="227">
        <f t="shared" si="0"/>
        <v>0</v>
      </c>
      <c r="E13" s="51" t="s">
        <v>275</v>
      </c>
      <c r="F13" s="228">
        <f t="shared" si="1"/>
        <v>35</v>
      </c>
      <c r="G13" s="67"/>
      <c r="H13" s="67"/>
    </row>
    <row r="14" spans="1:8" ht="25.35" customHeight="1" x14ac:dyDescent="0.3">
      <c r="A14" s="221" t="s">
        <v>253</v>
      </c>
      <c r="B14" s="224">
        <f t="shared" si="2"/>
        <v>45</v>
      </c>
      <c r="C14" s="227">
        <f>IFERROR(VLOOKUP(A14,'참조은 피벗'!A:SF,4,FALSE),0)</f>
        <v>62</v>
      </c>
      <c r="D14" s="227">
        <f t="shared" si="0"/>
        <v>1</v>
      </c>
      <c r="E14" s="51" t="s">
        <v>276</v>
      </c>
      <c r="F14" s="228">
        <f t="shared" si="1"/>
        <v>17</v>
      </c>
      <c r="G14" s="67"/>
      <c r="H14" s="67"/>
    </row>
    <row r="15" spans="1:8" ht="25.35" customHeight="1" x14ac:dyDescent="0.3">
      <c r="A15" s="221" t="s">
        <v>254</v>
      </c>
      <c r="B15" s="224">
        <f t="shared" si="2"/>
        <v>45</v>
      </c>
      <c r="C15" s="227">
        <f>IFERROR(VLOOKUP(A15,'참조은 피벗'!A:SF,4,FALSE),0)</f>
        <v>88</v>
      </c>
      <c r="D15" s="227">
        <f t="shared" si="0"/>
        <v>1</v>
      </c>
      <c r="E15" s="51" t="s">
        <v>277</v>
      </c>
      <c r="F15" s="228">
        <f t="shared" si="1"/>
        <v>43</v>
      </c>
      <c r="G15" s="67"/>
      <c r="H15" s="67"/>
    </row>
    <row r="16" spans="1:8" ht="25.35" customHeight="1" x14ac:dyDescent="0.3">
      <c r="A16" s="221" t="s">
        <v>257</v>
      </c>
      <c r="B16" s="224">
        <f t="shared" si="2"/>
        <v>45</v>
      </c>
      <c r="C16" s="227">
        <f>IFERROR(VLOOKUP(A16,'참조은 피벗'!A:SF,4,FALSE),0)</f>
        <v>16</v>
      </c>
      <c r="D16" s="227">
        <f t="shared" si="0"/>
        <v>0</v>
      </c>
      <c r="E16" s="51" t="s">
        <v>279</v>
      </c>
      <c r="F16" s="228">
        <f t="shared" si="1"/>
        <v>16</v>
      </c>
      <c r="G16" s="67"/>
      <c r="H16" s="67"/>
    </row>
    <row r="17" spans="1:8" ht="25.35" customHeight="1" x14ac:dyDescent="0.3">
      <c r="A17" s="221" t="s">
        <v>258</v>
      </c>
      <c r="B17" s="224">
        <f t="shared" si="2"/>
        <v>45</v>
      </c>
      <c r="C17" s="227">
        <f>IFERROR(VLOOKUP(A17,'참조은 피벗'!A:SF,4,FALSE),0)</f>
        <v>20</v>
      </c>
      <c r="D17" s="227">
        <f t="shared" si="0"/>
        <v>0</v>
      </c>
      <c r="E17" s="51" t="s">
        <v>280</v>
      </c>
      <c r="F17" s="228">
        <f t="shared" si="1"/>
        <v>20</v>
      </c>
      <c r="G17" s="67"/>
      <c r="H17" s="67"/>
    </row>
    <row r="18" spans="1:8" ht="25.35" customHeight="1" x14ac:dyDescent="0.3">
      <c r="A18" s="221" t="s">
        <v>259</v>
      </c>
      <c r="B18" s="224">
        <f t="shared" si="2"/>
        <v>45</v>
      </c>
      <c r="C18" s="227">
        <f>IFERROR(VLOOKUP(A18,'참조은 피벗'!A:SF,4,FALSE),0)</f>
        <v>22</v>
      </c>
      <c r="D18" s="227">
        <f t="shared" si="0"/>
        <v>0</v>
      </c>
      <c r="E18" s="51" t="s">
        <v>336</v>
      </c>
      <c r="F18" s="228">
        <f t="shared" si="1"/>
        <v>22</v>
      </c>
      <c r="G18" s="67"/>
      <c r="H18" s="67"/>
    </row>
    <row r="19" spans="1:8" ht="4.5" customHeight="1" x14ac:dyDescent="0.3">
      <c r="A19" s="289"/>
      <c r="B19" s="290"/>
      <c r="C19" s="290"/>
      <c r="D19" s="290"/>
      <c r="E19" s="290"/>
      <c r="F19" s="291"/>
    </row>
    <row r="20" spans="1:8" ht="32.450000000000003" customHeight="1" x14ac:dyDescent="0.3">
      <c r="A20" s="211" t="s">
        <v>122</v>
      </c>
      <c r="B20" s="225">
        <f>$B$4</f>
        <v>45</v>
      </c>
      <c r="C20" s="212">
        <f>SUM(C4:C18)</f>
        <v>621</v>
      </c>
      <c r="D20" s="55">
        <f>IFERROR(ROUNDDOWN(C20/B20,0),"")</f>
        <v>13</v>
      </c>
      <c r="E20" s="213"/>
      <c r="F20" s="214">
        <f>IFERROR(C20-(D20*B20),"")</f>
        <v>36</v>
      </c>
    </row>
    <row r="21" spans="1:8" ht="4.5" customHeight="1" x14ac:dyDescent="0.3">
      <c r="A21" s="183"/>
      <c r="B21" s="224"/>
      <c r="C21" s="50"/>
      <c r="D21" s="50"/>
      <c r="E21" s="50"/>
      <c r="F21" s="184"/>
    </row>
    <row r="22" spans="1:8" ht="25.35" customHeight="1" x14ac:dyDescent="0.3">
      <c r="A22" s="221" t="s">
        <v>241</v>
      </c>
      <c r="B22" s="224">
        <f t="shared" ref="B22:B26" si="5">$B$4</f>
        <v>45</v>
      </c>
      <c r="C22" s="227">
        <f>IFERROR(VLOOKUP(A22,'참조은 피벗'!A:SF,4,FALSE),0)</f>
        <v>44</v>
      </c>
      <c r="D22" s="227">
        <f>IFERROR(ROUNDDOWN(C22/B22,0),"")</f>
        <v>0</v>
      </c>
      <c r="E22" s="51" t="s">
        <v>268</v>
      </c>
      <c r="F22" s="228">
        <f>IFERROR(C22-(D22*B22),"")</f>
        <v>44</v>
      </c>
      <c r="G22" s="67"/>
      <c r="H22" s="67"/>
    </row>
    <row r="23" spans="1:8" ht="25.35" customHeight="1" x14ac:dyDescent="0.3">
      <c r="A23" s="221" t="s">
        <v>242</v>
      </c>
      <c r="B23" s="224">
        <f t="shared" si="5"/>
        <v>45</v>
      </c>
      <c r="C23" s="227">
        <f>IFERROR(VLOOKUP(A23,'참조은 피벗'!A:SF,4,FALSE),0)</f>
        <v>36</v>
      </c>
      <c r="D23" s="227">
        <f>IFERROR(ROUNDDOWN(C23/B23,0),"")</f>
        <v>0</v>
      </c>
      <c r="E23" s="51" t="s">
        <v>337</v>
      </c>
      <c r="F23" s="228">
        <f>IFERROR(C23-(D23*B23),"")</f>
        <v>36</v>
      </c>
      <c r="G23" s="67"/>
      <c r="H23" s="67"/>
    </row>
    <row r="24" spans="1:8" ht="25.35" customHeight="1" x14ac:dyDescent="0.3">
      <c r="A24" s="221" t="s">
        <v>243</v>
      </c>
      <c r="B24" s="224">
        <f t="shared" si="5"/>
        <v>45</v>
      </c>
      <c r="C24" s="227">
        <f>IFERROR(VLOOKUP(A24,'참조은 피벗'!A:SF,4,FALSE),0)</f>
        <v>0</v>
      </c>
      <c r="D24" s="227">
        <f>IFERROR(ROUNDDOWN(C24/B24,0),"")</f>
        <v>0</v>
      </c>
      <c r="E24" s="51" t="s">
        <v>106</v>
      </c>
      <c r="F24" s="228">
        <f>IFERROR(C24-(D24*B24),"")</f>
        <v>0</v>
      </c>
      <c r="G24" s="67"/>
      <c r="H24" s="67"/>
    </row>
    <row r="25" spans="1:8" ht="25.35" customHeight="1" x14ac:dyDescent="0.3">
      <c r="A25" s="221" t="s">
        <v>244</v>
      </c>
      <c r="B25" s="224">
        <f t="shared" si="5"/>
        <v>45</v>
      </c>
      <c r="C25" s="227">
        <f>IFERROR(VLOOKUP(A25,'참조은 피벗'!A:SF,4,FALSE),0)</f>
        <v>95</v>
      </c>
      <c r="D25" s="227">
        <f>IFERROR(ROUNDDOWN(C25/B25,0),"")</f>
        <v>2</v>
      </c>
      <c r="E25" s="51" t="s">
        <v>269</v>
      </c>
      <c r="F25" s="228">
        <f>IFERROR(C25-(D25*B25),"")</f>
        <v>5</v>
      </c>
      <c r="G25" s="67"/>
      <c r="H25" s="67"/>
    </row>
    <row r="26" spans="1:8" ht="25.35" customHeight="1" x14ac:dyDescent="0.3">
      <c r="A26" s="221" t="s">
        <v>245</v>
      </c>
      <c r="B26" s="224">
        <f t="shared" si="5"/>
        <v>45</v>
      </c>
      <c r="C26" s="227">
        <f>IFERROR(VLOOKUP(A26,'참조은 피벗'!A:SF,4,FALSE),0)</f>
        <v>19</v>
      </c>
      <c r="D26" s="227">
        <f>IFERROR(ROUNDDOWN(C26/B26,0),"")</f>
        <v>0</v>
      </c>
      <c r="E26" s="51" t="s">
        <v>118</v>
      </c>
      <c r="F26" s="228">
        <f>IFERROR(C26-(D26*B26),"")</f>
        <v>19</v>
      </c>
      <c r="G26" s="67"/>
      <c r="H26" s="67"/>
    </row>
    <row r="27" spans="1:8" ht="4.5" customHeight="1" x14ac:dyDescent="0.3">
      <c r="A27" s="289"/>
      <c r="B27" s="290"/>
      <c r="C27" s="290"/>
      <c r="D27" s="290"/>
      <c r="E27" s="290"/>
      <c r="F27" s="291"/>
      <c r="G27" s="67"/>
      <c r="H27" s="67"/>
    </row>
    <row r="28" spans="1:8" ht="32.450000000000003" customHeight="1" x14ac:dyDescent="0.3">
      <c r="A28" s="211" t="s">
        <v>285</v>
      </c>
      <c r="B28" s="225">
        <f>$B$4</f>
        <v>45</v>
      </c>
      <c r="C28" s="212">
        <f>SUM(C22:C26)</f>
        <v>194</v>
      </c>
      <c r="D28" s="55">
        <f>IFERROR(ROUNDDOWN(C28/B28,0),"")</f>
        <v>4</v>
      </c>
      <c r="E28" s="213"/>
      <c r="F28" s="214">
        <f>IFERROR(C28-(D28*B28),"")</f>
        <v>14</v>
      </c>
      <c r="G28" s="67"/>
      <c r="H28" s="67"/>
    </row>
    <row r="29" spans="1:8" ht="4.5" customHeight="1" x14ac:dyDescent="0.3">
      <c r="A29" s="289"/>
      <c r="B29" s="290"/>
      <c r="C29" s="290"/>
      <c r="D29" s="290"/>
      <c r="E29" s="290"/>
      <c r="F29" s="291"/>
      <c r="G29" s="67"/>
      <c r="H29" s="67"/>
    </row>
    <row r="30" spans="1:8" ht="25.35" customHeight="1" x14ac:dyDescent="0.3">
      <c r="A30" s="221" t="s">
        <v>239</v>
      </c>
      <c r="B30" s="224">
        <f t="shared" ref="B30:B31" si="6">$B$4</f>
        <v>45</v>
      </c>
      <c r="C30" s="227">
        <f>IFERROR(VLOOKUP(A30,'참조은 피벗'!A:SF,4,FALSE),0)</f>
        <v>38</v>
      </c>
      <c r="D30" s="227">
        <f t="shared" ref="D30:D31" si="7">IFERROR(ROUNDDOWN(C30/B30,0),"")</f>
        <v>0</v>
      </c>
      <c r="E30" s="51" t="s">
        <v>266</v>
      </c>
      <c r="F30" s="228">
        <f t="shared" ref="F30:F31" si="8">IFERROR(C30-(D30*B30),"")</f>
        <v>38</v>
      </c>
      <c r="G30" s="67"/>
      <c r="H30" s="67"/>
    </row>
    <row r="31" spans="1:8" ht="25.35" customHeight="1" x14ac:dyDescent="0.3">
      <c r="A31" s="221" t="s">
        <v>240</v>
      </c>
      <c r="B31" s="224">
        <f t="shared" si="6"/>
        <v>45</v>
      </c>
      <c r="C31" s="227">
        <f>IFERROR(VLOOKUP(A31,'참조은 피벗'!A:SF,4,FALSE),0)</f>
        <v>28</v>
      </c>
      <c r="D31" s="227">
        <f t="shared" si="7"/>
        <v>0</v>
      </c>
      <c r="E31" s="51" t="s">
        <v>267</v>
      </c>
      <c r="F31" s="228">
        <f t="shared" si="8"/>
        <v>28</v>
      </c>
      <c r="G31" s="67"/>
      <c r="H31" s="67"/>
    </row>
    <row r="32" spans="1:8" ht="4.5" customHeight="1" x14ac:dyDescent="0.3">
      <c r="A32" s="289"/>
      <c r="B32" s="290"/>
      <c r="C32" s="290"/>
      <c r="D32" s="290"/>
      <c r="E32" s="290"/>
      <c r="F32" s="291"/>
      <c r="G32" s="67"/>
      <c r="H32" s="67"/>
    </row>
    <row r="33" spans="1:8" ht="32.450000000000003" customHeight="1" x14ac:dyDescent="0.3">
      <c r="A33" s="211" t="s">
        <v>284</v>
      </c>
      <c r="B33" s="225">
        <f>$B$4</f>
        <v>45</v>
      </c>
      <c r="C33" s="212">
        <f>SUM(C30:C31)</f>
        <v>66</v>
      </c>
      <c r="D33" s="55">
        <f>IFERROR(ROUNDDOWN(C33/B33,0),"")</f>
        <v>1</v>
      </c>
      <c r="E33" s="213"/>
      <c r="F33" s="214">
        <f>IFERROR(C33-(D33*B33),"")</f>
        <v>21</v>
      </c>
      <c r="G33" s="67"/>
      <c r="H33" s="67"/>
    </row>
    <row r="34" spans="1:8" ht="4.5" customHeight="1" x14ac:dyDescent="0.3">
      <c r="A34" s="183"/>
      <c r="B34" s="224"/>
      <c r="C34" s="50"/>
      <c r="D34" s="50"/>
      <c r="E34" s="50"/>
      <c r="F34" s="184"/>
      <c r="G34" s="67"/>
      <c r="H34" s="67"/>
    </row>
    <row r="35" spans="1:8" ht="25.35" customHeight="1" x14ac:dyDescent="0.3">
      <c r="A35" s="221" t="s">
        <v>236</v>
      </c>
      <c r="B35" s="224">
        <f t="shared" ref="B35:B37" si="9">$B$4</f>
        <v>45</v>
      </c>
      <c r="C35" s="227">
        <f>IFERROR(VLOOKUP(A35,'참조은 피벗'!A:SF,4,FALSE),0)</f>
        <v>31</v>
      </c>
      <c r="D35" s="227">
        <f t="shared" ref="D35:D37" si="10">IFERROR(ROUNDDOWN(C35/B35,0),"")</f>
        <v>0</v>
      </c>
      <c r="E35" s="51" t="s">
        <v>264</v>
      </c>
      <c r="F35" s="228">
        <f t="shared" ref="F35:F37" si="11">IFERROR(C35-(D35*B35),"")</f>
        <v>31</v>
      </c>
      <c r="G35" s="67"/>
      <c r="H35" s="67"/>
    </row>
    <row r="36" spans="1:8" ht="25.35" customHeight="1" x14ac:dyDescent="0.3">
      <c r="A36" s="221" t="s">
        <v>237</v>
      </c>
      <c r="B36" s="224">
        <f t="shared" si="9"/>
        <v>45</v>
      </c>
      <c r="C36" s="227">
        <f>IFERROR(VLOOKUP(A36,'참조은 피벗'!A:SF,4,FALSE),0)</f>
        <v>28</v>
      </c>
      <c r="D36" s="227">
        <f t="shared" si="10"/>
        <v>0</v>
      </c>
      <c r="E36" s="51" t="s">
        <v>338</v>
      </c>
      <c r="F36" s="228">
        <f t="shared" si="11"/>
        <v>28</v>
      </c>
      <c r="G36" s="67"/>
      <c r="H36" s="67"/>
    </row>
    <row r="37" spans="1:8" ht="25.35" customHeight="1" x14ac:dyDescent="0.3">
      <c r="A37" s="221" t="s">
        <v>238</v>
      </c>
      <c r="B37" s="224">
        <f t="shared" si="9"/>
        <v>45</v>
      </c>
      <c r="C37" s="227">
        <f>IFERROR(VLOOKUP(A37,'참조은 피벗'!A:SF,4,FALSE),0)</f>
        <v>26</v>
      </c>
      <c r="D37" s="227">
        <f t="shared" si="10"/>
        <v>0</v>
      </c>
      <c r="E37" s="51" t="s">
        <v>265</v>
      </c>
      <c r="F37" s="228">
        <f t="shared" si="11"/>
        <v>26</v>
      </c>
      <c r="G37" s="67"/>
      <c r="H37" s="67"/>
    </row>
    <row r="38" spans="1:8" ht="4.5" customHeight="1" x14ac:dyDescent="0.3">
      <c r="A38" s="289"/>
      <c r="B38" s="290"/>
      <c r="C38" s="290"/>
      <c r="D38" s="290"/>
      <c r="E38" s="290"/>
      <c r="F38" s="291"/>
      <c r="G38" s="67"/>
      <c r="H38" s="67"/>
    </row>
    <row r="39" spans="1:8" ht="32.450000000000003" customHeight="1" x14ac:dyDescent="0.3">
      <c r="A39" s="211" t="s">
        <v>283</v>
      </c>
      <c r="B39" s="225">
        <f>$B$4</f>
        <v>45</v>
      </c>
      <c r="C39" s="212">
        <f>SUM(C35:C37)</f>
        <v>85</v>
      </c>
      <c r="D39" s="55">
        <f>IFERROR(ROUNDDOWN(C39/B39,0),"")</f>
        <v>1</v>
      </c>
      <c r="E39" s="213"/>
      <c r="F39" s="214">
        <f>IFERROR(C39-(D39*B39),"")</f>
        <v>40</v>
      </c>
      <c r="G39" s="67"/>
      <c r="H39" s="67"/>
    </row>
    <row r="40" spans="1:8" ht="4.5" customHeight="1" x14ac:dyDescent="0.3">
      <c r="A40" s="183"/>
      <c r="B40" s="224"/>
      <c r="C40" s="50"/>
      <c r="D40" s="50"/>
      <c r="E40" s="50"/>
      <c r="F40" s="184"/>
      <c r="G40" s="67"/>
      <c r="H40" s="67"/>
    </row>
    <row r="41" spans="1:8" ht="25.35" customHeight="1" x14ac:dyDescent="0.3">
      <c r="A41" s="221" t="s">
        <v>261</v>
      </c>
      <c r="B41" s="224">
        <f t="shared" ref="B41:B42" si="12">$B$4</f>
        <v>45</v>
      </c>
      <c r="C41" s="227">
        <f>IFERROR(VLOOKUP(A41,'참조은 피벗'!A:SF,4,FALSE),0)</f>
        <v>5</v>
      </c>
      <c r="D41" s="227">
        <f t="shared" ref="D41:D42" si="13">IFERROR(ROUNDDOWN(C41/B41,0),"")</f>
        <v>0</v>
      </c>
      <c r="E41" s="51" t="s">
        <v>281</v>
      </c>
      <c r="F41" s="228">
        <f t="shared" ref="F41:F42" si="14">IFERROR(C41-(D41*B41),"")</f>
        <v>5</v>
      </c>
      <c r="G41" s="67"/>
      <c r="H41" s="67"/>
    </row>
    <row r="42" spans="1:8" ht="25.35" customHeight="1" x14ac:dyDescent="0.3">
      <c r="A42" s="221" t="s">
        <v>262</v>
      </c>
      <c r="B42" s="224">
        <f t="shared" si="12"/>
        <v>45</v>
      </c>
      <c r="C42" s="227">
        <f>IFERROR(VLOOKUP(A42,'참조은 피벗'!A:SF,4,FALSE),0)</f>
        <v>6</v>
      </c>
      <c r="D42" s="227">
        <f t="shared" si="13"/>
        <v>0</v>
      </c>
      <c r="E42" s="51" t="s">
        <v>282</v>
      </c>
      <c r="F42" s="228">
        <f t="shared" si="14"/>
        <v>6</v>
      </c>
      <c r="G42" s="67"/>
      <c r="H42" s="67"/>
    </row>
    <row r="43" spans="1:8" ht="4.5" customHeight="1" x14ac:dyDescent="0.3">
      <c r="A43" s="289"/>
      <c r="B43" s="290"/>
      <c r="C43" s="290"/>
      <c r="D43" s="290"/>
      <c r="E43" s="290"/>
      <c r="F43" s="291"/>
      <c r="G43" s="67"/>
      <c r="H43" s="67"/>
    </row>
    <row r="44" spans="1:8" ht="32.450000000000003" customHeight="1" x14ac:dyDescent="0.3">
      <c r="A44" s="211" t="s">
        <v>339</v>
      </c>
      <c r="B44" s="225">
        <f>$B$4</f>
        <v>45</v>
      </c>
      <c r="C44" s="212">
        <f>SUM(C41:C42)</f>
        <v>11</v>
      </c>
      <c r="D44" s="55">
        <f>IFERROR(ROUNDDOWN(C44/B44,0),"")</f>
        <v>0</v>
      </c>
      <c r="E44" s="213"/>
      <c r="F44" s="214">
        <f>IFERROR(C44-(D44*B44),"")</f>
        <v>11</v>
      </c>
      <c r="G44" s="67"/>
      <c r="H44" s="67"/>
    </row>
    <row r="45" spans="1:8" ht="4.5" customHeight="1" thickBot="1" x14ac:dyDescent="0.35">
      <c r="A45" s="183"/>
      <c r="B45" s="50"/>
      <c r="C45" s="50"/>
      <c r="D45" s="50"/>
      <c r="E45" s="50"/>
      <c r="F45" s="184"/>
      <c r="G45" s="67"/>
      <c r="H45" s="67"/>
    </row>
    <row r="46" spans="1:8" ht="26.25" x14ac:dyDescent="0.3">
      <c r="A46" s="87" t="s">
        <v>3</v>
      </c>
      <c r="B46" s="226">
        <f>$B$4</f>
        <v>45</v>
      </c>
      <c r="C46" s="55">
        <f>SUM(C4:C18,C35:C37,C30:C31,C22:C26,C41:C42)</f>
        <v>977</v>
      </c>
      <c r="D46" s="54">
        <f>IFERROR(ROUNDDOWN(C46/B46,0),"")</f>
        <v>21</v>
      </c>
      <c r="E46" s="56"/>
      <c r="F46" s="121">
        <f>IFERROR(C46-(D46*B46),"")</f>
        <v>32</v>
      </c>
      <c r="G46" s="232" t="s">
        <v>110</v>
      </c>
      <c r="H46" s="233" t="s">
        <v>111</v>
      </c>
    </row>
    <row r="47" spans="1:8" ht="27" thickBot="1" x14ac:dyDescent="0.35">
      <c r="A47" s="42" t="s">
        <v>286</v>
      </c>
      <c r="B47" s="43" t="s">
        <v>173</v>
      </c>
      <c r="C47" s="40"/>
      <c r="D47" s="41">
        <f>SUM(D4:D18,D35:D37,D30:D31,D22:D26,D41:D42)</f>
        <v>6</v>
      </c>
      <c r="E47" s="48"/>
      <c r="F47" s="93">
        <f>SUM(F4:F18,F35:F37,F30:F31,F22:F26,F41:F42)</f>
        <v>707</v>
      </c>
      <c r="G47" s="216">
        <f>IFERROR(ROUNDDOWN(F47/B35,0),"")</f>
        <v>15</v>
      </c>
      <c r="H47" s="217">
        <f>IFERROR(F47-(G47*B35),"")</f>
        <v>32</v>
      </c>
    </row>
    <row r="48" spans="1:8" ht="22.5" customHeight="1" x14ac:dyDescent="0.3">
      <c r="C48" s="77">
        <f>C20+C28+C33+C39+C44</f>
        <v>977</v>
      </c>
      <c r="G48" s="199"/>
      <c r="H48" s="34" t="s">
        <v>174</v>
      </c>
    </row>
    <row r="49" spans="3:3" x14ac:dyDescent="0.3">
      <c r="C49" s="34" t="b">
        <f>C48=C46</f>
        <v>1</v>
      </c>
    </row>
  </sheetData>
  <sortState xmlns:xlrd2="http://schemas.microsoft.com/office/spreadsheetml/2017/richdata2" ref="A35:R40">
    <sortCondition ref="A35:A40" customList="VV16 (주)지에스리테일원주일배,VV69 ㈜지에스리테일강릉일배센터,VV57 (주)지에스리테일김해일배,VV58 (주)지에스리테일김해2일배,VV25 (주)지에스리테일진주일배,VV20 (주)지에스리테일(해인CVS),VV92 (주)지에스리테일신제주저온,VV95 (주)지에스리테일신광주저온,VV96 (주)지에스리테일신광주2저,VV83 지에스리테일경산저온,VV84 ㈜지에스리테일경산2저온,VV97 (주)지에스리테일경산3저온,VV34 (주)지에스리테일청주일배,VV04 (주)지에스리테일공주일배,VV75 (주)지에스리테일공주2일배,VV65 ㈜지에스리테일익산일배,VV03 (주)지에스리테일(아신A),VV63 ㈜지에스리테일고양일배센터,VV64 ㈜지에스리테일고양일배2,VV81 (주)지에스리테일고양저온3,VV62 (주)지에스리테일김포2일배,VV70 ㈜지에스리테일김포3일배,VV98 (주)지에스리테일고촌저온,VV99 (주)지에스리테일고촌2저온,VV90 (주)지에스리테일포천저온,VV91 (주)지에스리테일포천2저온,VV85 지에스리테일신오산1저온,VV86 지에스리테일신오산2저온,VV87 지에스리테일신오산3저온,VV66 지에스리테일인천도화일배,VV67 지에스리테일인천도화2일배,VV17 (주)지에스리테일발안일배,VV71 (주)지에스리테일발안2일배,VV53 (주)지에스리테일송파일배,VV55 (주)지에스리테일송파2일배,VV93 (주)지에스리테일곤지암센터,VV94 (주)지에스리테일곤지암2센"/>
  </sortState>
  <mergeCells count="8">
    <mergeCell ref="A43:F43"/>
    <mergeCell ref="A1:F1"/>
    <mergeCell ref="B2:F2"/>
    <mergeCell ref="A38:F38"/>
    <mergeCell ref="A32:F32"/>
    <mergeCell ref="A27:F27"/>
    <mergeCell ref="A29:F29"/>
    <mergeCell ref="A19:F19"/>
  </mergeCells>
  <phoneticPr fontId="13" type="noConversion"/>
  <printOptions horizontalCentered="1" verticalCentered="1"/>
  <pageMargins left="0" right="0" top="0" bottom="0" header="0" footer="0"/>
  <pageSetup paperSize="9" scale="77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8">
    <tabColor theme="5" tint="0.59999389629810485"/>
    <pageSetUpPr fitToPage="1"/>
  </sheetPr>
  <dimension ref="A1:L49"/>
  <sheetViews>
    <sheetView zoomScale="40" zoomScaleNormal="40" zoomScaleSheetLayoutView="75" workbookViewId="0">
      <selection activeCell="A2" sqref="A2:F47"/>
    </sheetView>
  </sheetViews>
  <sheetFormatPr defaultColWidth="9" defaultRowHeight="16.5" x14ac:dyDescent="0.3"/>
  <cols>
    <col min="1" max="1" width="24.75" style="34" customWidth="1"/>
    <col min="2" max="2" width="7.625" style="38" customWidth="1"/>
    <col min="3" max="3" width="30.625" style="34" customWidth="1"/>
    <col min="4" max="4" width="9.875" style="2" customWidth="1"/>
    <col min="5" max="5" width="11.375" style="34" customWidth="1"/>
    <col min="6" max="6" width="11.125" style="2" customWidth="1"/>
    <col min="7" max="7" width="8.375" style="34" customWidth="1"/>
    <col min="8" max="8" width="9" style="34" customWidth="1"/>
    <col min="9" max="13" width="9" style="34"/>
    <col min="14" max="14" width="10.625" style="34" customWidth="1"/>
    <col min="15" max="17" width="9" style="34"/>
    <col min="18" max="18" width="36.5" style="34" bestFit="1" customWidth="1"/>
    <col min="19" max="16384" width="9" style="34"/>
  </cols>
  <sheetData>
    <row r="1" spans="1:12" ht="25.9" customHeight="1" thickBot="1" x14ac:dyDescent="0.35">
      <c r="A1" s="270"/>
      <c r="B1" s="270"/>
      <c r="C1" s="270"/>
      <c r="D1" s="270"/>
      <c r="E1" s="270"/>
      <c r="F1" s="270"/>
    </row>
    <row r="2" spans="1:12" ht="25.9" customHeight="1" x14ac:dyDescent="0.3">
      <c r="A2" s="215">
        <f ca="1">TODAY()</f>
        <v>46314</v>
      </c>
      <c r="B2" s="287" t="s">
        <v>263</v>
      </c>
      <c r="C2" s="287"/>
      <c r="D2" s="287"/>
      <c r="E2" s="287"/>
      <c r="F2" s="288"/>
      <c r="G2" s="67"/>
      <c r="H2" s="67"/>
    </row>
    <row r="3" spans="1:12" ht="40.5" customHeight="1" x14ac:dyDescent="0.3">
      <c r="A3" s="222" t="s">
        <v>67</v>
      </c>
      <c r="B3" s="223" t="s">
        <v>13</v>
      </c>
      <c r="C3" s="229" t="s">
        <v>295</v>
      </c>
      <c r="D3" s="230" t="s">
        <v>2</v>
      </c>
      <c r="E3" s="229" t="s">
        <v>23</v>
      </c>
      <c r="F3" s="231" t="s">
        <v>14</v>
      </c>
      <c r="G3" s="67"/>
      <c r="H3" s="67"/>
      <c r="K3" s="73"/>
      <c r="L3" s="73"/>
    </row>
    <row r="4" spans="1:12" ht="25.35" customHeight="1" x14ac:dyDescent="0.3">
      <c r="A4" s="220" t="s">
        <v>260</v>
      </c>
      <c r="B4" s="224">
        <v>30</v>
      </c>
      <c r="C4" s="227">
        <f>IFERROR(VLOOKUP(A4,'참조은 피벗'!A:SF,5,FALSE),0)</f>
        <v>11</v>
      </c>
      <c r="D4" s="227">
        <f t="shared" ref="D4:D18" si="0">IFERROR(ROUNDDOWN(C4/B4,0),"")</f>
        <v>0</v>
      </c>
      <c r="E4" s="51" t="s">
        <v>109</v>
      </c>
      <c r="F4" s="228">
        <f t="shared" ref="F4:F18" si="1">IFERROR(C4-(D4*B4),"")</f>
        <v>11</v>
      </c>
      <c r="G4" s="67"/>
      <c r="H4" s="67"/>
      <c r="K4" s="73"/>
      <c r="L4" s="73"/>
    </row>
    <row r="5" spans="1:12" ht="25.35" customHeight="1" x14ac:dyDescent="0.3">
      <c r="A5" s="221" t="s">
        <v>255</v>
      </c>
      <c r="B5" s="224">
        <f t="shared" ref="B5:B18" si="2">$B$4</f>
        <v>30</v>
      </c>
      <c r="C5" s="227">
        <f>IFERROR(VLOOKUP(A5,'참조은 피벗'!A:SF,5,FALSE),0)</f>
        <v>167</v>
      </c>
      <c r="D5" s="227">
        <f t="shared" ref="D5" si="3">IFERROR(ROUNDDOWN(C5/B5,0),"")</f>
        <v>5</v>
      </c>
      <c r="E5" s="51" t="s">
        <v>335</v>
      </c>
      <c r="F5" s="228">
        <f t="shared" ref="F5" si="4">IFERROR(C5-(D5*B5),"")</f>
        <v>17</v>
      </c>
      <c r="G5" s="67"/>
      <c r="H5" s="67"/>
      <c r="K5" s="73"/>
      <c r="L5" s="73"/>
    </row>
    <row r="6" spans="1:12" ht="25.35" customHeight="1" x14ac:dyDescent="0.3">
      <c r="A6" s="221" t="s">
        <v>249</v>
      </c>
      <c r="B6" s="224">
        <f t="shared" si="2"/>
        <v>30</v>
      </c>
      <c r="C6" s="227">
        <f>IFERROR(VLOOKUP(A6,'참조은 피벗'!A:SF,5,FALSE),0)</f>
        <v>113</v>
      </c>
      <c r="D6" s="227">
        <f>IFERROR(ROUNDDOWN(C6/B6,0),"")</f>
        <v>3</v>
      </c>
      <c r="E6" s="51" t="s">
        <v>272</v>
      </c>
      <c r="F6" s="228">
        <f>IFERROR(C6-(D6*B6),"")</f>
        <v>23</v>
      </c>
      <c r="G6" s="67"/>
      <c r="H6" s="67"/>
      <c r="K6" s="73"/>
      <c r="L6" s="73"/>
    </row>
    <row r="7" spans="1:12" ht="25.35" customHeight="1" x14ac:dyDescent="0.3">
      <c r="A7" s="221" t="s">
        <v>250</v>
      </c>
      <c r="B7" s="224">
        <f t="shared" si="2"/>
        <v>30</v>
      </c>
      <c r="C7" s="227">
        <f>IFERROR(VLOOKUP(A7,'참조은 피벗'!A:SF,5,FALSE),0)</f>
        <v>122</v>
      </c>
      <c r="D7" s="227">
        <f>IFERROR(ROUNDDOWN(C7/B7,0),"")</f>
        <v>4</v>
      </c>
      <c r="E7" s="51" t="s">
        <v>273</v>
      </c>
      <c r="F7" s="228">
        <f>IFERROR(C7-(D7*B7),"")</f>
        <v>2</v>
      </c>
      <c r="G7" s="67"/>
      <c r="H7" s="67"/>
      <c r="K7" s="73"/>
      <c r="L7" s="73"/>
    </row>
    <row r="8" spans="1:12" ht="25.35" customHeight="1" x14ac:dyDescent="0.3">
      <c r="A8" s="221" t="s">
        <v>248</v>
      </c>
      <c r="B8" s="224">
        <f t="shared" si="2"/>
        <v>30</v>
      </c>
      <c r="C8" s="227">
        <f>IFERROR(VLOOKUP(A8,'참조은 피벗'!A:SF,5,FALSE),0)</f>
        <v>42</v>
      </c>
      <c r="D8" s="227">
        <f>IFERROR(ROUNDDOWN(C8/B8,0),"")</f>
        <v>1</v>
      </c>
      <c r="E8" s="51" t="s">
        <v>271</v>
      </c>
      <c r="F8" s="228">
        <f>IFERROR(C8-(D8*B8),"")</f>
        <v>12</v>
      </c>
      <c r="G8" s="67"/>
      <c r="H8" s="67"/>
      <c r="K8" s="73"/>
      <c r="L8" s="73"/>
    </row>
    <row r="9" spans="1:12" ht="25.35" customHeight="1" x14ac:dyDescent="0.3">
      <c r="A9" s="221" t="s">
        <v>246</v>
      </c>
      <c r="B9" s="224">
        <f t="shared" si="2"/>
        <v>30</v>
      </c>
      <c r="C9" s="227">
        <f>IFERROR(VLOOKUP(A9,'참조은 피벗'!A:SF,5,FALSE),0)</f>
        <v>39</v>
      </c>
      <c r="D9" s="227">
        <f t="shared" si="0"/>
        <v>1</v>
      </c>
      <c r="E9" s="51" t="s">
        <v>270</v>
      </c>
      <c r="F9" s="228">
        <f t="shared" si="1"/>
        <v>9</v>
      </c>
      <c r="G9" s="67"/>
      <c r="H9" s="67"/>
      <c r="K9" s="73"/>
      <c r="L9" s="73"/>
    </row>
    <row r="10" spans="1:12" ht="25.35" customHeight="1" x14ac:dyDescent="0.3">
      <c r="A10" s="221" t="s">
        <v>256</v>
      </c>
      <c r="B10" s="224">
        <f t="shared" si="2"/>
        <v>30</v>
      </c>
      <c r="C10" s="227">
        <f>IFERROR(VLOOKUP(A10,'참조은 피벗'!A:SF,5,FALSE),0)</f>
        <v>26</v>
      </c>
      <c r="D10" s="227">
        <f>IFERROR(ROUNDDOWN(C10/B10,0),"")</f>
        <v>0</v>
      </c>
      <c r="E10" s="51" t="s">
        <v>278</v>
      </c>
      <c r="F10" s="228">
        <f>IFERROR(C10-(D10*B10),"")</f>
        <v>26</v>
      </c>
      <c r="G10" s="67"/>
      <c r="H10" s="67"/>
      <c r="K10" s="73"/>
      <c r="L10" s="73"/>
    </row>
    <row r="11" spans="1:12" ht="25.35" customHeight="1" x14ac:dyDescent="0.3">
      <c r="A11" s="221" t="s">
        <v>247</v>
      </c>
      <c r="B11" s="224">
        <f t="shared" si="2"/>
        <v>30</v>
      </c>
      <c r="C11" s="227">
        <f>IFERROR(VLOOKUP(A11,'참조은 피벗'!A:SF,5,FALSE),0)</f>
        <v>76</v>
      </c>
      <c r="D11" s="227">
        <f t="shared" si="0"/>
        <v>2</v>
      </c>
      <c r="E11" s="51" t="s">
        <v>334</v>
      </c>
      <c r="F11" s="228">
        <f t="shared" si="1"/>
        <v>16</v>
      </c>
      <c r="G11" s="67"/>
      <c r="H11" s="67"/>
      <c r="K11" s="73"/>
      <c r="L11" s="73"/>
    </row>
    <row r="12" spans="1:12" ht="25.35" customHeight="1" x14ac:dyDescent="0.3">
      <c r="A12" s="221" t="s">
        <v>251</v>
      </c>
      <c r="B12" s="224">
        <f t="shared" si="2"/>
        <v>30</v>
      </c>
      <c r="C12" s="227">
        <f>IFERROR(VLOOKUP(A12,'참조은 피벗'!A:SF,5,FALSE),0)</f>
        <v>86</v>
      </c>
      <c r="D12" s="227">
        <f t="shared" si="0"/>
        <v>2</v>
      </c>
      <c r="E12" s="51" t="s">
        <v>274</v>
      </c>
      <c r="F12" s="228">
        <f t="shared" si="1"/>
        <v>26</v>
      </c>
      <c r="G12" s="67"/>
      <c r="H12" s="67"/>
      <c r="K12" s="73"/>
      <c r="L12" s="73"/>
    </row>
    <row r="13" spans="1:12" ht="25.35" customHeight="1" x14ac:dyDescent="0.3">
      <c r="A13" s="220" t="s">
        <v>252</v>
      </c>
      <c r="B13" s="224">
        <f t="shared" si="2"/>
        <v>30</v>
      </c>
      <c r="C13" s="227">
        <f>IFERROR(VLOOKUP(A13,'참조은 피벗'!A:SF,5,FALSE),0)</f>
        <v>92</v>
      </c>
      <c r="D13" s="227">
        <f t="shared" si="0"/>
        <v>3</v>
      </c>
      <c r="E13" s="51" t="s">
        <v>275</v>
      </c>
      <c r="F13" s="228">
        <f t="shared" si="1"/>
        <v>2</v>
      </c>
      <c r="G13" s="67"/>
      <c r="H13" s="67"/>
      <c r="K13" s="73"/>
      <c r="L13" s="73"/>
    </row>
    <row r="14" spans="1:12" ht="25.35" customHeight="1" x14ac:dyDescent="0.3">
      <c r="A14" s="221" t="s">
        <v>253</v>
      </c>
      <c r="B14" s="224">
        <f t="shared" si="2"/>
        <v>30</v>
      </c>
      <c r="C14" s="227">
        <f>IFERROR(VLOOKUP(A14,'참조은 피벗'!A:SF,5,FALSE),0)</f>
        <v>96</v>
      </c>
      <c r="D14" s="227">
        <f t="shared" si="0"/>
        <v>3</v>
      </c>
      <c r="E14" s="51" t="s">
        <v>276</v>
      </c>
      <c r="F14" s="228">
        <f t="shared" si="1"/>
        <v>6</v>
      </c>
      <c r="G14" s="67"/>
      <c r="H14" s="67"/>
      <c r="K14" s="73"/>
      <c r="L14" s="73"/>
    </row>
    <row r="15" spans="1:12" ht="25.35" customHeight="1" x14ac:dyDescent="0.3">
      <c r="A15" s="221" t="s">
        <v>254</v>
      </c>
      <c r="B15" s="224">
        <f t="shared" si="2"/>
        <v>30</v>
      </c>
      <c r="C15" s="227">
        <f>IFERROR(VLOOKUP(A15,'참조은 피벗'!A:SF,5,FALSE),0)</f>
        <v>188</v>
      </c>
      <c r="D15" s="227">
        <f t="shared" si="0"/>
        <v>6</v>
      </c>
      <c r="E15" s="51" t="s">
        <v>277</v>
      </c>
      <c r="F15" s="228">
        <f t="shared" si="1"/>
        <v>8</v>
      </c>
      <c r="G15" s="67"/>
      <c r="H15" s="67"/>
      <c r="K15" s="73"/>
      <c r="L15" s="73"/>
    </row>
    <row r="16" spans="1:12" ht="25.35" customHeight="1" x14ac:dyDescent="0.3">
      <c r="A16" s="221" t="s">
        <v>257</v>
      </c>
      <c r="B16" s="224">
        <f t="shared" si="2"/>
        <v>30</v>
      </c>
      <c r="C16" s="227">
        <f>IFERROR(VLOOKUP(A16,'참조은 피벗'!A:SF,5,FALSE),0)</f>
        <v>38</v>
      </c>
      <c r="D16" s="227">
        <f t="shared" si="0"/>
        <v>1</v>
      </c>
      <c r="E16" s="51" t="s">
        <v>279</v>
      </c>
      <c r="F16" s="228">
        <f t="shared" si="1"/>
        <v>8</v>
      </c>
      <c r="G16" s="67"/>
      <c r="H16" s="67"/>
      <c r="K16" s="73"/>
      <c r="L16" s="73"/>
    </row>
    <row r="17" spans="1:12" ht="25.35" customHeight="1" x14ac:dyDescent="0.3">
      <c r="A17" s="221" t="s">
        <v>258</v>
      </c>
      <c r="B17" s="224">
        <f t="shared" si="2"/>
        <v>30</v>
      </c>
      <c r="C17" s="227">
        <f>IFERROR(VLOOKUP(A17,'참조은 피벗'!A:SF,5,FALSE),0)</f>
        <v>27</v>
      </c>
      <c r="D17" s="227">
        <f t="shared" si="0"/>
        <v>0</v>
      </c>
      <c r="E17" s="51" t="s">
        <v>280</v>
      </c>
      <c r="F17" s="228">
        <f t="shared" si="1"/>
        <v>27</v>
      </c>
      <c r="G17" s="67"/>
      <c r="H17" s="67"/>
      <c r="K17" s="73"/>
      <c r="L17" s="73"/>
    </row>
    <row r="18" spans="1:12" ht="25.35" customHeight="1" x14ac:dyDescent="0.3">
      <c r="A18" s="221" t="s">
        <v>259</v>
      </c>
      <c r="B18" s="224">
        <f t="shared" si="2"/>
        <v>30</v>
      </c>
      <c r="C18" s="227">
        <f>IFERROR(VLOOKUP(A18,'참조은 피벗'!A:SF,5,FALSE),0)</f>
        <v>33</v>
      </c>
      <c r="D18" s="227">
        <f t="shared" si="0"/>
        <v>1</v>
      </c>
      <c r="E18" s="51" t="s">
        <v>336</v>
      </c>
      <c r="F18" s="228">
        <f t="shared" si="1"/>
        <v>3</v>
      </c>
      <c r="G18" s="67"/>
      <c r="H18" s="67"/>
      <c r="K18" s="73"/>
      <c r="L18" s="73"/>
    </row>
    <row r="19" spans="1:12" ht="4.5" customHeight="1" x14ac:dyDescent="0.3">
      <c r="A19" s="284"/>
      <c r="B19" s="285"/>
      <c r="C19" s="285"/>
      <c r="D19" s="285"/>
      <c r="E19" s="285"/>
      <c r="F19" s="286"/>
      <c r="K19" s="73"/>
      <c r="L19" s="73"/>
    </row>
    <row r="20" spans="1:12" ht="32.450000000000003" customHeight="1" x14ac:dyDescent="0.3">
      <c r="A20" s="211" t="s">
        <v>122</v>
      </c>
      <c r="B20" s="225">
        <f>$B$4</f>
        <v>30</v>
      </c>
      <c r="C20" s="212">
        <f>SUM(C4:C18)</f>
        <v>1156</v>
      </c>
      <c r="D20" s="55">
        <f>IFERROR(ROUNDDOWN(C20/B20,0),"")</f>
        <v>38</v>
      </c>
      <c r="E20" s="213"/>
      <c r="F20" s="214">
        <f>IFERROR(C20-(D20*B20),"")</f>
        <v>16</v>
      </c>
      <c r="K20" s="73"/>
      <c r="L20" s="73"/>
    </row>
    <row r="21" spans="1:12" ht="4.5" customHeight="1" x14ac:dyDescent="0.3">
      <c r="A21" s="183"/>
      <c r="B21" s="224"/>
      <c r="C21" s="50"/>
      <c r="D21" s="50"/>
      <c r="E21" s="50"/>
      <c r="F21" s="184"/>
      <c r="K21" s="73"/>
      <c r="L21" s="73"/>
    </row>
    <row r="22" spans="1:12" ht="25.35" customHeight="1" x14ac:dyDescent="0.3">
      <c r="A22" s="221" t="s">
        <v>241</v>
      </c>
      <c r="B22" s="224">
        <f t="shared" ref="B22:B26" si="5">$B$4</f>
        <v>30</v>
      </c>
      <c r="C22" s="227">
        <f>IFERROR(VLOOKUP(A22,'참조은 피벗'!A:SF,5,FALSE),0)</f>
        <v>87</v>
      </c>
      <c r="D22" s="227">
        <f>IFERROR(ROUNDDOWN(C22/B22,0),"")</f>
        <v>2</v>
      </c>
      <c r="E22" s="51" t="s">
        <v>268</v>
      </c>
      <c r="F22" s="228">
        <f>IFERROR(C22-(D22*B22),"")</f>
        <v>27</v>
      </c>
      <c r="G22" s="67"/>
      <c r="H22" s="67"/>
      <c r="K22" s="73"/>
      <c r="L22" s="73"/>
    </row>
    <row r="23" spans="1:12" ht="25.35" customHeight="1" x14ac:dyDescent="0.3">
      <c r="A23" s="221" t="s">
        <v>242</v>
      </c>
      <c r="B23" s="224">
        <f t="shared" si="5"/>
        <v>30</v>
      </c>
      <c r="C23" s="227">
        <f>IFERROR(VLOOKUP(A23,'참조은 피벗'!A:SF,5,FALSE),0)</f>
        <v>49</v>
      </c>
      <c r="D23" s="227">
        <f>IFERROR(ROUNDDOWN(C23/B23,0),"")</f>
        <v>1</v>
      </c>
      <c r="E23" s="51" t="s">
        <v>337</v>
      </c>
      <c r="F23" s="228">
        <f>IFERROR(C23-(D23*B23),"")</f>
        <v>19</v>
      </c>
      <c r="G23" s="67"/>
      <c r="H23" s="67"/>
      <c r="K23" s="73"/>
      <c r="L23" s="73"/>
    </row>
    <row r="24" spans="1:12" ht="25.35" customHeight="1" x14ac:dyDescent="0.3">
      <c r="A24" s="221" t="s">
        <v>243</v>
      </c>
      <c r="B24" s="224">
        <f t="shared" si="5"/>
        <v>30</v>
      </c>
      <c r="C24" s="227">
        <f>IFERROR(VLOOKUP(A24,'참조은 피벗'!A:SF,5,FALSE),0)</f>
        <v>0</v>
      </c>
      <c r="D24" s="227">
        <f>IFERROR(ROUNDDOWN(C24/B24,0),"")</f>
        <v>0</v>
      </c>
      <c r="E24" s="51" t="s">
        <v>106</v>
      </c>
      <c r="F24" s="228">
        <f>IFERROR(C24-(D24*B24),"")</f>
        <v>0</v>
      </c>
      <c r="G24" s="67"/>
      <c r="H24" s="67"/>
      <c r="K24" s="73"/>
      <c r="L24" s="73"/>
    </row>
    <row r="25" spans="1:12" ht="25.35" customHeight="1" x14ac:dyDescent="0.3">
      <c r="A25" s="221" t="s">
        <v>244</v>
      </c>
      <c r="B25" s="224">
        <f t="shared" si="5"/>
        <v>30</v>
      </c>
      <c r="C25" s="227">
        <f>IFERROR(VLOOKUP(A25,'참조은 피벗'!A:SF,5,FALSE),0)</f>
        <v>60</v>
      </c>
      <c r="D25" s="227">
        <f>IFERROR(ROUNDDOWN(C25/B25,0),"")</f>
        <v>2</v>
      </c>
      <c r="E25" s="51" t="s">
        <v>269</v>
      </c>
      <c r="F25" s="228">
        <f>IFERROR(C25-(D25*B25),"")</f>
        <v>0</v>
      </c>
      <c r="G25" s="67"/>
      <c r="H25" s="67"/>
      <c r="K25" s="73"/>
      <c r="L25" s="73"/>
    </row>
    <row r="26" spans="1:12" ht="25.35" customHeight="1" x14ac:dyDescent="0.3">
      <c r="A26" s="221" t="s">
        <v>245</v>
      </c>
      <c r="B26" s="224">
        <f t="shared" si="5"/>
        <v>30</v>
      </c>
      <c r="C26" s="227">
        <f>IFERROR(VLOOKUP(A26,'참조은 피벗'!A:SF,5,FALSE),0)</f>
        <v>35</v>
      </c>
      <c r="D26" s="227">
        <f>IFERROR(ROUNDDOWN(C26/B26,0),"")</f>
        <v>1</v>
      </c>
      <c r="E26" s="51" t="s">
        <v>118</v>
      </c>
      <c r="F26" s="228">
        <f>IFERROR(C26-(D26*B26),"")</f>
        <v>5</v>
      </c>
      <c r="G26" s="67"/>
      <c r="H26" s="67"/>
      <c r="K26" s="73"/>
      <c r="L26" s="73"/>
    </row>
    <row r="27" spans="1:12" ht="4.5" customHeight="1" x14ac:dyDescent="0.3">
      <c r="A27" s="284"/>
      <c r="B27" s="285"/>
      <c r="C27" s="285"/>
      <c r="D27" s="285"/>
      <c r="E27" s="285"/>
      <c r="F27" s="286"/>
      <c r="G27" s="67"/>
      <c r="H27" s="67"/>
      <c r="K27" s="73"/>
      <c r="L27" s="73"/>
    </row>
    <row r="28" spans="1:12" ht="32.450000000000003" customHeight="1" x14ac:dyDescent="0.3">
      <c r="A28" s="211" t="s">
        <v>285</v>
      </c>
      <c r="B28" s="225">
        <f>$B$4</f>
        <v>30</v>
      </c>
      <c r="C28" s="212">
        <f>SUM(C22:C26)</f>
        <v>231</v>
      </c>
      <c r="D28" s="55">
        <f>IFERROR(ROUNDDOWN(C28/B28,0),"")</f>
        <v>7</v>
      </c>
      <c r="E28" s="213"/>
      <c r="F28" s="214">
        <f>IFERROR(C28-(D28*B28),"")</f>
        <v>21</v>
      </c>
      <c r="G28" s="67"/>
      <c r="H28" s="67"/>
      <c r="K28" s="73"/>
      <c r="L28" s="73"/>
    </row>
    <row r="29" spans="1:12" ht="4.5" customHeight="1" x14ac:dyDescent="0.3">
      <c r="A29" s="284"/>
      <c r="B29" s="285"/>
      <c r="C29" s="285"/>
      <c r="D29" s="285"/>
      <c r="E29" s="285"/>
      <c r="F29" s="286"/>
      <c r="G29" s="67"/>
      <c r="H29" s="67"/>
      <c r="K29" s="73"/>
      <c r="L29" s="73"/>
    </row>
    <row r="30" spans="1:12" ht="25.35" customHeight="1" x14ac:dyDescent="0.3">
      <c r="A30" s="221" t="s">
        <v>239</v>
      </c>
      <c r="B30" s="224">
        <f t="shared" ref="B30:B31" si="6">$B$4</f>
        <v>30</v>
      </c>
      <c r="C30" s="227">
        <f>IFERROR(VLOOKUP(A30,'참조은 피벗'!A:SF,5,FALSE),0)</f>
        <v>67</v>
      </c>
      <c r="D30" s="227">
        <f t="shared" ref="D30:D31" si="7">IFERROR(ROUNDDOWN(C30/B30,0),"")</f>
        <v>2</v>
      </c>
      <c r="E30" s="51" t="s">
        <v>266</v>
      </c>
      <c r="F30" s="228">
        <f t="shared" ref="F30:F31" si="8">IFERROR(C30-(D30*B30),"")</f>
        <v>7</v>
      </c>
      <c r="G30" s="67"/>
      <c r="H30" s="67"/>
      <c r="K30" s="73"/>
      <c r="L30" s="73"/>
    </row>
    <row r="31" spans="1:12" ht="25.35" customHeight="1" x14ac:dyDescent="0.3">
      <c r="A31" s="221" t="s">
        <v>240</v>
      </c>
      <c r="B31" s="224">
        <f t="shared" si="6"/>
        <v>30</v>
      </c>
      <c r="C31" s="227">
        <f>IFERROR(VLOOKUP(A31,'참조은 피벗'!A:SF,5,FALSE),0)</f>
        <v>63</v>
      </c>
      <c r="D31" s="227">
        <f t="shared" si="7"/>
        <v>2</v>
      </c>
      <c r="E31" s="51" t="s">
        <v>267</v>
      </c>
      <c r="F31" s="228">
        <f t="shared" si="8"/>
        <v>3</v>
      </c>
      <c r="G31" s="67"/>
      <c r="H31" s="67"/>
      <c r="K31" s="73"/>
      <c r="L31" s="73"/>
    </row>
    <row r="32" spans="1:12" ht="4.5" customHeight="1" x14ac:dyDescent="0.3">
      <c r="A32" s="284"/>
      <c r="B32" s="285"/>
      <c r="C32" s="285"/>
      <c r="D32" s="285"/>
      <c r="E32" s="285"/>
      <c r="F32" s="286"/>
      <c r="G32" s="67"/>
      <c r="H32" s="67"/>
      <c r="K32" s="73"/>
      <c r="L32" s="73"/>
    </row>
    <row r="33" spans="1:12" ht="32.450000000000003" customHeight="1" x14ac:dyDescent="0.3">
      <c r="A33" s="211" t="s">
        <v>284</v>
      </c>
      <c r="B33" s="225">
        <f>$B$4</f>
        <v>30</v>
      </c>
      <c r="C33" s="212">
        <f>SUM(C30:C31)</f>
        <v>130</v>
      </c>
      <c r="D33" s="55">
        <f>IFERROR(ROUNDDOWN(C33/B33,0),"")</f>
        <v>4</v>
      </c>
      <c r="E33" s="213"/>
      <c r="F33" s="214">
        <f>IFERROR(C33-(D33*B33),"")</f>
        <v>10</v>
      </c>
      <c r="G33" s="67"/>
      <c r="H33" s="67"/>
      <c r="K33" s="73"/>
      <c r="L33" s="73"/>
    </row>
    <row r="34" spans="1:12" ht="4.5" customHeight="1" x14ac:dyDescent="0.3">
      <c r="A34" s="183"/>
      <c r="B34" s="224"/>
      <c r="C34" s="50"/>
      <c r="D34" s="50"/>
      <c r="E34" s="50"/>
      <c r="F34" s="184"/>
      <c r="G34" s="67"/>
      <c r="H34" s="67"/>
      <c r="K34" s="73"/>
      <c r="L34" s="73"/>
    </row>
    <row r="35" spans="1:12" ht="25.35" customHeight="1" x14ac:dyDescent="0.3">
      <c r="A35" s="221" t="s">
        <v>236</v>
      </c>
      <c r="B35" s="224">
        <f t="shared" ref="B35:B37" si="9">$B$4</f>
        <v>30</v>
      </c>
      <c r="C35" s="227">
        <f>IFERROR(VLOOKUP(A35,'참조은 피벗'!A:SF,5,FALSE),0)</f>
        <v>52</v>
      </c>
      <c r="D35" s="227">
        <f>IFERROR(ROUNDDOWN(C35/B35,0),"")</f>
        <v>1</v>
      </c>
      <c r="E35" s="51" t="s">
        <v>264</v>
      </c>
      <c r="F35" s="228">
        <f>IFERROR(C35-(D35*B35),"")</f>
        <v>22</v>
      </c>
      <c r="G35" s="67"/>
      <c r="H35" s="67"/>
      <c r="K35" s="73"/>
      <c r="L35" s="73"/>
    </row>
    <row r="36" spans="1:12" ht="25.35" customHeight="1" x14ac:dyDescent="0.3">
      <c r="A36" s="221" t="s">
        <v>237</v>
      </c>
      <c r="B36" s="224">
        <f t="shared" si="9"/>
        <v>30</v>
      </c>
      <c r="C36" s="227">
        <f>IFERROR(VLOOKUP(A36,'참조은 피벗'!A:SF,5,FALSE),0)</f>
        <v>46</v>
      </c>
      <c r="D36" s="227">
        <f t="shared" ref="D36:D37" si="10">IFERROR(ROUNDDOWN(C36/B36,0),"")</f>
        <v>1</v>
      </c>
      <c r="E36" s="51" t="s">
        <v>338</v>
      </c>
      <c r="F36" s="228">
        <f t="shared" ref="F36:F37" si="11">IFERROR(C36-(D36*B36),"")</f>
        <v>16</v>
      </c>
      <c r="G36" s="67"/>
      <c r="H36" s="67"/>
      <c r="K36" s="73"/>
      <c r="L36" s="73"/>
    </row>
    <row r="37" spans="1:12" ht="25.35" customHeight="1" x14ac:dyDescent="0.3">
      <c r="A37" s="221" t="s">
        <v>238</v>
      </c>
      <c r="B37" s="224">
        <f t="shared" si="9"/>
        <v>30</v>
      </c>
      <c r="C37" s="227">
        <f>IFERROR(VLOOKUP(A37,'참조은 피벗'!A:SF,5,FALSE),0)</f>
        <v>35</v>
      </c>
      <c r="D37" s="227">
        <f t="shared" si="10"/>
        <v>1</v>
      </c>
      <c r="E37" s="51" t="s">
        <v>265</v>
      </c>
      <c r="F37" s="228">
        <f t="shared" si="11"/>
        <v>5</v>
      </c>
      <c r="G37" s="67"/>
      <c r="H37" s="67"/>
      <c r="K37" s="73"/>
      <c r="L37" s="73"/>
    </row>
    <row r="38" spans="1:12" ht="4.5" customHeight="1" x14ac:dyDescent="0.3">
      <c r="A38" s="284"/>
      <c r="B38" s="285"/>
      <c r="C38" s="285"/>
      <c r="D38" s="285"/>
      <c r="E38" s="285"/>
      <c r="F38" s="286"/>
      <c r="G38" s="67"/>
      <c r="H38" s="67"/>
      <c r="K38" s="73"/>
      <c r="L38" s="73"/>
    </row>
    <row r="39" spans="1:12" ht="32.450000000000003" customHeight="1" x14ac:dyDescent="0.3">
      <c r="A39" s="211" t="s">
        <v>283</v>
      </c>
      <c r="B39" s="225">
        <f>$B$4</f>
        <v>30</v>
      </c>
      <c r="C39" s="212">
        <f>SUM(C35:C37)</f>
        <v>133</v>
      </c>
      <c r="D39" s="55">
        <f>IFERROR(ROUNDDOWN(C39/B39,0),"")</f>
        <v>4</v>
      </c>
      <c r="E39" s="213"/>
      <c r="F39" s="214">
        <f>IFERROR(C39-(D39*B39),"")</f>
        <v>13</v>
      </c>
      <c r="G39" s="67"/>
      <c r="H39" s="67"/>
      <c r="K39" s="73"/>
      <c r="L39" s="73"/>
    </row>
    <row r="40" spans="1:12" ht="4.5" customHeight="1" x14ac:dyDescent="0.3">
      <c r="A40" s="183"/>
      <c r="B40" s="224"/>
      <c r="C40" s="50"/>
      <c r="D40" s="50"/>
      <c r="E40" s="50"/>
      <c r="F40" s="184"/>
      <c r="G40" s="67"/>
      <c r="H40" s="67"/>
      <c r="K40" s="73"/>
      <c r="L40" s="73"/>
    </row>
    <row r="41" spans="1:12" ht="25.35" customHeight="1" x14ac:dyDescent="0.3">
      <c r="A41" s="221" t="s">
        <v>261</v>
      </c>
      <c r="B41" s="224">
        <f t="shared" ref="B41:B42" si="12">$B$4</f>
        <v>30</v>
      </c>
      <c r="C41" s="227">
        <f>IFERROR(VLOOKUP(A41,'참조은 피벗'!A:SF,5,FALSE),0)</f>
        <v>25</v>
      </c>
      <c r="D41" s="227">
        <f t="shared" ref="D41:D42" si="13">IFERROR(ROUNDDOWN(C41/B41,0),"")</f>
        <v>0</v>
      </c>
      <c r="E41" s="51" t="s">
        <v>281</v>
      </c>
      <c r="F41" s="228">
        <f t="shared" ref="F41:F42" si="14">IFERROR(C41-(D41*B41),"")</f>
        <v>25</v>
      </c>
      <c r="G41" s="67"/>
      <c r="H41" s="67"/>
      <c r="K41" s="73"/>
      <c r="L41" s="73"/>
    </row>
    <row r="42" spans="1:12" ht="25.35" customHeight="1" x14ac:dyDescent="0.3">
      <c r="A42" s="221" t="s">
        <v>262</v>
      </c>
      <c r="B42" s="224">
        <f t="shared" si="12"/>
        <v>30</v>
      </c>
      <c r="C42" s="227">
        <f>IFERROR(VLOOKUP(A42,'참조은 피벗'!A:SF,5,FALSE),0)</f>
        <v>32</v>
      </c>
      <c r="D42" s="227">
        <f t="shared" si="13"/>
        <v>1</v>
      </c>
      <c r="E42" s="51" t="s">
        <v>282</v>
      </c>
      <c r="F42" s="228">
        <f t="shared" si="14"/>
        <v>2</v>
      </c>
      <c r="G42" s="67"/>
      <c r="H42" s="67"/>
      <c r="K42" s="73"/>
      <c r="L42" s="73"/>
    </row>
    <row r="43" spans="1:12" ht="4.5" customHeight="1" x14ac:dyDescent="0.3">
      <c r="A43" s="284"/>
      <c r="B43" s="285"/>
      <c r="C43" s="285"/>
      <c r="D43" s="285"/>
      <c r="E43" s="285"/>
      <c r="F43" s="286"/>
      <c r="G43" s="67"/>
      <c r="H43" s="67"/>
      <c r="K43" s="73"/>
      <c r="L43" s="73"/>
    </row>
    <row r="44" spans="1:12" ht="32.450000000000003" customHeight="1" x14ac:dyDescent="0.3">
      <c r="A44" s="211" t="s">
        <v>339</v>
      </c>
      <c r="B44" s="225">
        <f>$B$4</f>
        <v>30</v>
      </c>
      <c r="C44" s="212">
        <f>SUM(C41:C42)</f>
        <v>57</v>
      </c>
      <c r="D44" s="55">
        <f>IFERROR(ROUNDDOWN(C44/B44,0),"")</f>
        <v>1</v>
      </c>
      <c r="E44" s="213"/>
      <c r="F44" s="214">
        <f>IFERROR(C44-(D44*B44),"")</f>
        <v>27</v>
      </c>
      <c r="G44" s="67"/>
      <c r="H44" s="67"/>
      <c r="K44" s="73"/>
      <c r="L44" s="73"/>
    </row>
    <row r="45" spans="1:12" ht="4.5" customHeight="1" thickBot="1" x14ac:dyDescent="0.35">
      <c r="A45" s="183"/>
      <c r="B45" s="50"/>
      <c r="C45" s="50"/>
      <c r="D45" s="50"/>
      <c r="E45" s="50"/>
      <c r="F45" s="184"/>
      <c r="G45" s="67"/>
      <c r="H45" s="67"/>
      <c r="K45" s="73"/>
      <c r="L45" s="73"/>
    </row>
    <row r="46" spans="1:12" ht="26.25" x14ac:dyDescent="0.3">
      <c r="A46" s="87" t="s">
        <v>3</v>
      </c>
      <c r="B46" s="226">
        <f>$B$4</f>
        <v>30</v>
      </c>
      <c r="C46" s="55">
        <f>SUM(C4:C18,C35:C37,C30:C31,C22:C26,C41:C42)</f>
        <v>1707</v>
      </c>
      <c r="D46" s="54">
        <f>IFERROR(ROUNDDOWN(C46/B46,0),"")</f>
        <v>56</v>
      </c>
      <c r="E46" s="56"/>
      <c r="F46" s="121">
        <f>IFERROR(C46-(D46*B46),"")</f>
        <v>27</v>
      </c>
      <c r="G46" s="232" t="s">
        <v>110</v>
      </c>
      <c r="H46" s="233" t="s">
        <v>111</v>
      </c>
      <c r="K46" s="73"/>
      <c r="L46" s="73"/>
    </row>
    <row r="47" spans="1:12" ht="27" thickBot="1" x14ac:dyDescent="0.35">
      <c r="A47" s="42" t="s">
        <v>286</v>
      </c>
      <c r="B47" s="43" t="s">
        <v>173</v>
      </c>
      <c r="C47" s="40"/>
      <c r="D47" s="41">
        <f>SUM(D4:D18,D35:D37,D30:D31,D22:D26,D41:D42)</f>
        <v>46</v>
      </c>
      <c r="E47" s="48"/>
      <c r="F47" s="93">
        <f>SUM(F4:F18,F35:F37,F30:F31,F22:F26,F41:F42)</f>
        <v>327</v>
      </c>
      <c r="G47" s="216">
        <f>IFERROR(ROUNDDOWN(F47/B35,0),"")</f>
        <v>10</v>
      </c>
      <c r="H47" s="217">
        <f>IFERROR(F47-(G47*B35),"")</f>
        <v>27</v>
      </c>
    </row>
    <row r="48" spans="1:12" ht="22.5" customHeight="1" x14ac:dyDescent="0.3">
      <c r="C48" s="77">
        <f>C20+C28+C33+C39+C44</f>
        <v>1707</v>
      </c>
      <c r="G48" s="199"/>
      <c r="H48" s="34" t="s">
        <v>174</v>
      </c>
    </row>
    <row r="49" spans="3:3" x14ac:dyDescent="0.3">
      <c r="C49" s="34" t="b">
        <f>C48=C46</f>
        <v>1</v>
      </c>
    </row>
  </sheetData>
  <sortState xmlns:xlrd2="http://schemas.microsoft.com/office/spreadsheetml/2017/richdata2" ref="A36:R40">
    <sortCondition ref="A36:A40" customList="VV16 (주)지에스리테일원주일배,VV69 ㈜지에스리테일강릉일배센터,VV57 (주)지에스리테일김해일배,VV58 (주)지에스리테일김해2일배,VV25 (주)지에스리테일진주일배,VV20 (주)지에스리테일(해인CVS),VV92 (주)지에스리테일신제주저온,VV95 (주)지에스리테일신광주저온,VV96 (주)지에스리테일신광주2저,VV83 지에스리테일경산저온,VV84 ㈜지에스리테일경산2저온,VV97 (주)지에스리테일경산3저온,VV34 (주)지에스리테일청주일배,VV04 (주)지에스리테일공주일배,VV75 (주)지에스리테일공주2일배,VV65 ㈜지에스리테일익산일배,VV03 (주)지에스리테일(아신A),VV63 ㈜지에스리테일고양일배센터,VV64 ㈜지에스리테일고양일배2,VV81 (주)지에스리테일고양저온3,VV62 (주)지에스리테일김포2일배,VV70 ㈜지에스리테일김포3일배,VV98 (주)지에스리테일고촌저온,VV99 (주)지에스리테일고촌2저온,VV90 (주)지에스리테일포천저온,VV91 (주)지에스리테일포천2저온,VV85 지에스리테일신오산1저온,VV86 지에스리테일신오산2저온,VV87 지에스리테일신오산3저온,VV66 지에스리테일인천도화일배,VV67 지에스리테일인천도화2일배,VV17 (주)지에스리테일발안일배,VV71 (주)지에스리테일발안2일배,VV53 (주)지에스리테일송파일배,VV55 (주)지에스리테일송파2일배,VV93 (주)지에스리테일곤지암센터,VV94 (주)지에스리테일곤지암2센"/>
  </sortState>
  <mergeCells count="8">
    <mergeCell ref="A43:F43"/>
    <mergeCell ref="A1:F1"/>
    <mergeCell ref="B2:F2"/>
    <mergeCell ref="A38:F38"/>
    <mergeCell ref="A32:F32"/>
    <mergeCell ref="A27:F27"/>
    <mergeCell ref="A29:F29"/>
    <mergeCell ref="A19:F19"/>
  </mergeCells>
  <phoneticPr fontId="13" type="noConversion"/>
  <printOptions horizontalCentered="1" verticalCentered="1"/>
  <pageMargins left="0" right="0" top="0" bottom="0" header="0" footer="0"/>
  <pageSetup paperSize="9" scale="77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9">
    <tabColor theme="5" tint="0.59999389629810485"/>
    <pageSetUpPr fitToPage="1"/>
  </sheetPr>
  <dimension ref="A1:H49"/>
  <sheetViews>
    <sheetView zoomScale="40" zoomScaleNormal="40" zoomScaleSheetLayoutView="75" workbookViewId="0">
      <selection activeCell="A2" sqref="A2:F47"/>
    </sheetView>
  </sheetViews>
  <sheetFormatPr defaultColWidth="9" defaultRowHeight="16.5" x14ac:dyDescent="0.3"/>
  <cols>
    <col min="1" max="1" width="24.75" style="34" customWidth="1"/>
    <col min="2" max="2" width="7.625" style="38" customWidth="1"/>
    <col min="3" max="3" width="30.625" style="34" customWidth="1"/>
    <col min="4" max="4" width="9.875" style="2" customWidth="1"/>
    <col min="5" max="5" width="11.375" style="34" customWidth="1"/>
    <col min="6" max="6" width="11.125" style="2" customWidth="1"/>
    <col min="7" max="7" width="8.375" style="34" customWidth="1"/>
    <col min="8" max="8" width="9" style="34" customWidth="1"/>
    <col min="9" max="13" width="9" style="34"/>
    <col min="14" max="14" width="10.625" style="34" customWidth="1"/>
    <col min="15" max="17" width="9" style="34"/>
    <col min="18" max="18" width="36.5" style="34" bestFit="1" customWidth="1"/>
    <col min="19" max="16384" width="9" style="34"/>
  </cols>
  <sheetData>
    <row r="1" spans="1:8" ht="25.9" customHeight="1" thickBot="1" x14ac:dyDescent="0.35">
      <c r="A1" s="270"/>
      <c r="B1" s="270"/>
      <c r="C1" s="270"/>
      <c r="D1" s="270"/>
      <c r="E1" s="270"/>
      <c r="F1" s="270"/>
    </row>
    <row r="2" spans="1:8" ht="25.9" customHeight="1" x14ac:dyDescent="0.3">
      <c r="A2" s="215">
        <f ca="1">TODAY()</f>
        <v>46314</v>
      </c>
      <c r="B2" s="271" t="s">
        <v>263</v>
      </c>
      <c r="C2" s="292"/>
      <c r="D2" s="292"/>
      <c r="E2" s="292"/>
      <c r="F2" s="293"/>
      <c r="G2" s="67"/>
      <c r="H2" s="67"/>
    </row>
    <row r="3" spans="1:8" ht="40.15" customHeight="1" x14ac:dyDescent="0.3">
      <c r="A3" s="222" t="s">
        <v>67</v>
      </c>
      <c r="B3" s="223" t="s">
        <v>13</v>
      </c>
      <c r="C3" s="229" t="s">
        <v>340</v>
      </c>
      <c r="D3" s="230" t="s">
        <v>2</v>
      </c>
      <c r="E3" s="229" t="s">
        <v>23</v>
      </c>
      <c r="F3" s="231" t="s">
        <v>14</v>
      </c>
      <c r="G3" s="67"/>
      <c r="H3" s="67"/>
    </row>
    <row r="4" spans="1:8" ht="25.35" customHeight="1" x14ac:dyDescent="0.3">
      <c r="A4" s="220" t="s">
        <v>260</v>
      </c>
      <c r="B4" s="224">
        <v>30</v>
      </c>
      <c r="C4" s="227">
        <f>IFERROR(VLOOKUP(A4,'참조은 피벗'!A:SF,6,FALSE),0)</f>
        <v>9</v>
      </c>
      <c r="D4" s="227">
        <f t="shared" ref="D4:D18" si="0">IFERROR(ROUNDDOWN(C4/B4,0),"")</f>
        <v>0</v>
      </c>
      <c r="E4" s="51" t="s">
        <v>109</v>
      </c>
      <c r="F4" s="228">
        <f t="shared" ref="F4:F18" si="1">IFERROR(C4-(D4*B4),"")</f>
        <v>9</v>
      </c>
      <c r="G4" s="67"/>
      <c r="H4" s="67"/>
    </row>
    <row r="5" spans="1:8" ht="25.35" customHeight="1" x14ac:dyDescent="0.3">
      <c r="A5" s="221" t="s">
        <v>255</v>
      </c>
      <c r="B5" s="224">
        <f t="shared" ref="B5:B18" si="2">$B$4</f>
        <v>30</v>
      </c>
      <c r="C5" s="227">
        <f>IFERROR(VLOOKUP(A5,'참조은 피벗'!A:SF,6,FALSE),0)</f>
        <v>81</v>
      </c>
      <c r="D5" s="227">
        <f t="shared" si="0"/>
        <v>2</v>
      </c>
      <c r="E5" s="51" t="s">
        <v>335</v>
      </c>
      <c r="F5" s="228">
        <f t="shared" si="1"/>
        <v>21</v>
      </c>
      <c r="G5" s="67"/>
      <c r="H5" s="67"/>
    </row>
    <row r="6" spans="1:8" ht="25.35" customHeight="1" x14ac:dyDescent="0.3">
      <c r="A6" s="221" t="s">
        <v>249</v>
      </c>
      <c r="B6" s="224">
        <f t="shared" si="2"/>
        <v>30</v>
      </c>
      <c r="C6" s="227">
        <f>IFERROR(VLOOKUP(A6,'참조은 피벗'!A:SF,6,FALSE),0)</f>
        <v>36</v>
      </c>
      <c r="D6" s="227">
        <f>IFERROR(ROUNDDOWN(C6/B6,0),"")</f>
        <v>1</v>
      </c>
      <c r="E6" s="51" t="s">
        <v>272</v>
      </c>
      <c r="F6" s="228">
        <f>IFERROR(C6-(D6*B6),"")</f>
        <v>6</v>
      </c>
      <c r="G6" s="67"/>
      <c r="H6" s="67"/>
    </row>
    <row r="7" spans="1:8" ht="25.35" customHeight="1" x14ac:dyDescent="0.3">
      <c r="A7" s="221" t="s">
        <v>250</v>
      </c>
      <c r="B7" s="224">
        <f t="shared" si="2"/>
        <v>30</v>
      </c>
      <c r="C7" s="227">
        <f>IFERROR(VLOOKUP(A7,'참조은 피벗'!A:SF,6,FALSE),0)</f>
        <v>45</v>
      </c>
      <c r="D7" s="227">
        <f>IFERROR(ROUNDDOWN(C7/B7,0),"")</f>
        <v>1</v>
      </c>
      <c r="E7" s="51" t="s">
        <v>273</v>
      </c>
      <c r="F7" s="228">
        <f>IFERROR(C7-(D7*B7),"")</f>
        <v>15</v>
      </c>
      <c r="G7" s="67"/>
      <c r="H7" s="67"/>
    </row>
    <row r="8" spans="1:8" ht="25.35" customHeight="1" x14ac:dyDescent="0.3">
      <c r="A8" s="221" t="s">
        <v>248</v>
      </c>
      <c r="B8" s="224">
        <f t="shared" si="2"/>
        <v>30</v>
      </c>
      <c r="C8" s="227">
        <f>IFERROR(VLOOKUP(A8,'참조은 피벗'!A:SF,6,FALSE),0)</f>
        <v>32</v>
      </c>
      <c r="D8" s="227">
        <f>IFERROR(ROUNDDOWN(C8/B8,0),"")</f>
        <v>1</v>
      </c>
      <c r="E8" s="51" t="s">
        <v>271</v>
      </c>
      <c r="F8" s="228">
        <f>IFERROR(C8-(D8*B8),"")</f>
        <v>2</v>
      </c>
      <c r="G8" s="67"/>
      <c r="H8" s="67"/>
    </row>
    <row r="9" spans="1:8" ht="25.35" customHeight="1" x14ac:dyDescent="0.3">
      <c r="A9" s="221" t="s">
        <v>246</v>
      </c>
      <c r="B9" s="224">
        <f t="shared" si="2"/>
        <v>30</v>
      </c>
      <c r="C9" s="227">
        <f>IFERROR(VLOOKUP(A9,'참조은 피벗'!A:SF,6,FALSE),0)</f>
        <v>27</v>
      </c>
      <c r="D9" s="227">
        <f t="shared" si="0"/>
        <v>0</v>
      </c>
      <c r="E9" s="51" t="s">
        <v>270</v>
      </c>
      <c r="F9" s="228">
        <f t="shared" si="1"/>
        <v>27</v>
      </c>
      <c r="G9" s="67"/>
      <c r="H9" s="67"/>
    </row>
    <row r="10" spans="1:8" ht="25.35" customHeight="1" x14ac:dyDescent="0.3">
      <c r="A10" s="221" t="s">
        <v>256</v>
      </c>
      <c r="B10" s="224">
        <f t="shared" si="2"/>
        <v>30</v>
      </c>
      <c r="C10" s="227">
        <f>IFERROR(VLOOKUP(A10,'참조은 피벗'!A:SF,6,FALSE),0)</f>
        <v>14</v>
      </c>
      <c r="D10" s="227">
        <f>IFERROR(ROUNDDOWN(C10/B10,0),"")</f>
        <v>0</v>
      </c>
      <c r="E10" s="51" t="s">
        <v>278</v>
      </c>
      <c r="F10" s="228">
        <f>IFERROR(C10-(D10*B10),"")</f>
        <v>14</v>
      </c>
      <c r="G10" s="67"/>
      <c r="H10" s="67"/>
    </row>
    <row r="11" spans="1:8" ht="25.35" customHeight="1" x14ac:dyDescent="0.3">
      <c r="A11" s="221" t="s">
        <v>247</v>
      </c>
      <c r="B11" s="224">
        <f t="shared" si="2"/>
        <v>30</v>
      </c>
      <c r="C11" s="227">
        <f>IFERROR(VLOOKUP(A11,'참조은 피벗'!A:SF,6,FALSE),0)</f>
        <v>32</v>
      </c>
      <c r="D11" s="227">
        <f t="shared" si="0"/>
        <v>1</v>
      </c>
      <c r="E11" s="51" t="s">
        <v>334</v>
      </c>
      <c r="F11" s="228">
        <f t="shared" si="1"/>
        <v>2</v>
      </c>
      <c r="G11" s="67"/>
      <c r="H11" s="67"/>
    </row>
    <row r="12" spans="1:8" ht="25.35" customHeight="1" x14ac:dyDescent="0.3">
      <c r="A12" s="221" t="s">
        <v>251</v>
      </c>
      <c r="B12" s="224">
        <f t="shared" si="2"/>
        <v>30</v>
      </c>
      <c r="C12" s="227">
        <f>IFERROR(VLOOKUP(A12,'참조은 피벗'!A:SF,6,FALSE),0)</f>
        <v>47</v>
      </c>
      <c r="D12" s="227">
        <f t="shared" si="0"/>
        <v>1</v>
      </c>
      <c r="E12" s="51" t="s">
        <v>274</v>
      </c>
      <c r="F12" s="228">
        <f t="shared" si="1"/>
        <v>17</v>
      </c>
      <c r="G12" s="67"/>
      <c r="H12" s="67"/>
    </row>
    <row r="13" spans="1:8" ht="25.35" customHeight="1" x14ac:dyDescent="0.3">
      <c r="A13" s="220" t="s">
        <v>252</v>
      </c>
      <c r="B13" s="224">
        <f t="shared" si="2"/>
        <v>30</v>
      </c>
      <c r="C13" s="227">
        <f>IFERROR(VLOOKUP(A13,'참조은 피벗'!A:SF,6,FALSE),0)</f>
        <v>54</v>
      </c>
      <c r="D13" s="227">
        <f t="shared" si="0"/>
        <v>1</v>
      </c>
      <c r="E13" s="51" t="s">
        <v>275</v>
      </c>
      <c r="F13" s="228">
        <f t="shared" si="1"/>
        <v>24</v>
      </c>
      <c r="G13" s="67"/>
      <c r="H13" s="67"/>
    </row>
    <row r="14" spans="1:8" ht="25.35" customHeight="1" x14ac:dyDescent="0.3">
      <c r="A14" s="221" t="s">
        <v>253</v>
      </c>
      <c r="B14" s="224">
        <f t="shared" si="2"/>
        <v>30</v>
      </c>
      <c r="C14" s="227">
        <f>IFERROR(VLOOKUP(A14,'참조은 피벗'!A:SF,6,FALSE),0)</f>
        <v>53</v>
      </c>
      <c r="D14" s="227">
        <f t="shared" si="0"/>
        <v>1</v>
      </c>
      <c r="E14" s="51" t="s">
        <v>276</v>
      </c>
      <c r="F14" s="228">
        <f t="shared" si="1"/>
        <v>23</v>
      </c>
      <c r="G14" s="67"/>
      <c r="H14" s="67"/>
    </row>
    <row r="15" spans="1:8" ht="25.35" customHeight="1" x14ac:dyDescent="0.3">
      <c r="A15" s="221" t="s">
        <v>254</v>
      </c>
      <c r="B15" s="224">
        <f t="shared" si="2"/>
        <v>30</v>
      </c>
      <c r="C15" s="227">
        <f>IFERROR(VLOOKUP(A15,'참조은 피벗'!A:SF,6,FALSE),0)</f>
        <v>78</v>
      </c>
      <c r="D15" s="227">
        <f t="shared" si="0"/>
        <v>2</v>
      </c>
      <c r="E15" s="51" t="s">
        <v>277</v>
      </c>
      <c r="F15" s="228">
        <f t="shared" si="1"/>
        <v>18</v>
      </c>
      <c r="G15" s="67"/>
      <c r="H15" s="67"/>
    </row>
    <row r="16" spans="1:8" ht="25.35" customHeight="1" x14ac:dyDescent="0.3">
      <c r="A16" s="221" t="s">
        <v>257</v>
      </c>
      <c r="B16" s="224">
        <f t="shared" si="2"/>
        <v>30</v>
      </c>
      <c r="C16" s="227">
        <f>IFERROR(VLOOKUP(A16,'참조은 피벗'!A:SF,6,FALSE),0)</f>
        <v>16</v>
      </c>
      <c r="D16" s="227">
        <f t="shared" si="0"/>
        <v>0</v>
      </c>
      <c r="E16" s="51" t="s">
        <v>279</v>
      </c>
      <c r="F16" s="228">
        <f t="shared" si="1"/>
        <v>16</v>
      </c>
      <c r="G16" s="67"/>
      <c r="H16" s="67"/>
    </row>
    <row r="17" spans="1:8" ht="25.35" customHeight="1" x14ac:dyDescent="0.3">
      <c r="A17" s="221" t="s">
        <v>258</v>
      </c>
      <c r="B17" s="224">
        <f t="shared" si="2"/>
        <v>30</v>
      </c>
      <c r="C17" s="227">
        <f>IFERROR(VLOOKUP(A17,'참조은 피벗'!A:SF,6,FALSE),0)</f>
        <v>10</v>
      </c>
      <c r="D17" s="227">
        <f t="shared" si="0"/>
        <v>0</v>
      </c>
      <c r="E17" s="51" t="s">
        <v>280</v>
      </c>
      <c r="F17" s="228">
        <f t="shared" si="1"/>
        <v>10</v>
      </c>
      <c r="G17" s="67"/>
      <c r="H17" s="67"/>
    </row>
    <row r="18" spans="1:8" ht="25.35" customHeight="1" x14ac:dyDescent="0.3">
      <c r="A18" s="221" t="s">
        <v>259</v>
      </c>
      <c r="B18" s="224">
        <f t="shared" si="2"/>
        <v>30</v>
      </c>
      <c r="C18" s="227">
        <f>IFERROR(VLOOKUP(A18,'참조은 피벗'!A:SF,6,FALSE),0)</f>
        <v>20</v>
      </c>
      <c r="D18" s="227">
        <f t="shared" si="0"/>
        <v>0</v>
      </c>
      <c r="E18" s="51" t="s">
        <v>336</v>
      </c>
      <c r="F18" s="228">
        <f t="shared" si="1"/>
        <v>20</v>
      </c>
      <c r="G18" s="67"/>
      <c r="H18" s="67"/>
    </row>
    <row r="19" spans="1:8" ht="4.5" customHeight="1" x14ac:dyDescent="0.3">
      <c r="A19" s="289"/>
      <c r="B19" s="290"/>
      <c r="C19" s="290"/>
      <c r="D19" s="290"/>
      <c r="E19" s="290"/>
      <c r="F19" s="291"/>
    </row>
    <row r="20" spans="1:8" ht="32.450000000000003" customHeight="1" x14ac:dyDescent="0.3">
      <c r="A20" s="211" t="s">
        <v>122</v>
      </c>
      <c r="B20" s="225">
        <f>$B$4</f>
        <v>30</v>
      </c>
      <c r="C20" s="212">
        <f>SUM(C4:C18)</f>
        <v>554</v>
      </c>
      <c r="D20" s="55">
        <f>IFERROR(ROUNDDOWN(C20/B20,0),"")</f>
        <v>18</v>
      </c>
      <c r="E20" s="213"/>
      <c r="F20" s="214">
        <f>IFERROR(C20-(D20*B20),"")</f>
        <v>14</v>
      </c>
    </row>
    <row r="21" spans="1:8" ht="4.5" customHeight="1" x14ac:dyDescent="0.3">
      <c r="A21" s="183"/>
      <c r="B21" s="224"/>
      <c r="C21" s="50"/>
      <c r="D21" s="50"/>
      <c r="E21" s="50"/>
      <c r="F21" s="184"/>
    </row>
    <row r="22" spans="1:8" ht="25.35" customHeight="1" x14ac:dyDescent="0.3">
      <c r="A22" s="221" t="s">
        <v>241</v>
      </c>
      <c r="B22" s="224">
        <f t="shared" ref="B22:B26" si="3">$B$4</f>
        <v>30</v>
      </c>
      <c r="C22" s="227">
        <f>IFERROR(VLOOKUP(A22,'참조은 피벗'!A:SF,6,FALSE),0)</f>
        <v>47</v>
      </c>
      <c r="D22" s="227">
        <f>IFERROR(ROUNDDOWN(C22/B22,0),"")</f>
        <v>1</v>
      </c>
      <c r="E22" s="51" t="s">
        <v>268</v>
      </c>
      <c r="F22" s="228">
        <f>IFERROR(C22-(D22*B22),"")</f>
        <v>17</v>
      </c>
      <c r="G22" s="67"/>
      <c r="H22" s="67"/>
    </row>
    <row r="23" spans="1:8" ht="25.35" customHeight="1" x14ac:dyDescent="0.3">
      <c r="A23" s="221" t="s">
        <v>242</v>
      </c>
      <c r="B23" s="224">
        <f t="shared" si="3"/>
        <v>30</v>
      </c>
      <c r="C23" s="227">
        <f>IFERROR(VLOOKUP(A23,'참조은 피벗'!A:SF,6,FALSE),0)</f>
        <v>29</v>
      </c>
      <c r="D23" s="227">
        <f>IFERROR(ROUNDDOWN(C23/B23,0),"")</f>
        <v>0</v>
      </c>
      <c r="E23" s="51" t="s">
        <v>337</v>
      </c>
      <c r="F23" s="228">
        <f>IFERROR(C23-(D23*B23),"")</f>
        <v>29</v>
      </c>
      <c r="G23" s="67"/>
      <c r="H23" s="67"/>
    </row>
    <row r="24" spans="1:8" ht="25.35" customHeight="1" x14ac:dyDescent="0.3">
      <c r="A24" s="221" t="s">
        <v>243</v>
      </c>
      <c r="B24" s="224">
        <f t="shared" si="3"/>
        <v>30</v>
      </c>
      <c r="C24" s="227">
        <f>IFERROR(VLOOKUP(A24,'참조은 피벗'!A:SF,6,FALSE),0)</f>
        <v>0</v>
      </c>
      <c r="D24" s="227">
        <f>IFERROR(ROUNDDOWN(C24/B24,0),"")</f>
        <v>0</v>
      </c>
      <c r="E24" s="51" t="s">
        <v>106</v>
      </c>
      <c r="F24" s="228">
        <f>IFERROR(C24-(D24*B24),"")</f>
        <v>0</v>
      </c>
      <c r="G24" s="67"/>
      <c r="H24" s="67"/>
    </row>
    <row r="25" spans="1:8" ht="25.35" customHeight="1" x14ac:dyDescent="0.3">
      <c r="A25" s="221" t="s">
        <v>244</v>
      </c>
      <c r="B25" s="224">
        <f t="shared" si="3"/>
        <v>30</v>
      </c>
      <c r="C25" s="227">
        <f>IFERROR(VLOOKUP(A25,'참조은 피벗'!A:SF,6,FALSE),0)</f>
        <v>34</v>
      </c>
      <c r="D25" s="227">
        <f>IFERROR(ROUNDDOWN(C25/B25,0),"")</f>
        <v>1</v>
      </c>
      <c r="E25" s="51" t="s">
        <v>269</v>
      </c>
      <c r="F25" s="228">
        <f>IFERROR(C25-(D25*B25),"")</f>
        <v>4</v>
      </c>
      <c r="G25" s="67"/>
      <c r="H25" s="67"/>
    </row>
    <row r="26" spans="1:8" ht="25.35" customHeight="1" x14ac:dyDescent="0.3">
      <c r="A26" s="221" t="s">
        <v>245</v>
      </c>
      <c r="B26" s="224">
        <f t="shared" si="3"/>
        <v>30</v>
      </c>
      <c r="C26" s="227">
        <f>IFERROR(VLOOKUP(A26,'참조은 피벗'!A:SF,6,FALSE),0)</f>
        <v>15</v>
      </c>
      <c r="D26" s="227">
        <f>IFERROR(ROUNDDOWN(C26/B26,0),"")</f>
        <v>0</v>
      </c>
      <c r="E26" s="51" t="s">
        <v>118</v>
      </c>
      <c r="F26" s="228">
        <f>IFERROR(C26-(D26*B26),"")</f>
        <v>15</v>
      </c>
      <c r="G26" s="67"/>
      <c r="H26" s="67"/>
    </row>
    <row r="27" spans="1:8" ht="4.5" customHeight="1" x14ac:dyDescent="0.3">
      <c r="A27" s="289"/>
      <c r="B27" s="290"/>
      <c r="C27" s="290"/>
      <c r="D27" s="290"/>
      <c r="E27" s="290"/>
      <c r="F27" s="291"/>
      <c r="G27" s="67"/>
      <c r="H27" s="67"/>
    </row>
    <row r="28" spans="1:8" ht="32.450000000000003" customHeight="1" x14ac:dyDescent="0.3">
      <c r="A28" s="211" t="s">
        <v>285</v>
      </c>
      <c r="B28" s="225">
        <f>$B$4</f>
        <v>30</v>
      </c>
      <c r="C28" s="212">
        <f>SUM(C22:C26)</f>
        <v>125</v>
      </c>
      <c r="D28" s="55">
        <f>IFERROR(ROUNDDOWN(C28/B28,0),"")</f>
        <v>4</v>
      </c>
      <c r="E28" s="213"/>
      <c r="F28" s="214">
        <f>IFERROR(C28-(D28*B28),"")</f>
        <v>5</v>
      </c>
      <c r="G28" s="67"/>
      <c r="H28" s="67"/>
    </row>
    <row r="29" spans="1:8" ht="4.5" customHeight="1" x14ac:dyDescent="0.3">
      <c r="A29" s="289"/>
      <c r="B29" s="290"/>
      <c r="C29" s="290"/>
      <c r="D29" s="290"/>
      <c r="E29" s="290"/>
      <c r="F29" s="291"/>
      <c r="G29" s="67"/>
      <c r="H29" s="67"/>
    </row>
    <row r="30" spans="1:8" ht="25.35" customHeight="1" x14ac:dyDescent="0.3">
      <c r="A30" s="221" t="s">
        <v>239</v>
      </c>
      <c r="B30" s="224">
        <f t="shared" ref="B30:B31" si="4">$B$4</f>
        <v>30</v>
      </c>
      <c r="C30" s="227">
        <f>IFERROR(VLOOKUP(A30,'참조은 피벗'!A:SF,6,FALSE),0)</f>
        <v>44</v>
      </c>
      <c r="D30" s="227">
        <f t="shared" ref="D30:D31" si="5">IFERROR(ROUNDDOWN(C30/B30,0),"")</f>
        <v>1</v>
      </c>
      <c r="E30" s="51" t="s">
        <v>266</v>
      </c>
      <c r="F30" s="228">
        <f t="shared" ref="F30:F31" si="6">IFERROR(C30-(D30*B30),"")</f>
        <v>14</v>
      </c>
      <c r="G30" s="67"/>
      <c r="H30" s="67"/>
    </row>
    <row r="31" spans="1:8" ht="25.35" customHeight="1" x14ac:dyDescent="0.3">
      <c r="A31" s="221" t="s">
        <v>240</v>
      </c>
      <c r="B31" s="224">
        <f t="shared" si="4"/>
        <v>30</v>
      </c>
      <c r="C31" s="227">
        <f>IFERROR(VLOOKUP(A31,'참조은 피벗'!A:SF,6,FALSE),0)</f>
        <v>27</v>
      </c>
      <c r="D31" s="227">
        <f t="shared" si="5"/>
        <v>0</v>
      </c>
      <c r="E31" s="51" t="s">
        <v>267</v>
      </c>
      <c r="F31" s="228">
        <f t="shared" si="6"/>
        <v>27</v>
      </c>
      <c r="G31" s="67"/>
      <c r="H31" s="67"/>
    </row>
    <row r="32" spans="1:8" ht="4.5" customHeight="1" x14ac:dyDescent="0.3">
      <c r="A32" s="289"/>
      <c r="B32" s="290"/>
      <c r="C32" s="290"/>
      <c r="D32" s="290"/>
      <c r="E32" s="290"/>
      <c r="F32" s="291"/>
      <c r="G32" s="67"/>
      <c r="H32" s="67"/>
    </row>
    <row r="33" spans="1:8" ht="32.450000000000003" customHeight="1" x14ac:dyDescent="0.3">
      <c r="A33" s="211" t="s">
        <v>284</v>
      </c>
      <c r="B33" s="225">
        <f>$B$4</f>
        <v>30</v>
      </c>
      <c r="C33" s="212">
        <f>SUM(C30:C31)</f>
        <v>71</v>
      </c>
      <c r="D33" s="55">
        <f>IFERROR(ROUNDDOWN(C33/B33,0),"")</f>
        <v>2</v>
      </c>
      <c r="E33" s="213"/>
      <c r="F33" s="214">
        <f>IFERROR(C33-(D33*B33),"")</f>
        <v>11</v>
      </c>
      <c r="G33" s="67"/>
      <c r="H33" s="67"/>
    </row>
    <row r="34" spans="1:8" ht="4.5" customHeight="1" x14ac:dyDescent="0.3">
      <c r="A34" s="183"/>
      <c r="B34" s="224"/>
      <c r="C34" s="50"/>
      <c r="D34" s="50"/>
      <c r="E34" s="50"/>
      <c r="F34" s="184"/>
      <c r="G34" s="67"/>
      <c r="H34" s="67"/>
    </row>
    <row r="35" spans="1:8" ht="25.35" customHeight="1" x14ac:dyDescent="0.3">
      <c r="A35" s="221" t="s">
        <v>236</v>
      </c>
      <c r="B35" s="224">
        <f t="shared" ref="B35:B37" si="7">$B$4</f>
        <v>30</v>
      </c>
      <c r="C35" s="227">
        <f>IFERROR(VLOOKUP(A35,'참조은 피벗'!A:SF,6,FALSE),0)</f>
        <v>29</v>
      </c>
      <c r="D35" s="227">
        <f>IFERROR(ROUNDDOWN(C35/B35,0),"")</f>
        <v>0</v>
      </c>
      <c r="E35" s="51" t="s">
        <v>264</v>
      </c>
      <c r="F35" s="228">
        <f>IFERROR(C35-(D35*B35),"")</f>
        <v>29</v>
      </c>
      <c r="G35" s="67"/>
      <c r="H35" s="67"/>
    </row>
    <row r="36" spans="1:8" ht="25.35" customHeight="1" x14ac:dyDescent="0.3">
      <c r="A36" s="221" t="s">
        <v>237</v>
      </c>
      <c r="B36" s="224">
        <f t="shared" si="7"/>
        <v>30</v>
      </c>
      <c r="C36" s="227">
        <f>IFERROR(VLOOKUP(A36,'참조은 피벗'!A:SF,6,FALSE),0)</f>
        <v>28</v>
      </c>
      <c r="D36" s="227">
        <f t="shared" ref="D36:D37" si="8">IFERROR(ROUNDDOWN(C36/B36,0),"")</f>
        <v>0</v>
      </c>
      <c r="E36" s="51" t="s">
        <v>338</v>
      </c>
      <c r="F36" s="228">
        <f t="shared" ref="F36:F37" si="9">IFERROR(C36-(D36*B36),"")</f>
        <v>28</v>
      </c>
      <c r="G36" s="67"/>
      <c r="H36" s="67"/>
    </row>
    <row r="37" spans="1:8" ht="25.35" customHeight="1" x14ac:dyDescent="0.3">
      <c r="A37" s="221" t="s">
        <v>238</v>
      </c>
      <c r="B37" s="224">
        <f t="shared" si="7"/>
        <v>30</v>
      </c>
      <c r="C37" s="227">
        <f>IFERROR(VLOOKUP(A37,'참조은 피벗'!A:SF,6,FALSE),0)</f>
        <v>15</v>
      </c>
      <c r="D37" s="227">
        <f t="shared" si="8"/>
        <v>0</v>
      </c>
      <c r="E37" s="51" t="s">
        <v>265</v>
      </c>
      <c r="F37" s="228">
        <f t="shared" si="9"/>
        <v>15</v>
      </c>
      <c r="G37" s="67"/>
      <c r="H37" s="67"/>
    </row>
    <row r="38" spans="1:8" ht="4.5" customHeight="1" x14ac:dyDescent="0.3">
      <c r="A38" s="289"/>
      <c r="B38" s="290"/>
      <c r="C38" s="290"/>
      <c r="D38" s="290"/>
      <c r="E38" s="290"/>
      <c r="F38" s="291"/>
      <c r="G38" s="67"/>
      <c r="H38" s="67"/>
    </row>
    <row r="39" spans="1:8" ht="32.450000000000003" customHeight="1" x14ac:dyDescent="0.3">
      <c r="A39" s="211" t="s">
        <v>283</v>
      </c>
      <c r="B39" s="225">
        <f>$B$4</f>
        <v>30</v>
      </c>
      <c r="C39" s="212">
        <f>SUM(C35:C37)</f>
        <v>72</v>
      </c>
      <c r="D39" s="55">
        <f>IFERROR(ROUNDDOWN(C39/B39,0),"")</f>
        <v>2</v>
      </c>
      <c r="E39" s="213"/>
      <c r="F39" s="214">
        <f>IFERROR(C39-(D39*B39),"")</f>
        <v>12</v>
      </c>
      <c r="G39" s="67"/>
      <c r="H39" s="67"/>
    </row>
    <row r="40" spans="1:8" ht="4.5" customHeight="1" x14ac:dyDescent="0.3">
      <c r="A40" s="183"/>
      <c r="B40" s="224"/>
      <c r="C40" s="50"/>
      <c r="D40" s="50"/>
      <c r="E40" s="50"/>
      <c r="F40" s="184"/>
      <c r="G40" s="67"/>
      <c r="H40" s="67"/>
    </row>
    <row r="41" spans="1:8" ht="25.35" customHeight="1" x14ac:dyDescent="0.3">
      <c r="A41" s="221" t="s">
        <v>261</v>
      </c>
      <c r="B41" s="224">
        <f t="shared" ref="B41:B42" si="10">$B$4</f>
        <v>30</v>
      </c>
      <c r="C41" s="227">
        <f>IFERROR(VLOOKUP(A41,'참조은 피벗'!A:SF,6,FALSE),0)</f>
        <v>9</v>
      </c>
      <c r="D41" s="227">
        <f t="shared" ref="D41:D42" si="11">IFERROR(ROUNDDOWN(C41/B41,0),"")</f>
        <v>0</v>
      </c>
      <c r="E41" s="51" t="s">
        <v>281</v>
      </c>
      <c r="F41" s="228">
        <f t="shared" ref="F41:F42" si="12">IFERROR(C41-(D41*B41),"")</f>
        <v>9</v>
      </c>
      <c r="G41" s="67"/>
      <c r="H41" s="67"/>
    </row>
    <row r="42" spans="1:8" ht="25.35" customHeight="1" x14ac:dyDescent="0.3">
      <c r="A42" s="221" t="s">
        <v>262</v>
      </c>
      <c r="B42" s="224">
        <f t="shared" si="10"/>
        <v>30</v>
      </c>
      <c r="C42" s="227">
        <f>IFERROR(VLOOKUP(A42,'참조은 피벗'!A:SF,6,FALSE),0)</f>
        <v>8</v>
      </c>
      <c r="D42" s="227">
        <f t="shared" si="11"/>
        <v>0</v>
      </c>
      <c r="E42" s="51" t="s">
        <v>282</v>
      </c>
      <c r="F42" s="228">
        <f t="shared" si="12"/>
        <v>8</v>
      </c>
      <c r="G42" s="67"/>
      <c r="H42" s="67"/>
    </row>
    <row r="43" spans="1:8" ht="4.5" customHeight="1" x14ac:dyDescent="0.3">
      <c r="A43" s="289"/>
      <c r="B43" s="290"/>
      <c r="C43" s="290"/>
      <c r="D43" s="290"/>
      <c r="E43" s="290"/>
      <c r="F43" s="291"/>
      <c r="G43" s="67"/>
      <c r="H43" s="67"/>
    </row>
    <row r="44" spans="1:8" ht="32.450000000000003" customHeight="1" x14ac:dyDescent="0.3">
      <c r="A44" s="211" t="s">
        <v>339</v>
      </c>
      <c r="B44" s="225">
        <f>$B$4</f>
        <v>30</v>
      </c>
      <c r="C44" s="212">
        <f>SUM(C41:C42)</f>
        <v>17</v>
      </c>
      <c r="D44" s="55">
        <f>IFERROR(ROUNDDOWN(C44/B44,0),"")</f>
        <v>0</v>
      </c>
      <c r="E44" s="213"/>
      <c r="F44" s="214">
        <f>IFERROR(C44-(D44*B44),"")</f>
        <v>17</v>
      </c>
      <c r="G44" s="67"/>
      <c r="H44" s="67"/>
    </row>
    <row r="45" spans="1:8" ht="4.5" customHeight="1" thickBot="1" x14ac:dyDescent="0.35">
      <c r="A45" s="183"/>
      <c r="B45" s="50"/>
      <c r="C45" s="50"/>
      <c r="D45" s="50"/>
      <c r="E45" s="50"/>
      <c r="F45" s="184"/>
      <c r="G45" s="67"/>
      <c r="H45" s="67"/>
    </row>
    <row r="46" spans="1:8" ht="26.25" x14ac:dyDescent="0.3">
      <c r="A46" s="87" t="s">
        <v>3</v>
      </c>
      <c r="B46" s="226">
        <f>$B$4</f>
        <v>30</v>
      </c>
      <c r="C46" s="55">
        <f>SUM(C4:C18,C35:C37,C30:C31,C22:C26,C41:C42)</f>
        <v>839</v>
      </c>
      <c r="D46" s="54">
        <f>IFERROR(ROUNDDOWN(C46/B46,0),"")</f>
        <v>27</v>
      </c>
      <c r="E46" s="56"/>
      <c r="F46" s="121">
        <f>IFERROR(C46-(D46*B46),"")</f>
        <v>29</v>
      </c>
      <c r="G46" s="232" t="s">
        <v>110</v>
      </c>
      <c r="H46" s="233" t="s">
        <v>111</v>
      </c>
    </row>
    <row r="47" spans="1:8" ht="27" thickBot="1" x14ac:dyDescent="0.35">
      <c r="A47" s="42" t="s">
        <v>286</v>
      </c>
      <c r="B47" s="43" t="s">
        <v>173</v>
      </c>
      <c r="C47" s="40"/>
      <c r="D47" s="41">
        <f>SUM(D4:D18,D35:D37,D30:D31,D22:D26,D41:D42)</f>
        <v>14</v>
      </c>
      <c r="E47" s="48"/>
      <c r="F47" s="93">
        <f>SUM(F4:F18,F35:F37,F30:F31,F22:F26,F41:F42)</f>
        <v>419</v>
      </c>
      <c r="G47" s="216">
        <f>IFERROR(ROUNDDOWN(F47/B35,0),"")</f>
        <v>13</v>
      </c>
      <c r="H47" s="217">
        <f>IFERROR(F47-(G47*B35),"")</f>
        <v>29</v>
      </c>
    </row>
    <row r="48" spans="1:8" ht="22.5" customHeight="1" x14ac:dyDescent="0.3">
      <c r="C48" s="77">
        <f>C20+C28+C33+C39+C44</f>
        <v>839</v>
      </c>
      <c r="G48" s="199"/>
      <c r="H48" s="34" t="s">
        <v>174</v>
      </c>
    </row>
    <row r="49" spans="3:3" x14ac:dyDescent="0.3">
      <c r="C49" s="34" t="b">
        <f>C48=C46</f>
        <v>1</v>
      </c>
    </row>
  </sheetData>
  <sortState xmlns:xlrd2="http://schemas.microsoft.com/office/spreadsheetml/2017/richdata2" ref="A36:R40">
    <sortCondition ref="A36:A40" customList="VV16 (주)지에스리테일원주일배,VV69 ㈜지에스리테일강릉일배센터,VV57 (주)지에스리테일김해일배,VV58 (주)지에스리테일김해2일배,VV25 (주)지에스리테일진주일배,VV20 (주)지에스리테일(해인CVS),VV92 (주)지에스리테일신제주저온,VV95 (주)지에스리테일신광주저온,VV96 (주)지에스리테일신광주2저,VV83 지에스리테일경산저온,VV84 ㈜지에스리테일경산2저온,VV97 (주)지에스리테일경산3저온,VV34 (주)지에스리테일청주일배,VV04 (주)지에스리테일공주일배,VV75 (주)지에스리테일공주2일배,VV65 ㈜지에스리테일익산일배,VV03 (주)지에스리테일(아신A),VV63 ㈜지에스리테일고양일배센터,VV64 ㈜지에스리테일고양일배2,VV81 (주)지에스리테일고양저온3,VV62 (주)지에스리테일김포2일배,VV70 ㈜지에스리테일김포3일배,VV98 (주)지에스리테일고촌저온,VV99 (주)지에스리테일고촌2저온,VV90 (주)지에스리테일포천저온,VV91 (주)지에스리테일포천2저온,VV85 지에스리테일신오산1저온,VV86 지에스리테일신오산2저온,VV87 지에스리테일신오산3저온,VV66 지에스리테일인천도화일배,VV67 지에스리테일인천도화2일배,VV17 (주)지에스리테일발안일배,VV71 (주)지에스리테일발안2일배,VV53 (주)지에스리테일송파일배,VV55 (주)지에스리테일송파2일배,VV93 (주)지에스리테일곤지암센터,VV94 (주)지에스리테일곤지암2센"/>
  </sortState>
  <mergeCells count="8">
    <mergeCell ref="A43:F43"/>
    <mergeCell ref="A1:F1"/>
    <mergeCell ref="B2:F2"/>
    <mergeCell ref="A38:F38"/>
    <mergeCell ref="A32:F32"/>
    <mergeCell ref="A27:F27"/>
    <mergeCell ref="A29:F29"/>
    <mergeCell ref="A19:F19"/>
  </mergeCells>
  <phoneticPr fontId="13" type="noConversion"/>
  <printOptions horizontalCentered="1" verticalCentered="1"/>
  <pageMargins left="0" right="0" top="0" bottom="0" header="0" footer="0"/>
  <pageSetup paperSize="9" scale="77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A782A5-8357-481D-9E49-E897C41D0E9D}">
  <sheetPr>
    <tabColor theme="5" tint="0.59999389629810485"/>
    <pageSetUpPr fitToPage="1"/>
  </sheetPr>
  <dimension ref="A1:H49"/>
  <sheetViews>
    <sheetView zoomScale="40" zoomScaleNormal="40" zoomScaleSheetLayoutView="75" workbookViewId="0">
      <selection activeCell="A2" sqref="A2:F47"/>
    </sheetView>
  </sheetViews>
  <sheetFormatPr defaultColWidth="9" defaultRowHeight="16.5" x14ac:dyDescent="0.3"/>
  <cols>
    <col min="1" max="1" width="24.75" style="34" customWidth="1"/>
    <col min="2" max="2" width="7.625" style="38" customWidth="1"/>
    <col min="3" max="3" width="30.625" style="34" customWidth="1"/>
    <col min="4" max="4" width="9.875" style="2" customWidth="1"/>
    <col min="5" max="5" width="11.375" style="34" customWidth="1"/>
    <col min="6" max="6" width="11.125" style="2" customWidth="1"/>
    <col min="7" max="7" width="8.375" style="34" customWidth="1"/>
    <col min="8" max="8" width="9" style="34" customWidth="1"/>
    <col min="9" max="13" width="9" style="34"/>
    <col min="14" max="14" width="10.625" style="34" customWidth="1"/>
    <col min="15" max="17" width="9" style="34"/>
    <col min="18" max="18" width="36.5" style="34" bestFit="1" customWidth="1"/>
    <col min="19" max="16384" width="9" style="34"/>
  </cols>
  <sheetData>
    <row r="1" spans="1:8" ht="25.9" customHeight="1" thickBot="1" x14ac:dyDescent="0.35">
      <c r="A1" s="270"/>
      <c r="B1" s="270"/>
      <c r="C1" s="270"/>
      <c r="D1" s="270"/>
      <c r="E1" s="270"/>
      <c r="F1" s="270"/>
    </row>
    <row r="2" spans="1:8" ht="25.9" customHeight="1" x14ac:dyDescent="0.3">
      <c r="A2" s="215">
        <f ca="1">TODAY()</f>
        <v>46314</v>
      </c>
      <c r="B2" s="287" t="s">
        <v>263</v>
      </c>
      <c r="C2" s="287"/>
      <c r="D2" s="287"/>
      <c r="E2" s="287"/>
      <c r="F2" s="288"/>
      <c r="G2" s="67"/>
      <c r="H2" s="67"/>
    </row>
    <row r="3" spans="1:8" ht="40.15" customHeight="1" x14ac:dyDescent="0.3">
      <c r="A3" s="222" t="s">
        <v>67</v>
      </c>
      <c r="B3" s="223" t="s">
        <v>13</v>
      </c>
      <c r="C3" s="229" t="s">
        <v>296</v>
      </c>
      <c r="D3" s="230" t="s">
        <v>2</v>
      </c>
      <c r="E3" s="229" t="s">
        <v>23</v>
      </c>
      <c r="F3" s="231" t="s">
        <v>14</v>
      </c>
      <c r="G3" s="67"/>
      <c r="H3" s="67"/>
    </row>
    <row r="4" spans="1:8" ht="25.35" customHeight="1" x14ac:dyDescent="0.3">
      <c r="A4" s="220" t="s">
        <v>260</v>
      </c>
      <c r="B4" s="224">
        <v>45</v>
      </c>
      <c r="C4" s="227">
        <f>IFERROR(VLOOKUP(A4,'참조은 피벗'!A:SF,7,FALSE),0)</f>
        <v>20</v>
      </c>
      <c r="D4" s="227">
        <f t="shared" ref="D4:D18" si="0">IFERROR(ROUNDDOWN(C4/B4,0),"")</f>
        <v>0</v>
      </c>
      <c r="E4" s="51" t="s">
        <v>109</v>
      </c>
      <c r="F4" s="228">
        <f t="shared" ref="F4:F18" si="1">IFERROR(C4-(D4*B4),"")</f>
        <v>20</v>
      </c>
      <c r="G4" s="67"/>
      <c r="H4" s="67"/>
    </row>
    <row r="5" spans="1:8" ht="25.35" customHeight="1" x14ac:dyDescent="0.3">
      <c r="A5" s="221" t="s">
        <v>255</v>
      </c>
      <c r="B5" s="224">
        <f t="shared" ref="B5:B18" si="2">$B$4</f>
        <v>45</v>
      </c>
      <c r="C5" s="227">
        <f>IFERROR(VLOOKUP(A5,'참조은 피벗'!A:SF,7,FALSE),0)</f>
        <v>266</v>
      </c>
      <c r="D5" s="227">
        <f t="shared" ref="D5" si="3">IFERROR(ROUNDDOWN(C5/B5,0),"")</f>
        <v>5</v>
      </c>
      <c r="E5" s="51" t="s">
        <v>335</v>
      </c>
      <c r="F5" s="228">
        <f t="shared" ref="F5" si="4">IFERROR(C5-(D5*B5),"")</f>
        <v>41</v>
      </c>
      <c r="G5" s="67"/>
      <c r="H5" s="67"/>
    </row>
    <row r="6" spans="1:8" ht="25.35" customHeight="1" x14ac:dyDescent="0.3">
      <c r="A6" s="221" t="s">
        <v>249</v>
      </c>
      <c r="B6" s="224">
        <f t="shared" si="2"/>
        <v>45</v>
      </c>
      <c r="C6" s="227">
        <f>IFERROR(VLOOKUP(A6,'참조은 피벗'!A:SF,7,FALSE),0)</f>
        <v>141</v>
      </c>
      <c r="D6" s="227">
        <f>IFERROR(ROUNDDOWN(C6/B6,0),"")</f>
        <v>3</v>
      </c>
      <c r="E6" s="51" t="s">
        <v>272</v>
      </c>
      <c r="F6" s="228">
        <f>IFERROR(C6-(D6*B6),"")</f>
        <v>6</v>
      </c>
      <c r="G6" s="67"/>
      <c r="H6" s="67"/>
    </row>
    <row r="7" spans="1:8" ht="25.35" customHeight="1" x14ac:dyDescent="0.3">
      <c r="A7" s="221" t="s">
        <v>250</v>
      </c>
      <c r="B7" s="224">
        <f t="shared" si="2"/>
        <v>45</v>
      </c>
      <c r="C7" s="227">
        <f>IFERROR(VLOOKUP(A7,'참조은 피벗'!A:SF,7,FALSE),0)</f>
        <v>109</v>
      </c>
      <c r="D7" s="227">
        <f>IFERROR(ROUNDDOWN(C7/B7,0),"")</f>
        <v>2</v>
      </c>
      <c r="E7" s="51" t="s">
        <v>273</v>
      </c>
      <c r="F7" s="228">
        <f>IFERROR(C7-(D7*B7),"")</f>
        <v>19</v>
      </c>
      <c r="G7" s="67"/>
      <c r="H7" s="67"/>
    </row>
    <row r="8" spans="1:8" ht="25.35" customHeight="1" x14ac:dyDescent="0.3">
      <c r="A8" s="221" t="s">
        <v>248</v>
      </c>
      <c r="B8" s="224">
        <f t="shared" si="2"/>
        <v>45</v>
      </c>
      <c r="C8" s="227">
        <f>IFERROR(VLOOKUP(A8,'참조은 피벗'!A:SF,7,FALSE),0)</f>
        <v>87</v>
      </c>
      <c r="D8" s="227">
        <f>IFERROR(ROUNDDOWN(C8/B8,0),"")</f>
        <v>1</v>
      </c>
      <c r="E8" s="51" t="s">
        <v>271</v>
      </c>
      <c r="F8" s="228">
        <f>IFERROR(C8-(D8*B8),"")</f>
        <v>42</v>
      </c>
      <c r="G8" s="67"/>
      <c r="H8" s="67"/>
    </row>
    <row r="9" spans="1:8" ht="25.35" customHeight="1" x14ac:dyDescent="0.3">
      <c r="A9" s="221" t="s">
        <v>246</v>
      </c>
      <c r="B9" s="224">
        <f t="shared" si="2"/>
        <v>45</v>
      </c>
      <c r="C9" s="227">
        <f>IFERROR(VLOOKUP(A9,'참조은 피벗'!A:SF,7,FALSE),0)</f>
        <v>68</v>
      </c>
      <c r="D9" s="227">
        <f t="shared" si="0"/>
        <v>1</v>
      </c>
      <c r="E9" s="51" t="s">
        <v>270</v>
      </c>
      <c r="F9" s="228">
        <f t="shared" si="1"/>
        <v>23</v>
      </c>
      <c r="G9" s="67"/>
      <c r="H9" s="67"/>
    </row>
    <row r="10" spans="1:8" ht="25.35" customHeight="1" x14ac:dyDescent="0.3">
      <c r="A10" s="221" t="s">
        <v>256</v>
      </c>
      <c r="B10" s="224">
        <f t="shared" si="2"/>
        <v>45</v>
      </c>
      <c r="C10" s="227">
        <f>IFERROR(VLOOKUP(A10,'참조은 피벗'!A:SF,7,FALSE),0)</f>
        <v>65</v>
      </c>
      <c r="D10" s="227">
        <f>IFERROR(ROUNDDOWN(C10/B10,0),"")</f>
        <v>1</v>
      </c>
      <c r="E10" s="51" t="s">
        <v>278</v>
      </c>
      <c r="F10" s="228">
        <f>IFERROR(C10-(D10*B10),"")</f>
        <v>20</v>
      </c>
      <c r="G10" s="67"/>
      <c r="H10" s="67"/>
    </row>
    <row r="11" spans="1:8" ht="25.35" customHeight="1" x14ac:dyDescent="0.3">
      <c r="A11" s="221" t="s">
        <v>247</v>
      </c>
      <c r="B11" s="224">
        <f t="shared" si="2"/>
        <v>45</v>
      </c>
      <c r="C11" s="227">
        <f>IFERROR(VLOOKUP(A11,'참조은 피벗'!A:SF,7,FALSE),0)</f>
        <v>93</v>
      </c>
      <c r="D11" s="227">
        <f t="shared" si="0"/>
        <v>2</v>
      </c>
      <c r="E11" s="51" t="s">
        <v>334</v>
      </c>
      <c r="F11" s="228">
        <f t="shared" si="1"/>
        <v>3</v>
      </c>
      <c r="G11" s="67"/>
      <c r="H11" s="67"/>
    </row>
    <row r="12" spans="1:8" ht="25.35" customHeight="1" x14ac:dyDescent="0.3">
      <c r="A12" s="221" t="s">
        <v>251</v>
      </c>
      <c r="B12" s="224">
        <f t="shared" si="2"/>
        <v>45</v>
      </c>
      <c r="C12" s="227">
        <f>IFERROR(VLOOKUP(A12,'참조은 피벗'!A:SF,7,FALSE),0)</f>
        <v>145</v>
      </c>
      <c r="D12" s="227">
        <f t="shared" si="0"/>
        <v>3</v>
      </c>
      <c r="E12" s="51" t="s">
        <v>274</v>
      </c>
      <c r="F12" s="228">
        <f t="shared" si="1"/>
        <v>10</v>
      </c>
      <c r="G12" s="67"/>
      <c r="H12" s="67"/>
    </row>
    <row r="13" spans="1:8" ht="25.35" customHeight="1" x14ac:dyDescent="0.3">
      <c r="A13" s="220" t="s">
        <v>252</v>
      </c>
      <c r="B13" s="224">
        <f t="shared" si="2"/>
        <v>45</v>
      </c>
      <c r="C13" s="227">
        <f>IFERROR(VLOOKUP(A13,'참조은 피벗'!A:SF,7,FALSE),0)</f>
        <v>119</v>
      </c>
      <c r="D13" s="227">
        <f t="shared" si="0"/>
        <v>2</v>
      </c>
      <c r="E13" s="51" t="s">
        <v>275</v>
      </c>
      <c r="F13" s="228">
        <f t="shared" si="1"/>
        <v>29</v>
      </c>
      <c r="G13" s="67"/>
      <c r="H13" s="67"/>
    </row>
    <row r="14" spans="1:8" ht="25.35" customHeight="1" x14ac:dyDescent="0.3">
      <c r="A14" s="221" t="s">
        <v>253</v>
      </c>
      <c r="B14" s="224">
        <f t="shared" si="2"/>
        <v>45</v>
      </c>
      <c r="C14" s="227">
        <f>IFERROR(VLOOKUP(A14,'참조은 피벗'!A:SF,7,FALSE),0)</f>
        <v>172</v>
      </c>
      <c r="D14" s="227">
        <f t="shared" si="0"/>
        <v>3</v>
      </c>
      <c r="E14" s="51" t="s">
        <v>276</v>
      </c>
      <c r="F14" s="228">
        <f t="shared" si="1"/>
        <v>37</v>
      </c>
      <c r="G14" s="67"/>
      <c r="H14" s="67"/>
    </row>
    <row r="15" spans="1:8" ht="25.35" customHeight="1" x14ac:dyDescent="0.3">
      <c r="A15" s="221" t="s">
        <v>254</v>
      </c>
      <c r="B15" s="224">
        <f t="shared" si="2"/>
        <v>45</v>
      </c>
      <c r="C15" s="227">
        <f>IFERROR(VLOOKUP(A15,'참조은 피벗'!A:SF,7,FALSE),0)</f>
        <v>210</v>
      </c>
      <c r="D15" s="227">
        <f t="shared" si="0"/>
        <v>4</v>
      </c>
      <c r="E15" s="51" t="s">
        <v>277</v>
      </c>
      <c r="F15" s="228">
        <f t="shared" si="1"/>
        <v>30</v>
      </c>
      <c r="G15" s="67"/>
      <c r="H15" s="67"/>
    </row>
    <row r="16" spans="1:8" ht="25.35" customHeight="1" x14ac:dyDescent="0.3">
      <c r="A16" s="221" t="s">
        <v>257</v>
      </c>
      <c r="B16" s="224">
        <f t="shared" si="2"/>
        <v>45</v>
      </c>
      <c r="C16" s="227">
        <f>IFERROR(VLOOKUP(A16,'참조은 피벗'!A:SF,7,FALSE),0)</f>
        <v>46</v>
      </c>
      <c r="D16" s="227">
        <f t="shared" si="0"/>
        <v>1</v>
      </c>
      <c r="E16" s="51" t="s">
        <v>279</v>
      </c>
      <c r="F16" s="228">
        <f t="shared" si="1"/>
        <v>1</v>
      </c>
      <c r="G16" s="67"/>
      <c r="H16" s="67"/>
    </row>
    <row r="17" spans="1:8" ht="25.35" customHeight="1" x14ac:dyDescent="0.3">
      <c r="A17" s="221" t="s">
        <v>258</v>
      </c>
      <c r="B17" s="224">
        <f t="shared" si="2"/>
        <v>45</v>
      </c>
      <c r="C17" s="227">
        <f>IFERROR(VLOOKUP(A17,'참조은 피벗'!A:SF,7,FALSE),0)</f>
        <v>44</v>
      </c>
      <c r="D17" s="227">
        <f t="shared" si="0"/>
        <v>0</v>
      </c>
      <c r="E17" s="51" t="s">
        <v>280</v>
      </c>
      <c r="F17" s="228">
        <f t="shared" si="1"/>
        <v>44</v>
      </c>
      <c r="G17" s="67"/>
      <c r="H17" s="67"/>
    </row>
    <row r="18" spans="1:8" ht="25.35" customHeight="1" x14ac:dyDescent="0.3">
      <c r="A18" s="221" t="s">
        <v>259</v>
      </c>
      <c r="B18" s="224">
        <f t="shared" si="2"/>
        <v>45</v>
      </c>
      <c r="C18" s="227">
        <f>IFERROR(VLOOKUP(A18,'참조은 피벗'!A:SF,7,FALSE),0)</f>
        <v>53</v>
      </c>
      <c r="D18" s="227">
        <f t="shared" si="0"/>
        <v>1</v>
      </c>
      <c r="E18" s="51" t="s">
        <v>336</v>
      </c>
      <c r="F18" s="228">
        <f t="shared" si="1"/>
        <v>8</v>
      </c>
      <c r="G18" s="67"/>
      <c r="H18" s="67"/>
    </row>
    <row r="19" spans="1:8" ht="4.5" customHeight="1" x14ac:dyDescent="0.3">
      <c r="A19" s="284"/>
      <c r="B19" s="285"/>
      <c r="C19" s="285"/>
      <c r="D19" s="285"/>
      <c r="E19" s="285"/>
      <c r="F19" s="286"/>
    </row>
    <row r="20" spans="1:8" ht="32.450000000000003" customHeight="1" x14ac:dyDescent="0.3">
      <c r="A20" s="209" t="s">
        <v>122</v>
      </c>
      <c r="B20" s="226">
        <f>$B$4</f>
        <v>45</v>
      </c>
      <c r="C20" s="210">
        <f>SUM(C4:C18)</f>
        <v>1638</v>
      </c>
      <c r="D20" s="54">
        <f>IFERROR(ROUNDDOWN(C20/B20,0),"")</f>
        <v>36</v>
      </c>
      <c r="E20" s="36"/>
      <c r="F20" s="121">
        <f>IFERROR(C20-(D20*B20),"")</f>
        <v>18</v>
      </c>
    </row>
    <row r="21" spans="1:8" ht="4.5" customHeight="1" x14ac:dyDescent="0.3">
      <c r="A21" s="183"/>
      <c r="B21" s="224"/>
      <c r="C21" s="50"/>
      <c r="D21" s="50"/>
      <c r="E21" s="50"/>
      <c r="F21" s="184"/>
    </row>
    <row r="22" spans="1:8" ht="25.35" customHeight="1" x14ac:dyDescent="0.3">
      <c r="A22" s="221" t="s">
        <v>241</v>
      </c>
      <c r="B22" s="224">
        <f t="shared" ref="B22:B26" si="5">$B$4</f>
        <v>45</v>
      </c>
      <c r="C22" s="227">
        <f>IFERROR(VLOOKUP(A22,'참조은 피벗'!A:SF,7,FALSE),0)</f>
        <v>116</v>
      </c>
      <c r="D22" s="227">
        <f>IFERROR(ROUNDDOWN(C22/B22,0),"")</f>
        <v>2</v>
      </c>
      <c r="E22" s="51" t="s">
        <v>268</v>
      </c>
      <c r="F22" s="228">
        <f>IFERROR(C22-(D22*B22),"")</f>
        <v>26</v>
      </c>
      <c r="G22" s="67"/>
      <c r="H22" s="67"/>
    </row>
    <row r="23" spans="1:8" ht="25.35" customHeight="1" x14ac:dyDescent="0.3">
      <c r="A23" s="221" t="s">
        <v>242</v>
      </c>
      <c r="B23" s="224">
        <f t="shared" si="5"/>
        <v>45</v>
      </c>
      <c r="C23" s="227">
        <f>IFERROR(VLOOKUP(A23,'참조은 피벗'!A:SF,7,FALSE),0)</f>
        <v>76</v>
      </c>
      <c r="D23" s="227">
        <f>IFERROR(ROUNDDOWN(C23/B23,0),"")</f>
        <v>1</v>
      </c>
      <c r="E23" s="51" t="s">
        <v>337</v>
      </c>
      <c r="F23" s="228">
        <f>IFERROR(C23-(D23*B23),"")</f>
        <v>31</v>
      </c>
      <c r="G23" s="67"/>
      <c r="H23" s="67"/>
    </row>
    <row r="24" spans="1:8" ht="25.35" customHeight="1" x14ac:dyDescent="0.3">
      <c r="A24" s="221" t="s">
        <v>243</v>
      </c>
      <c r="B24" s="224">
        <f t="shared" si="5"/>
        <v>45</v>
      </c>
      <c r="C24" s="227">
        <f>IFERROR(VLOOKUP(A24,'참조은 피벗'!A:SF,7,FALSE),0)</f>
        <v>0</v>
      </c>
      <c r="D24" s="227">
        <f>IFERROR(ROUNDDOWN(C24/B24,0),"")</f>
        <v>0</v>
      </c>
      <c r="E24" s="51" t="s">
        <v>106</v>
      </c>
      <c r="F24" s="228">
        <f>IFERROR(C24-(D24*B24),"")</f>
        <v>0</v>
      </c>
      <c r="G24" s="67"/>
      <c r="H24" s="67"/>
    </row>
    <row r="25" spans="1:8" ht="25.35" customHeight="1" x14ac:dyDescent="0.3">
      <c r="A25" s="221" t="s">
        <v>244</v>
      </c>
      <c r="B25" s="224">
        <f t="shared" si="5"/>
        <v>45</v>
      </c>
      <c r="C25" s="227">
        <f>IFERROR(VLOOKUP(A25,'참조은 피벗'!A:SF,7,FALSE),0)</f>
        <v>167</v>
      </c>
      <c r="D25" s="227">
        <f>IFERROR(ROUNDDOWN(C25/B25,0),"")</f>
        <v>3</v>
      </c>
      <c r="E25" s="51" t="s">
        <v>269</v>
      </c>
      <c r="F25" s="228">
        <f>IFERROR(C25-(D25*B25),"")</f>
        <v>32</v>
      </c>
      <c r="G25" s="67"/>
      <c r="H25" s="67"/>
    </row>
    <row r="26" spans="1:8" ht="25.35" customHeight="1" x14ac:dyDescent="0.3">
      <c r="A26" s="221" t="s">
        <v>245</v>
      </c>
      <c r="B26" s="224">
        <f t="shared" si="5"/>
        <v>45</v>
      </c>
      <c r="C26" s="227">
        <f>IFERROR(VLOOKUP(A26,'참조은 피벗'!A:SF,7,FALSE),0)</f>
        <v>61</v>
      </c>
      <c r="D26" s="227">
        <f>IFERROR(ROUNDDOWN(C26/B26,0),"")</f>
        <v>1</v>
      </c>
      <c r="E26" s="51" t="s">
        <v>118</v>
      </c>
      <c r="F26" s="228">
        <f>IFERROR(C26-(D26*B26),"")</f>
        <v>16</v>
      </c>
      <c r="G26" s="67"/>
      <c r="H26" s="67"/>
    </row>
    <row r="27" spans="1:8" ht="4.5" customHeight="1" x14ac:dyDescent="0.3">
      <c r="A27" s="284"/>
      <c r="B27" s="285"/>
      <c r="C27" s="285"/>
      <c r="D27" s="285"/>
      <c r="E27" s="285"/>
      <c r="F27" s="286"/>
      <c r="G27" s="67"/>
      <c r="H27" s="67"/>
    </row>
    <row r="28" spans="1:8" ht="32.450000000000003" customHeight="1" x14ac:dyDescent="0.3">
      <c r="A28" s="209" t="s">
        <v>285</v>
      </c>
      <c r="B28" s="226">
        <f>$B$4</f>
        <v>45</v>
      </c>
      <c r="C28" s="210">
        <f>SUM(C22:C26)</f>
        <v>420</v>
      </c>
      <c r="D28" s="54">
        <f>IFERROR(ROUNDDOWN(C28/B28,0),"")</f>
        <v>9</v>
      </c>
      <c r="E28" s="36"/>
      <c r="F28" s="121">
        <f>IFERROR(C28-(D28*B28),"")</f>
        <v>15</v>
      </c>
      <c r="G28" s="67"/>
      <c r="H28" s="67"/>
    </row>
    <row r="29" spans="1:8" ht="4.5" customHeight="1" x14ac:dyDescent="0.3">
      <c r="A29" s="284"/>
      <c r="B29" s="285"/>
      <c r="C29" s="285"/>
      <c r="D29" s="285"/>
      <c r="E29" s="285"/>
      <c r="F29" s="286"/>
      <c r="G29" s="67"/>
      <c r="H29" s="67"/>
    </row>
    <row r="30" spans="1:8" ht="25.35" customHeight="1" x14ac:dyDescent="0.3">
      <c r="A30" s="221" t="s">
        <v>239</v>
      </c>
      <c r="B30" s="224">
        <f t="shared" ref="B30:B31" si="6">$B$4</f>
        <v>45</v>
      </c>
      <c r="C30" s="227">
        <f>IFERROR(VLOOKUP(A30,'참조은 피벗'!A:SF,7,FALSE),0)</f>
        <v>88</v>
      </c>
      <c r="D30" s="227">
        <f t="shared" ref="D30:D31" si="7">IFERROR(ROUNDDOWN(C30/B30,0),"")</f>
        <v>1</v>
      </c>
      <c r="E30" s="51" t="s">
        <v>266</v>
      </c>
      <c r="F30" s="228">
        <f t="shared" ref="F30:F31" si="8">IFERROR(C30-(D30*B30),"")</f>
        <v>43</v>
      </c>
      <c r="G30" s="67"/>
      <c r="H30" s="67"/>
    </row>
    <row r="31" spans="1:8" ht="25.35" customHeight="1" x14ac:dyDescent="0.3">
      <c r="A31" s="221" t="s">
        <v>240</v>
      </c>
      <c r="B31" s="224">
        <f t="shared" si="6"/>
        <v>45</v>
      </c>
      <c r="C31" s="227">
        <f>IFERROR(VLOOKUP(A31,'참조은 피벗'!A:SF,7,FALSE),0)</f>
        <v>84</v>
      </c>
      <c r="D31" s="227">
        <f t="shared" si="7"/>
        <v>1</v>
      </c>
      <c r="E31" s="51" t="s">
        <v>267</v>
      </c>
      <c r="F31" s="228">
        <f t="shared" si="8"/>
        <v>39</v>
      </c>
      <c r="G31" s="67"/>
      <c r="H31" s="67"/>
    </row>
    <row r="32" spans="1:8" ht="4.5" customHeight="1" x14ac:dyDescent="0.3">
      <c r="A32" s="284"/>
      <c r="B32" s="285"/>
      <c r="C32" s="285"/>
      <c r="D32" s="285"/>
      <c r="E32" s="285"/>
      <c r="F32" s="286"/>
      <c r="G32" s="67"/>
      <c r="H32" s="67"/>
    </row>
    <row r="33" spans="1:8" ht="32.450000000000003" customHeight="1" x14ac:dyDescent="0.3">
      <c r="A33" s="209" t="s">
        <v>284</v>
      </c>
      <c r="B33" s="226">
        <f>$B$4</f>
        <v>45</v>
      </c>
      <c r="C33" s="210">
        <f>SUM(C30:C31)</f>
        <v>172</v>
      </c>
      <c r="D33" s="54">
        <f>IFERROR(ROUNDDOWN(C33/B33,0),"")</f>
        <v>3</v>
      </c>
      <c r="E33" s="36"/>
      <c r="F33" s="121">
        <f>IFERROR(C33-(D33*B33),"")</f>
        <v>37</v>
      </c>
      <c r="G33" s="67"/>
      <c r="H33" s="67"/>
    </row>
    <row r="34" spans="1:8" ht="4.5" customHeight="1" x14ac:dyDescent="0.3">
      <c r="A34" s="183"/>
      <c r="B34" s="224"/>
      <c r="C34" s="50"/>
      <c r="D34" s="50"/>
      <c r="E34" s="50"/>
      <c r="F34" s="184"/>
      <c r="G34" s="67"/>
      <c r="H34" s="67"/>
    </row>
    <row r="35" spans="1:8" ht="25.35" customHeight="1" x14ac:dyDescent="0.3">
      <c r="A35" s="221" t="s">
        <v>236</v>
      </c>
      <c r="B35" s="224">
        <f t="shared" ref="B35:B37" si="9">$B$4</f>
        <v>45</v>
      </c>
      <c r="C35" s="227">
        <f>IFERROR(VLOOKUP(A35,'참조은 피벗'!A:SF,7,FALSE),0)</f>
        <v>104</v>
      </c>
      <c r="D35" s="227">
        <f>IFERROR(ROUNDDOWN(C35/B35,0),"")</f>
        <v>2</v>
      </c>
      <c r="E35" s="51" t="s">
        <v>264</v>
      </c>
      <c r="F35" s="228">
        <f>IFERROR(C35-(D35*B35),"")</f>
        <v>14</v>
      </c>
      <c r="G35" s="67"/>
      <c r="H35" s="67"/>
    </row>
    <row r="36" spans="1:8" ht="25.35" customHeight="1" x14ac:dyDescent="0.3">
      <c r="A36" s="221" t="s">
        <v>237</v>
      </c>
      <c r="B36" s="224">
        <f t="shared" si="9"/>
        <v>45</v>
      </c>
      <c r="C36" s="227">
        <f>IFERROR(VLOOKUP(A36,'참조은 피벗'!A:SF,7,FALSE),0)</f>
        <v>69</v>
      </c>
      <c r="D36" s="227">
        <f t="shared" ref="D36:D37" si="10">IFERROR(ROUNDDOWN(C36/B36,0),"")</f>
        <v>1</v>
      </c>
      <c r="E36" s="51" t="s">
        <v>338</v>
      </c>
      <c r="F36" s="228">
        <f t="shared" ref="F36:F37" si="11">IFERROR(C36-(D36*B36),"")</f>
        <v>24</v>
      </c>
      <c r="G36" s="67"/>
      <c r="H36" s="67"/>
    </row>
    <row r="37" spans="1:8" ht="25.35" customHeight="1" x14ac:dyDescent="0.3">
      <c r="A37" s="221" t="s">
        <v>238</v>
      </c>
      <c r="B37" s="224">
        <f t="shared" si="9"/>
        <v>45</v>
      </c>
      <c r="C37" s="227">
        <f>IFERROR(VLOOKUP(A37,'참조은 피벗'!A:SF,7,FALSE),0)</f>
        <v>59</v>
      </c>
      <c r="D37" s="227">
        <f t="shared" si="10"/>
        <v>1</v>
      </c>
      <c r="E37" s="51" t="s">
        <v>265</v>
      </c>
      <c r="F37" s="228">
        <f t="shared" si="11"/>
        <v>14</v>
      </c>
      <c r="G37" s="67"/>
      <c r="H37" s="67"/>
    </row>
    <row r="38" spans="1:8" ht="4.5" customHeight="1" x14ac:dyDescent="0.3">
      <c r="A38" s="284"/>
      <c r="B38" s="285"/>
      <c r="C38" s="285"/>
      <c r="D38" s="285"/>
      <c r="E38" s="285"/>
      <c r="F38" s="286"/>
      <c r="G38" s="67"/>
      <c r="H38" s="67"/>
    </row>
    <row r="39" spans="1:8" ht="32.450000000000003" customHeight="1" x14ac:dyDescent="0.3">
      <c r="A39" s="209" t="s">
        <v>283</v>
      </c>
      <c r="B39" s="226">
        <f>$B$4</f>
        <v>45</v>
      </c>
      <c r="C39" s="210">
        <f>SUM(C35:C37)</f>
        <v>232</v>
      </c>
      <c r="D39" s="54">
        <f>IFERROR(ROUNDDOWN(C39/B39,0),"")</f>
        <v>5</v>
      </c>
      <c r="E39" s="36"/>
      <c r="F39" s="121">
        <f>IFERROR(C39-(D39*B39),"")</f>
        <v>7</v>
      </c>
      <c r="G39" s="67"/>
      <c r="H39" s="67"/>
    </row>
    <row r="40" spans="1:8" ht="4.5" customHeight="1" x14ac:dyDescent="0.3">
      <c r="A40" s="183"/>
      <c r="B40" s="224"/>
      <c r="C40" s="50"/>
      <c r="D40" s="50"/>
      <c r="E40" s="50"/>
      <c r="F40" s="184"/>
      <c r="G40" s="67"/>
      <c r="H40" s="67"/>
    </row>
    <row r="41" spans="1:8" ht="25.35" customHeight="1" x14ac:dyDescent="0.3">
      <c r="A41" s="221" t="s">
        <v>261</v>
      </c>
      <c r="B41" s="224">
        <f t="shared" ref="B41:B42" si="12">$B$4</f>
        <v>45</v>
      </c>
      <c r="C41" s="227">
        <f>IFERROR(VLOOKUP(A41,'참조은 피벗'!A:SF,7,FALSE),0)</f>
        <v>24</v>
      </c>
      <c r="D41" s="227">
        <f t="shared" ref="D41:D42" si="13">IFERROR(ROUNDDOWN(C41/B41,0),"")</f>
        <v>0</v>
      </c>
      <c r="E41" s="51" t="s">
        <v>281</v>
      </c>
      <c r="F41" s="228">
        <f t="shared" ref="F41:F42" si="14">IFERROR(C41-(D41*B41),"")</f>
        <v>24</v>
      </c>
      <c r="G41" s="67"/>
      <c r="H41" s="67"/>
    </row>
    <row r="42" spans="1:8" ht="25.35" customHeight="1" x14ac:dyDescent="0.3">
      <c r="A42" s="221" t="s">
        <v>262</v>
      </c>
      <c r="B42" s="224">
        <f t="shared" si="12"/>
        <v>45</v>
      </c>
      <c r="C42" s="227">
        <f>IFERROR(VLOOKUP(A42,'참조은 피벗'!A:SF,7,FALSE),0)</f>
        <v>31</v>
      </c>
      <c r="D42" s="227">
        <f t="shared" si="13"/>
        <v>0</v>
      </c>
      <c r="E42" s="51" t="s">
        <v>282</v>
      </c>
      <c r="F42" s="228">
        <f t="shared" si="14"/>
        <v>31</v>
      </c>
      <c r="G42" s="67"/>
      <c r="H42" s="67"/>
    </row>
    <row r="43" spans="1:8" ht="4.5" customHeight="1" x14ac:dyDescent="0.3">
      <c r="A43" s="284"/>
      <c r="B43" s="285"/>
      <c r="C43" s="285"/>
      <c r="D43" s="285"/>
      <c r="E43" s="285"/>
      <c r="F43" s="286"/>
      <c r="G43" s="67"/>
      <c r="H43" s="67"/>
    </row>
    <row r="44" spans="1:8" ht="32.450000000000003" customHeight="1" x14ac:dyDescent="0.3">
      <c r="A44" s="209" t="s">
        <v>339</v>
      </c>
      <c r="B44" s="226">
        <f>$B$4</f>
        <v>45</v>
      </c>
      <c r="C44" s="210">
        <f>SUM(C41:C42)</f>
        <v>55</v>
      </c>
      <c r="D44" s="54">
        <f>IFERROR(ROUNDDOWN(C44/B44,0),"")</f>
        <v>1</v>
      </c>
      <c r="E44" s="36"/>
      <c r="F44" s="121">
        <f>IFERROR(C44-(D44*B44),"")</f>
        <v>10</v>
      </c>
      <c r="G44" s="67"/>
      <c r="H44" s="67"/>
    </row>
    <row r="45" spans="1:8" ht="4.5" customHeight="1" thickBot="1" x14ac:dyDescent="0.35">
      <c r="A45" s="183"/>
      <c r="B45" s="50"/>
      <c r="C45" s="50"/>
      <c r="D45" s="50"/>
      <c r="E45" s="50"/>
      <c r="F45" s="184"/>
      <c r="G45" s="67"/>
      <c r="H45" s="67"/>
    </row>
    <row r="46" spans="1:8" ht="26.25" x14ac:dyDescent="0.3">
      <c r="A46" s="87" t="s">
        <v>3</v>
      </c>
      <c r="B46" s="226">
        <f>$B$4</f>
        <v>45</v>
      </c>
      <c r="C46" s="55">
        <f>SUM(C4:C18,C35:C37,C30:C31,C22:C26,C41:C42)</f>
        <v>2517</v>
      </c>
      <c r="D46" s="54">
        <f>IFERROR(ROUNDDOWN(C46/B46,0),"")</f>
        <v>55</v>
      </c>
      <c r="E46" s="56"/>
      <c r="F46" s="121">
        <f>IFERROR(C46-(D46*B46),"")</f>
        <v>42</v>
      </c>
      <c r="G46" s="232" t="s">
        <v>110</v>
      </c>
      <c r="H46" s="233" t="s">
        <v>111</v>
      </c>
    </row>
    <row r="47" spans="1:8" ht="27" thickBot="1" x14ac:dyDescent="0.35">
      <c r="A47" s="42" t="s">
        <v>286</v>
      </c>
      <c r="B47" s="43" t="s">
        <v>173</v>
      </c>
      <c r="C47" s="40"/>
      <c r="D47" s="41">
        <f>SUM(D4:D18,D35:D37,D30:D31,D22:D26,D41:D42)</f>
        <v>42</v>
      </c>
      <c r="E47" s="48"/>
      <c r="F47" s="93">
        <f>SUM(F4:F18,F35:F37,F30:F31,F22:F26,F41:F42)</f>
        <v>627</v>
      </c>
      <c r="G47" s="216">
        <f>IFERROR(ROUNDDOWN(F47/B35,0),"")</f>
        <v>13</v>
      </c>
      <c r="H47" s="217">
        <f>IFERROR(F47-(G47*B35),"")</f>
        <v>42</v>
      </c>
    </row>
    <row r="48" spans="1:8" ht="22.5" customHeight="1" x14ac:dyDescent="0.3">
      <c r="C48" s="77">
        <f>C20+C28+C33+C39+C44</f>
        <v>2517</v>
      </c>
      <c r="G48" s="199"/>
      <c r="H48" s="34" t="s">
        <v>174</v>
      </c>
    </row>
    <row r="49" spans="3:3" x14ac:dyDescent="0.3">
      <c r="C49" s="34" t="b">
        <f>C48=C46</f>
        <v>1</v>
      </c>
    </row>
  </sheetData>
  <mergeCells count="8">
    <mergeCell ref="A43:F43"/>
    <mergeCell ref="A38:F38"/>
    <mergeCell ref="A1:F1"/>
    <mergeCell ref="B2:F2"/>
    <mergeCell ref="A19:F19"/>
    <mergeCell ref="A27:F27"/>
    <mergeCell ref="A29:F29"/>
    <mergeCell ref="A32:F32"/>
  </mergeCells>
  <phoneticPr fontId="13" type="noConversion"/>
  <printOptions horizontalCentered="1" verticalCentered="1"/>
  <pageMargins left="0" right="0" top="0" bottom="0" header="0" footer="0"/>
  <pageSetup paperSize="9" scale="77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E190CC-A1A5-4DBB-8875-D20E6372E05B}">
  <sheetPr>
    <tabColor theme="5" tint="0.59999389629810485"/>
    <pageSetUpPr fitToPage="1"/>
  </sheetPr>
  <dimension ref="A1:H49"/>
  <sheetViews>
    <sheetView zoomScale="40" zoomScaleNormal="40" zoomScaleSheetLayoutView="75" workbookViewId="0">
      <selection activeCell="A2" sqref="A2:F47"/>
    </sheetView>
  </sheetViews>
  <sheetFormatPr defaultColWidth="9" defaultRowHeight="16.5" x14ac:dyDescent="0.3"/>
  <cols>
    <col min="1" max="1" width="24.75" style="34" customWidth="1"/>
    <col min="2" max="2" width="7.625" style="38" customWidth="1"/>
    <col min="3" max="3" width="30.625" style="34" customWidth="1"/>
    <col min="4" max="4" width="9.875" style="2" customWidth="1"/>
    <col min="5" max="5" width="11.375" style="34" customWidth="1"/>
    <col min="6" max="6" width="11.125" style="2" customWidth="1"/>
    <col min="7" max="7" width="8.375" style="34" customWidth="1"/>
    <col min="8" max="8" width="9" style="34" customWidth="1"/>
    <col min="9" max="13" width="9" style="34"/>
    <col min="14" max="14" width="10.625" style="34" customWidth="1"/>
    <col min="15" max="17" width="9" style="34"/>
    <col min="18" max="18" width="36.5" style="34" bestFit="1" customWidth="1"/>
    <col min="19" max="16384" width="9" style="34"/>
  </cols>
  <sheetData>
    <row r="1" spans="1:8" ht="25.9" customHeight="1" thickBot="1" x14ac:dyDescent="0.35">
      <c r="A1" s="270"/>
      <c r="B1" s="270"/>
      <c r="C1" s="270"/>
      <c r="D1" s="270"/>
      <c r="E1" s="270"/>
      <c r="F1" s="270"/>
    </row>
    <row r="2" spans="1:8" ht="25.9" customHeight="1" x14ac:dyDescent="0.3">
      <c r="A2" s="215">
        <f ca="1">TODAY()</f>
        <v>46314</v>
      </c>
      <c r="B2" s="287" t="s">
        <v>263</v>
      </c>
      <c r="C2" s="287"/>
      <c r="D2" s="287"/>
      <c r="E2" s="287"/>
      <c r="F2" s="288"/>
      <c r="G2" s="67"/>
      <c r="H2" s="67"/>
    </row>
    <row r="3" spans="1:8" ht="40.15" customHeight="1" x14ac:dyDescent="0.3">
      <c r="A3" s="222" t="s">
        <v>67</v>
      </c>
      <c r="B3" s="223" t="s">
        <v>13</v>
      </c>
      <c r="C3" s="229" t="s">
        <v>297</v>
      </c>
      <c r="D3" s="230" t="s">
        <v>2</v>
      </c>
      <c r="E3" s="229" t="s">
        <v>23</v>
      </c>
      <c r="F3" s="231" t="s">
        <v>14</v>
      </c>
      <c r="G3" s="67"/>
      <c r="H3" s="67"/>
    </row>
    <row r="4" spans="1:8" ht="25.35" customHeight="1" x14ac:dyDescent="0.3">
      <c r="A4" s="220" t="s">
        <v>260</v>
      </c>
      <c r="B4" s="224">
        <v>45</v>
      </c>
      <c r="C4" s="227">
        <f>IFERROR(VLOOKUP(A4,'참조은 피벗'!A:SF,8,FALSE),0)</f>
        <v>22</v>
      </c>
      <c r="D4" s="227">
        <f t="shared" ref="D4:D18" si="0">IFERROR(ROUNDDOWN(C4/B4,0),"")</f>
        <v>0</v>
      </c>
      <c r="E4" s="51" t="s">
        <v>109</v>
      </c>
      <c r="F4" s="228">
        <f t="shared" ref="F4:F18" si="1">IFERROR(C4-(D4*B4),"")</f>
        <v>22</v>
      </c>
      <c r="G4" s="67"/>
      <c r="H4" s="67"/>
    </row>
    <row r="5" spans="1:8" ht="25.35" customHeight="1" x14ac:dyDescent="0.3">
      <c r="A5" s="221" t="s">
        <v>255</v>
      </c>
      <c r="B5" s="224">
        <f t="shared" ref="B5:B18" si="2">$B$4</f>
        <v>45</v>
      </c>
      <c r="C5" s="227">
        <f>IFERROR(VLOOKUP(A5,'참조은 피벗'!A:SF,8,FALSE),0)</f>
        <v>235</v>
      </c>
      <c r="D5" s="227">
        <f t="shared" ref="D5" si="3">IFERROR(ROUNDDOWN(C5/B5,0),"")</f>
        <v>5</v>
      </c>
      <c r="E5" s="51" t="s">
        <v>335</v>
      </c>
      <c r="F5" s="228">
        <f t="shared" ref="F5" si="4">IFERROR(C5-(D5*B5),"")</f>
        <v>10</v>
      </c>
      <c r="G5" s="67"/>
      <c r="H5" s="67"/>
    </row>
    <row r="6" spans="1:8" ht="25.35" customHeight="1" x14ac:dyDescent="0.3">
      <c r="A6" s="221" t="s">
        <v>249</v>
      </c>
      <c r="B6" s="224">
        <f t="shared" si="2"/>
        <v>45</v>
      </c>
      <c r="C6" s="227">
        <f>IFERROR(VLOOKUP(A6,'참조은 피벗'!A:SF,8,FALSE),0)</f>
        <v>111</v>
      </c>
      <c r="D6" s="227">
        <f>IFERROR(ROUNDDOWN(C6/B6,0),"")</f>
        <v>2</v>
      </c>
      <c r="E6" s="51" t="s">
        <v>272</v>
      </c>
      <c r="F6" s="228">
        <f>IFERROR(C6-(D6*B6),"")</f>
        <v>21</v>
      </c>
      <c r="G6" s="67"/>
      <c r="H6" s="67"/>
    </row>
    <row r="7" spans="1:8" ht="25.35" customHeight="1" x14ac:dyDescent="0.3">
      <c r="A7" s="221" t="s">
        <v>250</v>
      </c>
      <c r="B7" s="224">
        <f t="shared" si="2"/>
        <v>45</v>
      </c>
      <c r="C7" s="227">
        <f>IFERROR(VLOOKUP(A7,'참조은 피벗'!A:SF,8,FALSE),0)</f>
        <v>116</v>
      </c>
      <c r="D7" s="227">
        <f>IFERROR(ROUNDDOWN(C7/B7,0),"")</f>
        <v>2</v>
      </c>
      <c r="E7" s="51" t="s">
        <v>273</v>
      </c>
      <c r="F7" s="228">
        <f>IFERROR(C7-(D7*B7),"")</f>
        <v>26</v>
      </c>
      <c r="G7" s="67"/>
      <c r="H7" s="67"/>
    </row>
    <row r="8" spans="1:8" ht="25.35" customHeight="1" x14ac:dyDescent="0.3">
      <c r="A8" s="221" t="s">
        <v>248</v>
      </c>
      <c r="B8" s="224">
        <f t="shared" si="2"/>
        <v>45</v>
      </c>
      <c r="C8" s="227">
        <f>IFERROR(VLOOKUP(A8,'참조은 피벗'!A:SF,8,FALSE),0)</f>
        <v>89</v>
      </c>
      <c r="D8" s="227">
        <f>IFERROR(ROUNDDOWN(C8/B8,0),"")</f>
        <v>1</v>
      </c>
      <c r="E8" s="51" t="s">
        <v>271</v>
      </c>
      <c r="F8" s="228">
        <f>IFERROR(C8-(D8*B8),"")</f>
        <v>44</v>
      </c>
      <c r="G8" s="67"/>
      <c r="H8" s="67"/>
    </row>
    <row r="9" spans="1:8" ht="25.35" customHeight="1" x14ac:dyDescent="0.3">
      <c r="A9" s="221" t="s">
        <v>246</v>
      </c>
      <c r="B9" s="224">
        <f t="shared" si="2"/>
        <v>45</v>
      </c>
      <c r="C9" s="227">
        <f>IFERROR(VLOOKUP(A9,'참조은 피벗'!A:SF,8,FALSE),0)</f>
        <v>80</v>
      </c>
      <c r="D9" s="227">
        <f t="shared" si="0"/>
        <v>1</v>
      </c>
      <c r="E9" s="51" t="s">
        <v>270</v>
      </c>
      <c r="F9" s="228">
        <f t="shared" si="1"/>
        <v>35</v>
      </c>
      <c r="G9" s="67"/>
      <c r="H9" s="67"/>
    </row>
    <row r="10" spans="1:8" ht="25.35" customHeight="1" x14ac:dyDescent="0.3">
      <c r="A10" s="221" t="s">
        <v>256</v>
      </c>
      <c r="B10" s="224">
        <f t="shared" si="2"/>
        <v>45</v>
      </c>
      <c r="C10" s="227">
        <f>IFERROR(VLOOKUP(A10,'참조은 피벗'!A:SF,8,FALSE),0)</f>
        <v>70</v>
      </c>
      <c r="D10" s="227">
        <f>IFERROR(ROUNDDOWN(C10/B10,0),"")</f>
        <v>1</v>
      </c>
      <c r="E10" s="51" t="s">
        <v>278</v>
      </c>
      <c r="F10" s="228">
        <f>IFERROR(C10-(D10*B10),"")</f>
        <v>25</v>
      </c>
      <c r="G10" s="67"/>
      <c r="H10" s="67"/>
    </row>
    <row r="11" spans="1:8" ht="25.35" customHeight="1" x14ac:dyDescent="0.3">
      <c r="A11" s="221" t="s">
        <v>247</v>
      </c>
      <c r="B11" s="224">
        <f t="shared" si="2"/>
        <v>45</v>
      </c>
      <c r="C11" s="227">
        <f>IFERROR(VLOOKUP(A11,'참조은 피벗'!A:SF,8,FALSE),0)</f>
        <v>95</v>
      </c>
      <c r="D11" s="227">
        <f t="shared" si="0"/>
        <v>2</v>
      </c>
      <c r="E11" s="51" t="s">
        <v>334</v>
      </c>
      <c r="F11" s="228">
        <f t="shared" si="1"/>
        <v>5</v>
      </c>
      <c r="G11" s="67"/>
      <c r="H11" s="67"/>
    </row>
    <row r="12" spans="1:8" ht="25.35" customHeight="1" x14ac:dyDescent="0.3">
      <c r="A12" s="221" t="s">
        <v>251</v>
      </c>
      <c r="B12" s="224">
        <f t="shared" si="2"/>
        <v>45</v>
      </c>
      <c r="C12" s="227">
        <f>IFERROR(VLOOKUP(A12,'참조은 피벗'!A:SF,8,FALSE),0)</f>
        <v>116</v>
      </c>
      <c r="D12" s="227">
        <f t="shared" si="0"/>
        <v>2</v>
      </c>
      <c r="E12" s="51" t="s">
        <v>274</v>
      </c>
      <c r="F12" s="228">
        <f t="shared" si="1"/>
        <v>26</v>
      </c>
      <c r="G12" s="67"/>
      <c r="H12" s="67"/>
    </row>
    <row r="13" spans="1:8" ht="25.35" customHeight="1" x14ac:dyDescent="0.3">
      <c r="A13" s="220" t="s">
        <v>252</v>
      </c>
      <c r="B13" s="224">
        <f t="shared" si="2"/>
        <v>45</v>
      </c>
      <c r="C13" s="227">
        <f>IFERROR(VLOOKUP(A13,'참조은 피벗'!A:SF,8,FALSE),0)</f>
        <v>104</v>
      </c>
      <c r="D13" s="227">
        <f t="shared" si="0"/>
        <v>2</v>
      </c>
      <c r="E13" s="51" t="s">
        <v>275</v>
      </c>
      <c r="F13" s="228">
        <f t="shared" si="1"/>
        <v>14</v>
      </c>
      <c r="G13" s="67"/>
      <c r="H13" s="67"/>
    </row>
    <row r="14" spans="1:8" ht="25.35" customHeight="1" x14ac:dyDescent="0.3">
      <c r="A14" s="221" t="s">
        <v>253</v>
      </c>
      <c r="B14" s="224">
        <f t="shared" si="2"/>
        <v>45</v>
      </c>
      <c r="C14" s="227">
        <f>IFERROR(VLOOKUP(A14,'참조은 피벗'!A:SF,8,FALSE),0)</f>
        <v>129</v>
      </c>
      <c r="D14" s="227">
        <f t="shared" si="0"/>
        <v>2</v>
      </c>
      <c r="E14" s="51" t="s">
        <v>276</v>
      </c>
      <c r="F14" s="228">
        <f t="shared" si="1"/>
        <v>39</v>
      </c>
      <c r="G14" s="67"/>
      <c r="H14" s="67"/>
    </row>
    <row r="15" spans="1:8" ht="25.35" customHeight="1" x14ac:dyDescent="0.3">
      <c r="A15" s="221" t="s">
        <v>254</v>
      </c>
      <c r="B15" s="224">
        <f t="shared" si="2"/>
        <v>45</v>
      </c>
      <c r="C15" s="227">
        <f>IFERROR(VLOOKUP(A15,'참조은 피벗'!A:SF,8,FALSE),0)</f>
        <v>185</v>
      </c>
      <c r="D15" s="227">
        <f t="shared" si="0"/>
        <v>4</v>
      </c>
      <c r="E15" s="51" t="s">
        <v>277</v>
      </c>
      <c r="F15" s="228">
        <f t="shared" si="1"/>
        <v>5</v>
      </c>
      <c r="G15" s="67"/>
      <c r="H15" s="67"/>
    </row>
    <row r="16" spans="1:8" ht="25.35" customHeight="1" x14ac:dyDescent="0.3">
      <c r="A16" s="221" t="s">
        <v>257</v>
      </c>
      <c r="B16" s="224">
        <f t="shared" si="2"/>
        <v>45</v>
      </c>
      <c r="C16" s="227">
        <f>IFERROR(VLOOKUP(A16,'참조은 피벗'!A:SF,8,FALSE),0)</f>
        <v>56</v>
      </c>
      <c r="D16" s="227">
        <f t="shared" si="0"/>
        <v>1</v>
      </c>
      <c r="E16" s="51" t="s">
        <v>279</v>
      </c>
      <c r="F16" s="228">
        <f t="shared" si="1"/>
        <v>11</v>
      </c>
      <c r="G16" s="67"/>
      <c r="H16" s="67"/>
    </row>
    <row r="17" spans="1:8" ht="25.35" customHeight="1" x14ac:dyDescent="0.3">
      <c r="A17" s="221" t="s">
        <v>258</v>
      </c>
      <c r="B17" s="224">
        <f t="shared" si="2"/>
        <v>45</v>
      </c>
      <c r="C17" s="227">
        <f>IFERROR(VLOOKUP(A17,'참조은 피벗'!A:SF,8,FALSE),0)</f>
        <v>56</v>
      </c>
      <c r="D17" s="227">
        <f t="shared" si="0"/>
        <v>1</v>
      </c>
      <c r="E17" s="51" t="s">
        <v>280</v>
      </c>
      <c r="F17" s="228">
        <f t="shared" si="1"/>
        <v>11</v>
      </c>
      <c r="G17" s="67"/>
      <c r="H17" s="67"/>
    </row>
    <row r="18" spans="1:8" ht="25.35" customHeight="1" x14ac:dyDescent="0.3">
      <c r="A18" s="221" t="s">
        <v>259</v>
      </c>
      <c r="B18" s="224">
        <f t="shared" si="2"/>
        <v>45</v>
      </c>
      <c r="C18" s="227">
        <f>IFERROR(VLOOKUP(A18,'참조은 피벗'!A:SF,8,FALSE),0)</f>
        <v>54</v>
      </c>
      <c r="D18" s="227">
        <f t="shared" si="0"/>
        <v>1</v>
      </c>
      <c r="E18" s="51" t="s">
        <v>336</v>
      </c>
      <c r="F18" s="228">
        <f t="shared" si="1"/>
        <v>9</v>
      </c>
      <c r="G18" s="67"/>
      <c r="H18" s="67"/>
    </row>
    <row r="19" spans="1:8" ht="4.5" customHeight="1" x14ac:dyDescent="0.3">
      <c r="A19" s="284"/>
      <c r="B19" s="285"/>
      <c r="C19" s="285"/>
      <c r="D19" s="285"/>
      <c r="E19" s="285"/>
      <c r="F19" s="286"/>
    </row>
    <row r="20" spans="1:8" ht="32.450000000000003" customHeight="1" x14ac:dyDescent="0.3">
      <c r="A20" s="209" t="s">
        <v>122</v>
      </c>
      <c r="B20" s="226">
        <f>$B$4</f>
        <v>45</v>
      </c>
      <c r="C20" s="210">
        <f>SUM(C4:C18)</f>
        <v>1518</v>
      </c>
      <c r="D20" s="54">
        <f>IFERROR(ROUNDDOWN(C20/B20,0),"")</f>
        <v>33</v>
      </c>
      <c r="E20" s="36"/>
      <c r="F20" s="121">
        <f>IFERROR(C20-(D20*B20),"")</f>
        <v>33</v>
      </c>
    </row>
    <row r="21" spans="1:8" ht="4.5" customHeight="1" x14ac:dyDescent="0.3">
      <c r="A21" s="183"/>
      <c r="B21" s="224"/>
      <c r="C21" s="50"/>
      <c r="D21" s="50"/>
      <c r="E21" s="50"/>
      <c r="F21" s="184"/>
    </row>
    <row r="22" spans="1:8" ht="25.35" customHeight="1" x14ac:dyDescent="0.3">
      <c r="A22" s="221" t="s">
        <v>241</v>
      </c>
      <c r="B22" s="224">
        <f t="shared" ref="B22:B26" si="5">$B$4</f>
        <v>45</v>
      </c>
      <c r="C22" s="227">
        <f>IFERROR(VLOOKUP(A22,'참조은 피벗'!A:SF,8,FALSE),0)</f>
        <v>120</v>
      </c>
      <c r="D22" s="227">
        <f>IFERROR(ROUNDDOWN(C22/B22,0),"")</f>
        <v>2</v>
      </c>
      <c r="E22" s="51" t="s">
        <v>268</v>
      </c>
      <c r="F22" s="228">
        <f>IFERROR(C22-(D22*B22),"")</f>
        <v>30</v>
      </c>
      <c r="G22" s="67"/>
      <c r="H22" s="67"/>
    </row>
    <row r="23" spans="1:8" ht="25.35" customHeight="1" x14ac:dyDescent="0.3">
      <c r="A23" s="221" t="s">
        <v>242</v>
      </c>
      <c r="B23" s="224">
        <f t="shared" si="5"/>
        <v>45</v>
      </c>
      <c r="C23" s="227">
        <f>IFERROR(VLOOKUP(A23,'참조은 피벗'!A:SF,8,FALSE),0)</f>
        <v>66</v>
      </c>
      <c r="D23" s="227">
        <f>IFERROR(ROUNDDOWN(C23/B23,0),"")</f>
        <v>1</v>
      </c>
      <c r="E23" s="51" t="s">
        <v>337</v>
      </c>
      <c r="F23" s="228">
        <f>IFERROR(C23-(D23*B23),"")</f>
        <v>21</v>
      </c>
      <c r="G23" s="67"/>
      <c r="H23" s="67"/>
    </row>
    <row r="24" spans="1:8" ht="25.35" customHeight="1" x14ac:dyDescent="0.3">
      <c r="A24" s="221" t="s">
        <v>243</v>
      </c>
      <c r="B24" s="224">
        <f t="shared" si="5"/>
        <v>45</v>
      </c>
      <c r="C24" s="227">
        <f>IFERROR(VLOOKUP(A24,'참조은 피벗'!A:SF,8,FALSE),0)</f>
        <v>0</v>
      </c>
      <c r="D24" s="227">
        <f>IFERROR(ROUNDDOWN(C24/B24,0),"")</f>
        <v>0</v>
      </c>
      <c r="E24" s="51" t="s">
        <v>106</v>
      </c>
      <c r="F24" s="228">
        <f>IFERROR(C24-(D24*B24),"")</f>
        <v>0</v>
      </c>
      <c r="G24" s="67"/>
      <c r="H24" s="67"/>
    </row>
    <row r="25" spans="1:8" ht="25.35" customHeight="1" x14ac:dyDescent="0.3">
      <c r="A25" s="221" t="s">
        <v>244</v>
      </c>
      <c r="B25" s="224">
        <f t="shared" si="5"/>
        <v>45</v>
      </c>
      <c r="C25" s="227">
        <f>IFERROR(VLOOKUP(A25,'참조은 피벗'!A:SF,8,FALSE),0)</f>
        <v>102</v>
      </c>
      <c r="D25" s="227">
        <f>IFERROR(ROUNDDOWN(C25/B25,0),"")</f>
        <v>2</v>
      </c>
      <c r="E25" s="51" t="s">
        <v>269</v>
      </c>
      <c r="F25" s="228">
        <f>IFERROR(C25-(D25*B25),"")</f>
        <v>12</v>
      </c>
      <c r="G25" s="67"/>
      <c r="H25" s="67"/>
    </row>
    <row r="26" spans="1:8" ht="25.35" customHeight="1" x14ac:dyDescent="0.3">
      <c r="A26" s="221" t="s">
        <v>245</v>
      </c>
      <c r="B26" s="224">
        <f t="shared" si="5"/>
        <v>45</v>
      </c>
      <c r="C26" s="227">
        <f>IFERROR(VLOOKUP(A26,'참조은 피벗'!A:SF,8,FALSE),0)</f>
        <v>45</v>
      </c>
      <c r="D26" s="227">
        <f>IFERROR(ROUNDDOWN(C26/B26,0),"")</f>
        <v>1</v>
      </c>
      <c r="E26" s="51" t="s">
        <v>118</v>
      </c>
      <c r="F26" s="228">
        <f>IFERROR(C26-(D26*B26),"")</f>
        <v>0</v>
      </c>
      <c r="G26" s="67"/>
      <c r="H26" s="67"/>
    </row>
    <row r="27" spans="1:8" ht="4.5" customHeight="1" x14ac:dyDescent="0.3">
      <c r="A27" s="284"/>
      <c r="B27" s="285"/>
      <c r="C27" s="285"/>
      <c r="D27" s="285"/>
      <c r="E27" s="285"/>
      <c r="F27" s="286"/>
      <c r="G27" s="67"/>
      <c r="H27" s="67"/>
    </row>
    <row r="28" spans="1:8" ht="32.450000000000003" customHeight="1" x14ac:dyDescent="0.3">
      <c r="A28" s="209" t="s">
        <v>285</v>
      </c>
      <c r="B28" s="226">
        <f>$B$4</f>
        <v>45</v>
      </c>
      <c r="C28" s="210">
        <f>SUM(C22:C26)</f>
        <v>333</v>
      </c>
      <c r="D28" s="54">
        <f>IFERROR(ROUNDDOWN(C28/B28,0),"")</f>
        <v>7</v>
      </c>
      <c r="E28" s="36"/>
      <c r="F28" s="121">
        <f>IFERROR(C28-(D28*B28),"")</f>
        <v>18</v>
      </c>
      <c r="G28" s="67"/>
      <c r="H28" s="67"/>
    </row>
    <row r="29" spans="1:8" ht="4.5" customHeight="1" x14ac:dyDescent="0.3">
      <c r="A29" s="284"/>
      <c r="B29" s="285"/>
      <c r="C29" s="285"/>
      <c r="D29" s="285"/>
      <c r="E29" s="285"/>
      <c r="F29" s="286"/>
      <c r="G29" s="67"/>
      <c r="H29" s="67"/>
    </row>
    <row r="30" spans="1:8" ht="25.35" customHeight="1" x14ac:dyDescent="0.3">
      <c r="A30" s="221" t="s">
        <v>239</v>
      </c>
      <c r="B30" s="224">
        <f t="shared" ref="B30:B31" si="6">$B$4</f>
        <v>45</v>
      </c>
      <c r="C30" s="227">
        <f>IFERROR(VLOOKUP(A30,'참조은 피벗'!A:SF,8,FALSE),0)</f>
        <v>93</v>
      </c>
      <c r="D30" s="227">
        <f t="shared" ref="D30:D31" si="7">IFERROR(ROUNDDOWN(C30/B30,0),"")</f>
        <v>2</v>
      </c>
      <c r="E30" s="51" t="s">
        <v>266</v>
      </c>
      <c r="F30" s="228">
        <f t="shared" ref="F30:F31" si="8">IFERROR(C30-(D30*B30),"")</f>
        <v>3</v>
      </c>
      <c r="G30" s="67"/>
      <c r="H30" s="67"/>
    </row>
    <row r="31" spans="1:8" ht="25.35" customHeight="1" x14ac:dyDescent="0.3">
      <c r="A31" s="221" t="s">
        <v>240</v>
      </c>
      <c r="B31" s="224">
        <f t="shared" si="6"/>
        <v>45</v>
      </c>
      <c r="C31" s="227">
        <f>IFERROR(VLOOKUP(A31,'참조은 피벗'!A:SF,8,FALSE),0)</f>
        <v>77</v>
      </c>
      <c r="D31" s="227">
        <f t="shared" si="7"/>
        <v>1</v>
      </c>
      <c r="E31" s="51" t="s">
        <v>267</v>
      </c>
      <c r="F31" s="228">
        <f t="shared" si="8"/>
        <v>32</v>
      </c>
      <c r="G31" s="67"/>
      <c r="H31" s="67"/>
    </row>
    <row r="32" spans="1:8" ht="4.5" customHeight="1" x14ac:dyDescent="0.3">
      <c r="A32" s="284"/>
      <c r="B32" s="285"/>
      <c r="C32" s="285"/>
      <c r="D32" s="285"/>
      <c r="E32" s="285"/>
      <c r="F32" s="286"/>
      <c r="G32" s="67"/>
      <c r="H32" s="67"/>
    </row>
    <row r="33" spans="1:8" ht="32.450000000000003" customHeight="1" x14ac:dyDescent="0.3">
      <c r="A33" s="209" t="s">
        <v>284</v>
      </c>
      <c r="B33" s="226">
        <f>$B$4</f>
        <v>45</v>
      </c>
      <c r="C33" s="210">
        <f>SUM(C30:C31)</f>
        <v>170</v>
      </c>
      <c r="D33" s="54">
        <f>IFERROR(ROUNDDOWN(C33/B33,0),"")</f>
        <v>3</v>
      </c>
      <c r="E33" s="36"/>
      <c r="F33" s="121">
        <f>IFERROR(C33-(D33*B33),"")</f>
        <v>35</v>
      </c>
      <c r="G33" s="67"/>
      <c r="H33" s="67"/>
    </row>
    <row r="34" spans="1:8" ht="4.5" customHeight="1" x14ac:dyDescent="0.3">
      <c r="A34" s="183"/>
      <c r="B34" s="224"/>
      <c r="C34" s="50"/>
      <c r="D34" s="50"/>
      <c r="E34" s="50"/>
      <c r="F34" s="184"/>
      <c r="G34" s="67"/>
      <c r="H34" s="67"/>
    </row>
    <row r="35" spans="1:8" ht="25.35" customHeight="1" x14ac:dyDescent="0.3">
      <c r="A35" s="221" t="s">
        <v>236</v>
      </c>
      <c r="B35" s="224">
        <f t="shared" ref="B35:B37" si="9">$B$4</f>
        <v>45</v>
      </c>
      <c r="C35" s="227">
        <f>IFERROR(VLOOKUP(A35,'참조은 피벗'!A:SF,8,FALSE),0)</f>
        <v>103</v>
      </c>
      <c r="D35" s="227">
        <f>IFERROR(ROUNDDOWN(C35/B35,0),"")</f>
        <v>2</v>
      </c>
      <c r="E35" s="51" t="s">
        <v>264</v>
      </c>
      <c r="F35" s="228">
        <f>IFERROR(C35-(D35*B35),"")</f>
        <v>13</v>
      </c>
      <c r="G35" s="67"/>
      <c r="H35" s="67"/>
    </row>
    <row r="36" spans="1:8" ht="25.35" customHeight="1" x14ac:dyDescent="0.3">
      <c r="A36" s="221" t="s">
        <v>237</v>
      </c>
      <c r="B36" s="224">
        <f t="shared" si="9"/>
        <v>45</v>
      </c>
      <c r="C36" s="227">
        <f>IFERROR(VLOOKUP(A36,'참조은 피벗'!A:SF,8,FALSE),0)</f>
        <v>70</v>
      </c>
      <c r="D36" s="227">
        <f t="shared" ref="D36:D37" si="10">IFERROR(ROUNDDOWN(C36/B36,0),"")</f>
        <v>1</v>
      </c>
      <c r="E36" s="51" t="s">
        <v>338</v>
      </c>
      <c r="F36" s="228">
        <f t="shared" ref="F36:F37" si="11">IFERROR(C36-(D36*B36),"")</f>
        <v>25</v>
      </c>
      <c r="G36" s="67"/>
      <c r="H36" s="67"/>
    </row>
    <row r="37" spans="1:8" ht="25.35" customHeight="1" x14ac:dyDescent="0.3">
      <c r="A37" s="221" t="s">
        <v>238</v>
      </c>
      <c r="B37" s="224">
        <f t="shared" si="9"/>
        <v>45</v>
      </c>
      <c r="C37" s="227">
        <f>IFERROR(VLOOKUP(A37,'참조은 피벗'!A:SF,8,FALSE),0)</f>
        <v>61</v>
      </c>
      <c r="D37" s="227">
        <f t="shared" si="10"/>
        <v>1</v>
      </c>
      <c r="E37" s="51" t="s">
        <v>265</v>
      </c>
      <c r="F37" s="228">
        <f t="shared" si="11"/>
        <v>16</v>
      </c>
      <c r="G37" s="67"/>
      <c r="H37" s="67"/>
    </row>
    <row r="38" spans="1:8" ht="4.5" customHeight="1" x14ac:dyDescent="0.3">
      <c r="A38" s="284"/>
      <c r="B38" s="285"/>
      <c r="C38" s="285"/>
      <c r="D38" s="285"/>
      <c r="E38" s="285"/>
      <c r="F38" s="286"/>
      <c r="G38" s="67"/>
      <c r="H38" s="67"/>
    </row>
    <row r="39" spans="1:8" ht="32.450000000000003" customHeight="1" x14ac:dyDescent="0.3">
      <c r="A39" s="209" t="s">
        <v>283</v>
      </c>
      <c r="B39" s="226">
        <f>$B$4</f>
        <v>45</v>
      </c>
      <c r="C39" s="210">
        <f>SUM(C35:C37)</f>
        <v>234</v>
      </c>
      <c r="D39" s="54">
        <f>IFERROR(ROUNDDOWN(C39/B39,0),"")</f>
        <v>5</v>
      </c>
      <c r="E39" s="36"/>
      <c r="F39" s="121">
        <f>IFERROR(C39-(D39*B39),"")</f>
        <v>9</v>
      </c>
      <c r="G39" s="67"/>
      <c r="H39" s="67"/>
    </row>
    <row r="40" spans="1:8" ht="4.5" customHeight="1" x14ac:dyDescent="0.3">
      <c r="A40" s="183"/>
      <c r="B40" s="224"/>
      <c r="C40" s="50"/>
      <c r="D40" s="50"/>
      <c r="E40" s="50"/>
      <c r="F40" s="184"/>
      <c r="G40" s="67"/>
      <c r="H40" s="67"/>
    </row>
    <row r="41" spans="1:8" ht="25.35" customHeight="1" x14ac:dyDescent="0.3">
      <c r="A41" s="221" t="s">
        <v>261</v>
      </c>
      <c r="B41" s="224">
        <f t="shared" ref="B41:B42" si="12">$B$4</f>
        <v>45</v>
      </c>
      <c r="C41" s="227">
        <f>IFERROR(VLOOKUP(A41,'참조은 피벗'!A:SF,8,FALSE),0)</f>
        <v>16</v>
      </c>
      <c r="D41" s="227">
        <f t="shared" ref="D41:D42" si="13">IFERROR(ROUNDDOWN(C41/B41,0),"")</f>
        <v>0</v>
      </c>
      <c r="E41" s="51" t="s">
        <v>281</v>
      </c>
      <c r="F41" s="228">
        <f t="shared" ref="F41:F42" si="14">IFERROR(C41-(D41*B41),"")</f>
        <v>16</v>
      </c>
      <c r="G41" s="67"/>
      <c r="H41" s="67"/>
    </row>
    <row r="42" spans="1:8" ht="25.35" customHeight="1" x14ac:dyDescent="0.3">
      <c r="A42" s="221" t="s">
        <v>262</v>
      </c>
      <c r="B42" s="224">
        <f t="shared" si="12"/>
        <v>45</v>
      </c>
      <c r="C42" s="227">
        <f>IFERROR(VLOOKUP(A42,'참조은 피벗'!A:SF,8,FALSE),0)</f>
        <v>31</v>
      </c>
      <c r="D42" s="227">
        <f t="shared" si="13"/>
        <v>0</v>
      </c>
      <c r="E42" s="51" t="s">
        <v>282</v>
      </c>
      <c r="F42" s="228">
        <f t="shared" si="14"/>
        <v>31</v>
      </c>
      <c r="G42" s="67"/>
      <c r="H42" s="67"/>
    </row>
    <row r="43" spans="1:8" ht="4.5" customHeight="1" x14ac:dyDescent="0.3">
      <c r="A43" s="284"/>
      <c r="B43" s="285"/>
      <c r="C43" s="285"/>
      <c r="D43" s="285"/>
      <c r="E43" s="285"/>
      <c r="F43" s="286"/>
      <c r="G43" s="67"/>
      <c r="H43" s="67"/>
    </row>
    <row r="44" spans="1:8" ht="32.450000000000003" customHeight="1" x14ac:dyDescent="0.3">
      <c r="A44" s="209" t="s">
        <v>339</v>
      </c>
      <c r="B44" s="226">
        <f>$B$4</f>
        <v>45</v>
      </c>
      <c r="C44" s="210">
        <f>SUM(C41:C42)</f>
        <v>47</v>
      </c>
      <c r="D44" s="54">
        <f>IFERROR(ROUNDDOWN(C44/B44,0),"")</f>
        <v>1</v>
      </c>
      <c r="E44" s="36"/>
      <c r="F44" s="121">
        <f>IFERROR(C44-(D44*B44),"")</f>
        <v>2</v>
      </c>
      <c r="G44" s="67"/>
      <c r="H44" s="67"/>
    </row>
    <row r="45" spans="1:8" ht="4.5" customHeight="1" thickBot="1" x14ac:dyDescent="0.35">
      <c r="A45" s="183"/>
      <c r="B45" s="50"/>
      <c r="C45" s="50"/>
      <c r="D45" s="50"/>
      <c r="E45" s="50"/>
      <c r="F45" s="184"/>
      <c r="G45" s="67"/>
      <c r="H45" s="67"/>
    </row>
    <row r="46" spans="1:8" ht="26.25" x14ac:dyDescent="0.3">
      <c r="A46" s="87" t="s">
        <v>3</v>
      </c>
      <c r="B46" s="226">
        <f>$B$4</f>
        <v>45</v>
      </c>
      <c r="C46" s="55">
        <f>SUM(C4:C18,C35:C37,C30:C31,C22:C26,C41:C42)</f>
        <v>2302</v>
      </c>
      <c r="D46" s="54">
        <f>IFERROR(ROUNDDOWN(C46/B46,0),"")</f>
        <v>51</v>
      </c>
      <c r="E46" s="56"/>
      <c r="F46" s="121">
        <f>IFERROR(C46-(D46*B46),"")</f>
        <v>7</v>
      </c>
      <c r="G46" s="232" t="s">
        <v>110</v>
      </c>
      <c r="H46" s="233" t="s">
        <v>111</v>
      </c>
    </row>
    <row r="47" spans="1:8" ht="27" thickBot="1" x14ac:dyDescent="0.35">
      <c r="A47" s="42" t="s">
        <v>286</v>
      </c>
      <c r="B47" s="43" t="s">
        <v>173</v>
      </c>
      <c r="C47" s="40"/>
      <c r="D47" s="41">
        <f>SUM(D4:D18,D35:D37,D30:D31,D22:D26,D41:D42)</f>
        <v>40</v>
      </c>
      <c r="E47" s="48"/>
      <c r="F47" s="93">
        <f>SUM(F4:F18,F35:F37,F30:F31,F22:F26,F41:F42)</f>
        <v>502</v>
      </c>
      <c r="G47" s="216">
        <f>IFERROR(ROUNDDOWN(F47/B35,0),"")</f>
        <v>11</v>
      </c>
      <c r="H47" s="217">
        <f>IFERROR(F47-(G47*B35),"")</f>
        <v>7</v>
      </c>
    </row>
    <row r="48" spans="1:8" ht="22.5" customHeight="1" x14ac:dyDescent="0.3">
      <c r="C48" s="77">
        <f>C20+C28+C33+C39+C44</f>
        <v>2302</v>
      </c>
      <c r="G48" s="199"/>
      <c r="H48" s="34" t="s">
        <v>174</v>
      </c>
    </row>
    <row r="49" spans="3:3" x14ac:dyDescent="0.3">
      <c r="C49" s="34" t="b">
        <f>C48=C46</f>
        <v>1</v>
      </c>
    </row>
  </sheetData>
  <mergeCells count="8">
    <mergeCell ref="A43:F43"/>
    <mergeCell ref="A38:F38"/>
    <mergeCell ref="A1:F1"/>
    <mergeCell ref="B2:F2"/>
    <mergeCell ref="A19:F19"/>
    <mergeCell ref="A27:F27"/>
    <mergeCell ref="A29:F29"/>
    <mergeCell ref="A32:F32"/>
  </mergeCells>
  <phoneticPr fontId="13" type="noConversion"/>
  <printOptions horizontalCentered="1" verticalCentered="1"/>
  <pageMargins left="0" right="0" top="0" bottom="0" header="0" footer="0"/>
  <pageSetup paperSize="9" scale="77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FFE8CC-5E67-402D-933C-40541A3C9370}">
  <sheetPr>
    <tabColor theme="5" tint="-0.249977111117893"/>
  </sheetPr>
  <dimension ref="A1:SP39"/>
  <sheetViews>
    <sheetView zoomScale="55" zoomScaleNormal="55" zoomScaleSheetLayoutView="75" workbookViewId="0">
      <selection activeCell="B29" sqref="B29:E29"/>
    </sheetView>
  </sheetViews>
  <sheetFormatPr defaultColWidth="9" defaultRowHeight="15" customHeight="1" x14ac:dyDescent="0.3"/>
  <cols>
    <col min="1" max="2" width="23.5" style="34" customWidth="1"/>
    <col min="3" max="3" width="20.125" style="34" customWidth="1"/>
    <col min="4" max="4" width="22.25" style="34" customWidth="1"/>
    <col min="5" max="5" width="23.5" style="34" customWidth="1"/>
    <col min="6" max="6" width="24.875" style="34" customWidth="1"/>
    <col min="7" max="20" width="37.625" style="34" customWidth="1"/>
    <col min="21" max="21" width="22.25" style="34" bestFit="1" customWidth="1"/>
    <col min="22" max="24" width="18.375" style="34" customWidth="1"/>
    <col min="25" max="25" width="27.625" style="34" bestFit="1" customWidth="1"/>
    <col min="26" max="27" width="18.375" style="34" customWidth="1"/>
    <col min="28" max="28" width="27.625" style="34" bestFit="1" customWidth="1"/>
    <col min="29" max="29" width="18.375" style="34" customWidth="1"/>
    <col min="30" max="30" width="25.375" style="34" bestFit="1" customWidth="1"/>
    <col min="31" max="31" width="21" style="34" bestFit="1" customWidth="1"/>
    <col min="32" max="32" width="27.625" style="34" bestFit="1" customWidth="1"/>
    <col min="33" max="33" width="18.375" style="34" customWidth="1"/>
    <col min="34" max="34" width="27.625" style="34" bestFit="1" customWidth="1"/>
    <col min="35" max="388" width="30.375" style="34" customWidth="1"/>
    <col min="389" max="390" width="21.25" style="34" customWidth="1"/>
    <col min="391" max="406" width="20.5" style="34" customWidth="1"/>
    <col min="407" max="407" width="21" style="34" bestFit="1" customWidth="1"/>
    <col min="408" max="408" width="25.125" style="34" bestFit="1" customWidth="1"/>
    <col min="409" max="409" width="23" style="34" bestFit="1" customWidth="1"/>
    <col min="410" max="410" width="33.375" style="34" bestFit="1" customWidth="1"/>
    <col min="411" max="411" width="25.125" style="34" bestFit="1" customWidth="1"/>
    <col min="412" max="412" width="28.875" style="34" bestFit="1" customWidth="1"/>
    <col min="413" max="413" width="23" style="34" bestFit="1" customWidth="1"/>
    <col min="414" max="414" width="18.875" style="34" customWidth="1"/>
    <col min="415" max="415" width="23" style="34" bestFit="1" customWidth="1"/>
    <col min="416" max="416" width="25.125" style="34" bestFit="1" customWidth="1"/>
    <col min="417" max="417" width="18.875" style="34" customWidth="1"/>
    <col min="418" max="418" width="19.125" style="34" customWidth="1"/>
    <col min="419" max="419" width="18.125" style="34" customWidth="1"/>
    <col min="420" max="420" width="18.875" style="34" customWidth="1"/>
    <col min="421" max="421" width="26.625" style="34" customWidth="1"/>
    <col min="422" max="422" width="22.125" style="34" customWidth="1"/>
    <col min="423" max="423" width="24.125" style="34" customWidth="1"/>
    <col min="424" max="424" width="21.375" style="34" customWidth="1"/>
    <col min="425" max="425" width="19.375" style="34" customWidth="1"/>
    <col min="426" max="426" width="20" style="34" customWidth="1"/>
    <col min="427" max="427" width="23.25" style="34" customWidth="1"/>
    <col min="428" max="428" width="18" style="34" customWidth="1"/>
    <col min="429" max="459" width="19" style="34" customWidth="1"/>
    <col min="460" max="464" width="20.25" style="34" customWidth="1"/>
    <col min="465" max="465" width="17.25" style="34" customWidth="1"/>
    <col min="466" max="466" width="17.75" style="34" customWidth="1"/>
    <col min="467" max="467" width="16.5" style="34" customWidth="1"/>
    <col min="468" max="470" width="21" style="34" customWidth="1"/>
    <col min="471" max="471" width="18.5" style="34" customWidth="1"/>
    <col min="472" max="476" width="21" style="34" customWidth="1"/>
    <col min="477" max="477" width="15.125" style="34" customWidth="1"/>
    <col min="478" max="493" width="21" style="34" customWidth="1"/>
    <col min="494" max="494" width="24.25" style="34" customWidth="1"/>
    <col min="495" max="495" width="18.875" style="34" bestFit="1" customWidth="1"/>
    <col min="496" max="496" width="21" style="34" bestFit="1" customWidth="1"/>
    <col min="497" max="497" width="23" style="38" bestFit="1" customWidth="1"/>
    <col min="498" max="498" width="8.625" style="38" bestFit="1" customWidth="1"/>
    <col min="499" max="499" width="21" style="38" bestFit="1" customWidth="1"/>
    <col min="500" max="500" width="23" style="38" bestFit="1" customWidth="1"/>
    <col min="501" max="501" width="8.625" style="38" bestFit="1" customWidth="1"/>
    <col min="502" max="502" width="22.875" style="34" customWidth="1"/>
    <col min="503" max="509" width="20.875" style="38" customWidth="1"/>
    <col min="510" max="510" width="23.25" style="38" customWidth="1"/>
    <col min="511" max="16384" width="9" style="34"/>
  </cols>
  <sheetData>
    <row r="1" spans="1:502" s="38" customFormat="1" ht="15" customHeight="1" x14ac:dyDescent="0.3">
      <c r="A1" s="62" t="s">
        <v>391</v>
      </c>
      <c r="B1" s="62" t="s">
        <v>89</v>
      </c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2"/>
      <c r="AJ1" s="2"/>
      <c r="AK1" s="2"/>
      <c r="AL1" s="2"/>
      <c r="AM1" s="2"/>
      <c r="AN1" s="2"/>
      <c r="AO1" s="2"/>
      <c r="AP1" s="2"/>
      <c r="AQ1" s="29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2"/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2"/>
      <c r="EV1" s="2"/>
      <c r="EW1" s="2"/>
      <c r="EX1" s="2"/>
      <c r="EY1" s="2"/>
      <c r="EZ1" s="2"/>
      <c r="FA1" s="2"/>
      <c r="FB1" s="2"/>
      <c r="FC1" s="2"/>
      <c r="FD1" s="2"/>
      <c r="FE1" s="2"/>
      <c r="FF1" s="2"/>
      <c r="FG1" s="2"/>
      <c r="FH1" s="2"/>
      <c r="FI1" s="2"/>
      <c r="FJ1" s="2"/>
      <c r="FK1" s="2"/>
      <c r="FL1" s="2"/>
      <c r="FM1" s="2"/>
      <c r="FN1" s="2"/>
      <c r="FO1" s="2"/>
      <c r="FP1" s="2"/>
      <c r="FQ1" s="2"/>
      <c r="FR1" s="2"/>
      <c r="FS1" s="2"/>
      <c r="FT1" s="2"/>
      <c r="FU1" s="2"/>
      <c r="FV1" s="2"/>
      <c r="FW1" s="2"/>
      <c r="FX1" s="2"/>
      <c r="FY1" s="2"/>
      <c r="FZ1" s="2"/>
      <c r="GA1" s="2"/>
      <c r="GB1" s="2"/>
      <c r="GC1" s="2"/>
      <c r="GD1" s="2"/>
      <c r="GE1" s="2"/>
      <c r="GF1" s="2"/>
      <c r="GG1" s="2"/>
      <c r="GH1" s="2"/>
      <c r="GI1" s="2"/>
      <c r="GJ1" s="2"/>
      <c r="GK1" s="2"/>
      <c r="GL1" s="2"/>
      <c r="GM1" s="2"/>
      <c r="GN1" s="2"/>
      <c r="GO1" s="2"/>
      <c r="GP1" s="2"/>
      <c r="GQ1" s="2"/>
      <c r="GR1" s="2"/>
      <c r="GS1" s="23"/>
      <c r="GT1" s="23"/>
      <c r="GU1" s="23"/>
      <c r="GV1" s="23"/>
      <c r="GW1" s="23"/>
      <c r="GX1" s="23"/>
      <c r="GY1" s="23"/>
      <c r="GZ1" s="23"/>
      <c r="HA1" s="23"/>
      <c r="HB1" s="23"/>
      <c r="HC1" s="23"/>
      <c r="HD1" s="23"/>
      <c r="HE1" s="23"/>
      <c r="HF1" s="23"/>
      <c r="HG1" s="23"/>
      <c r="HH1" s="23"/>
      <c r="HI1" s="23"/>
      <c r="HJ1" s="23"/>
      <c r="HK1" s="23"/>
      <c r="HL1" s="23"/>
      <c r="HM1" s="23"/>
      <c r="HN1" s="23"/>
      <c r="HO1" s="23"/>
      <c r="HP1" s="23"/>
      <c r="HQ1" s="23"/>
      <c r="HR1" s="23"/>
      <c r="HS1" s="23"/>
      <c r="HT1" s="23"/>
      <c r="HU1" s="23"/>
      <c r="HV1" s="23"/>
      <c r="HW1" s="23"/>
      <c r="HX1" s="23"/>
      <c r="HY1" s="23"/>
      <c r="HZ1" s="23"/>
      <c r="IA1" s="23"/>
      <c r="IB1" s="23"/>
      <c r="IC1" s="23"/>
      <c r="ID1" s="23"/>
      <c r="IE1" s="23"/>
      <c r="IF1" s="23"/>
      <c r="IG1" s="23"/>
      <c r="IH1" s="23"/>
      <c r="II1" s="23"/>
      <c r="IJ1" s="23"/>
      <c r="IK1" s="23"/>
      <c r="IL1" s="23"/>
      <c r="IM1" s="23"/>
      <c r="IN1" s="23"/>
      <c r="IO1" s="23"/>
      <c r="IP1" s="23"/>
      <c r="IQ1" s="23"/>
      <c r="IR1" s="23"/>
      <c r="IS1" s="23"/>
      <c r="IT1" s="23"/>
      <c r="IU1" s="23"/>
      <c r="IV1" s="23"/>
      <c r="IW1" s="23"/>
      <c r="IX1" s="23"/>
      <c r="IY1" s="23"/>
      <c r="IZ1" s="23"/>
      <c r="JA1" s="23"/>
      <c r="JB1" s="23"/>
      <c r="JC1" s="23"/>
      <c r="JD1" s="23"/>
      <c r="JE1" s="23"/>
      <c r="JF1" s="23"/>
      <c r="JG1" s="23"/>
      <c r="JH1" s="23"/>
      <c r="JI1" s="23"/>
      <c r="JJ1" s="23"/>
      <c r="JK1" s="23"/>
      <c r="JL1" s="23"/>
      <c r="JM1" s="23"/>
      <c r="JN1" s="23"/>
      <c r="JO1" s="23"/>
      <c r="JP1" s="23"/>
      <c r="JQ1" s="23"/>
      <c r="JR1" s="23"/>
      <c r="JS1" s="23"/>
      <c r="JT1" s="23"/>
      <c r="JU1" s="23"/>
      <c r="JV1" s="23"/>
      <c r="JW1" s="23"/>
      <c r="JX1" s="23"/>
      <c r="JY1" s="23"/>
      <c r="JZ1" s="23"/>
      <c r="KA1" s="23"/>
      <c r="KB1" s="23"/>
      <c r="KC1" s="23"/>
      <c r="KD1" s="23"/>
      <c r="KE1" s="23"/>
      <c r="KF1" s="23"/>
      <c r="KG1" s="23"/>
      <c r="KH1" s="23"/>
      <c r="KI1" s="23"/>
      <c r="KJ1" s="23"/>
      <c r="KK1" s="23"/>
      <c r="KL1" s="23"/>
      <c r="KM1" s="23"/>
      <c r="KN1" s="23"/>
      <c r="KO1" s="23"/>
      <c r="KP1" s="23"/>
      <c r="KQ1" s="23"/>
      <c r="KR1" s="23"/>
      <c r="KS1" s="23"/>
      <c r="KT1" s="23"/>
      <c r="KU1" s="23"/>
      <c r="KV1" s="23"/>
      <c r="KW1" s="23"/>
      <c r="KX1" s="23"/>
      <c r="KY1" s="23"/>
      <c r="KZ1" s="23"/>
      <c r="LA1" s="23"/>
      <c r="LB1" s="23"/>
      <c r="LC1" s="23"/>
      <c r="LD1" s="23"/>
      <c r="LE1" s="23"/>
      <c r="LF1" s="23"/>
      <c r="LG1" s="23"/>
      <c r="LH1" s="23"/>
      <c r="LI1" s="23"/>
      <c r="LJ1" s="23"/>
      <c r="LK1" s="23"/>
      <c r="LL1" s="23"/>
      <c r="LM1" s="23"/>
      <c r="LN1" s="23"/>
      <c r="LO1" s="23"/>
      <c r="LP1" s="23"/>
      <c r="LQ1" s="23"/>
      <c r="LR1" s="23"/>
      <c r="LS1" s="23"/>
      <c r="LT1" s="23"/>
      <c r="LU1" s="23"/>
      <c r="LV1" s="23"/>
      <c r="LW1" s="23"/>
      <c r="LX1" s="23"/>
      <c r="LY1" s="23"/>
      <c r="LZ1" s="23"/>
      <c r="MA1" s="23"/>
      <c r="MB1" s="23"/>
      <c r="MC1" s="23"/>
      <c r="MD1" s="23"/>
      <c r="ME1" s="23"/>
      <c r="MF1" s="32"/>
      <c r="MG1" s="23"/>
      <c r="MH1" s="23"/>
      <c r="MI1" s="23"/>
      <c r="MJ1" s="23"/>
      <c r="MK1" s="32"/>
      <c r="ML1" s="32"/>
      <c r="MM1" s="23"/>
      <c r="MN1" s="23"/>
      <c r="MO1" s="23"/>
      <c r="MP1" s="23"/>
      <c r="MQ1" s="23"/>
      <c r="MR1" s="23"/>
      <c r="MS1" s="23"/>
      <c r="MT1" s="23"/>
      <c r="MU1" s="23"/>
      <c r="MV1" s="23"/>
      <c r="MW1" s="23"/>
      <c r="MX1" s="23"/>
      <c r="MY1" s="23"/>
      <c r="MZ1" s="23"/>
      <c r="NA1" s="23"/>
      <c r="NB1" s="23"/>
      <c r="NC1" s="23"/>
      <c r="ND1" s="23"/>
      <c r="NE1" s="23"/>
      <c r="NF1" s="23"/>
      <c r="NG1" s="23"/>
      <c r="NH1" s="23"/>
      <c r="NI1" s="23"/>
      <c r="NJ1" s="23"/>
      <c r="NK1" s="23"/>
      <c r="NL1" s="23"/>
      <c r="NM1" s="23"/>
      <c r="NN1" s="23"/>
      <c r="NO1" s="23"/>
      <c r="NP1" s="23"/>
      <c r="NQ1" s="23"/>
      <c r="NR1" s="23"/>
      <c r="NS1" s="23"/>
      <c r="NT1" s="23"/>
      <c r="NU1" s="23"/>
      <c r="NV1" s="23"/>
      <c r="NW1" s="23"/>
      <c r="NX1" s="23"/>
      <c r="NY1" s="23"/>
      <c r="NZ1" s="23"/>
      <c r="OA1" s="23"/>
      <c r="OB1" s="23"/>
      <c r="OC1" s="23"/>
      <c r="OD1" s="23"/>
      <c r="OE1" s="23"/>
      <c r="OF1" s="23"/>
      <c r="OG1" s="23"/>
      <c r="OH1" s="23"/>
      <c r="OI1" s="23"/>
      <c r="OJ1" s="23"/>
      <c r="OK1" s="23"/>
      <c r="OL1" s="23"/>
      <c r="OM1" s="23"/>
      <c r="ON1" s="23"/>
      <c r="OO1" s="23"/>
      <c r="OP1" s="23"/>
      <c r="OQ1" s="32"/>
      <c r="OR1" s="23"/>
      <c r="OS1" s="23"/>
      <c r="OT1" s="23"/>
      <c r="OU1" s="23"/>
      <c r="OV1" s="23"/>
      <c r="OW1" s="23"/>
      <c r="OX1" s="23"/>
      <c r="OY1" s="23"/>
      <c r="OZ1" s="23"/>
      <c r="PA1" s="23"/>
      <c r="PB1" s="23"/>
      <c r="PC1" s="23"/>
      <c r="PD1" s="23"/>
      <c r="PE1" s="23"/>
      <c r="PF1" s="23"/>
      <c r="PG1" s="23"/>
      <c r="PH1" s="23"/>
      <c r="PI1" s="23"/>
      <c r="PJ1" s="23"/>
      <c r="PK1" s="23"/>
      <c r="PL1" s="23"/>
      <c r="PM1" s="32"/>
      <c r="PN1" s="23"/>
      <c r="PO1" s="23"/>
      <c r="PP1" s="23"/>
      <c r="PQ1" s="23"/>
      <c r="PR1" s="23"/>
      <c r="PS1" s="23"/>
      <c r="PT1" s="23"/>
      <c r="PU1" s="23"/>
      <c r="PV1" s="23"/>
      <c r="PW1" s="23"/>
      <c r="PX1" s="23"/>
      <c r="PY1" s="23"/>
      <c r="PZ1" s="23"/>
      <c r="QA1" s="32"/>
      <c r="QB1" s="23"/>
      <c r="QC1" s="23"/>
      <c r="QD1" s="23"/>
      <c r="QE1" s="23"/>
      <c r="QF1" s="23"/>
      <c r="QG1" s="23"/>
      <c r="QH1" s="23"/>
      <c r="QI1" s="23"/>
      <c r="QJ1" s="23"/>
      <c r="QK1" s="23"/>
      <c r="QL1" s="23"/>
      <c r="QM1" s="23"/>
      <c r="QN1" s="23"/>
      <c r="QO1" s="23"/>
      <c r="QP1" s="23"/>
      <c r="QQ1" s="23"/>
      <c r="QR1" s="23"/>
      <c r="QS1" s="23"/>
      <c r="QT1" s="23"/>
      <c r="QU1" s="23"/>
      <c r="QV1" s="23"/>
      <c r="QW1" s="23"/>
      <c r="QX1" s="23"/>
      <c r="QY1" s="23"/>
      <c r="QZ1" s="23"/>
      <c r="RA1" s="23"/>
      <c r="RB1" s="23"/>
      <c r="RC1" s="23"/>
      <c r="RD1" s="23"/>
      <c r="RE1" s="23"/>
      <c r="RF1" s="23"/>
      <c r="RG1" s="23"/>
      <c r="RH1" s="23"/>
      <c r="RI1" s="23"/>
      <c r="RJ1" s="23"/>
      <c r="RK1" s="23"/>
      <c r="RL1" s="23"/>
      <c r="RM1" s="23"/>
      <c r="RN1" s="23"/>
      <c r="RO1" s="23"/>
      <c r="RP1" s="23"/>
      <c r="RQ1" s="23"/>
      <c r="RR1" s="23"/>
      <c r="RS1" s="23"/>
      <c r="RT1" s="23"/>
      <c r="RU1" s="23"/>
      <c r="RV1" s="23"/>
      <c r="RW1" s="23"/>
      <c r="RX1" s="23"/>
      <c r="RY1" s="23"/>
      <c r="RZ1" s="23"/>
      <c r="SA1" s="23"/>
      <c r="SB1" s="23"/>
      <c r="SC1" s="23"/>
      <c r="SD1" s="23"/>
      <c r="SE1" s="23"/>
      <c r="SF1" s="23"/>
      <c r="SG1" s="23"/>
      <c r="SH1" s="23"/>
    </row>
    <row r="2" spans="1:502" s="38" customFormat="1" ht="15" customHeight="1" x14ac:dyDescent="0.3">
      <c r="A2" s="53" t="s">
        <v>67</v>
      </c>
      <c r="B2" s="53" t="s">
        <v>353</v>
      </c>
      <c r="C2" s="53" t="s">
        <v>354</v>
      </c>
      <c r="D2" s="53" t="s">
        <v>355</v>
      </c>
      <c r="E2" s="53" t="s">
        <v>356</v>
      </c>
      <c r="F2" s="53" t="s">
        <v>3</v>
      </c>
      <c r="G2" s="53"/>
      <c r="H2" s="53"/>
      <c r="I2" s="53"/>
      <c r="J2" s="53"/>
      <c r="K2" s="53"/>
      <c r="L2" s="53"/>
      <c r="M2" s="53"/>
      <c r="N2" s="53"/>
      <c r="O2" s="53"/>
      <c r="P2" s="53"/>
      <c r="Q2" s="53"/>
      <c r="R2" s="53"/>
      <c r="S2" s="53"/>
      <c r="T2" s="53"/>
      <c r="U2" s="53"/>
      <c r="V2" s="53"/>
      <c r="W2" s="53"/>
      <c r="X2" s="53"/>
      <c r="Y2" s="53"/>
      <c r="Z2" s="53"/>
      <c r="AA2" s="53"/>
      <c r="AB2" s="53"/>
      <c r="AC2" s="53"/>
      <c r="AD2" s="53"/>
      <c r="AE2" s="53"/>
      <c r="AF2" s="53"/>
      <c r="AG2" s="53"/>
      <c r="AH2" s="53"/>
      <c r="AI2" s="34"/>
      <c r="AJ2" s="34"/>
      <c r="AK2" s="34"/>
      <c r="AL2" s="34"/>
      <c r="AM2" s="34"/>
      <c r="AN2" s="34"/>
      <c r="AO2" s="34"/>
      <c r="AP2" s="34"/>
      <c r="AQ2" s="34"/>
      <c r="AR2" s="34"/>
      <c r="AS2" s="34"/>
      <c r="AT2" s="34"/>
      <c r="AU2" s="34"/>
      <c r="AV2" s="34"/>
      <c r="AW2" s="34"/>
      <c r="AX2" s="34"/>
      <c r="AY2" s="34"/>
      <c r="AZ2" s="34"/>
      <c r="BA2" s="34"/>
      <c r="BB2" s="34"/>
      <c r="BC2" s="34"/>
      <c r="BD2" s="34"/>
      <c r="BE2" s="34"/>
      <c r="BF2" s="34"/>
      <c r="BG2" s="34"/>
      <c r="BH2" s="34"/>
      <c r="BI2" s="34"/>
      <c r="BJ2" s="34"/>
      <c r="BK2" s="34"/>
      <c r="BL2" s="34"/>
      <c r="BM2" s="34"/>
      <c r="BN2" s="34"/>
      <c r="BO2" s="34"/>
      <c r="BP2" s="34"/>
      <c r="BQ2" s="34"/>
      <c r="BR2" s="34"/>
      <c r="BS2" s="34"/>
      <c r="BT2" s="34"/>
      <c r="BU2" s="34"/>
      <c r="BV2" s="34"/>
      <c r="BW2" s="34"/>
      <c r="BX2" s="34"/>
      <c r="BY2" s="34"/>
      <c r="BZ2" s="34"/>
      <c r="CA2" s="34"/>
      <c r="CB2" s="34"/>
      <c r="CC2" s="34"/>
      <c r="CD2" s="34"/>
      <c r="CE2" s="34"/>
      <c r="CF2" s="34"/>
      <c r="CG2" s="34"/>
      <c r="CH2" s="34"/>
      <c r="CI2" s="34"/>
      <c r="CJ2" s="34"/>
      <c r="CK2" s="34"/>
      <c r="CL2" s="34"/>
      <c r="CM2" s="34"/>
      <c r="CN2" s="34"/>
      <c r="CO2" s="34"/>
      <c r="CP2" s="34"/>
      <c r="CQ2" s="34"/>
      <c r="CR2" s="34"/>
      <c r="CS2" s="34"/>
      <c r="CT2" s="34"/>
      <c r="CU2" s="34"/>
      <c r="CV2" s="34"/>
      <c r="CW2" s="34"/>
      <c r="CX2" s="34"/>
      <c r="CY2" s="34"/>
      <c r="CZ2" s="34"/>
      <c r="DA2" s="34"/>
      <c r="DB2" s="34"/>
      <c r="DC2" s="34"/>
      <c r="DD2" s="34"/>
      <c r="DE2" s="34"/>
      <c r="DF2" s="34"/>
      <c r="DG2" s="34"/>
      <c r="DH2" s="34"/>
      <c r="DI2" s="34"/>
      <c r="DJ2" s="34"/>
      <c r="DK2" s="34"/>
      <c r="DL2" s="34"/>
      <c r="DM2" s="34"/>
      <c r="DN2" s="34"/>
      <c r="DO2" s="34"/>
      <c r="DP2" s="34"/>
      <c r="DQ2" s="34"/>
      <c r="DR2" s="34"/>
      <c r="DS2" s="34"/>
      <c r="DT2" s="34"/>
      <c r="DU2" s="34"/>
      <c r="DV2" s="34"/>
      <c r="DW2" s="34"/>
      <c r="DX2" s="34"/>
      <c r="DY2" s="34"/>
      <c r="DZ2" s="34"/>
      <c r="EA2" s="34"/>
      <c r="EB2" s="34"/>
      <c r="EC2" s="34"/>
      <c r="ED2" s="34"/>
      <c r="EE2" s="34"/>
      <c r="EF2" s="34"/>
      <c r="EG2" s="34"/>
      <c r="EH2" s="34"/>
      <c r="EI2" s="34"/>
      <c r="EJ2" s="34"/>
      <c r="EK2" s="34"/>
      <c r="EL2" s="34"/>
      <c r="EM2" s="34"/>
      <c r="EN2" s="34"/>
      <c r="EO2" s="34"/>
      <c r="EP2" s="34"/>
      <c r="EQ2" s="34"/>
      <c r="ER2" s="34"/>
      <c r="ES2" s="34"/>
      <c r="ET2" s="34"/>
      <c r="EU2" s="34"/>
      <c r="EV2" s="34"/>
      <c r="EW2" s="34"/>
      <c r="EX2" s="34"/>
      <c r="EY2" s="34"/>
      <c r="EZ2" s="34"/>
      <c r="FA2" s="34"/>
      <c r="FB2" s="34"/>
      <c r="FC2" s="34"/>
      <c r="FD2" s="34"/>
      <c r="FE2" s="34"/>
      <c r="FF2" s="34"/>
      <c r="FG2" s="34"/>
      <c r="FH2" s="34"/>
      <c r="FI2" s="34"/>
      <c r="FJ2" s="34"/>
      <c r="FK2" s="34"/>
      <c r="FL2" s="34"/>
      <c r="FM2" s="34"/>
      <c r="FN2" s="34"/>
      <c r="FO2" s="34"/>
      <c r="FP2" s="34"/>
      <c r="FQ2" s="34"/>
      <c r="FR2" s="34"/>
      <c r="FS2" s="34"/>
      <c r="FT2" s="34"/>
      <c r="FU2" s="34"/>
      <c r="FV2" s="34"/>
      <c r="FW2" s="34"/>
      <c r="FX2" s="34"/>
      <c r="FY2" s="34"/>
      <c r="FZ2" s="34"/>
      <c r="GA2" s="34"/>
      <c r="GB2" s="34"/>
      <c r="GC2" s="34"/>
      <c r="GD2" s="34"/>
      <c r="GE2" s="34"/>
      <c r="GF2" s="34"/>
      <c r="GG2" s="34"/>
      <c r="GH2" s="34"/>
      <c r="GI2" s="34"/>
      <c r="GJ2" s="34"/>
      <c r="GK2" s="34"/>
      <c r="GL2" s="34"/>
      <c r="GM2" s="34"/>
      <c r="GN2" s="34"/>
      <c r="GO2" s="34"/>
      <c r="GP2" s="34"/>
      <c r="GQ2" s="34"/>
      <c r="GR2" s="34"/>
    </row>
    <row r="3" spans="1:502" s="38" customFormat="1" ht="15" customHeight="1" x14ac:dyDescent="0.3">
      <c r="A3" s="34" t="s">
        <v>260</v>
      </c>
      <c r="B3" s="34">
        <v>10</v>
      </c>
      <c r="C3" s="34">
        <v>4</v>
      </c>
      <c r="D3" s="34">
        <v>2</v>
      </c>
      <c r="E3" s="34">
        <v>2</v>
      </c>
      <c r="F3" s="34">
        <v>18</v>
      </c>
      <c r="G3" s="34"/>
      <c r="H3" s="34"/>
      <c r="I3" s="34"/>
      <c r="J3" s="34"/>
      <c r="K3" s="34"/>
      <c r="L3" s="34"/>
      <c r="M3" s="34"/>
      <c r="N3" s="34"/>
      <c r="O3" s="34"/>
      <c r="P3" s="34"/>
      <c r="Q3" s="34"/>
      <c r="R3" s="34"/>
      <c r="S3" s="34"/>
      <c r="T3" s="34"/>
      <c r="U3" s="34"/>
      <c r="V3" s="58"/>
      <c r="W3" s="58"/>
      <c r="X3" s="58"/>
      <c r="Y3" s="58"/>
      <c r="Z3" s="58"/>
      <c r="AA3" s="58"/>
      <c r="AB3" s="58"/>
      <c r="AC3" s="58"/>
      <c r="AD3" s="58"/>
      <c r="AE3" s="58"/>
      <c r="AF3" s="58"/>
      <c r="AG3" s="58"/>
      <c r="AH3" s="58"/>
      <c r="AI3" s="34"/>
      <c r="AJ3" s="34"/>
      <c r="AK3" s="34"/>
      <c r="AL3" s="34"/>
      <c r="AM3" s="34"/>
      <c r="AN3" s="34"/>
      <c r="AO3" s="34"/>
      <c r="AP3" s="34"/>
      <c r="AQ3" s="34"/>
      <c r="AR3" s="34"/>
      <c r="AS3" s="34"/>
      <c r="AT3" s="34"/>
      <c r="AU3" s="34"/>
      <c r="AV3" s="34"/>
      <c r="AW3" s="34"/>
      <c r="AX3" s="34"/>
      <c r="AY3" s="34"/>
      <c r="AZ3" s="34"/>
      <c r="BA3" s="34"/>
      <c r="BB3" s="34"/>
      <c r="BC3" s="34"/>
      <c r="BD3" s="34"/>
      <c r="BE3" s="34"/>
      <c r="BF3" s="34"/>
      <c r="BG3" s="34"/>
      <c r="BH3" s="34"/>
      <c r="BI3" s="34"/>
      <c r="BJ3" s="34"/>
      <c r="BK3" s="34"/>
      <c r="BL3" s="34"/>
      <c r="BM3" s="34"/>
      <c r="BN3" s="34"/>
      <c r="BO3" s="34"/>
      <c r="BP3" s="34"/>
      <c r="BQ3" s="34"/>
      <c r="BR3" s="34"/>
      <c r="BS3" s="34"/>
      <c r="BT3" s="34"/>
      <c r="BU3" s="34"/>
      <c r="BV3" s="34"/>
      <c r="BW3" s="34"/>
      <c r="BX3" s="34"/>
      <c r="BY3" s="34"/>
      <c r="BZ3" s="34"/>
      <c r="CA3" s="34"/>
      <c r="CB3" s="34"/>
      <c r="CC3" s="34"/>
      <c r="CD3" s="34"/>
      <c r="CE3" s="34"/>
      <c r="CF3" s="34"/>
      <c r="CG3" s="34"/>
      <c r="CH3" s="34"/>
      <c r="CI3" s="34"/>
      <c r="CJ3" s="34"/>
      <c r="CK3" s="34"/>
      <c r="CL3" s="34"/>
      <c r="CM3" s="34"/>
      <c r="CN3" s="34"/>
      <c r="CO3" s="34"/>
      <c r="CP3" s="34"/>
      <c r="CQ3" s="34"/>
      <c r="CR3" s="34"/>
      <c r="CS3" s="34"/>
      <c r="CT3" s="34"/>
      <c r="CU3" s="34"/>
      <c r="CV3" s="34"/>
      <c r="CW3" s="34"/>
      <c r="CX3" s="34"/>
      <c r="CY3" s="34"/>
      <c r="CZ3" s="34"/>
      <c r="DA3" s="34"/>
      <c r="DB3" s="34"/>
      <c r="DC3" s="34"/>
      <c r="DD3" s="34"/>
      <c r="DE3" s="34"/>
      <c r="DF3" s="34"/>
      <c r="DG3" s="34"/>
      <c r="DH3" s="34"/>
      <c r="DI3" s="34"/>
      <c r="DJ3" s="34"/>
      <c r="DK3" s="34"/>
      <c r="DL3" s="34"/>
      <c r="DM3" s="34"/>
      <c r="DN3" s="34"/>
      <c r="DO3" s="34"/>
      <c r="DP3" s="34"/>
      <c r="DQ3" s="34"/>
      <c r="DR3" s="34"/>
      <c r="DS3" s="34"/>
      <c r="DT3" s="34"/>
      <c r="DU3" s="34"/>
      <c r="DV3" s="34"/>
      <c r="DW3" s="34"/>
      <c r="DX3" s="34"/>
      <c r="DY3" s="34"/>
      <c r="DZ3" s="34"/>
      <c r="EA3" s="34"/>
      <c r="EB3" s="34"/>
      <c r="EC3" s="34"/>
      <c r="ED3" s="34"/>
      <c r="EE3" s="34"/>
      <c r="EF3" s="34"/>
      <c r="EG3" s="34"/>
      <c r="EH3" s="34"/>
      <c r="EI3" s="34"/>
      <c r="EJ3" s="34"/>
      <c r="EK3" s="34"/>
      <c r="EL3" s="34"/>
      <c r="EM3" s="34"/>
      <c r="EN3" s="34"/>
      <c r="EO3" s="34"/>
      <c r="EP3" s="34"/>
      <c r="EQ3" s="34"/>
      <c r="ER3" s="34"/>
      <c r="ES3" s="34"/>
      <c r="ET3" s="34"/>
      <c r="EU3" s="34"/>
      <c r="EV3" s="34"/>
      <c r="EW3" s="34"/>
      <c r="EX3" s="34"/>
      <c r="EY3" s="34"/>
      <c r="EZ3" s="34"/>
      <c r="FA3" s="34"/>
      <c r="FB3" s="34"/>
      <c r="FC3" s="34"/>
      <c r="FD3" s="34"/>
      <c r="FE3" s="34"/>
      <c r="FF3" s="34"/>
      <c r="FG3" s="34"/>
      <c r="FH3" s="34"/>
      <c r="FI3" s="34"/>
      <c r="FJ3" s="34"/>
      <c r="FK3" s="34"/>
      <c r="FL3" s="34"/>
      <c r="FM3" s="34"/>
      <c r="FN3" s="34"/>
      <c r="FO3" s="34"/>
      <c r="FP3" s="34"/>
      <c r="FQ3" s="34"/>
      <c r="FR3" s="34"/>
      <c r="FS3" s="34"/>
      <c r="FT3" s="34"/>
      <c r="FU3" s="34"/>
      <c r="FV3" s="34"/>
      <c r="FW3" s="34"/>
      <c r="FX3" s="34"/>
      <c r="FY3" s="34"/>
      <c r="FZ3" s="34"/>
      <c r="GA3" s="34"/>
      <c r="GB3" s="34"/>
      <c r="GC3" s="34"/>
      <c r="GD3" s="34"/>
      <c r="GE3" s="34"/>
      <c r="GF3" s="34"/>
      <c r="GG3" s="34"/>
      <c r="GH3" s="34"/>
      <c r="GI3" s="34"/>
      <c r="GJ3" s="34"/>
      <c r="GK3" s="34"/>
      <c r="GL3" s="34"/>
      <c r="GM3" s="34"/>
      <c r="GN3" s="34"/>
      <c r="GO3" s="34"/>
      <c r="GP3" s="34"/>
      <c r="GQ3" s="34"/>
      <c r="GR3" s="34"/>
    </row>
    <row r="4" spans="1:502" s="38" customFormat="1" ht="15" customHeight="1" x14ac:dyDescent="0.3">
      <c r="A4" s="34" t="s">
        <v>255</v>
      </c>
      <c r="B4" s="34">
        <v>27</v>
      </c>
      <c r="C4" s="34">
        <v>13</v>
      </c>
      <c r="D4" s="34">
        <v>20</v>
      </c>
      <c r="E4" s="34">
        <v>5</v>
      </c>
      <c r="F4" s="34">
        <v>65</v>
      </c>
      <c r="G4" s="34"/>
      <c r="H4" s="34"/>
      <c r="I4" s="34"/>
      <c r="J4" s="34"/>
      <c r="K4" s="34"/>
      <c r="L4" s="34"/>
      <c r="M4" s="34"/>
      <c r="N4" s="34"/>
      <c r="O4" s="34"/>
      <c r="P4" s="34"/>
      <c r="Q4" s="34"/>
      <c r="R4" s="34"/>
      <c r="S4" s="34"/>
      <c r="T4" s="34"/>
      <c r="U4" s="34"/>
      <c r="V4" s="58"/>
      <c r="W4" s="58"/>
      <c r="X4" s="58"/>
      <c r="Y4" s="58"/>
      <c r="Z4" s="58"/>
      <c r="AA4" s="58"/>
      <c r="AB4" s="58"/>
      <c r="AC4" s="58"/>
      <c r="AD4" s="58"/>
      <c r="AE4" s="58"/>
      <c r="AF4" s="58"/>
      <c r="AG4" s="58"/>
      <c r="AH4" s="58"/>
      <c r="AI4" s="34"/>
      <c r="AJ4" s="34"/>
      <c r="AK4" s="34"/>
      <c r="AL4" s="34"/>
      <c r="AM4" s="34"/>
      <c r="AN4" s="34"/>
      <c r="AO4" s="34"/>
      <c r="AP4" s="34"/>
      <c r="AQ4" s="34"/>
      <c r="AR4" s="34"/>
      <c r="AS4" s="34"/>
      <c r="AT4" s="34"/>
      <c r="AU4" s="34"/>
      <c r="AV4" s="34"/>
      <c r="AW4" s="34"/>
      <c r="AX4" s="34"/>
      <c r="AY4" s="34"/>
      <c r="AZ4" s="34"/>
      <c r="BA4" s="34"/>
      <c r="BB4" s="34"/>
      <c r="BC4" s="34"/>
      <c r="BD4" s="34"/>
      <c r="BE4" s="34"/>
      <c r="BF4" s="34"/>
      <c r="BG4" s="34"/>
      <c r="BH4" s="34"/>
      <c r="BI4" s="34"/>
      <c r="BJ4" s="34"/>
      <c r="BK4" s="34"/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4"/>
      <c r="BZ4" s="34"/>
      <c r="CA4" s="34"/>
      <c r="CB4" s="34"/>
      <c r="CC4" s="34"/>
      <c r="CD4" s="34"/>
      <c r="CE4" s="34"/>
      <c r="CF4" s="34"/>
      <c r="CG4" s="34"/>
      <c r="CH4" s="34"/>
      <c r="CI4" s="34"/>
      <c r="CJ4" s="34"/>
      <c r="CK4" s="34"/>
      <c r="CL4" s="34"/>
      <c r="CM4" s="34"/>
      <c r="CN4" s="34"/>
      <c r="CO4" s="34"/>
      <c r="CP4" s="34"/>
      <c r="CQ4" s="34"/>
      <c r="CR4" s="34"/>
      <c r="CS4" s="34"/>
      <c r="CT4" s="34"/>
      <c r="CU4" s="34"/>
      <c r="CV4" s="34"/>
      <c r="CW4" s="34"/>
      <c r="CX4" s="34"/>
      <c r="CY4" s="34"/>
      <c r="CZ4" s="34"/>
      <c r="DA4" s="34"/>
      <c r="DB4" s="34"/>
      <c r="DC4" s="34"/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4"/>
      <c r="DO4" s="34"/>
      <c r="DP4" s="34"/>
      <c r="DQ4" s="34"/>
      <c r="DR4" s="34"/>
      <c r="DS4" s="34"/>
      <c r="DT4" s="34"/>
      <c r="DU4" s="34"/>
      <c r="DV4" s="34"/>
      <c r="DW4" s="34"/>
      <c r="DX4" s="34"/>
      <c r="DY4" s="34"/>
      <c r="DZ4" s="34"/>
      <c r="EA4" s="34"/>
      <c r="EB4" s="34"/>
      <c r="EC4" s="34"/>
      <c r="ED4" s="34"/>
      <c r="EE4" s="34"/>
      <c r="EF4" s="34"/>
      <c r="EG4" s="34"/>
      <c r="EH4" s="34"/>
      <c r="EI4" s="34"/>
      <c r="EJ4" s="34"/>
      <c r="EK4" s="34"/>
      <c r="EL4" s="34"/>
      <c r="EM4" s="34"/>
      <c r="EN4" s="34"/>
      <c r="EO4" s="34"/>
      <c r="EP4" s="34"/>
      <c r="EQ4" s="34"/>
      <c r="ER4" s="34"/>
      <c r="ES4" s="34"/>
      <c r="ET4" s="34"/>
      <c r="EU4" s="34"/>
      <c r="EV4" s="34"/>
      <c r="EW4" s="34"/>
      <c r="EX4" s="34"/>
      <c r="EY4" s="34"/>
      <c r="EZ4" s="34"/>
      <c r="FA4" s="34"/>
      <c r="FB4" s="34"/>
      <c r="FC4" s="34"/>
      <c r="FD4" s="34"/>
      <c r="FE4" s="34"/>
      <c r="FF4" s="34"/>
      <c r="FG4" s="34"/>
      <c r="FH4" s="34"/>
      <c r="FI4" s="34"/>
      <c r="FJ4" s="34"/>
      <c r="FK4" s="34"/>
      <c r="FL4" s="34"/>
      <c r="FM4" s="34"/>
      <c r="FN4" s="34"/>
      <c r="FO4" s="34"/>
      <c r="FP4" s="34"/>
      <c r="FQ4" s="34"/>
      <c r="FR4" s="34"/>
      <c r="FS4" s="34"/>
      <c r="FT4" s="34"/>
      <c r="FU4" s="34"/>
      <c r="FV4" s="34"/>
      <c r="FW4" s="34"/>
      <c r="FX4" s="34"/>
      <c r="FY4" s="34"/>
      <c r="FZ4" s="34"/>
      <c r="GA4" s="34"/>
      <c r="GB4" s="34"/>
      <c r="GC4" s="34"/>
      <c r="GD4" s="34"/>
      <c r="GE4" s="34"/>
      <c r="GF4" s="34"/>
      <c r="GG4" s="34"/>
      <c r="GH4" s="34"/>
      <c r="GI4" s="34"/>
      <c r="GJ4" s="34"/>
      <c r="GK4" s="34"/>
      <c r="GL4" s="34"/>
      <c r="GM4" s="34"/>
      <c r="GN4" s="34"/>
      <c r="GO4" s="34"/>
      <c r="GP4" s="34"/>
      <c r="GQ4" s="34"/>
      <c r="GR4" s="34"/>
    </row>
    <row r="5" spans="1:502" s="38" customFormat="1" ht="15" customHeight="1" x14ac:dyDescent="0.3">
      <c r="A5" s="34" t="s">
        <v>254</v>
      </c>
      <c r="B5" s="34">
        <v>18</v>
      </c>
      <c r="C5" s="34">
        <v>10</v>
      </c>
      <c r="D5" s="34">
        <v>17</v>
      </c>
      <c r="E5" s="34">
        <v>5</v>
      </c>
      <c r="F5" s="34">
        <v>50</v>
      </c>
      <c r="G5" s="34"/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  <c r="S5" s="34"/>
      <c r="T5" s="34"/>
      <c r="U5" s="34"/>
      <c r="V5" s="58"/>
      <c r="W5" s="58"/>
      <c r="X5" s="58"/>
      <c r="Y5" s="58"/>
      <c r="Z5" s="58"/>
      <c r="AA5" s="58"/>
      <c r="AB5" s="58"/>
      <c r="AC5" s="58"/>
      <c r="AD5" s="58"/>
      <c r="AE5" s="58"/>
      <c r="AF5" s="58"/>
      <c r="AG5" s="58"/>
      <c r="AH5" s="58"/>
      <c r="AI5" s="34"/>
      <c r="AJ5" s="34"/>
      <c r="AK5" s="34"/>
      <c r="AL5" s="34"/>
      <c r="AM5" s="34"/>
      <c r="AN5" s="34"/>
      <c r="AO5" s="34"/>
      <c r="AP5" s="34"/>
      <c r="AQ5" s="34"/>
      <c r="AR5" s="34"/>
      <c r="AS5" s="34"/>
      <c r="AT5" s="34"/>
      <c r="AU5" s="34"/>
      <c r="AV5" s="34"/>
      <c r="AW5" s="34"/>
      <c r="AX5" s="34"/>
      <c r="AY5" s="34"/>
      <c r="AZ5" s="34"/>
      <c r="BA5" s="34"/>
      <c r="BB5" s="34"/>
      <c r="BC5" s="34"/>
      <c r="BD5" s="34"/>
      <c r="BE5" s="34"/>
      <c r="BF5" s="34"/>
      <c r="BG5" s="34"/>
      <c r="BH5" s="34"/>
      <c r="BI5" s="34"/>
      <c r="BJ5" s="34"/>
      <c r="BK5" s="34"/>
      <c r="BL5" s="34"/>
      <c r="BM5" s="34"/>
      <c r="BN5" s="34"/>
      <c r="BO5" s="34"/>
      <c r="BP5" s="34"/>
      <c r="BQ5" s="34"/>
      <c r="BR5" s="34"/>
      <c r="BS5" s="34"/>
      <c r="BT5" s="34"/>
      <c r="BU5" s="34"/>
      <c r="BV5" s="34"/>
      <c r="BW5" s="34"/>
      <c r="BX5" s="34"/>
      <c r="BY5" s="34"/>
      <c r="BZ5" s="34"/>
      <c r="CA5" s="34"/>
      <c r="CB5" s="34"/>
      <c r="CC5" s="34"/>
      <c r="CD5" s="34"/>
      <c r="CE5" s="34"/>
      <c r="CF5" s="34"/>
      <c r="CG5" s="34"/>
      <c r="CH5" s="34"/>
      <c r="CI5" s="34"/>
      <c r="CJ5" s="34"/>
      <c r="CK5" s="34"/>
      <c r="CL5" s="34"/>
      <c r="CM5" s="34"/>
      <c r="CN5" s="34"/>
      <c r="CO5" s="34"/>
      <c r="CP5" s="34"/>
      <c r="CQ5" s="34"/>
      <c r="CR5" s="34"/>
      <c r="CS5" s="34"/>
      <c r="CT5" s="34"/>
      <c r="CU5" s="34"/>
      <c r="CV5" s="34"/>
      <c r="CW5" s="34"/>
      <c r="CX5" s="34"/>
      <c r="CY5" s="34"/>
      <c r="CZ5" s="34"/>
      <c r="DA5" s="34"/>
      <c r="DB5" s="34"/>
      <c r="DC5" s="34"/>
      <c r="DD5" s="34"/>
      <c r="DE5" s="34"/>
      <c r="DF5" s="34"/>
      <c r="DG5" s="34"/>
      <c r="DH5" s="34"/>
      <c r="DI5" s="34"/>
      <c r="DJ5" s="34"/>
      <c r="DK5" s="34"/>
      <c r="DL5" s="34"/>
      <c r="DM5" s="34"/>
      <c r="DN5" s="34"/>
      <c r="DO5" s="34"/>
      <c r="DP5" s="34"/>
      <c r="DQ5" s="34"/>
      <c r="DR5" s="34"/>
      <c r="DS5" s="34"/>
      <c r="DT5" s="34"/>
      <c r="DU5" s="34"/>
      <c r="DV5" s="34"/>
      <c r="DW5" s="34"/>
      <c r="DX5" s="34"/>
      <c r="DY5" s="34"/>
      <c r="DZ5" s="34"/>
      <c r="EA5" s="34"/>
      <c r="EB5" s="34"/>
      <c r="EC5" s="34"/>
      <c r="ED5" s="34"/>
      <c r="EE5" s="34"/>
      <c r="EF5" s="34"/>
      <c r="EG5" s="34"/>
      <c r="EH5" s="34"/>
      <c r="EI5" s="34"/>
      <c r="EJ5" s="34"/>
      <c r="EK5" s="34"/>
      <c r="EL5" s="34"/>
      <c r="EM5" s="34"/>
      <c r="EN5" s="34"/>
      <c r="EO5" s="34"/>
      <c r="EP5" s="34"/>
      <c r="EQ5" s="34"/>
      <c r="ER5" s="34"/>
      <c r="ES5" s="34"/>
      <c r="ET5" s="34"/>
      <c r="EU5" s="34"/>
      <c r="EV5" s="34"/>
      <c r="EW5" s="34"/>
      <c r="EX5" s="34"/>
      <c r="EY5" s="34"/>
      <c r="EZ5" s="34"/>
      <c r="FA5" s="34"/>
      <c r="FB5" s="34"/>
      <c r="FC5" s="34"/>
      <c r="FD5" s="34"/>
      <c r="FE5" s="34"/>
      <c r="FF5" s="34"/>
      <c r="FG5" s="34"/>
      <c r="FH5" s="34"/>
      <c r="FI5" s="34"/>
      <c r="FJ5" s="34"/>
      <c r="FK5" s="34"/>
      <c r="FL5" s="34"/>
      <c r="FM5" s="34"/>
      <c r="FN5" s="34"/>
      <c r="FO5" s="34"/>
      <c r="FP5" s="34"/>
      <c r="FQ5" s="34"/>
      <c r="FR5" s="34"/>
      <c r="FS5" s="34"/>
      <c r="FT5" s="34"/>
      <c r="FU5" s="34"/>
      <c r="FV5" s="34"/>
      <c r="FW5" s="34"/>
      <c r="FX5" s="34"/>
      <c r="FY5" s="34"/>
      <c r="FZ5" s="34"/>
      <c r="GA5" s="34"/>
      <c r="GB5" s="34"/>
      <c r="GC5" s="34"/>
      <c r="GD5" s="34"/>
      <c r="GE5" s="34"/>
      <c r="GF5" s="34"/>
      <c r="GG5" s="34"/>
      <c r="GH5" s="34"/>
      <c r="GI5" s="34"/>
      <c r="GJ5" s="34"/>
      <c r="GK5" s="34"/>
      <c r="GL5" s="34"/>
      <c r="GM5" s="34"/>
      <c r="GN5" s="34"/>
      <c r="GO5" s="34"/>
      <c r="GP5" s="34"/>
      <c r="GQ5" s="34"/>
      <c r="GR5" s="34"/>
    </row>
    <row r="6" spans="1:502" s="38" customFormat="1" ht="15" customHeight="1" x14ac:dyDescent="0.3">
      <c r="A6" s="34" t="s">
        <v>236</v>
      </c>
      <c r="B6" s="34">
        <v>7</v>
      </c>
      <c r="C6" s="34">
        <v>4</v>
      </c>
      <c r="D6" s="34">
        <v>11</v>
      </c>
      <c r="E6" s="34">
        <v>8</v>
      </c>
      <c r="F6" s="34">
        <v>30</v>
      </c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58"/>
      <c r="W6" s="58"/>
      <c r="X6" s="58"/>
      <c r="Y6" s="58"/>
      <c r="Z6" s="58"/>
      <c r="AA6" s="58"/>
      <c r="AB6" s="58"/>
      <c r="AC6" s="58"/>
      <c r="AD6" s="58"/>
      <c r="AE6" s="58"/>
      <c r="AF6" s="58"/>
      <c r="AG6" s="58"/>
      <c r="AH6" s="58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  <c r="EY6" s="34"/>
      <c r="EZ6" s="34"/>
      <c r="FA6" s="34"/>
      <c r="FB6" s="34"/>
      <c r="FC6" s="34"/>
      <c r="FD6" s="34"/>
      <c r="FE6" s="34"/>
      <c r="FF6" s="34"/>
      <c r="FG6" s="34"/>
      <c r="FH6" s="34"/>
      <c r="FI6" s="34"/>
      <c r="FJ6" s="34"/>
      <c r="FK6" s="34"/>
      <c r="FL6" s="34"/>
      <c r="FM6" s="34"/>
      <c r="FN6" s="34"/>
      <c r="FO6" s="34"/>
      <c r="FP6" s="34"/>
      <c r="FQ6" s="34"/>
      <c r="FR6" s="34"/>
      <c r="FS6" s="34"/>
      <c r="FT6" s="34"/>
      <c r="FU6" s="34"/>
      <c r="FV6" s="34"/>
      <c r="FW6" s="34"/>
      <c r="FX6" s="34"/>
      <c r="FY6" s="34"/>
      <c r="FZ6" s="34"/>
      <c r="GA6" s="34"/>
      <c r="GB6" s="34"/>
      <c r="GC6" s="34"/>
      <c r="GD6" s="34"/>
      <c r="GE6" s="34"/>
      <c r="GF6" s="34"/>
      <c r="GG6" s="34"/>
      <c r="GH6" s="34"/>
      <c r="GI6" s="34"/>
      <c r="GJ6" s="34"/>
      <c r="GK6" s="34"/>
      <c r="GL6" s="34"/>
      <c r="GM6" s="34"/>
      <c r="GN6" s="34"/>
      <c r="GO6" s="34"/>
      <c r="GP6" s="34"/>
      <c r="GQ6" s="34"/>
      <c r="GR6" s="34"/>
    </row>
    <row r="7" spans="1:502" s="38" customFormat="1" ht="15" customHeight="1" x14ac:dyDescent="0.3">
      <c r="A7" s="34" t="s">
        <v>240</v>
      </c>
      <c r="B7" s="34">
        <v>6</v>
      </c>
      <c r="C7" s="34">
        <v>8</v>
      </c>
      <c r="D7" s="34">
        <v>14</v>
      </c>
      <c r="E7" s="34">
        <v>10</v>
      </c>
      <c r="F7" s="34">
        <v>38</v>
      </c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58"/>
      <c r="W7" s="58"/>
      <c r="X7" s="58"/>
      <c r="Y7" s="58"/>
      <c r="Z7" s="58"/>
      <c r="AA7" s="58"/>
      <c r="AB7" s="58"/>
      <c r="AC7" s="58"/>
      <c r="AD7" s="58"/>
      <c r="AE7" s="58"/>
      <c r="AF7" s="58"/>
      <c r="AG7" s="58"/>
      <c r="AH7" s="58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  <c r="EY7" s="34"/>
      <c r="EZ7" s="34"/>
      <c r="FA7" s="34"/>
      <c r="FB7" s="34"/>
      <c r="FC7" s="34"/>
      <c r="FD7" s="34"/>
      <c r="FE7" s="34"/>
      <c r="FF7" s="34"/>
      <c r="FG7" s="34"/>
      <c r="FH7" s="34"/>
      <c r="FI7" s="34"/>
      <c r="FJ7" s="34"/>
      <c r="FK7" s="34"/>
      <c r="FL7" s="34"/>
      <c r="FM7" s="34"/>
      <c r="FN7" s="34"/>
      <c r="FO7" s="34"/>
      <c r="FP7" s="34"/>
      <c r="FQ7" s="34"/>
      <c r="FR7" s="34"/>
      <c r="FS7" s="34"/>
      <c r="FT7" s="34"/>
      <c r="FU7" s="34"/>
      <c r="FV7" s="34"/>
      <c r="FW7" s="34"/>
      <c r="FX7" s="34"/>
      <c r="FY7" s="34"/>
      <c r="FZ7" s="34"/>
      <c r="GA7" s="34"/>
      <c r="GB7" s="34"/>
      <c r="GC7" s="34"/>
      <c r="GD7" s="34"/>
      <c r="GE7" s="34"/>
      <c r="GF7" s="34"/>
      <c r="GG7" s="34"/>
      <c r="GH7" s="34"/>
      <c r="GI7" s="34"/>
      <c r="GJ7" s="34"/>
      <c r="GK7" s="34"/>
      <c r="GL7" s="34"/>
      <c r="GM7" s="34"/>
      <c r="GN7" s="34"/>
      <c r="GO7" s="34"/>
      <c r="GP7" s="34"/>
      <c r="GQ7" s="34"/>
      <c r="GR7" s="34"/>
    </row>
    <row r="8" spans="1:502" s="38" customFormat="1" ht="15" customHeight="1" x14ac:dyDescent="0.3">
      <c r="A8" s="34" t="s">
        <v>244</v>
      </c>
      <c r="B8" s="34">
        <v>21</v>
      </c>
      <c r="C8" s="34"/>
      <c r="D8" s="34">
        <v>11</v>
      </c>
      <c r="E8" s="34">
        <v>12</v>
      </c>
      <c r="F8" s="34">
        <v>44</v>
      </c>
      <c r="G8" s="34"/>
      <c r="H8" s="34"/>
      <c r="I8" s="34"/>
      <c r="J8" s="34"/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58"/>
      <c r="W8" s="58"/>
      <c r="X8" s="58"/>
      <c r="Y8" s="58"/>
      <c r="Z8" s="58"/>
      <c r="AA8" s="58"/>
      <c r="AB8" s="58"/>
      <c r="AC8" s="58"/>
      <c r="AD8" s="58"/>
      <c r="AE8" s="58"/>
      <c r="AF8" s="58"/>
      <c r="AG8" s="58"/>
      <c r="AH8" s="58"/>
      <c r="AI8" s="34"/>
      <c r="AJ8" s="34"/>
      <c r="AK8" s="34"/>
      <c r="AL8" s="34"/>
      <c r="AM8" s="34"/>
      <c r="AN8" s="34"/>
      <c r="AO8" s="34"/>
      <c r="AP8" s="34"/>
      <c r="AQ8" s="34"/>
      <c r="AR8" s="34"/>
      <c r="AS8" s="34"/>
      <c r="AT8" s="34"/>
      <c r="AU8" s="34"/>
      <c r="AV8" s="34"/>
      <c r="AW8" s="34"/>
      <c r="AX8" s="34"/>
      <c r="AY8" s="34"/>
      <c r="AZ8" s="34"/>
      <c r="BA8" s="34"/>
      <c r="BB8" s="34"/>
      <c r="BC8" s="34"/>
      <c r="BD8" s="34"/>
      <c r="BE8" s="34"/>
      <c r="BF8" s="34"/>
      <c r="BG8" s="34"/>
      <c r="BH8" s="34"/>
      <c r="BI8" s="34"/>
      <c r="BJ8" s="34"/>
      <c r="BK8" s="34"/>
      <c r="BL8" s="34"/>
      <c r="BM8" s="34"/>
      <c r="BN8" s="34"/>
      <c r="BO8" s="34"/>
      <c r="BP8" s="34"/>
      <c r="BQ8" s="34"/>
      <c r="BR8" s="34"/>
      <c r="BS8" s="34"/>
      <c r="BT8" s="34"/>
      <c r="BU8" s="34"/>
      <c r="BV8" s="34"/>
      <c r="BW8" s="34"/>
      <c r="BX8" s="34"/>
      <c r="BY8" s="34"/>
      <c r="BZ8" s="34"/>
      <c r="CA8" s="34"/>
      <c r="CB8" s="34"/>
      <c r="CC8" s="34"/>
      <c r="CD8" s="34"/>
      <c r="CE8" s="34"/>
      <c r="CF8" s="34"/>
      <c r="CG8" s="34"/>
      <c r="CH8" s="34"/>
      <c r="CI8" s="34"/>
      <c r="CJ8" s="34"/>
      <c r="CK8" s="34"/>
      <c r="CL8" s="34"/>
      <c r="CM8" s="34"/>
      <c r="CN8" s="34"/>
      <c r="CO8" s="34"/>
      <c r="CP8" s="34"/>
      <c r="CQ8" s="34"/>
      <c r="CR8" s="34"/>
      <c r="CS8" s="34"/>
      <c r="CT8" s="34"/>
      <c r="CU8" s="34"/>
      <c r="CV8" s="34"/>
      <c r="CW8" s="34"/>
      <c r="CX8" s="34"/>
      <c r="CY8" s="34"/>
      <c r="CZ8" s="34"/>
      <c r="DA8" s="34"/>
      <c r="DB8" s="34"/>
      <c r="DC8" s="34"/>
      <c r="DD8" s="34"/>
      <c r="DE8" s="34"/>
      <c r="DF8" s="34"/>
      <c r="DG8" s="34"/>
      <c r="DH8" s="34"/>
      <c r="DI8" s="34"/>
      <c r="DJ8" s="34"/>
      <c r="DK8" s="34"/>
      <c r="DL8" s="34"/>
      <c r="DM8" s="34"/>
      <c r="DN8" s="34"/>
      <c r="DO8" s="34"/>
      <c r="DP8" s="34"/>
      <c r="DQ8" s="34"/>
      <c r="DR8" s="34"/>
      <c r="DS8" s="34"/>
      <c r="DT8" s="34"/>
      <c r="DU8" s="34"/>
      <c r="DV8" s="34"/>
      <c r="DW8" s="34"/>
      <c r="DX8" s="34"/>
      <c r="DY8" s="34"/>
      <c r="DZ8" s="34"/>
      <c r="EA8" s="34"/>
      <c r="EB8" s="34"/>
      <c r="EC8" s="34"/>
      <c r="ED8" s="34"/>
      <c r="EE8" s="34"/>
      <c r="EF8" s="34"/>
      <c r="EG8" s="34"/>
      <c r="EH8" s="34"/>
      <c r="EI8" s="34"/>
      <c r="EJ8" s="34"/>
      <c r="EK8" s="34"/>
      <c r="EL8" s="34"/>
      <c r="EM8" s="34"/>
      <c r="EN8" s="34"/>
      <c r="EO8" s="34"/>
      <c r="EP8" s="34"/>
      <c r="EQ8" s="34"/>
      <c r="ER8" s="34"/>
      <c r="ES8" s="34"/>
      <c r="ET8" s="34"/>
      <c r="EU8" s="34"/>
      <c r="EV8" s="34"/>
      <c r="EW8" s="34"/>
      <c r="EX8" s="34"/>
      <c r="EY8" s="34"/>
      <c r="EZ8" s="34"/>
      <c r="FA8" s="34"/>
      <c r="FB8" s="34"/>
      <c r="FC8" s="34"/>
      <c r="FD8" s="34"/>
      <c r="FE8" s="34"/>
      <c r="FF8" s="34"/>
      <c r="FG8" s="34"/>
      <c r="FH8" s="34"/>
      <c r="FI8" s="34"/>
      <c r="FJ8" s="34"/>
      <c r="FK8" s="34"/>
      <c r="FL8" s="34"/>
      <c r="FM8" s="34"/>
      <c r="FN8" s="34"/>
      <c r="FO8" s="34"/>
      <c r="FP8" s="34"/>
      <c r="FQ8" s="34"/>
      <c r="FR8" s="34"/>
      <c r="FS8" s="34"/>
      <c r="FT8" s="34"/>
      <c r="FU8" s="34"/>
      <c r="FV8" s="34"/>
      <c r="FW8" s="34"/>
      <c r="FX8" s="34"/>
      <c r="FY8" s="34"/>
      <c r="FZ8" s="34"/>
      <c r="GA8" s="34"/>
      <c r="GB8" s="34"/>
      <c r="GC8" s="34"/>
      <c r="GD8" s="34"/>
      <c r="GE8" s="34"/>
      <c r="GF8" s="34"/>
      <c r="GG8" s="34"/>
      <c r="GH8" s="34"/>
      <c r="GI8" s="34"/>
      <c r="GJ8" s="34"/>
      <c r="GK8" s="34"/>
      <c r="GL8" s="34"/>
      <c r="GM8" s="34"/>
      <c r="GN8" s="34"/>
      <c r="GO8" s="34"/>
      <c r="GP8" s="34"/>
      <c r="GQ8" s="34"/>
      <c r="GR8" s="34"/>
    </row>
    <row r="9" spans="1:502" s="38" customFormat="1" ht="15" customHeight="1" x14ac:dyDescent="0.3">
      <c r="A9" s="34" t="s">
        <v>261</v>
      </c>
      <c r="B9" s="234">
        <v>6</v>
      </c>
      <c r="C9" s="234">
        <v>1</v>
      </c>
      <c r="D9" s="234">
        <v>6</v>
      </c>
      <c r="E9" s="234">
        <v>2</v>
      </c>
      <c r="F9" s="234">
        <v>15</v>
      </c>
      <c r="G9" s="34"/>
      <c r="H9" s="34"/>
      <c r="I9" s="34"/>
      <c r="J9" s="34"/>
      <c r="K9" s="34"/>
      <c r="L9" s="34"/>
      <c r="M9" s="34"/>
      <c r="N9" s="34"/>
      <c r="O9" s="34"/>
      <c r="P9" s="34"/>
      <c r="Q9" s="34"/>
      <c r="R9" s="34"/>
      <c r="S9" s="34"/>
      <c r="T9" s="34"/>
      <c r="U9" s="34"/>
      <c r="V9" s="58"/>
      <c r="W9" s="58"/>
      <c r="X9" s="58"/>
      <c r="Y9" s="58"/>
      <c r="Z9" s="58"/>
      <c r="AA9" s="58"/>
      <c r="AB9" s="58"/>
      <c r="AC9" s="58"/>
      <c r="AD9" s="58"/>
      <c r="AE9" s="58"/>
      <c r="AF9" s="58"/>
      <c r="AG9" s="58"/>
      <c r="AH9" s="58"/>
      <c r="AI9" s="34"/>
      <c r="AJ9" s="34"/>
      <c r="AK9" s="34"/>
      <c r="AL9" s="34"/>
      <c r="AM9" s="34"/>
      <c r="AN9" s="34"/>
      <c r="AO9" s="34"/>
      <c r="AP9" s="34"/>
      <c r="AQ9" s="34"/>
      <c r="AR9" s="34"/>
      <c r="AS9" s="34"/>
      <c r="AT9" s="34"/>
      <c r="AU9" s="34"/>
      <c r="AV9" s="34"/>
      <c r="AW9" s="34"/>
      <c r="AX9" s="34"/>
      <c r="AY9" s="34"/>
      <c r="AZ9" s="34"/>
      <c r="BA9" s="34"/>
      <c r="BB9" s="34"/>
      <c r="BC9" s="34"/>
      <c r="BD9" s="34"/>
      <c r="BE9" s="34"/>
      <c r="BF9" s="34"/>
      <c r="BG9" s="34"/>
      <c r="BH9" s="34"/>
      <c r="BI9" s="34"/>
      <c r="BJ9" s="34"/>
      <c r="BK9" s="34"/>
      <c r="BL9" s="34"/>
      <c r="BM9" s="34"/>
      <c r="BN9" s="34"/>
      <c r="BO9" s="34"/>
      <c r="BP9" s="34"/>
      <c r="BQ9" s="34"/>
      <c r="BR9" s="34"/>
      <c r="BS9" s="34"/>
      <c r="BT9" s="34"/>
      <c r="BU9" s="34"/>
      <c r="BV9" s="34"/>
      <c r="BW9" s="34"/>
      <c r="BX9" s="34"/>
      <c r="BY9" s="34"/>
      <c r="BZ9" s="34"/>
      <c r="CA9" s="34"/>
      <c r="CB9" s="34"/>
      <c r="CC9" s="34"/>
      <c r="CD9" s="34"/>
      <c r="CE9" s="34"/>
      <c r="CF9" s="34"/>
      <c r="CG9" s="34"/>
      <c r="CH9" s="34"/>
      <c r="CI9" s="34"/>
      <c r="CJ9" s="34"/>
      <c r="CK9" s="34"/>
      <c r="CL9" s="34"/>
      <c r="CM9" s="34"/>
      <c r="CN9" s="34"/>
      <c r="CO9" s="34"/>
      <c r="CP9" s="34"/>
      <c r="CQ9" s="34"/>
      <c r="CR9" s="34"/>
      <c r="CS9" s="34"/>
      <c r="CT9" s="34"/>
      <c r="CU9" s="34"/>
      <c r="CV9" s="34"/>
      <c r="CW9" s="34"/>
      <c r="CX9" s="34"/>
      <c r="CY9" s="34"/>
      <c r="CZ9" s="34"/>
      <c r="DA9" s="34"/>
      <c r="DB9" s="34"/>
      <c r="DC9" s="34"/>
      <c r="DD9" s="34"/>
      <c r="DE9" s="34"/>
      <c r="DF9" s="34"/>
      <c r="DG9" s="34"/>
      <c r="DH9" s="34"/>
      <c r="DI9" s="34"/>
      <c r="DJ9" s="34"/>
      <c r="DK9" s="34"/>
      <c r="DL9" s="34"/>
      <c r="DM9" s="34"/>
      <c r="DN9" s="34"/>
      <c r="DO9" s="34"/>
      <c r="DP9" s="34"/>
      <c r="DQ9" s="34"/>
      <c r="DR9" s="34"/>
      <c r="DS9" s="34"/>
      <c r="DT9" s="34"/>
      <c r="DU9" s="34"/>
      <c r="DV9" s="34"/>
      <c r="DW9" s="34"/>
      <c r="DX9" s="34"/>
      <c r="DY9" s="34"/>
      <c r="DZ9" s="34"/>
      <c r="EA9" s="34"/>
      <c r="EB9" s="34"/>
      <c r="EC9" s="34"/>
      <c r="ED9" s="34"/>
      <c r="EE9" s="34"/>
      <c r="EF9" s="34"/>
      <c r="EG9" s="34"/>
      <c r="EH9" s="34"/>
      <c r="EI9" s="34"/>
      <c r="EJ9" s="34"/>
      <c r="EK9" s="34"/>
      <c r="EL9" s="34"/>
      <c r="EM9" s="34"/>
      <c r="EN9" s="34"/>
      <c r="EO9" s="34"/>
      <c r="EP9" s="34"/>
      <c r="EQ9" s="34"/>
      <c r="ER9" s="34"/>
      <c r="ES9" s="34"/>
      <c r="ET9" s="34"/>
      <c r="EU9" s="34"/>
      <c r="EV9" s="34"/>
      <c r="EW9" s="34"/>
      <c r="EX9" s="34"/>
      <c r="EY9" s="34"/>
      <c r="EZ9" s="34"/>
      <c r="FA9" s="34"/>
      <c r="FB9" s="34"/>
      <c r="FC9" s="34"/>
      <c r="FD9" s="34"/>
      <c r="FE9" s="34"/>
      <c r="FF9" s="34"/>
      <c r="FG9" s="34"/>
      <c r="FH9" s="34"/>
      <c r="FI9" s="34"/>
      <c r="FJ9" s="34"/>
      <c r="FK9" s="34"/>
      <c r="FL9" s="34"/>
      <c r="FM9" s="34"/>
      <c r="FN9" s="34"/>
      <c r="FO9" s="34"/>
      <c r="FP9" s="34"/>
      <c r="FQ9" s="34"/>
      <c r="FR9" s="34"/>
      <c r="FS9" s="34"/>
      <c r="FT9" s="34"/>
      <c r="FU9" s="34"/>
      <c r="FV9" s="34"/>
      <c r="FW9" s="34"/>
      <c r="FX9" s="34"/>
      <c r="FY9" s="34"/>
      <c r="FZ9" s="34"/>
      <c r="GA9" s="34"/>
      <c r="GB9" s="34"/>
      <c r="GC9" s="34"/>
      <c r="GD9" s="34"/>
      <c r="GE9" s="34"/>
      <c r="GF9" s="34"/>
      <c r="GG9" s="34"/>
      <c r="GH9" s="34"/>
      <c r="GI9" s="34"/>
      <c r="GJ9" s="34"/>
      <c r="GK9" s="34"/>
      <c r="GL9" s="34"/>
      <c r="GM9" s="34"/>
      <c r="GN9" s="34"/>
      <c r="GO9" s="34"/>
      <c r="GP9" s="34"/>
      <c r="GQ9" s="34"/>
      <c r="GR9" s="34"/>
    </row>
    <row r="10" spans="1:502" s="38" customFormat="1" ht="15" customHeight="1" x14ac:dyDescent="0.3">
      <c r="A10" s="34" t="s">
        <v>249</v>
      </c>
      <c r="B10" s="34">
        <v>8</v>
      </c>
      <c r="C10" s="34">
        <v>5</v>
      </c>
      <c r="D10" s="34">
        <v>4</v>
      </c>
      <c r="E10" s="34">
        <v>3</v>
      </c>
      <c r="F10" s="34">
        <v>20</v>
      </c>
      <c r="G10" s="34"/>
      <c r="H10" s="34"/>
      <c r="I10" s="34"/>
      <c r="J10" s="34"/>
      <c r="K10" s="34"/>
      <c r="L10" s="34"/>
      <c r="M10" s="34"/>
      <c r="N10" s="34"/>
      <c r="O10" s="34"/>
      <c r="P10" s="34"/>
      <c r="Q10" s="34"/>
      <c r="R10" s="34"/>
      <c r="S10" s="34"/>
      <c r="T10" s="34"/>
      <c r="U10" s="34"/>
      <c r="V10" s="58"/>
      <c r="W10" s="58"/>
      <c r="X10" s="58"/>
      <c r="Y10" s="58"/>
      <c r="Z10" s="58"/>
      <c r="AA10" s="58"/>
      <c r="AB10" s="58"/>
      <c r="AC10" s="58"/>
      <c r="AD10" s="58"/>
      <c r="AE10" s="58"/>
      <c r="AF10" s="58"/>
      <c r="AG10" s="58"/>
      <c r="AH10" s="58"/>
      <c r="AI10" s="34"/>
      <c r="AJ10" s="34"/>
      <c r="AK10" s="34"/>
      <c r="AL10" s="34"/>
      <c r="AM10" s="34"/>
      <c r="AN10" s="34"/>
      <c r="AO10" s="34"/>
      <c r="AP10" s="34"/>
      <c r="AQ10" s="34"/>
      <c r="AR10" s="34"/>
      <c r="AS10" s="34"/>
      <c r="AT10" s="34"/>
      <c r="AU10" s="34"/>
      <c r="AV10" s="34"/>
      <c r="AW10" s="34"/>
      <c r="AX10" s="34"/>
      <c r="AY10" s="34"/>
      <c r="AZ10" s="34"/>
      <c r="BA10" s="34"/>
      <c r="BB10" s="34"/>
      <c r="BC10" s="34"/>
      <c r="BD10" s="34"/>
      <c r="BE10" s="34"/>
      <c r="BF10" s="34"/>
      <c r="BG10" s="34"/>
      <c r="BH10" s="34"/>
      <c r="BI10" s="34"/>
      <c r="BJ10" s="34"/>
      <c r="BK10" s="34"/>
      <c r="BL10" s="34"/>
      <c r="BM10" s="34"/>
      <c r="BN10" s="34"/>
      <c r="BO10" s="34"/>
      <c r="BP10" s="34"/>
      <c r="BQ10" s="34"/>
      <c r="BR10" s="34"/>
      <c r="BS10" s="34"/>
      <c r="BT10" s="34"/>
      <c r="BU10" s="34"/>
      <c r="BV10" s="34"/>
      <c r="BW10" s="34"/>
      <c r="BX10" s="34"/>
      <c r="BY10" s="34"/>
      <c r="BZ10" s="34"/>
      <c r="CA10" s="34"/>
      <c r="CB10" s="34"/>
      <c r="CC10" s="34"/>
      <c r="CD10" s="34"/>
      <c r="CE10" s="34"/>
      <c r="CF10" s="34"/>
      <c r="CG10" s="34"/>
      <c r="CH10" s="34"/>
      <c r="CI10" s="34"/>
      <c r="CJ10" s="34"/>
      <c r="CK10" s="34"/>
      <c r="CL10" s="34"/>
      <c r="CM10" s="34"/>
      <c r="CN10" s="34"/>
      <c r="CO10" s="34"/>
      <c r="CP10" s="34"/>
      <c r="CQ10" s="34"/>
      <c r="CR10" s="34"/>
      <c r="CS10" s="34"/>
      <c r="CT10" s="34"/>
      <c r="CU10" s="34"/>
      <c r="CV10" s="34"/>
      <c r="CW10" s="34"/>
      <c r="CX10" s="34"/>
      <c r="CY10" s="34"/>
      <c r="CZ10" s="34"/>
      <c r="DA10" s="34"/>
      <c r="DB10" s="34"/>
      <c r="DC10" s="34"/>
      <c r="DD10" s="34"/>
      <c r="DE10" s="34"/>
      <c r="DF10" s="34"/>
      <c r="DG10" s="34"/>
      <c r="DH10" s="34"/>
      <c r="DI10" s="34"/>
      <c r="DJ10" s="34"/>
      <c r="DK10" s="34"/>
      <c r="DL10" s="34"/>
      <c r="DM10" s="34"/>
      <c r="DN10" s="34"/>
      <c r="DO10" s="34"/>
      <c r="DP10" s="34"/>
      <c r="DQ10" s="34"/>
      <c r="DR10" s="34"/>
      <c r="DS10" s="34"/>
      <c r="DT10" s="34"/>
      <c r="DU10" s="34"/>
      <c r="DV10" s="34"/>
      <c r="DW10" s="34"/>
      <c r="DX10" s="34"/>
      <c r="DY10" s="34"/>
      <c r="DZ10" s="34"/>
      <c r="EA10" s="34"/>
      <c r="EB10" s="34"/>
      <c r="EC10" s="34"/>
      <c r="ED10" s="34"/>
      <c r="EE10" s="34"/>
      <c r="EF10" s="34"/>
      <c r="EG10" s="34"/>
      <c r="EH10" s="34"/>
      <c r="EI10" s="34"/>
      <c r="EJ10" s="34"/>
      <c r="EK10" s="34"/>
      <c r="EL10" s="34"/>
      <c r="EM10" s="34"/>
      <c r="EN10" s="34"/>
      <c r="EO10" s="34"/>
      <c r="EP10" s="34"/>
      <c r="EQ10" s="34"/>
      <c r="ER10" s="34"/>
      <c r="ES10" s="34"/>
      <c r="ET10" s="34"/>
      <c r="EU10" s="34"/>
      <c r="EV10" s="34"/>
      <c r="EW10" s="34"/>
      <c r="EX10" s="34"/>
      <c r="EY10" s="34"/>
      <c r="EZ10" s="34"/>
      <c r="FA10" s="34"/>
      <c r="FB10" s="34"/>
      <c r="FC10" s="34"/>
      <c r="FD10" s="34"/>
      <c r="FE10" s="34"/>
      <c r="FF10" s="34"/>
      <c r="FG10" s="34"/>
      <c r="FH10" s="34"/>
      <c r="FI10" s="34"/>
      <c r="FJ10" s="34"/>
      <c r="FK10" s="34"/>
      <c r="FL10" s="34"/>
      <c r="FM10" s="34"/>
      <c r="FN10" s="34"/>
      <c r="FO10" s="34"/>
      <c r="FP10" s="34"/>
      <c r="FQ10" s="34"/>
      <c r="FR10" s="34"/>
      <c r="FS10" s="34"/>
      <c r="FT10" s="34"/>
      <c r="FU10" s="34"/>
      <c r="FV10" s="34"/>
      <c r="FW10" s="34"/>
      <c r="FX10" s="34"/>
      <c r="FY10" s="34"/>
      <c r="FZ10" s="34"/>
      <c r="GA10" s="34"/>
      <c r="GB10" s="34"/>
      <c r="GC10" s="34"/>
      <c r="GD10" s="34"/>
      <c r="GE10" s="34"/>
      <c r="GF10" s="34"/>
      <c r="GG10" s="34"/>
      <c r="GH10" s="34"/>
      <c r="GI10" s="34"/>
      <c r="GJ10" s="34"/>
      <c r="GK10" s="34"/>
      <c r="GL10" s="34"/>
      <c r="GM10" s="34"/>
      <c r="GN10" s="34"/>
      <c r="GO10" s="34"/>
      <c r="GP10" s="34"/>
      <c r="GQ10" s="34"/>
      <c r="GR10" s="34"/>
      <c r="OT10" s="63"/>
    </row>
    <row r="11" spans="1:502" s="38" customFormat="1" ht="15" customHeight="1" x14ac:dyDescent="0.3">
      <c r="A11" s="34" t="s">
        <v>250</v>
      </c>
      <c r="B11" s="34">
        <v>9</v>
      </c>
      <c r="C11" s="34">
        <v>7</v>
      </c>
      <c r="D11" s="34">
        <v>8</v>
      </c>
      <c r="E11" s="34">
        <v>1</v>
      </c>
      <c r="F11" s="34">
        <v>25</v>
      </c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58"/>
      <c r="W11" s="58"/>
      <c r="X11" s="58"/>
      <c r="Y11" s="58"/>
      <c r="Z11" s="58"/>
      <c r="AA11" s="58"/>
      <c r="AB11" s="58"/>
      <c r="AC11" s="58"/>
      <c r="AD11" s="58"/>
      <c r="AE11" s="58"/>
      <c r="AF11" s="58"/>
      <c r="AG11" s="58"/>
      <c r="AH11" s="58"/>
      <c r="AI11" s="34"/>
      <c r="AJ11" s="34"/>
      <c r="AK11" s="34"/>
      <c r="AL11" s="34"/>
      <c r="AM11" s="34"/>
      <c r="AN11" s="34"/>
      <c r="AO11" s="34"/>
      <c r="AP11" s="34"/>
      <c r="AQ11" s="34"/>
      <c r="AR11" s="34"/>
      <c r="AS11" s="34"/>
      <c r="AT11" s="34"/>
      <c r="AU11" s="34"/>
      <c r="AV11" s="34"/>
      <c r="AW11" s="34"/>
      <c r="AX11" s="34"/>
      <c r="AY11" s="34"/>
      <c r="AZ11" s="34"/>
      <c r="BA11" s="34"/>
      <c r="BB11" s="34"/>
      <c r="BC11" s="34"/>
      <c r="BD11" s="34"/>
      <c r="BE11" s="34"/>
      <c r="BF11" s="34"/>
      <c r="BG11" s="34"/>
      <c r="BH11" s="34"/>
      <c r="BI11" s="34"/>
      <c r="BJ11" s="34"/>
      <c r="BK11" s="34"/>
      <c r="BL11" s="34"/>
      <c r="BM11" s="34"/>
      <c r="BN11" s="34"/>
      <c r="BO11" s="34"/>
      <c r="BP11" s="34"/>
      <c r="BQ11" s="34"/>
      <c r="BR11" s="34"/>
      <c r="BS11" s="34"/>
      <c r="BT11" s="34"/>
      <c r="BU11" s="34"/>
      <c r="BV11" s="34"/>
      <c r="BW11" s="34"/>
      <c r="BX11" s="34"/>
      <c r="BY11" s="34"/>
      <c r="BZ11" s="34"/>
      <c r="CA11" s="34"/>
      <c r="CB11" s="34"/>
      <c r="CC11" s="34"/>
      <c r="CD11" s="34"/>
      <c r="CE11" s="34"/>
      <c r="CF11" s="34"/>
      <c r="CG11" s="34"/>
      <c r="CH11" s="34"/>
      <c r="CI11" s="34"/>
      <c r="CJ11" s="34"/>
      <c r="CK11" s="34"/>
      <c r="CL11" s="34"/>
      <c r="CM11" s="34"/>
      <c r="CN11" s="34"/>
      <c r="CO11" s="34"/>
      <c r="CP11" s="34"/>
      <c r="CQ11" s="34"/>
      <c r="CR11" s="34"/>
      <c r="CS11" s="34"/>
      <c r="CT11" s="34"/>
      <c r="CU11" s="34"/>
      <c r="CV11" s="34"/>
      <c r="CW11" s="34"/>
      <c r="CX11" s="34"/>
      <c r="CY11" s="34"/>
      <c r="CZ11" s="34"/>
      <c r="DA11" s="34"/>
      <c r="DB11" s="34"/>
      <c r="DC11" s="34"/>
      <c r="DD11" s="34"/>
      <c r="DE11" s="34"/>
      <c r="DF11" s="34"/>
      <c r="DG11" s="34"/>
      <c r="DH11" s="34"/>
      <c r="DI11" s="34"/>
      <c r="DJ11" s="34"/>
      <c r="DK11" s="34"/>
      <c r="DL11" s="34"/>
      <c r="DM11" s="34"/>
      <c r="DN11" s="34"/>
      <c r="DO11" s="34"/>
      <c r="DP11" s="34"/>
      <c r="DQ11" s="34"/>
      <c r="DR11" s="34"/>
      <c r="DS11" s="34"/>
      <c r="DT11" s="34"/>
      <c r="DU11" s="34"/>
      <c r="DV11" s="34"/>
      <c r="DW11" s="34"/>
      <c r="DX11" s="34"/>
      <c r="DY11" s="34"/>
      <c r="DZ11" s="34"/>
      <c r="EA11" s="34"/>
      <c r="EB11" s="34"/>
      <c r="EC11" s="34"/>
      <c r="ED11" s="34"/>
      <c r="EE11" s="34"/>
      <c r="EF11" s="34"/>
      <c r="EG11" s="34"/>
      <c r="EH11" s="34"/>
      <c r="EI11" s="34"/>
      <c r="EJ11" s="34"/>
      <c r="EK11" s="34"/>
      <c r="EL11" s="34"/>
      <c r="EM11" s="34"/>
      <c r="EN11" s="34"/>
      <c r="EO11" s="34"/>
      <c r="EP11" s="34"/>
      <c r="EQ11" s="34"/>
      <c r="ER11" s="34"/>
      <c r="ES11" s="34"/>
      <c r="ET11" s="34"/>
      <c r="EU11" s="34"/>
      <c r="EV11" s="34"/>
      <c r="EW11" s="34"/>
      <c r="EX11" s="34"/>
      <c r="EY11" s="34"/>
      <c r="EZ11" s="34"/>
      <c r="FA11" s="34"/>
      <c r="FB11" s="34"/>
      <c r="FC11" s="34"/>
      <c r="FD11" s="34"/>
      <c r="FE11" s="34"/>
      <c r="FF11" s="34"/>
      <c r="FG11" s="34"/>
      <c r="FH11" s="34"/>
      <c r="FI11" s="34"/>
      <c r="FJ11" s="34"/>
      <c r="FK11" s="34"/>
      <c r="FL11" s="34"/>
      <c r="FM11" s="34"/>
      <c r="FN11" s="34"/>
      <c r="FO11" s="34"/>
      <c r="FP11" s="34"/>
      <c r="FQ11" s="34"/>
      <c r="FR11" s="34"/>
      <c r="FS11" s="34"/>
      <c r="FT11" s="34"/>
      <c r="FU11" s="34"/>
      <c r="FV11" s="34"/>
      <c r="FW11" s="34"/>
      <c r="FX11" s="34"/>
      <c r="FY11" s="34"/>
      <c r="FZ11" s="34"/>
      <c r="GA11" s="34"/>
      <c r="GB11" s="34"/>
      <c r="GC11" s="34"/>
      <c r="GD11" s="34"/>
      <c r="GE11" s="34"/>
      <c r="GF11" s="34"/>
      <c r="GG11" s="34"/>
      <c r="GH11" s="34"/>
      <c r="GI11" s="34"/>
      <c r="GJ11" s="34"/>
      <c r="GK11" s="34"/>
      <c r="GL11" s="34"/>
      <c r="GM11" s="34"/>
      <c r="GN11" s="34"/>
      <c r="GO11" s="34"/>
      <c r="GP11" s="34"/>
      <c r="GQ11" s="34"/>
      <c r="GR11" s="34"/>
      <c r="OQ11" s="64"/>
      <c r="OT11" s="63"/>
    </row>
    <row r="12" spans="1:502" s="38" customFormat="1" ht="15" customHeight="1" x14ac:dyDescent="0.3">
      <c r="A12" s="34" t="s">
        <v>256</v>
      </c>
      <c r="B12" s="34">
        <v>13</v>
      </c>
      <c r="C12" s="34">
        <v>7</v>
      </c>
      <c r="D12" s="34">
        <v>10</v>
      </c>
      <c r="E12" s="34">
        <v>5</v>
      </c>
      <c r="F12" s="34">
        <v>35</v>
      </c>
      <c r="G12" s="34"/>
      <c r="H12" s="34"/>
      <c r="I12" s="34"/>
      <c r="J12" s="34"/>
      <c r="K12" s="34"/>
      <c r="L12" s="34"/>
      <c r="M12" s="34"/>
      <c r="N12" s="34"/>
      <c r="O12" s="34"/>
      <c r="P12" s="34"/>
      <c r="Q12" s="34"/>
      <c r="R12" s="34"/>
      <c r="S12" s="34"/>
      <c r="T12" s="34"/>
      <c r="U12" s="34"/>
      <c r="V12" s="58"/>
      <c r="W12" s="58"/>
      <c r="X12" s="58"/>
      <c r="Y12" s="58"/>
      <c r="Z12" s="58"/>
      <c r="AA12" s="58"/>
      <c r="AB12" s="58"/>
      <c r="AC12" s="58"/>
      <c r="AD12" s="58"/>
      <c r="AE12" s="58"/>
      <c r="AF12" s="58"/>
      <c r="AG12" s="58"/>
      <c r="AH12" s="58"/>
      <c r="AI12" s="34"/>
      <c r="AJ12" s="34"/>
      <c r="AK12" s="34"/>
      <c r="AL12" s="34"/>
      <c r="AM12" s="34"/>
      <c r="AN12" s="34"/>
      <c r="AO12" s="34"/>
      <c r="AP12" s="34"/>
      <c r="AQ12" s="34"/>
      <c r="AR12" s="34"/>
      <c r="AS12" s="34"/>
      <c r="AT12" s="34"/>
      <c r="AU12" s="34"/>
      <c r="AV12" s="34"/>
      <c r="AW12" s="34"/>
      <c r="AX12" s="34"/>
      <c r="AY12" s="34"/>
      <c r="AZ12" s="34"/>
      <c r="BA12" s="34"/>
      <c r="BB12" s="34"/>
      <c r="BC12" s="34"/>
      <c r="BD12" s="34"/>
      <c r="BE12" s="34"/>
      <c r="BF12" s="34"/>
      <c r="BG12" s="34"/>
      <c r="BH12" s="34"/>
      <c r="BI12" s="34"/>
      <c r="BJ12" s="34"/>
      <c r="BK12" s="34"/>
      <c r="BL12" s="34"/>
      <c r="BM12" s="34"/>
      <c r="BN12" s="34"/>
      <c r="BO12" s="34"/>
      <c r="BP12" s="34"/>
      <c r="BQ12" s="34"/>
      <c r="BR12" s="34"/>
      <c r="BS12" s="34"/>
      <c r="BT12" s="34"/>
      <c r="BU12" s="34"/>
      <c r="BV12" s="34"/>
      <c r="BW12" s="34"/>
      <c r="BX12" s="34"/>
      <c r="BY12" s="34"/>
      <c r="BZ12" s="34"/>
      <c r="CA12" s="34"/>
      <c r="CB12" s="34"/>
      <c r="CC12" s="34"/>
      <c r="CD12" s="34"/>
      <c r="CE12" s="34"/>
      <c r="CF12" s="34"/>
      <c r="CG12" s="34"/>
      <c r="CH12" s="34"/>
      <c r="CI12" s="34"/>
      <c r="CJ12" s="34"/>
      <c r="CK12" s="34"/>
      <c r="CL12" s="34"/>
      <c r="CM12" s="34"/>
      <c r="CN12" s="34"/>
      <c r="CO12" s="34"/>
      <c r="CP12" s="34"/>
      <c r="CQ12" s="34"/>
      <c r="CR12" s="34"/>
      <c r="CS12" s="34"/>
      <c r="CT12" s="34"/>
      <c r="CU12" s="34"/>
      <c r="CV12" s="34"/>
      <c r="CW12" s="34"/>
      <c r="CX12" s="34"/>
      <c r="CY12" s="34"/>
      <c r="CZ12" s="34"/>
      <c r="DA12" s="34"/>
      <c r="DB12" s="34"/>
      <c r="DC12" s="34"/>
      <c r="DD12" s="34"/>
      <c r="DE12" s="34"/>
      <c r="DF12" s="34"/>
      <c r="DG12" s="34"/>
      <c r="DH12" s="34"/>
      <c r="DI12" s="34"/>
      <c r="DJ12" s="34"/>
      <c r="DK12" s="34"/>
      <c r="DL12" s="34"/>
      <c r="DM12" s="34"/>
      <c r="DN12" s="34"/>
      <c r="DO12" s="34"/>
      <c r="DP12" s="34"/>
      <c r="DQ12" s="34"/>
      <c r="DR12" s="34"/>
      <c r="DS12" s="34"/>
      <c r="DT12" s="34"/>
      <c r="DU12" s="34"/>
      <c r="DV12" s="34"/>
      <c r="DW12" s="34"/>
      <c r="DX12" s="34"/>
      <c r="DY12" s="34"/>
      <c r="DZ12" s="34"/>
      <c r="EA12" s="34"/>
      <c r="EB12" s="34"/>
      <c r="EC12" s="34"/>
      <c r="ED12" s="34"/>
      <c r="EE12" s="34"/>
      <c r="EF12" s="34"/>
      <c r="EG12" s="34"/>
      <c r="EH12" s="34"/>
      <c r="EI12" s="34"/>
      <c r="EJ12" s="34"/>
      <c r="EK12" s="34"/>
      <c r="EL12" s="34"/>
      <c r="EM12" s="34"/>
      <c r="EN12" s="34"/>
      <c r="EO12" s="34"/>
      <c r="EP12" s="34"/>
      <c r="EQ12" s="34"/>
      <c r="ER12" s="34"/>
      <c r="ES12" s="34"/>
      <c r="ET12" s="34"/>
      <c r="EU12" s="34"/>
      <c r="EV12" s="34"/>
      <c r="EW12" s="34"/>
      <c r="EX12" s="34"/>
      <c r="EY12" s="34"/>
      <c r="EZ12" s="34"/>
      <c r="FA12" s="34"/>
      <c r="FB12" s="34"/>
      <c r="FC12" s="34"/>
      <c r="FD12" s="34"/>
      <c r="FE12" s="34"/>
      <c r="FF12" s="34"/>
      <c r="FG12" s="34"/>
      <c r="FH12" s="34"/>
      <c r="FI12" s="34"/>
      <c r="FJ12" s="34"/>
      <c r="FK12" s="34"/>
      <c r="FL12" s="34"/>
      <c r="FM12" s="34"/>
      <c r="FN12" s="34"/>
      <c r="FO12" s="34"/>
      <c r="FP12" s="34"/>
      <c r="FQ12" s="34"/>
      <c r="FR12" s="34"/>
      <c r="FS12" s="34"/>
      <c r="FT12" s="34"/>
      <c r="FU12" s="34"/>
      <c r="FV12" s="34"/>
      <c r="FW12" s="34"/>
      <c r="FX12" s="34"/>
      <c r="FY12" s="34"/>
      <c r="FZ12" s="34"/>
      <c r="GA12" s="34"/>
      <c r="GB12" s="34"/>
      <c r="GC12" s="34"/>
      <c r="GD12" s="34"/>
      <c r="GE12" s="34"/>
      <c r="GF12" s="34"/>
      <c r="GG12" s="34"/>
      <c r="GH12" s="34"/>
      <c r="GI12" s="34"/>
      <c r="GJ12" s="34"/>
      <c r="GK12" s="34"/>
      <c r="GL12" s="34"/>
      <c r="GM12" s="34"/>
      <c r="GN12" s="34"/>
      <c r="GO12" s="34"/>
      <c r="GP12" s="34"/>
      <c r="GQ12" s="34"/>
      <c r="GR12" s="34"/>
      <c r="OQ12" s="64"/>
      <c r="OT12" s="63"/>
    </row>
    <row r="13" spans="1:502" s="38" customFormat="1" ht="15" customHeight="1" x14ac:dyDescent="0.3">
      <c r="A13" s="34" t="s">
        <v>246</v>
      </c>
      <c r="B13" s="34">
        <v>12</v>
      </c>
      <c r="C13" s="34">
        <v>14</v>
      </c>
      <c r="D13" s="234">
        <v>14</v>
      </c>
      <c r="E13" s="234">
        <v>6</v>
      </c>
      <c r="F13" s="34">
        <v>46</v>
      </c>
      <c r="G13" s="34"/>
      <c r="H13" s="34"/>
      <c r="I13" s="34"/>
      <c r="J13" s="34"/>
      <c r="K13" s="34"/>
      <c r="L13" s="34"/>
      <c r="M13" s="34"/>
      <c r="N13" s="34"/>
      <c r="O13" s="34"/>
      <c r="P13" s="34"/>
      <c r="Q13" s="34"/>
      <c r="R13" s="34"/>
      <c r="S13" s="34"/>
      <c r="T13" s="34"/>
      <c r="U13" s="136"/>
      <c r="V13" s="58"/>
      <c r="W13" s="58"/>
      <c r="X13" s="58"/>
      <c r="Y13" s="58"/>
      <c r="Z13" s="58"/>
      <c r="AA13" s="58"/>
      <c r="AB13" s="58"/>
      <c r="AC13" s="58"/>
      <c r="AD13" s="58"/>
      <c r="AE13" s="58"/>
      <c r="AF13" s="58"/>
      <c r="AG13" s="58"/>
      <c r="AH13" s="58"/>
      <c r="AI13" s="34"/>
      <c r="AJ13" s="34"/>
      <c r="AK13" s="34"/>
      <c r="AL13" s="34"/>
      <c r="AM13" s="34"/>
      <c r="AN13" s="34"/>
      <c r="AO13" s="34"/>
      <c r="AP13" s="34"/>
      <c r="AQ13" s="34"/>
      <c r="AR13" s="34"/>
      <c r="AS13" s="34"/>
      <c r="AT13" s="34"/>
      <c r="AU13" s="34"/>
      <c r="AV13" s="34"/>
      <c r="AW13" s="34"/>
      <c r="AX13" s="34"/>
      <c r="AY13" s="34"/>
      <c r="AZ13" s="34"/>
      <c r="BA13" s="34"/>
      <c r="BB13" s="34"/>
      <c r="BC13" s="34"/>
      <c r="BD13" s="34"/>
      <c r="BE13" s="34"/>
      <c r="BF13" s="34"/>
      <c r="BG13" s="34"/>
      <c r="BH13" s="34"/>
      <c r="BI13" s="34"/>
      <c r="BJ13" s="34"/>
      <c r="BK13" s="34"/>
      <c r="BL13" s="34"/>
      <c r="BM13" s="34"/>
      <c r="BN13" s="34"/>
      <c r="BO13" s="34"/>
      <c r="BP13" s="34"/>
      <c r="BQ13" s="34"/>
      <c r="BR13" s="34"/>
      <c r="BS13" s="34"/>
      <c r="BT13" s="34"/>
      <c r="BU13" s="34"/>
      <c r="BV13" s="34"/>
      <c r="BW13" s="34"/>
      <c r="BX13" s="34"/>
      <c r="BY13" s="34"/>
      <c r="BZ13" s="34"/>
      <c r="CA13" s="34"/>
      <c r="CB13" s="34"/>
      <c r="CC13" s="34"/>
      <c r="CD13" s="34"/>
      <c r="CE13" s="34"/>
      <c r="CF13" s="34"/>
      <c r="CG13" s="34"/>
      <c r="CH13" s="34"/>
      <c r="CI13" s="34"/>
      <c r="CJ13" s="34"/>
      <c r="CK13" s="34"/>
      <c r="CL13" s="34"/>
      <c r="CM13" s="34"/>
      <c r="CN13" s="34"/>
      <c r="CO13" s="34"/>
      <c r="CP13" s="34"/>
      <c r="CQ13" s="34"/>
      <c r="CR13" s="34"/>
      <c r="CS13" s="34"/>
      <c r="CT13" s="34"/>
      <c r="CU13" s="34"/>
      <c r="CV13" s="34"/>
      <c r="CW13" s="34"/>
      <c r="CX13" s="34"/>
      <c r="CY13" s="34"/>
      <c r="CZ13" s="34"/>
      <c r="DA13" s="34"/>
      <c r="DB13" s="34"/>
      <c r="DC13" s="34"/>
      <c r="DD13" s="34"/>
      <c r="DE13" s="34"/>
      <c r="DF13" s="34"/>
      <c r="DG13" s="34"/>
      <c r="DH13" s="34"/>
      <c r="DI13" s="34"/>
      <c r="DJ13" s="34"/>
      <c r="DK13" s="34"/>
      <c r="DL13" s="34"/>
      <c r="DM13" s="34"/>
      <c r="DN13" s="34"/>
      <c r="DO13" s="34"/>
      <c r="DP13" s="34"/>
      <c r="DQ13" s="34"/>
      <c r="DR13" s="34"/>
      <c r="DS13" s="34"/>
      <c r="DT13" s="34"/>
      <c r="DU13" s="34"/>
      <c r="DV13" s="34"/>
      <c r="DW13" s="34"/>
      <c r="DX13" s="34"/>
      <c r="DY13" s="34"/>
      <c r="DZ13" s="34"/>
      <c r="EA13" s="34"/>
      <c r="EB13" s="34"/>
      <c r="EC13" s="34"/>
      <c r="ED13" s="34"/>
      <c r="EE13" s="34"/>
      <c r="EF13" s="34"/>
      <c r="EG13" s="34"/>
      <c r="EH13" s="34"/>
      <c r="EI13" s="34"/>
      <c r="EJ13" s="34"/>
      <c r="EK13" s="34"/>
      <c r="EL13" s="34"/>
      <c r="EM13" s="34"/>
      <c r="EN13" s="34"/>
      <c r="EO13" s="34"/>
      <c r="EP13" s="34"/>
      <c r="EQ13" s="34"/>
      <c r="ER13" s="34"/>
      <c r="ES13" s="34"/>
      <c r="ET13" s="34"/>
      <c r="EU13" s="34"/>
      <c r="EV13" s="34"/>
      <c r="EW13" s="34"/>
      <c r="EX13" s="34"/>
      <c r="EY13" s="34"/>
      <c r="EZ13" s="34"/>
      <c r="FA13" s="34"/>
      <c r="FB13" s="34"/>
      <c r="FC13" s="34"/>
      <c r="FD13" s="34"/>
      <c r="FE13" s="34"/>
      <c r="FF13" s="34"/>
      <c r="FG13" s="34"/>
      <c r="FH13" s="34"/>
      <c r="FI13" s="34"/>
      <c r="FJ13" s="34"/>
      <c r="FK13" s="34"/>
      <c r="FL13" s="34"/>
      <c r="FM13" s="34"/>
      <c r="FN13" s="34"/>
      <c r="FO13" s="34"/>
      <c r="FP13" s="34"/>
      <c r="FQ13" s="34"/>
      <c r="FR13" s="34"/>
      <c r="FS13" s="34"/>
      <c r="FT13" s="34"/>
      <c r="FU13" s="34"/>
      <c r="FV13" s="34"/>
      <c r="FW13" s="34"/>
      <c r="FX13" s="34"/>
      <c r="FY13" s="34"/>
      <c r="FZ13" s="34"/>
      <c r="GA13" s="34"/>
      <c r="GB13" s="34"/>
      <c r="GC13" s="34"/>
      <c r="GD13" s="34"/>
      <c r="GE13" s="34"/>
      <c r="GF13" s="34"/>
      <c r="GG13" s="34"/>
      <c r="GH13" s="34"/>
      <c r="GI13" s="34"/>
      <c r="GJ13" s="34"/>
      <c r="GK13" s="34"/>
      <c r="GL13" s="34"/>
      <c r="GM13" s="34"/>
      <c r="GN13" s="34"/>
      <c r="GO13" s="34"/>
      <c r="GP13" s="34"/>
      <c r="GQ13" s="34"/>
      <c r="GR13" s="34"/>
      <c r="OT13" s="63"/>
    </row>
    <row r="14" spans="1:502" s="38" customFormat="1" ht="15" customHeight="1" x14ac:dyDescent="0.3">
      <c r="A14" s="34" t="s">
        <v>257</v>
      </c>
      <c r="B14" s="34">
        <v>1</v>
      </c>
      <c r="C14" s="34">
        <v>3</v>
      </c>
      <c r="D14" s="34">
        <v>8</v>
      </c>
      <c r="E14" s="34">
        <v>5</v>
      </c>
      <c r="F14" s="34">
        <v>17</v>
      </c>
      <c r="G14" s="34"/>
      <c r="H14" s="34"/>
      <c r="I14" s="34"/>
      <c r="J14" s="34"/>
      <c r="K14" s="34"/>
      <c r="L14" s="34"/>
      <c r="M14" s="34"/>
      <c r="N14" s="34"/>
      <c r="O14" s="34"/>
      <c r="P14" s="34"/>
      <c r="Q14" s="34"/>
      <c r="R14" s="34"/>
      <c r="S14" s="34"/>
      <c r="T14" s="34"/>
      <c r="U14" s="148"/>
      <c r="V14" s="58"/>
      <c r="W14" s="58"/>
      <c r="X14" s="58"/>
      <c r="Y14" s="58"/>
      <c r="Z14" s="58"/>
      <c r="AA14" s="58"/>
      <c r="AB14" s="58"/>
      <c r="AC14" s="58"/>
      <c r="AD14" s="58"/>
      <c r="AE14" s="58"/>
      <c r="AF14" s="58"/>
      <c r="AG14" s="58"/>
      <c r="AH14" s="58"/>
      <c r="AI14" s="34"/>
      <c r="AJ14" s="34"/>
      <c r="AK14" s="34"/>
      <c r="AL14" s="34"/>
      <c r="AM14" s="34"/>
      <c r="AN14" s="34"/>
      <c r="AO14" s="34"/>
      <c r="AP14" s="34"/>
      <c r="AQ14" s="34"/>
      <c r="AR14" s="34"/>
      <c r="AS14" s="34"/>
      <c r="AT14" s="34"/>
      <c r="AU14" s="34"/>
      <c r="AV14" s="34"/>
      <c r="AW14" s="34"/>
      <c r="AX14" s="34"/>
      <c r="AY14" s="34"/>
      <c r="AZ14" s="34"/>
      <c r="BA14" s="34"/>
      <c r="BB14" s="34"/>
      <c r="BC14" s="34"/>
      <c r="BD14" s="34"/>
      <c r="BE14" s="34"/>
      <c r="BF14" s="34"/>
      <c r="BG14" s="34"/>
      <c r="BH14" s="34"/>
      <c r="BI14" s="34"/>
      <c r="BJ14" s="34"/>
      <c r="BK14" s="34"/>
      <c r="BL14" s="34"/>
      <c r="BM14" s="34"/>
      <c r="BN14" s="34"/>
      <c r="BO14" s="34"/>
      <c r="BP14" s="34"/>
      <c r="BQ14" s="34"/>
      <c r="BR14" s="34"/>
      <c r="BS14" s="34"/>
      <c r="BT14" s="34"/>
      <c r="BU14" s="34"/>
      <c r="BV14" s="34"/>
      <c r="BW14" s="34"/>
      <c r="BX14" s="34"/>
      <c r="BY14" s="34"/>
      <c r="BZ14" s="34"/>
      <c r="CA14" s="34"/>
      <c r="CB14" s="34"/>
      <c r="CC14" s="34"/>
      <c r="CD14" s="34"/>
      <c r="CE14" s="34"/>
      <c r="CF14" s="34"/>
      <c r="CG14" s="34"/>
      <c r="CH14" s="34"/>
      <c r="CI14" s="34"/>
      <c r="CJ14" s="34"/>
      <c r="CK14" s="34"/>
      <c r="CL14" s="34"/>
      <c r="CM14" s="34"/>
      <c r="CN14" s="34"/>
      <c r="CO14" s="34"/>
      <c r="CP14" s="34"/>
      <c r="CQ14" s="34"/>
      <c r="CR14" s="34"/>
      <c r="CS14" s="34"/>
      <c r="CT14" s="34"/>
      <c r="CU14" s="34"/>
      <c r="CV14" s="34"/>
      <c r="CW14" s="34"/>
      <c r="CX14" s="34"/>
      <c r="CY14" s="34"/>
      <c r="CZ14" s="34"/>
      <c r="DA14" s="34"/>
      <c r="DB14" s="34"/>
      <c r="DC14" s="34"/>
      <c r="DD14" s="34"/>
      <c r="DE14" s="34"/>
      <c r="DF14" s="34"/>
      <c r="DG14" s="34"/>
      <c r="DH14" s="34"/>
      <c r="DI14" s="34"/>
      <c r="DJ14" s="34"/>
      <c r="DK14" s="34"/>
      <c r="DL14" s="34"/>
      <c r="DM14" s="34"/>
      <c r="DN14" s="34"/>
      <c r="DO14" s="34"/>
      <c r="DP14" s="34"/>
      <c r="DQ14" s="34"/>
      <c r="DR14" s="34"/>
      <c r="DS14" s="34"/>
      <c r="DT14" s="34"/>
      <c r="DU14" s="34"/>
      <c r="DV14" s="34"/>
      <c r="DW14" s="34"/>
      <c r="DX14" s="34"/>
      <c r="DY14" s="34"/>
      <c r="DZ14" s="34"/>
      <c r="EA14" s="34"/>
      <c r="EB14" s="34"/>
      <c r="EC14" s="34"/>
      <c r="ED14" s="34"/>
      <c r="EE14" s="34"/>
      <c r="EF14" s="34"/>
      <c r="EG14" s="34"/>
      <c r="EH14" s="34"/>
      <c r="EI14" s="34"/>
      <c r="EJ14" s="34"/>
      <c r="EK14" s="34"/>
      <c r="EL14" s="34"/>
      <c r="EM14" s="34"/>
      <c r="EN14" s="34"/>
      <c r="EO14" s="34"/>
      <c r="EP14" s="34"/>
      <c r="EQ14" s="34"/>
      <c r="ER14" s="34"/>
      <c r="ES14" s="34"/>
      <c r="ET14" s="34"/>
      <c r="EU14" s="34"/>
      <c r="EV14" s="34"/>
      <c r="EW14" s="34"/>
      <c r="EX14" s="34"/>
      <c r="EY14" s="34"/>
      <c r="EZ14" s="34"/>
      <c r="FA14" s="34"/>
      <c r="FB14" s="34"/>
      <c r="FC14" s="34"/>
      <c r="FD14" s="34"/>
      <c r="FE14" s="34"/>
      <c r="FF14" s="34"/>
      <c r="FG14" s="34"/>
      <c r="FH14" s="34"/>
      <c r="FI14" s="34"/>
      <c r="FJ14" s="34"/>
      <c r="FK14" s="34"/>
      <c r="FL14" s="34"/>
      <c r="FM14" s="34"/>
      <c r="FN14" s="34"/>
      <c r="FO14" s="34"/>
      <c r="FP14" s="34"/>
      <c r="FQ14" s="34"/>
      <c r="FR14" s="34"/>
      <c r="FS14" s="34"/>
      <c r="FT14" s="34"/>
      <c r="FU14" s="34"/>
      <c r="FV14" s="34"/>
      <c r="FW14" s="34"/>
      <c r="FX14" s="34"/>
      <c r="FY14" s="34"/>
      <c r="FZ14" s="34"/>
      <c r="GA14" s="34"/>
      <c r="GB14" s="34"/>
      <c r="GC14" s="34"/>
      <c r="GD14" s="34"/>
      <c r="GE14" s="34"/>
      <c r="GF14" s="34"/>
      <c r="GG14" s="34"/>
      <c r="GH14" s="34"/>
      <c r="GI14" s="34"/>
      <c r="GJ14" s="34"/>
      <c r="GK14" s="34"/>
      <c r="GL14" s="34"/>
      <c r="GM14" s="34"/>
      <c r="GN14" s="34"/>
      <c r="GO14" s="34"/>
      <c r="GP14" s="34"/>
      <c r="GQ14" s="34"/>
      <c r="GR14" s="34"/>
      <c r="OT14" s="63"/>
    </row>
    <row r="15" spans="1:502" s="38" customFormat="1" ht="15" customHeight="1" x14ac:dyDescent="0.3">
      <c r="A15" s="34" t="s">
        <v>262</v>
      </c>
      <c r="B15" s="234">
        <v>5</v>
      </c>
      <c r="C15" s="234">
        <v>4</v>
      </c>
      <c r="D15" s="234">
        <v>5</v>
      </c>
      <c r="E15" s="234">
        <v>2</v>
      </c>
      <c r="F15" s="234">
        <v>16</v>
      </c>
      <c r="G15" s="34"/>
      <c r="H15" s="34"/>
      <c r="I15" s="34"/>
      <c r="J15" s="34"/>
      <c r="K15" s="34"/>
      <c r="L15" s="34"/>
      <c r="M15" s="34"/>
      <c r="N15" s="34"/>
      <c r="O15" s="34"/>
      <c r="P15" s="34"/>
      <c r="Q15" s="34"/>
      <c r="R15" s="34"/>
      <c r="S15" s="34"/>
      <c r="T15" s="34"/>
      <c r="U15" s="34"/>
      <c r="V15" s="58"/>
      <c r="W15" s="58"/>
      <c r="X15" s="58"/>
      <c r="Y15" s="58"/>
      <c r="Z15" s="58"/>
      <c r="AA15" s="58"/>
      <c r="AB15" s="58"/>
      <c r="AC15" s="58"/>
      <c r="AD15" s="58"/>
      <c r="AE15" s="58"/>
      <c r="AF15" s="58"/>
      <c r="AG15" s="58"/>
      <c r="AH15" s="58"/>
      <c r="AI15" s="34"/>
      <c r="AJ15" s="34"/>
      <c r="AK15" s="34"/>
      <c r="AL15" s="34"/>
      <c r="AM15" s="34"/>
      <c r="AN15" s="34"/>
      <c r="AO15" s="34"/>
      <c r="AP15" s="34"/>
      <c r="AQ15" s="34"/>
      <c r="AR15" s="34"/>
      <c r="AS15" s="34"/>
      <c r="AT15" s="34"/>
      <c r="AU15" s="34"/>
      <c r="AV15" s="34"/>
      <c r="AW15" s="34"/>
      <c r="AX15" s="34"/>
      <c r="AY15" s="34"/>
      <c r="AZ15" s="34"/>
      <c r="BA15" s="34"/>
      <c r="BB15" s="34"/>
      <c r="BC15" s="34"/>
      <c r="BD15" s="34"/>
      <c r="BE15" s="34"/>
      <c r="BF15" s="34"/>
      <c r="BG15" s="34"/>
      <c r="BH15" s="34"/>
      <c r="BI15" s="34"/>
      <c r="BJ15" s="34"/>
      <c r="BK15" s="34"/>
      <c r="BL15" s="34"/>
      <c r="BM15" s="34"/>
      <c r="BN15" s="34"/>
      <c r="BO15" s="34"/>
      <c r="BP15" s="34"/>
      <c r="BQ15" s="34"/>
      <c r="BR15" s="34"/>
      <c r="BS15" s="34"/>
      <c r="BT15" s="34"/>
      <c r="BU15" s="34"/>
      <c r="BV15" s="34"/>
      <c r="BW15" s="34"/>
      <c r="BX15" s="34"/>
      <c r="BY15" s="34"/>
      <c r="BZ15" s="34"/>
      <c r="CA15" s="34"/>
      <c r="CB15" s="34"/>
      <c r="CC15" s="34"/>
      <c r="CD15" s="34"/>
      <c r="CE15" s="34"/>
      <c r="CF15" s="34"/>
      <c r="CG15" s="34"/>
      <c r="CH15" s="34"/>
      <c r="CI15" s="34"/>
      <c r="CJ15" s="34"/>
      <c r="CK15" s="34"/>
      <c r="CL15" s="34"/>
      <c r="CM15" s="34"/>
      <c r="CN15" s="34"/>
      <c r="CO15" s="34"/>
      <c r="CP15" s="34"/>
      <c r="CQ15" s="34"/>
      <c r="CR15" s="34"/>
      <c r="CS15" s="34"/>
      <c r="CT15" s="34"/>
      <c r="CU15" s="34"/>
      <c r="CV15" s="34"/>
      <c r="CW15" s="34"/>
      <c r="CX15" s="34"/>
      <c r="CY15" s="34"/>
      <c r="CZ15" s="34"/>
      <c r="DA15" s="34"/>
      <c r="DB15" s="34"/>
      <c r="DC15" s="34"/>
      <c r="DD15" s="34"/>
      <c r="DE15" s="34"/>
      <c r="DF15" s="34"/>
      <c r="DG15" s="34"/>
      <c r="DH15" s="34"/>
      <c r="DI15" s="34"/>
      <c r="DJ15" s="34"/>
      <c r="DK15" s="34"/>
      <c r="DL15" s="34"/>
      <c r="DM15" s="34"/>
      <c r="DN15" s="34"/>
      <c r="DO15" s="34"/>
      <c r="DP15" s="34"/>
      <c r="DQ15" s="34"/>
      <c r="DR15" s="34"/>
      <c r="DS15" s="34"/>
      <c r="DT15" s="34"/>
      <c r="DU15" s="34"/>
      <c r="DV15" s="34"/>
      <c r="DW15" s="34"/>
      <c r="DX15" s="34"/>
      <c r="DY15" s="34"/>
      <c r="DZ15" s="34"/>
      <c r="EA15" s="34"/>
      <c r="EB15" s="34"/>
      <c r="EC15" s="34"/>
      <c r="ED15" s="34"/>
      <c r="EE15" s="34"/>
      <c r="EF15" s="34"/>
      <c r="EG15" s="34"/>
      <c r="EH15" s="34"/>
      <c r="EI15" s="34"/>
      <c r="EJ15" s="34"/>
      <c r="EK15" s="34"/>
      <c r="EL15" s="34"/>
      <c r="EM15" s="34"/>
      <c r="EN15" s="34"/>
      <c r="EO15" s="34"/>
      <c r="EP15" s="34"/>
      <c r="EQ15" s="34"/>
      <c r="ER15" s="34"/>
      <c r="ES15" s="34"/>
      <c r="ET15" s="34"/>
      <c r="EU15" s="34"/>
      <c r="EV15" s="34"/>
      <c r="EW15" s="34"/>
      <c r="EX15" s="34"/>
      <c r="EY15" s="34"/>
      <c r="EZ15" s="34"/>
      <c r="FA15" s="34"/>
      <c r="FB15" s="34"/>
      <c r="FC15" s="34"/>
      <c r="FD15" s="34"/>
      <c r="FE15" s="34"/>
      <c r="FF15" s="34"/>
      <c r="FG15" s="34"/>
      <c r="FH15" s="34"/>
      <c r="FI15" s="34"/>
      <c r="FJ15" s="34"/>
      <c r="FK15" s="34"/>
      <c r="FL15" s="34"/>
      <c r="FM15" s="34"/>
      <c r="FN15" s="34"/>
      <c r="FO15" s="34"/>
      <c r="FP15" s="34"/>
      <c r="FQ15" s="34"/>
      <c r="FR15" s="34"/>
      <c r="FS15" s="34"/>
      <c r="FT15" s="34"/>
      <c r="FU15" s="34"/>
      <c r="FV15" s="34"/>
      <c r="FW15" s="34"/>
      <c r="FX15" s="34"/>
      <c r="FY15" s="34"/>
      <c r="FZ15" s="34"/>
      <c r="GA15" s="34"/>
      <c r="GB15" s="34"/>
      <c r="GC15" s="34"/>
      <c r="GD15" s="34"/>
      <c r="GE15" s="34"/>
      <c r="GF15" s="34"/>
      <c r="GG15" s="34"/>
      <c r="GH15" s="34"/>
      <c r="GI15" s="34"/>
      <c r="GJ15" s="34"/>
      <c r="GK15" s="34"/>
      <c r="GL15" s="34"/>
      <c r="GM15" s="34"/>
      <c r="GN15" s="34"/>
      <c r="GO15" s="34"/>
      <c r="GP15" s="34"/>
      <c r="GQ15" s="34"/>
      <c r="GR15" s="34"/>
    </row>
    <row r="16" spans="1:502" s="38" customFormat="1" ht="15" customHeight="1" x14ac:dyDescent="0.3">
      <c r="A16" s="34" t="s">
        <v>245</v>
      </c>
      <c r="B16" s="34">
        <v>5</v>
      </c>
      <c r="C16" s="34">
        <v>5</v>
      </c>
      <c r="D16" s="34">
        <v>8</v>
      </c>
      <c r="E16" s="34">
        <v>7</v>
      </c>
      <c r="F16" s="34">
        <v>25</v>
      </c>
      <c r="G16" s="34"/>
      <c r="H16" s="34"/>
      <c r="I16" s="34"/>
      <c r="J16" s="34"/>
      <c r="K16" s="34"/>
      <c r="L16" s="34"/>
      <c r="M16" s="34"/>
      <c r="N16" s="34"/>
      <c r="O16" s="34"/>
      <c r="P16" s="34"/>
      <c r="Q16" s="34"/>
      <c r="R16" s="34"/>
      <c r="S16" s="34"/>
      <c r="T16" s="34"/>
      <c r="U16" s="34"/>
      <c r="V16" s="58"/>
      <c r="W16" s="58"/>
      <c r="X16" s="58"/>
      <c r="Y16" s="58"/>
      <c r="Z16" s="58"/>
      <c r="AA16" s="58"/>
      <c r="AB16" s="58"/>
      <c r="AC16" s="58"/>
      <c r="AD16" s="58"/>
      <c r="AE16" s="58"/>
      <c r="AF16" s="58"/>
      <c r="AG16" s="58"/>
      <c r="AH16" s="58"/>
      <c r="AI16" s="34"/>
      <c r="AJ16" s="34"/>
      <c r="AK16" s="34"/>
      <c r="AL16" s="34"/>
      <c r="AM16" s="34"/>
      <c r="AN16" s="34"/>
      <c r="AO16" s="34"/>
      <c r="AP16" s="34"/>
      <c r="AQ16" s="34"/>
      <c r="AR16" s="34"/>
      <c r="AS16" s="34"/>
      <c r="AT16" s="34"/>
      <c r="AU16" s="34"/>
      <c r="AV16" s="34"/>
      <c r="AW16" s="34"/>
      <c r="AX16" s="34"/>
      <c r="AY16" s="34"/>
      <c r="AZ16" s="34"/>
      <c r="BA16" s="34"/>
      <c r="BB16" s="34"/>
      <c r="BC16" s="34"/>
      <c r="BD16" s="34"/>
      <c r="BE16" s="34"/>
      <c r="BF16" s="34"/>
      <c r="BG16" s="34"/>
      <c r="BH16" s="34"/>
      <c r="BI16" s="34"/>
      <c r="BJ16" s="34"/>
      <c r="BK16" s="34"/>
      <c r="BL16" s="34"/>
      <c r="BM16" s="34"/>
      <c r="BN16" s="34"/>
      <c r="BO16" s="34"/>
      <c r="BP16" s="34"/>
      <c r="BQ16" s="34"/>
      <c r="BR16" s="34"/>
      <c r="BS16" s="34"/>
      <c r="BT16" s="34"/>
      <c r="BU16" s="34"/>
      <c r="BV16" s="34"/>
      <c r="BW16" s="34"/>
      <c r="BX16" s="34"/>
      <c r="BY16" s="34"/>
      <c r="BZ16" s="34"/>
      <c r="CA16" s="34"/>
      <c r="CB16" s="34"/>
      <c r="CC16" s="34"/>
      <c r="CD16" s="34"/>
      <c r="CE16" s="34"/>
      <c r="CF16" s="34"/>
      <c r="CG16" s="34"/>
      <c r="CH16" s="34"/>
      <c r="CI16" s="34"/>
      <c r="CJ16" s="34"/>
      <c r="CK16" s="34"/>
      <c r="CL16" s="34"/>
      <c r="CM16" s="34"/>
      <c r="CN16" s="34"/>
      <c r="CO16" s="34"/>
      <c r="CP16" s="34"/>
      <c r="CQ16" s="34"/>
      <c r="CR16" s="34"/>
      <c r="CS16" s="34"/>
      <c r="CT16" s="34"/>
      <c r="CU16" s="34"/>
      <c r="CV16" s="34"/>
      <c r="CW16" s="34"/>
      <c r="CX16" s="34"/>
      <c r="CY16" s="34"/>
      <c r="CZ16" s="34"/>
      <c r="DA16" s="34"/>
      <c r="DB16" s="34"/>
      <c r="DC16" s="34"/>
      <c r="DD16" s="34"/>
      <c r="DE16" s="34"/>
      <c r="DF16" s="34"/>
      <c r="DG16" s="34"/>
      <c r="DH16" s="34"/>
      <c r="DI16" s="34"/>
      <c r="DJ16" s="34"/>
      <c r="DK16" s="34"/>
      <c r="DL16" s="34"/>
      <c r="DM16" s="34"/>
      <c r="DN16" s="34"/>
      <c r="DO16" s="34"/>
      <c r="DP16" s="34"/>
      <c r="DQ16" s="34"/>
      <c r="DR16" s="34"/>
      <c r="DS16" s="34"/>
      <c r="DT16" s="34"/>
      <c r="DU16" s="34"/>
      <c r="DV16" s="34"/>
      <c r="DW16" s="34"/>
      <c r="DX16" s="34"/>
      <c r="DY16" s="34"/>
      <c r="DZ16" s="34"/>
      <c r="EA16" s="34"/>
      <c r="EB16" s="34"/>
      <c r="EC16" s="34"/>
      <c r="ED16" s="34"/>
      <c r="EE16" s="34"/>
      <c r="EF16" s="34"/>
      <c r="EG16" s="34"/>
      <c r="EH16" s="34"/>
      <c r="EI16" s="34"/>
      <c r="EJ16" s="34"/>
      <c r="EK16" s="34"/>
      <c r="EL16" s="34"/>
      <c r="EM16" s="34"/>
      <c r="EN16" s="34"/>
      <c r="EO16" s="34"/>
      <c r="EP16" s="34"/>
      <c r="EQ16" s="34"/>
      <c r="ER16" s="34"/>
      <c r="ES16" s="34"/>
      <c r="ET16" s="34"/>
      <c r="EU16" s="34"/>
      <c r="EV16" s="34"/>
      <c r="EW16" s="34"/>
      <c r="EX16" s="34"/>
      <c r="EY16" s="34"/>
      <c r="EZ16" s="34"/>
      <c r="FA16" s="34"/>
      <c r="FB16" s="34"/>
      <c r="FC16" s="34"/>
      <c r="FD16" s="34"/>
      <c r="FE16" s="34"/>
      <c r="FF16" s="34"/>
      <c r="FG16" s="34"/>
      <c r="FH16" s="34"/>
      <c r="FI16" s="34"/>
      <c r="FJ16" s="34"/>
      <c r="FK16" s="34"/>
      <c r="FL16" s="34"/>
      <c r="FM16" s="34"/>
      <c r="FN16" s="34"/>
      <c r="FO16" s="34"/>
      <c r="FP16" s="34"/>
      <c r="FQ16" s="34"/>
      <c r="FR16" s="34"/>
      <c r="FS16" s="34"/>
      <c r="FT16" s="34"/>
      <c r="FU16" s="34"/>
      <c r="FV16" s="34"/>
      <c r="FW16" s="34"/>
      <c r="FX16" s="34"/>
      <c r="FY16" s="34"/>
      <c r="FZ16" s="34"/>
      <c r="GA16" s="34"/>
      <c r="GB16" s="34"/>
      <c r="GC16" s="34"/>
      <c r="GD16" s="34"/>
      <c r="GE16" s="34"/>
      <c r="GF16" s="34"/>
      <c r="GG16" s="34"/>
      <c r="GH16" s="34"/>
      <c r="GI16" s="34"/>
      <c r="GJ16" s="34"/>
      <c r="GK16" s="34"/>
      <c r="GL16" s="34"/>
      <c r="GM16" s="34"/>
      <c r="GN16" s="34"/>
      <c r="GO16" s="34"/>
      <c r="GP16" s="34"/>
      <c r="GQ16" s="34"/>
      <c r="GR16" s="34"/>
    </row>
    <row r="17" spans="1:200" s="38" customFormat="1" ht="15" customHeight="1" x14ac:dyDescent="0.3">
      <c r="A17" s="34" t="s">
        <v>248</v>
      </c>
      <c r="B17" s="34">
        <v>13</v>
      </c>
      <c r="C17" s="34">
        <v>8</v>
      </c>
      <c r="D17" s="34">
        <v>10</v>
      </c>
      <c r="E17" s="34">
        <v>8</v>
      </c>
      <c r="F17" s="34">
        <v>39</v>
      </c>
      <c r="G17" s="34"/>
      <c r="H17" s="34"/>
      <c r="I17" s="34"/>
      <c r="J17" s="34"/>
      <c r="K17" s="34"/>
      <c r="L17" s="34"/>
      <c r="M17" s="34"/>
      <c r="N17" s="34"/>
      <c r="O17" s="34"/>
      <c r="P17" s="34"/>
      <c r="Q17" s="34"/>
      <c r="R17" s="34"/>
      <c r="S17" s="34"/>
      <c r="T17" s="34"/>
      <c r="U17" s="34"/>
      <c r="V17" s="58"/>
      <c r="W17" s="58"/>
      <c r="X17" s="58"/>
      <c r="Y17" s="58"/>
      <c r="Z17" s="58"/>
      <c r="AA17" s="58"/>
      <c r="AB17" s="58"/>
      <c r="AC17" s="58"/>
      <c r="AD17" s="58"/>
      <c r="AE17" s="58"/>
      <c r="AF17" s="58"/>
      <c r="AG17" s="58"/>
      <c r="AH17" s="58"/>
      <c r="AI17" s="34"/>
      <c r="AJ17" s="34"/>
      <c r="AK17" s="34"/>
      <c r="AL17" s="34"/>
      <c r="AM17" s="34"/>
      <c r="AN17" s="34"/>
      <c r="AO17" s="34"/>
      <c r="AP17" s="34"/>
      <c r="AQ17" s="34"/>
      <c r="AR17" s="34"/>
      <c r="AS17" s="34"/>
      <c r="AT17" s="34"/>
      <c r="AU17" s="34"/>
      <c r="AV17" s="34"/>
      <c r="AW17" s="34"/>
      <c r="AX17" s="34"/>
      <c r="AY17" s="34"/>
      <c r="AZ17" s="34"/>
      <c r="BA17" s="34"/>
      <c r="BB17" s="34"/>
      <c r="BC17" s="34"/>
      <c r="BD17" s="34"/>
      <c r="BE17" s="34"/>
      <c r="BF17" s="34"/>
      <c r="BG17" s="34"/>
      <c r="BH17" s="34"/>
      <c r="BI17" s="34"/>
      <c r="BJ17" s="34"/>
      <c r="BK17" s="34"/>
      <c r="BL17" s="34"/>
      <c r="BM17" s="34"/>
      <c r="BN17" s="34"/>
      <c r="BO17" s="34"/>
      <c r="BP17" s="34"/>
      <c r="BQ17" s="34"/>
      <c r="BR17" s="34"/>
      <c r="BS17" s="34"/>
      <c r="BT17" s="34"/>
      <c r="BU17" s="34"/>
      <c r="BV17" s="34"/>
      <c r="BW17" s="34"/>
      <c r="BX17" s="34"/>
      <c r="BY17" s="34"/>
      <c r="BZ17" s="34"/>
      <c r="CA17" s="34"/>
      <c r="CB17" s="34"/>
      <c r="CC17" s="34"/>
      <c r="CD17" s="34"/>
      <c r="CE17" s="34"/>
      <c r="CF17" s="34"/>
      <c r="CG17" s="34"/>
      <c r="CH17" s="34"/>
      <c r="CI17" s="34"/>
      <c r="CJ17" s="34"/>
      <c r="CK17" s="34"/>
      <c r="CL17" s="34"/>
      <c r="CM17" s="34"/>
      <c r="CN17" s="34"/>
      <c r="CO17" s="34"/>
      <c r="CP17" s="34"/>
      <c r="CQ17" s="34"/>
      <c r="CR17" s="34"/>
      <c r="CS17" s="34"/>
      <c r="CT17" s="34"/>
      <c r="CU17" s="34"/>
      <c r="CV17" s="34"/>
      <c r="CW17" s="34"/>
      <c r="CX17" s="34"/>
      <c r="CY17" s="34"/>
      <c r="CZ17" s="34"/>
      <c r="DA17" s="34"/>
      <c r="DB17" s="34"/>
      <c r="DC17" s="34"/>
      <c r="DD17" s="34"/>
      <c r="DE17" s="34"/>
      <c r="DF17" s="34"/>
      <c r="DG17" s="34"/>
      <c r="DH17" s="34"/>
      <c r="DI17" s="34"/>
      <c r="DJ17" s="34"/>
      <c r="DK17" s="34"/>
      <c r="DL17" s="34"/>
      <c r="DM17" s="34"/>
      <c r="DN17" s="34"/>
      <c r="DO17" s="34"/>
      <c r="DP17" s="34"/>
      <c r="DQ17" s="34"/>
      <c r="DR17" s="34"/>
      <c r="DS17" s="34"/>
      <c r="DT17" s="34"/>
      <c r="DU17" s="34"/>
      <c r="DV17" s="34"/>
      <c r="DW17" s="34"/>
      <c r="DX17" s="34"/>
      <c r="DY17" s="34"/>
      <c r="DZ17" s="34"/>
      <c r="EA17" s="34"/>
      <c r="EB17" s="34"/>
      <c r="EC17" s="34"/>
      <c r="ED17" s="34"/>
      <c r="EE17" s="34"/>
      <c r="EF17" s="34"/>
      <c r="EG17" s="34"/>
      <c r="EH17" s="34"/>
      <c r="EI17" s="34"/>
      <c r="EJ17" s="34"/>
      <c r="EK17" s="34"/>
      <c r="EL17" s="34"/>
      <c r="EM17" s="34"/>
      <c r="EN17" s="34"/>
      <c r="EO17" s="34"/>
      <c r="EP17" s="34"/>
      <c r="EQ17" s="34"/>
      <c r="ER17" s="34"/>
      <c r="ES17" s="34"/>
      <c r="ET17" s="34"/>
      <c r="EU17" s="34"/>
      <c r="EV17" s="34"/>
      <c r="EW17" s="34"/>
      <c r="EX17" s="34"/>
      <c r="EY17" s="34"/>
      <c r="EZ17" s="34"/>
      <c r="FA17" s="34"/>
      <c r="FB17" s="34"/>
      <c r="FC17" s="34"/>
      <c r="FD17" s="34"/>
      <c r="FE17" s="34"/>
      <c r="FF17" s="34"/>
      <c r="FG17" s="34"/>
      <c r="FH17" s="34"/>
      <c r="FI17" s="34"/>
      <c r="FJ17" s="34"/>
      <c r="FK17" s="34"/>
      <c r="FL17" s="34"/>
      <c r="FM17" s="34"/>
      <c r="FN17" s="34"/>
      <c r="FO17" s="34"/>
      <c r="FP17" s="34"/>
      <c r="FQ17" s="34"/>
      <c r="FR17" s="34"/>
      <c r="FS17" s="34"/>
      <c r="FT17" s="34"/>
      <c r="FU17" s="34"/>
      <c r="FV17" s="34"/>
      <c r="FW17" s="34"/>
      <c r="FX17" s="34"/>
      <c r="FY17" s="34"/>
      <c r="FZ17" s="34"/>
      <c r="GA17" s="34"/>
      <c r="GB17" s="34"/>
      <c r="GC17" s="34"/>
      <c r="GD17" s="34"/>
      <c r="GE17" s="34"/>
      <c r="GF17" s="34"/>
      <c r="GG17" s="34"/>
      <c r="GH17" s="34"/>
      <c r="GI17" s="34"/>
      <c r="GJ17" s="34"/>
      <c r="GK17" s="34"/>
      <c r="GL17" s="34"/>
      <c r="GM17" s="34"/>
      <c r="GN17" s="34"/>
      <c r="GO17" s="34"/>
      <c r="GP17" s="34"/>
      <c r="GQ17" s="34"/>
      <c r="GR17" s="34"/>
    </row>
    <row r="18" spans="1:200" s="38" customFormat="1" ht="15" customHeight="1" x14ac:dyDescent="0.3">
      <c r="A18" s="34" t="s">
        <v>258</v>
      </c>
      <c r="B18" s="34">
        <v>8</v>
      </c>
      <c r="C18" s="34">
        <v>6</v>
      </c>
      <c r="D18" s="34">
        <v>13</v>
      </c>
      <c r="E18" s="34">
        <v>12</v>
      </c>
      <c r="F18" s="34">
        <v>39</v>
      </c>
      <c r="G18" s="34"/>
      <c r="H18" s="34"/>
      <c r="I18" s="34"/>
      <c r="J18" s="34"/>
      <c r="K18" s="34"/>
      <c r="L18" s="34"/>
      <c r="M18" s="34"/>
      <c r="N18" s="34"/>
      <c r="O18" s="34"/>
      <c r="P18" s="34"/>
      <c r="Q18" s="34"/>
      <c r="R18" s="34"/>
      <c r="S18" s="34"/>
      <c r="T18" s="34"/>
      <c r="U18" s="34"/>
      <c r="V18" s="58"/>
      <c r="W18" s="58"/>
      <c r="X18" s="58"/>
      <c r="Y18" s="58"/>
      <c r="Z18" s="58"/>
      <c r="AA18" s="58"/>
      <c r="AB18" s="58"/>
      <c r="AC18" s="58"/>
      <c r="AD18" s="58"/>
      <c r="AE18" s="58"/>
      <c r="AF18" s="58"/>
      <c r="AG18" s="58"/>
      <c r="AH18" s="58"/>
      <c r="AI18" s="34"/>
      <c r="AJ18" s="34"/>
      <c r="AK18" s="34"/>
      <c r="AL18" s="34"/>
      <c r="AM18" s="34"/>
      <c r="AN18" s="34"/>
      <c r="AO18" s="34"/>
      <c r="AP18" s="34"/>
      <c r="AQ18" s="34"/>
      <c r="AR18" s="34"/>
      <c r="AS18" s="34"/>
      <c r="AT18" s="34"/>
      <c r="AU18" s="34"/>
      <c r="AV18" s="34"/>
      <c r="AW18" s="34"/>
      <c r="AX18" s="34"/>
      <c r="AY18" s="34"/>
      <c r="AZ18" s="34"/>
      <c r="BA18" s="34"/>
      <c r="BB18" s="34"/>
      <c r="BC18" s="34"/>
      <c r="BD18" s="34"/>
      <c r="BE18" s="34"/>
      <c r="BF18" s="34"/>
      <c r="BG18" s="34"/>
      <c r="BH18" s="34"/>
      <c r="BI18" s="34"/>
      <c r="BJ18" s="34"/>
      <c r="BK18" s="34"/>
      <c r="BL18" s="34"/>
      <c r="BM18" s="34"/>
      <c r="BN18" s="34"/>
      <c r="BO18" s="34"/>
      <c r="BP18" s="34"/>
      <c r="BQ18" s="34"/>
      <c r="BR18" s="34"/>
      <c r="BS18" s="34"/>
      <c r="BT18" s="34"/>
      <c r="BU18" s="34"/>
      <c r="BV18" s="34"/>
      <c r="BW18" s="34"/>
      <c r="BX18" s="34"/>
      <c r="BY18" s="34"/>
      <c r="BZ18" s="34"/>
      <c r="CA18" s="34"/>
      <c r="CB18" s="34"/>
      <c r="CC18" s="34"/>
      <c r="CD18" s="34"/>
      <c r="CE18" s="34"/>
      <c r="CF18" s="34"/>
      <c r="CG18" s="34"/>
      <c r="CH18" s="34"/>
      <c r="CI18" s="34"/>
      <c r="CJ18" s="34"/>
      <c r="CK18" s="34"/>
      <c r="CL18" s="34"/>
      <c r="CM18" s="34"/>
      <c r="CN18" s="34"/>
      <c r="CO18" s="34"/>
      <c r="CP18" s="34"/>
      <c r="CQ18" s="34"/>
      <c r="CR18" s="34"/>
      <c r="CS18" s="34"/>
      <c r="CT18" s="34"/>
      <c r="CU18" s="34"/>
      <c r="CV18" s="34"/>
      <c r="CW18" s="34"/>
      <c r="CX18" s="34"/>
      <c r="CY18" s="34"/>
      <c r="CZ18" s="34"/>
      <c r="DA18" s="34"/>
      <c r="DB18" s="34"/>
      <c r="DC18" s="34"/>
      <c r="DD18" s="34"/>
      <c r="DE18" s="34"/>
      <c r="DF18" s="34"/>
      <c r="DG18" s="34"/>
      <c r="DH18" s="34"/>
      <c r="DI18" s="34"/>
      <c r="DJ18" s="34"/>
      <c r="DK18" s="34"/>
      <c r="DL18" s="34"/>
      <c r="DM18" s="34"/>
      <c r="DN18" s="34"/>
      <c r="DO18" s="34"/>
      <c r="DP18" s="34"/>
      <c r="DQ18" s="34"/>
      <c r="DR18" s="34"/>
      <c r="DS18" s="34"/>
      <c r="DT18" s="34"/>
      <c r="DU18" s="34"/>
      <c r="DV18" s="34"/>
      <c r="DW18" s="34"/>
      <c r="DX18" s="34"/>
      <c r="DY18" s="34"/>
      <c r="DZ18" s="34"/>
      <c r="EA18" s="34"/>
      <c r="EB18" s="34"/>
      <c r="EC18" s="34"/>
      <c r="ED18" s="34"/>
      <c r="EE18" s="34"/>
      <c r="EF18" s="34"/>
      <c r="EG18" s="34"/>
      <c r="EH18" s="34"/>
      <c r="EI18" s="34"/>
      <c r="EJ18" s="34"/>
      <c r="EK18" s="34"/>
      <c r="EL18" s="34"/>
      <c r="EM18" s="34"/>
      <c r="EN18" s="34"/>
      <c r="EO18" s="34"/>
      <c r="EP18" s="34"/>
      <c r="EQ18" s="34"/>
      <c r="ER18" s="34"/>
      <c r="ES18" s="34"/>
      <c r="ET18" s="34"/>
      <c r="EU18" s="34"/>
      <c r="EV18" s="34"/>
      <c r="EW18" s="34"/>
      <c r="EX18" s="34"/>
      <c r="EY18" s="34"/>
      <c r="EZ18" s="34"/>
      <c r="FA18" s="34"/>
      <c r="FB18" s="34"/>
      <c r="FC18" s="34"/>
      <c r="FD18" s="34"/>
      <c r="FE18" s="34"/>
      <c r="FF18" s="34"/>
      <c r="FG18" s="34"/>
      <c r="FH18" s="34"/>
      <c r="FI18" s="34"/>
      <c r="FJ18" s="34"/>
      <c r="FK18" s="34"/>
      <c r="FL18" s="34"/>
      <c r="FM18" s="34"/>
      <c r="FN18" s="34"/>
      <c r="FO18" s="34"/>
      <c r="FP18" s="34"/>
      <c r="FQ18" s="34"/>
      <c r="FR18" s="34"/>
      <c r="FS18" s="34"/>
      <c r="FT18" s="34"/>
      <c r="FU18" s="34"/>
      <c r="FV18" s="34"/>
      <c r="FW18" s="34"/>
      <c r="FX18" s="34"/>
      <c r="FY18" s="34"/>
      <c r="FZ18" s="34"/>
      <c r="GA18" s="34"/>
      <c r="GB18" s="34"/>
      <c r="GC18" s="34"/>
      <c r="GD18" s="34"/>
      <c r="GE18" s="34"/>
      <c r="GF18" s="34"/>
      <c r="GG18" s="34"/>
      <c r="GH18" s="34"/>
      <c r="GI18" s="34"/>
      <c r="GJ18" s="34"/>
      <c r="GK18" s="34"/>
      <c r="GL18" s="34"/>
      <c r="GM18" s="34"/>
      <c r="GN18" s="34"/>
      <c r="GO18" s="34"/>
      <c r="GP18" s="34"/>
      <c r="GQ18" s="34"/>
      <c r="GR18" s="34"/>
    </row>
    <row r="19" spans="1:200" s="38" customFormat="1" ht="16.5" x14ac:dyDescent="0.3">
      <c r="A19" s="34" t="s">
        <v>242</v>
      </c>
      <c r="B19" s="34">
        <v>7</v>
      </c>
      <c r="C19" s="34">
        <v>7</v>
      </c>
      <c r="D19" s="34">
        <v>17</v>
      </c>
      <c r="E19" s="34">
        <v>13</v>
      </c>
      <c r="F19" s="34">
        <v>44</v>
      </c>
      <c r="G19" s="34"/>
      <c r="H19" s="34"/>
      <c r="I19" s="34"/>
      <c r="J19" s="34"/>
      <c r="K19" s="34"/>
      <c r="L19" s="34"/>
      <c r="M19" s="34"/>
      <c r="N19" s="34"/>
      <c r="O19" s="34"/>
      <c r="P19" s="34"/>
      <c r="Q19" s="34"/>
      <c r="R19" s="34"/>
      <c r="S19" s="34"/>
      <c r="T19" s="34"/>
      <c r="U19" s="34"/>
      <c r="V19" s="58"/>
      <c r="W19" s="58"/>
      <c r="X19" s="58"/>
      <c r="Y19" s="58"/>
      <c r="Z19" s="58"/>
      <c r="AA19" s="58"/>
      <c r="AB19" s="58"/>
      <c r="AC19" s="58"/>
      <c r="AD19" s="58"/>
      <c r="AE19" s="58"/>
      <c r="AF19" s="58"/>
      <c r="AG19" s="58"/>
      <c r="AH19" s="58"/>
      <c r="AI19" s="34"/>
      <c r="AJ19" s="34"/>
      <c r="AK19" s="34"/>
      <c r="AL19" s="34"/>
      <c r="AM19" s="34"/>
      <c r="AN19" s="34"/>
      <c r="AO19" s="34"/>
      <c r="AP19" s="34"/>
      <c r="AQ19" s="34"/>
      <c r="AR19" s="34"/>
      <c r="AS19" s="34"/>
      <c r="AT19" s="34"/>
      <c r="AU19" s="34"/>
      <c r="AV19" s="34"/>
      <c r="AW19" s="34"/>
      <c r="AX19" s="34"/>
      <c r="AY19" s="34"/>
      <c r="AZ19" s="34"/>
      <c r="BA19" s="34"/>
      <c r="BB19" s="34"/>
      <c r="BC19" s="34"/>
      <c r="BD19" s="34"/>
      <c r="BE19" s="34"/>
      <c r="BF19" s="34"/>
      <c r="BG19" s="34"/>
      <c r="BH19" s="34"/>
      <c r="BI19" s="34"/>
      <c r="BJ19" s="34"/>
      <c r="BK19" s="34"/>
      <c r="BL19" s="34"/>
      <c r="BM19" s="34"/>
      <c r="BN19" s="34"/>
      <c r="BO19" s="34"/>
      <c r="BP19" s="34"/>
      <c r="BQ19" s="34"/>
      <c r="BR19" s="34"/>
      <c r="BS19" s="34"/>
      <c r="BT19" s="34"/>
      <c r="BU19" s="34"/>
      <c r="BV19" s="34"/>
      <c r="BW19" s="34"/>
      <c r="BX19" s="34"/>
      <c r="BY19" s="34"/>
      <c r="BZ19" s="34"/>
      <c r="CA19" s="34"/>
      <c r="CB19" s="34"/>
      <c r="CC19" s="34"/>
      <c r="CD19" s="34"/>
      <c r="CE19" s="34"/>
      <c r="CF19" s="34"/>
      <c r="CG19" s="34"/>
      <c r="CH19" s="34"/>
      <c r="CI19" s="34"/>
      <c r="CJ19" s="34"/>
      <c r="CK19" s="34"/>
      <c r="CL19" s="34"/>
      <c r="CM19" s="34"/>
      <c r="CN19" s="34"/>
      <c r="CO19" s="34"/>
      <c r="CP19" s="34"/>
      <c r="CQ19" s="34"/>
      <c r="CR19" s="34"/>
      <c r="CS19" s="34"/>
      <c r="CT19" s="34"/>
      <c r="CU19" s="34"/>
      <c r="CV19" s="34"/>
      <c r="CW19" s="34"/>
      <c r="CX19" s="34"/>
      <c r="CY19" s="34"/>
      <c r="CZ19" s="34"/>
      <c r="DA19" s="34"/>
      <c r="DB19" s="34"/>
      <c r="DC19" s="34"/>
      <c r="DD19" s="34"/>
      <c r="DE19" s="34"/>
      <c r="DF19" s="34"/>
      <c r="DG19" s="34"/>
      <c r="DH19" s="34"/>
      <c r="DI19" s="34"/>
      <c r="DJ19" s="34"/>
      <c r="DK19" s="34"/>
      <c r="DL19" s="34"/>
      <c r="DM19" s="34"/>
      <c r="DN19" s="34"/>
      <c r="DO19" s="34"/>
      <c r="DP19" s="34"/>
      <c r="DQ19" s="34"/>
      <c r="DR19" s="34"/>
      <c r="DS19" s="34"/>
      <c r="DT19" s="34"/>
      <c r="DU19" s="34"/>
      <c r="DV19" s="34"/>
      <c r="DW19" s="34"/>
      <c r="DX19" s="34"/>
      <c r="DY19" s="34"/>
      <c r="DZ19" s="34"/>
      <c r="EA19" s="34"/>
      <c r="EB19" s="34"/>
      <c r="EC19" s="34"/>
      <c r="ED19" s="34"/>
      <c r="EE19" s="34"/>
      <c r="EF19" s="34"/>
      <c r="EG19" s="34"/>
      <c r="EH19" s="34"/>
      <c r="EI19" s="34"/>
      <c r="EJ19" s="34"/>
      <c r="EK19" s="34"/>
      <c r="EL19" s="34"/>
      <c r="EM19" s="34"/>
      <c r="EN19" s="34"/>
      <c r="EO19" s="34"/>
      <c r="EP19" s="34"/>
      <c r="EQ19" s="34"/>
      <c r="ER19" s="34"/>
      <c r="ES19" s="34"/>
      <c r="ET19" s="34"/>
      <c r="EU19" s="34"/>
      <c r="EV19" s="34"/>
      <c r="EW19" s="34"/>
      <c r="EX19" s="34"/>
      <c r="EY19" s="34"/>
      <c r="EZ19" s="34"/>
      <c r="FA19" s="34"/>
      <c r="FB19" s="34"/>
      <c r="FC19" s="34"/>
      <c r="FD19" s="34"/>
      <c r="FE19" s="34"/>
      <c r="FF19" s="34"/>
      <c r="FG19" s="34"/>
      <c r="FH19" s="34"/>
      <c r="FI19" s="34"/>
      <c r="FJ19" s="34"/>
      <c r="FK19" s="34"/>
      <c r="FL19" s="34"/>
      <c r="FM19" s="34"/>
      <c r="FN19" s="34"/>
      <c r="FO19" s="34"/>
      <c r="FP19" s="34"/>
      <c r="FQ19" s="34"/>
      <c r="FR19" s="34"/>
      <c r="FS19" s="34"/>
      <c r="FT19" s="34"/>
      <c r="FU19" s="34"/>
      <c r="FV19" s="34"/>
      <c r="FW19" s="34"/>
      <c r="FX19" s="34"/>
      <c r="FY19" s="34"/>
      <c r="FZ19" s="34"/>
      <c r="GA19" s="34"/>
      <c r="GB19" s="34"/>
      <c r="GC19" s="34"/>
      <c r="GD19" s="34"/>
      <c r="GE19" s="34"/>
      <c r="GF19" s="34"/>
      <c r="GG19" s="34"/>
      <c r="GH19" s="34"/>
      <c r="GI19" s="34"/>
      <c r="GJ19" s="34"/>
      <c r="GK19" s="34"/>
      <c r="GL19" s="34"/>
      <c r="GM19" s="34"/>
      <c r="GN19" s="34"/>
      <c r="GO19" s="34"/>
      <c r="GP19" s="34"/>
      <c r="GQ19" s="34"/>
      <c r="GR19" s="34"/>
    </row>
    <row r="20" spans="1:200" s="38" customFormat="1" ht="16.5" customHeight="1" x14ac:dyDescent="0.3">
      <c r="A20" s="34" t="s">
        <v>259</v>
      </c>
      <c r="B20" s="34">
        <v>11</v>
      </c>
      <c r="C20" s="34">
        <v>9</v>
      </c>
      <c r="D20" s="34">
        <v>10</v>
      </c>
      <c r="E20" s="34">
        <v>5</v>
      </c>
      <c r="F20" s="34">
        <v>35</v>
      </c>
      <c r="G20" s="34"/>
      <c r="H20" s="34"/>
      <c r="I20" s="34"/>
      <c r="J20" s="34"/>
      <c r="K20" s="34"/>
      <c r="L20" s="34"/>
      <c r="M20" s="34"/>
      <c r="N20" s="34"/>
      <c r="O20" s="34"/>
      <c r="P20" s="34"/>
      <c r="Q20" s="34"/>
      <c r="R20" s="34"/>
      <c r="S20" s="34"/>
      <c r="T20" s="34"/>
      <c r="U20" s="34"/>
      <c r="V20" s="58"/>
      <c r="W20" s="58"/>
      <c r="X20" s="58"/>
      <c r="Y20" s="58"/>
      <c r="Z20" s="58"/>
      <c r="AA20" s="58"/>
      <c r="AB20" s="58"/>
      <c r="AC20" s="58"/>
      <c r="AD20" s="58"/>
      <c r="AE20" s="58"/>
      <c r="AF20" s="58"/>
      <c r="AG20" s="58"/>
      <c r="AH20" s="58"/>
      <c r="AI20" s="34"/>
      <c r="AJ20" s="34"/>
      <c r="AK20" s="34"/>
      <c r="AL20" s="34"/>
      <c r="AM20" s="34"/>
      <c r="AN20" s="34"/>
      <c r="AO20" s="34"/>
      <c r="AP20" s="34"/>
      <c r="AQ20" s="34"/>
      <c r="AR20" s="34"/>
      <c r="AS20" s="34"/>
      <c r="AT20" s="34"/>
      <c r="AU20" s="34"/>
      <c r="AV20" s="34"/>
      <c r="AW20" s="34"/>
      <c r="AX20" s="34"/>
      <c r="AY20" s="34"/>
      <c r="AZ20" s="34"/>
      <c r="BA20" s="34"/>
      <c r="BB20" s="34"/>
      <c r="BC20" s="34"/>
      <c r="BD20" s="34"/>
      <c r="BE20" s="34"/>
      <c r="BF20" s="34"/>
      <c r="BG20" s="34"/>
      <c r="BH20" s="34"/>
      <c r="BI20" s="34"/>
      <c r="BJ20" s="34"/>
      <c r="BK20" s="34"/>
      <c r="BL20" s="34"/>
      <c r="BM20" s="34"/>
      <c r="BN20" s="34"/>
      <c r="BO20" s="34"/>
      <c r="BP20" s="34"/>
      <c r="BQ20" s="34"/>
      <c r="BR20" s="34"/>
      <c r="BS20" s="34"/>
      <c r="BT20" s="34"/>
      <c r="BU20" s="34"/>
      <c r="BV20" s="34"/>
      <c r="BW20" s="34"/>
      <c r="BX20" s="34"/>
      <c r="BY20" s="34"/>
      <c r="BZ20" s="34"/>
      <c r="CA20" s="34"/>
      <c r="CB20" s="34"/>
      <c r="CC20" s="34"/>
      <c r="CD20" s="34"/>
      <c r="CE20" s="34"/>
      <c r="CF20" s="34"/>
      <c r="CG20" s="34"/>
      <c r="CH20" s="34"/>
      <c r="CI20" s="34"/>
      <c r="CJ20" s="34"/>
      <c r="CK20" s="34"/>
      <c r="CL20" s="34"/>
      <c r="CM20" s="34"/>
      <c r="CN20" s="34"/>
      <c r="CO20" s="34"/>
      <c r="CP20" s="34"/>
      <c r="CQ20" s="34"/>
      <c r="CR20" s="34"/>
      <c r="CS20" s="34"/>
      <c r="CT20" s="34"/>
      <c r="CU20" s="34"/>
      <c r="CV20" s="34"/>
      <c r="CW20" s="34"/>
      <c r="CX20" s="34"/>
      <c r="CY20" s="34"/>
      <c r="CZ20" s="34"/>
      <c r="DA20" s="34"/>
      <c r="DB20" s="34"/>
      <c r="DC20" s="34"/>
      <c r="DD20" s="34"/>
      <c r="DE20" s="34"/>
      <c r="DF20" s="34"/>
      <c r="DG20" s="34"/>
      <c r="DH20" s="34"/>
      <c r="DI20" s="34"/>
      <c r="DJ20" s="34"/>
      <c r="DK20" s="34"/>
      <c r="DL20" s="34"/>
      <c r="DM20" s="34"/>
      <c r="DN20" s="34"/>
      <c r="DO20" s="34"/>
      <c r="DP20" s="34"/>
      <c r="DQ20" s="34"/>
      <c r="DR20" s="34"/>
      <c r="DS20" s="34"/>
      <c r="DT20" s="34"/>
      <c r="DU20" s="34"/>
      <c r="DV20" s="34"/>
      <c r="DW20" s="34"/>
      <c r="DX20" s="34"/>
      <c r="DY20" s="34"/>
      <c r="DZ20" s="34"/>
      <c r="EA20" s="34"/>
      <c r="EB20" s="34"/>
      <c r="EC20" s="34"/>
      <c r="ED20" s="34"/>
      <c r="EE20" s="34"/>
      <c r="EF20" s="34"/>
      <c r="EG20" s="34"/>
      <c r="EH20" s="34"/>
      <c r="EI20" s="34"/>
      <c r="EJ20" s="34"/>
      <c r="EK20" s="34"/>
      <c r="EL20" s="34"/>
      <c r="EM20" s="34"/>
      <c r="EN20" s="34"/>
      <c r="EO20" s="34"/>
      <c r="EP20" s="34"/>
      <c r="EQ20" s="34"/>
      <c r="ER20" s="34"/>
      <c r="ES20" s="34"/>
      <c r="ET20" s="34"/>
      <c r="EU20" s="34"/>
      <c r="EV20" s="34"/>
      <c r="EW20" s="34"/>
      <c r="EX20" s="34"/>
      <c r="EY20" s="34"/>
      <c r="EZ20" s="34"/>
      <c r="FA20" s="34"/>
      <c r="FB20" s="34"/>
      <c r="FC20" s="34"/>
      <c r="FD20" s="34"/>
      <c r="FE20" s="34"/>
      <c r="FF20" s="34"/>
      <c r="FG20" s="34"/>
      <c r="FH20" s="34"/>
      <c r="FI20" s="34"/>
      <c r="FJ20" s="34"/>
      <c r="FK20" s="34"/>
      <c r="FL20" s="34"/>
      <c r="FM20" s="34"/>
      <c r="FN20" s="34"/>
      <c r="FO20" s="34"/>
      <c r="FP20" s="34"/>
      <c r="FQ20" s="34"/>
      <c r="FR20" s="34"/>
      <c r="FS20" s="34"/>
      <c r="FT20" s="34"/>
      <c r="FU20" s="34"/>
      <c r="FV20" s="34"/>
      <c r="FW20" s="34"/>
      <c r="FX20" s="34"/>
      <c r="FY20" s="34"/>
      <c r="FZ20" s="34"/>
      <c r="GA20" s="34"/>
      <c r="GB20" s="34"/>
      <c r="GC20" s="34"/>
      <c r="GD20" s="34"/>
      <c r="GE20" s="34"/>
      <c r="GF20" s="34"/>
      <c r="GG20" s="34"/>
      <c r="GH20" s="34"/>
      <c r="GI20" s="34"/>
      <c r="GJ20" s="34"/>
      <c r="GK20" s="34"/>
      <c r="GL20" s="34"/>
      <c r="GM20" s="34"/>
      <c r="GN20" s="34"/>
      <c r="GO20" s="34"/>
      <c r="GP20" s="34"/>
      <c r="GQ20" s="34"/>
      <c r="GR20" s="34"/>
    </row>
    <row r="21" spans="1:200" s="38" customFormat="1" ht="15" customHeight="1" x14ac:dyDescent="0.3">
      <c r="A21" s="34" t="s">
        <v>239</v>
      </c>
      <c r="B21" s="34">
        <v>11</v>
      </c>
      <c r="C21" s="34">
        <v>4</v>
      </c>
      <c r="D21" s="34">
        <v>8</v>
      </c>
      <c r="E21" s="34">
        <v>6</v>
      </c>
      <c r="F21" s="34">
        <v>29</v>
      </c>
      <c r="G21" s="34"/>
      <c r="H21" s="34"/>
      <c r="I21" s="34"/>
      <c r="J21" s="34"/>
      <c r="K21" s="34"/>
      <c r="L21" s="34"/>
      <c r="M21" s="34"/>
      <c r="N21" s="34"/>
      <c r="O21" s="34"/>
      <c r="P21" s="34"/>
      <c r="Q21" s="34"/>
      <c r="R21" s="34"/>
      <c r="S21" s="34"/>
      <c r="T21" s="34"/>
      <c r="U21" s="34"/>
      <c r="V21" s="58"/>
      <c r="W21" s="58"/>
      <c r="X21" s="58"/>
      <c r="Y21" s="58"/>
      <c r="Z21" s="58"/>
      <c r="AA21" s="58"/>
      <c r="AB21" s="58"/>
      <c r="AC21" s="58"/>
      <c r="AD21" s="58"/>
      <c r="AE21" s="58"/>
      <c r="AF21" s="58"/>
      <c r="AG21" s="58"/>
      <c r="AH21" s="58"/>
      <c r="AI21" s="34"/>
      <c r="AJ21" s="34"/>
      <c r="AK21" s="34"/>
      <c r="AL21" s="34"/>
      <c r="AM21" s="34"/>
      <c r="AN21" s="34"/>
      <c r="AO21" s="34"/>
      <c r="AP21" s="34"/>
      <c r="AQ21" s="34"/>
      <c r="AR21" s="34"/>
      <c r="AS21" s="34"/>
      <c r="AT21" s="34"/>
      <c r="AU21" s="34"/>
      <c r="AV21" s="34"/>
      <c r="AW21" s="34"/>
      <c r="AX21" s="34"/>
      <c r="AY21" s="34"/>
      <c r="AZ21" s="34"/>
      <c r="BA21" s="34"/>
      <c r="BB21" s="34"/>
      <c r="BC21" s="34"/>
      <c r="BD21" s="34"/>
      <c r="BE21" s="34"/>
      <c r="BF21" s="34"/>
      <c r="BG21" s="34"/>
      <c r="BH21" s="34"/>
      <c r="BI21" s="34"/>
      <c r="BJ21" s="34"/>
      <c r="BK21" s="34"/>
      <c r="BL21" s="34"/>
      <c r="BM21" s="34"/>
      <c r="BN21" s="34"/>
      <c r="BO21" s="34"/>
      <c r="BP21" s="34"/>
      <c r="BQ21" s="34"/>
      <c r="BR21" s="34"/>
      <c r="BS21" s="34"/>
      <c r="BT21" s="34"/>
      <c r="BU21" s="34"/>
      <c r="BV21" s="34"/>
      <c r="BW21" s="34"/>
      <c r="BX21" s="34"/>
      <c r="BY21" s="34"/>
      <c r="BZ21" s="34"/>
      <c r="CA21" s="34"/>
      <c r="CB21" s="34"/>
      <c r="CC21" s="34"/>
      <c r="CD21" s="34"/>
      <c r="CE21" s="34"/>
      <c r="CF21" s="34"/>
      <c r="CG21" s="34"/>
      <c r="CH21" s="34"/>
      <c r="CI21" s="34"/>
      <c r="CJ21" s="34"/>
      <c r="CK21" s="34"/>
      <c r="CL21" s="34"/>
      <c r="CM21" s="34"/>
      <c r="CN21" s="34"/>
      <c r="CO21" s="34"/>
      <c r="CP21" s="34"/>
      <c r="CQ21" s="34"/>
      <c r="CR21" s="34"/>
      <c r="CS21" s="34"/>
      <c r="CT21" s="34"/>
      <c r="CU21" s="34"/>
      <c r="CV21" s="34"/>
      <c r="CW21" s="34"/>
      <c r="CX21" s="34"/>
      <c r="CY21" s="34"/>
      <c r="CZ21" s="34"/>
      <c r="DA21" s="34"/>
      <c r="DB21" s="34"/>
      <c r="DC21" s="34"/>
      <c r="DD21" s="34"/>
      <c r="DE21" s="34"/>
      <c r="DF21" s="34"/>
      <c r="DG21" s="34"/>
      <c r="DH21" s="34"/>
      <c r="DI21" s="34"/>
      <c r="DJ21" s="34"/>
      <c r="DK21" s="34"/>
      <c r="DL21" s="34"/>
      <c r="DM21" s="34"/>
      <c r="DN21" s="34"/>
      <c r="DO21" s="34"/>
      <c r="DP21" s="34"/>
      <c r="DQ21" s="34"/>
      <c r="DR21" s="34"/>
      <c r="DS21" s="34"/>
      <c r="DT21" s="34"/>
      <c r="DU21" s="34"/>
      <c r="DV21" s="34"/>
      <c r="DW21" s="34"/>
      <c r="DX21" s="34"/>
      <c r="DY21" s="34"/>
      <c r="DZ21" s="34"/>
      <c r="EA21" s="34"/>
      <c r="EB21" s="34"/>
      <c r="EC21" s="34"/>
      <c r="ED21" s="34"/>
      <c r="EE21" s="34"/>
      <c r="EF21" s="34"/>
      <c r="EG21" s="34"/>
      <c r="EH21" s="34"/>
      <c r="EI21" s="34"/>
      <c r="EJ21" s="34"/>
      <c r="EK21" s="34"/>
      <c r="EL21" s="34"/>
      <c r="EM21" s="34"/>
      <c r="EN21" s="34"/>
      <c r="EO21" s="34"/>
      <c r="EP21" s="34"/>
      <c r="EQ21" s="34"/>
      <c r="ER21" s="34"/>
      <c r="ES21" s="34"/>
      <c r="ET21" s="34"/>
      <c r="EU21" s="34"/>
      <c r="EV21" s="34"/>
      <c r="EW21" s="34"/>
      <c r="EX21" s="34"/>
      <c r="EY21" s="34"/>
      <c r="EZ21" s="34"/>
      <c r="FA21" s="34"/>
      <c r="FB21" s="34"/>
      <c r="FC21" s="34"/>
      <c r="FD21" s="34"/>
      <c r="FE21" s="34"/>
      <c r="FF21" s="34"/>
      <c r="FG21" s="34"/>
      <c r="FH21" s="34"/>
      <c r="FI21" s="34"/>
      <c r="FJ21" s="34"/>
      <c r="FK21" s="34"/>
      <c r="FL21" s="34"/>
      <c r="FM21" s="34"/>
      <c r="FN21" s="34"/>
      <c r="FO21" s="34"/>
      <c r="FP21" s="34"/>
      <c r="FQ21" s="34"/>
      <c r="FR21" s="34"/>
      <c r="FS21" s="34"/>
      <c r="FT21" s="34"/>
      <c r="FU21" s="34"/>
      <c r="FV21" s="34"/>
      <c r="FW21" s="34"/>
      <c r="FX21" s="34"/>
      <c r="FY21" s="34"/>
      <c r="FZ21" s="34"/>
      <c r="GA21" s="34"/>
      <c r="GB21" s="34"/>
      <c r="GC21" s="34"/>
      <c r="GD21" s="34"/>
      <c r="GE21" s="34"/>
      <c r="GF21" s="34"/>
      <c r="GG21" s="34"/>
      <c r="GH21" s="34"/>
      <c r="GI21" s="34"/>
      <c r="GJ21" s="34"/>
      <c r="GK21" s="34"/>
      <c r="GL21" s="34"/>
      <c r="GM21" s="34"/>
      <c r="GN21" s="34"/>
      <c r="GO21" s="34"/>
      <c r="GP21" s="34"/>
      <c r="GQ21" s="34"/>
      <c r="GR21" s="34"/>
    </row>
    <row r="22" spans="1:200" s="38" customFormat="1" ht="15" customHeight="1" x14ac:dyDescent="0.3">
      <c r="A22" s="34" t="s">
        <v>253</v>
      </c>
      <c r="B22" s="34">
        <v>25</v>
      </c>
      <c r="C22" s="34">
        <v>12</v>
      </c>
      <c r="D22" s="34">
        <v>14</v>
      </c>
      <c r="E22" s="34">
        <v>14</v>
      </c>
      <c r="F22" s="34">
        <v>65</v>
      </c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58"/>
      <c r="W22" s="58"/>
      <c r="X22" s="58"/>
      <c r="Y22" s="58"/>
      <c r="Z22" s="58"/>
      <c r="AA22" s="58"/>
      <c r="AB22" s="58"/>
      <c r="AC22" s="58"/>
      <c r="AD22" s="58"/>
      <c r="AE22" s="58"/>
      <c r="AF22" s="58"/>
      <c r="AG22" s="58"/>
      <c r="AH22" s="58"/>
      <c r="AI22" s="34"/>
      <c r="AJ22" s="34"/>
      <c r="AK22" s="34"/>
      <c r="AL22" s="34"/>
      <c r="AM22" s="34"/>
      <c r="AN22" s="34"/>
      <c r="AO22" s="34"/>
      <c r="AP22" s="34"/>
      <c r="AQ22" s="34"/>
      <c r="AR22" s="34"/>
      <c r="AS22" s="34"/>
      <c r="AT22" s="34"/>
      <c r="AU22" s="34"/>
      <c r="AV22" s="34"/>
      <c r="AW22" s="34"/>
      <c r="AX22" s="34"/>
      <c r="AY22" s="34"/>
      <c r="AZ22" s="34"/>
      <c r="BA22" s="34"/>
      <c r="BB22" s="34"/>
      <c r="BC22" s="34"/>
      <c r="BD22" s="34"/>
      <c r="BE22" s="34"/>
      <c r="BF22" s="34"/>
      <c r="BG22" s="34"/>
      <c r="BH22" s="34"/>
      <c r="BI22" s="34"/>
      <c r="BJ22" s="34"/>
      <c r="BK22" s="34"/>
      <c r="BL22" s="34"/>
      <c r="BM22" s="34"/>
      <c r="BN22" s="34"/>
      <c r="BO22" s="34"/>
      <c r="BP22" s="34"/>
      <c r="BQ22" s="34"/>
      <c r="BR22" s="34"/>
      <c r="BS22" s="34"/>
      <c r="BT22" s="34"/>
      <c r="BU22" s="34"/>
      <c r="BV22" s="34"/>
      <c r="BW22" s="34"/>
      <c r="BX22" s="34"/>
      <c r="BY22" s="34"/>
      <c r="BZ22" s="34"/>
      <c r="CA22" s="34"/>
      <c r="CB22" s="34"/>
      <c r="CC22" s="34"/>
      <c r="CD22" s="34"/>
      <c r="CE22" s="34"/>
      <c r="CF22" s="34"/>
      <c r="CG22" s="34"/>
      <c r="CH22" s="34"/>
      <c r="CI22" s="34"/>
      <c r="CJ22" s="34"/>
      <c r="CK22" s="34"/>
      <c r="CL22" s="34"/>
      <c r="CM22" s="34"/>
      <c r="CN22" s="34"/>
      <c r="CO22" s="34"/>
      <c r="CP22" s="34"/>
      <c r="CQ22" s="34"/>
      <c r="CR22" s="34"/>
      <c r="CS22" s="34"/>
      <c r="CT22" s="34"/>
      <c r="CU22" s="34"/>
      <c r="CV22" s="34"/>
      <c r="CW22" s="34"/>
      <c r="CX22" s="34"/>
      <c r="CY22" s="34"/>
      <c r="CZ22" s="34"/>
      <c r="DA22" s="34"/>
      <c r="DB22" s="34"/>
      <c r="DC22" s="34"/>
      <c r="DD22" s="34"/>
      <c r="DE22" s="34"/>
      <c r="DF22" s="34"/>
      <c r="DG22" s="34"/>
      <c r="DH22" s="34"/>
      <c r="DI22" s="34"/>
      <c r="DJ22" s="34"/>
      <c r="DK22" s="34"/>
      <c r="DL22" s="34"/>
      <c r="DM22" s="34"/>
      <c r="DN22" s="34"/>
      <c r="DO22" s="34"/>
      <c r="DP22" s="34"/>
      <c r="DQ22" s="34"/>
      <c r="DR22" s="34"/>
      <c r="DS22" s="34"/>
      <c r="DT22" s="34"/>
      <c r="DU22" s="34"/>
      <c r="DV22" s="34"/>
      <c r="DW22" s="34"/>
      <c r="DX22" s="34"/>
      <c r="DY22" s="34"/>
      <c r="DZ22" s="34"/>
      <c r="EA22" s="34"/>
      <c r="EB22" s="34"/>
      <c r="EC22" s="34"/>
      <c r="ED22" s="34"/>
      <c r="EE22" s="34"/>
      <c r="EF22" s="34"/>
      <c r="EG22" s="34"/>
      <c r="EH22" s="34"/>
      <c r="EI22" s="34"/>
      <c r="EJ22" s="34"/>
      <c r="EK22" s="34"/>
      <c r="EL22" s="34"/>
      <c r="EM22" s="34"/>
      <c r="EN22" s="34"/>
      <c r="EO22" s="34"/>
      <c r="EP22" s="34"/>
      <c r="EQ22" s="34"/>
      <c r="ER22" s="34"/>
      <c r="ES22" s="34"/>
      <c r="ET22" s="34"/>
      <c r="EU22" s="34"/>
      <c r="EV22" s="34"/>
      <c r="EW22" s="34"/>
      <c r="EX22" s="34"/>
      <c r="EY22" s="34"/>
      <c r="EZ22" s="34"/>
      <c r="FA22" s="34"/>
      <c r="FB22" s="34"/>
      <c r="FC22" s="34"/>
      <c r="FD22" s="34"/>
      <c r="FE22" s="34"/>
      <c r="FF22" s="34"/>
      <c r="FG22" s="34"/>
      <c r="FH22" s="34"/>
      <c r="FI22" s="34"/>
      <c r="FJ22" s="34"/>
      <c r="FK22" s="34"/>
      <c r="FL22" s="34"/>
      <c r="FM22" s="34"/>
      <c r="FN22" s="34"/>
      <c r="FO22" s="34"/>
      <c r="FP22" s="34"/>
      <c r="FQ22" s="34"/>
      <c r="FR22" s="34"/>
      <c r="FS22" s="34"/>
      <c r="FT22" s="34"/>
      <c r="FU22" s="34"/>
      <c r="FV22" s="34"/>
      <c r="FW22" s="34"/>
      <c r="FX22" s="34"/>
      <c r="FY22" s="34"/>
      <c r="FZ22" s="34"/>
      <c r="GA22" s="34"/>
      <c r="GB22" s="34"/>
      <c r="GC22" s="34"/>
      <c r="GD22" s="34"/>
      <c r="GE22" s="34"/>
      <c r="GF22" s="34"/>
      <c r="GG22" s="34"/>
      <c r="GH22" s="34"/>
      <c r="GI22" s="34"/>
      <c r="GJ22" s="34"/>
      <c r="GK22" s="34"/>
      <c r="GL22" s="34"/>
      <c r="GM22" s="34"/>
      <c r="GN22" s="34"/>
      <c r="GO22" s="34"/>
      <c r="GP22" s="34"/>
      <c r="GQ22" s="34"/>
      <c r="GR22" s="34"/>
    </row>
    <row r="23" spans="1:200" s="38" customFormat="1" ht="15" customHeight="1" x14ac:dyDescent="0.3">
      <c r="A23" s="34" t="s">
        <v>238</v>
      </c>
      <c r="B23" s="34">
        <v>9</v>
      </c>
      <c r="C23" s="34">
        <v>4</v>
      </c>
      <c r="D23" s="34">
        <v>20</v>
      </c>
      <c r="E23" s="34">
        <v>16</v>
      </c>
      <c r="F23" s="34">
        <v>49</v>
      </c>
      <c r="G23" s="34"/>
      <c r="H23" s="34"/>
      <c r="I23" s="34"/>
      <c r="J23" s="34"/>
      <c r="K23" s="34"/>
      <c r="L23" s="34"/>
      <c r="M23" s="34"/>
      <c r="N23" s="34"/>
      <c r="O23" s="34"/>
      <c r="P23" s="34"/>
      <c r="Q23" s="34"/>
      <c r="R23" s="34"/>
      <c r="S23" s="34"/>
      <c r="T23" s="34"/>
      <c r="U23" s="34"/>
      <c r="V23" s="58"/>
      <c r="W23" s="58"/>
      <c r="X23" s="58"/>
      <c r="Y23" s="58"/>
      <c r="Z23" s="58"/>
      <c r="AA23" s="58"/>
      <c r="AB23" s="58"/>
      <c r="AC23" s="58"/>
      <c r="AD23" s="58"/>
      <c r="AE23" s="58"/>
      <c r="AF23" s="58"/>
      <c r="AG23" s="58"/>
      <c r="AH23" s="58"/>
      <c r="AI23" s="34"/>
      <c r="AJ23" s="34"/>
      <c r="AK23" s="34"/>
      <c r="AL23" s="34"/>
      <c r="AM23" s="34"/>
      <c r="AN23" s="34"/>
      <c r="AO23" s="34"/>
      <c r="AP23" s="34"/>
      <c r="AQ23" s="34"/>
      <c r="AR23" s="34"/>
      <c r="AS23" s="34"/>
      <c r="AT23" s="34"/>
      <c r="AU23" s="34"/>
      <c r="AV23" s="34"/>
      <c r="AW23" s="34"/>
      <c r="AX23" s="34"/>
      <c r="AY23" s="34"/>
      <c r="AZ23" s="34"/>
      <c r="BA23" s="34"/>
      <c r="BB23" s="34"/>
      <c r="BC23" s="34"/>
      <c r="BD23" s="34"/>
      <c r="BE23" s="34"/>
      <c r="BF23" s="34"/>
      <c r="BG23" s="34"/>
      <c r="BH23" s="34"/>
      <c r="BI23" s="34"/>
      <c r="BJ23" s="34"/>
      <c r="BK23" s="34"/>
      <c r="BL23" s="34"/>
      <c r="BM23" s="34"/>
      <c r="BN23" s="34"/>
      <c r="BO23" s="34"/>
      <c r="BP23" s="34"/>
      <c r="BQ23" s="34"/>
      <c r="BR23" s="34"/>
      <c r="BS23" s="34"/>
      <c r="BT23" s="34"/>
      <c r="BU23" s="34"/>
      <c r="BV23" s="34"/>
      <c r="BW23" s="34"/>
      <c r="BX23" s="34"/>
      <c r="BY23" s="34"/>
      <c r="BZ23" s="34"/>
      <c r="CA23" s="34"/>
      <c r="CB23" s="34"/>
      <c r="CC23" s="34"/>
      <c r="CD23" s="34"/>
      <c r="CE23" s="34"/>
      <c r="CF23" s="34"/>
      <c r="CG23" s="34"/>
      <c r="CH23" s="34"/>
      <c r="CI23" s="34"/>
      <c r="CJ23" s="34"/>
      <c r="CK23" s="34"/>
      <c r="CL23" s="34"/>
      <c r="CM23" s="34"/>
      <c r="CN23" s="34"/>
      <c r="CO23" s="34"/>
      <c r="CP23" s="34"/>
      <c r="CQ23" s="34"/>
      <c r="CR23" s="34"/>
      <c r="CS23" s="34"/>
      <c r="CT23" s="34"/>
      <c r="CU23" s="34"/>
      <c r="CV23" s="34"/>
      <c r="CW23" s="34"/>
      <c r="CX23" s="34"/>
      <c r="CY23" s="34"/>
      <c r="CZ23" s="34"/>
      <c r="DA23" s="34"/>
      <c r="DB23" s="34"/>
      <c r="DC23" s="34"/>
      <c r="DD23" s="34"/>
      <c r="DE23" s="34"/>
      <c r="DF23" s="34"/>
      <c r="DG23" s="34"/>
      <c r="DH23" s="34"/>
      <c r="DI23" s="34"/>
      <c r="DJ23" s="34"/>
      <c r="DK23" s="34"/>
      <c r="DL23" s="34"/>
      <c r="DM23" s="34"/>
      <c r="DN23" s="34"/>
      <c r="DO23" s="34"/>
      <c r="DP23" s="34"/>
      <c r="DQ23" s="34"/>
      <c r="DR23" s="34"/>
      <c r="DS23" s="34"/>
      <c r="DT23" s="34"/>
      <c r="DU23" s="34"/>
      <c r="DV23" s="34"/>
      <c r="DW23" s="34"/>
      <c r="DX23" s="34"/>
      <c r="DY23" s="34"/>
      <c r="DZ23" s="34"/>
      <c r="EA23" s="34"/>
      <c r="EB23" s="34"/>
      <c r="EC23" s="34"/>
      <c r="ED23" s="34"/>
      <c r="EE23" s="34"/>
      <c r="EF23" s="34"/>
      <c r="EG23" s="34"/>
      <c r="EH23" s="34"/>
      <c r="EI23" s="34"/>
      <c r="EJ23" s="34"/>
      <c r="EK23" s="34"/>
      <c r="EL23" s="34"/>
      <c r="EM23" s="34"/>
      <c r="EN23" s="34"/>
      <c r="EO23" s="34"/>
      <c r="EP23" s="34"/>
      <c r="EQ23" s="34"/>
      <c r="ER23" s="34"/>
      <c r="ES23" s="34"/>
      <c r="ET23" s="34"/>
      <c r="EU23" s="34"/>
      <c r="EV23" s="34"/>
      <c r="EW23" s="34"/>
      <c r="EX23" s="34"/>
      <c r="EY23" s="34"/>
      <c r="EZ23" s="34"/>
      <c r="FA23" s="34"/>
      <c r="FB23" s="34"/>
      <c r="FC23" s="34"/>
      <c r="FD23" s="34"/>
      <c r="FE23" s="34"/>
      <c r="FF23" s="34"/>
      <c r="FG23" s="34"/>
      <c r="FH23" s="34"/>
      <c r="FI23" s="34"/>
      <c r="FJ23" s="34"/>
      <c r="FK23" s="34"/>
      <c r="FL23" s="34"/>
      <c r="FM23" s="34"/>
      <c r="FN23" s="34"/>
      <c r="FO23" s="34"/>
      <c r="FP23" s="34"/>
      <c r="FQ23" s="34"/>
      <c r="FR23" s="34"/>
      <c r="FS23" s="34"/>
      <c r="FT23" s="34"/>
      <c r="FU23" s="34"/>
      <c r="FV23" s="34"/>
      <c r="FW23" s="34"/>
      <c r="FX23" s="34"/>
      <c r="FY23" s="34"/>
      <c r="FZ23" s="34"/>
      <c r="GA23" s="34"/>
      <c r="GB23" s="34"/>
      <c r="GC23" s="34"/>
      <c r="GD23" s="34"/>
      <c r="GE23" s="34"/>
      <c r="GF23" s="34"/>
      <c r="GG23" s="34"/>
      <c r="GH23" s="34"/>
      <c r="GI23" s="34"/>
      <c r="GJ23" s="34"/>
      <c r="GK23" s="34"/>
      <c r="GL23" s="34"/>
      <c r="GM23" s="34"/>
      <c r="GN23" s="34"/>
      <c r="GO23" s="34"/>
      <c r="GP23" s="34"/>
      <c r="GQ23" s="34"/>
      <c r="GR23" s="34"/>
    </row>
    <row r="24" spans="1:200" s="38" customFormat="1" ht="15" customHeight="1" x14ac:dyDescent="0.3">
      <c r="A24" s="34" t="s">
        <v>252</v>
      </c>
      <c r="B24" s="34">
        <v>8</v>
      </c>
      <c r="C24" s="34">
        <v>5</v>
      </c>
      <c r="D24" s="34">
        <v>13</v>
      </c>
      <c r="E24" s="34">
        <v>11</v>
      </c>
      <c r="F24" s="34">
        <v>37</v>
      </c>
      <c r="G24" s="34"/>
      <c r="H24" s="34"/>
      <c r="I24" s="34"/>
      <c r="J24" s="34"/>
      <c r="K24" s="34"/>
      <c r="L24" s="34"/>
      <c r="M24" s="34"/>
      <c r="N24" s="34"/>
      <c r="O24" s="34"/>
      <c r="P24" s="34"/>
      <c r="Q24" s="34"/>
      <c r="R24" s="34"/>
      <c r="S24" s="34"/>
      <c r="T24" s="34"/>
      <c r="U24" s="34"/>
      <c r="V24" s="58"/>
      <c r="W24" s="58"/>
      <c r="X24" s="58"/>
      <c r="Y24" s="58"/>
      <c r="Z24" s="58"/>
      <c r="AA24" s="58"/>
      <c r="AB24" s="58"/>
      <c r="AC24" s="58"/>
      <c r="AD24" s="58"/>
      <c r="AE24" s="58"/>
      <c r="AF24" s="58"/>
      <c r="AG24" s="58"/>
      <c r="AH24" s="58"/>
      <c r="AI24" s="34"/>
      <c r="AJ24" s="34"/>
      <c r="AK24" s="34"/>
      <c r="AL24" s="34"/>
      <c r="AM24" s="34"/>
      <c r="AN24" s="34"/>
      <c r="AO24" s="34"/>
      <c r="AP24" s="34"/>
      <c r="AQ24" s="34"/>
      <c r="AR24" s="34"/>
      <c r="AS24" s="34"/>
      <c r="AT24" s="34"/>
      <c r="AU24" s="34"/>
      <c r="AV24" s="34"/>
      <c r="AW24" s="34"/>
      <c r="AX24" s="34"/>
      <c r="AY24" s="34"/>
      <c r="AZ24" s="34"/>
      <c r="BA24" s="34"/>
      <c r="BB24" s="34"/>
      <c r="BC24" s="34"/>
      <c r="BD24" s="34"/>
      <c r="BE24" s="34"/>
      <c r="BF24" s="34"/>
      <c r="BG24" s="34"/>
      <c r="BH24" s="34"/>
      <c r="BI24" s="34"/>
      <c r="BJ24" s="34"/>
      <c r="BK24" s="34"/>
      <c r="BL24" s="34"/>
      <c r="BM24" s="34"/>
      <c r="BN24" s="34"/>
      <c r="BO24" s="34"/>
      <c r="BP24" s="34"/>
      <c r="BQ24" s="34"/>
      <c r="BR24" s="34"/>
      <c r="BS24" s="34"/>
      <c r="BT24" s="34"/>
      <c r="BU24" s="34"/>
      <c r="BV24" s="34"/>
      <c r="BW24" s="34"/>
      <c r="BX24" s="34"/>
      <c r="BY24" s="34"/>
      <c r="BZ24" s="34"/>
      <c r="CA24" s="34"/>
      <c r="CB24" s="34"/>
      <c r="CC24" s="34"/>
      <c r="CD24" s="34"/>
      <c r="CE24" s="34"/>
      <c r="CF24" s="34"/>
      <c r="CG24" s="34"/>
      <c r="CH24" s="34"/>
      <c r="CI24" s="34"/>
      <c r="CJ24" s="34"/>
      <c r="CK24" s="34"/>
      <c r="CL24" s="34"/>
      <c r="CM24" s="34"/>
      <c r="CN24" s="34"/>
      <c r="CO24" s="34"/>
      <c r="CP24" s="34"/>
      <c r="CQ24" s="34"/>
      <c r="CR24" s="34"/>
      <c r="CS24" s="34"/>
      <c r="CT24" s="34"/>
      <c r="CU24" s="34"/>
      <c r="CV24" s="34"/>
      <c r="CW24" s="34"/>
      <c r="CX24" s="34"/>
      <c r="CY24" s="34"/>
      <c r="CZ24" s="34"/>
      <c r="DA24" s="34"/>
      <c r="DB24" s="34"/>
      <c r="DC24" s="34"/>
      <c r="DD24" s="34"/>
      <c r="DE24" s="34"/>
      <c r="DF24" s="34"/>
      <c r="DG24" s="34"/>
      <c r="DH24" s="34"/>
      <c r="DI24" s="34"/>
      <c r="DJ24" s="34"/>
      <c r="DK24" s="34"/>
      <c r="DL24" s="34"/>
      <c r="DM24" s="34"/>
      <c r="DN24" s="34"/>
      <c r="DO24" s="34"/>
      <c r="DP24" s="34"/>
      <c r="DQ24" s="34"/>
      <c r="DR24" s="34"/>
      <c r="DS24" s="34"/>
      <c r="DT24" s="34"/>
      <c r="DU24" s="34"/>
      <c r="DV24" s="34"/>
      <c r="DW24" s="34"/>
      <c r="DX24" s="34"/>
      <c r="DY24" s="34"/>
      <c r="DZ24" s="34"/>
      <c r="EA24" s="34"/>
      <c r="EB24" s="34"/>
      <c r="EC24" s="34"/>
      <c r="ED24" s="34"/>
      <c r="EE24" s="34"/>
      <c r="EF24" s="34"/>
      <c r="EG24" s="34"/>
      <c r="EH24" s="34"/>
      <c r="EI24" s="34"/>
      <c r="EJ24" s="34"/>
      <c r="EK24" s="34"/>
      <c r="EL24" s="34"/>
      <c r="EM24" s="34"/>
      <c r="EN24" s="34"/>
      <c r="EO24" s="34"/>
      <c r="EP24" s="34"/>
      <c r="EQ24" s="34"/>
      <c r="ER24" s="34"/>
      <c r="ES24" s="34"/>
      <c r="ET24" s="34"/>
      <c r="EU24" s="34"/>
      <c r="EV24" s="34"/>
      <c r="EW24" s="34"/>
      <c r="EX24" s="34"/>
      <c r="EY24" s="34"/>
      <c r="EZ24" s="34"/>
      <c r="FA24" s="34"/>
      <c r="FB24" s="34"/>
      <c r="FC24" s="34"/>
      <c r="FD24" s="34"/>
      <c r="FE24" s="34"/>
      <c r="FF24" s="34"/>
      <c r="FG24" s="34"/>
      <c r="FH24" s="34"/>
      <c r="FI24" s="34"/>
      <c r="FJ24" s="34"/>
      <c r="FK24" s="34"/>
      <c r="FL24" s="34"/>
      <c r="FM24" s="34"/>
      <c r="FN24" s="34"/>
      <c r="FO24" s="34"/>
      <c r="FP24" s="34"/>
      <c r="FQ24" s="34"/>
      <c r="FR24" s="34"/>
      <c r="FS24" s="34"/>
      <c r="FT24" s="34"/>
      <c r="FU24" s="34"/>
      <c r="FV24" s="34"/>
      <c r="FW24" s="34"/>
      <c r="FX24" s="34"/>
      <c r="FY24" s="34"/>
      <c r="FZ24" s="34"/>
      <c r="GA24" s="34"/>
      <c r="GB24" s="34"/>
      <c r="GC24" s="34"/>
      <c r="GD24" s="34"/>
      <c r="GE24" s="34"/>
      <c r="GF24" s="34"/>
      <c r="GG24" s="34"/>
      <c r="GH24" s="34"/>
      <c r="GI24" s="34"/>
      <c r="GJ24" s="34"/>
      <c r="GK24" s="34"/>
      <c r="GL24" s="34"/>
      <c r="GM24" s="34"/>
      <c r="GN24" s="34"/>
      <c r="GO24" s="34"/>
      <c r="GP24" s="34"/>
      <c r="GQ24" s="34"/>
      <c r="GR24" s="34"/>
    </row>
    <row r="25" spans="1:200" s="38" customFormat="1" ht="15" customHeight="1" x14ac:dyDescent="0.3">
      <c r="A25" s="34" t="s">
        <v>251</v>
      </c>
      <c r="B25" s="34">
        <v>10</v>
      </c>
      <c r="C25" s="34">
        <v>1</v>
      </c>
      <c r="D25" s="34">
        <v>11</v>
      </c>
      <c r="E25" s="34">
        <v>7</v>
      </c>
      <c r="F25" s="34">
        <v>29</v>
      </c>
      <c r="G25" s="34"/>
      <c r="H25" s="34"/>
      <c r="I25" s="34"/>
      <c r="J25" s="34"/>
      <c r="K25" s="34"/>
      <c r="L25" s="34"/>
      <c r="M25" s="34"/>
      <c r="N25" s="34"/>
      <c r="O25" s="34"/>
      <c r="P25" s="34"/>
      <c r="Q25" s="34"/>
      <c r="R25" s="34"/>
      <c r="S25" s="34"/>
      <c r="T25" s="34"/>
      <c r="U25" s="34"/>
      <c r="V25" s="58"/>
      <c r="W25" s="58"/>
      <c r="X25" s="58"/>
      <c r="Y25" s="58"/>
      <c r="Z25" s="58"/>
      <c r="AA25" s="58"/>
      <c r="AB25" s="58"/>
      <c r="AC25" s="58"/>
      <c r="AD25" s="58"/>
      <c r="AE25" s="58"/>
      <c r="AF25" s="58"/>
      <c r="AG25" s="58"/>
      <c r="AH25" s="58"/>
      <c r="AI25" s="34"/>
      <c r="AJ25" s="34"/>
      <c r="AK25" s="34"/>
      <c r="AL25" s="34"/>
      <c r="AM25" s="34"/>
      <c r="AN25" s="34"/>
      <c r="AO25" s="34"/>
      <c r="AP25" s="34"/>
      <c r="AQ25" s="34"/>
      <c r="AR25" s="34"/>
      <c r="AS25" s="34"/>
      <c r="AT25" s="34"/>
      <c r="AU25" s="34"/>
      <c r="AV25" s="34"/>
      <c r="AW25" s="34"/>
      <c r="AX25" s="34"/>
      <c r="AY25" s="34"/>
      <c r="AZ25" s="34"/>
      <c r="BA25" s="34"/>
      <c r="BB25" s="34"/>
      <c r="BC25" s="34"/>
      <c r="BD25" s="34"/>
      <c r="BE25" s="34"/>
      <c r="BF25" s="34"/>
      <c r="BG25" s="34"/>
      <c r="BH25" s="34"/>
      <c r="BI25" s="34"/>
      <c r="BJ25" s="34"/>
      <c r="BK25" s="34"/>
      <c r="BL25" s="34"/>
      <c r="BM25" s="34"/>
      <c r="BN25" s="34"/>
      <c r="BO25" s="34"/>
      <c r="BP25" s="34"/>
      <c r="BQ25" s="34"/>
      <c r="BR25" s="34"/>
      <c r="BS25" s="34"/>
      <c r="BT25" s="34"/>
      <c r="BU25" s="34"/>
      <c r="BV25" s="34"/>
      <c r="BW25" s="34"/>
      <c r="BX25" s="34"/>
      <c r="BY25" s="34"/>
      <c r="BZ25" s="34"/>
      <c r="CA25" s="34"/>
      <c r="CB25" s="34"/>
      <c r="CC25" s="34"/>
      <c r="CD25" s="34"/>
      <c r="CE25" s="34"/>
      <c r="CF25" s="34"/>
      <c r="CG25" s="34"/>
      <c r="CH25" s="34"/>
      <c r="CI25" s="34"/>
      <c r="CJ25" s="34"/>
      <c r="CK25" s="34"/>
      <c r="CL25" s="34"/>
      <c r="CM25" s="34"/>
      <c r="CN25" s="34"/>
      <c r="CO25" s="34"/>
      <c r="CP25" s="34"/>
      <c r="CQ25" s="34"/>
      <c r="CR25" s="34"/>
      <c r="CS25" s="34"/>
      <c r="CT25" s="34"/>
      <c r="CU25" s="34"/>
      <c r="CV25" s="34"/>
      <c r="CW25" s="34"/>
      <c r="CX25" s="34"/>
      <c r="CY25" s="34"/>
      <c r="CZ25" s="34"/>
      <c r="DA25" s="34"/>
      <c r="DB25" s="34"/>
      <c r="DC25" s="34"/>
      <c r="DD25" s="34"/>
      <c r="DE25" s="34"/>
      <c r="DF25" s="34"/>
      <c r="DG25" s="34"/>
      <c r="DH25" s="34"/>
      <c r="DI25" s="34"/>
      <c r="DJ25" s="34"/>
      <c r="DK25" s="34"/>
      <c r="DL25" s="34"/>
      <c r="DM25" s="34"/>
      <c r="DN25" s="34"/>
      <c r="DO25" s="34"/>
      <c r="DP25" s="34"/>
      <c r="DQ25" s="34"/>
      <c r="DR25" s="34"/>
      <c r="DS25" s="34"/>
      <c r="DT25" s="34"/>
      <c r="DU25" s="34"/>
      <c r="DV25" s="34"/>
      <c r="DW25" s="34"/>
      <c r="DX25" s="34"/>
      <c r="DY25" s="34"/>
      <c r="DZ25" s="34"/>
      <c r="EA25" s="34"/>
      <c r="EB25" s="34"/>
      <c r="EC25" s="34"/>
      <c r="ED25" s="34"/>
      <c r="EE25" s="34"/>
      <c r="EF25" s="34"/>
      <c r="EG25" s="34"/>
      <c r="EH25" s="34"/>
      <c r="EI25" s="34"/>
      <c r="EJ25" s="34"/>
      <c r="EK25" s="34"/>
      <c r="EL25" s="34"/>
      <c r="EM25" s="34"/>
      <c r="EN25" s="34"/>
      <c r="EO25" s="34"/>
      <c r="EP25" s="34"/>
      <c r="EQ25" s="34"/>
      <c r="ER25" s="34"/>
      <c r="ES25" s="34"/>
      <c r="ET25" s="34"/>
      <c r="EU25" s="34"/>
      <c r="EV25" s="34"/>
      <c r="EW25" s="34"/>
      <c r="EX25" s="34"/>
      <c r="EY25" s="34"/>
      <c r="EZ25" s="34"/>
      <c r="FA25" s="34"/>
      <c r="FB25" s="34"/>
      <c r="FC25" s="34"/>
      <c r="FD25" s="34"/>
      <c r="FE25" s="34"/>
      <c r="FF25" s="34"/>
      <c r="FG25" s="34"/>
      <c r="FH25" s="34"/>
      <c r="FI25" s="34"/>
      <c r="FJ25" s="34"/>
      <c r="FK25" s="34"/>
      <c r="FL25" s="34"/>
      <c r="FM25" s="34"/>
      <c r="FN25" s="34"/>
      <c r="FO25" s="34"/>
      <c r="FP25" s="34"/>
      <c r="FQ25" s="34"/>
      <c r="FR25" s="34"/>
      <c r="FS25" s="34"/>
      <c r="FT25" s="34"/>
      <c r="FU25" s="34"/>
      <c r="FV25" s="34"/>
      <c r="FW25" s="34"/>
      <c r="FX25" s="34"/>
      <c r="FY25" s="34"/>
      <c r="FZ25" s="34"/>
      <c r="GA25" s="34"/>
      <c r="GB25" s="34"/>
      <c r="GC25" s="34"/>
      <c r="GD25" s="34"/>
      <c r="GE25" s="34"/>
      <c r="GF25" s="34"/>
      <c r="GG25" s="34"/>
      <c r="GH25" s="34"/>
      <c r="GI25" s="34"/>
      <c r="GJ25" s="34"/>
      <c r="GK25" s="34"/>
      <c r="GL25" s="34"/>
      <c r="GM25" s="34"/>
      <c r="GN25" s="34"/>
      <c r="GO25" s="34"/>
      <c r="GP25" s="34"/>
      <c r="GQ25" s="34"/>
      <c r="GR25" s="34"/>
    </row>
    <row r="26" spans="1:200" s="38" customFormat="1" ht="15" customHeight="1" x14ac:dyDescent="0.3">
      <c r="A26" s="34" t="s">
        <v>241</v>
      </c>
      <c r="B26" s="34">
        <v>17</v>
      </c>
      <c r="C26" s="34">
        <v>6</v>
      </c>
      <c r="D26" s="34">
        <v>7</v>
      </c>
      <c r="E26" s="34">
        <v>2</v>
      </c>
      <c r="F26" s="34">
        <v>32</v>
      </c>
      <c r="G26" s="34"/>
      <c r="H26" s="34"/>
      <c r="I26" s="34"/>
      <c r="J26" s="34"/>
      <c r="K26" s="34"/>
      <c r="L26" s="34"/>
      <c r="M26" s="34"/>
      <c r="N26" s="34"/>
      <c r="O26" s="34"/>
      <c r="P26" s="34"/>
      <c r="Q26" s="34"/>
      <c r="R26" s="34"/>
      <c r="S26" s="34"/>
      <c r="T26" s="34"/>
      <c r="U26" s="34"/>
      <c r="V26" s="58"/>
      <c r="W26" s="58"/>
      <c r="X26" s="58"/>
      <c r="Y26" s="58"/>
      <c r="Z26" s="58"/>
      <c r="AA26" s="58"/>
      <c r="AB26" s="58"/>
      <c r="AC26" s="58"/>
      <c r="AD26" s="58"/>
      <c r="AE26" s="58"/>
      <c r="AF26" s="58"/>
      <c r="AG26" s="58"/>
      <c r="AH26" s="58"/>
      <c r="AI26" s="34"/>
      <c r="AJ26" s="34"/>
      <c r="AK26" s="34"/>
      <c r="AL26" s="34"/>
      <c r="AM26" s="34"/>
      <c r="AN26" s="34"/>
      <c r="AO26" s="34"/>
      <c r="AP26" s="34"/>
      <c r="AQ26" s="34"/>
      <c r="AR26" s="34"/>
      <c r="AS26" s="34"/>
      <c r="AT26" s="34"/>
      <c r="AU26" s="34"/>
      <c r="AV26" s="34"/>
      <c r="AW26" s="34"/>
      <c r="AX26" s="34"/>
      <c r="AY26" s="34"/>
      <c r="AZ26" s="34"/>
      <c r="BA26" s="34"/>
      <c r="BB26" s="34"/>
      <c r="BC26" s="34"/>
      <c r="BD26" s="34"/>
      <c r="BE26" s="34"/>
      <c r="BF26" s="34"/>
      <c r="BG26" s="34"/>
      <c r="BH26" s="34"/>
      <c r="BI26" s="34"/>
      <c r="BJ26" s="34"/>
      <c r="BK26" s="34"/>
      <c r="BL26" s="34"/>
      <c r="BM26" s="34"/>
      <c r="BN26" s="34"/>
      <c r="BO26" s="34"/>
      <c r="BP26" s="34"/>
      <c r="BQ26" s="34"/>
      <c r="BR26" s="34"/>
      <c r="BS26" s="34"/>
      <c r="BT26" s="34"/>
      <c r="BU26" s="34"/>
      <c r="BV26" s="34"/>
      <c r="BW26" s="34"/>
      <c r="BX26" s="34"/>
      <c r="BY26" s="34"/>
      <c r="BZ26" s="34"/>
      <c r="CA26" s="34"/>
      <c r="CB26" s="34"/>
      <c r="CC26" s="34"/>
      <c r="CD26" s="34"/>
      <c r="CE26" s="34"/>
      <c r="CF26" s="34"/>
      <c r="CG26" s="34"/>
      <c r="CH26" s="34"/>
      <c r="CI26" s="34"/>
      <c r="CJ26" s="34"/>
      <c r="CK26" s="34"/>
      <c r="CL26" s="34"/>
      <c r="CM26" s="34"/>
      <c r="CN26" s="34"/>
      <c r="CO26" s="34"/>
      <c r="CP26" s="34"/>
      <c r="CQ26" s="34"/>
      <c r="CR26" s="34"/>
      <c r="CS26" s="34"/>
      <c r="CT26" s="34"/>
      <c r="CU26" s="34"/>
      <c r="CV26" s="34"/>
      <c r="CW26" s="34"/>
      <c r="CX26" s="34"/>
      <c r="CY26" s="34"/>
      <c r="CZ26" s="34"/>
      <c r="DA26" s="34"/>
      <c r="DB26" s="34"/>
      <c r="DC26" s="34"/>
      <c r="DD26" s="34"/>
      <c r="DE26" s="34"/>
      <c r="DF26" s="34"/>
      <c r="DG26" s="34"/>
      <c r="DH26" s="34"/>
      <c r="DI26" s="34"/>
      <c r="DJ26" s="34"/>
      <c r="DK26" s="34"/>
      <c r="DL26" s="34"/>
      <c r="DM26" s="34"/>
      <c r="DN26" s="34"/>
      <c r="DO26" s="34"/>
      <c r="DP26" s="34"/>
      <c r="DQ26" s="34"/>
      <c r="DR26" s="34"/>
      <c r="DS26" s="34"/>
      <c r="DT26" s="34"/>
      <c r="DU26" s="34"/>
      <c r="DV26" s="34"/>
      <c r="DW26" s="34"/>
      <c r="DX26" s="34"/>
      <c r="DY26" s="34"/>
      <c r="DZ26" s="34"/>
      <c r="EA26" s="34"/>
      <c r="EB26" s="34"/>
      <c r="EC26" s="34"/>
      <c r="ED26" s="34"/>
      <c r="EE26" s="34"/>
      <c r="EF26" s="34"/>
      <c r="EG26" s="34"/>
      <c r="EH26" s="34"/>
      <c r="EI26" s="34"/>
      <c r="EJ26" s="34"/>
      <c r="EK26" s="34"/>
      <c r="EL26" s="34"/>
      <c r="EM26" s="34"/>
      <c r="EN26" s="34"/>
      <c r="EO26" s="34"/>
      <c r="EP26" s="34"/>
      <c r="EQ26" s="34"/>
      <c r="ER26" s="34"/>
      <c r="ES26" s="34"/>
      <c r="ET26" s="34"/>
      <c r="EU26" s="34"/>
      <c r="EV26" s="34"/>
      <c r="EW26" s="34"/>
      <c r="EX26" s="34"/>
      <c r="EY26" s="34"/>
      <c r="EZ26" s="34"/>
      <c r="FA26" s="34"/>
      <c r="FB26" s="34"/>
      <c r="FC26" s="34"/>
      <c r="FD26" s="34"/>
      <c r="FE26" s="34"/>
      <c r="FF26" s="34"/>
      <c r="FG26" s="34"/>
      <c r="FH26" s="34"/>
      <c r="FI26" s="34"/>
      <c r="FJ26" s="34"/>
      <c r="FK26" s="34"/>
      <c r="FL26" s="34"/>
      <c r="FM26" s="34"/>
      <c r="FN26" s="34"/>
      <c r="FO26" s="34"/>
      <c r="FP26" s="34"/>
      <c r="FQ26" s="34"/>
      <c r="FR26" s="34"/>
      <c r="FS26" s="34"/>
      <c r="FT26" s="34"/>
      <c r="FU26" s="34"/>
      <c r="FV26" s="34"/>
      <c r="FW26" s="34"/>
      <c r="FX26" s="34"/>
      <c r="FY26" s="34"/>
      <c r="FZ26" s="34"/>
      <c r="GA26" s="34"/>
      <c r="GB26" s="34"/>
      <c r="GC26" s="34"/>
      <c r="GD26" s="34"/>
      <c r="GE26" s="34"/>
      <c r="GF26" s="34"/>
      <c r="GG26" s="34"/>
      <c r="GH26" s="34"/>
      <c r="GI26" s="34"/>
      <c r="GJ26" s="34"/>
      <c r="GK26" s="34"/>
      <c r="GL26" s="34"/>
      <c r="GM26" s="34"/>
      <c r="GN26" s="34"/>
      <c r="GO26" s="34"/>
      <c r="GP26" s="34"/>
      <c r="GQ26" s="34"/>
      <c r="GR26" s="34"/>
    </row>
    <row r="27" spans="1:200" s="38" customFormat="1" ht="15" customHeight="1" x14ac:dyDescent="0.3">
      <c r="A27" s="34" t="s">
        <v>237</v>
      </c>
      <c r="B27" s="34">
        <v>8</v>
      </c>
      <c r="C27" s="34">
        <v>7</v>
      </c>
      <c r="D27" s="34">
        <v>12</v>
      </c>
      <c r="E27" s="34">
        <v>8</v>
      </c>
      <c r="F27" s="34">
        <v>35</v>
      </c>
      <c r="G27" s="34"/>
      <c r="H27" s="34"/>
      <c r="I27" s="34"/>
      <c r="J27" s="34"/>
      <c r="K27" s="34"/>
      <c r="L27" s="34"/>
      <c r="M27" s="34"/>
      <c r="N27" s="34"/>
      <c r="O27" s="34"/>
      <c r="P27" s="34"/>
      <c r="Q27" s="34"/>
      <c r="R27" s="34"/>
      <c r="S27" s="34"/>
      <c r="T27" s="34"/>
      <c r="U27" s="34"/>
      <c r="V27" s="58"/>
      <c r="W27" s="58"/>
      <c r="X27" s="58"/>
      <c r="Y27" s="58"/>
      <c r="Z27" s="58"/>
      <c r="AA27" s="58"/>
      <c r="AB27" s="58"/>
      <c r="AC27" s="58"/>
      <c r="AD27" s="58"/>
      <c r="AE27" s="58"/>
      <c r="AF27" s="58"/>
      <c r="AG27" s="58"/>
      <c r="AH27" s="58"/>
      <c r="AI27" s="34"/>
      <c r="AJ27" s="34"/>
      <c r="AK27" s="34"/>
      <c r="AL27" s="34"/>
      <c r="AM27" s="34"/>
      <c r="AN27" s="34"/>
      <c r="AO27" s="34"/>
      <c r="AP27" s="34"/>
      <c r="AQ27" s="34"/>
      <c r="AR27" s="34"/>
      <c r="AS27" s="34"/>
      <c r="AT27" s="34"/>
      <c r="AU27" s="34"/>
      <c r="AV27" s="34"/>
      <c r="AW27" s="34"/>
      <c r="AX27" s="34"/>
      <c r="AY27" s="34"/>
      <c r="AZ27" s="34"/>
      <c r="BA27" s="34"/>
      <c r="BB27" s="34"/>
      <c r="BC27" s="34"/>
      <c r="BD27" s="34"/>
      <c r="BE27" s="34"/>
      <c r="BF27" s="34"/>
      <c r="BG27" s="34"/>
      <c r="BH27" s="34"/>
      <c r="BI27" s="34"/>
      <c r="BJ27" s="34"/>
      <c r="BK27" s="34"/>
      <c r="BL27" s="34"/>
      <c r="BM27" s="34"/>
      <c r="BN27" s="34"/>
      <c r="BO27" s="34"/>
      <c r="BP27" s="34"/>
      <c r="BQ27" s="34"/>
      <c r="BR27" s="34"/>
      <c r="BS27" s="34"/>
      <c r="BT27" s="34"/>
      <c r="BU27" s="34"/>
      <c r="BV27" s="34"/>
      <c r="BW27" s="34"/>
      <c r="BX27" s="34"/>
      <c r="BY27" s="34"/>
      <c r="BZ27" s="34"/>
      <c r="CA27" s="34"/>
      <c r="CB27" s="34"/>
      <c r="CC27" s="34"/>
      <c r="CD27" s="34"/>
      <c r="CE27" s="34"/>
      <c r="CF27" s="34"/>
      <c r="CG27" s="34"/>
      <c r="CH27" s="34"/>
      <c r="CI27" s="34"/>
      <c r="CJ27" s="34"/>
      <c r="CK27" s="34"/>
      <c r="CL27" s="34"/>
      <c r="CM27" s="34"/>
      <c r="CN27" s="34"/>
      <c r="CO27" s="34"/>
      <c r="CP27" s="34"/>
      <c r="CQ27" s="34"/>
      <c r="CR27" s="34"/>
      <c r="CS27" s="34"/>
      <c r="CT27" s="34"/>
      <c r="CU27" s="34"/>
      <c r="CV27" s="34"/>
      <c r="CW27" s="34"/>
      <c r="CX27" s="34"/>
      <c r="CY27" s="34"/>
      <c r="CZ27" s="34"/>
      <c r="DA27" s="34"/>
      <c r="DB27" s="34"/>
      <c r="DC27" s="34"/>
      <c r="DD27" s="34"/>
      <c r="DE27" s="34"/>
      <c r="DF27" s="34"/>
      <c r="DG27" s="34"/>
      <c r="DH27" s="34"/>
      <c r="DI27" s="34"/>
      <c r="DJ27" s="34"/>
      <c r="DK27" s="34"/>
      <c r="DL27" s="34"/>
      <c r="DM27" s="34"/>
      <c r="DN27" s="34"/>
      <c r="DO27" s="34"/>
      <c r="DP27" s="34"/>
      <c r="DQ27" s="34"/>
      <c r="DR27" s="34"/>
      <c r="DS27" s="34"/>
      <c r="DT27" s="34"/>
      <c r="DU27" s="34"/>
      <c r="DV27" s="34"/>
      <c r="DW27" s="34"/>
      <c r="DX27" s="34"/>
      <c r="DY27" s="34"/>
      <c r="DZ27" s="34"/>
      <c r="EA27" s="34"/>
      <c r="EB27" s="34"/>
      <c r="EC27" s="34"/>
      <c r="ED27" s="34"/>
      <c r="EE27" s="34"/>
      <c r="EF27" s="34"/>
      <c r="EG27" s="34"/>
      <c r="EH27" s="34"/>
      <c r="EI27" s="34"/>
      <c r="EJ27" s="34"/>
      <c r="EK27" s="34"/>
      <c r="EL27" s="34"/>
      <c r="EM27" s="34"/>
      <c r="EN27" s="34"/>
      <c r="EO27" s="34"/>
      <c r="EP27" s="34"/>
      <c r="EQ27" s="34"/>
      <c r="ER27" s="34"/>
      <c r="ES27" s="34"/>
      <c r="ET27" s="34"/>
      <c r="EU27" s="34"/>
      <c r="EV27" s="34"/>
      <c r="EW27" s="34"/>
      <c r="EX27" s="34"/>
      <c r="EY27" s="34"/>
      <c r="EZ27" s="34"/>
      <c r="FA27" s="34"/>
      <c r="FB27" s="34"/>
      <c r="FC27" s="34"/>
      <c r="FD27" s="34"/>
      <c r="FE27" s="34"/>
      <c r="FF27" s="34"/>
      <c r="FG27" s="34"/>
      <c r="FH27" s="34"/>
      <c r="FI27" s="34"/>
      <c r="FJ27" s="34"/>
      <c r="FK27" s="34"/>
      <c r="FL27" s="34"/>
      <c r="FM27" s="34"/>
      <c r="FN27" s="34"/>
      <c r="FO27" s="34"/>
      <c r="FP27" s="34"/>
      <c r="FQ27" s="34"/>
      <c r="FR27" s="34"/>
      <c r="FS27" s="34"/>
      <c r="FT27" s="34"/>
      <c r="FU27" s="34"/>
      <c r="FV27" s="34"/>
      <c r="FW27" s="34"/>
      <c r="FX27" s="34"/>
      <c r="FY27" s="34"/>
      <c r="FZ27" s="34"/>
      <c r="GA27" s="34"/>
      <c r="GB27" s="34"/>
      <c r="GC27" s="34"/>
      <c r="GD27" s="34"/>
      <c r="GE27" s="34"/>
      <c r="GF27" s="34"/>
      <c r="GG27" s="34"/>
      <c r="GH27" s="34"/>
      <c r="GI27" s="34"/>
      <c r="GJ27" s="34"/>
      <c r="GK27" s="34"/>
      <c r="GL27" s="34"/>
      <c r="GM27" s="34"/>
      <c r="GN27" s="34"/>
      <c r="GO27" s="34"/>
      <c r="GP27" s="34"/>
      <c r="GQ27" s="34"/>
      <c r="GR27" s="34"/>
    </row>
    <row r="28" spans="1:200" s="38" customFormat="1" ht="15" customHeight="1" x14ac:dyDescent="0.3">
      <c r="A28" s="34" t="s">
        <v>247</v>
      </c>
      <c r="B28" s="34">
        <v>13</v>
      </c>
      <c r="C28" s="34">
        <v>4</v>
      </c>
      <c r="D28" s="34">
        <v>7</v>
      </c>
      <c r="E28" s="34">
        <v>1</v>
      </c>
      <c r="F28" s="34">
        <v>25</v>
      </c>
      <c r="G28" s="34"/>
      <c r="H28" s="34"/>
      <c r="I28" s="34"/>
      <c r="J28" s="34"/>
      <c r="K28" s="34"/>
      <c r="L28" s="34"/>
      <c r="M28" s="34"/>
      <c r="N28" s="34"/>
      <c r="O28" s="34"/>
      <c r="P28" s="34"/>
      <c r="Q28" s="34"/>
      <c r="R28" s="34"/>
      <c r="S28" s="34"/>
      <c r="T28" s="34"/>
      <c r="U28" s="34"/>
      <c r="V28" s="58"/>
      <c r="W28" s="58"/>
      <c r="X28" s="58"/>
      <c r="Y28" s="58"/>
      <c r="Z28" s="58"/>
      <c r="AA28" s="58"/>
      <c r="AB28" s="58"/>
      <c r="AC28" s="58"/>
      <c r="AD28" s="58"/>
      <c r="AE28" s="58"/>
      <c r="AF28" s="58"/>
      <c r="AG28" s="58"/>
      <c r="AH28" s="58"/>
      <c r="AI28" s="34"/>
      <c r="AJ28" s="34"/>
      <c r="AK28" s="34"/>
      <c r="AL28" s="34"/>
      <c r="AM28" s="34"/>
      <c r="AN28" s="34"/>
      <c r="AO28" s="34"/>
      <c r="AP28" s="34"/>
      <c r="AQ28" s="34"/>
      <c r="AR28" s="34"/>
      <c r="AS28" s="34"/>
      <c r="AT28" s="34"/>
      <c r="AU28" s="34"/>
      <c r="AV28" s="34"/>
      <c r="AW28" s="34"/>
      <c r="AX28" s="34"/>
      <c r="AY28" s="34"/>
      <c r="AZ28" s="34"/>
      <c r="BA28" s="34"/>
      <c r="BB28" s="34"/>
      <c r="BC28" s="34"/>
      <c r="BD28" s="34"/>
      <c r="BE28" s="34"/>
      <c r="BF28" s="34"/>
      <c r="BG28" s="34"/>
      <c r="BH28" s="34"/>
      <c r="BI28" s="34"/>
      <c r="BJ28" s="34"/>
      <c r="BK28" s="34"/>
      <c r="BL28" s="34"/>
      <c r="BM28" s="34"/>
      <c r="BN28" s="34"/>
      <c r="BO28" s="34"/>
      <c r="BP28" s="34"/>
      <c r="BQ28" s="34"/>
      <c r="BR28" s="34"/>
      <c r="BS28" s="34"/>
      <c r="BT28" s="34"/>
      <c r="BU28" s="34"/>
      <c r="BV28" s="34"/>
      <c r="BW28" s="34"/>
      <c r="BX28" s="34"/>
      <c r="BY28" s="34"/>
      <c r="BZ28" s="34"/>
      <c r="CA28" s="34"/>
      <c r="CB28" s="34"/>
      <c r="CC28" s="34"/>
      <c r="CD28" s="34"/>
      <c r="CE28" s="34"/>
      <c r="CF28" s="34"/>
      <c r="CG28" s="34"/>
      <c r="CH28" s="34"/>
      <c r="CI28" s="34"/>
      <c r="CJ28" s="34"/>
      <c r="CK28" s="34"/>
      <c r="CL28" s="34"/>
      <c r="CM28" s="34"/>
      <c r="CN28" s="34"/>
      <c r="CO28" s="34"/>
      <c r="CP28" s="34"/>
      <c r="CQ28" s="34"/>
      <c r="CR28" s="34"/>
      <c r="CS28" s="34"/>
      <c r="CT28" s="34"/>
      <c r="CU28" s="34"/>
      <c r="CV28" s="34"/>
      <c r="CW28" s="34"/>
      <c r="CX28" s="34"/>
      <c r="CY28" s="34"/>
      <c r="CZ28" s="34"/>
      <c r="DA28" s="34"/>
      <c r="DB28" s="34"/>
      <c r="DC28" s="34"/>
      <c r="DD28" s="34"/>
      <c r="DE28" s="34"/>
      <c r="DF28" s="34"/>
      <c r="DG28" s="34"/>
      <c r="DH28" s="34"/>
      <c r="DI28" s="34"/>
      <c r="DJ28" s="34"/>
      <c r="DK28" s="34"/>
      <c r="DL28" s="34"/>
      <c r="DM28" s="34"/>
      <c r="DN28" s="34"/>
      <c r="DO28" s="34"/>
      <c r="DP28" s="34"/>
      <c r="DQ28" s="34"/>
      <c r="DR28" s="34"/>
      <c r="DS28" s="34"/>
      <c r="DT28" s="34"/>
      <c r="DU28" s="34"/>
      <c r="DV28" s="34"/>
      <c r="DW28" s="34"/>
      <c r="DX28" s="34"/>
      <c r="DY28" s="34"/>
      <c r="DZ28" s="34"/>
      <c r="EA28" s="34"/>
      <c r="EB28" s="34"/>
      <c r="EC28" s="34"/>
      <c r="ED28" s="34"/>
      <c r="EE28" s="34"/>
      <c r="EF28" s="34"/>
      <c r="EG28" s="34"/>
      <c r="EH28" s="34"/>
      <c r="EI28" s="34"/>
      <c r="EJ28" s="34"/>
      <c r="EK28" s="34"/>
      <c r="EL28" s="34"/>
      <c r="EM28" s="34"/>
      <c r="EN28" s="34"/>
      <c r="EO28" s="34"/>
      <c r="EP28" s="34"/>
      <c r="EQ28" s="34"/>
      <c r="ER28" s="34"/>
      <c r="ES28" s="34"/>
      <c r="ET28" s="34"/>
      <c r="EU28" s="34"/>
      <c r="EV28" s="34"/>
      <c r="EW28" s="34"/>
      <c r="EX28" s="34"/>
      <c r="EY28" s="34"/>
      <c r="EZ28" s="34"/>
      <c r="FA28" s="34"/>
      <c r="FB28" s="34"/>
      <c r="FC28" s="34"/>
      <c r="FD28" s="34"/>
      <c r="FE28" s="34"/>
      <c r="FF28" s="34"/>
      <c r="FG28" s="34"/>
      <c r="FH28" s="34"/>
      <c r="FI28" s="34"/>
      <c r="FJ28" s="34"/>
      <c r="FK28" s="34"/>
      <c r="FL28" s="34"/>
      <c r="FM28" s="34"/>
      <c r="FN28" s="34"/>
      <c r="FO28" s="34"/>
      <c r="FP28" s="34"/>
      <c r="FQ28" s="34"/>
      <c r="FR28" s="34"/>
      <c r="FS28" s="34"/>
      <c r="FT28" s="34"/>
      <c r="FU28" s="34"/>
      <c r="FV28" s="34"/>
      <c r="FW28" s="34"/>
      <c r="FX28" s="34"/>
      <c r="FY28" s="34"/>
      <c r="FZ28" s="34"/>
      <c r="GA28" s="34"/>
      <c r="GB28" s="34"/>
      <c r="GC28" s="34"/>
      <c r="GD28" s="34"/>
      <c r="GE28" s="34"/>
      <c r="GF28" s="34"/>
      <c r="GG28" s="34"/>
      <c r="GH28" s="34"/>
      <c r="GI28" s="34"/>
      <c r="GJ28" s="34"/>
      <c r="GK28" s="34"/>
      <c r="GL28" s="34"/>
      <c r="GM28" s="34"/>
      <c r="GN28" s="34"/>
      <c r="GO28" s="34"/>
      <c r="GP28" s="34"/>
      <c r="GQ28" s="34"/>
      <c r="GR28" s="34"/>
    </row>
    <row r="29" spans="1:200" ht="15" customHeight="1" x14ac:dyDescent="0.3">
      <c r="A29" s="34" t="s">
        <v>3</v>
      </c>
      <c r="B29" s="34">
        <v>288</v>
      </c>
      <c r="C29" s="34">
        <v>158</v>
      </c>
      <c r="D29" s="34">
        <v>280</v>
      </c>
      <c r="E29" s="34">
        <v>176</v>
      </c>
      <c r="F29" s="34">
        <v>902</v>
      </c>
      <c r="V29" s="58"/>
      <c r="W29" s="58"/>
      <c r="X29" s="58"/>
      <c r="Y29" s="58"/>
      <c r="Z29" s="58"/>
      <c r="AA29" s="58"/>
      <c r="AB29" s="58"/>
      <c r="AC29" s="58"/>
      <c r="AD29" s="58"/>
      <c r="AE29" s="58"/>
      <c r="AF29" s="58"/>
      <c r="AG29" s="58"/>
      <c r="AH29" s="58"/>
    </row>
    <row r="30" spans="1:200" ht="15" customHeight="1" x14ac:dyDescent="0.3">
      <c r="V30" s="58"/>
      <c r="W30" s="58"/>
      <c r="X30" s="58"/>
      <c r="Y30" s="58"/>
      <c r="Z30" s="58"/>
      <c r="AA30" s="58"/>
      <c r="AB30" s="58"/>
      <c r="AC30" s="58"/>
      <c r="AD30" s="58"/>
      <c r="AE30" s="58"/>
      <c r="AF30" s="58"/>
      <c r="AG30" s="58"/>
    </row>
    <row r="31" spans="1:200" ht="15" customHeight="1" x14ac:dyDescent="0.3">
      <c r="V31" s="58"/>
      <c r="W31" s="58"/>
      <c r="X31" s="58"/>
      <c r="Y31" s="58"/>
      <c r="Z31" s="58"/>
      <c r="AA31" s="58"/>
      <c r="AB31" s="58"/>
      <c r="AC31" s="58"/>
      <c r="AD31" s="58"/>
      <c r="AE31" s="58"/>
      <c r="AF31" s="58"/>
      <c r="AG31" s="58"/>
      <c r="AH31" s="58"/>
    </row>
    <row r="32" spans="1:200" ht="15" customHeight="1" x14ac:dyDescent="0.3">
      <c r="V32" s="58"/>
      <c r="W32" s="58"/>
      <c r="X32" s="58"/>
      <c r="Y32" s="58"/>
      <c r="Z32" s="58"/>
      <c r="AA32" s="58"/>
      <c r="AB32" s="58"/>
      <c r="AC32" s="58"/>
      <c r="AD32" s="58"/>
      <c r="AE32" s="58"/>
      <c r="AF32" s="58"/>
      <c r="AG32" s="58"/>
      <c r="AH32" s="58"/>
    </row>
    <row r="33" spans="22:36" ht="15" customHeight="1" x14ac:dyDescent="0.3">
      <c r="V33" s="58"/>
      <c r="W33" s="58"/>
      <c r="X33" s="58"/>
      <c r="Y33" s="58"/>
      <c r="Z33" s="58"/>
      <c r="AA33" s="58"/>
      <c r="AB33" s="58"/>
      <c r="AC33" s="58"/>
      <c r="AD33" s="58"/>
      <c r="AE33" s="58"/>
      <c r="AF33" s="58"/>
      <c r="AG33" s="58"/>
      <c r="AH33" s="58"/>
    </row>
    <row r="34" spans="22:36" ht="15" customHeight="1" x14ac:dyDescent="0.3">
      <c r="V34" s="58"/>
      <c r="W34" s="58"/>
      <c r="X34" s="58"/>
      <c r="Y34" s="58"/>
      <c r="Z34" s="58"/>
      <c r="AA34" s="58"/>
      <c r="AB34" s="58"/>
      <c r="AC34" s="58"/>
      <c r="AD34" s="58"/>
      <c r="AE34" s="58"/>
      <c r="AF34" s="58"/>
      <c r="AG34" s="58"/>
      <c r="AH34" s="58"/>
    </row>
    <row r="35" spans="22:36" ht="15" customHeight="1" x14ac:dyDescent="0.3">
      <c r="V35" s="58"/>
      <c r="W35" s="58"/>
      <c r="X35" s="58"/>
      <c r="Y35" s="58"/>
      <c r="Z35" s="58"/>
      <c r="AA35" s="58"/>
      <c r="AB35" s="58"/>
      <c r="AC35" s="58"/>
      <c r="AD35" s="58"/>
      <c r="AE35" s="58"/>
      <c r="AF35" s="58"/>
      <c r="AG35" s="58"/>
      <c r="AH35" s="58"/>
    </row>
    <row r="36" spans="22:36" ht="15" customHeight="1" x14ac:dyDescent="0.3">
      <c r="V36" s="58"/>
      <c r="W36" s="58"/>
      <c r="X36" s="58"/>
      <c r="Y36" s="58"/>
      <c r="Z36" s="58"/>
      <c r="AA36" s="58"/>
      <c r="AB36" s="58"/>
      <c r="AC36" s="58"/>
      <c r="AD36" s="58"/>
      <c r="AE36" s="58"/>
      <c r="AF36" s="58"/>
      <c r="AG36" s="58"/>
      <c r="AH36" s="58"/>
    </row>
    <row r="37" spans="22:36" ht="15" customHeight="1" x14ac:dyDescent="0.3">
      <c r="V37" s="58"/>
      <c r="W37" s="58"/>
      <c r="X37" s="58"/>
      <c r="Y37" s="58"/>
      <c r="Z37" s="58"/>
      <c r="AA37" s="58"/>
      <c r="AB37" s="58"/>
      <c r="AC37" s="58"/>
      <c r="AD37" s="58"/>
      <c r="AE37" s="58"/>
      <c r="AF37" s="58"/>
      <c r="AG37" s="58"/>
      <c r="AH37" s="58"/>
    </row>
    <row r="38" spans="22:36" ht="15" customHeight="1" x14ac:dyDescent="0.3">
      <c r="V38" s="58"/>
      <c r="W38" s="58"/>
      <c r="X38" s="58"/>
      <c r="Y38" s="58"/>
      <c r="Z38" s="58"/>
      <c r="AA38" s="58"/>
      <c r="AB38" s="58"/>
      <c r="AC38" s="58"/>
      <c r="AD38" s="58"/>
      <c r="AE38" s="58"/>
      <c r="AF38" s="58"/>
      <c r="AG38" s="58"/>
      <c r="AH38" s="58"/>
      <c r="AJ38" s="39"/>
    </row>
    <row r="39" spans="22:36" ht="15" customHeight="1" x14ac:dyDescent="0.3">
      <c r="V39" s="58"/>
      <c r="W39" s="58"/>
      <c r="X39" s="58"/>
      <c r="Y39" s="58"/>
      <c r="Z39" s="58"/>
      <c r="AA39" s="58"/>
      <c r="AB39" s="58"/>
      <c r="AC39" s="58"/>
      <c r="AD39" s="58"/>
      <c r="AE39" s="58"/>
      <c r="AF39" s="58"/>
      <c r="AG39" s="58"/>
      <c r="AH39" s="58"/>
    </row>
  </sheetData>
  <phoneticPr fontId="13" type="noConversion"/>
  <printOptions horizontalCentered="1" verticalCentered="1"/>
  <pageMargins left="0" right="0" top="0" bottom="0" header="0" footer="0"/>
  <pageSetup paperSize="9" scale="75" orientation="landscape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48249F-D490-406F-8C04-5744A057008E}">
  <sheetPr>
    <tabColor theme="5" tint="-0.249977111117893"/>
    <pageSetUpPr fitToPage="1"/>
  </sheetPr>
  <dimension ref="A1:K49"/>
  <sheetViews>
    <sheetView zoomScale="40" zoomScaleNormal="40" zoomScaleSheetLayoutView="75" workbookViewId="0">
      <selection activeCell="A2" sqref="A2:F47"/>
    </sheetView>
  </sheetViews>
  <sheetFormatPr defaultColWidth="9" defaultRowHeight="16.5" x14ac:dyDescent="0.3"/>
  <cols>
    <col min="1" max="1" width="24.75" style="34" customWidth="1"/>
    <col min="2" max="2" width="7.625" style="38" customWidth="1"/>
    <col min="3" max="3" width="30.625" style="34" customWidth="1"/>
    <col min="4" max="4" width="9.875" style="2" customWidth="1"/>
    <col min="5" max="5" width="11.375" style="34" customWidth="1"/>
    <col min="6" max="6" width="11.125" style="2" customWidth="1"/>
    <col min="7" max="7" width="8.375" style="34" customWidth="1"/>
    <col min="8" max="8" width="9" style="34" customWidth="1"/>
    <col min="9" max="13" width="9" style="34"/>
    <col min="14" max="14" width="10.625" style="34" customWidth="1"/>
    <col min="15" max="17" width="9" style="34"/>
    <col min="18" max="18" width="36.5" style="34" bestFit="1" customWidth="1"/>
    <col min="19" max="16384" width="9" style="34"/>
  </cols>
  <sheetData>
    <row r="1" spans="1:11" ht="25.9" customHeight="1" thickBot="1" x14ac:dyDescent="0.35">
      <c r="A1" s="270"/>
      <c r="B1" s="270"/>
      <c r="C1" s="270"/>
      <c r="D1" s="270"/>
      <c r="E1" s="270"/>
      <c r="F1" s="270"/>
    </row>
    <row r="2" spans="1:11" ht="25.9" customHeight="1" x14ac:dyDescent="0.3">
      <c r="A2" s="215">
        <f ca="1">TODAY()</f>
        <v>46314</v>
      </c>
      <c r="B2" s="287" t="s">
        <v>263</v>
      </c>
      <c r="C2" s="287"/>
      <c r="D2" s="287"/>
      <c r="E2" s="287"/>
      <c r="F2" s="288"/>
      <c r="G2" s="67"/>
      <c r="H2" s="67"/>
    </row>
    <row r="3" spans="1:11" ht="40.5" customHeight="1" x14ac:dyDescent="0.3">
      <c r="A3" s="222" t="s">
        <v>67</v>
      </c>
      <c r="B3" s="223" t="s">
        <v>13</v>
      </c>
      <c r="C3" s="229" t="s">
        <v>353</v>
      </c>
      <c r="D3" s="230" t="s">
        <v>2</v>
      </c>
      <c r="E3" s="229" t="s">
        <v>23</v>
      </c>
      <c r="F3" s="231" t="s">
        <v>14</v>
      </c>
      <c r="G3" s="67"/>
      <c r="H3" s="67"/>
    </row>
    <row r="4" spans="1:11" ht="25.35" customHeight="1" x14ac:dyDescent="0.3">
      <c r="A4" s="220" t="s">
        <v>260</v>
      </c>
      <c r="B4" s="224">
        <v>48</v>
      </c>
      <c r="C4" s="227">
        <f>IFERROR(VLOOKUP(A4,'참조은 피벗(냉장 베이글)'!A:SD,2,FALSE),0)</f>
        <v>10</v>
      </c>
      <c r="D4" s="227">
        <f t="shared" ref="D4:D18" si="0">IFERROR(ROUNDDOWN(C4/B4,0),"")</f>
        <v>0</v>
      </c>
      <c r="E4" s="51" t="s">
        <v>109</v>
      </c>
      <c r="F4" s="228">
        <f t="shared" ref="F4:F18" si="1">IFERROR(C4-(D4*B4),"")</f>
        <v>10</v>
      </c>
      <c r="G4" s="67"/>
      <c r="H4" s="67"/>
      <c r="J4" s="73"/>
      <c r="K4" s="73"/>
    </row>
    <row r="5" spans="1:11" ht="25.35" customHeight="1" x14ac:dyDescent="0.3">
      <c r="A5" s="221" t="s">
        <v>255</v>
      </c>
      <c r="B5" s="224">
        <f t="shared" ref="B5:B18" si="2">$B$4</f>
        <v>48</v>
      </c>
      <c r="C5" s="227">
        <f>IFERROR(VLOOKUP(A5,'참조은 피벗(냉장 베이글)'!A:SD,2,FALSE),0)</f>
        <v>27</v>
      </c>
      <c r="D5" s="227">
        <f t="shared" si="0"/>
        <v>0</v>
      </c>
      <c r="E5" s="51" t="s">
        <v>335</v>
      </c>
      <c r="F5" s="228">
        <f t="shared" si="1"/>
        <v>27</v>
      </c>
      <c r="G5" s="67"/>
      <c r="H5" s="67"/>
      <c r="J5" s="73"/>
      <c r="K5" s="73"/>
    </row>
    <row r="6" spans="1:11" ht="25.35" customHeight="1" x14ac:dyDescent="0.3">
      <c r="A6" s="221" t="s">
        <v>249</v>
      </c>
      <c r="B6" s="224">
        <f t="shared" si="2"/>
        <v>48</v>
      </c>
      <c r="C6" s="227">
        <f>IFERROR(VLOOKUP(A6,'참조은 피벗(냉장 베이글)'!A:SD,2,FALSE),0)</f>
        <v>8</v>
      </c>
      <c r="D6" s="227">
        <f>IFERROR(ROUNDDOWN(C6/B6,0),"")</f>
        <v>0</v>
      </c>
      <c r="E6" s="51" t="s">
        <v>272</v>
      </c>
      <c r="F6" s="228">
        <f>IFERROR(C6-(D6*B6),"")</f>
        <v>8</v>
      </c>
      <c r="G6" s="67"/>
      <c r="H6" s="67"/>
      <c r="J6" s="73"/>
      <c r="K6" s="73"/>
    </row>
    <row r="7" spans="1:11" ht="25.35" customHeight="1" x14ac:dyDescent="0.3">
      <c r="A7" s="221" t="s">
        <v>250</v>
      </c>
      <c r="B7" s="224">
        <f t="shared" si="2"/>
        <v>48</v>
      </c>
      <c r="C7" s="227">
        <f>IFERROR(VLOOKUP(A7,'참조은 피벗(냉장 베이글)'!A:SD,2,FALSE),0)</f>
        <v>9</v>
      </c>
      <c r="D7" s="227">
        <f>IFERROR(ROUNDDOWN(C7/B7,0),"")</f>
        <v>0</v>
      </c>
      <c r="E7" s="51" t="s">
        <v>273</v>
      </c>
      <c r="F7" s="228">
        <f>IFERROR(C7-(D7*B7),"")</f>
        <v>9</v>
      </c>
      <c r="G7" s="67"/>
      <c r="H7" s="67"/>
      <c r="J7" s="73"/>
      <c r="K7" s="73"/>
    </row>
    <row r="8" spans="1:11" ht="25.35" customHeight="1" x14ac:dyDescent="0.3">
      <c r="A8" s="221" t="s">
        <v>248</v>
      </c>
      <c r="B8" s="224">
        <f t="shared" si="2"/>
        <v>48</v>
      </c>
      <c r="C8" s="227">
        <f>IFERROR(VLOOKUP(A8,'참조은 피벗(냉장 베이글)'!A:SD,2,FALSE),0)</f>
        <v>13</v>
      </c>
      <c r="D8" s="227">
        <f>IFERROR(ROUNDDOWN(C8/B8,0),"")</f>
        <v>0</v>
      </c>
      <c r="E8" s="51" t="s">
        <v>271</v>
      </c>
      <c r="F8" s="228">
        <f>IFERROR(C8-(D8*B8),"")</f>
        <v>13</v>
      </c>
      <c r="G8" s="67"/>
      <c r="H8" s="67"/>
      <c r="J8" s="73"/>
      <c r="K8" s="73"/>
    </row>
    <row r="9" spans="1:11" ht="25.35" customHeight="1" x14ac:dyDescent="0.3">
      <c r="A9" s="221" t="s">
        <v>246</v>
      </c>
      <c r="B9" s="224">
        <f t="shared" si="2"/>
        <v>48</v>
      </c>
      <c r="C9" s="227">
        <f>IFERROR(VLOOKUP(A9,'참조은 피벗(냉장 베이글)'!A:SD,2,FALSE),0)</f>
        <v>12</v>
      </c>
      <c r="D9" s="227">
        <f t="shared" si="0"/>
        <v>0</v>
      </c>
      <c r="E9" s="51" t="s">
        <v>270</v>
      </c>
      <c r="F9" s="228">
        <f t="shared" si="1"/>
        <v>12</v>
      </c>
      <c r="G9" s="67"/>
      <c r="H9" s="67"/>
      <c r="J9" s="73"/>
      <c r="K9" s="73"/>
    </row>
    <row r="10" spans="1:11" ht="25.35" customHeight="1" x14ac:dyDescent="0.3">
      <c r="A10" s="221" t="s">
        <v>256</v>
      </c>
      <c r="B10" s="224">
        <f t="shared" si="2"/>
        <v>48</v>
      </c>
      <c r="C10" s="227">
        <f>IFERROR(VLOOKUP(A10,'참조은 피벗(냉장 베이글)'!A:SD,2,FALSE),0)</f>
        <v>13</v>
      </c>
      <c r="D10" s="227">
        <f>IFERROR(ROUNDDOWN(C10/B10,0),"")</f>
        <v>0</v>
      </c>
      <c r="E10" s="51" t="s">
        <v>278</v>
      </c>
      <c r="F10" s="228">
        <f>IFERROR(C10-(D10*B10),"")</f>
        <v>13</v>
      </c>
      <c r="G10" s="67"/>
      <c r="H10" s="67"/>
      <c r="J10" s="73"/>
      <c r="K10" s="73"/>
    </row>
    <row r="11" spans="1:11" ht="25.35" customHeight="1" x14ac:dyDescent="0.3">
      <c r="A11" s="221" t="s">
        <v>247</v>
      </c>
      <c r="B11" s="224">
        <f t="shared" si="2"/>
        <v>48</v>
      </c>
      <c r="C11" s="227">
        <f>IFERROR(VLOOKUP(A11,'참조은 피벗(냉장 베이글)'!A:SD,2,FALSE),0)</f>
        <v>13</v>
      </c>
      <c r="D11" s="227">
        <f t="shared" si="0"/>
        <v>0</v>
      </c>
      <c r="E11" s="51" t="s">
        <v>334</v>
      </c>
      <c r="F11" s="228">
        <f t="shared" si="1"/>
        <v>13</v>
      </c>
      <c r="G11" s="67"/>
      <c r="H11" s="67"/>
      <c r="J11" s="73"/>
      <c r="K11" s="73"/>
    </row>
    <row r="12" spans="1:11" ht="25.35" customHeight="1" x14ac:dyDescent="0.3">
      <c r="A12" s="221" t="s">
        <v>251</v>
      </c>
      <c r="B12" s="224">
        <f t="shared" si="2"/>
        <v>48</v>
      </c>
      <c r="C12" s="227">
        <f>IFERROR(VLOOKUP(A12,'참조은 피벗(냉장 베이글)'!A:SD,2,FALSE),0)</f>
        <v>10</v>
      </c>
      <c r="D12" s="227">
        <f t="shared" si="0"/>
        <v>0</v>
      </c>
      <c r="E12" s="51" t="s">
        <v>274</v>
      </c>
      <c r="F12" s="228">
        <f t="shared" si="1"/>
        <v>10</v>
      </c>
      <c r="G12" s="67"/>
      <c r="H12" s="67"/>
      <c r="J12" s="73"/>
      <c r="K12" s="73"/>
    </row>
    <row r="13" spans="1:11" ht="25.35" customHeight="1" x14ac:dyDescent="0.3">
      <c r="A13" s="220" t="s">
        <v>252</v>
      </c>
      <c r="B13" s="224">
        <f t="shared" si="2"/>
        <v>48</v>
      </c>
      <c r="C13" s="227">
        <f>IFERROR(VLOOKUP(A13,'참조은 피벗(냉장 베이글)'!A:SD,2,FALSE),0)</f>
        <v>8</v>
      </c>
      <c r="D13" s="227">
        <f t="shared" si="0"/>
        <v>0</v>
      </c>
      <c r="E13" s="51" t="s">
        <v>275</v>
      </c>
      <c r="F13" s="228">
        <f t="shared" si="1"/>
        <v>8</v>
      </c>
      <c r="G13" s="67"/>
      <c r="H13" s="67"/>
      <c r="J13" s="73"/>
      <c r="K13" s="73"/>
    </row>
    <row r="14" spans="1:11" ht="25.35" customHeight="1" x14ac:dyDescent="0.3">
      <c r="A14" s="221" t="s">
        <v>253</v>
      </c>
      <c r="B14" s="224">
        <f t="shared" si="2"/>
        <v>48</v>
      </c>
      <c r="C14" s="227">
        <f>IFERROR(VLOOKUP(A14,'참조은 피벗(냉장 베이글)'!A:SD,2,FALSE),0)</f>
        <v>25</v>
      </c>
      <c r="D14" s="227">
        <f t="shared" si="0"/>
        <v>0</v>
      </c>
      <c r="E14" s="51" t="s">
        <v>276</v>
      </c>
      <c r="F14" s="228">
        <f t="shared" si="1"/>
        <v>25</v>
      </c>
      <c r="G14" s="67"/>
      <c r="H14" s="67"/>
      <c r="J14" s="73"/>
      <c r="K14" s="73"/>
    </row>
    <row r="15" spans="1:11" ht="25.35" customHeight="1" x14ac:dyDescent="0.3">
      <c r="A15" s="221" t="s">
        <v>254</v>
      </c>
      <c r="B15" s="224">
        <f t="shared" si="2"/>
        <v>48</v>
      </c>
      <c r="C15" s="227">
        <f>IFERROR(VLOOKUP(A15,'참조은 피벗(냉장 베이글)'!A:SD,2,FALSE),0)</f>
        <v>18</v>
      </c>
      <c r="D15" s="227">
        <f t="shared" si="0"/>
        <v>0</v>
      </c>
      <c r="E15" s="51" t="s">
        <v>277</v>
      </c>
      <c r="F15" s="228">
        <f t="shared" si="1"/>
        <v>18</v>
      </c>
      <c r="G15" s="67"/>
      <c r="H15" s="67"/>
      <c r="J15" s="73"/>
      <c r="K15" s="73"/>
    </row>
    <row r="16" spans="1:11" ht="25.35" customHeight="1" x14ac:dyDescent="0.3">
      <c r="A16" s="221" t="s">
        <v>257</v>
      </c>
      <c r="B16" s="224">
        <f t="shared" si="2"/>
        <v>48</v>
      </c>
      <c r="C16" s="227">
        <f>IFERROR(VLOOKUP(A16,'참조은 피벗(냉장 베이글)'!A:SD,2,FALSE),0)</f>
        <v>1</v>
      </c>
      <c r="D16" s="227">
        <f t="shared" si="0"/>
        <v>0</v>
      </c>
      <c r="E16" s="51" t="s">
        <v>279</v>
      </c>
      <c r="F16" s="228">
        <f t="shared" si="1"/>
        <v>1</v>
      </c>
      <c r="G16" s="67"/>
      <c r="H16" s="67"/>
      <c r="J16" s="73"/>
      <c r="K16" s="73"/>
    </row>
    <row r="17" spans="1:11" ht="25.35" customHeight="1" x14ac:dyDescent="0.3">
      <c r="A17" s="221" t="s">
        <v>258</v>
      </c>
      <c r="B17" s="224">
        <f t="shared" si="2"/>
        <v>48</v>
      </c>
      <c r="C17" s="227">
        <f>IFERROR(VLOOKUP(A17,'참조은 피벗(냉장 베이글)'!A:SD,2,FALSE),0)</f>
        <v>8</v>
      </c>
      <c r="D17" s="227">
        <f t="shared" si="0"/>
        <v>0</v>
      </c>
      <c r="E17" s="51" t="s">
        <v>280</v>
      </c>
      <c r="F17" s="228">
        <f t="shared" si="1"/>
        <v>8</v>
      </c>
      <c r="G17" s="67"/>
      <c r="H17" s="67"/>
      <c r="J17" s="73"/>
      <c r="K17" s="73"/>
    </row>
    <row r="18" spans="1:11" ht="25.35" customHeight="1" x14ac:dyDescent="0.3">
      <c r="A18" s="221" t="s">
        <v>259</v>
      </c>
      <c r="B18" s="224">
        <f t="shared" si="2"/>
        <v>48</v>
      </c>
      <c r="C18" s="227">
        <f>IFERROR(VLOOKUP(A18,'참조은 피벗(냉장 베이글)'!A:SD,2,FALSE),0)</f>
        <v>11</v>
      </c>
      <c r="D18" s="227">
        <f t="shared" si="0"/>
        <v>0</v>
      </c>
      <c r="E18" s="51" t="s">
        <v>336</v>
      </c>
      <c r="F18" s="228">
        <f t="shared" si="1"/>
        <v>11</v>
      </c>
      <c r="G18" s="67"/>
      <c r="H18" s="67"/>
      <c r="J18" s="73"/>
      <c r="K18" s="73"/>
    </row>
    <row r="19" spans="1:11" ht="4.5" customHeight="1" x14ac:dyDescent="0.3">
      <c r="A19" s="284"/>
      <c r="B19" s="285"/>
      <c r="C19" s="285"/>
      <c r="D19" s="285"/>
      <c r="E19" s="285"/>
      <c r="F19" s="286"/>
      <c r="J19" s="73"/>
      <c r="K19" s="73"/>
    </row>
    <row r="20" spans="1:11" ht="32.450000000000003" customHeight="1" x14ac:dyDescent="0.3">
      <c r="A20" s="211" t="s">
        <v>122</v>
      </c>
      <c r="B20" s="225">
        <f>$B$4</f>
        <v>48</v>
      </c>
      <c r="C20" s="212">
        <f>SUM(C4:C18)</f>
        <v>186</v>
      </c>
      <c r="D20" s="55">
        <f>IFERROR(ROUNDDOWN(C20/B20,0),"")</f>
        <v>3</v>
      </c>
      <c r="E20" s="213"/>
      <c r="F20" s="214">
        <f>IFERROR(C20-(D20*B20),"")</f>
        <v>42</v>
      </c>
      <c r="J20" s="73"/>
      <c r="K20" s="73"/>
    </row>
    <row r="21" spans="1:11" ht="4.5" customHeight="1" x14ac:dyDescent="0.3">
      <c r="A21" s="183"/>
      <c r="B21" s="224"/>
      <c r="C21" s="50"/>
      <c r="D21" s="50"/>
      <c r="E21" s="50"/>
      <c r="F21" s="184"/>
      <c r="J21" s="73"/>
      <c r="K21" s="73"/>
    </row>
    <row r="22" spans="1:11" ht="25.35" customHeight="1" x14ac:dyDescent="0.3">
      <c r="A22" s="221" t="s">
        <v>241</v>
      </c>
      <c r="B22" s="224">
        <f t="shared" ref="B22:B26" si="3">$B$4</f>
        <v>48</v>
      </c>
      <c r="C22" s="227">
        <f>IFERROR(VLOOKUP(A22,'참조은 피벗(냉장 베이글)'!A:SD,2,FALSE),0)</f>
        <v>17</v>
      </c>
      <c r="D22" s="227">
        <f>IFERROR(ROUNDDOWN(C22/B22,0),"")</f>
        <v>0</v>
      </c>
      <c r="E22" s="51" t="s">
        <v>268</v>
      </c>
      <c r="F22" s="228">
        <f>IFERROR(C22-(D22*B22),"")</f>
        <v>17</v>
      </c>
      <c r="G22" s="67"/>
      <c r="H22" s="67"/>
      <c r="J22" s="73"/>
      <c r="K22" s="73"/>
    </row>
    <row r="23" spans="1:11" ht="25.35" customHeight="1" x14ac:dyDescent="0.3">
      <c r="A23" s="221" t="s">
        <v>242</v>
      </c>
      <c r="B23" s="224">
        <f t="shared" si="3"/>
        <v>48</v>
      </c>
      <c r="C23" s="227">
        <f>IFERROR(VLOOKUP(A23,'참조은 피벗(냉장 베이글)'!A:SD,2,FALSE),0)</f>
        <v>7</v>
      </c>
      <c r="D23" s="227">
        <f>IFERROR(ROUNDDOWN(C23/B23,0),"")</f>
        <v>0</v>
      </c>
      <c r="E23" s="51" t="s">
        <v>337</v>
      </c>
      <c r="F23" s="228">
        <f>IFERROR(C23-(D23*B23),"")</f>
        <v>7</v>
      </c>
      <c r="G23" s="67"/>
      <c r="H23" s="67"/>
      <c r="J23" s="73"/>
      <c r="K23" s="73"/>
    </row>
    <row r="24" spans="1:11" ht="25.35" customHeight="1" x14ac:dyDescent="0.3">
      <c r="A24" s="221" t="s">
        <v>243</v>
      </c>
      <c r="B24" s="224">
        <f t="shared" si="3"/>
        <v>48</v>
      </c>
      <c r="C24" s="227">
        <f>IFERROR(VLOOKUP(A24,'참조은 피벗(냉장 베이글)'!A:SD,2,FALSE),0)</f>
        <v>0</v>
      </c>
      <c r="D24" s="227">
        <f>IFERROR(ROUNDDOWN(C24/B24,0),"")</f>
        <v>0</v>
      </c>
      <c r="E24" s="51" t="s">
        <v>106</v>
      </c>
      <c r="F24" s="228">
        <f>IFERROR(C24-(D24*B24),"")</f>
        <v>0</v>
      </c>
      <c r="G24" s="67"/>
      <c r="H24" s="67"/>
      <c r="J24" s="73"/>
      <c r="K24" s="73"/>
    </row>
    <row r="25" spans="1:11" ht="25.35" customHeight="1" x14ac:dyDescent="0.3">
      <c r="A25" s="221" t="s">
        <v>244</v>
      </c>
      <c r="B25" s="224">
        <f t="shared" si="3"/>
        <v>48</v>
      </c>
      <c r="C25" s="227">
        <f>IFERROR(VLOOKUP(A25,'참조은 피벗(냉장 베이글)'!A:SD,2,FALSE),0)</f>
        <v>21</v>
      </c>
      <c r="D25" s="227">
        <f>IFERROR(ROUNDDOWN(C25/B25,0),"")</f>
        <v>0</v>
      </c>
      <c r="E25" s="51" t="s">
        <v>269</v>
      </c>
      <c r="F25" s="228">
        <f>IFERROR(C25-(D25*B25),"")</f>
        <v>21</v>
      </c>
      <c r="G25" s="67"/>
      <c r="H25" s="67"/>
      <c r="J25" s="73"/>
      <c r="K25" s="73"/>
    </row>
    <row r="26" spans="1:11" ht="25.35" customHeight="1" x14ac:dyDescent="0.3">
      <c r="A26" s="221" t="s">
        <v>245</v>
      </c>
      <c r="B26" s="224">
        <f t="shared" si="3"/>
        <v>48</v>
      </c>
      <c r="C26" s="227">
        <f>IFERROR(VLOOKUP(A26,'참조은 피벗(냉장 베이글)'!A:SD,2,FALSE),0)</f>
        <v>5</v>
      </c>
      <c r="D26" s="227">
        <f>IFERROR(ROUNDDOWN(C26/B26,0),"")</f>
        <v>0</v>
      </c>
      <c r="E26" s="51" t="s">
        <v>118</v>
      </c>
      <c r="F26" s="228">
        <f>IFERROR(C26-(D26*B26),"")</f>
        <v>5</v>
      </c>
      <c r="G26" s="67"/>
      <c r="H26" s="67"/>
      <c r="J26" s="73"/>
      <c r="K26" s="73"/>
    </row>
    <row r="27" spans="1:11" ht="4.5" customHeight="1" x14ac:dyDescent="0.3">
      <c r="A27" s="284"/>
      <c r="B27" s="285"/>
      <c r="C27" s="285"/>
      <c r="D27" s="285"/>
      <c r="E27" s="285"/>
      <c r="F27" s="286"/>
      <c r="G27" s="67"/>
      <c r="H27" s="67"/>
      <c r="J27" s="73"/>
      <c r="K27" s="73"/>
    </row>
    <row r="28" spans="1:11" ht="32.450000000000003" customHeight="1" x14ac:dyDescent="0.3">
      <c r="A28" s="211" t="s">
        <v>285</v>
      </c>
      <c r="B28" s="225">
        <f>$B$4</f>
        <v>48</v>
      </c>
      <c r="C28" s="212">
        <f>SUM(C22:C26)</f>
        <v>50</v>
      </c>
      <c r="D28" s="55">
        <f>IFERROR(ROUNDDOWN(C28/B28,0),"")</f>
        <v>1</v>
      </c>
      <c r="E28" s="213"/>
      <c r="F28" s="214">
        <f>IFERROR(C28-(D28*B28),"")</f>
        <v>2</v>
      </c>
      <c r="G28" s="67"/>
      <c r="H28" s="67"/>
      <c r="J28" s="73"/>
      <c r="K28" s="73"/>
    </row>
    <row r="29" spans="1:11" ht="4.5" customHeight="1" x14ac:dyDescent="0.3">
      <c r="A29" s="284"/>
      <c r="B29" s="285"/>
      <c r="C29" s="285"/>
      <c r="D29" s="285"/>
      <c r="E29" s="285"/>
      <c r="F29" s="286"/>
      <c r="G29" s="67"/>
      <c r="H29" s="67"/>
      <c r="J29" s="73"/>
      <c r="K29" s="73"/>
    </row>
    <row r="30" spans="1:11" ht="25.35" customHeight="1" x14ac:dyDescent="0.3">
      <c r="A30" s="221" t="s">
        <v>239</v>
      </c>
      <c r="B30" s="224">
        <f t="shared" ref="B30:B31" si="4">$B$4</f>
        <v>48</v>
      </c>
      <c r="C30" s="227">
        <f>IFERROR(VLOOKUP(A30,'참조은 피벗(냉장 베이글)'!A:SD,2,FALSE),0)</f>
        <v>11</v>
      </c>
      <c r="D30" s="227">
        <f t="shared" ref="D30:D31" si="5">IFERROR(ROUNDDOWN(C30/B30,0),"")</f>
        <v>0</v>
      </c>
      <c r="E30" s="51" t="s">
        <v>266</v>
      </c>
      <c r="F30" s="228">
        <f t="shared" ref="F30:F31" si="6">IFERROR(C30-(D30*B30),"")</f>
        <v>11</v>
      </c>
      <c r="G30" s="67"/>
      <c r="H30" s="67"/>
      <c r="J30" s="73"/>
      <c r="K30" s="73"/>
    </row>
    <row r="31" spans="1:11" ht="25.35" customHeight="1" x14ac:dyDescent="0.3">
      <c r="A31" s="221" t="s">
        <v>240</v>
      </c>
      <c r="B31" s="224">
        <f t="shared" si="4"/>
        <v>48</v>
      </c>
      <c r="C31" s="227">
        <f>IFERROR(VLOOKUP(A31,'참조은 피벗(냉장 베이글)'!A:SD,2,FALSE),0)</f>
        <v>6</v>
      </c>
      <c r="D31" s="227">
        <f t="shared" si="5"/>
        <v>0</v>
      </c>
      <c r="E31" s="51" t="s">
        <v>267</v>
      </c>
      <c r="F31" s="228">
        <f t="shared" si="6"/>
        <v>6</v>
      </c>
      <c r="G31" s="67"/>
      <c r="H31" s="67"/>
      <c r="J31" s="73"/>
      <c r="K31" s="73"/>
    </row>
    <row r="32" spans="1:11" ht="4.5" customHeight="1" x14ac:dyDescent="0.3">
      <c r="A32" s="284"/>
      <c r="B32" s="285"/>
      <c r="C32" s="285"/>
      <c r="D32" s="285"/>
      <c r="E32" s="285"/>
      <c r="F32" s="286"/>
      <c r="G32" s="67"/>
      <c r="H32" s="67"/>
      <c r="J32" s="73"/>
      <c r="K32" s="73"/>
    </row>
    <row r="33" spans="1:11" ht="32.450000000000003" customHeight="1" x14ac:dyDescent="0.3">
      <c r="A33" s="211" t="s">
        <v>284</v>
      </c>
      <c r="B33" s="225">
        <f>$B$4</f>
        <v>48</v>
      </c>
      <c r="C33" s="212">
        <f>SUM(C30:C31)</f>
        <v>17</v>
      </c>
      <c r="D33" s="55">
        <f>IFERROR(ROUNDDOWN(C33/B33,0),"")</f>
        <v>0</v>
      </c>
      <c r="E33" s="213"/>
      <c r="F33" s="214">
        <f>IFERROR(C33-(D33*B33),"")</f>
        <v>17</v>
      </c>
      <c r="G33" s="67"/>
      <c r="H33" s="67"/>
      <c r="J33" s="73"/>
      <c r="K33" s="73"/>
    </row>
    <row r="34" spans="1:11" ht="4.5" customHeight="1" x14ac:dyDescent="0.3">
      <c r="A34" s="183"/>
      <c r="B34" s="224"/>
      <c r="C34" s="50"/>
      <c r="D34" s="50"/>
      <c r="E34" s="50"/>
      <c r="F34" s="184"/>
      <c r="G34" s="67"/>
      <c r="H34" s="67"/>
      <c r="J34" s="73"/>
      <c r="K34" s="73"/>
    </row>
    <row r="35" spans="1:11" ht="25.35" customHeight="1" x14ac:dyDescent="0.3">
      <c r="A35" s="221" t="s">
        <v>236</v>
      </c>
      <c r="B35" s="224">
        <f t="shared" ref="B35:B37" si="7">$B$4</f>
        <v>48</v>
      </c>
      <c r="C35" s="227">
        <f>IFERROR(VLOOKUP(A35,'참조은 피벗(냉장 베이글)'!A:SD,2,FALSE),0)</f>
        <v>7</v>
      </c>
      <c r="D35" s="227">
        <f>IFERROR(ROUNDDOWN(C35/B35,0),"")</f>
        <v>0</v>
      </c>
      <c r="E35" s="51" t="s">
        <v>264</v>
      </c>
      <c r="F35" s="228">
        <f>IFERROR(C35-(D35*B35),"")</f>
        <v>7</v>
      </c>
      <c r="G35" s="67"/>
      <c r="H35" s="67"/>
      <c r="J35" s="73"/>
      <c r="K35" s="73"/>
    </row>
    <row r="36" spans="1:11" ht="25.35" customHeight="1" x14ac:dyDescent="0.3">
      <c r="A36" s="221" t="s">
        <v>237</v>
      </c>
      <c r="B36" s="224">
        <f t="shared" si="7"/>
        <v>48</v>
      </c>
      <c r="C36" s="227">
        <f>IFERROR(VLOOKUP(A36,'참조은 피벗(냉장 베이글)'!A:SD,2,FALSE),0)</f>
        <v>8</v>
      </c>
      <c r="D36" s="227">
        <f t="shared" ref="D36:D37" si="8">IFERROR(ROUNDDOWN(C36/B36,0),"")</f>
        <v>0</v>
      </c>
      <c r="E36" s="51" t="s">
        <v>338</v>
      </c>
      <c r="F36" s="228">
        <f t="shared" ref="F36:F37" si="9">IFERROR(C36-(D36*B36),"")</f>
        <v>8</v>
      </c>
      <c r="G36" s="67"/>
      <c r="H36" s="67"/>
      <c r="J36" s="73"/>
      <c r="K36" s="73"/>
    </row>
    <row r="37" spans="1:11" ht="25.35" customHeight="1" x14ac:dyDescent="0.3">
      <c r="A37" s="221" t="s">
        <v>238</v>
      </c>
      <c r="B37" s="224">
        <f t="shared" si="7"/>
        <v>48</v>
      </c>
      <c r="C37" s="227">
        <f>IFERROR(VLOOKUP(A37,'참조은 피벗(냉장 베이글)'!A:SD,2,FALSE),0)</f>
        <v>9</v>
      </c>
      <c r="D37" s="227">
        <f t="shared" si="8"/>
        <v>0</v>
      </c>
      <c r="E37" s="51" t="s">
        <v>265</v>
      </c>
      <c r="F37" s="228">
        <f t="shared" si="9"/>
        <v>9</v>
      </c>
      <c r="G37" s="67"/>
      <c r="H37" s="67"/>
      <c r="J37" s="73"/>
      <c r="K37" s="73"/>
    </row>
    <row r="38" spans="1:11" ht="4.5" customHeight="1" x14ac:dyDescent="0.3">
      <c r="A38" s="284"/>
      <c r="B38" s="285"/>
      <c r="C38" s="285"/>
      <c r="D38" s="285"/>
      <c r="E38" s="285"/>
      <c r="F38" s="286"/>
      <c r="G38" s="67"/>
      <c r="H38" s="67"/>
      <c r="J38" s="73"/>
      <c r="K38" s="73"/>
    </row>
    <row r="39" spans="1:11" ht="32.450000000000003" customHeight="1" x14ac:dyDescent="0.3">
      <c r="A39" s="211" t="s">
        <v>283</v>
      </c>
      <c r="B39" s="225">
        <f>$B$4</f>
        <v>48</v>
      </c>
      <c r="C39" s="212">
        <f>SUM(C35:C37)</f>
        <v>24</v>
      </c>
      <c r="D39" s="55">
        <f>IFERROR(ROUNDDOWN(C39/B39,0),"")</f>
        <v>0</v>
      </c>
      <c r="E39" s="213"/>
      <c r="F39" s="214">
        <f>IFERROR(C39-(D39*B39),"")</f>
        <v>24</v>
      </c>
      <c r="G39" s="67"/>
      <c r="H39" s="67"/>
      <c r="J39" s="73"/>
      <c r="K39" s="73"/>
    </row>
    <row r="40" spans="1:11" ht="4.5" customHeight="1" x14ac:dyDescent="0.3">
      <c r="A40" s="183"/>
      <c r="B40" s="224"/>
      <c r="C40" s="50"/>
      <c r="D40" s="50"/>
      <c r="E40" s="50"/>
      <c r="F40" s="184"/>
      <c r="G40" s="67"/>
      <c r="H40" s="67"/>
      <c r="J40" s="73"/>
      <c r="K40" s="73"/>
    </row>
    <row r="41" spans="1:11" ht="25.35" customHeight="1" x14ac:dyDescent="0.3">
      <c r="A41" s="221" t="s">
        <v>261</v>
      </c>
      <c r="B41" s="224">
        <f t="shared" ref="B41:B42" si="10">$B$4</f>
        <v>48</v>
      </c>
      <c r="C41" s="227">
        <f>IFERROR(VLOOKUP(A41,'참조은 피벗(냉장 베이글)'!A:SD,2,FALSE),0)</f>
        <v>6</v>
      </c>
      <c r="D41" s="227">
        <f t="shared" ref="D41:D42" si="11">IFERROR(ROUNDDOWN(C41/B41,0),"")</f>
        <v>0</v>
      </c>
      <c r="E41" s="51" t="s">
        <v>281</v>
      </c>
      <c r="F41" s="228">
        <f t="shared" ref="F41:F42" si="12">IFERROR(C41-(D41*B41),"")</f>
        <v>6</v>
      </c>
      <c r="G41" s="67"/>
      <c r="H41" s="67"/>
      <c r="J41" s="73"/>
      <c r="K41" s="73"/>
    </row>
    <row r="42" spans="1:11" ht="25.35" customHeight="1" x14ac:dyDescent="0.3">
      <c r="A42" s="221" t="s">
        <v>262</v>
      </c>
      <c r="B42" s="224">
        <f t="shared" si="10"/>
        <v>48</v>
      </c>
      <c r="C42" s="227">
        <f>IFERROR(VLOOKUP(A42,'참조은 피벗(냉장 베이글)'!A:SD,2,FALSE),0)</f>
        <v>5</v>
      </c>
      <c r="D42" s="227">
        <f t="shared" si="11"/>
        <v>0</v>
      </c>
      <c r="E42" s="51" t="s">
        <v>282</v>
      </c>
      <c r="F42" s="228">
        <f t="shared" si="12"/>
        <v>5</v>
      </c>
      <c r="G42" s="67"/>
      <c r="H42" s="67"/>
      <c r="J42" s="73"/>
      <c r="K42" s="73"/>
    </row>
    <row r="43" spans="1:11" ht="4.5" customHeight="1" x14ac:dyDescent="0.3">
      <c r="A43" s="284"/>
      <c r="B43" s="285"/>
      <c r="C43" s="285"/>
      <c r="D43" s="285"/>
      <c r="E43" s="285"/>
      <c r="F43" s="286"/>
      <c r="G43" s="67"/>
      <c r="H43" s="67"/>
      <c r="J43" s="73"/>
      <c r="K43" s="73"/>
    </row>
    <row r="44" spans="1:11" ht="32.450000000000003" customHeight="1" x14ac:dyDescent="0.3">
      <c r="A44" s="211" t="s">
        <v>339</v>
      </c>
      <c r="B44" s="225">
        <f>$B$4</f>
        <v>48</v>
      </c>
      <c r="C44" s="212">
        <f>SUM(C41:C42)</f>
        <v>11</v>
      </c>
      <c r="D44" s="55">
        <f>IFERROR(ROUNDDOWN(C44/B44,0),"")</f>
        <v>0</v>
      </c>
      <c r="E44" s="213"/>
      <c r="F44" s="214">
        <f>IFERROR(C44-(D44*B44),"")</f>
        <v>11</v>
      </c>
      <c r="G44" s="67"/>
      <c r="H44" s="67"/>
      <c r="J44" s="73"/>
      <c r="K44" s="73"/>
    </row>
    <row r="45" spans="1:11" ht="4.5" customHeight="1" thickBot="1" x14ac:dyDescent="0.35">
      <c r="A45" s="183"/>
      <c r="B45" s="50"/>
      <c r="C45" s="50"/>
      <c r="D45" s="50"/>
      <c r="E45" s="50"/>
      <c r="F45" s="184"/>
      <c r="G45" s="67"/>
      <c r="H45" s="67"/>
      <c r="J45" s="73"/>
      <c r="K45" s="73"/>
    </row>
    <row r="46" spans="1:11" ht="26.25" x14ac:dyDescent="0.3">
      <c r="A46" s="87" t="s">
        <v>3</v>
      </c>
      <c r="B46" s="226">
        <f>$B$4</f>
        <v>48</v>
      </c>
      <c r="C46" s="55">
        <f>SUM(C4:C18,C35:C37,C30:C31,C22:C26,C41:C42)</f>
        <v>288</v>
      </c>
      <c r="D46" s="54">
        <f>IFERROR(ROUNDDOWN(C46/B46,0),"")</f>
        <v>6</v>
      </c>
      <c r="E46" s="56"/>
      <c r="F46" s="121">
        <f>IFERROR(C46-(D46*B46),"")</f>
        <v>0</v>
      </c>
      <c r="G46" s="232" t="s">
        <v>110</v>
      </c>
      <c r="H46" s="233" t="s">
        <v>111</v>
      </c>
      <c r="J46" s="73"/>
      <c r="K46" s="73"/>
    </row>
    <row r="47" spans="1:11" ht="27" thickBot="1" x14ac:dyDescent="0.35">
      <c r="A47" s="42" t="s">
        <v>286</v>
      </c>
      <c r="B47" s="43" t="s">
        <v>173</v>
      </c>
      <c r="C47" s="40"/>
      <c r="D47" s="41">
        <f>SUM(D4:D18,D35:D37,D30:D31,D22:D26,D41:D42)</f>
        <v>0</v>
      </c>
      <c r="E47" s="48"/>
      <c r="F47" s="93">
        <f>SUM(F4:F18,F35:F37,F30:F31,F22:F26,F41:F42)</f>
        <v>288</v>
      </c>
      <c r="G47" s="216">
        <f>IFERROR(ROUNDDOWN(F47/B35,0),"")</f>
        <v>6</v>
      </c>
      <c r="H47" s="217">
        <f>IFERROR(F47-(G47*B35),"")</f>
        <v>0</v>
      </c>
    </row>
    <row r="48" spans="1:11" ht="22.5" customHeight="1" x14ac:dyDescent="0.3">
      <c r="C48" s="77">
        <f>C20+C28+C33+C39+C44</f>
        <v>288</v>
      </c>
      <c r="G48" s="199"/>
      <c r="H48" s="34" t="s">
        <v>174</v>
      </c>
    </row>
    <row r="49" spans="3:3" x14ac:dyDescent="0.3">
      <c r="C49" s="34" t="b">
        <f>C48=C46</f>
        <v>1</v>
      </c>
    </row>
  </sheetData>
  <mergeCells count="8">
    <mergeCell ref="A38:F38"/>
    <mergeCell ref="A43:F43"/>
    <mergeCell ref="A1:F1"/>
    <mergeCell ref="B2:F2"/>
    <mergeCell ref="A19:F19"/>
    <mergeCell ref="A27:F27"/>
    <mergeCell ref="A29:F29"/>
    <mergeCell ref="A32:F32"/>
  </mergeCells>
  <phoneticPr fontId="13" type="noConversion"/>
  <printOptions horizontalCentered="1" verticalCentered="1"/>
  <pageMargins left="0" right="0" top="0" bottom="0" header="0" footer="0"/>
  <pageSetup paperSize="9" scale="77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117E83-43F7-4BE1-AA4C-88D5EFE7A7A4}">
  <sheetPr>
    <tabColor theme="5" tint="-0.249977111117893"/>
    <pageSetUpPr fitToPage="1"/>
  </sheetPr>
  <dimension ref="A1:K49"/>
  <sheetViews>
    <sheetView zoomScale="40" zoomScaleNormal="40" zoomScaleSheetLayoutView="75" workbookViewId="0">
      <selection activeCell="A2" sqref="A2:F47"/>
    </sheetView>
  </sheetViews>
  <sheetFormatPr defaultColWidth="9" defaultRowHeight="16.5" x14ac:dyDescent="0.3"/>
  <cols>
    <col min="1" max="1" width="24.75" style="34" customWidth="1"/>
    <col min="2" max="2" width="7.625" style="38" customWidth="1"/>
    <col min="3" max="3" width="30.625" style="34" customWidth="1"/>
    <col min="4" max="4" width="9.875" style="2" customWidth="1"/>
    <col min="5" max="5" width="11.375" style="34" customWidth="1"/>
    <col min="6" max="6" width="11.125" style="2" customWidth="1"/>
    <col min="7" max="7" width="8.375" style="34" customWidth="1"/>
    <col min="8" max="8" width="9" style="34" customWidth="1"/>
    <col min="9" max="13" width="9" style="34"/>
    <col min="14" max="14" width="10.625" style="34" customWidth="1"/>
    <col min="15" max="17" width="9" style="34"/>
    <col min="18" max="18" width="36.5" style="34" bestFit="1" customWidth="1"/>
    <col min="19" max="16384" width="9" style="34"/>
  </cols>
  <sheetData>
    <row r="1" spans="1:11" ht="25.9" customHeight="1" thickBot="1" x14ac:dyDescent="0.35">
      <c r="A1" s="270"/>
      <c r="B1" s="270"/>
      <c r="C1" s="270"/>
      <c r="D1" s="270"/>
      <c r="E1" s="270"/>
      <c r="F1" s="270"/>
    </row>
    <row r="2" spans="1:11" ht="25.9" customHeight="1" x14ac:dyDescent="0.3">
      <c r="A2" s="215">
        <f ca="1">TODAY()</f>
        <v>46314</v>
      </c>
      <c r="B2" s="287" t="s">
        <v>263</v>
      </c>
      <c r="C2" s="287"/>
      <c r="D2" s="287"/>
      <c r="E2" s="287"/>
      <c r="F2" s="288"/>
      <c r="G2" s="67"/>
      <c r="H2" s="67"/>
    </row>
    <row r="3" spans="1:11" ht="40.5" customHeight="1" x14ac:dyDescent="0.3">
      <c r="A3" s="222" t="s">
        <v>67</v>
      </c>
      <c r="B3" s="223" t="s">
        <v>13</v>
      </c>
      <c r="C3" s="229" t="s">
        <v>354</v>
      </c>
      <c r="D3" s="230" t="s">
        <v>2</v>
      </c>
      <c r="E3" s="229" t="s">
        <v>23</v>
      </c>
      <c r="F3" s="231" t="s">
        <v>14</v>
      </c>
      <c r="G3" s="67"/>
      <c r="H3" s="67"/>
    </row>
    <row r="4" spans="1:11" ht="25.35" customHeight="1" x14ac:dyDescent="0.3">
      <c r="A4" s="220" t="s">
        <v>260</v>
      </c>
      <c r="B4" s="224">
        <v>48</v>
      </c>
      <c r="C4" s="227">
        <f>IFERROR(VLOOKUP(A4,'참조은 피벗(냉장 베이글)'!A:SD,3,FALSE),0)</f>
        <v>4</v>
      </c>
      <c r="D4" s="227">
        <f t="shared" ref="D4:D18" si="0">IFERROR(ROUNDDOWN(C4/B4,0),"")</f>
        <v>0</v>
      </c>
      <c r="E4" s="51" t="s">
        <v>109</v>
      </c>
      <c r="F4" s="228">
        <f t="shared" ref="F4:F18" si="1">IFERROR(C4-(D4*B4),"")</f>
        <v>4</v>
      </c>
      <c r="G4" s="67"/>
      <c r="H4" s="67"/>
      <c r="J4" s="73"/>
      <c r="K4" s="73"/>
    </row>
    <row r="5" spans="1:11" ht="25.35" customHeight="1" x14ac:dyDescent="0.3">
      <c r="A5" s="221" t="s">
        <v>255</v>
      </c>
      <c r="B5" s="224">
        <f t="shared" ref="B5:B18" si="2">$B$4</f>
        <v>48</v>
      </c>
      <c r="C5" s="227">
        <f>IFERROR(VLOOKUP(A5,'참조은 피벗(냉장 베이글)'!A:SD,3,FALSE),0)</f>
        <v>13</v>
      </c>
      <c r="D5" s="227">
        <f t="shared" si="0"/>
        <v>0</v>
      </c>
      <c r="E5" s="51" t="s">
        <v>335</v>
      </c>
      <c r="F5" s="228">
        <f t="shared" si="1"/>
        <v>13</v>
      </c>
      <c r="G5" s="67"/>
      <c r="H5" s="67"/>
      <c r="J5" s="73"/>
      <c r="K5" s="73"/>
    </row>
    <row r="6" spans="1:11" ht="25.35" customHeight="1" x14ac:dyDescent="0.3">
      <c r="A6" s="221" t="s">
        <v>249</v>
      </c>
      <c r="B6" s="224">
        <f t="shared" si="2"/>
        <v>48</v>
      </c>
      <c r="C6" s="227">
        <f>IFERROR(VLOOKUP(A6,'참조은 피벗(냉장 베이글)'!A:SD,3,FALSE),0)</f>
        <v>5</v>
      </c>
      <c r="D6" s="227">
        <f>IFERROR(ROUNDDOWN(C6/B6,0),"")</f>
        <v>0</v>
      </c>
      <c r="E6" s="51" t="s">
        <v>272</v>
      </c>
      <c r="F6" s="228">
        <f>IFERROR(C6-(D6*B6),"")</f>
        <v>5</v>
      </c>
      <c r="G6" s="67"/>
      <c r="H6" s="67"/>
      <c r="J6" s="73"/>
      <c r="K6" s="73"/>
    </row>
    <row r="7" spans="1:11" ht="25.35" customHeight="1" x14ac:dyDescent="0.3">
      <c r="A7" s="221" t="s">
        <v>250</v>
      </c>
      <c r="B7" s="224">
        <f t="shared" si="2"/>
        <v>48</v>
      </c>
      <c r="C7" s="227">
        <f>IFERROR(VLOOKUP(A7,'참조은 피벗(냉장 베이글)'!A:SD,3,FALSE),0)</f>
        <v>7</v>
      </c>
      <c r="D7" s="227">
        <f>IFERROR(ROUNDDOWN(C7/B7,0),"")</f>
        <v>0</v>
      </c>
      <c r="E7" s="51" t="s">
        <v>273</v>
      </c>
      <c r="F7" s="228">
        <f>IFERROR(C7-(D7*B7),"")</f>
        <v>7</v>
      </c>
      <c r="G7" s="67"/>
      <c r="H7" s="67"/>
      <c r="J7" s="73"/>
      <c r="K7" s="73"/>
    </row>
    <row r="8" spans="1:11" ht="25.35" customHeight="1" x14ac:dyDescent="0.3">
      <c r="A8" s="221" t="s">
        <v>248</v>
      </c>
      <c r="B8" s="224">
        <f t="shared" si="2"/>
        <v>48</v>
      </c>
      <c r="C8" s="227">
        <f>IFERROR(VLOOKUP(A8,'참조은 피벗(냉장 베이글)'!A:SD,3,FALSE),0)</f>
        <v>8</v>
      </c>
      <c r="D8" s="227">
        <f>IFERROR(ROUNDDOWN(C8/B8,0),"")</f>
        <v>0</v>
      </c>
      <c r="E8" s="51" t="s">
        <v>271</v>
      </c>
      <c r="F8" s="228">
        <f>IFERROR(C8-(D8*B8),"")</f>
        <v>8</v>
      </c>
      <c r="G8" s="67"/>
      <c r="H8" s="67"/>
      <c r="J8" s="73"/>
      <c r="K8" s="73"/>
    </row>
    <row r="9" spans="1:11" ht="25.35" customHeight="1" x14ac:dyDescent="0.3">
      <c r="A9" s="221" t="s">
        <v>246</v>
      </c>
      <c r="B9" s="224">
        <f t="shared" si="2"/>
        <v>48</v>
      </c>
      <c r="C9" s="227">
        <f>IFERROR(VLOOKUP(A9,'참조은 피벗(냉장 베이글)'!A:SD,3,FALSE),0)</f>
        <v>14</v>
      </c>
      <c r="D9" s="227">
        <f t="shared" si="0"/>
        <v>0</v>
      </c>
      <c r="E9" s="51" t="s">
        <v>270</v>
      </c>
      <c r="F9" s="228">
        <f t="shared" si="1"/>
        <v>14</v>
      </c>
      <c r="G9" s="67"/>
      <c r="H9" s="67"/>
      <c r="J9" s="73"/>
      <c r="K9" s="73"/>
    </row>
    <row r="10" spans="1:11" ht="25.35" customHeight="1" x14ac:dyDescent="0.3">
      <c r="A10" s="221" t="s">
        <v>256</v>
      </c>
      <c r="B10" s="224">
        <f t="shared" si="2"/>
        <v>48</v>
      </c>
      <c r="C10" s="227">
        <f>IFERROR(VLOOKUP(A10,'참조은 피벗(냉장 베이글)'!A:SD,3,FALSE),0)</f>
        <v>7</v>
      </c>
      <c r="D10" s="227">
        <f>IFERROR(ROUNDDOWN(C10/B10,0),"")</f>
        <v>0</v>
      </c>
      <c r="E10" s="51" t="s">
        <v>278</v>
      </c>
      <c r="F10" s="228">
        <f>IFERROR(C10-(D10*B10),"")</f>
        <v>7</v>
      </c>
      <c r="G10" s="67"/>
      <c r="H10" s="67"/>
      <c r="J10" s="73"/>
      <c r="K10" s="73"/>
    </row>
    <row r="11" spans="1:11" ht="25.35" customHeight="1" x14ac:dyDescent="0.3">
      <c r="A11" s="221" t="s">
        <v>247</v>
      </c>
      <c r="B11" s="224">
        <f t="shared" si="2"/>
        <v>48</v>
      </c>
      <c r="C11" s="227">
        <f>IFERROR(VLOOKUP(A11,'참조은 피벗(냉장 베이글)'!A:SD,3,FALSE),0)</f>
        <v>4</v>
      </c>
      <c r="D11" s="227">
        <f t="shared" si="0"/>
        <v>0</v>
      </c>
      <c r="E11" s="51" t="s">
        <v>334</v>
      </c>
      <c r="F11" s="228">
        <f t="shared" si="1"/>
        <v>4</v>
      </c>
      <c r="G11" s="67"/>
      <c r="H11" s="67"/>
      <c r="J11" s="73"/>
      <c r="K11" s="73"/>
    </row>
    <row r="12" spans="1:11" ht="25.35" customHeight="1" x14ac:dyDescent="0.3">
      <c r="A12" s="221" t="s">
        <v>251</v>
      </c>
      <c r="B12" s="224">
        <f t="shared" si="2"/>
        <v>48</v>
      </c>
      <c r="C12" s="227">
        <f>IFERROR(VLOOKUP(A12,'참조은 피벗(냉장 베이글)'!A:SD,3,FALSE),0)</f>
        <v>1</v>
      </c>
      <c r="D12" s="227">
        <f t="shared" si="0"/>
        <v>0</v>
      </c>
      <c r="E12" s="51" t="s">
        <v>274</v>
      </c>
      <c r="F12" s="228">
        <f t="shared" si="1"/>
        <v>1</v>
      </c>
      <c r="G12" s="67"/>
      <c r="H12" s="67"/>
      <c r="J12" s="73"/>
      <c r="K12" s="73"/>
    </row>
    <row r="13" spans="1:11" ht="25.35" customHeight="1" x14ac:dyDescent="0.3">
      <c r="A13" s="220" t="s">
        <v>252</v>
      </c>
      <c r="B13" s="224">
        <f t="shared" si="2"/>
        <v>48</v>
      </c>
      <c r="C13" s="227">
        <f>IFERROR(VLOOKUP(A13,'참조은 피벗(냉장 베이글)'!A:SD,3,FALSE),0)</f>
        <v>5</v>
      </c>
      <c r="D13" s="227">
        <f t="shared" si="0"/>
        <v>0</v>
      </c>
      <c r="E13" s="51" t="s">
        <v>275</v>
      </c>
      <c r="F13" s="228">
        <f t="shared" si="1"/>
        <v>5</v>
      </c>
      <c r="G13" s="67"/>
      <c r="H13" s="67"/>
      <c r="J13" s="73"/>
      <c r="K13" s="73"/>
    </row>
    <row r="14" spans="1:11" ht="25.35" customHeight="1" x14ac:dyDescent="0.3">
      <c r="A14" s="221" t="s">
        <v>253</v>
      </c>
      <c r="B14" s="224">
        <f t="shared" si="2"/>
        <v>48</v>
      </c>
      <c r="C14" s="227">
        <f>IFERROR(VLOOKUP(A14,'참조은 피벗(냉장 베이글)'!A:SD,3,FALSE),0)</f>
        <v>12</v>
      </c>
      <c r="D14" s="227">
        <f t="shared" si="0"/>
        <v>0</v>
      </c>
      <c r="E14" s="51" t="s">
        <v>276</v>
      </c>
      <c r="F14" s="228">
        <f t="shared" si="1"/>
        <v>12</v>
      </c>
      <c r="G14" s="67"/>
      <c r="H14" s="67"/>
      <c r="J14" s="73"/>
      <c r="K14" s="73"/>
    </row>
    <row r="15" spans="1:11" ht="25.35" customHeight="1" x14ac:dyDescent="0.3">
      <c r="A15" s="221" t="s">
        <v>254</v>
      </c>
      <c r="B15" s="224">
        <f t="shared" si="2"/>
        <v>48</v>
      </c>
      <c r="C15" s="227">
        <f>IFERROR(VLOOKUP(A15,'참조은 피벗(냉장 베이글)'!A:SD,3,FALSE),0)</f>
        <v>10</v>
      </c>
      <c r="D15" s="227">
        <f t="shared" si="0"/>
        <v>0</v>
      </c>
      <c r="E15" s="51" t="s">
        <v>277</v>
      </c>
      <c r="F15" s="228">
        <f t="shared" si="1"/>
        <v>10</v>
      </c>
      <c r="G15" s="67"/>
      <c r="H15" s="67"/>
      <c r="J15" s="73"/>
      <c r="K15" s="73"/>
    </row>
    <row r="16" spans="1:11" ht="25.35" customHeight="1" x14ac:dyDescent="0.3">
      <c r="A16" s="221" t="s">
        <v>257</v>
      </c>
      <c r="B16" s="224">
        <f t="shared" si="2"/>
        <v>48</v>
      </c>
      <c r="C16" s="227">
        <f>IFERROR(VLOOKUP(A16,'참조은 피벗(냉장 베이글)'!A:SD,3,FALSE),0)</f>
        <v>3</v>
      </c>
      <c r="D16" s="227">
        <f t="shared" si="0"/>
        <v>0</v>
      </c>
      <c r="E16" s="51" t="s">
        <v>279</v>
      </c>
      <c r="F16" s="228">
        <f t="shared" si="1"/>
        <v>3</v>
      </c>
      <c r="G16" s="67"/>
      <c r="H16" s="67"/>
      <c r="J16" s="73"/>
      <c r="K16" s="73"/>
    </row>
    <row r="17" spans="1:11" ht="25.35" customHeight="1" x14ac:dyDescent="0.3">
      <c r="A17" s="221" t="s">
        <v>258</v>
      </c>
      <c r="B17" s="224">
        <f t="shared" si="2"/>
        <v>48</v>
      </c>
      <c r="C17" s="227">
        <f>IFERROR(VLOOKUP(A17,'참조은 피벗(냉장 베이글)'!A:SD,3,FALSE),0)</f>
        <v>6</v>
      </c>
      <c r="D17" s="227">
        <f t="shared" si="0"/>
        <v>0</v>
      </c>
      <c r="E17" s="51" t="s">
        <v>280</v>
      </c>
      <c r="F17" s="228">
        <f t="shared" si="1"/>
        <v>6</v>
      </c>
      <c r="G17" s="67"/>
      <c r="H17" s="67"/>
      <c r="J17" s="73"/>
      <c r="K17" s="73"/>
    </row>
    <row r="18" spans="1:11" ht="25.35" customHeight="1" x14ac:dyDescent="0.3">
      <c r="A18" s="221" t="s">
        <v>259</v>
      </c>
      <c r="B18" s="224">
        <f t="shared" si="2"/>
        <v>48</v>
      </c>
      <c r="C18" s="227">
        <f>IFERROR(VLOOKUP(A18,'참조은 피벗(냉장 베이글)'!A:SD,3,FALSE),0)</f>
        <v>9</v>
      </c>
      <c r="D18" s="227">
        <f t="shared" si="0"/>
        <v>0</v>
      </c>
      <c r="E18" s="51" t="s">
        <v>336</v>
      </c>
      <c r="F18" s="228">
        <f t="shared" si="1"/>
        <v>9</v>
      </c>
      <c r="G18" s="67"/>
      <c r="H18" s="67"/>
      <c r="J18" s="73"/>
      <c r="K18" s="73"/>
    </row>
    <row r="19" spans="1:11" ht="4.5" customHeight="1" x14ac:dyDescent="0.3">
      <c r="A19" s="284"/>
      <c r="B19" s="285"/>
      <c r="C19" s="285"/>
      <c r="D19" s="285"/>
      <c r="E19" s="285"/>
      <c r="F19" s="286"/>
      <c r="J19" s="73"/>
      <c r="K19" s="73"/>
    </row>
    <row r="20" spans="1:11" ht="32.450000000000003" customHeight="1" x14ac:dyDescent="0.3">
      <c r="A20" s="211" t="s">
        <v>122</v>
      </c>
      <c r="B20" s="225">
        <f>$B$4</f>
        <v>48</v>
      </c>
      <c r="C20" s="212">
        <f>SUM(C4:C18)</f>
        <v>108</v>
      </c>
      <c r="D20" s="55">
        <f>IFERROR(ROUNDDOWN(C20/B20,0),"")</f>
        <v>2</v>
      </c>
      <c r="E20" s="213"/>
      <c r="F20" s="214">
        <f>IFERROR(C20-(D20*B20),"")</f>
        <v>12</v>
      </c>
      <c r="J20" s="73"/>
      <c r="K20" s="73"/>
    </row>
    <row r="21" spans="1:11" ht="4.5" customHeight="1" x14ac:dyDescent="0.3">
      <c r="A21" s="183"/>
      <c r="B21" s="224"/>
      <c r="C21" s="50"/>
      <c r="D21" s="50"/>
      <c r="E21" s="50"/>
      <c r="F21" s="184"/>
      <c r="J21" s="73"/>
      <c r="K21" s="73"/>
    </row>
    <row r="22" spans="1:11" ht="25.35" customHeight="1" x14ac:dyDescent="0.3">
      <c r="A22" s="221" t="s">
        <v>241</v>
      </c>
      <c r="B22" s="224">
        <f t="shared" ref="B22:B26" si="3">$B$4</f>
        <v>48</v>
      </c>
      <c r="C22" s="227">
        <f>IFERROR(VLOOKUP(A22,'참조은 피벗(냉장 베이글)'!A:SD,3,FALSE),0)</f>
        <v>6</v>
      </c>
      <c r="D22" s="227">
        <f>IFERROR(ROUNDDOWN(C22/B22,0),"")</f>
        <v>0</v>
      </c>
      <c r="E22" s="51" t="s">
        <v>268</v>
      </c>
      <c r="F22" s="228">
        <f>IFERROR(C22-(D22*B22),"")</f>
        <v>6</v>
      </c>
      <c r="G22" s="67"/>
      <c r="H22" s="67"/>
      <c r="J22" s="73"/>
      <c r="K22" s="73"/>
    </row>
    <row r="23" spans="1:11" ht="25.35" customHeight="1" x14ac:dyDescent="0.3">
      <c r="A23" s="221" t="s">
        <v>242</v>
      </c>
      <c r="B23" s="224">
        <f t="shared" si="3"/>
        <v>48</v>
      </c>
      <c r="C23" s="227">
        <f>IFERROR(VLOOKUP(A23,'참조은 피벗(냉장 베이글)'!A:SD,3,FALSE),0)</f>
        <v>7</v>
      </c>
      <c r="D23" s="227">
        <f>IFERROR(ROUNDDOWN(C23/B23,0),"")</f>
        <v>0</v>
      </c>
      <c r="E23" s="51" t="s">
        <v>337</v>
      </c>
      <c r="F23" s="228">
        <f>IFERROR(C23-(D23*B23),"")</f>
        <v>7</v>
      </c>
      <c r="G23" s="67"/>
      <c r="H23" s="67"/>
      <c r="J23" s="73"/>
      <c r="K23" s="73"/>
    </row>
    <row r="24" spans="1:11" ht="25.35" customHeight="1" x14ac:dyDescent="0.3">
      <c r="A24" s="221" t="s">
        <v>243</v>
      </c>
      <c r="B24" s="224">
        <f t="shared" si="3"/>
        <v>48</v>
      </c>
      <c r="C24" s="227">
        <f>IFERROR(VLOOKUP(A24,'참조은 피벗(냉장 베이글)'!A:SD,3,FALSE),0)</f>
        <v>0</v>
      </c>
      <c r="D24" s="227">
        <f>IFERROR(ROUNDDOWN(C24/B24,0),"")</f>
        <v>0</v>
      </c>
      <c r="E24" s="51" t="s">
        <v>106</v>
      </c>
      <c r="F24" s="228">
        <f>IFERROR(C24-(D24*B24),"")</f>
        <v>0</v>
      </c>
      <c r="G24" s="67"/>
      <c r="H24" s="67"/>
      <c r="J24" s="73"/>
      <c r="K24" s="73"/>
    </row>
    <row r="25" spans="1:11" ht="25.35" customHeight="1" x14ac:dyDescent="0.3">
      <c r="A25" s="221" t="s">
        <v>244</v>
      </c>
      <c r="B25" s="224">
        <f t="shared" si="3"/>
        <v>48</v>
      </c>
      <c r="C25" s="227">
        <f>IFERROR(VLOOKUP(A25,'참조은 피벗(냉장 베이글)'!A:SD,3,FALSE),0)</f>
        <v>0</v>
      </c>
      <c r="D25" s="227">
        <f>IFERROR(ROUNDDOWN(C25/B25,0),"")</f>
        <v>0</v>
      </c>
      <c r="E25" s="51" t="s">
        <v>269</v>
      </c>
      <c r="F25" s="228">
        <f>IFERROR(C25-(D25*B25),"")</f>
        <v>0</v>
      </c>
      <c r="G25" s="67"/>
      <c r="H25" s="67"/>
      <c r="J25" s="73"/>
      <c r="K25" s="73"/>
    </row>
    <row r="26" spans="1:11" ht="25.35" customHeight="1" x14ac:dyDescent="0.3">
      <c r="A26" s="221" t="s">
        <v>245</v>
      </c>
      <c r="B26" s="224">
        <f t="shared" si="3"/>
        <v>48</v>
      </c>
      <c r="C26" s="227">
        <f>IFERROR(VLOOKUP(A26,'참조은 피벗(냉장 베이글)'!A:SD,3,FALSE),0)</f>
        <v>5</v>
      </c>
      <c r="D26" s="227">
        <f>IFERROR(ROUNDDOWN(C26/B26,0),"")</f>
        <v>0</v>
      </c>
      <c r="E26" s="51" t="s">
        <v>118</v>
      </c>
      <c r="F26" s="228">
        <f>IFERROR(C26-(D26*B26),"")</f>
        <v>5</v>
      </c>
      <c r="G26" s="67"/>
      <c r="H26" s="67"/>
      <c r="J26" s="73"/>
      <c r="K26" s="73"/>
    </row>
    <row r="27" spans="1:11" ht="4.5" customHeight="1" x14ac:dyDescent="0.3">
      <c r="A27" s="284"/>
      <c r="B27" s="285"/>
      <c r="C27" s="285"/>
      <c r="D27" s="285"/>
      <c r="E27" s="285"/>
      <c r="F27" s="286"/>
      <c r="G27" s="67"/>
      <c r="H27" s="67"/>
      <c r="J27" s="73"/>
      <c r="K27" s="73"/>
    </row>
    <row r="28" spans="1:11" ht="32.450000000000003" customHeight="1" x14ac:dyDescent="0.3">
      <c r="A28" s="211" t="s">
        <v>285</v>
      </c>
      <c r="B28" s="225">
        <f>$B$4</f>
        <v>48</v>
      </c>
      <c r="C28" s="212">
        <f>SUM(C22:C26)</f>
        <v>18</v>
      </c>
      <c r="D28" s="55">
        <f>IFERROR(ROUNDDOWN(C28/B28,0),"")</f>
        <v>0</v>
      </c>
      <c r="E28" s="213"/>
      <c r="F28" s="214">
        <f>IFERROR(C28-(D28*B28),"")</f>
        <v>18</v>
      </c>
      <c r="G28" s="67"/>
      <c r="H28" s="67"/>
      <c r="J28" s="73"/>
      <c r="K28" s="73"/>
    </row>
    <row r="29" spans="1:11" ht="4.5" customHeight="1" x14ac:dyDescent="0.3">
      <c r="A29" s="284"/>
      <c r="B29" s="285"/>
      <c r="C29" s="285"/>
      <c r="D29" s="285"/>
      <c r="E29" s="285"/>
      <c r="F29" s="286"/>
      <c r="G29" s="67"/>
      <c r="H29" s="67"/>
      <c r="J29" s="73"/>
      <c r="K29" s="73"/>
    </row>
    <row r="30" spans="1:11" ht="25.35" customHeight="1" x14ac:dyDescent="0.3">
      <c r="A30" s="221" t="s">
        <v>239</v>
      </c>
      <c r="B30" s="224">
        <f t="shared" ref="B30:B31" si="4">$B$4</f>
        <v>48</v>
      </c>
      <c r="C30" s="227">
        <f>IFERROR(VLOOKUP(A30,'참조은 피벗(냉장 베이글)'!A:SD,3,FALSE),0)</f>
        <v>4</v>
      </c>
      <c r="D30" s="227">
        <f t="shared" ref="D30:D31" si="5">IFERROR(ROUNDDOWN(C30/B30,0),"")</f>
        <v>0</v>
      </c>
      <c r="E30" s="51" t="s">
        <v>266</v>
      </c>
      <c r="F30" s="228">
        <f t="shared" ref="F30:F31" si="6">IFERROR(C30-(D30*B30),"")</f>
        <v>4</v>
      </c>
      <c r="G30" s="67"/>
      <c r="H30" s="67"/>
      <c r="J30" s="73"/>
      <c r="K30" s="73"/>
    </row>
    <row r="31" spans="1:11" ht="25.35" customHeight="1" x14ac:dyDescent="0.3">
      <c r="A31" s="221" t="s">
        <v>240</v>
      </c>
      <c r="B31" s="224">
        <f t="shared" si="4"/>
        <v>48</v>
      </c>
      <c r="C31" s="227">
        <f>IFERROR(VLOOKUP(A31,'참조은 피벗(냉장 베이글)'!A:SD,3,FALSE),0)</f>
        <v>8</v>
      </c>
      <c r="D31" s="227">
        <f t="shared" si="5"/>
        <v>0</v>
      </c>
      <c r="E31" s="51" t="s">
        <v>267</v>
      </c>
      <c r="F31" s="228">
        <f t="shared" si="6"/>
        <v>8</v>
      </c>
      <c r="G31" s="67"/>
      <c r="H31" s="67"/>
      <c r="J31" s="73"/>
      <c r="K31" s="73"/>
    </row>
    <row r="32" spans="1:11" ht="4.5" customHeight="1" x14ac:dyDescent="0.3">
      <c r="A32" s="284"/>
      <c r="B32" s="285"/>
      <c r="C32" s="285"/>
      <c r="D32" s="285"/>
      <c r="E32" s="285"/>
      <c r="F32" s="286"/>
      <c r="G32" s="67"/>
      <c r="H32" s="67"/>
      <c r="J32" s="73"/>
      <c r="K32" s="73"/>
    </row>
    <row r="33" spans="1:11" ht="32.450000000000003" customHeight="1" x14ac:dyDescent="0.3">
      <c r="A33" s="211" t="s">
        <v>284</v>
      </c>
      <c r="B33" s="225">
        <f>$B$4</f>
        <v>48</v>
      </c>
      <c r="C33" s="212">
        <f>SUM(C30:C31)</f>
        <v>12</v>
      </c>
      <c r="D33" s="55">
        <f>IFERROR(ROUNDDOWN(C33/B33,0),"")</f>
        <v>0</v>
      </c>
      <c r="E33" s="213"/>
      <c r="F33" s="214">
        <f>IFERROR(C33-(D33*B33),"")</f>
        <v>12</v>
      </c>
      <c r="G33" s="67"/>
      <c r="H33" s="67"/>
      <c r="J33" s="73"/>
      <c r="K33" s="73"/>
    </row>
    <row r="34" spans="1:11" ht="4.5" customHeight="1" x14ac:dyDescent="0.3">
      <c r="A34" s="183"/>
      <c r="B34" s="224"/>
      <c r="C34" s="50"/>
      <c r="D34" s="50"/>
      <c r="E34" s="50"/>
      <c r="F34" s="184"/>
      <c r="G34" s="67"/>
      <c r="H34" s="67"/>
      <c r="J34" s="73"/>
      <c r="K34" s="73"/>
    </row>
    <row r="35" spans="1:11" ht="25.35" customHeight="1" x14ac:dyDescent="0.3">
      <c r="A35" s="221" t="s">
        <v>236</v>
      </c>
      <c r="B35" s="224">
        <f t="shared" ref="B35:B37" si="7">$B$4</f>
        <v>48</v>
      </c>
      <c r="C35" s="227">
        <f>IFERROR(VLOOKUP(A35,'참조은 피벗(냉장 베이글)'!A:SD,3,FALSE),0)</f>
        <v>4</v>
      </c>
      <c r="D35" s="227">
        <f>IFERROR(ROUNDDOWN(C35/B35,0),"")</f>
        <v>0</v>
      </c>
      <c r="E35" s="51" t="s">
        <v>264</v>
      </c>
      <c r="F35" s="228">
        <f>IFERROR(C35-(D35*B35),"")</f>
        <v>4</v>
      </c>
      <c r="G35" s="67"/>
      <c r="H35" s="67"/>
      <c r="J35" s="73"/>
      <c r="K35" s="73"/>
    </row>
    <row r="36" spans="1:11" ht="25.35" customHeight="1" x14ac:dyDescent="0.3">
      <c r="A36" s="221" t="s">
        <v>237</v>
      </c>
      <c r="B36" s="224">
        <f t="shared" si="7"/>
        <v>48</v>
      </c>
      <c r="C36" s="227">
        <f>IFERROR(VLOOKUP(A36,'참조은 피벗(냉장 베이글)'!A:SD,3,FALSE),0)</f>
        <v>7</v>
      </c>
      <c r="D36" s="227">
        <f t="shared" ref="D36:D37" si="8">IFERROR(ROUNDDOWN(C36/B36,0),"")</f>
        <v>0</v>
      </c>
      <c r="E36" s="51" t="s">
        <v>338</v>
      </c>
      <c r="F36" s="228">
        <f t="shared" ref="F36:F37" si="9">IFERROR(C36-(D36*B36),"")</f>
        <v>7</v>
      </c>
      <c r="G36" s="67"/>
      <c r="H36" s="67"/>
      <c r="J36" s="73"/>
      <c r="K36" s="73"/>
    </row>
    <row r="37" spans="1:11" ht="25.35" customHeight="1" x14ac:dyDescent="0.3">
      <c r="A37" s="221" t="s">
        <v>238</v>
      </c>
      <c r="B37" s="224">
        <f t="shared" si="7"/>
        <v>48</v>
      </c>
      <c r="C37" s="227">
        <f>IFERROR(VLOOKUP(A37,'참조은 피벗(냉장 베이글)'!A:SD,3,FALSE),0)</f>
        <v>4</v>
      </c>
      <c r="D37" s="227">
        <f t="shared" si="8"/>
        <v>0</v>
      </c>
      <c r="E37" s="51" t="s">
        <v>265</v>
      </c>
      <c r="F37" s="228">
        <f t="shared" si="9"/>
        <v>4</v>
      </c>
      <c r="G37" s="67"/>
      <c r="H37" s="67"/>
      <c r="J37" s="73"/>
      <c r="K37" s="73"/>
    </row>
    <row r="38" spans="1:11" ht="4.5" customHeight="1" x14ac:dyDescent="0.3">
      <c r="A38" s="284"/>
      <c r="B38" s="285"/>
      <c r="C38" s="285"/>
      <c r="D38" s="285"/>
      <c r="E38" s="285"/>
      <c r="F38" s="286"/>
      <c r="G38" s="67"/>
      <c r="H38" s="67"/>
      <c r="J38" s="73"/>
      <c r="K38" s="73"/>
    </row>
    <row r="39" spans="1:11" ht="32.450000000000003" customHeight="1" x14ac:dyDescent="0.3">
      <c r="A39" s="211" t="s">
        <v>283</v>
      </c>
      <c r="B39" s="225">
        <f>$B$4</f>
        <v>48</v>
      </c>
      <c r="C39" s="212">
        <f>SUM(C35:C37)</f>
        <v>15</v>
      </c>
      <c r="D39" s="55">
        <f>IFERROR(ROUNDDOWN(C39/B39,0),"")</f>
        <v>0</v>
      </c>
      <c r="E39" s="213"/>
      <c r="F39" s="214">
        <f>IFERROR(C39-(D39*B39),"")</f>
        <v>15</v>
      </c>
      <c r="G39" s="67"/>
      <c r="H39" s="67"/>
      <c r="J39" s="73"/>
      <c r="K39" s="73"/>
    </row>
    <row r="40" spans="1:11" ht="4.5" customHeight="1" x14ac:dyDescent="0.3">
      <c r="A40" s="183"/>
      <c r="B40" s="224"/>
      <c r="C40" s="50"/>
      <c r="D40" s="50"/>
      <c r="E40" s="50"/>
      <c r="F40" s="184"/>
      <c r="G40" s="67"/>
      <c r="H40" s="67"/>
      <c r="J40" s="73"/>
      <c r="K40" s="73"/>
    </row>
    <row r="41" spans="1:11" ht="25.35" customHeight="1" x14ac:dyDescent="0.3">
      <c r="A41" s="221" t="s">
        <v>261</v>
      </c>
      <c r="B41" s="224">
        <f t="shared" ref="B41:B42" si="10">$B$4</f>
        <v>48</v>
      </c>
      <c r="C41" s="227">
        <f>IFERROR(VLOOKUP(A41,'참조은 피벗(냉장 베이글)'!A:SD,3,FALSE),0)</f>
        <v>1</v>
      </c>
      <c r="D41" s="227">
        <f t="shared" ref="D41:D42" si="11">IFERROR(ROUNDDOWN(C41/B41,0),"")</f>
        <v>0</v>
      </c>
      <c r="E41" s="51" t="s">
        <v>281</v>
      </c>
      <c r="F41" s="228">
        <f t="shared" ref="F41:F42" si="12">IFERROR(C41-(D41*B41),"")</f>
        <v>1</v>
      </c>
      <c r="G41" s="67"/>
      <c r="H41" s="67"/>
      <c r="J41" s="73"/>
      <c r="K41" s="73"/>
    </row>
    <row r="42" spans="1:11" ht="25.35" customHeight="1" x14ac:dyDescent="0.3">
      <c r="A42" s="221" t="s">
        <v>262</v>
      </c>
      <c r="B42" s="224">
        <f t="shared" si="10"/>
        <v>48</v>
      </c>
      <c r="C42" s="227">
        <f>IFERROR(VLOOKUP(A42,'참조은 피벗(냉장 베이글)'!A:SD,3,FALSE),0)</f>
        <v>4</v>
      </c>
      <c r="D42" s="227">
        <f t="shared" si="11"/>
        <v>0</v>
      </c>
      <c r="E42" s="51" t="s">
        <v>282</v>
      </c>
      <c r="F42" s="228">
        <f t="shared" si="12"/>
        <v>4</v>
      </c>
      <c r="G42" s="67"/>
      <c r="H42" s="67"/>
      <c r="J42" s="73"/>
      <c r="K42" s="73"/>
    </row>
    <row r="43" spans="1:11" ht="4.5" customHeight="1" x14ac:dyDescent="0.3">
      <c r="A43" s="284"/>
      <c r="B43" s="285"/>
      <c r="C43" s="285"/>
      <c r="D43" s="285"/>
      <c r="E43" s="285"/>
      <c r="F43" s="286"/>
      <c r="G43" s="67"/>
      <c r="H43" s="67"/>
      <c r="J43" s="73"/>
      <c r="K43" s="73"/>
    </row>
    <row r="44" spans="1:11" ht="32.450000000000003" customHeight="1" x14ac:dyDescent="0.3">
      <c r="A44" s="211" t="s">
        <v>339</v>
      </c>
      <c r="B44" s="225">
        <f>$B$4</f>
        <v>48</v>
      </c>
      <c r="C44" s="212">
        <f>SUM(C41:C42)</f>
        <v>5</v>
      </c>
      <c r="D44" s="55">
        <f>IFERROR(ROUNDDOWN(C44/B44,0),"")</f>
        <v>0</v>
      </c>
      <c r="E44" s="213"/>
      <c r="F44" s="214">
        <f>IFERROR(C44-(D44*B44),"")</f>
        <v>5</v>
      </c>
      <c r="G44" s="67"/>
      <c r="H44" s="67"/>
      <c r="J44" s="73"/>
      <c r="K44" s="73"/>
    </row>
    <row r="45" spans="1:11" ht="4.5" customHeight="1" thickBot="1" x14ac:dyDescent="0.35">
      <c r="A45" s="183"/>
      <c r="B45" s="50"/>
      <c r="C45" s="50"/>
      <c r="D45" s="50"/>
      <c r="E45" s="50"/>
      <c r="F45" s="184"/>
      <c r="G45" s="67"/>
      <c r="H45" s="67"/>
      <c r="J45" s="73"/>
      <c r="K45" s="73"/>
    </row>
    <row r="46" spans="1:11" ht="26.25" x14ac:dyDescent="0.3">
      <c r="A46" s="87" t="s">
        <v>3</v>
      </c>
      <c r="B46" s="226">
        <f>$B$4</f>
        <v>48</v>
      </c>
      <c r="C46" s="55">
        <f>SUM(C4:C18,C35:C37,C30:C31,C22:C26,C41:C42)</f>
        <v>158</v>
      </c>
      <c r="D46" s="54">
        <f>IFERROR(ROUNDDOWN(C46/B46,0),"")</f>
        <v>3</v>
      </c>
      <c r="E46" s="56"/>
      <c r="F46" s="121">
        <f>IFERROR(C46-(D46*B46),"")</f>
        <v>14</v>
      </c>
      <c r="G46" s="232" t="s">
        <v>110</v>
      </c>
      <c r="H46" s="233" t="s">
        <v>111</v>
      </c>
      <c r="J46" s="73"/>
      <c r="K46" s="73"/>
    </row>
    <row r="47" spans="1:11" ht="27" thickBot="1" x14ac:dyDescent="0.35">
      <c r="A47" s="42" t="s">
        <v>286</v>
      </c>
      <c r="B47" s="43" t="s">
        <v>173</v>
      </c>
      <c r="C47" s="40"/>
      <c r="D47" s="41">
        <f>SUM(D4:D18,D35:D37,D30:D31,D22:D26,D41:D42)</f>
        <v>0</v>
      </c>
      <c r="E47" s="48"/>
      <c r="F47" s="93">
        <f>SUM(F4:F18,F35:F37,F30:F31,F22:F26,F41:F42)</f>
        <v>158</v>
      </c>
      <c r="G47" s="216">
        <f>IFERROR(ROUNDDOWN(F47/B35,0),"")</f>
        <v>3</v>
      </c>
      <c r="H47" s="217">
        <f>IFERROR(F47-(G47*B35),"")</f>
        <v>14</v>
      </c>
    </row>
    <row r="48" spans="1:11" ht="22.5" customHeight="1" x14ac:dyDescent="0.3">
      <c r="C48" s="77">
        <f>C20+C28+C33+C39+C44</f>
        <v>158</v>
      </c>
      <c r="G48" s="199"/>
      <c r="H48" s="34" t="s">
        <v>174</v>
      </c>
    </row>
    <row r="49" spans="3:3" x14ac:dyDescent="0.3">
      <c r="C49" s="34" t="b">
        <f>C48=C46</f>
        <v>1</v>
      </c>
    </row>
  </sheetData>
  <mergeCells count="8">
    <mergeCell ref="A38:F38"/>
    <mergeCell ref="A43:F43"/>
    <mergeCell ref="A1:F1"/>
    <mergeCell ref="B2:F2"/>
    <mergeCell ref="A19:F19"/>
    <mergeCell ref="A27:F27"/>
    <mergeCell ref="A29:F29"/>
    <mergeCell ref="A32:F32"/>
  </mergeCells>
  <phoneticPr fontId="13" type="noConversion"/>
  <printOptions horizontalCentered="1" verticalCentered="1"/>
  <pageMargins left="0" right="0" top="0" bottom="0" header="0" footer="0"/>
  <pageSetup paperSize="9" scale="77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6BBE41-1D8A-459C-909B-D25AC9945122}">
  <sheetPr>
    <tabColor theme="5" tint="-0.249977111117893"/>
    <pageSetUpPr fitToPage="1"/>
  </sheetPr>
  <dimension ref="A1:H49"/>
  <sheetViews>
    <sheetView zoomScale="40" zoomScaleNormal="40" zoomScaleSheetLayoutView="75" workbookViewId="0">
      <selection activeCell="A2" sqref="A2:F47"/>
    </sheetView>
  </sheetViews>
  <sheetFormatPr defaultColWidth="9" defaultRowHeight="16.5" x14ac:dyDescent="0.3"/>
  <cols>
    <col min="1" max="1" width="24.75" style="34" customWidth="1"/>
    <col min="2" max="2" width="7.625" style="38" customWidth="1"/>
    <col min="3" max="3" width="30.625" style="34" customWidth="1"/>
    <col min="4" max="4" width="9.875" style="2" customWidth="1"/>
    <col min="5" max="5" width="11.375" style="34" customWidth="1"/>
    <col min="6" max="6" width="11.125" style="2" customWidth="1"/>
    <col min="7" max="7" width="8.375" style="34" customWidth="1"/>
    <col min="8" max="8" width="9" style="34" customWidth="1"/>
    <col min="9" max="13" width="9" style="34"/>
    <col min="14" max="14" width="10.625" style="34" customWidth="1"/>
    <col min="15" max="17" width="9" style="34"/>
    <col min="18" max="18" width="36.5" style="34" bestFit="1" customWidth="1"/>
    <col min="19" max="16384" width="9" style="34"/>
  </cols>
  <sheetData>
    <row r="1" spans="1:8" ht="25.9" customHeight="1" thickBot="1" x14ac:dyDescent="0.35">
      <c r="A1" s="270"/>
      <c r="B1" s="270"/>
      <c r="C1" s="270"/>
      <c r="D1" s="270"/>
      <c r="E1" s="270"/>
      <c r="F1" s="270"/>
    </row>
    <row r="2" spans="1:8" ht="25.9" customHeight="1" x14ac:dyDescent="0.3">
      <c r="A2" s="215">
        <f ca="1">TODAY()</f>
        <v>46314</v>
      </c>
      <c r="B2" s="271" t="s">
        <v>263</v>
      </c>
      <c r="C2" s="292"/>
      <c r="D2" s="292"/>
      <c r="E2" s="292"/>
      <c r="F2" s="293"/>
      <c r="G2" s="67"/>
      <c r="H2" s="67"/>
    </row>
    <row r="3" spans="1:8" ht="40.5" customHeight="1" x14ac:dyDescent="0.3">
      <c r="A3" s="222" t="s">
        <v>67</v>
      </c>
      <c r="B3" s="223" t="s">
        <v>13</v>
      </c>
      <c r="C3" s="229" t="s">
        <v>355</v>
      </c>
      <c r="D3" s="230" t="s">
        <v>2</v>
      </c>
      <c r="E3" s="229" t="s">
        <v>23</v>
      </c>
      <c r="F3" s="231" t="s">
        <v>14</v>
      </c>
      <c r="G3" s="67"/>
      <c r="H3" s="67"/>
    </row>
    <row r="4" spans="1:8" ht="25.35" customHeight="1" x14ac:dyDescent="0.3">
      <c r="A4" s="220" t="s">
        <v>260</v>
      </c>
      <c r="B4" s="224">
        <v>48</v>
      </c>
      <c r="C4" s="227">
        <f>IFERROR(VLOOKUP(A4,'참조은 피벗(냉장 베이글)'!A:SD,4,FALSE),0)</f>
        <v>2</v>
      </c>
      <c r="D4" s="227">
        <f t="shared" ref="D4:D18" si="0">IFERROR(ROUNDDOWN(C4/B4,0),"")</f>
        <v>0</v>
      </c>
      <c r="E4" s="51" t="s">
        <v>109</v>
      </c>
      <c r="F4" s="228">
        <f t="shared" ref="F4:F18" si="1">IFERROR(C4-(D4*B4),"")</f>
        <v>2</v>
      </c>
      <c r="G4" s="67"/>
      <c r="H4" s="67"/>
    </row>
    <row r="5" spans="1:8" ht="25.35" customHeight="1" x14ac:dyDescent="0.3">
      <c r="A5" s="221" t="s">
        <v>255</v>
      </c>
      <c r="B5" s="224">
        <f t="shared" ref="B5:B18" si="2">$B$4</f>
        <v>48</v>
      </c>
      <c r="C5" s="227">
        <f>IFERROR(VLOOKUP(A5,'참조은 피벗(냉장 베이글)'!A:SD,4,FALSE),0)</f>
        <v>20</v>
      </c>
      <c r="D5" s="227">
        <f t="shared" si="0"/>
        <v>0</v>
      </c>
      <c r="E5" s="51" t="s">
        <v>335</v>
      </c>
      <c r="F5" s="228">
        <f t="shared" si="1"/>
        <v>20</v>
      </c>
      <c r="G5" s="67"/>
      <c r="H5" s="67"/>
    </row>
    <row r="6" spans="1:8" ht="25.35" customHeight="1" x14ac:dyDescent="0.3">
      <c r="A6" s="221" t="s">
        <v>249</v>
      </c>
      <c r="B6" s="224">
        <f t="shared" si="2"/>
        <v>48</v>
      </c>
      <c r="C6" s="227">
        <f>IFERROR(VLOOKUP(A6,'참조은 피벗(냉장 베이글)'!A:SD,4,FALSE),0)</f>
        <v>4</v>
      </c>
      <c r="D6" s="227">
        <f>IFERROR(ROUNDDOWN(C6/B6,0),"")</f>
        <v>0</v>
      </c>
      <c r="E6" s="51" t="s">
        <v>272</v>
      </c>
      <c r="F6" s="228">
        <f>IFERROR(C6-(D6*B6),"")</f>
        <v>4</v>
      </c>
      <c r="G6" s="67"/>
      <c r="H6" s="67"/>
    </row>
    <row r="7" spans="1:8" ht="25.35" customHeight="1" x14ac:dyDescent="0.3">
      <c r="A7" s="221" t="s">
        <v>250</v>
      </c>
      <c r="B7" s="224">
        <f t="shared" si="2"/>
        <v>48</v>
      </c>
      <c r="C7" s="227">
        <f>IFERROR(VLOOKUP(A7,'참조은 피벗(냉장 베이글)'!A:SD,4,FALSE),0)</f>
        <v>8</v>
      </c>
      <c r="D7" s="227">
        <f>IFERROR(ROUNDDOWN(C7/B7,0),"")</f>
        <v>0</v>
      </c>
      <c r="E7" s="51" t="s">
        <v>273</v>
      </c>
      <c r="F7" s="228">
        <f>IFERROR(C7-(D7*B7),"")</f>
        <v>8</v>
      </c>
      <c r="G7" s="67"/>
      <c r="H7" s="67"/>
    </row>
    <row r="8" spans="1:8" ht="25.35" customHeight="1" x14ac:dyDescent="0.3">
      <c r="A8" s="221" t="s">
        <v>248</v>
      </c>
      <c r="B8" s="224">
        <f t="shared" si="2"/>
        <v>48</v>
      </c>
      <c r="C8" s="227">
        <f>IFERROR(VLOOKUP(A8,'참조은 피벗(냉장 베이글)'!A:SD,4,FALSE),0)</f>
        <v>10</v>
      </c>
      <c r="D8" s="227">
        <f>IFERROR(ROUNDDOWN(C8/B8,0),"")</f>
        <v>0</v>
      </c>
      <c r="E8" s="51" t="s">
        <v>271</v>
      </c>
      <c r="F8" s="228">
        <f>IFERROR(C8-(D8*B8),"")</f>
        <v>10</v>
      </c>
      <c r="G8" s="67"/>
      <c r="H8" s="67"/>
    </row>
    <row r="9" spans="1:8" ht="25.35" customHeight="1" x14ac:dyDescent="0.3">
      <c r="A9" s="221" t="s">
        <v>246</v>
      </c>
      <c r="B9" s="224">
        <f t="shared" si="2"/>
        <v>48</v>
      </c>
      <c r="C9" s="227">
        <f>IFERROR(VLOOKUP(A9,'참조은 피벗(냉장 베이글)'!A:SD,4,FALSE),0)</f>
        <v>14</v>
      </c>
      <c r="D9" s="227">
        <f t="shared" si="0"/>
        <v>0</v>
      </c>
      <c r="E9" s="51" t="s">
        <v>270</v>
      </c>
      <c r="F9" s="228">
        <f t="shared" si="1"/>
        <v>14</v>
      </c>
      <c r="G9" s="67"/>
      <c r="H9" s="67"/>
    </row>
    <row r="10" spans="1:8" ht="25.35" customHeight="1" x14ac:dyDescent="0.3">
      <c r="A10" s="221" t="s">
        <v>256</v>
      </c>
      <c r="B10" s="224">
        <f t="shared" si="2"/>
        <v>48</v>
      </c>
      <c r="C10" s="227">
        <f>IFERROR(VLOOKUP(A10,'참조은 피벗(냉장 베이글)'!A:SD,4,FALSE),0)</f>
        <v>10</v>
      </c>
      <c r="D10" s="227">
        <f>IFERROR(ROUNDDOWN(C10/B10,0),"")</f>
        <v>0</v>
      </c>
      <c r="E10" s="51" t="s">
        <v>278</v>
      </c>
      <c r="F10" s="228">
        <f>IFERROR(C10-(D10*B10),"")</f>
        <v>10</v>
      </c>
      <c r="G10" s="67"/>
      <c r="H10" s="67"/>
    </row>
    <row r="11" spans="1:8" ht="25.35" customHeight="1" x14ac:dyDescent="0.3">
      <c r="A11" s="221" t="s">
        <v>247</v>
      </c>
      <c r="B11" s="224">
        <f t="shared" si="2"/>
        <v>48</v>
      </c>
      <c r="C11" s="227">
        <f>IFERROR(VLOOKUP(A11,'참조은 피벗(냉장 베이글)'!A:SD,4,FALSE),0)</f>
        <v>7</v>
      </c>
      <c r="D11" s="227">
        <f t="shared" si="0"/>
        <v>0</v>
      </c>
      <c r="E11" s="51" t="s">
        <v>334</v>
      </c>
      <c r="F11" s="228">
        <f t="shared" si="1"/>
        <v>7</v>
      </c>
      <c r="G11" s="67"/>
      <c r="H11" s="67"/>
    </row>
    <row r="12" spans="1:8" ht="25.35" customHeight="1" x14ac:dyDescent="0.3">
      <c r="A12" s="221" t="s">
        <v>251</v>
      </c>
      <c r="B12" s="224">
        <f t="shared" si="2"/>
        <v>48</v>
      </c>
      <c r="C12" s="227">
        <f>IFERROR(VLOOKUP(A12,'참조은 피벗(냉장 베이글)'!A:SD,4,FALSE),0)</f>
        <v>11</v>
      </c>
      <c r="D12" s="227">
        <f t="shared" si="0"/>
        <v>0</v>
      </c>
      <c r="E12" s="51" t="s">
        <v>274</v>
      </c>
      <c r="F12" s="228">
        <f t="shared" si="1"/>
        <v>11</v>
      </c>
      <c r="G12" s="67"/>
      <c r="H12" s="67"/>
    </row>
    <row r="13" spans="1:8" ht="25.35" customHeight="1" x14ac:dyDescent="0.3">
      <c r="A13" s="220" t="s">
        <v>252</v>
      </c>
      <c r="B13" s="224">
        <f t="shared" si="2"/>
        <v>48</v>
      </c>
      <c r="C13" s="227">
        <f>IFERROR(VLOOKUP(A13,'참조은 피벗(냉장 베이글)'!A:SD,4,FALSE),0)</f>
        <v>13</v>
      </c>
      <c r="D13" s="227">
        <f t="shared" si="0"/>
        <v>0</v>
      </c>
      <c r="E13" s="51" t="s">
        <v>275</v>
      </c>
      <c r="F13" s="228">
        <f t="shared" si="1"/>
        <v>13</v>
      </c>
      <c r="G13" s="67"/>
      <c r="H13" s="67"/>
    </row>
    <row r="14" spans="1:8" ht="25.35" customHeight="1" x14ac:dyDescent="0.3">
      <c r="A14" s="221" t="s">
        <v>253</v>
      </c>
      <c r="B14" s="224">
        <f t="shared" si="2"/>
        <v>48</v>
      </c>
      <c r="C14" s="227">
        <f>IFERROR(VLOOKUP(A14,'참조은 피벗(냉장 베이글)'!A:SD,4,FALSE),0)</f>
        <v>14</v>
      </c>
      <c r="D14" s="227">
        <f t="shared" si="0"/>
        <v>0</v>
      </c>
      <c r="E14" s="51" t="s">
        <v>276</v>
      </c>
      <c r="F14" s="228">
        <f t="shared" si="1"/>
        <v>14</v>
      </c>
      <c r="G14" s="67"/>
      <c r="H14" s="67"/>
    </row>
    <row r="15" spans="1:8" ht="25.35" customHeight="1" x14ac:dyDescent="0.3">
      <c r="A15" s="221" t="s">
        <v>254</v>
      </c>
      <c r="B15" s="224">
        <f t="shared" si="2"/>
        <v>48</v>
      </c>
      <c r="C15" s="227">
        <f>IFERROR(VLOOKUP(A15,'참조은 피벗(냉장 베이글)'!A:SD,4,FALSE),0)</f>
        <v>17</v>
      </c>
      <c r="D15" s="227">
        <f t="shared" si="0"/>
        <v>0</v>
      </c>
      <c r="E15" s="51" t="s">
        <v>277</v>
      </c>
      <c r="F15" s="228">
        <f t="shared" si="1"/>
        <v>17</v>
      </c>
      <c r="G15" s="67"/>
      <c r="H15" s="67"/>
    </row>
    <row r="16" spans="1:8" ht="25.35" customHeight="1" x14ac:dyDescent="0.3">
      <c r="A16" s="221" t="s">
        <v>257</v>
      </c>
      <c r="B16" s="224">
        <f t="shared" si="2"/>
        <v>48</v>
      </c>
      <c r="C16" s="227">
        <f>IFERROR(VLOOKUP(A16,'참조은 피벗(냉장 베이글)'!A:SD,4,FALSE),0)</f>
        <v>8</v>
      </c>
      <c r="D16" s="227">
        <f t="shared" si="0"/>
        <v>0</v>
      </c>
      <c r="E16" s="51" t="s">
        <v>279</v>
      </c>
      <c r="F16" s="228">
        <f t="shared" si="1"/>
        <v>8</v>
      </c>
      <c r="G16" s="67"/>
      <c r="H16" s="67"/>
    </row>
    <row r="17" spans="1:8" ht="25.35" customHeight="1" x14ac:dyDescent="0.3">
      <c r="A17" s="221" t="s">
        <v>258</v>
      </c>
      <c r="B17" s="224">
        <f t="shared" si="2"/>
        <v>48</v>
      </c>
      <c r="C17" s="227">
        <f>IFERROR(VLOOKUP(A17,'참조은 피벗(냉장 베이글)'!A:SD,4,FALSE),0)</f>
        <v>13</v>
      </c>
      <c r="D17" s="227">
        <f t="shared" si="0"/>
        <v>0</v>
      </c>
      <c r="E17" s="51" t="s">
        <v>280</v>
      </c>
      <c r="F17" s="228">
        <f t="shared" si="1"/>
        <v>13</v>
      </c>
      <c r="G17" s="67"/>
      <c r="H17" s="67"/>
    </row>
    <row r="18" spans="1:8" ht="25.35" customHeight="1" x14ac:dyDescent="0.3">
      <c r="A18" s="221" t="s">
        <v>259</v>
      </c>
      <c r="B18" s="224">
        <f t="shared" si="2"/>
        <v>48</v>
      </c>
      <c r="C18" s="227">
        <f>IFERROR(VLOOKUP(A18,'참조은 피벗(냉장 베이글)'!A:SD,4,FALSE),0)</f>
        <v>10</v>
      </c>
      <c r="D18" s="227">
        <f t="shared" si="0"/>
        <v>0</v>
      </c>
      <c r="E18" s="51" t="s">
        <v>336</v>
      </c>
      <c r="F18" s="228">
        <f t="shared" si="1"/>
        <v>10</v>
      </c>
      <c r="G18" s="67"/>
      <c r="H18" s="67"/>
    </row>
    <row r="19" spans="1:8" ht="4.5" customHeight="1" x14ac:dyDescent="0.3">
      <c r="A19" s="289"/>
      <c r="B19" s="290"/>
      <c r="C19" s="290"/>
      <c r="D19" s="290"/>
      <c r="E19" s="290"/>
      <c r="F19" s="291"/>
    </row>
    <row r="20" spans="1:8" ht="32.450000000000003" customHeight="1" x14ac:dyDescent="0.3">
      <c r="A20" s="211" t="s">
        <v>122</v>
      </c>
      <c r="B20" s="225">
        <f>$B$4</f>
        <v>48</v>
      </c>
      <c r="C20" s="212">
        <f>SUM(C4:C18)</f>
        <v>161</v>
      </c>
      <c r="D20" s="55">
        <f>IFERROR(ROUNDDOWN(C20/B20,0),"")</f>
        <v>3</v>
      </c>
      <c r="E20" s="213"/>
      <c r="F20" s="214">
        <f>IFERROR(C20-(D20*B20),"")</f>
        <v>17</v>
      </c>
    </row>
    <row r="21" spans="1:8" ht="4.5" customHeight="1" x14ac:dyDescent="0.3">
      <c r="A21" s="183"/>
      <c r="B21" s="224"/>
      <c r="C21" s="50"/>
      <c r="D21" s="50"/>
      <c r="E21" s="50"/>
      <c r="F21" s="184"/>
    </row>
    <row r="22" spans="1:8" ht="25.35" customHeight="1" x14ac:dyDescent="0.3">
      <c r="A22" s="221" t="s">
        <v>241</v>
      </c>
      <c r="B22" s="224">
        <f t="shared" ref="B22:B26" si="3">$B$4</f>
        <v>48</v>
      </c>
      <c r="C22" s="227">
        <f>IFERROR(VLOOKUP(A22,'참조은 피벗(냉장 베이글)'!A:SD,4,FALSE),0)</f>
        <v>7</v>
      </c>
      <c r="D22" s="227">
        <f>IFERROR(ROUNDDOWN(C22/B22,0),"")</f>
        <v>0</v>
      </c>
      <c r="E22" s="51" t="s">
        <v>268</v>
      </c>
      <c r="F22" s="228">
        <f>IFERROR(C22-(D22*B22),"")</f>
        <v>7</v>
      </c>
      <c r="G22" s="67"/>
      <c r="H22" s="67"/>
    </row>
    <row r="23" spans="1:8" ht="25.35" customHeight="1" x14ac:dyDescent="0.3">
      <c r="A23" s="221" t="s">
        <v>242</v>
      </c>
      <c r="B23" s="224">
        <f t="shared" si="3"/>
        <v>48</v>
      </c>
      <c r="C23" s="227">
        <f>IFERROR(VLOOKUP(A23,'참조은 피벗(냉장 베이글)'!A:SD,4,FALSE),0)</f>
        <v>17</v>
      </c>
      <c r="D23" s="227">
        <f>IFERROR(ROUNDDOWN(C23/B23,0),"")</f>
        <v>0</v>
      </c>
      <c r="E23" s="51" t="s">
        <v>337</v>
      </c>
      <c r="F23" s="228">
        <f>IFERROR(C23-(D23*B23),"")</f>
        <v>17</v>
      </c>
      <c r="G23" s="67"/>
      <c r="H23" s="67"/>
    </row>
    <row r="24" spans="1:8" ht="25.35" customHeight="1" x14ac:dyDescent="0.3">
      <c r="A24" s="221" t="s">
        <v>243</v>
      </c>
      <c r="B24" s="224">
        <f t="shared" si="3"/>
        <v>48</v>
      </c>
      <c r="C24" s="227">
        <f>IFERROR(VLOOKUP(A24,'참조은 피벗(냉장 베이글)'!A:SD,4,FALSE),0)</f>
        <v>0</v>
      </c>
      <c r="D24" s="227">
        <f>IFERROR(ROUNDDOWN(C24/B24,0),"")</f>
        <v>0</v>
      </c>
      <c r="E24" s="51" t="s">
        <v>106</v>
      </c>
      <c r="F24" s="228">
        <f>IFERROR(C24-(D24*B24),"")</f>
        <v>0</v>
      </c>
      <c r="G24" s="67"/>
      <c r="H24" s="67"/>
    </row>
    <row r="25" spans="1:8" ht="25.35" customHeight="1" x14ac:dyDescent="0.3">
      <c r="A25" s="221" t="s">
        <v>244</v>
      </c>
      <c r="B25" s="224">
        <f t="shared" si="3"/>
        <v>48</v>
      </c>
      <c r="C25" s="227">
        <f>IFERROR(VLOOKUP(A25,'참조은 피벗(냉장 베이글)'!A:SD,4,FALSE),0)</f>
        <v>11</v>
      </c>
      <c r="D25" s="227">
        <f>IFERROR(ROUNDDOWN(C25/B25,0),"")</f>
        <v>0</v>
      </c>
      <c r="E25" s="51" t="s">
        <v>269</v>
      </c>
      <c r="F25" s="228">
        <f>IFERROR(C25-(D25*B25),"")</f>
        <v>11</v>
      </c>
      <c r="G25" s="67"/>
      <c r="H25" s="67"/>
    </row>
    <row r="26" spans="1:8" ht="25.35" customHeight="1" x14ac:dyDescent="0.3">
      <c r="A26" s="221" t="s">
        <v>245</v>
      </c>
      <c r="B26" s="224">
        <f t="shared" si="3"/>
        <v>48</v>
      </c>
      <c r="C26" s="227">
        <f>IFERROR(VLOOKUP(A26,'참조은 피벗(냉장 베이글)'!A:SD,4,FALSE),0)</f>
        <v>8</v>
      </c>
      <c r="D26" s="227">
        <f>IFERROR(ROUNDDOWN(C26/B26,0),"")</f>
        <v>0</v>
      </c>
      <c r="E26" s="51" t="s">
        <v>118</v>
      </c>
      <c r="F26" s="228">
        <f>IFERROR(C26-(D26*B26),"")</f>
        <v>8</v>
      </c>
      <c r="G26" s="67"/>
      <c r="H26" s="67"/>
    </row>
    <row r="27" spans="1:8" ht="4.5" customHeight="1" x14ac:dyDescent="0.3">
      <c r="A27" s="289"/>
      <c r="B27" s="290"/>
      <c r="C27" s="290"/>
      <c r="D27" s="290"/>
      <c r="E27" s="290"/>
      <c r="F27" s="291"/>
      <c r="G27" s="67"/>
      <c r="H27" s="67"/>
    </row>
    <row r="28" spans="1:8" ht="32.450000000000003" customHeight="1" x14ac:dyDescent="0.3">
      <c r="A28" s="211" t="s">
        <v>285</v>
      </c>
      <c r="B28" s="225">
        <f>$B$4</f>
        <v>48</v>
      </c>
      <c r="C28" s="212">
        <f>SUM(C22:C26)</f>
        <v>43</v>
      </c>
      <c r="D28" s="55">
        <f>IFERROR(ROUNDDOWN(C28/B28,0),"")</f>
        <v>0</v>
      </c>
      <c r="E28" s="213"/>
      <c r="F28" s="214">
        <f>IFERROR(C28-(D28*B28),"")</f>
        <v>43</v>
      </c>
      <c r="G28" s="67"/>
      <c r="H28" s="67"/>
    </row>
    <row r="29" spans="1:8" ht="4.5" customHeight="1" x14ac:dyDescent="0.3">
      <c r="A29" s="289"/>
      <c r="B29" s="290"/>
      <c r="C29" s="290"/>
      <c r="D29" s="290"/>
      <c r="E29" s="290"/>
      <c r="F29" s="291"/>
      <c r="G29" s="67"/>
      <c r="H29" s="67"/>
    </row>
    <row r="30" spans="1:8" ht="25.35" customHeight="1" x14ac:dyDescent="0.3">
      <c r="A30" s="221" t="s">
        <v>239</v>
      </c>
      <c r="B30" s="224">
        <f t="shared" ref="B30:B31" si="4">$B$4</f>
        <v>48</v>
      </c>
      <c r="C30" s="227">
        <f>IFERROR(VLOOKUP(A30,'참조은 피벗(냉장 베이글)'!A:SD,4,FALSE),0)</f>
        <v>8</v>
      </c>
      <c r="D30" s="227">
        <f t="shared" ref="D30:D31" si="5">IFERROR(ROUNDDOWN(C30/B30,0),"")</f>
        <v>0</v>
      </c>
      <c r="E30" s="51" t="s">
        <v>266</v>
      </c>
      <c r="F30" s="228">
        <f t="shared" ref="F30:F31" si="6">IFERROR(C30-(D30*B30),"")</f>
        <v>8</v>
      </c>
      <c r="G30" s="67"/>
      <c r="H30" s="67"/>
    </row>
    <row r="31" spans="1:8" ht="25.35" customHeight="1" x14ac:dyDescent="0.3">
      <c r="A31" s="221" t="s">
        <v>240</v>
      </c>
      <c r="B31" s="224">
        <f t="shared" si="4"/>
        <v>48</v>
      </c>
      <c r="C31" s="227">
        <f>IFERROR(VLOOKUP(A31,'참조은 피벗(냉장 베이글)'!A:SD,4,FALSE),0)</f>
        <v>14</v>
      </c>
      <c r="D31" s="227">
        <f t="shared" si="5"/>
        <v>0</v>
      </c>
      <c r="E31" s="51" t="s">
        <v>267</v>
      </c>
      <c r="F31" s="228">
        <f t="shared" si="6"/>
        <v>14</v>
      </c>
      <c r="G31" s="67"/>
      <c r="H31" s="67"/>
    </row>
    <row r="32" spans="1:8" ht="4.5" customHeight="1" x14ac:dyDescent="0.3">
      <c r="A32" s="289"/>
      <c r="B32" s="290"/>
      <c r="C32" s="290"/>
      <c r="D32" s="290"/>
      <c r="E32" s="290"/>
      <c r="F32" s="291"/>
      <c r="G32" s="67"/>
      <c r="H32" s="67"/>
    </row>
    <row r="33" spans="1:8" ht="32.450000000000003" customHeight="1" x14ac:dyDescent="0.3">
      <c r="A33" s="211" t="s">
        <v>284</v>
      </c>
      <c r="B33" s="225">
        <f>$B$4</f>
        <v>48</v>
      </c>
      <c r="C33" s="212">
        <f>SUM(C30:C31)</f>
        <v>22</v>
      </c>
      <c r="D33" s="55">
        <f>IFERROR(ROUNDDOWN(C33/B33,0),"")</f>
        <v>0</v>
      </c>
      <c r="E33" s="213"/>
      <c r="F33" s="214">
        <f>IFERROR(C33-(D33*B33),"")</f>
        <v>22</v>
      </c>
      <c r="G33" s="67"/>
      <c r="H33" s="67"/>
    </row>
    <row r="34" spans="1:8" ht="4.5" customHeight="1" x14ac:dyDescent="0.3">
      <c r="A34" s="183"/>
      <c r="B34" s="224"/>
      <c r="C34" s="50"/>
      <c r="D34" s="50"/>
      <c r="E34" s="50"/>
      <c r="F34" s="184"/>
      <c r="G34" s="67"/>
      <c r="H34" s="67"/>
    </row>
    <row r="35" spans="1:8" ht="25.35" customHeight="1" x14ac:dyDescent="0.3">
      <c r="A35" s="221" t="s">
        <v>236</v>
      </c>
      <c r="B35" s="224">
        <f t="shared" ref="B35:B37" si="7">$B$4</f>
        <v>48</v>
      </c>
      <c r="C35" s="227">
        <f>IFERROR(VLOOKUP(A35,'참조은 피벗(냉장 베이글)'!A:SD,4,FALSE),0)</f>
        <v>11</v>
      </c>
      <c r="D35" s="227">
        <f t="shared" ref="D35:D37" si="8">IFERROR(ROUNDDOWN(C35/B35,0),"")</f>
        <v>0</v>
      </c>
      <c r="E35" s="51" t="s">
        <v>264</v>
      </c>
      <c r="F35" s="228">
        <f t="shared" ref="F35:F37" si="9">IFERROR(C35-(D35*B35),"")</f>
        <v>11</v>
      </c>
      <c r="G35" s="67"/>
      <c r="H35" s="67"/>
    </row>
    <row r="36" spans="1:8" ht="25.35" customHeight="1" x14ac:dyDescent="0.3">
      <c r="A36" s="221" t="s">
        <v>237</v>
      </c>
      <c r="B36" s="224">
        <f t="shared" si="7"/>
        <v>48</v>
      </c>
      <c r="C36" s="227">
        <f>IFERROR(VLOOKUP(A36,'참조은 피벗(냉장 베이글)'!A:SD,4,FALSE),0)</f>
        <v>12</v>
      </c>
      <c r="D36" s="227">
        <f t="shared" si="8"/>
        <v>0</v>
      </c>
      <c r="E36" s="51" t="s">
        <v>338</v>
      </c>
      <c r="F36" s="228">
        <f t="shared" si="9"/>
        <v>12</v>
      </c>
      <c r="G36" s="67"/>
      <c r="H36" s="67"/>
    </row>
    <row r="37" spans="1:8" ht="25.35" customHeight="1" x14ac:dyDescent="0.3">
      <c r="A37" s="221" t="s">
        <v>238</v>
      </c>
      <c r="B37" s="224">
        <f t="shared" si="7"/>
        <v>48</v>
      </c>
      <c r="C37" s="227">
        <f>IFERROR(VLOOKUP(A37,'참조은 피벗(냉장 베이글)'!A:SD,4,FALSE),0)</f>
        <v>20</v>
      </c>
      <c r="D37" s="227">
        <f t="shared" si="8"/>
        <v>0</v>
      </c>
      <c r="E37" s="51" t="s">
        <v>265</v>
      </c>
      <c r="F37" s="228">
        <f t="shared" si="9"/>
        <v>20</v>
      </c>
      <c r="G37" s="67"/>
      <c r="H37" s="67"/>
    </row>
    <row r="38" spans="1:8" ht="4.5" customHeight="1" x14ac:dyDescent="0.3">
      <c r="A38" s="289"/>
      <c r="B38" s="290"/>
      <c r="C38" s="290"/>
      <c r="D38" s="290"/>
      <c r="E38" s="290"/>
      <c r="F38" s="291"/>
      <c r="G38" s="67"/>
      <c r="H38" s="67"/>
    </row>
    <row r="39" spans="1:8" ht="32.450000000000003" customHeight="1" x14ac:dyDescent="0.3">
      <c r="A39" s="211" t="s">
        <v>283</v>
      </c>
      <c r="B39" s="225">
        <f>$B$4</f>
        <v>48</v>
      </c>
      <c r="C39" s="212">
        <f>SUM(C35:C37)</f>
        <v>43</v>
      </c>
      <c r="D39" s="55">
        <f>IFERROR(ROUNDDOWN(C39/B39,0),"")</f>
        <v>0</v>
      </c>
      <c r="E39" s="213"/>
      <c r="F39" s="214">
        <f>IFERROR(C39-(D39*B39),"")</f>
        <v>43</v>
      </c>
      <c r="G39" s="67"/>
      <c r="H39" s="67"/>
    </row>
    <row r="40" spans="1:8" ht="4.5" customHeight="1" x14ac:dyDescent="0.3">
      <c r="A40" s="183"/>
      <c r="B40" s="224"/>
      <c r="C40" s="50"/>
      <c r="D40" s="50"/>
      <c r="E40" s="50"/>
      <c r="F40" s="184"/>
      <c r="G40" s="67"/>
      <c r="H40" s="67"/>
    </row>
    <row r="41" spans="1:8" ht="25.35" customHeight="1" x14ac:dyDescent="0.3">
      <c r="A41" s="221" t="s">
        <v>261</v>
      </c>
      <c r="B41" s="224">
        <f t="shared" ref="B41:B42" si="10">$B$4</f>
        <v>48</v>
      </c>
      <c r="C41" s="227">
        <f>IFERROR(VLOOKUP(A41,'참조은 피벗(냉장 베이글)'!A:SD,4,FALSE),0)</f>
        <v>6</v>
      </c>
      <c r="D41" s="227">
        <f t="shared" ref="D41:D42" si="11">IFERROR(ROUNDDOWN(C41/B41,0),"")</f>
        <v>0</v>
      </c>
      <c r="E41" s="51" t="s">
        <v>281</v>
      </c>
      <c r="F41" s="228">
        <f t="shared" ref="F41:F42" si="12">IFERROR(C41-(D41*B41),"")</f>
        <v>6</v>
      </c>
      <c r="G41" s="67"/>
      <c r="H41" s="67"/>
    </row>
    <row r="42" spans="1:8" ht="25.35" customHeight="1" x14ac:dyDescent="0.3">
      <c r="A42" s="221" t="s">
        <v>262</v>
      </c>
      <c r="B42" s="224">
        <f t="shared" si="10"/>
        <v>48</v>
      </c>
      <c r="C42" s="227">
        <f>IFERROR(VLOOKUP(A42,'참조은 피벗(냉장 베이글)'!A:SD,4,FALSE),0)</f>
        <v>5</v>
      </c>
      <c r="D42" s="227">
        <f t="shared" si="11"/>
        <v>0</v>
      </c>
      <c r="E42" s="51" t="s">
        <v>282</v>
      </c>
      <c r="F42" s="228">
        <f t="shared" si="12"/>
        <v>5</v>
      </c>
      <c r="G42" s="67"/>
      <c r="H42" s="67"/>
    </row>
    <row r="43" spans="1:8" ht="4.5" customHeight="1" x14ac:dyDescent="0.3">
      <c r="A43" s="289"/>
      <c r="B43" s="290"/>
      <c r="C43" s="290"/>
      <c r="D43" s="290"/>
      <c r="E43" s="290"/>
      <c r="F43" s="291"/>
      <c r="G43" s="67"/>
      <c r="H43" s="67"/>
    </row>
    <row r="44" spans="1:8" ht="32.450000000000003" customHeight="1" x14ac:dyDescent="0.3">
      <c r="A44" s="211" t="s">
        <v>339</v>
      </c>
      <c r="B44" s="225">
        <f>$B$4</f>
        <v>48</v>
      </c>
      <c r="C44" s="212">
        <f>SUM(C41:C42)</f>
        <v>11</v>
      </c>
      <c r="D44" s="55">
        <f>IFERROR(ROUNDDOWN(C44/B44,0),"")</f>
        <v>0</v>
      </c>
      <c r="E44" s="213"/>
      <c r="F44" s="214">
        <f>IFERROR(C44-(D44*B44),"")</f>
        <v>11</v>
      </c>
      <c r="G44" s="67"/>
      <c r="H44" s="67"/>
    </row>
    <row r="45" spans="1:8" ht="4.5" customHeight="1" thickBot="1" x14ac:dyDescent="0.35">
      <c r="A45" s="183"/>
      <c r="B45" s="50"/>
      <c r="C45" s="50"/>
      <c r="D45" s="50"/>
      <c r="E45" s="50"/>
      <c r="F45" s="184"/>
      <c r="G45" s="67"/>
      <c r="H45" s="67"/>
    </row>
    <row r="46" spans="1:8" ht="26.25" x14ac:dyDescent="0.3">
      <c r="A46" s="87" t="s">
        <v>3</v>
      </c>
      <c r="B46" s="226">
        <f>$B$4</f>
        <v>48</v>
      </c>
      <c r="C46" s="55">
        <f>SUM(C4:C18,C35:C37,C30:C31,C22:C26,C41:C42)</f>
        <v>280</v>
      </c>
      <c r="D46" s="54">
        <f>IFERROR(ROUNDDOWN(C46/B46,0),"")</f>
        <v>5</v>
      </c>
      <c r="E46" s="56"/>
      <c r="F46" s="121">
        <f>IFERROR(C46-(D46*B46),"")</f>
        <v>40</v>
      </c>
      <c r="G46" s="232" t="s">
        <v>110</v>
      </c>
      <c r="H46" s="233" t="s">
        <v>111</v>
      </c>
    </row>
    <row r="47" spans="1:8" ht="27" thickBot="1" x14ac:dyDescent="0.35">
      <c r="A47" s="42" t="s">
        <v>286</v>
      </c>
      <c r="B47" s="43" t="s">
        <v>173</v>
      </c>
      <c r="C47" s="40"/>
      <c r="D47" s="41">
        <f>SUM(D4:D18,D35:D37,D30:D31,D22:D26,D41:D42)</f>
        <v>0</v>
      </c>
      <c r="E47" s="48"/>
      <c r="F47" s="93">
        <f>SUM(F4:F18,F35:F37,F30:F31,F22:F26,F41:F42)</f>
        <v>280</v>
      </c>
      <c r="G47" s="216">
        <f>IFERROR(ROUNDDOWN(F47/B35,0),"")</f>
        <v>5</v>
      </c>
      <c r="H47" s="217">
        <f>IFERROR(F47-(G47*B35),"")</f>
        <v>40</v>
      </c>
    </row>
    <row r="48" spans="1:8" ht="22.5" customHeight="1" x14ac:dyDescent="0.3">
      <c r="C48" s="77">
        <f>C20+C28+C33+C39+C44</f>
        <v>280</v>
      </c>
      <c r="G48" s="199"/>
      <c r="H48" s="34" t="s">
        <v>174</v>
      </c>
    </row>
    <row r="49" spans="3:3" x14ac:dyDescent="0.3">
      <c r="C49" s="34" t="b">
        <f>C48=C46</f>
        <v>1</v>
      </c>
    </row>
  </sheetData>
  <mergeCells count="8">
    <mergeCell ref="A38:F38"/>
    <mergeCell ref="A43:F43"/>
    <mergeCell ref="A1:F1"/>
    <mergeCell ref="B2:F2"/>
    <mergeCell ref="A19:F19"/>
    <mergeCell ref="A27:F27"/>
    <mergeCell ref="A29:F29"/>
    <mergeCell ref="A32:F32"/>
  </mergeCells>
  <phoneticPr fontId="13" type="noConversion"/>
  <printOptions horizontalCentered="1" verticalCentered="1"/>
  <pageMargins left="0" right="0" top="0" bottom="0" header="0" footer="0"/>
  <pageSetup paperSize="9" scale="77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ECB2BC-DD02-47A0-955C-D87BB6CF14DF}">
  <sheetPr>
    <tabColor theme="5" tint="-0.249977111117893"/>
    <pageSetUpPr fitToPage="1"/>
  </sheetPr>
  <dimension ref="A1:L49"/>
  <sheetViews>
    <sheetView zoomScale="40" zoomScaleNormal="40" zoomScaleSheetLayoutView="75" workbookViewId="0">
      <selection activeCell="A2" sqref="A2:F47"/>
    </sheetView>
  </sheetViews>
  <sheetFormatPr defaultColWidth="9" defaultRowHeight="16.5" x14ac:dyDescent="0.3"/>
  <cols>
    <col min="1" max="1" width="24.75" style="34" customWidth="1"/>
    <col min="2" max="2" width="7.625" style="38" customWidth="1"/>
    <col min="3" max="3" width="30.625" style="34" customWidth="1"/>
    <col min="4" max="4" width="9.875" style="2" customWidth="1"/>
    <col min="5" max="5" width="11.375" style="34" customWidth="1"/>
    <col min="6" max="6" width="11.125" style="2" customWidth="1"/>
    <col min="7" max="7" width="8.375" style="34" customWidth="1"/>
    <col min="8" max="8" width="9" style="34" customWidth="1"/>
    <col min="9" max="13" width="9" style="34"/>
    <col min="14" max="14" width="10.625" style="34" customWidth="1"/>
    <col min="15" max="17" width="9" style="34"/>
    <col min="18" max="18" width="36.5" style="34" bestFit="1" customWidth="1"/>
    <col min="19" max="16384" width="9" style="34"/>
  </cols>
  <sheetData>
    <row r="1" spans="1:12" ht="25.9" customHeight="1" thickBot="1" x14ac:dyDescent="0.35">
      <c r="A1" s="270"/>
      <c r="B1" s="270"/>
      <c r="C1" s="270"/>
      <c r="D1" s="270"/>
      <c r="E1" s="270"/>
      <c r="F1" s="270"/>
    </row>
    <row r="2" spans="1:12" ht="25.9" customHeight="1" x14ac:dyDescent="0.3">
      <c r="A2" s="215">
        <f ca="1">TODAY()</f>
        <v>46314</v>
      </c>
      <c r="B2" s="287" t="s">
        <v>263</v>
      </c>
      <c r="C2" s="287"/>
      <c r="D2" s="287"/>
      <c r="E2" s="287"/>
      <c r="F2" s="288"/>
      <c r="G2" s="67"/>
      <c r="H2" s="67"/>
    </row>
    <row r="3" spans="1:12" ht="40.5" customHeight="1" x14ac:dyDescent="0.3">
      <c r="A3" s="222" t="s">
        <v>67</v>
      </c>
      <c r="B3" s="223" t="s">
        <v>13</v>
      </c>
      <c r="C3" s="229" t="s">
        <v>356</v>
      </c>
      <c r="D3" s="230" t="s">
        <v>2</v>
      </c>
      <c r="E3" s="229" t="s">
        <v>23</v>
      </c>
      <c r="F3" s="231" t="s">
        <v>14</v>
      </c>
      <c r="G3" s="67"/>
      <c r="H3" s="67"/>
      <c r="K3" s="73"/>
      <c r="L3" s="73"/>
    </row>
    <row r="4" spans="1:12" ht="25.35" customHeight="1" x14ac:dyDescent="0.3">
      <c r="A4" s="220" t="s">
        <v>260</v>
      </c>
      <c r="B4" s="224">
        <v>48</v>
      </c>
      <c r="C4" s="227">
        <f>IFERROR(VLOOKUP(A4,'참조은 피벗(냉장 베이글)'!A:SD,5,FALSE),0)</f>
        <v>2</v>
      </c>
      <c r="D4" s="227">
        <f t="shared" ref="D4:D18" si="0">IFERROR(ROUNDDOWN(C4/B4,0),"")</f>
        <v>0</v>
      </c>
      <c r="E4" s="51" t="s">
        <v>109</v>
      </c>
      <c r="F4" s="228">
        <f t="shared" ref="F4:F18" si="1">IFERROR(C4-(D4*B4),"")</f>
        <v>2</v>
      </c>
      <c r="G4" s="67"/>
      <c r="H4" s="67"/>
      <c r="K4" s="73"/>
      <c r="L4" s="73"/>
    </row>
    <row r="5" spans="1:12" ht="25.35" customHeight="1" x14ac:dyDescent="0.3">
      <c r="A5" s="221" t="s">
        <v>255</v>
      </c>
      <c r="B5" s="224">
        <f t="shared" ref="B5:B18" si="2">$B$4</f>
        <v>48</v>
      </c>
      <c r="C5" s="227">
        <f>IFERROR(VLOOKUP(A5,'참조은 피벗(냉장 베이글)'!A:SD,5,FALSE),0)</f>
        <v>5</v>
      </c>
      <c r="D5" s="227">
        <f t="shared" si="0"/>
        <v>0</v>
      </c>
      <c r="E5" s="51" t="s">
        <v>335</v>
      </c>
      <c r="F5" s="228">
        <f t="shared" si="1"/>
        <v>5</v>
      </c>
      <c r="G5" s="67"/>
      <c r="H5" s="67"/>
      <c r="K5" s="73"/>
      <c r="L5" s="73"/>
    </row>
    <row r="6" spans="1:12" ht="25.35" customHeight="1" x14ac:dyDescent="0.3">
      <c r="A6" s="221" t="s">
        <v>249</v>
      </c>
      <c r="B6" s="224">
        <f t="shared" si="2"/>
        <v>48</v>
      </c>
      <c r="C6" s="227">
        <f>IFERROR(VLOOKUP(A6,'참조은 피벗(냉장 베이글)'!A:SD,5,FALSE),0)</f>
        <v>3</v>
      </c>
      <c r="D6" s="227">
        <f>IFERROR(ROUNDDOWN(C6/B6,0),"")</f>
        <v>0</v>
      </c>
      <c r="E6" s="51" t="s">
        <v>272</v>
      </c>
      <c r="F6" s="228">
        <f>IFERROR(C6-(D6*B6),"")</f>
        <v>3</v>
      </c>
      <c r="G6" s="67"/>
      <c r="H6" s="67"/>
      <c r="K6" s="73"/>
      <c r="L6" s="73"/>
    </row>
    <row r="7" spans="1:12" ht="25.35" customHeight="1" x14ac:dyDescent="0.3">
      <c r="A7" s="221" t="s">
        <v>250</v>
      </c>
      <c r="B7" s="224">
        <f t="shared" si="2"/>
        <v>48</v>
      </c>
      <c r="C7" s="227">
        <f>IFERROR(VLOOKUP(A7,'참조은 피벗(냉장 베이글)'!A:SD,5,FALSE),0)</f>
        <v>1</v>
      </c>
      <c r="D7" s="227">
        <f>IFERROR(ROUNDDOWN(C7/B7,0),"")</f>
        <v>0</v>
      </c>
      <c r="E7" s="51" t="s">
        <v>273</v>
      </c>
      <c r="F7" s="228">
        <f>IFERROR(C7-(D7*B7),"")</f>
        <v>1</v>
      </c>
      <c r="G7" s="67"/>
      <c r="H7" s="67"/>
      <c r="K7" s="73"/>
      <c r="L7" s="73"/>
    </row>
    <row r="8" spans="1:12" ht="25.35" customHeight="1" x14ac:dyDescent="0.3">
      <c r="A8" s="221" t="s">
        <v>248</v>
      </c>
      <c r="B8" s="224">
        <f t="shared" si="2"/>
        <v>48</v>
      </c>
      <c r="C8" s="227">
        <f>IFERROR(VLOOKUP(A8,'참조은 피벗(냉장 베이글)'!A:SD,5,FALSE),0)</f>
        <v>8</v>
      </c>
      <c r="D8" s="227">
        <f>IFERROR(ROUNDDOWN(C8/B8,0),"")</f>
        <v>0</v>
      </c>
      <c r="E8" s="51" t="s">
        <v>271</v>
      </c>
      <c r="F8" s="228">
        <f>IFERROR(C8-(D8*B8),"")</f>
        <v>8</v>
      </c>
      <c r="G8" s="67"/>
      <c r="H8" s="67"/>
      <c r="K8" s="73"/>
      <c r="L8" s="73"/>
    </row>
    <row r="9" spans="1:12" ht="25.35" customHeight="1" x14ac:dyDescent="0.3">
      <c r="A9" s="221" t="s">
        <v>246</v>
      </c>
      <c r="B9" s="224">
        <f t="shared" si="2"/>
        <v>48</v>
      </c>
      <c r="C9" s="227">
        <f>IFERROR(VLOOKUP(A9,'참조은 피벗(냉장 베이글)'!A:SD,5,FALSE),0)</f>
        <v>6</v>
      </c>
      <c r="D9" s="227">
        <f t="shared" si="0"/>
        <v>0</v>
      </c>
      <c r="E9" s="51" t="s">
        <v>270</v>
      </c>
      <c r="F9" s="228">
        <f t="shared" si="1"/>
        <v>6</v>
      </c>
      <c r="G9" s="67"/>
      <c r="H9" s="67"/>
      <c r="K9" s="73"/>
      <c r="L9" s="73"/>
    </row>
    <row r="10" spans="1:12" ht="25.35" customHeight="1" x14ac:dyDescent="0.3">
      <c r="A10" s="221" t="s">
        <v>256</v>
      </c>
      <c r="B10" s="224">
        <f t="shared" si="2"/>
        <v>48</v>
      </c>
      <c r="C10" s="227">
        <f>IFERROR(VLOOKUP(A10,'참조은 피벗(냉장 베이글)'!A:SD,5,FALSE),0)</f>
        <v>5</v>
      </c>
      <c r="D10" s="227">
        <f>IFERROR(ROUNDDOWN(C10/B10,0),"")</f>
        <v>0</v>
      </c>
      <c r="E10" s="51" t="s">
        <v>278</v>
      </c>
      <c r="F10" s="228">
        <f>IFERROR(C10-(D10*B10),"")</f>
        <v>5</v>
      </c>
      <c r="G10" s="67"/>
      <c r="H10" s="67"/>
      <c r="K10" s="73"/>
      <c r="L10" s="73"/>
    </row>
    <row r="11" spans="1:12" ht="25.35" customHeight="1" x14ac:dyDescent="0.3">
      <c r="A11" s="221" t="s">
        <v>247</v>
      </c>
      <c r="B11" s="224">
        <f t="shared" si="2"/>
        <v>48</v>
      </c>
      <c r="C11" s="227">
        <f>IFERROR(VLOOKUP(A11,'참조은 피벗(냉장 베이글)'!A:SD,5,FALSE),0)</f>
        <v>1</v>
      </c>
      <c r="D11" s="227">
        <f t="shared" si="0"/>
        <v>0</v>
      </c>
      <c r="E11" s="51" t="s">
        <v>334</v>
      </c>
      <c r="F11" s="228">
        <f t="shared" si="1"/>
        <v>1</v>
      </c>
      <c r="G11" s="67"/>
      <c r="H11" s="67"/>
      <c r="K11" s="73"/>
      <c r="L11" s="73"/>
    </row>
    <row r="12" spans="1:12" ht="25.35" customHeight="1" x14ac:dyDescent="0.3">
      <c r="A12" s="221" t="s">
        <v>251</v>
      </c>
      <c r="B12" s="224">
        <f t="shared" si="2"/>
        <v>48</v>
      </c>
      <c r="C12" s="227">
        <f>IFERROR(VLOOKUP(A12,'참조은 피벗(냉장 베이글)'!A:SD,5,FALSE),0)</f>
        <v>7</v>
      </c>
      <c r="D12" s="227">
        <f t="shared" si="0"/>
        <v>0</v>
      </c>
      <c r="E12" s="51" t="s">
        <v>274</v>
      </c>
      <c r="F12" s="228">
        <f t="shared" si="1"/>
        <v>7</v>
      </c>
      <c r="G12" s="67"/>
      <c r="H12" s="67"/>
      <c r="K12" s="73"/>
      <c r="L12" s="73"/>
    </row>
    <row r="13" spans="1:12" ht="25.35" customHeight="1" x14ac:dyDescent="0.3">
      <c r="A13" s="220" t="s">
        <v>252</v>
      </c>
      <c r="B13" s="224">
        <f t="shared" si="2"/>
        <v>48</v>
      </c>
      <c r="C13" s="227">
        <f>IFERROR(VLOOKUP(A13,'참조은 피벗(냉장 베이글)'!A:SD,5,FALSE),0)</f>
        <v>11</v>
      </c>
      <c r="D13" s="227">
        <f t="shared" si="0"/>
        <v>0</v>
      </c>
      <c r="E13" s="51" t="s">
        <v>275</v>
      </c>
      <c r="F13" s="228">
        <f t="shared" si="1"/>
        <v>11</v>
      </c>
      <c r="G13" s="67"/>
      <c r="H13" s="67"/>
      <c r="K13" s="73"/>
      <c r="L13" s="73"/>
    </row>
    <row r="14" spans="1:12" ht="25.35" customHeight="1" x14ac:dyDescent="0.3">
      <c r="A14" s="221" t="s">
        <v>253</v>
      </c>
      <c r="B14" s="224">
        <f t="shared" si="2"/>
        <v>48</v>
      </c>
      <c r="C14" s="227">
        <f>IFERROR(VLOOKUP(A14,'참조은 피벗(냉장 베이글)'!A:SD,5,FALSE),0)</f>
        <v>14</v>
      </c>
      <c r="D14" s="227">
        <f t="shared" si="0"/>
        <v>0</v>
      </c>
      <c r="E14" s="51" t="s">
        <v>276</v>
      </c>
      <c r="F14" s="228">
        <f t="shared" si="1"/>
        <v>14</v>
      </c>
      <c r="G14" s="67"/>
      <c r="H14" s="67"/>
      <c r="K14" s="73"/>
      <c r="L14" s="73"/>
    </row>
    <row r="15" spans="1:12" ht="25.35" customHeight="1" x14ac:dyDescent="0.3">
      <c r="A15" s="221" t="s">
        <v>254</v>
      </c>
      <c r="B15" s="224">
        <f t="shared" si="2"/>
        <v>48</v>
      </c>
      <c r="C15" s="227">
        <f>IFERROR(VLOOKUP(A15,'참조은 피벗(냉장 베이글)'!A:SD,5,FALSE),0)</f>
        <v>5</v>
      </c>
      <c r="D15" s="227">
        <f t="shared" si="0"/>
        <v>0</v>
      </c>
      <c r="E15" s="51" t="s">
        <v>277</v>
      </c>
      <c r="F15" s="228">
        <f t="shared" si="1"/>
        <v>5</v>
      </c>
      <c r="G15" s="67"/>
      <c r="H15" s="67"/>
      <c r="K15" s="73"/>
      <c r="L15" s="73"/>
    </row>
    <row r="16" spans="1:12" ht="25.35" customHeight="1" x14ac:dyDescent="0.3">
      <c r="A16" s="221" t="s">
        <v>257</v>
      </c>
      <c r="B16" s="224">
        <f t="shared" si="2"/>
        <v>48</v>
      </c>
      <c r="C16" s="227">
        <f>IFERROR(VLOOKUP(A16,'참조은 피벗(냉장 베이글)'!A:SD,5,FALSE),0)</f>
        <v>5</v>
      </c>
      <c r="D16" s="227">
        <f t="shared" si="0"/>
        <v>0</v>
      </c>
      <c r="E16" s="51" t="s">
        <v>279</v>
      </c>
      <c r="F16" s="228">
        <f t="shared" si="1"/>
        <v>5</v>
      </c>
      <c r="G16" s="67"/>
      <c r="H16" s="67"/>
      <c r="K16" s="73"/>
      <c r="L16" s="73"/>
    </row>
    <row r="17" spans="1:12" ht="25.35" customHeight="1" x14ac:dyDescent="0.3">
      <c r="A17" s="221" t="s">
        <v>258</v>
      </c>
      <c r="B17" s="224">
        <f t="shared" si="2"/>
        <v>48</v>
      </c>
      <c r="C17" s="227">
        <f>IFERROR(VLOOKUP(A17,'참조은 피벗(냉장 베이글)'!A:SD,5,FALSE),0)</f>
        <v>12</v>
      </c>
      <c r="D17" s="227">
        <f t="shared" si="0"/>
        <v>0</v>
      </c>
      <c r="E17" s="51" t="s">
        <v>280</v>
      </c>
      <c r="F17" s="228">
        <f t="shared" si="1"/>
        <v>12</v>
      </c>
      <c r="G17" s="67"/>
      <c r="H17" s="67"/>
      <c r="K17" s="73"/>
      <c r="L17" s="73"/>
    </row>
    <row r="18" spans="1:12" ht="25.35" customHeight="1" x14ac:dyDescent="0.3">
      <c r="A18" s="221" t="s">
        <v>259</v>
      </c>
      <c r="B18" s="224">
        <f t="shared" si="2"/>
        <v>48</v>
      </c>
      <c r="C18" s="227">
        <f>IFERROR(VLOOKUP(A18,'참조은 피벗(냉장 베이글)'!A:SD,5,FALSE),0)</f>
        <v>5</v>
      </c>
      <c r="D18" s="227">
        <f t="shared" si="0"/>
        <v>0</v>
      </c>
      <c r="E18" s="51" t="s">
        <v>336</v>
      </c>
      <c r="F18" s="228">
        <f t="shared" si="1"/>
        <v>5</v>
      </c>
      <c r="G18" s="67"/>
      <c r="H18" s="67"/>
      <c r="K18" s="73"/>
      <c r="L18" s="73"/>
    </row>
    <row r="19" spans="1:12" ht="4.5" customHeight="1" x14ac:dyDescent="0.3">
      <c r="A19" s="284"/>
      <c r="B19" s="285"/>
      <c r="C19" s="285"/>
      <c r="D19" s="285"/>
      <c r="E19" s="285"/>
      <c r="F19" s="286"/>
      <c r="K19" s="73"/>
      <c r="L19" s="73"/>
    </row>
    <row r="20" spans="1:12" ht="32.450000000000003" customHeight="1" x14ac:dyDescent="0.3">
      <c r="A20" s="211" t="s">
        <v>122</v>
      </c>
      <c r="B20" s="225">
        <f>$B$4</f>
        <v>48</v>
      </c>
      <c r="C20" s="212">
        <f>SUM(C4:C18)</f>
        <v>90</v>
      </c>
      <c r="D20" s="55">
        <f>IFERROR(ROUNDDOWN(C20/B20,0),"")</f>
        <v>1</v>
      </c>
      <c r="E20" s="213"/>
      <c r="F20" s="214">
        <f>IFERROR(C20-(D20*B20),"")</f>
        <v>42</v>
      </c>
      <c r="K20" s="73"/>
      <c r="L20" s="73"/>
    </row>
    <row r="21" spans="1:12" ht="4.5" customHeight="1" x14ac:dyDescent="0.3">
      <c r="A21" s="183"/>
      <c r="B21" s="224"/>
      <c r="C21" s="50"/>
      <c r="D21" s="50"/>
      <c r="E21" s="50"/>
      <c r="F21" s="184"/>
      <c r="K21" s="73"/>
      <c r="L21" s="73"/>
    </row>
    <row r="22" spans="1:12" ht="25.35" customHeight="1" x14ac:dyDescent="0.3">
      <c r="A22" s="221" t="s">
        <v>241</v>
      </c>
      <c r="B22" s="224">
        <f t="shared" ref="B22:B26" si="3">$B$4</f>
        <v>48</v>
      </c>
      <c r="C22" s="227">
        <f>IFERROR(VLOOKUP(A22,'참조은 피벗(냉장 베이글)'!A:SD,5,FALSE),0)</f>
        <v>2</v>
      </c>
      <c r="D22" s="227">
        <f>IFERROR(ROUNDDOWN(C22/B22,0),"")</f>
        <v>0</v>
      </c>
      <c r="E22" s="51" t="s">
        <v>268</v>
      </c>
      <c r="F22" s="228">
        <f>IFERROR(C22-(D22*B22),"")</f>
        <v>2</v>
      </c>
      <c r="G22" s="67"/>
      <c r="H22" s="67"/>
      <c r="K22" s="73"/>
      <c r="L22" s="73"/>
    </row>
    <row r="23" spans="1:12" ht="25.35" customHeight="1" x14ac:dyDescent="0.3">
      <c r="A23" s="221" t="s">
        <v>242</v>
      </c>
      <c r="B23" s="224">
        <f t="shared" si="3"/>
        <v>48</v>
      </c>
      <c r="C23" s="227">
        <f>IFERROR(VLOOKUP(A23,'참조은 피벗(냉장 베이글)'!A:SD,5,FALSE),0)</f>
        <v>13</v>
      </c>
      <c r="D23" s="227">
        <f>IFERROR(ROUNDDOWN(C23/B23,0),"")</f>
        <v>0</v>
      </c>
      <c r="E23" s="51" t="s">
        <v>337</v>
      </c>
      <c r="F23" s="228">
        <f>IFERROR(C23-(D23*B23),"")</f>
        <v>13</v>
      </c>
      <c r="G23" s="67"/>
      <c r="H23" s="67"/>
      <c r="K23" s="73"/>
      <c r="L23" s="73"/>
    </row>
    <row r="24" spans="1:12" ht="25.35" customHeight="1" x14ac:dyDescent="0.3">
      <c r="A24" s="221" t="s">
        <v>243</v>
      </c>
      <c r="B24" s="224">
        <f t="shared" si="3"/>
        <v>48</v>
      </c>
      <c r="C24" s="227">
        <f>IFERROR(VLOOKUP(A24,'참조은 피벗(냉장 베이글)'!A:SD,5,FALSE),0)</f>
        <v>0</v>
      </c>
      <c r="D24" s="227">
        <f>IFERROR(ROUNDDOWN(C24/B24,0),"")</f>
        <v>0</v>
      </c>
      <c r="E24" s="51" t="s">
        <v>106</v>
      </c>
      <c r="F24" s="228">
        <f>IFERROR(C24-(D24*B24),"")</f>
        <v>0</v>
      </c>
      <c r="G24" s="67"/>
      <c r="H24" s="67"/>
      <c r="K24" s="73"/>
      <c r="L24" s="73"/>
    </row>
    <row r="25" spans="1:12" ht="25.35" customHeight="1" x14ac:dyDescent="0.3">
      <c r="A25" s="221" t="s">
        <v>244</v>
      </c>
      <c r="B25" s="224">
        <f t="shared" si="3"/>
        <v>48</v>
      </c>
      <c r="C25" s="227">
        <f>IFERROR(VLOOKUP(A25,'참조은 피벗(냉장 베이글)'!A:SD,5,FALSE),0)</f>
        <v>12</v>
      </c>
      <c r="D25" s="227">
        <f>IFERROR(ROUNDDOWN(C25/B25,0),"")</f>
        <v>0</v>
      </c>
      <c r="E25" s="51" t="s">
        <v>269</v>
      </c>
      <c r="F25" s="228">
        <f>IFERROR(C25-(D25*B25),"")</f>
        <v>12</v>
      </c>
      <c r="G25" s="67"/>
      <c r="H25" s="67"/>
      <c r="K25" s="73"/>
      <c r="L25" s="73"/>
    </row>
    <row r="26" spans="1:12" ht="25.35" customHeight="1" x14ac:dyDescent="0.3">
      <c r="A26" s="221" t="s">
        <v>245</v>
      </c>
      <c r="B26" s="224">
        <f t="shared" si="3"/>
        <v>48</v>
      </c>
      <c r="C26" s="227">
        <f>IFERROR(VLOOKUP(A26,'참조은 피벗(냉장 베이글)'!A:SD,5,FALSE),0)</f>
        <v>7</v>
      </c>
      <c r="D26" s="227">
        <f>IFERROR(ROUNDDOWN(C26/B26,0),"")</f>
        <v>0</v>
      </c>
      <c r="E26" s="51" t="s">
        <v>118</v>
      </c>
      <c r="F26" s="228">
        <f>IFERROR(C26-(D26*B26),"")</f>
        <v>7</v>
      </c>
      <c r="G26" s="67"/>
      <c r="H26" s="67"/>
      <c r="K26" s="73"/>
      <c r="L26" s="73"/>
    </row>
    <row r="27" spans="1:12" ht="4.5" customHeight="1" x14ac:dyDescent="0.3">
      <c r="A27" s="284"/>
      <c r="B27" s="285"/>
      <c r="C27" s="285"/>
      <c r="D27" s="285"/>
      <c r="E27" s="285"/>
      <c r="F27" s="286"/>
      <c r="G27" s="67"/>
      <c r="H27" s="67"/>
      <c r="K27" s="73"/>
      <c r="L27" s="73"/>
    </row>
    <row r="28" spans="1:12" ht="32.450000000000003" customHeight="1" x14ac:dyDescent="0.3">
      <c r="A28" s="211" t="s">
        <v>285</v>
      </c>
      <c r="B28" s="225">
        <f>$B$4</f>
        <v>48</v>
      </c>
      <c r="C28" s="212">
        <f>SUM(C22:C26)</f>
        <v>34</v>
      </c>
      <c r="D28" s="55">
        <f>IFERROR(ROUNDDOWN(C28/B28,0),"")</f>
        <v>0</v>
      </c>
      <c r="E28" s="213"/>
      <c r="F28" s="214">
        <f>IFERROR(C28-(D28*B28),"")</f>
        <v>34</v>
      </c>
      <c r="G28" s="67"/>
      <c r="H28" s="67"/>
      <c r="K28" s="73"/>
      <c r="L28" s="73"/>
    </row>
    <row r="29" spans="1:12" ht="4.5" customHeight="1" x14ac:dyDescent="0.3">
      <c r="A29" s="284"/>
      <c r="B29" s="285"/>
      <c r="C29" s="285"/>
      <c r="D29" s="285"/>
      <c r="E29" s="285"/>
      <c r="F29" s="286"/>
      <c r="G29" s="67"/>
      <c r="H29" s="67"/>
      <c r="K29" s="73"/>
      <c r="L29" s="73"/>
    </row>
    <row r="30" spans="1:12" ht="25.35" customHeight="1" x14ac:dyDescent="0.3">
      <c r="A30" s="221" t="s">
        <v>239</v>
      </c>
      <c r="B30" s="224">
        <f t="shared" ref="B30:B31" si="4">$B$4</f>
        <v>48</v>
      </c>
      <c r="C30" s="227">
        <f>IFERROR(VLOOKUP(A30,'참조은 피벗(냉장 베이글)'!A:SD,5,FALSE),0)</f>
        <v>6</v>
      </c>
      <c r="D30" s="227">
        <f t="shared" ref="D30:D31" si="5">IFERROR(ROUNDDOWN(C30/B30,0),"")</f>
        <v>0</v>
      </c>
      <c r="E30" s="51" t="s">
        <v>266</v>
      </c>
      <c r="F30" s="228">
        <f t="shared" ref="F30:F31" si="6">IFERROR(C30-(D30*B30),"")</f>
        <v>6</v>
      </c>
      <c r="G30" s="67"/>
      <c r="H30" s="67"/>
      <c r="K30" s="73"/>
      <c r="L30" s="73"/>
    </row>
    <row r="31" spans="1:12" ht="25.35" customHeight="1" x14ac:dyDescent="0.3">
      <c r="A31" s="221" t="s">
        <v>240</v>
      </c>
      <c r="B31" s="224">
        <f t="shared" si="4"/>
        <v>48</v>
      </c>
      <c r="C31" s="227">
        <f>IFERROR(VLOOKUP(A31,'참조은 피벗(냉장 베이글)'!A:SD,5,FALSE),0)</f>
        <v>10</v>
      </c>
      <c r="D31" s="227">
        <f t="shared" si="5"/>
        <v>0</v>
      </c>
      <c r="E31" s="51" t="s">
        <v>267</v>
      </c>
      <c r="F31" s="228">
        <f t="shared" si="6"/>
        <v>10</v>
      </c>
      <c r="G31" s="67"/>
      <c r="H31" s="67"/>
      <c r="K31" s="73"/>
      <c r="L31" s="73"/>
    </row>
    <row r="32" spans="1:12" ht="4.5" customHeight="1" x14ac:dyDescent="0.3">
      <c r="A32" s="284"/>
      <c r="B32" s="285"/>
      <c r="C32" s="285"/>
      <c r="D32" s="285"/>
      <c r="E32" s="285"/>
      <c r="F32" s="286"/>
      <c r="G32" s="67"/>
      <c r="H32" s="67"/>
      <c r="K32" s="73"/>
      <c r="L32" s="73"/>
    </row>
    <row r="33" spans="1:12" ht="32.450000000000003" customHeight="1" x14ac:dyDescent="0.3">
      <c r="A33" s="211" t="s">
        <v>284</v>
      </c>
      <c r="B33" s="225">
        <f>$B$4</f>
        <v>48</v>
      </c>
      <c r="C33" s="212">
        <f>SUM(C30:C31)</f>
        <v>16</v>
      </c>
      <c r="D33" s="55">
        <f>IFERROR(ROUNDDOWN(C33/B33,0),"")</f>
        <v>0</v>
      </c>
      <c r="E33" s="213"/>
      <c r="F33" s="214">
        <f>IFERROR(C33-(D33*B33),"")</f>
        <v>16</v>
      </c>
      <c r="G33" s="67"/>
      <c r="H33" s="67"/>
      <c r="K33" s="73"/>
      <c r="L33" s="73"/>
    </row>
    <row r="34" spans="1:12" ht="4.5" customHeight="1" x14ac:dyDescent="0.3">
      <c r="A34" s="183"/>
      <c r="B34" s="224"/>
      <c r="C34" s="50"/>
      <c r="D34" s="50"/>
      <c r="E34" s="50"/>
      <c r="F34" s="184"/>
      <c r="G34" s="67"/>
      <c r="H34" s="67"/>
      <c r="K34" s="73"/>
      <c r="L34" s="73"/>
    </row>
    <row r="35" spans="1:12" ht="25.35" customHeight="1" x14ac:dyDescent="0.3">
      <c r="A35" s="221" t="s">
        <v>236</v>
      </c>
      <c r="B35" s="224">
        <f t="shared" ref="B35:B37" si="7">$B$4</f>
        <v>48</v>
      </c>
      <c r="C35" s="227">
        <f>IFERROR(VLOOKUP(A35,'참조은 피벗(냉장 베이글)'!A:SD,5,FALSE),0)</f>
        <v>8</v>
      </c>
      <c r="D35" s="227">
        <f>IFERROR(ROUNDDOWN(C35/B35,0),"")</f>
        <v>0</v>
      </c>
      <c r="E35" s="51" t="s">
        <v>264</v>
      </c>
      <c r="F35" s="228">
        <f>IFERROR(C35-(D35*B35),"")</f>
        <v>8</v>
      </c>
      <c r="G35" s="67"/>
      <c r="H35" s="67"/>
      <c r="K35" s="73"/>
      <c r="L35" s="73"/>
    </row>
    <row r="36" spans="1:12" ht="25.35" customHeight="1" x14ac:dyDescent="0.3">
      <c r="A36" s="221" t="s">
        <v>237</v>
      </c>
      <c r="B36" s="224">
        <f t="shared" si="7"/>
        <v>48</v>
      </c>
      <c r="C36" s="227">
        <f>IFERROR(VLOOKUP(A36,'참조은 피벗(냉장 베이글)'!A:SD,5,FALSE),0)</f>
        <v>8</v>
      </c>
      <c r="D36" s="227">
        <f t="shared" ref="D36:D37" si="8">IFERROR(ROUNDDOWN(C36/B36,0),"")</f>
        <v>0</v>
      </c>
      <c r="E36" s="51" t="s">
        <v>338</v>
      </c>
      <c r="F36" s="228">
        <f t="shared" ref="F36:F37" si="9">IFERROR(C36-(D36*B36),"")</f>
        <v>8</v>
      </c>
      <c r="G36" s="67"/>
      <c r="H36" s="67"/>
      <c r="K36" s="73"/>
      <c r="L36" s="73"/>
    </row>
    <row r="37" spans="1:12" ht="25.35" customHeight="1" x14ac:dyDescent="0.3">
      <c r="A37" s="221" t="s">
        <v>238</v>
      </c>
      <c r="B37" s="224">
        <f t="shared" si="7"/>
        <v>48</v>
      </c>
      <c r="C37" s="227">
        <f>IFERROR(VLOOKUP(A37,'참조은 피벗(냉장 베이글)'!A:SD,5,FALSE),0)</f>
        <v>16</v>
      </c>
      <c r="D37" s="227">
        <f t="shared" si="8"/>
        <v>0</v>
      </c>
      <c r="E37" s="51" t="s">
        <v>265</v>
      </c>
      <c r="F37" s="228">
        <f t="shared" si="9"/>
        <v>16</v>
      </c>
      <c r="G37" s="67"/>
      <c r="H37" s="67"/>
      <c r="K37" s="73"/>
      <c r="L37" s="73"/>
    </row>
    <row r="38" spans="1:12" ht="4.5" customHeight="1" x14ac:dyDescent="0.3">
      <c r="A38" s="284"/>
      <c r="B38" s="285"/>
      <c r="C38" s="285"/>
      <c r="D38" s="285"/>
      <c r="E38" s="285"/>
      <c r="F38" s="286"/>
      <c r="G38" s="67"/>
      <c r="H38" s="67"/>
      <c r="K38" s="73"/>
      <c r="L38" s="73"/>
    </row>
    <row r="39" spans="1:12" ht="32.450000000000003" customHeight="1" x14ac:dyDescent="0.3">
      <c r="A39" s="211" t="s">
        <v>283</v>
      </c>
      <c r="B39" s="225">
        <f>$B$4</f>
        <v>48</v>
      </c>
      <c r="C39" s="212">
        <f>SUM(C35:C37)</f>
        <v>32</v>
      </c>
      <c r="D39" s="55">
        <f>IFERROR(ROUNDDOWN(C39/B39,0),"")</f>
        <v>0</v>
      </c>
      <c r="E39" s="213"/>
      <c r="F39" s="214">
        <f>IFERROR(C39-(D39*B39),"")</f>
        <v>32</v>
      </c>
      <c r="G39" s="67"/>
      <c r="H39" s="67"/>
      <c r="K39" s="73"/>
      <c r="L39" s="73"/>
    </row>
    <row r="40" spans="1:12" ht="4.5" customHeight="1" x14ac:dyDescent="0.3">
      <c r="A40" s="183"/>
      <c r="B40" s="224"/>
      <c r="C40" s="50"/>
      <c r="D40" s="50"/>
      <c r="E40" s="50"/>
      <c r="F40" s="184"/>
      <c r="G40" s="67"/>
      <c r="H40" s="67"/>
      <c r="K40" s="73"/>
      <c r="L40" s="73"/>
    </row>
    <row r="41" spans="1:12" ht="25.35" customHeight="1" x14ac:dyDescent="0.3">
      <c r="A41" s="221" t="s">
        <v>261</v>
      </c>
      <c r="B41" s="224">
        <f t="shared" ref="B41:B42" si="10">$B$4</f>
        <v>48</v>
      </c>
      <c r="C41" s="227">
        <f>IFERROR(VLOOKUP(A41,'참조은 피벗(냉장 베이글)'!A:SD,5,FALSE),0)</f>
        <v>2</v>
      </c>
      <c r="D41" s="227">
        <f t="shared" ref="D41:D42" si="11">IFERROR(ROUNDDOWN(C41/B41,0),"")</f>
        <v>0</v>
      </c>
      <c r="E41" s="51" t="s">
        <v>281</v>
      </c>
      <c r="F41" s="228">
        <f t="shared" ref="F41:F42" si="12">IFERROR(C41-(D41*B41),"")</f>
        <v>2</v>
      </c>
      <c r="G41" s="67"/>
      <c r="H41" s="67"/>
      <c r="K41" s="73"/>
      <c r="L41" s="73"/>
    </row>
    <row r="42" spans="1:12" ht="25.35" customHeight="1" x14ac:dyDescent="0.3">
      <c r="A42" s="221" t="s">
        <v>262</v>
      </c>
      <c r="B42" s="224">
        <f t="shared" si="10"/>
        <v>48</v>
      </c>
      <c r="C42" s="227">
        <f>IFERROR(VLOOKUP(A42,'참조은 피벗(냉장 베이글)'!A:SD,5,FALSE),0)</f>
        <v>2</v>
      </c>
      <c r="D42" s="227">
        <f t="shared" si="11"/>
        <v>0</v>
      </c>
      <c r="E42" s="51" t="s">
        <v>282</v>
      </c>
      <c r="F42" s="228">
        <f t="shared" si="12"/>
        <v>2</v>
      </c>
      <c r="G42" s="67"/>
      <c r="H42" s="67"/>
      <c r="K42" s="73"/>
      <c r="L42" s="73"/>
    </row>
    <row r="43" spans="1:12" ht="4.5" customHeight="1" x14ac:dyDescent="0.3">
      <c r="A43" s="284"/>
      <c r="B43" s="285"/>
      <c r="C43" s="285"/>
      <c r="D43" s="285"/>
      <c r="E43" s="285"/>
      <c r="F43" s="286"/>
      <c r="G43" s="67"/>
      <c r="H43" s="67"/>
      <c r="K43" s="73"/>
      <c r="L43" s="73"/>
    </row>
    <row r="44" spans="1:12" ht="32.450000000000003" customHeight="1" x14ac:dyDescent="0.3">
      <c r="A44" s="211" t="s">
        <v>339</v>
      </c>
      <c r="B44" s="225">
        <f>$B$4</f>
        <v>48</v>
      </c>
      <c r="C44" s="212">
        <f>SUM(C41:C42)</f>
        <v>4</v>
      </c>
      <c r="D44" s="55">
        <f>IFERROR(ROUNDDOWN(C44/B44,0),"")</f>
        <v>0</v>
      </c>
      <c r="E44" s="213"/>
      <c r="F44" s="214">
        <f>IFERROR(C44-(D44*B44),"")</f>
        <v>4</v>
      </c>
      <c r="G44" s="67"/>
      <c r="H44" s="67"/>
      <c r="K44" s="73"/>
      <c r="L44" s="73"/>
    </row>
    <row r="45" spans="1:12" ht="4.5" customHeight="1" thickBot="1" x14ac:dyDescent="0.35">
      <c r="A45" s="183"/>
      <c r="B45" s="50"/>
      <c r="C45" s="50"/>
      <c r="D45" s="50"/>
      <c r="E45" s="50"/>
      <c r="F45" s="184"/>
      <c r="G45" s="67"/>
      <c r="H45" s="67"/>
      <c r="K45" s="73"/>
      <c r="L45" s="73"/>
    </row>
    <row r="46" spans="1:12" ht="26.25" x14ac:dyDescent="0.3">
      <c r="A46" s="87" t="s">
        <v>3</v>
      </c>
      <c r="B46" s="226">
        <f>$B$4</f>
        <v>48</v>
      </c>
      <c r="C46" s="55">
        <f>SUM(C4:C18,C35:C37,C30:C31,C22:C26,C41:C42)</f>
        <v>176</v>
      </c>
      <c r="D46" s="54">
        <f>IFERROR(ROUNDDOWN(C46/B46,0),"")</f>
        <v>3</v>
      </c>
      <c r="E46" s="56"/>
      <c r="F46" s="121">
        <f>IFERROR(C46-(D46*B46),"")</f>
        <v>32</v>
      </c>
      <c r="G46" s="232" t="s">
        <v>110</v>
      </c>
      <c r="H46" s="233" t="s">
        <v>111</v>
      </c>
      <c r="K46" s="73"/>
      <c r="L46" s="73"/>
    </row>
    <row r="47" spans="1:12" ht="27" thickBot="1" x14ac:dyDescent="0.35">
      <c r="A47" s="42" t="s">
        <v>286</v>
      </c>
      <c r="B47" s="43" t="s">
        <v>173</v>
      </c>
      <c r="C47" s="40"/>
      <c r="D47" s="41">
        <f>SUM(D4:D18,D35:D37,D30:D31,D22:D26,D41:D42)</f>
        <v>0</v>
      </c>
      <c r="E47" s="48"/>
      <c r="F47" s="93">
        <f>SUM(F4:F18,F35:F37,F30:F31,F22:F26,F41:F42)</f>
        <v>176</v>
      </c>
      <c r="G47" s="216">
        <f>IFERROR(ROUNDDOWN(F47/B35,0),"")</f>
        <v>3</v>
      </c>
      <c r="H47" s="217">
        <f>IFERROR(F47-(G47*B35),"")</f>
        <v>32</v>
      </c>
    </row>
    <row r="48" spans="1:12" ht="22.5" customHeight="1" x14ac:dyDescent="0.3">
      <c r="C48" s="77">
        <f>C20+C28+C33+C39+C44</f>
        <v>176</v>
      </c>
      <c r="G48" s="199"/>
      <c r="H48" s="34" t="s">
        <v>174</v>
      </c>
    </row>
    <row r="49" spans="3:3" x14ac:dyDescent="0.3">
      <c r="C49" s="34" t="b">
        <f>C48=C46</f>
        <v>1</v>
      </c>
    </row>
  </sheetData>
  <mergeCells count="8">
    <mergeCell ref="A38:F38"/>
    <mergeCell ref="A43:F43"/>
    <mergeCell ref="A1:F1"/>
    <mergeCell ref="B2:F2"/>
    <mergeCell ref="A19:F19"/>
    <mergeCell ref="A27:F27"/>
    <mergeCell ref="A29:F29"/>
    <mergeCell ref="A32:F32"/>
  </mergeCells>
  <phoneticPr fontId="13" type="noConversion"/>
  <printOptions horizontalCentered="1" verticalCentered="1"/>
  <pageMargins left="0" right="0" top="0" bottom="0" header="0" footer="0"/>
  <pageSetup paperSize="9" scale="77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B6EEA2-D7E7-4444-867F-7B204BD0F1F7}">
  <sheetPr>
    <tabColor rgb="FFFFFF00"/>
  </sheetPr>
  <dimension ref="A1:ST39"/>
  <sheetViews>
    <sheetView zoomScale="40" zoomScaleNormal="40" zoomScaleSheetLayoutView="75" workbookViewId="0">
      <selection activeCell="B29" sqref="B29:J29"/>
    </sheetView>
  </sheetViews>
  <sheetFormatPr defaultColWidth="9" defaultRowHeight="15" customHeight="1" x14ac:dyDescent="0.3"/>
  <cols>
    <col min="1" max="24" width="37.625" style="34" customWidth="1"/>
    <col min="25" max="25" width="22.25" style="34" bestFit="1" customWidth="1"/>
    <col min="26" max="28" width="18.375" style="34" customWidth="1"/>
    <col min="29" max="29" width="27.625" style="34" bestFit="1" customWidth="1"/>
    <col min="30" max="31" width="18.375" style="34" customWidth="1"/>
    <col min="32" max="32" width="27.625" style="34" bestFit="1" customWidth="1"/>
    <col min="33" max="33" width="18.375" style="34" customWidth="1"/>
    <col min="34" max="34" width="25.375" style="34" bestFit="1" customWidth="1"/>
    <col min="35" max="35" width="21" style="34" bestFit="1" customWidth="1"/>
    <col min="36" max="36" width="27.625" style="34" bestFit="1" customWidth="1"/>
    <col min="37" max="37" width="18.375" style="34" customWidth="1"/>
    <col min="38" max="38" width="27.625" style="34" bestFit="1" customWidth="1"/>
    <col min="39" max="392" width="30.375" style="34" customWidth="1"/>
    <col min="393" max="394" width="21.25" style="34" customWidth="1"/>
    <col min="395" max="410" width="20.5" style="34" customWidth="1"/>
    <col min="411" max="411" width="21" style="34" bestFit="1" customWidth="1"/>
    <col min="412" max="412" width="25.125" style="34" bestFit="1" customWidth="1"/>
    <col min="413" max="413" width="23" style="34" bestFit="1" customWidth="1"/>
    <col min="414" max="414" width="33.375" style="34" bestFit="1" customWidth="1"/>
    <col min="415" max="415" width="25.125" style="34" bestFit="1" customWidth="1"/>
    <col min="416" max="416" width="28.875" style="34" bestFit="1" customWidth="1"/>
    <col min="417" max="417" width="23" style="34" bestFit="1" customWidth="1"/>
    <col min="418" max="418" width="18.875" style="34" customWidth="1"/>
    <col min="419" max="419" width="23" style="34" bestFit="1" customWidth="1"/>
    <col min="420" max="420" width="25.125" style="34" bestFit="1" customWidth="1"/>
    <col min="421" max="421" width="18.875" style="34" customWidth="1"/>
    <col min="422" max="422" width="19.125" style="34" customWidth="1"/>
    <col min="423" max="423" width="18.125" style="34" customWidth="1"/>
    <col min="424" max="424" width="18.875" style="34" customWidth="1"/>
    <col min="425" max="425" width="26.625" style="34" customWidth="1"/>
    <col min="426" max="426" width="22.125" style="34" customWidth="1"/>
    <col min="427" max="427" width="24.125" style="34" customWidth="1"/>
    <col min="428" max="428" width="21.375" style="34" customWidth="1"/>
    <col min="429" max="429" width="19.375" style="34" customWidth="1"/>
    <col min="430" max="430" width="20" style="34" customWidth="1"/>
    <col min="431" max="431" width="23.25" style="34" customWidth="1"/>
    <col min="432" max="432" width="18" style="34" customWidth="1"/>
    <col min="433" max="463" width="19" style="34" customWidth="1"/>
    <col min="464" max="468" width="20.25" style="34" customWidth="1"/>
    <col min="469" max="469" width="17.25" style="34" customWidth="1"/>
    <col min="470" max="470" width="17.75" style="34" customWidth="1"/>
    <col min="471" max="471" width="16.5" style="34" customWidth="1"/>
    <col min="472" max="474" width="21" style="34" customWidth="1"/>
    <col min="475" max="475" width="18.5" style="34" customWidth="1"/>
    <col min="476" max="480" width="21" style="34" customWidth="1"/>
    <col min="481" max="481" width="15.125" style="34" customWidth="1"/>
    <col min="482" max="497" width="21" style="34" customWidth="1"/>
    <col min="498" max="498" width="24.25" style="34" customWidth="1"/>
    <col min="499" max="499" width="18.875" style="34" bestFit="1" customWidth="1"/>
    <col min="500" max="500" width="21" style="34" bestFit="1" customWidth="1"/>
    <col min="501" max="501" width="23" style="38" bestFit="1" customWidth="1"/>
    <col min="502" max="502" width="8.625" style="38" bestFit="1" customWidth="1"/>
    <col min="503" max="503" width="21" style="38" bestFit="1" customWidth="1"/>
    <col min="504" max="504" width="23" style="38" bestFit="1" customWidth="1"/>
    <col min="505" max="505" width="8.625" style="38" bestFit="1" customWidth="1"/>
    <col min="506" max="506" width="22.875" style="34" customWidth="1"/>
    <col min="507" max="513" width="20.875" style="38" customWidth="1"/>
    <col min="514" max="514" width="23.25" style="38" customWidth="1"/>
    <col min="515" max="16384" width="9" style="34"/>
  </cols>
  <sheetData>
    <row r="1" spans="1:506" s="38" customFormat="1" ht="15" customHeight="1" x14ac:dyDescent="0.3">
      <c r="A1" s="62" t="s">
        <v>391</v>
      </c>
      <c r="B1" s="62" t="s">
        <v>89</v>
      </c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2"/>
      <c r="AM1" s="2"/>
      <c r="AN1" s="2"/>
      <c r="AO1" s="2"/>
      <c r="AP1" s="2"/>
      <c r="AQ1" s="2"/>
      <c r="AR1" s="2"/>
      <c r="AS1" s="2"/>
      <c r="AT1" s="2"/>
      <c r="AU1" s="29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2"/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2"/>
      <c r="EV1" s="2"/>
      <c r="EW1" s="2"/>
      <c r="EX1" s="2"/>
      <c r="EY1" s="2"/>
      <c r="EZ1" s="2"/>
      <c r="FA1" s="2"/>
      <c r="FB1" s="2"/>
      <c r="FC1" s="2"/>
      <c r="FD1" s="2"/>
      <c r="FE1" s="2"/>
      <c r="FF1" s="2"/>
      <c r="FG1" s="2"/>
      <c r="FH1" s="2"/>
      <c r="FI1" s="2"/>
      <c r="FJ1" s="2"/>
      <c r="FK1" s="2"/>
      <c r="FL1" s="2"/>
      <c r="FM1" s="2"/>
      <c r="FN1" s="2"/>
      <c r="FO1" s="2"/>
      <c r="FP1" s="2"/>
      <c r="FQ1" s="2"/>
      <c r="FR1" s="2"/>
      <c r="FS1" s="2"/>
      <c r="FT1" s="2"/>
      <c r="FU1" s="2"/>
      <c r="FV1" s="2"/>
      <c r="FW1" s="2"/>
      <c r="FX1" s="2"/>
      <c r="FY1" s="2"/>
      <c r="FZ1" s="2"/>
      <c r="GA1" s="2"/>
      <c r="GB1" s="2"/>
      <c r="GC1" s="2"/>
      <c r="GD1" s="2"/>
      <c r="GE1" s="2"/>
      <c r="GF1" s="2"/>
      <c r="GG1" s="2"/>
      <c r="GH1" s="2"/>
      <c r="GI1" s="2"/>
      <c r="GJ1" s="2"/>
      <c r="GK1" s="2"/>
      <c r="GL1" s="2"/>
      <c r="GM1" s="2"/>
      <c r="GN1" s="2"/>
      <c r="GO1" s="2"/>
      <c r="GP1" s="2"/>
      <c r="GQ1" s="2"/>
      <c r="GR1" s="2"/>
      <c r="GS1" s="2"/>
      <c r="GT1" s="2"/>
      <c r="GU1" s="2"/>
      <c r="GV1" s="2"/>
      <c r="GW1" s="23"/>
      <c r="GX1" s="23"/>
      <c r="GY1" s="23"/>
      <c r="GZ1" s="23"/>
      <c r="HA1" s="23"/>
      <c r="HB1" s="23"/>
      <c r="HC1" s="23"/>
      <c r="HD1" s="23"/>
      <c r="HE1" s="23"/>
      <c r="HF1" s="23"/>
      <c r="HG1" s="23"/>
      <c r="HH1" s="23"/>
      <c r="HI1" s="23"/>
      <c r="HJ1" s="23"/>
      <c r="HK1" s="23"/>
      <c r="HL1" s="23"/>
      <c r="HM1" s="23"/>
      <c r="HN1" s="23"/>
      <c r="HO1" s="23"/>
      <c r="HP1" s="23"/>
      <c r="HQ1" s="23"/>
      <c r="HR1" s="23"/>
      <c r="HS1" s="23"/>
      <c r="HT1" s="23"/>
      <c r="HU1" s="23"/>
      <c r="HV1" s="23"/>
      <c r="HW1" s="23"/>
      <c r="HX1" s="23"/>
      <c r="HY1" s="23"/>
      <c r="HZ1" s="23"/>
      <c r="IA1" s="23"/>
      <c r="IB1" s="23"/>
      <c r="IC1" s="23"/>
      <c r="ID1" s="23"/>
      <c r="IE1" s="23"/>
      <c r="IF1" s="23"/>
      <c r="IG1" s="23"/>
      <c r="IH1" s="23"/>
      <c r="II1" s="23"/>
      <c r="IJ1" s="23"/>
      <c r="IK1" s="23"/>
      <c r="IL1" s="23"/>
      <c r="IM1" s="23"/>
      <c r="IN1" s="23"/>
      <c r="IO1" s="23"/>
      <c r="IP1" s="23"/>
      <c r="IQ1" s="23"/>
      <c r="IR1" s="23"/>
      <c r="IS1" s="23"/>
      <c r="IT1" s="23"/>
      <c r="IU1" s="23"/>
      <c r="IV1" s="23"/>
      <c r="IW1" s="23"/>
      <c r="IX1" s="23"/>
      <c r="IY1" s="23"/>
      <c r="IZ1" s="23"/>
      <c r="JA1" s="23"/>
      <c r="JB1" s="23"/>
      <c r="JC1" s="23"/>
      <c r="JD1" s="23"/>
      <c r="JE1" s="23"/>
      <c r="JF1" s="23"/>
      <c r="JG1" s="23"/>
      <c r="JH1" s="23"/>
      <c r="JI1" s="23"/>
      <c r="JJ1" s="23"/>
      <c r="JK1" s="23"/>
      <c r="JL1" s="23"/>
      <c r="JM1" s="23"/>
      <c r="JN1" s="23"/>
      <c r="JO1" s="23"/>
      <c r="JP1" s="23"/>
      <c r="JQ1" s="23"/>
      <c r="JR1" s="23"/>
      <c r="JS1" s="23"/>
      <c r="JT1" s="23"/>
      <c r="JU1" s="23"/>
      <c r="JV1" s="23"/>
      <c r="JW1" s="23"/>
      <c r="JX1" s="23"/>
      <c r="JY1" s="23"/>
      <c r="JZ1" s="23"/>
      <c r="KA1" s="23"/>
      <c r="KB1" s="23"/>
      <c r="KC1" s="23"/>
      <c r="KD1" s="23"/>
      <c r="KE1" s="23"/>
      <c r="KF1" s="23"/>
      <c r="KG1" s="23"/>
      <c r="KH1" s="23"/>
      <c r="KI1" s="23"/>
      <c r="KJ1" s="23"/>
      <c r="KK1" s="23"/>
      <c r="KL1" s="23"/>
      <c r="KM1" s="23"/>
      <c r="KN1" s="23"/>
      <c r="KO1" s="23"/>
      <c r="KP1" s="23"/>
      <c r="KQ1" s="23"/>
      <c r="KR1" s="23"/>
      <c r="KS1" s="23"/>
      <c r="KT1" s="23"/>
      <c r="KU1" s="23"/>
      <c r="KV1" s="23"/>
      <c r="KW1" s="23"/>
      <c r="KX1" s="23"/>
      <c r="KY1" s="23"/>
      <c r="KZ1" s="23"/>
      <c r="LA1" s="23"/>
      <c r="LB1" s="23"/>
      <c r="LC1" s="23"/>
      <c r="LD1" s="23"/>
      <c r="LE1" s="23"/>
      <c r="LF1" s="23"/>
      <c r="LG1" s="23"/>
      <c r="LH1" s="23"/>
      <c r="LI1" s="23"/>
      <c r="LJ1" s="23"/>
      <c r="LK1" s="23"/>
      <c r="LL1" s="23"/>
      <c r="LM1" s="23"/>
      <c r="LN1" s="23"/>
      <c r="LO1" s="23"/>
      <c r="LP1" s="23"/>
      <c r="LQ1" s="23"/>
      <c r="LR1" s="23"/>
      <c r="LS1" s="23"/>
      <c r="LT1" s="23"/>
      <c r="LU1" s="23"/>
      <c r="LV1" s="23"/>
      <c r="LW1" s="23"/>
      <c r="LX1" s="23"/>
      <c r="LY1" s="23"/>
      <c r="LZ1" s="23"/>
      <c r="MA1" s="23"/>
      <c r="MB1" s="23"/>
      <c r="MC1" s="23"/>
      <c r="MD1" s="23"/>
      <c r="ME1" s="23"/>
      <c r="MF1" s="23"/>
      <c r="MG1" s="23"/>
      <c r="MH1" s="23"/>
      <c r="MI1" s="23"/>
      <c r="MJ1" s="32"/>
      <c r="MK1" s="23"/>
      <c r="ML1" s="23"/>
      <c r="MM1" s="23"/>
      <c r="MN1" s="23"/>
      <c r="MO1" s="32"/>
      <c r="MP1" s="32"/>
      <c r="MQ1" s="23"/>
      <c r="MR1" s="23"/>
      <c r="MS1" s="23"/>
      <c r="MT1" s="23"/>
      <c r="MU1" s="23"/>
      <c r="MV1" s="23"/>
      <c r="MW1" s="23"/>
      <c r="MX1" s="23"/>
      <c r="MY1" s="23"/>
      <c r="MZ1" s="23"/>
      <c r="NA1" s="23"/>
      <c r="NB1" s="23"/>
      <c r="NC1" s="23"/>
      <c r="ND1" s="23"/>
      <c r="NE1" s="23"/>
      <c r="NF1" s="23"/>
      <c r="NG1" s="23"/>
      <c r="NH1" s="23"/>
      <c r="NI1" s="23"/>
      <c r="NJ1" s="23"/>
      <c r="NK1" s="23"/>
      <c r="NL1" s="23"/>
      <c r="NM1" s="23"/>
      <c r="NN1" s="23"/>
      <c r="NO1" s="23"/>
      <c r="NP1" s="23"/>
      <c r="NQ1" s="23"/>
      <c r="NR1" s="23"/>
      <c r="NS1" s="23"/>
      <c r="NT1" s="23"/>
      <c r="NU1" s="23"/>
      <c r="NV1" s="23"/>
      <c r="NW1" s="23"/>
      <c r="NX1" s="23"/>
      <c r="NY1" s="23"/>
      <c r="NZ1" s="23"/>
      <c r="OA1" s="23"/>
      <c r="OB1" s="23"/>
      <c r="OC1" s="23"/>
      <c r="OD1" s="23"/>
      <c r="OE1" s="23"/>
      <c r="OF1" s="23"/>
      <c r="OG1" s="23"/>
      <c r="OH1" s="23"/>
      <c r="OI1" s="23"/>
      <c r="OJ1" s="23"/>
      <c r="OK1" s="23"/>
      <c r="OL1" s="23"/>
      <c r="OM1" s="23"/>
      <c r="ON1" s="23"/>
      <c r="OO1" s="23"/>
      <c r="OP1" s="23"/>
      <c r="OQ1" s="23"/>
      <c r="OR1" s="23"/>
      <c r="OS1" s="23"/>
      <c r="OT1" s="23"/>
      <c r="OU1" s="32"/>
      <c r="OV1" s="23"/>
      <c r="OW1" s="23"/>
      <c r="OX1" s="23"/>
      <c r="OY1" s="23"/>
      <c r="OZ1" s="23"/>
      <c r="PA1" s="23"/>
      <c r="PB1" s="23"/>
      <c r="PC1" s="23"/>
      <c r="PD1" s="23"/>
      <c r="PE1" s="23"/>
      <c r="PF1" s="23"/>
      <c r="PG1" s="23"/>
      <c r="PH1" s="23"/>
      <c r="PI1" s="23"/>
      <c r="PJ1" s="23"/>
      <c r="PK1" s="23"/>
      <c r="PL1" s="23"/>
      <c r="PM1" s="23"/>
      <c r="PN1" s="23"/>
      <c r="PO1" s="23"/>
      <c r="PP1" s="23"/>
      <c r="PQ1" s="32"/>
      <c r="PR1" s="23"/>
      <c r="PS1" s="23"/>
      <c r="PT1" s="23"/>
      <c r="PU1" s="23"/>
      <c r="PV1" s="23"/>
      <c r="PW1" s="23"/>
      <c r="PX1" s="23"/>
      <c r="PY1" s="23"/>
      <c r="PZ1" s="23"/>
      <c r="QA1" s="23"/>
      <c r="QB1" s="23"/>
      <c r="QC1" s="23"/>
      <c r="QD1" s="23"/>
      <c r="QE1" s="32"/>
      <c r="QF1" s="23"/>
      <c r="QG1" s="23"/>
      <c r="QH1" s="23"/>
      <c r="QI1" s="23"/>
      <c r="QJ1" s="23"/>
      <c r="QK1" s="23"/>
      <c r="QL1" s="23"/>
      <c r="QM1" s="23"/>
      <c r="QN1" s="23"/>
      <c r="QO1" s="23"/>
      <c r="QP1" s="23"/>
      <c r="QQ1" s="23"/>
      <c r="QR1" s="23"/>
      <c r="QS1" s="23"/>
      <c r="QT1" s="23"/>
      <c r="QU1" s="23"/>
      <c r="QV1" s="23"/>
      <c r="QW1" s="23"/>
      <c r="QX1" s="23"/>
      <c r="QY1" s="23"/>
      <c r="QZ1" s="23"/>
      <c r="RA1" s="23"/>
      <c r="RB1" s="23"/>
      <c r="RC1" s="23"/>
      <c r="RD1" s="23"/>
      <c r="RE1" s="23"/>
      <c r="RF1" s="23"/>
      <c r="RG1" s="23"/>
      <c r="RH1" s="23"/>
      <c r="RI1" s="23"/>
      <c r="RJ1" s="23"/>
      <c r="RK1" s="23"/>
      <c r="RL1" s="23"/>
      <c r="RM1" s="23"/>
      <c r="RN1" s="23"/>
      <c r="RO1" s="23"/>
      <c r="RP1" s="23"/>
      <c r="RQ1" s="23"/>
      <c r="RR1" s="23"/>
      <c r="RS1" s="23"/>
      <c r="RT1" s="23"/>
      <c r="RU1" s="23"/>
      <c r="RV1" s="23"/>
      <c r="RW1" s="23"/>
      <c r="RX1" s="23"/>
      <c r="RY1" s="23"/>
      <c r="RZ1" s="23"/>
      <c r="SA1" s="23"/>
      <c r="SB1" s="23"/>
      <c r="SC1" s="23"/>
      <c r="SD1" s="23"/>
      <c r="SE1" s="23"/>
      <c r="SF1" s="23"/>
      <c r="SG1" s="23"/>
      <c r="SH1" s="23"/>
      <c r="SI1" s="23"/>
      <c r="SJ1" s="23"/>
      <c r="SK1" s="23"/>
      <c r="SL1" s="23"/>
    </row>
    <row r="2" spans="1:506" s="38" customFormat="1" ht="15" customHeight="1" x14ac:dyDescent="0.3">
      <c r="A2" s="53" t="s">
        <v>67</v>
      </c>
      <c r="B2" s="53" t="s">
        <v>298</v>
      </c>
      <c r="C2" s="53" t="s">
        <v>300</v>
      </c>
      <c r="D2" s="53" t="s">
        <v>301</v>
      </c>
      <c r="E2" s="53" t="s">
        <v>389</v>
      </c>
      <c r="F2" s="53" t="s">
        <v>385</v>
      </c>
      <c r="G2" s="53" t="s">
        <v>360</v>
      </c>
      <c r="H2" s="53" t="s">
        <v>359</v>
      </c>
      <c r="I2" s="53" t="s">
        <v>302</v>
      </c>
      <c r="J2" s="53" t="s">
        <v>303</v>
      </c>
      <c r="K2" s="53" t="s">
        <v>3</v>
      </c>
      <c r="L2" s="53"/>
      <c r="M2" s="53"/>
      <c r="N2" s="53"/>
      <c r="O2" s="53"/>
      <c r="P2" s="53"/>
      <c r="Q2" s="53"/>
      <c r="R2" s="53"/>
      <c r="S2" s="53"/>
      <c r="T2" s="53"/>
      <c r="U2" s="53"/>
      <c r="V2" s="53"/>
      <c r="W2" s="53"/>
      <c r="X2" s="53"/>
      <c r="Y2" s="53"/>
      <c r="Z2" s="53"/>
      <c r="AA2" s="53"/>
      <c r="AB2" s="53"/>
      <c r="AC2" s="53"/>
      <c r="AD2" s="53"/>
      <c r="AE2" s="53"/>
      <c r="AF2" s="53"/>
      <c r="AG2" s="53"/>
      <c r="AH2" s="53"/>
      <c r="AI2" s="53"/>
      <c r="AJ2" s="53"/>
      <c r="AK2" s="53"/>
      <c r="AL2" s="53"/>
      <c r="AM2" s="34"/>
      <c r="AN2" s="34"/>
      <c r="AO2" s="34"/>
      <c r="AP2" s="34"/>
      <c r="AQ2" s="34"/>
      <c r="AR2" s="34"/>
      <c r="AS2" s="34"/>
      <c r="AT2" s="34"/>
      <c r="AU2" s="34"/>
      <c r="AV2" s="34"/>
      <c r="AW2" s="34"/>
      <c r="AX2" s="34"/>
      <c r="AY2" s="34"/>
      <c r="AZ2" s="34"/>
      <c r="BA2" s="34"/>
      <c r="BB2" s="34"/>
      <c r="BC2" s="34"/>
      <c r="BD2" s="34"/>
      <c r="BE2" s="34"/>
      <c r="BF2" s="34"/>
      <c r="BG2" s="34"/>
      <c r="BH2" s="34"/>
      <c r="BI2" s="34"/>
      <c r="BJ2" s="34"/>
      <c r="BK2" s="34"/>
      <c r="BL2" s="34"/>
      <c r="BM2" s="34"/>
      <c r="BN2" s="34"/>
      <c r="BO2" s="34"/>
      <c r="BP2" s="34"/>
      <c r="BQ2" s="34"/>
      <c r="BR2" s="34"/>
      <c r="BS2" s="34"/>
      <c r="BT2" s="34"/>
      <c r="BU2" s="34"/>
      <c r="BV2" s="34"/>
      <c r="BW2" s="34"/>
      <c r="BX2" s="34"/>
      <c r="BY2" s="34"/>
      <c r="BZ2" s="34"/>
      <c r="CA2" s="34"/>
      <c r="CB2" s="34"/>
      <c r="CC2" s="34"/>
      <c r="CD2" s="34"/>
      <c r="CE2" s="34"/>
      <c r="CF2" s="34"/>
      <c r="CG2" s="34"/>
      <c r="CH2" s="34"/>
      <c r="CI2" s="34"/>
      <c r="CJ2" s="34"/>
      <c r="CK2" s="34"/>
      <c r="CL2" s="34"/>
      <c r="CM2" s="34"/>
      <c r="CN2" s="34"/>
      <c r="CO2" s="34"/>
      <c r="CP2" s="34"/>
      <c r="CQ2" s="34"/>
      <c r="CR2" s="34"/>
      <c r="CS2" s="34"/>
      <c r="CT2" s="34"/>
      <c r="CU2" s="34"/>
      <c r="CV2" s="34"/>
      <c r="CW2" s="34"/>
      <c r="CX2" s="34"/>
      <c r="CY2" s="34"/>
      <c r="CZ2" s="34"/>
      <c r="DA2" s="34"/>
      <c r="DB2" s="34"/>
      <c r="DC2" s="34"/>
      <c r="DD2" s="34"/>
      <c r="DE2" s="34"/>
      <c r="DF2" s="34"/>
      <c r="DG2" s="34"/>
      <c r="DH2" s="34"/>
      <c r="DI2" s="34"/>
      <c r="DJ2" s="34"/>
      <c r="DK2" s="34"/>
      <c r="DL2" s="34"/>
      <c r="DM2" s="34"/>
      <c r="DN2" s="34"/>
      <c r="DO2" s="34"/>
      <c r="DP2" s="34"/>
      <c r="DQ2" s="34"/>
      <c r="DR2" s="34"/>
      <c r="DS2" s="34"/>
      <c r="DT2" s="34"/>
      <c r="DU2" s="34"/>
      <c r="DV2" s="34"/>
      <c r="DW2" s="34"/>
      <c r="DX2" s="34"/>
      <c r="DY2" s="34"/>
      <c r="DZ2" s="34"/>
      <c r="EA2" s="34"/>
      <c r="EB2" s="34"/>
      <c r="EC2" s="34"/>
      <c r="ED2" s="34"/>
      <c r="EE2" s="34"/>
      <c r="EF2" s="34"/>
      <c r="EG2" s="34"/>
      <c r="EH2" s="34"/>
      <c r="EI2" s="34"/>
      <c r="EJ2" s="34"/>
      <c r="EK2" s="34"/>
      <c r="EL2" s="34"/>
      <c r="EM2" s="34"/>
      <c r="EN2" s="34"/>
      <c r="EO2" s="34"/>
      <c r="EP2" s="34"/>
      <c r="EQ2" s="34"/>
      <c r="ER2" s="34"/>
      <c r="ES2" s="34"/>
      <c r="ET2" s="34"/>
      <c r="EU2" s="34"/>
      <c r="EV2" s="34"/>
      <c r="EW2" s="34"/>
      <c r="EX2" s="34"/>
      <c r="EY2" s="34"/>
      <c r="EZ2" s="34"/>
      <c r="FA2" s="34"/>
      <c r="FB2" s="34"/>
      <c r="FC2" s="34"/>
      <c r="FD2" s="34"/>
      <c r="FE2" s="34"/>
      <c r="FF2" s="34"/>
      <c r="FG2" s="34"/>
      <c r="FH2" s="34"/>
      <c r="FI2" s="34"/>
      <c r="FJ2" s="34"/>
      <c r="FK2" s="34"/>
      <c r="FL2" s="34"/>
      <c r="FM2" s="34"/>
      <c r="FN2" s="34"/>
      <c r="FO2" s="34"/>
      <c r="FP2" s="34"/>
      <c r="FQ2" s="34"/>
      <c r="FR2" s="34"/>
      <c r="FS2" s="34"/>
      <c r="FT2" s="34"/>
      <c r="FU2" s="34"/>
      <c r="FV2" s="34"/>
      <c r="FW2" s="34"/>
      <c r="FX2" s="34"/>
      <c r="FY2" s="34"/>
      <c r="FZ2" s="34"/>
      <c r="GA2" s="34"/>
      <c r="GB2" s="34"/>
      <c r="GC2" s="34"/>
      <c r="GD2" s="34"/>
      <c r="GE2" s="34"/>
      <c r="GF2" s="34"/>
      <c r="GG2" s="34"/>
      <c r="GH2" s="34"/>
      <c r="GI2" s="34"/>
      <c r="GJ2" s="34"/>
      <c r="GK2" s="34"/>
      <c r="GL2" s="34"/>
      <c r="GM2" s="34"/>
      <c r="GN2" s="34"/>
      <c r="GO2" s="34"/>
      <c r="GP2" s="34"/>
      <c r="GQ2" s="34"/>
      <c r="GR2" s="34"/>
      <c r="GS2" s="34"/>
      <c r="GT2" s="34"/>
      <c r="GU2" s="34"/>
      <c r="GV2" s="34"/>
    </row>
    <row r="3" spans="1:506" s="38" customFormat="1" ht="15" customHeight="1" x14ac:dyDescent="0.3">
      <c r="A3" s="234" t="s">
        <v>260</v>
      </c>
      <c r="B3" s="234"/>
      <c r="C3" s="234"/>
      <c r="D3" s="234">
        <v>16</v>
      </c>
      <c r="E3" s="234">
        <v>160</v>
      </c>
      <c r="F3" s="234">
        <v>180</v>
      </c>
      <c r="G3" s="234">
        <v>24</v>
      </c>
      <c r="H3" s="234">
        <v>19</v>
      </c>
      <c r="I3" s="234">
        <v>20</v>
      </c>
      <c r="J3" s="234">
        <v>16</v>
      </c>
      <c r="K3" s="34">
        <v>435</v>
      </c>
      <c r="L3" s="34"/>
      <c r="M3" s="34"/>
      <c r="N3" s="34"/>
      <c r="O3" s="34"/>
      <c r="P3" s="34"/>
      <c r="Q3" s="34"/>
      <c r="R3" s="34"/>
      <c r="S3" s="34"/>
      <c r="T3" s="34"/>
      <c r="U3" s="34"/>
      <c r="V3" s="34"/>
      <c r="W3" s="34"/>
      <c r="X3" s="34"/>
      <c r="Y3" s="34"/>
      <c r="Z3" s="58"/>
      <c r="AA3" s="58"/>
      <c r="AB3" s="58"/>
      <c r="AC3" s="58"/>
      <c r="AD3" s="58"/>
      <c r="AE3" s="58"/>
      <c r="AF3" s="58"/>
      <c r="AG3" s="58"/>
      <c r="AH3" s="58"/>
      <c r="AI3" s="58"/>
      <c r="AJ3" s="58"/>
      <c r="AK3" s="58"/>
      <c r="AL3" s="58"/>
      <c r="AM3" s="34"/>
      <c r="AN3" s="34"/>
      <c r="AO3" s="34"/>
      <c r="AP3" s="34"/>
      <c r="AQ3" s="34"/>
      <c r="AR3" s="34"/>
      <c r="AS3" s="34"/>
      <c r="AT3" s="34"/>
      <c r="AU3" s="34"/>
      <c r="AV3" s="34"/>
      <c r="AW3" s="34"/>
      <c r="AX3" s="34"/>
      <c r="AY3" s="34"/>
      <c r="AZ3" s="34"/>
      <c r="BA3" s="34"/>
      <c r="BB3" s="34"/>
      <c r="BC3" s="34"/>
      <c r="BD3" s="34"/>
      <c r="BE3" s="34"/>
      <c r="BF3" s="34"/>
      <c r="BG3" s="34"/>
      <c r="BH3" s="34"/>
      <c r="BI3" s="34"/>
      <c r="BJ3" s="34"/>
      <c r="BK3" s="34"/>
      <c r="BL3" s="34"/>
      <c r="BM3" s="34"/>
      <c r="BN3" s="34"/>
      <c r="BO3" s="34"/>
      <c r="BP3" s="34"/>
      <c r="BQ3" s="34"/>
      <c r="BR3" s="34"/>
      <c r="BS3" s="34"/>
      <c r="BT3" s="34"/>
      <c r="BU3" s="34"/>
      <c r="BV3" s="34"/>
      <c r="BW3" s="34"/>
      <c r="BX3" s="34"/>
      <c r="BY3" s="34"/>
      <c r="BZ3" s="34"/>
      <c r="CA3" s="34"/>
      <c r="CB3" s="34"/>
      <c r="CC3" s="34"/>
      <c r="CD3" s="34"/>
      <c r="CE3" s="34"/>
      <c r="CF3" s="34"/>
      <c r="CG3" s="34"/>
      <c r="CH3" s="34"/>
      <c r="CI3" s="34"/>
      <c r="CJ3" s="34"/>
      <c r="CK3" s="34"/>
      <c r="CL3" s="34"/>
      <c r="CM3" s="34"/>
      <c r="CN3" s="34"/>
      <c r="CO3" s="34"/>
      <c r="CP3" s="34"/>
      <c r="CQ3" s="34"/>
      <c r="CR3" s="34"/>
      <c r="CS3" s="34"/>
      <c r="CT3" s="34"/>
      <c r="CU3" s="34"/>
      <c r="CV3" s="34"/>
      <c r="CW3" s="34"/>
      <c r="CX3" s="34"/>
      <c r="CY3" s="34"/>
      <c r="CZ3" s="34"/>
      <c r="DA3" s="34"/>
      <c r="DB3" s="34"/>
      <c r="DC3" s="34"/>
      <c r="DD3" s="34"/>
      <c r="DE3" s="34"/>
      <c r="DF3" s="34"/>
      <c r="DG3" s="34"/>
      <c r="DH3" s="34"/>
      <c r="DI3" s="34"/>
      <c r="DJ3" s="34"/>
      <c r="DK3" s="34"/>
      <c r="DL3" s="34"/>
      <c r="DM3" s="34"/>
      <c r="DN3" s="34"/>
      <c r="DO3" s="34"/>
      <c r="DP3" s="34"/>
      <c r="DQ3" s="34"/>
      <c r="DR3" s="34"/>
      <c r="DS3" s="34"/>
      <c r="DT3" s="34"/>
      <c r="DU3" s="34"/>
      <c r="DV3" s="34"/>
      <c r="DW3" s="34"/>
      <c r="DX3" s="34"/>
      <c r="DY3" s="34"/>
      <c r="DZ3" s="34"/>
      <c r="EA3" s="34"/>
      <c r="EB3" s="34"/>
      <c r="EC3" s="34"/>
      <c r="ED3" s="34"/>
      <c r="EE3" s="34"/>
      <c r="EF3" s="34"/>
      <c r="EG3" s="34"/>
      <c r="EH3" s="34"/>
      <c r="EI3" s="34"/>
      <c r="EJ3" s="34"/>
      <c r="EK3" s="34"/>
      <c r="EL3" s="34"/>
      <c r="EM3" s="34"/>
      <c r="EN3" s="34"/>
      <c r="EO3" s="34"/>
      <c r="EP3" s="34"/>
      <c r="EQ3" s="34"/>
      <c r="ER3" s="34"/>
      <c r="ES3" s="34"/>
      <c r="ET3" s="34"/>
      <c r="EU3" s="34"/>
      <c r="EV3" s="34"/>
      <c r="EW3" s="34"/>
      <c r="EX3" s="34"/>
      <c r="EY3" s="34"/>
      <c r="EZ3" s="34"/>
      <c r="FA3" s="34"/>
      <c r="FB3" s="34"/>
      <c r="FC3" s="34"/>
      <c r="FD3" s="34"/>
      <c r="FE3" s="34"/>
      <c r="FF3" s="34"/>
      <c r="FG3" s="34"/>
      <c r="FH3" s="34"/>
      <c r="FI3" s="34"/>
      <c r="FJ3" s="34"/>
      <c r="FK3" s="34"/>
      <c r="FL3" s="34"/>
      <c r="FM3" s="34"/>
      <c r="FN3" s="34"/>
      <c r="FO3" s="34"/>
      <c r="FP3" s="34"/>
      <c r="FQ3" s="34"/>
      <c r="FR3" s="34"/>
      <c r="FS3" s="34"/>
      <c r="FT3" s="34"/>
      <c r="FU3" s="34"/>
      <c r="FV3" s="34"/>
      <c r="FW3" s="34"/>
      <c r="FX3" s="34"/>
      <c r="FY3" s="34"/>
      <c r="FZ3" s="34"/>
      <c r="GA3" s="34"/>
      <c r="GB3" s="34"/>
      <c r="GC3" s="34"/>
      <c r="GD3" s="34"/>
      <c r="GE3" s="34"/>
      <c r="GF3" s="34"/>
      <c r="GG3" s="34"/>
      <c r="GH3" s="34"/>
      <c r="GI3" s="34"/>
      <c r="GJ3" s="34"/>
      <c r="GK3" s="34"/>
      <c r="GL3" s="34"/>
      <c r="GM3" s="34"/>
      <c r="GN3" s="34"/>
      <c r="GO3" s="34"/>
      <c r="GP3" s="34"/>
      <c r="GQ3" s="34"/>
      <c r="GR3" s="34"/>
      <c r="GS3" s="34"/>
      <c r="GT3" s="34"/>
      <c r="GU3" s="34"/>
      <c r="GV3" s="34"/>
    </row>
    <row r="4" spans="1:506" s="38" customFormat="1" ht="15" customHeight="1" x14ac:dyDescent="0.3">
      <c r="A4" s="34" t="s">
        <v>255</v>
      </c>
      <c r="B4" s="34">
        <v>1</v>
      </c>
      <c r="C4" s="34">
        <v>2</v>
      </c>
      <c r="D4" s="34">
        <v>280</v>
      </c>
      <c r="E4" s="34">
        <v>920</v>
      </c>
      <c r="F4" s="34">
        <v>1236</v>
      </c>
      <c r="G4" s="34">
        <v>207</v>
      </c>
      <c r="H4" s="34">
        <v>154</v>
      </c>
      <c r="I4" s="34">
        <v>444</v>
      </c>
      <c r="J4" s="34">
        <v>364</v>
      </c>
      <c r="K4" s="34">
        <v>3608</v>
      </c>
      <c r="L4" s="34"/>
      <c r="M4" s="34"/>
      <c r="N4" s="34"/>
      <c r="O4" s="34"/>
      <c r="P4" s="34"/>
      <c r="Q4" s="34"/>
      <c r="R4" s="34"/>
      <c r="S4" s="34"/>
      <c r="T4" s="34"/>
      <c r="U4" s="34"/>
      <c r="V4" s="34"/>
      <c r="W4" s="34"/>
      <c r="X4" s="34"/>
      <c r="Y4" s="34"/>
      <c r="Z4" s="58"/>
      <c r="AA4" s="58"/>
      <c r="AB4" s="58"/>
      <c r="AC4" s="58"/>
      <c r="AD4" s="58"/>
      <c r="AE4" s="58"/>
      <c r="AF4" s="58"/>
      <c r="AG4" s="58"/>
      <c r="AH4" s="58"/>
      <c r="AI4" s="58"/>
      <c r="AJ4" s="58"/>
      <c r="AK4" s="58"/>
      <c r="AL4" s="58"/>
      <c r="AM4" s="34"/>
      <c r="AN4" s="34"/>
      <c r="AO4" s="34"/>
      <c r="AP4" s="34"/>
      <c r="AQ4" s="34"/>
      <c r="AR4" s="34"/>
      <c r="AS4" s="34"/>
      <c r="AT4" s="34"/>
      <c r="AU4" s="34"/>
      <c r="AV4" s="34"/>
      <c r="AW4" s="34"/>
      <c r="AX4" s="34"/>
      <c r="AY4" s="34"/>
      <c r="AZ4" s="34"/>
      <c r="BA4" s="34"/>
      <c r="BB4" s="34"/>
      <c r="BC4" s="34"/>
      <c r="BD4" s="34"/>
      <c r="BE4" s="34"/>
      <c r="BF4" s="34"/>
      <c r="BG4" s="34"/>
      <c r="BH4" s="34"/>
      <c r="BI4" s="34"/>
      <c r="BJ4" s="34"/>
      <c r="BK4" s="34"/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4"/>
      <c r="BZ4" s="34"/>
      <c r="CA4" s="34"/>
      <c r="CB4" s="34"/>
      <c r="CC4" s="34"/>
      <c r="CD4" s="34"/>
      <c r="CE4" s="34"/>
      <c r="CF4" s="34"/>
      <c r="CG4" s="34"/>
      <c r="CH4" s="34"/>
      <c r="CI4" s="34"/>
      <c r="CJ4" s="34"/>
      <c r="CK4" s="34"/>
      <c r="CL4" s="34"/>
      <c r="CM4" s="34"/>
      <c r="CN4" s="34"/>
      <c r="CO4" s="34"/>
      <c r="CP4" s="34"/>
      <c r="CQ4" s="34"/>
      <c r="CR4" s="34"/>
      <c r="CS4" s="34"/>
      <c r="CT4" s="34"/>
      <c r="CU4" s="34"/>
      <c r="CV4" s="34"/>
      <c r="CW4" s="34"/>
      <c r="CX4" s="34"/>
      <c r="CY4" s="34"/>
      <c r="CZ4" s="34"/>
      <c r="DA4" s="34"/>
      <c r="DB4" s="34"/>
      <c r="DC4" s="34"/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4"/>
      <c r="DO4" s="34"/>
      <c r="DP4" s="34"/>
      <c r="DQ4" s="34"/>
      <c r="DR4" s="34"/>
      <c r="DS4" s="34"/>
      <c r="DT4" s="34"/>
      <c r="DU4" s="34"/>
      <c r="DV4" s="34"/>
      <c r="DW4" s="34"/>
      <c r="DX4" s="34"/>
      <c r="DY4" s="34"/>
      <c r="DZ4" s="34"/>
      <c r="EA4" s="34"/>
      <c r="EB4" s="34"/>
      <c r="EC4" s="34"/>
      <c r="ED4" s="34"/>
      <c r="EE4" s="34"/>
      <c r="EF4" s="34"/>
      <c r="EG4" s="34"/>
      <c r="EH4" s="34"/>
      <c r="EI4" s="34"/>
      <c r="EJ4" s="34"/>
      <c r="EK4" s="34"/>
      <c r="EL4" s="34"/>
      <c r="EM4" s="34"/>
      <c r="EN4" s="34"/>
      <c r="EO4" s="34"/>
      <c r="EP4" s="34"/>
      <c r="EQ4" s="34"/>
      <c r="ER4" s="34"/>
      <c r="ES4" s="34"/>
      <c r="ET4" s="34"/>
      <c r="EU4" s="34"/>
      <c r="EV4" s="34"/>
      <c r="EW4" s="34"/>
      <c r="EX4" s="34"/>
      <c r="EY4" s="34"/>
      <c r="EZ4" s="34"/>
      <c r="FA4" s="34"/>
      <c r="FB4" s="34"/>
      <c r="FC4" s="34"/>
      <c r="FD4" s="34"/>
      <c r="FE4" s="34"/>
      <c r="FF4" s="34"/>
      <c r="FG4" s="34"/>
      <c r="FH4" s="34"/>
      <c r="FI4" s="34"/>
      <c r="FJ4" s="34"/>
      <c r="FK4" s="34"/>
      <c r="FL4" s="34"/>
      <c r="FM4" s="34"/>
      <c r="FN4" s="34"/>
      <c r="FO4" s="34"/>
      <c r="FP4" s="34"/>
      <c r="FQ4" s="34"/>
      <c r="FR4" s="34"/>
      <c r="FS4" s="34"/>
      <c r="FT4" s="34"/>
      <c r="FU4" s="34"/>
      <c r="FV4" s="34"/>
      <c r="FW4" s="34"/>
      <c r="FX4" s="34"/>
      <c r="FY4" s="34"/>
      <c r="FZ4" s="34"/>
      <c r="GA4" s="34"/>
      <c r="GB4" s="34"/>
      <c r="GC4" s="34"/>
      <c r="GD4" s="34"/>
      <c r="GE4" s="34"/>
      <c r="GF4" s="34"/>
      <c r="GG4" s="34"/>
      <c r="GH4" s="34"/>
      <c r="GI4" s="34"/>
      <c r="GJ4" s="34"/>
      <c r="GK4" s="34"/>
      <c r="GL4" s="34"/>
      <c r="GM4" s="34"/>
      <c r="GN4" s="34"/>
      <c r="GO4" s="34"/>
      <c r="GP4" s="34"/>
      <c r="GQ4" s="34"/>
      <c r="GR4" s="34"/>
      <c r="GS4" s="34"/>
      <c r="GT4" s="34"/>
      <c r="GU4" s="34"/>
      <c r="GV4" s="34"/>
    </row>
    <row r="5" spans="1:506" s="38" customFormat="1" ht="15" customHeight="1" x14ac:dyDescent="0.3">
      <c r="A5" s="34" t="s">
        <v>254</v>
      </c>
      <c r="B5" s="34">
        <v>33</v>
      </c>
      <c r="C5" s="34">
        <v>3</v>
      </c>
      <c r="D5" s="34">
        <v>260</v>
      </c>
      <c r="E5" s="34">
        <v>620</v>
      </c>
      <c r="F5" s="34">
        <v>816</v>
      </c>
      <c r="G5" s="34">
        <v>206</v>
      </c>
      <c r="H5" s="34">
        <v>150</v>
      </c>
      <c r="I5" s="34">
        <v>296</v>
      </c>
      <c r="J5" s="34">
        <v>288</v>
      </c>
      <c r="K5" s="34">
        <v>2672</v>
      </c>
      <c r="L5" s="34"/>
      <c r="M5" s="34"/>
      <c r="N5" s="34"/>
      <c r="O5" s="34"/>
      <c r="P5" s="34"/>
      <c r="Q5" s="34"/>
      <c r="R5" s="34"/>
      <c r="S5" s="34"/>
      <c r="T5" s="34"/>
      <c r="U5" s="34"/>
      <c r="V5" s="34"/>
      <c r="W5" s="34"/>
      <c r="X5" s="34"/>
      <c r="Y5" s="34"/>
      <c r="Z5" s="58"/>
      <c r="AA5" s="58"/>
      <c r="AB5" s="58"/>
      <c r="AC5" s="58"/>
      <c r="AD5" s="58"/>
      <c r="AE5" s="58"/>
      <c r="AF5" s="58"/>
      <c r="AG5" s="58"/>
      <c r="AH5" s="58"/>
      <c r="AI5" s="58"/>
      <c r="AJ5" s="58"/>
      <c r="AK5" s="58"/>
      <c r="AL5" s="58"/>
      <c r="AM5" s="34"/>
      <c r="AN5" s="34"/>
      <c r="AO5" s="34"/>
      <c r="AP5" s="34"/>
      <c r="AQ5" s="34"/>
      <c r="AR5" s="34"/>
      <c r="AS5" s="34"/>
      <c r="AT5" s="34"/>
      <c r="AU5" s="34"/>
      <c r="AV5" s="34"/>
      <c r="AW5" s="34"/>
      <c r="AX5" s="34"/>
      <c r="AY5" s="34"/>
      <c r="AZ5" s="34"/>
      <c r="BA5" s="34"/>
      <c r="BB5" s="34"/>
      <c r="BC5" s="34"/>
      <c r="BD5" s="34"/>
      <c r="BE5" s="34"/>
      <c r="BF5" s="34"/>
      <c r="BG5" s="34"/>
      <c r="BH5" s="34"/>
      <c r="BI5" s="34"/>
      <c r="BJ5" s="34"/>
      <c r="BK5" s="34"/>
      <c r="BL5" s="34"/>
      <c r="BM5" s="34"/>
      <c r="BN5" s="34"/>
      <c r="BO5" s="34"/>
      <c r="BP5" s="34"/>
      <c r="BQ5" s="34"/>
      <c r="BR5" s="34"/>
      <c r="BS5" s="34"/>
      <c r="BT5" s="34"/>
      <c r="BU5" s="34"/>
      <c r="BV5" s="34"/>
      <c r="BW5" s="34"/>
      <c r="BX5" s="34"/>
      <c r="BY5" s="34"/>
      <c r="BZ5" s="34"/>
      <c r="CA5" s="34"/>
      <c r="CB5" s="34"/>
      <c r="CC5" s="34"/>
      <c r="CD5" s="34"/>
      <c r="CE5" s="34"/>
      <c r="CF5" s="34"/>
      <c r="CG5" s="34"/>
      <c r="CH5" s="34"/>
      <c r="CI5" s="34"/>
      <c r="CJ5" s="34"/>
      <c r="CK5" s="34"/>
      <c r="CL5" s="34"/>
      <c r="CM5" s="34"/>
      <c r="CN5" s="34"/>
      <c r="CO5" s="34"/>
      <c r="CP5" s="34"/>
      <c r="CQ5" s="34"/>
      <c r="CR5" s="34"/>
      <c r="CS5" s="34"/>
      <c r="CT5" s="34"/>
      <c r="CU5" s="34"/>
      <c r="CV5" s="34"/>
      <c r="CW5" s="34"/>
      <c r="CX5" s="34"/>
      <c r="CY5" s="34"/>
      <c r="CZ5" s="34"/>
      <c r="DA5" s="34"/>
      <c r="DB5" s="34"/>
      <c r="DC5" s="34"/>
      <c r="DD5" s="34"/>
      <c r="DE5" s="34"/>
      <c r="DF5" s="34"/>
      <c r="DG5" s="34"/>
      <c r="DH5" s="34"/>
      <c r="DI5" s="34"/>
      <c r="DJ5" s="34"/>
      <c r="DK5" s="34"/>
      <c r="DL5" s="34"/>
      <c r="DM5" s="34"/>
      <c r="DN5" s="34"/>
      <c r="DO5" s="34"/>
      <c r="DP5" s="34"/>
      <c r="DQ5" s="34"/>
      <c r="DR5" s="34"/>
      <c r="DS5" s="34"/>
      <c r="DT5" s="34"/>
      <c r="DU5" s="34"/>
      <c r="DV5" s="34"/>
      <c r="DW5" s="34"/>
      <c r="DX5" s="34"/>
      <c r="DY5" s="34"/>
      <c r="DZ5" s="34"/>
      <c r="EA5" s="34"/>
      <c r="EB5" s="34"/>
      <c r="EC5" s="34"/>
      <c r="ED5" s="34"/>
      <c r="EE5" s="34"/>
      <c r="EF5" s="34"/>
      <c r="EG5" s="34"/>
      <c r="EH5" s="34"/>
      <c r="EI5" s="34"/>
      <c r="EJ5" s="34"/>
      <c r="EK5" s="34"/>
      <c r="EL5" s="34"/>
      <c r="EM5" s="34"/>
      <c r="EN5" s="34"/>
      <c r="EO5" s="34"/>
      <c r="EP5" s="34"/>
      <c r="EQ5" s="34"/>
      <c r="ER5" s="34"/>
      <c r="ES5" s="34"/>
      <c r="ET5" s="34"/>
      <c r="EU5" s="34"/>
      <c r="EV5" s="34"/>
      <c r="EW5" s="34"/>
      <c r="EX5" s="34"/>
      <c r="EY5" s="34"/>
      <c r="EZ5" s="34"/>
      <c r="FA5" s="34"/>
      <c r="FB5" s="34"/>
      <c r="FC5" s="34"/>
      <c r="FD5" s="34"/>
      <c r="FE5" s="34"/>
      <c r="FF5" s="34"/>
      <c r="FG5" s="34"/>
      <c r="FH5" s="34"/>
      <c r="FI5" s="34"/>
      <c r="FJ5" s="34"/>
      <c r="FK5" s="34"/>
      <c r="FL5" s="34"/>
      <c r="FM5" s="34"/>
      <c r="FN5" s="34"/>
      <c r="FO5" s="34"/>
      <c r="FP5" s="34"/>
      <c r="FQ5" s="34"/>
      <c r="FR5" s="34"/>
      <c r="FS5" s="34"/>
      <c r="FT5" s="34"/>
      <c r="FU5" s="34"/>
      <c r="FV5" s="34"/>
      <c r="FW5" s="34"/>
      <c r="FX5" s="34"/>
      <c r="FY5" s="34"/>
      <c r="FZ5" s="34"/>
      <c r="GA5" s="34"/>
      <c r="GB5" s="34"/>
      <c r="GC5" s="34"/>
      <c r="GD5" s="34"/>
      <c r="GE5" s="34"/>
      <c r="GF5" s="34"/>
      <c r="GG5" s="34"/>
      <c r="GH5" s="34"/>
      <c r="GI5" s="34"/>
      <c r="GJ5" s="34"/>
      <c r="GK5" s="34"/>
      <c r="GL5" s="34"/>
      <c r="GM5" s="34"/>
      <c r="GN5" s="34"/>
      <c r="GO5" s="34"/>
      <c r="GP5" s="34"/>
      <c r="GQ5" s="34"/>
      <c r="GR5" s="34"/>
      <c r="GS5" s="34"/>
      <c r="GT5" s="34"/>
      <c r="GU5" s="34"/>
      <c r="GV5" s="34"/>
    </row>
    <row r="6" spans="1:506" s="38" customFormat="1" ht="15" customHeight="1" x14ac:dyDescent="0.3">
      <c r="A6" s="34" t="s">
        <v>236</v>
      </c>
      <c r="B6" s="34"/>
      <c r="C6" s="34">
        <v>1</v>
      </c>
      <c r="D6" s="34">
        <v>92</v>
      </c>
      <c r="E6" s="34">
        <v>264</v>
      </c>
      <c r="F6" s="34">
        <v>360</v>
      </c>
      <c r="G6" s="34">
        <v>64</v>
      </c>
      <c r="H6" s="34">
        <v>38</v>
      </c>
      <c r="I6" s="34">
        <v>96</v>
      </c>
      <c r="J6" s="34">
        <v>44</v>
      </c>
      <c r="K6" s="34">
        <v>959</v>
      </c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58"/>
      <c r="AA6" s="58"/>
      <c r="AB6" s="58"/>
      <c r="AC6" s="58"/>
      <c r="AD6" s="58"/>
      <c r="AE6" s="58"/>
      <c r="AF6" s="58"/>
      <c r="AG6" s="58"/>
      <c r="AH6" s="58"/>
      <c r="AI6" s="58"/>
      <c r="AJ6" s="58"/>
      <c r="AK6" s="58"/>
      <c r="AL6" s="58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  <c r="EY6" s="34"/>
      <c r="EZ6" s="34"/>
      <c r="FA6" s="34"/>
      <c r="FB6" s="34"/>
      <c r="FC6" s="34"/>
      <c r="FD6" s="34"/>
      <c r="FE6" s="34"/>
      <c r="FF6" s="34"/>
      <c r="FG6" s="34"/>
      <c r="FH6" s="34"/>
      <c r="FI6" s="34"/>
      <c r="FJ6" s="34"/>
      <c r="FK6" s="34"/>
      <c r="FL6" s="34"/>
      <c r="FM6" s="34"/>
      <c r="FN6" s="34"/>
      <c r="FO6" s="34"/>
      <c r="FP6" s="34"/>
      <c r="FQ6" s="34"/>
      <c r="FR6" s="34"/>
      <c r="FS6" s="34"/>
      <c r="FT6" s="34"/>
      <c r="FU6" s="34"/>
      <c r="FV6" s="34"/>
      <c r="FW6" s="34"/>
      <c r="FX6" s="34"/>
      <c r="FY6" s="34"/>
      <c r="FZ6" s="34"/>
      <c r="GA6" s="34"/>
      <c r="GB6" s="34"/>
      <c r="GC6" s="34"/>
      <c r="GD6" s="34"/>
      <c r="GE6" s="34"/>
      <c r="GF6" s="34"/>
      <c r="GG6" s="34"/>
      <c r="GH6" s="34"/>
      <c r="GI6" s="34"/>
      <c r="GJ6" s="34"/>
      <c r="GK6" s="34"/>
      <c r="GL6" s="34"/>
      <c r="GM6" s="34"/>
      <c r="GN6" s="34"/>
      <c r="GO6" s="34"/>
      <c r="GP6" s="34"/>
      <c r="GQ6" s="34"/>
      <c r="GR6" s="34"/>
      <c r="GS6" s="34"/>
      <c r="GT6" s="34"/>
      <c r="GU6" s="34"/>
      <c r="GV6" s="34"/>
    </row>
    <row r="7" spans="1:506" s="38" customFormat="1" ht="15" customHeight="1" x14ac:dyDescent="0.3">
      <c r="A7" s="34" t="s">
        <v>240</v>
      </c>
      <c r="B7" s="34"/>
      <c r="C7" s="34">
        <v>4</v>
      </c>
      <c r="D7" s="34">
        <v>96</v>
      </c>
      <c r="E7" s="34">
        <v>312</v>
      </c>
      <c r="F7" s="34">
        <v>384</v>
      </c>
      <c r="G7" s="34">
        <v>63</v>
      </c>
      <c r="H7" s="34">
        <v>60</v>
      </c>
      <c r="I7" s="34">
        <v>88</v>
      </c>
      <c r="J7" s="34">
        <v>116</v>
      </c>
      <c r="K7" s="34">
        <v>1123</v>
      </c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58"/>
      <c r="AA7" s="58"/>
      <c r="AB7" s="58"/>
      <c r="AC7" s="58"/>
      <c r="AD7" s="58"/>
      <c r="AE7" s="58"/>
      <c r="AF7" s="58"/>
      <c r="AG7" s="58"/>
      <c r="AH7" s="58"/>
      <c r="AI7" s="58"/>
      <c r="AJ7" s="58"/>
      <c r="AK7" s="58"/>
      <c r="AL7" s="58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  <c r="EY7" s="34"/>
      <c r="EZ7" s="34"/>
      <c r="FA7" s="34"/>
      <c r="FB7" s="34"/>
      <c r="FC7" s="34"/>
      <c r="FD7" s="34"/>
      <c r="FE7" s="34"/>
      <c r="FF7" s="34"/>
      <c r="FG7" s="34"/>
      <c r="FH7" s="34"/>
      <c r="FI7" s="34"/>
      <c r="FJ7" s="34"/>
      <c r="FK7" s="34"/>
      <c r="FL7" s="34"/>
      <c r="FM7" s="34"/>
      <c r="FN7" s="34"/>
      <c r="FO7" s="34"/>
      <c r="FP7" s="34"/>
      <c r="FQ7" s="34"/>
      <c r="FR7" s="34"/>
      <c r="FS7" s="34"/>
      <c r="FT7" s="34"/>
      <c r="FU7" s="34"/>
      <c r="FV7" s="34"/>
      <c r="FW7" s="34"/>
      <c r="FX7" s="34"/>
      <c r="FY7" s="34"/>
      <c r="FZ7" s="34"/>
      <c r="GA7" s="34"/>
      <c r="GB7" s="34"/>
      <c r="GC7" s="34"/>
      <c r="GD7" s="34"/>
      <c r="GE7" s="34"/>
      <c r="GF7" s="34"/>
      <c r="GG7" s="34"/>
      <c r="GH7" s="34"/>
      <c r="GI7" s="34"/>
      <c r="GJ7" s="34"/>
      <c r="GK7" s="34"/>
      <c r="GL7" s="34"/>
      <c r="GM7" s="34"/>
      <c r="GN7" s="34"/>
      <c r="GO7" s="34"/>
      <c r="GP7" s="34"/>
      <c r="GQ7" s="34"/>
      <c r="GR7" s="34"/>
      <c r="GS7" s="34"/>
      <c r="GT7" s="34"/>
      <c r="GU7" s="34"/>
      <c r="GV7" s="34"/>
    </row>
    <row r="8" spans="1:506" s="38" customFormat="1" ht="15" customHeight="1" x14ac:dyDescent="0.3">
      <c r="A8" s="34" t="s">
        <v>244</v>
      </c>
      <c r="B8" s="34"/>
      <c r="C8" s="34">
        <v>1</v>
      </c>
      <c r="D8" s="34">
        <v>116</v>
      </c>
      <c r="E8" s="34">
        <v>376</v>
      </c>
      <c r="F8" s="34">
        <v>412</v>
      </c>
      <c r="G8" s="34">
        <v>124</v>
      </c>
      <c r="H8" s="34">
        <v>101</v>
      </c>
      <c r="I8" s="34">
        <v>144</v>
      </c>
      <c r="J8" s="34">
        <v>140</v>
      </c>
      <c r="K8" s="34">
        <v>1414</v>
      </c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58"/>
      <c r="AA8" s="58"/>
      <c r="AB8" s="58"/>
      <c r="AC8" s="58"/>
      <c r="AD8" s="58"/>
      <c r="AE8" s="58"/>
      <c r="AF8" s="58"/>
      <c r="AG8" s="58"/>
      <c r="AH8" s="58"/>
      <c r="AI8" s="58"/>
      <c r="AJ8" s="58"/>
      <c r="AK8" s="58"/>
      <c r="AL8" s="58"/>
      <c r="AM8" s="34"/>
      <c r="AN8" s="34"/>
      <c r="AO8" s="34"/>
      <c r="AP8" s="34"/>
      <c r="AQ8" s="34"/>
      <c r="AR8" s="34"/>
      <c r="AS8" s="34"/>
      <c r="AT8" s="34"/>
      <c r="AU8" s="34"/>
      <c r="AV8" s="34"/>
      <c r="AW8" s="34"/>
      <c r="AX8" s="34"/>
      <c r="AY8" s="34"/>
      <c r="AZ8" s="34"/>
      <c r="BA8" s="34"/>
      <c r="BB8" s="34"/>
      <c r="BC8" s="34"/>
      <c r="BD8" s="34"/>
      <c r="BE8" s="34"/>
      <c r="BF8" s="34"/>
      <c r="BG8" s="34"/>
      <c r="BH8" s="34"/>
      <c r="BI8" s="34"/>
      <c r="BJ8" s="34"/>
      <c r="BK8" s="34"/>
      <c r="BL8" s="34"/>
      <c r="BM8" s="34"/>
      <c r="BN8" s="34"/>
      <c r="BO8" s="34"/>
      <c r="BP8" s="34"/>
      <c r="BQ8" s="34"/>
      <c r="BR8" s="34"/>
      <c r="BS8" s="34"/>
      <c r="BT8" s="34"/>
      <c r="BU8" s="34"/>
      <c r="BV8" s="34"/>
      <c r="BW8" s="34"/>
      <c r="BX8" s="34"/>
      <c r="BY8" s="34"/>
      <c r="BZ8" s="34"/>
      <c r="CA8" s="34"/>
      <c r="CB8" s="34"/>
      <c r="CC8" s="34"/>
      <c r="CD8" s="34"/>
      <c r="CE8" s="34"/>
      <c r="CF8" s="34"/>
      <c r="CG8" s="34"/>
      <c r="CH8" s="34"/>
      <c r="CI8" s="34"/>
      <c r="CJ8" s="34"/>
      <c r="CK8" s="34"/>
      <c r="CL8" s="34"/>
      <c r="CM8" s="34"/>
      <c r="CN8" s="34"/>
      <c r="CO8" s="34"/>
      <c r="CP8" s="34"/>
      <c r="CQ8" s="34"/>
      <c r="CR8" s="34"/>
      <c r="CS8" s="34"/>
      <c r="CT8" s="34"/>
      <c r="CU8" s="34"/>
      <c r="CV8" s="34"/>
      <c r="CW8" s="34"/>
      <c r="CX8" s="34"/>
      <c r="CY8" s="34"/>
      <c r="CZ8" s="34"/>
      <c r="DA8" s="34"/>
      <c r="DB8" s="34"/>
      <c r="DC8" s="34"/>
      <c r="DD8" s="34"/>
      <c r="DE8" s="34"/>
      <c r="DF8" s="34"/>
      <c r="DG8" s="34"/>
      <c r="DH8" s="34"/>
      <c r="DI8" s="34"/>
      <c r="DJ8" s="34"/>
      <c r="DK8" s="34"/>
      <c r="DL8" s="34"/>
      <c r="DM8" s="34"/>
      <c r="DN8" s="34"/>
      <c r="DO8" s="34"/>
      <c r="DP8" s="34"/>
      <c r="DQ8" s="34"/>
      <c r="DR8" s="34"/>
      <c r="DS8" s="34"/>
      <c r="DT8" s="34"/>
      <c r="DU8" s="34"/>
      <c r="DV8" s="34"/>
      <c r="DW8" s="34"/>
      <c r="DX8" s="34"/>
      <c r="DY8" s="34"/>
      <c r="DZ8" s="34"/>
      <c r="EA8" s="34"/>
      <c r="EB8" s="34"/>
      <c r="EC8" s="34"/>
      <c r="ED8" s="34"/>
      <c r="EE8" s="34"/>
      <c r="EF8" s="34"/>
      <c r="EG8" s="34"/>
      <c r="EH8" s="34"/>
      <c r="EI8" s="34"/>
      <c r="EJ8" s="34"/>
      <c r="EK8" s="34"/>
      <c r="EL8" s="34"/>
      <c r="EM8" s="34"/>
      <c r="EN8" s="34"/>
      <c r="EO8" s="34"/>
      <c r="EP8" s="34"/>
      <c r="EQ8" s="34"/>
      <c r="ER8" s="34"/>
      <c r="ES8" s="34"/>
      <c r="ET8" s="34"/>
      <c r="EU8" s="34"/>
      <c r="EV8" s="34"/>
      <c r="EW8" s="34"/>
      <c r="EX8" s="34"/>
      <c r="EY8" s="34"/>
      <c r="EZ8" s="34"/>
      <c r="FA8" s="34"/>
      <c r="FB8" s="34"/>
      <c r="FC8" s="34"/>
      <c r="FD8" s="34"/>
      <c r="FE8" s="34"/>
      <c r="FF8" s="34"/>
      <c r="FG8" s="34"/>
      <c r="FH8" s="34"/>
      <c r="FI8" s="34"/>
      <c r="FJ8" s="34"/>
      <c r="FK8" s="34"/>
      <c r="FL8" s="34"/>
      <c r="FM8" s="34"/>
      <c r="FN8" s="34"/>
      <c r="FO8" s="34"/>
      <c r="FP8" s="34"/>
      <c r="FQ8" s="34"/>
      <c r="FR8" s="34"/>
      <c r="FS8" s="34"/>
      <c r="FT8" s="34"/>
      <c r="FU8" s="34"/>
      <c r="FV8" s="34"/>
      <c r="FW8" s="34"/>
      <c r="FX8" s="34"/>
      <c r="FY8" s="34"/>
      <c r="FZ8" s="34"/>
      <c r="GA8" s="34"/>
      <c r="GB8" s="34"/>
      <c r="GC8" s="34"/>
      <c r="GD8" s="34"/>
      <c r="GE8" s="34"/>
      <c r="GF8" s="34"/>
      <c r="GG8" s="34"/>
      <c r="GH8" s="34"/>
      <c r="GI8" s="34"/>
      <c r="GJ8" s="34"/>
      <c r="GK8" s="34"/>
      <c r="GL8" s="34"/>
      <c r="GM8" s="34"/>
      <c r="GN8" s="34"/>
      <c r="GO8" s="34"/>
      <c r="GP8" s="34"/>
      <c r="GQ8" s="34"/>
      <c r="GR8" s="34"/>
      <c r="GS8" s="34"/>
      <c r="GT8" s="34"/>
      <c r="GU8" s="34"/>
      <c r="GV8" s="34"/>
    </row>
    <row r="9" spans="1:506" s="38" customFormat="1" ht="15" customHeight="1" x14ac:dyDescent="0.3">
      <c r="A9" s="234" t="s">
        <v>261</v>
      </c>
      <c r="B9" s="234">
        <v>2</v>
      </c>
      <c r="C9" s="234">
        <v>2</v>
      </c>
      <c r="D9" s="234">
        <v>16</v>
      </c>
      <c r="E9" s="234">
        <v>112</v>
      </c>
      <c r="F9" s="234">
        <v>100</v>
      </c>
      <c r="G9" s="234">
        <v>11</v>
      </c>
      <c r="H9" s="234">
        <v>21</v>
      </c>
      <c r="I9" s="234">
        <v>28</v>
      </c>
      <c r="J9" s="234">
        <v>20</v>
      </c>
      <c r="K9" s="34">
        <v>312</v>
      </c>
      <c r="L9" s="34"/>
      <c r="M9" s="34"/>
      <c r="N9" s="34"/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58"/>
      <c r="AA9" s="58"/>
      <c r="AB9" s="58"/>
      <c r="AC9" s="58"/>
      <c r="AD9" s="58"/>
      <c r="AE9" s="58"/>
      <c r="AF9" s="58"/>
      <c r="AG9" s="58"/>
      <c r="AH9" s="58"/>
      <c r="AI9" s="58"/>
      <c r="AJ9" s="58"/>
      <c r="AK9" s="58"/>
      <c r="AL9" s="58"/>
      <c r="AM9" s="34"/>
      <c r="AN9" s="34"/>
      <c r="AO9" s="34"/>
      <c r="AP9" s="34"/>
      <c r="AQ9" s="34"/>
      <c r="AR9" s="34"/>
      <c r="AS9" s="34"/>
      <c r="AT9" s="34"/>
      <c r="AU9" s="34"/>
      <c r="AV9" s="34"/>
      <c r="AW9" s="34"/>
      <c r="AX9" s="34"/>
      <c r="AY9" s="34"/>
      <c r="AZ9" s="34"/>
      <c r="BA9" s="34"/>
      <c r="BB9" s="34"/>
      <c r="BC9" s="34"/>
      <c r="BD9" s="34"/>
      <c r="BE9" s="34"/>
      <c r="BF9" s="34"/>
      <c r="BG9" s="34"/>
      <c r="BH9" s="34"/>
      <c r="BI9" s="34"/>
      <c r="BJ9" s="34"/>
      <c r="BK9" s="34"/>
      <c r="BL9" s="34"/>
      <c r="BM9" s="34"/>
      <c r="BN9" s="34"/>
      <c r="BO9" s="34"/>
      <c r="BP9" s="34"/>
      <c r="BQ9" s="34"/>
      <c r="BR9" s="34"/>
      <c r="BS9" s="34"/>
      <c r="BT9" s="34"/>
      <c r="BU9" s="34"/>
      <c r="BV9" s="34"/>
      <c r="BW9" s="34"/>
      <c r="BX9" s="34"/>
      <c r="BY9" s="34"/>
      <c r="BZ9" s="34"/>
      <c r="CA9" s="34"/>
      <c r="CB9" s="34"/>
      <c r="CC9" s="34"/>
      <c r="CD9" s="34"/>
      <c r="CE9" s="34"/>
      <c r="CF9" s="34"/>
      <c r="CG9" s="34"/>
      <c r="CH9" s="34"/>
      <c r="CI9" s="34"/>
      <c r="CJ9" s="34"/>
      <c r="CK9" s="34"/>
      <c r="CL9" s="34"/>
      <c r="CM9" s="34"/>
      <c r="CN9" s="34"/>
      <c r="CO9" s="34"/>
      <c r="CP9" s="34"/>
      <c r="CQ9" s="34"/>
      <c r="CR9" s="34"/>
      <c r="CS9" s="34"/>
      <c r="CT9" s="34"/>
      <c r="CU9" s="34"/>
      <c r="CV9" s="34"/>
      <c r="CW9" s="34"/>
      <c r="CX9" s="34"/>
      <c r="CY9" s="34"/>
      <c r="CZ9" s="34"/>
      <c r="DA9" s="34"/>
      <c r="DB9" s="34"/>
      <c r="DC9" s="34"/>
      <c r="DD9" s="34"/>
      <c r="DE9" s="34"/>
      <c r="DF9" s="34"/>
      <c r="DG9" s="34"/>
      <c r="DH9" s="34"/>
      <c r="DI9" s="34"/>
      <c r="DJ9" s="34"/>
      <c r="DK9" s="34"/>
      <c r="DL9" s="34"/>
      <c r="DM9" s="34"/>
      <c r="DN9" s="34"/>
      <c r="DO9" s="34"/>
      <c r="DP9" s="34"/>
      <c r="DQ9" s="34"/>
      <c r="DR9" s="34"/>
      <c r="DS9" s="34"/>
      <c r="DT9" s="34"/>
      <c r="DU9" s="34"/>
      <c r="DV9" s="34"/>
      <c r="DW9" s="34"/>
      <c r="DX9" s="34"/>
      <c r="DY9" s="34"/>
      <c r="DZ9" s="34"/>
      <c r="EA9" s="34"/>
      <c r="EB9" s="34"/>
      <c r="EC9" s="34"/>
      <c r="ED9" s="34"/>
      <c r="EE9" s="34"/>
      <c r="EF9" s="34"/>
      <c r="EG9" s="34"/>
      <c r="EH9" s="34"/>
      <c r="EI9" s="34"/>
      <c r="EJ9" s="34"/>
      <c r="EK9" s="34"/>
      <c r="EL9" s="34"/>
      <c r="EM9" s="34"/>
      <c r="EN9" s="34"/>
      <c r="EO9" s="34"/>
      <c r="EP9" s="34"/>
      <c r="EQ9" s="34"/>
      <c r="ER9" s="34"/>
      <c r="ES9" s="34"/>
      <c r="ET9" s="34"/>
      <c r="EU9" s="34"/>
      <c r="EV9" s="34"/>
      <c r="EW9" s="34"/>
      <c r="EX9" s="34"/>
      <c r="EY9" s="34"/>
      <c r="EZ9" s="34"/>
      <c r="FA9" s="34"/>
      <c r="FB9" s="34"/>
      <c r="FC9" s="34"/>
      <c r="FD9" s="34"/>
      <c r="FE9" s="34"/>
      <c r="FF9" s="34"/>
      <c r="FG9" s="34"/>
      <c r="FH9" s="34"/>
      <c r="FI9" s="34"/>
      <c r="FJ9" s="34"/>
      <c r="FK9" s="34"/>
      <c r="FL9" s="34"/>
      <c r="FM9" s="34"/>
      <c r="FN9" s="34"/>
      <c r="FO9" s="34"/>
      <c r="FP9" s="34"/>
      <c r="FQ9" s="34"/>
      <c r="FR9" s="34"/>
      <c r="FS9" s="34"/>
      <c r="FT9" s="34"/>
      <c r="FU9" s="34"/>
      <c r="FV9" s="34"/>
      <c r="FW9" s="34"/>
      <c r="FX9" s="34"/>
      <c r="FY9" s="34"/>
      <c r="FZ9" s="34"/>
      <c r="GA9" s="34"/>
      <c r="GB9" s="34"/>
      <c r="GC9" s="34"/>
      <c r="GD9" s="34"/>
      <c r="GE9" s="34"/>
      <c r="GF9" s="34"/>
      <c r="GG9" s="34"/>
      <c r="GH9" s="34"/>
      <c r="GI9" s="34"/>
      <c r="GJ9" s="34"/>
      <c r="GK9" s="34"/>
      <c r="GL9" s="34"/>
      <c r="GM9" s="34"/>
      <c r="GN9" s="34"/>
      <c r="GO9" s="34"/>
      <c r="GP9" s="34"/>
      <c r="GQ9" s="34"/>
      <c r="GR9" s="34"/>
      <c r="GS9" s="34"/>
      <c r="GT9" s="34"/>
      <c r="GU9" s="34"/>
      <c r="GV9" s="34"/>
    </row>
    <row r="10" spans="1:506" s="38" customFormat="1" ht="15" customHeight="1" x14ac:dyDescent="0.3">
      <c r="A10" s="34" t="s">
        <v>249</v>
      </c>
      <c r="B10" s="34">
        <v>4</v>
      </c>
      <c r="C10" s="34">
        <v>3</v>
      </c>
      <c r="D10" s="34">
        <v>148</v>
      </c>
      <c r="E10" s="34">
        <v>456</v>
      </c>
      <c r="F10" s="34">
        <v>568</v>
      </c>
      <c r="G10" s="34">
        <v>122</v>
      </c>
      <c r="H10" s="34">
        <v>94</v>
      </c>
      <c r="I10" s="34">
        <v>140</v>
      </c>
      <c r="J10" s="34">
        <v>192</v>
      </c>
      <c r="K10" s="34">
        <v>1727</v>
      </c>
      <c r="L10" s="34"/>
      <c r="M10" s="34"/>
      <c r="N10" s="34"/>
      <c r="O10" s="34"/>
      <c r="P10" s="34"/>
      <c r="Q10" s="34"/>
      <c r="R10" s="34"/>
      <c r="S10" s="34"/>
      <c r="T10" s="34"/>
      <c r="U10" s="34"/>
      <c r="V10" s="34"/>
      <c r="W10" s="34"/>
      <c r="X10" s="34"/>
      <c r="Y10" s="34"/>
      <c r="Z10" s="58"/>
      <c r="AA10" s="58"/>
      <c r="AB10" s="58"/>
      <c r="AC10" s="58"/>
      <c r="AD10" s="58"/>
      <c r="AE10" s="58"/>
      <c r="AF10" s="58"/>
      <c r="AG10" s="58"/>
      <c r="AH10" s="58"/>
      <c r="AI10" s="58"/>
      <c r="AJ10" s="58"/>
      <c r="AK10" s="58"/>
      <c r="AL10" s="58"/>
      <c r="AM10" s="34"/>
      <c r="AN10" s="34"/>
      <c r="AO10" s="34"/>
      <c r="AP10" s="34"/>
      <c r="AQ10" s="34"/>
      <c r="AR10" s="34"/>
      <c r="AS10" s="34"/>
      <c r="AT10" s="34"/>
      <c r="AU10" s="34"/>
      <c r="AV10" s="34"/>
      <c r="AW10" s="34"/>
      <c r="AX10" s="34"/>
      <c r="AY10" s="34"/>
      <c r="AZ10" s="34"/>
      <c r="BA10" s="34"/>
      <c r="BB10" s="34"/>
      <c r="BC10" s="34"/>
      <c r="BD10" s="34"/>
      <c r="BE10" s="34"/>
      <c r="BF10" s="34"/>
      <c r="BG10" s="34"/>
      <c r="BH10" s="34"/>
      <c r="BI10" s="34"/>
      <c r="BJ10" s="34"/>
      <c r="BK10" s="34"/>
      <c r="BL10" s="34"/>
      <c r="BM10" s="34"/>
      <c r="BN10" s="34"/>
      <c r="BO10" s="34"/>
      <c r="BP10" s="34"/>
      <c r="BQ10" s="34"/>
      <c r="BR10" s="34"/>
      <c r="BS10" s="34"/>
      <c r="BT10" s="34"/>
      <c r="BU10" s="34"/>
      <c r="BV10" s="34"/>
      <c r="BW10" s="34"/>
      <c r="BX10" s="34"/>
      <c r="BY10" s="34"/>
      <c r="BZ10" s="34"/>
      <c r="CA10" s="34"/>
      <c r="CB10" s="34"/>
      <c r="CC10" s="34"/>
      <c r="CD10" s="34"/>
      <c r="CE10" s="34"/>
      <c r="CF10" s="34"/>
      <c r="CG10" s="34"/>
      <c r="CH10" s="34"/>
      <c r="CI10" s="34"/>
      <c r="CJ10" s="34"/>
      <c r="CK10" s="34"/>
      <c r="CL10" s="34"/>
      <c r="CM10" s="34"/>
      <c r="CN10" s="34"/>
      <c r="CO10" s="34"/>
      <c r="CP10" s="34"/>
      <c r="CQ10" s="34"/>
      <c r="CR10" s="34"/>
      <c r="CS10" s="34"/>
      <c r="CT10" s="34"/>
      <c r="CU10" s="34"/>
      <c r="CV10" s="34"/>
      <c r="CW10" s="34"/>
      <c r="CX10" s="34"/>
      <c r="CY10" s="34"/>
      <c r="CZ10" s="34"/>
      <c r="DA10" s="34"/>
      <c r="DB10" s="34"/>
      <c r="DC10" s="34"/>
      <c r="DD10" s="34"/>
      <c r="DE10" s="34"/>
      <c r="DF10" s="34"/>
      <c r="DG10" s="34"/>
      <c r="DH10" s="34"/>
      <c r="DI10" s="34"/>
      <c r="DJ10" s="34"/>
      <c r="DK10" s="34"/>
      <c r="DL10" s="34"/>
      <c r="DM10" s="34"/>
      <c r="DN10" s="34"/>
      <c r="DO10" s="34"/>
      <c r="DP10" s="34"/>
      <c r="DQ10" s="34"/>
      <c r="DR10" s="34"/>
      <c r="DS10" s="34"/>
      <c r="DT10" s="34"/>
      <c r="DU10" s="34"/>
      <c r="DV10" s="34"/>
      <c r="DW10" s="34"/>
      <c r="DX10" s="34"/>
      <c r="DY10" s="34"/>
      <c r="DZ10" s="34"/>
      <c r="EA10" s="34"/>
      <c r="EB10" s="34"/>
      <c r="EC10" s="34"/>
      <c r="ED10" s="34"/>
      <c r="EE10" s="34"/>
      <c r="EF10" s="34"/>
      <c r="EG10" s="34"/>
      <c r="EH10" s="34"/>
      <c r="EI10" s="34"/>
      <c r="EJ10" s="34"/>
      <c r="EK10" s="34"/>
      <c r="EL10" s="34"/>
      <c r="EM10" s="34"/>
      <c r="EN10" s="34"/>
      <c r="EO10" s="34"/>
      <c r="EP10" s="34"/>
      <c r="EQ10" s="34"/>
      <c r="ER10" s="34"/>
      <c r="ES10" s="34"/>
      <c r="ET10" s="34"/>
      <c r="EU10" s="34"/>
      <c r="EV10" s="34"/>
      <c r="EW10" s="34"/>
      <c r="EX10" s="34"/>
      <c r="EY10" s="34"/>
      <c r="EZ10" s="34"/>
      <c r="FA10" s="34"/>
      <c r="FB10" s="34"/>
      <c r="FC10" s="34"/>
      <c r="FD10" s="34"/>
      <c r="FE10" s="34"/>
      <c r="FF10" s="34"/>
      <c r="FG10" s="34"/>
      <c r="FH10" s="34"/>
      <c r="FI10" s="34"/>
      <c r="FJ10" s="34"/>
      <c r="FK10" s="34"/>
      <c r="FL10" s="34"/>
      <c r="FM10" s="34"/>
      <c r="FN10" s="34"/>
      <c r="FO10" s="34"/>
      <c r="FP10" s="34"/>
      <c r="FQ10" s="34"/>
      <c r="FR10" s="34"/>
      <c r="FS10" s="34"/>
      <c r="FT10" s="34"/>
      <c r="FU10" s="34"/>
      <c r="FV10" s="34"/>
      <c r="FW10" s="34"/>
      <c r="FX10" s="34"/>
      <c r="FY10" s="34"/>
      <c r="FZ10" s="34"/>
      <c r="GA10" s="34"/>
      <c r="GB10" s="34"/>
      <c r="GC10" s="34"/>
      <c r="GD10" s="34"/>
      <c r="GE10" s="34"/>
      <c r="GF10" s="34"/>
      <c r="GG10" s="34"/>
      <c r="GH10" s="34"/>
      <c r="GI10" s="34"/>
      <c r="GJ10" s="34"/>
      <c r="GK10" s="34"/>
      <c r="GL10" s="34"/>
      <c r="GM10" s="34"/>
      <c r="GN10" s="34"/>
      <c r="GO10" s="34"/>
      <c r="GP10" s="34"/>
      <c r="GQ10" s="34"/>
      <c r="GR10" s="34"/>
      <c r="GS10" s="34"/>
      <c r="GT10" s="34"/>
      <c r="GU10" s="34"/>
      <c r="GV10" s="34"/>
      <c r="OX10" s="63"/>
    </row>
    <row r="11" spans="1:506" s="38" customFormat="1" ht="15" customHeight="1" x14ac:dyDescent="0.3">
      <c r="A11" s="34" t="s">
        <v>250</v>
      </c>
      <c r="B11" s="34"/>
      <c r="C11" s="34">
        <v>1</v>
      </c>
      <c r="D11" s="34">
        <v>144</v>
      </c>
      <c r="E11" s="34">
        <v>356</v>
      </c>
      <c r="F11" s="34">
        <v>624</v>
      </c>
      <c r="G11" s="34">
        <v>112</v>
      </c>
      <c r="H11" s="34">
        <v>107</v>
      </c>
      <c r="I11" s="34">
        <v>168</v>
      </c>
      <c r="J11" s="34">
        <v>152</v>
      </c>
      <c r="K11" s="34">
        <v>1664</v>
      </c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58"/>
      <c r="AA11" s="58"/>
      <c r="AB11" s="58"/>
      <c r="AC11" s="58"/>
      <c r="AD11" s="58"/>
      <c r="AE11" s="58"/>
      <c r="AF11" s="58"/>
      <c r="AG11" s="58"/>
      <c r="AH11" s="58"/>
      <c r="AI11" s="58"/>
      <c r="AJ11" s="58"/>
      <c r="AK11" s="58"/>
      <c r="AL11" s="58"/>
      <c r="AM11" s="34"/>
      <c r="AN11" s="34"/>
      <c r="AO11" s="34"/>
      <c r="AP11" s="34"/>
      <c r="AQ11" s="34"/>
      <c r="AR11" s="34"/>
      <c r="AS11" s="34"/>
      <c r="AT11" s="34"/>
      <c r="AU11" s="34"/>
      <c r="AV11" s="34"/>
      <c r="AW11" s="34"/>
      <c r="AX11" s="34"/>
      <c r="AY11" s="34"/>
      <c r="AZ11" s="34"/>
      <c r="BA11" s="34"/>
      <c r="BB11" s="34"/>
      <c r="BC11" s="34"/>
      <c r="BD11" s="34"/>
      <c r="BE11" s="34"/>
      <c r="BF11" s="34"/>
      <c r="BG11" s="34"/>
      <c r="BH11" s="34"/>
      <c r="BI11" s="34"/>
      <c r="BJ11" s="34"/>
      <c r="BK11" s="34"/>
      <c r="BL11" s="34"/>
      <c r="BM11" s="34"/>
      <c r="BN11" s="34"/>
      <c r="BO11" s="34"/>
      <c r="BP11" s="34"/>
      <c r="BQ11" s="34"/>
      <c r="BR11" s="34"/>
      <c r="BS11" s="34"/>
      <c r="BT11" s="34"/>
      <c r="BU11" s="34"/>
      <c r="BV11" s="34"/>
      <c r="BW11" s="34"/>
      <c r="BX11" s="34"/>
      <c r="BY11" s="34"/>
      <c r="BZ11" s="34"/>
      <c r="CA11" s="34"/>
      <c r="CB11" s="34"/>
      <c r="CC11" s="34"/>
      <c r="CD11" s="34"/>
      <c r="CE11" s="34"/>
      <c r="CF11" s="34"/>
      <c r="CG11" s="34"/>
      <c r="CH11" s="34"/>
      <c r="CI11" s="34"/>
      <c r="CJ11" s="34"/>
      <c r="CK11" s="34"/>
      <c r="CL11" s="34"/>
      <c r="CM11" s="34"/>
      <c r="CN11" s="34"/>
      <c r="CO11" s="34"/>
      <c r="CP11" s="34"/>
      <c r="CQ11" s="34"/>
      <c r="CR11" s="34"/>
      <c r="CS11" s="34"/>
      <c r="CT11" s="34"/>
      <c r="CU11" s="34"/>
      <c r="CV11" s="34"/>
      <c r="CW11" s="34"/>
      <c r="CX11" s="34"/>
      <c r="CY11" s="34"/>
      <c r="CZ11" s="34"/>
      <c r="DA11" s="34"/>
      <c r="DB11" s="34"/>
      <c r="DC11" s="34"/>
      <c r="DD11" s="34"/>
      <c r="DE11" s="34"/>
      <c r="DF11" s="34"/>
      <c r="DG11" s="34"/>
      <c r="DH11" s="34"/>
      <c r="DI11" s="34"/>
      <c r="DJ11" s="34"/>
      <c r="DK11" s="34"/>
      <c r="DL11" s="34"/>
      <c r="DM11" s="34"/>
      <c r="DN11" s="34"/>
      <c r="DO11" s="34"/>
      <c r="DP11" s="34"/>
      <c r="DQ11" s="34"/>
      <c r="DR11" s="34"/>
      <c r="DS11" s="34"/>
      <c r="DT11" s="34"/>
      <c r="DU11" s="34"/>
      <c r="DV11" s="34"/>
      <c r="DW11" s="34"/>
      <c r="DX11" s="34"/>
      <c r="DY11" s="34"/>
      <c r="DZ11" s="34"/>
      <c r="EA11" s="34"/>
      <c r="EB11" s="34"/>
      <c r="EC11" s="34"/>
      <c r="ED11" s="34"/>
      <c r="EE11" s="34"/>
      <c r="EF11" s="34"/>
      <c r="EG11" s="34"/>
      <c r="EH11" s="34"/>
      <c r="EI11" s="34"/>
      <c r="EJ11" s="34"/>
      <c r="EK11" s="34"/>
      <c r="EL11" s="34"/>
      <c r="EM11" s="34"/>
      <c r="EN11" s="34"/>
      <c r="EO11" s="34"/>
      <c r="EP11" s="34"/>
      <c r="EQ11" s="34"/>
      <c r="ER11" s="34"/>
      <c r="ES11" s="34"/>
      <c r="ET11" s="34"/>
      <c r="EU11" s="34"/>
      <c r="EV11" s="34"/>
      <c r="EW11" s="34"/>
      <c r="EX11" s="34"/>
      <c r="EY11" s="34"/>
      <c r="EZ11" s="34"/>
      <c r="FA11" s="34"/>
      <c r="FB11" s="34"/>
      <c r="FC11" s="34"/>
      <c r="FD11" s="34"/>
      <c r="FE11" s="34"/>
      <c r="FF11" s="34"/>
      <c r="FG11" s="34"/>
      <c r="FH11" s="34"/>
      <c r="FI11" s="34"/>
      <c r="FJ11" s="34"/>
      <c r="FK11" s="34"/>
      <c r="FL11" s="34"/>
      <c r="FM11" s="34"/>
      <c r="FN11" s="34"/>
      <c r="FO11" s="34"/>
      <c r="FP11" s="34"/>
      <c r="FQ11" s="34"/>
      <c r="FR11" s="34"/>
      <c r="FS11" s="34"/>
      <c r="FT11" s="34"/>
      <c r="FU11" s="34"/>
      <c r="FV11" s="34"/>
      <c r="FW11" s="34"/>
      <c r="FX11" s="34"/>
      <c r="FY11" s="34"/>
      <c r="FZ11" s="34"/>
      <c r="GA11" s="34"/>
      <c r="GB11" s="34"/>
      <c r="GC11" s="34"/>
      <c r="GD11" s="34"/>
      <c r="GE11" s="34"/>
      <c r="GF11" s="34"/>
      <c r="GG11" s="34"/>
      <c r="GH11" s="34"/>
      <c r="GI11" s="34"/>
      <c r="GJ11" s="34"/>
      <c r="GK11" s="34"/>
      <c r="GL11" s="34"/>
      <c r="GM11" s="34"/>
      <c r="GN11" s="34"/>
      <c r="GO11" s="34"/>
      <c r="GP11" s="34"/>
      <c r="GQ11" s="34"/>
      <c r="GR11" s="34"/>
      <c r="GS11" s="34"/>
      <c r="GT11" s="34"/>
      <c r="GU11" s="34"/>
      <c r="GV11" s="34"/>
      <c r="OU11" s="64"/>
      <c r="OX11" s="63"/>
    </row>
    <row r="12" spans="1:506" s="38" customFormat="1" ht="15" customHeight="1" x14ac:dyDescent="0.3">
      <c r="A12" s="34" t="s">
        <v>256</v>
      </c>
      <c r="B12" s="34">
        <v>3</v>
      </c>
      <c r="C12" s="34">
        <v>1</v>
      </c>
      <c r="D12" s="34">
        <v>76</v>
      </c>
      <c r="E12" s="34">
        <v>184</v>
      </c>
      <c r="F12" s="34">
        <v>268</v>
      </c>
      <c r="G12" s="34">
        <v>48</v>
      </c>
      <c r="H12" s="34">
        <v>24</v>
      </c>
      <c r="I12" s="34">
        <v>80</v>
      </c>
      <c r="J12" s="34">
        <v>40</v>
      </c>
      <c r="K12" s="34">
        <v>724</v>
      </c>
      <c r="L12" s="34"/>
      <c r="M12" s="34"/>
      <c r="N12" s="34"/>
      <c r="O12" s="34"/>
      <c r="P12" s="34"/>
      <c r="Q12" s="34"/>
      <c r="R12" s="34"/>
      <c r="S12" s="34"/>
      <c r="T12" s="34"/>
      <c r="U12" s="34"/>
      <c r="V12" s="34"/>
      <c r="W12" s="34"/>
      <c r="X12" s="34"/>
      <c r="Y12" s="34"/>
      <c r="Z12" s="58"/>
      <c r="AA12" s="58"/>
      <c r="AB12" s="58"/>
      <c r="AC12" s="58"/>
      <c r="AD12" s="58"/>
      <c r="AE12" s="58"/>
      <c r="AF12" s="58"/>
      <c r="AG12" s="58"/>
      <c r="AH12" s="58"/>
      <c r="AI12" s="58"/>
      <c r="AJ12" s="58"/>
      <c r="AK12" s="58"/>
      <c r="AL12" s="58"/>
      <c r="AM12" s="34"/>
      <c r="AN12" s="34"/>
      <c r="AO12" s="34"/>
      <c r="AP12" s="34"/>
      <c r="AQ12" s="34"/>
      <c r="AR12" s="34"/>
      <c r="AS12" s="34"/>
      <c r="AT12" s="34"/>
      <c r="AU12" s="34"/>
      <c r="AV12" s="34"/>
      <c r="AW12" s="34"/>
      <c r="AX12" s="34"/>
      <c r="AY12" s="34"/>
      <c r="AZ12" s="34"/>
      <c r="BA12" s="34"/>
      <c r="BB12" s="34"/>
      <c r="BC12" s="34"/>
      <c r="BD12" s="34"/>
      <c r="BE12" s="34"/>
      <c r="BF12" s="34"/>
      <c r="BG12" s="34"/>
      <c r="BH12" s="34"/>
      <c r="BI12" s="34"/>
      <c r="BJ12" s="34"/>
      <c r="BK12" s="34"/>
      <c r="BL12" s="34"/>
      <c r="BM12" s="34"/>
      <c r="BN12" s="34"/>
      <c r="BO12" s="34"/>
      <c r="BP12" s="34"/>
      <c r="BQ12" s="34"/>
      <c r="BR12" s="34"/>
      <c r="BS12" s="34"/>
      <c r="BT12" s="34"/>
      <c r="BU12" s="34"/>
      <c r="BV12" s="34"/>
      <c r="BW12" s="34"/>
      <c r="BX12" s="34"/>
      <c r="BY12" s="34"/>
      <c r="BZ12" s="34"/>
      <c r="CA12" s="34"/>
      <c r="CB12" s="34"/>
      <c r="CC12" s="34"/>
      <c r="CD12" s="34"/>
      <c r="CE12" s="34"/>
      <c r="CF12" s="34"/>
      <c r="CG12" s="34"/>
      <c r="CH12" s="34"/>
      <c r="CI12" s="34"/>
      <c r="CJ12" s="34"/>
      <c r="CK12" s="34"/>
      <c r="CL12" s="34"/>
      <c r="CM12" s="34"/>
      <c r="CN12" s="34"/>
      <c r="CO12" s="34"/>
      <c r="CP12" s="34"/>
      <c r="CQ12" s="34"/>
      <c r="CR12" s="34"/>
      <c r="CS12" s="34"/>
      <c r="CT12" s="34"/>
      <c r="CU12" s="34"/>
      <c r="CV12" s="34"/>
      <c r="CW12" s="34"/>
      <c r="CX12" s="34"/>
      <c r="CY12" s="34"/>
      <c r="CZ12" s="34"/>
      <c r="DA12" s="34"/>
      <c r="DB12" s="34"/>
      <c r="DC12" s="34"/>
      <c r="DD12" s="34"/>
      <c r="DE12" s="34"/>
      <c r="DF12" s="34"/>
      <c r="DG12" s="34"/>
      <c r="DH12" s="34"/>
      <c r="DI12" s="34"/>
      <c r="DJ12" s="34"/>
      <c r="DK12" s="34"/>
      <c r="DL12" s="34"/>
      <c r="DM12" s="34"/>
      <c r="DN12" s="34"/>
      <c r="DO12" s="34"/>
      <c r="DP12" s="34"/>
      <c r="DQ12" s="34"/>
      <c r="DR12" s="34"/>
      <c r="DS12" s="34"/>
      <c r="DT12" s="34"/>
      <c r="DU12" s="34"/>
      <c r="DV12" s="34"/>
      <c r="DW12" s="34"/>
      <c r="DX12" s="34"/>
      <c r="DY12" s="34"/>
      <c r="DZ12" s="34"/>
      <c r="EA12" s="34"/>
      <c r="EB12" s="34"/>
      <c r="EC12" s="34"/>
      <c r="ED12" s="34"/>
      <c r="EE12" s="34"/>
      <c r="EF12" s="34"/>
      <c r="EG12" s="34"/>
      <c r="EH12" s="34"/>
      <c r="EI12" s="34"/>
      <c r="EJ12" s="34"/>
      <c r="EK12" s="34"/>
      <c r="EL12" s="34"/>
      <c r="EM12" s="34"/>
      <c r="EN12" s="34"/>
      <c r="EO12" s="34"/>
      <c r="EP12" s="34"/>
      <c r="EQ12" s="34"/>
      <c r="ER12" s="34"/>
      <c r="ES12" s="34"/>
      <c r="ET12" s="34"/>
      <c r="EU12" s="34"/>
      <c r="EV12" s="34"/>
      <c r="EW12" s="34"/>
      <c r="EX12" s="34"/>
      <c r="EY12" s="34"/>
      <c r="EZ12" s="34"/>
      <c r="FA12" s="34"/>
      <c r="FB12" s="34"/>
      <c r="FC12" s="34"/>
      <c r="FD12" s="34"/>
      <c r="FE12" s="34"/>
      <c r="FF12" s="34"/>
      <c r="FG12" s="34"/>
      <c r="FH12" s="34"/>
      <c r="FI12" s="34"/>
      <c r="FJ12" s="34"/>
      <c r="FK12" s="34"/>
      <c r="FL12" s="34"/>
      <c r="FM12" s="34"/>
      <c r="FN12" s="34"/>
      <c r="FO12" s="34"/>
      <c r="FP12" s="34"/>
      <c r="FQ12" s="34"/>
      <c r="FR12" s="34"/>
      <c r="FS12" s="34"/>
      <c r="FT12" s="34"/>
      <c r="FU12" s="34"/>
      <c r="FV12" s="34"/>
      <c r="FW12" s="34"/>
      <c r="FX12" s="34"/>
      <c r="FY12" s="34"/>
      <c r="FZ12" s="34"/>
      <c r="GA12" s="34"/>
      <c r="GB12" s="34"/>
      <c r="GC12" s="34"/>
      <c r="GD12" s="34"/>
      <c r="GE12" s="34"/>
      <c r="GF12" s="34"/>
      <c r="GG12" s="34"/>
      <c r="GH12" s="34"/>
      <c r="GI12" s="34"/>
      <c r="GJ12" s="34"/>
      <c r="GK12" s="34"/>
      <c r="GL12" s="34"/>
      <c r="GM12" s="34"/>
      <c r="GN12" s="34"/>
      <c r="GO12" s="34"/>
      <c r="GP12" s="34"/>
      <c r="GQ12" s="34"/>
      <c r="GR12" s="34"/>
      <c r="GS12" s="34"/>
      <c r="GT12" s="34"/>
      <c r="GU12" s="34"/>
      <c r="GV12" s="34"/>
      <c r="OU12" s="64"/>
      <c r="OX12" s="63"/>
    </row>
    <row r="13" spans="1:506" s="38" customFormat="1" ht="15" customHeight="1" x14ac:dyDescent="0.3">
      <c r="A13" s="34" t="s">
        <v>246</v>
      </c>
      <c r="B13" s="34">
        <v>1</v>
      </c>
      <c r="C13" s="34">
        <v>1</v>
      </c>
      <c r="D13" s="34">
        <v>112</v>
      </c>
      <c r="E13" s="34">
        <v>208</v>
      </c>
      <c r="F13" s="34">
        <v>344</v>
      </c>
      <c r="G13" s="34">
        <v>79</v>
      </c>
      <c r="H13" s="34">
        <v>58</v>
      </c>
      <c r="I13" s="34">
        <v>124</v>
      </c>
      <c r="J13" s="34">
        <v>112</v>
      </c>
      <c r="K13" s="34">
        <v>1039</v>
      </c>
      <c r="L13" s="34"/>
      <c r="M13" s="34"/>
      <c r="N13" s="34"/>
      <c r="O13" s="34"/>
      <c r="P13" s="34"/>
      <c r="Q13" s="34"/>
      <c r="R13" s="34"/>
      <c r="S13" s="34"/>
      <c r="T13" s="34"/>
      <c r="U13" s="34"/>
      <c r="V13" s="34"/>
      <c r="W13" s="34"/>
      <c r="X13" s="34"/>
      <c r="Y13" s="136"/>
      <c r="Z13" s="58"/>
      <c r="AA13" s="58"/>
      <c r="AB13" s="58"/>
      <c r="AC13" s="58"/>
      <c r="AD13" s="58"/>
      <c r="AE13" s="58"/>
      <c r="AF13" s="58"/>
      <c r="AG13" s="58"/>
      <c r="AH13" s="58"/>
      <c r="AI13" s="58"/>
      <c r="AJ13" s="58"/>
      <c r="AK13" s="58"/>
      <c r="AL13" s="58"/>
      <c r="AM13" s="34"/>
      <c r="AN13" s="34"/>
      <c r="AO13" s="34"/>
      <c r="AP13" s="34"/>
      <c r="AQ13" s="34"/>
      <c r="AR13" s="34"/>
      <c r="AS13" s="34"/>
      <c r="AT13" s="34"/>
      <c r="AU13" s="34"/>
      <c r="AV13" s="34"/>
      <c r="AW13" s="34"/>
      <c r="AX13" s="34"/>
      <c r="AY13" s="34"/>
      <c r="AZ13" s="34"/>
      <c r="BA13" s="34"/>
      <c r="BB13" s="34"/>
      <c r="BC13" s="34"/>
      <c r="BD13" s="34"/>
      <c r="BE13" s="34"/>
      <c r="BF13" s="34"/>
      <c r="BG13" s="34"/>
      <c r="BH13" s="34"/>
      <c r="BI13" s="34"/>
      <c r="BJ13" s="34"/>
      <c r="BK13" s="34"/>
      <c r="BL13" s="34"/>
      <c r="BM13" s="34"/>
      <c r="BN13" s="34"/>
      <c r="BO13" s="34"/>
      <c r="BP13" s="34"/>
      <c r="BQ13" s="34"/>
      <c r="BR13" s="34"/>
      <c r="BS13" s="34"/>
      <c r="BT13" s="34"/>
      <c r="BU13" s="34"/>
      <c r="BV13" s="34"/>
      <c r="BW13" s="34"/>
      <c r="BX13" s="34"/>
      <c r="BY13" s="34"/>
      <c r="BZ13" s="34"/>
      <c r="CA13" s="34"/>
      <c r="CB13" s="34"/>
      <c r="CC13" s="34"/>
      <c r="CD13" s="34"/>
      <c r="CE13" s="34"/>
      <c r="CF13" s="34"/>
      <c r="CG13" s="34"/>
      <c r="CH13" s="34"/>
      <c r="CI13" s="34"/>
      <c r="CJ13" s="34"/>
      <c r="CK13" s="34"/>
      <c r="CL13" s="34"/>
      <c r="CM13" s="34"/>
      <c r="CN13" s="34"/>
      <c r="CO13" s="34"/>
      <c r="CP13" s="34"/>
      <c r="CQ13" s="34"/>
      <c r="CR13" s="34"/>
      <c r="CS13" s="34"/>
      <c r="CT13" s="34"/>
      <c r="CU13" s="34"/>
      <c r="CV13" s="34"/>
      <c r="CW13" s="34"/>
      <c r="CX13" s="34"/>
      <c r="CY13" s="34"/>
      <c r="CZ13" s="34"/>
      <c r="DA13" s="34"/>
      <c r="DB13" s="34"/>
      <c r="DC13" s="34"/>
      <c r="DD13" s="34"/>
      <c r="DE13" s="34"/>
      <c r="DF13" s="34"/>
      <c r="DG13" s="34"/>
      <c r="DH13" s="34"/>
      <c r="DI13" s="34"/>
      <c r="DJ13" s="34"/>
      <c r="DK13" s="34"/>
      <c r="DL13" s="34"/>
      <c r="DM13" s="34"/>
      <c r="DN13" s="34"/>
      <c r="DO13" s="34"/>
      <c r="DP13" s="34"/>
      <c r="DQ13" s="34"/>
      <c r="DR13" s="34"/>
      <c r="DS13" s="34"/>
      <c r="DT13" s="34"/>
      <c r="DU13" s="34"/>
      <c r="DV13" s="34"/>
      <c r="DW13" s="34"/>
      <c r="DX13" s="34"/>
      <c r="DY13" s="34"/>
      <c r="DZ13" s="34"/>
      <c r="EA13" s="34"/>
      <c r="EB13" s="34"/>
      <c r="EC13" s="34"/>
      <c r="ED13" s="34"/>
      <c r="EE13" s="34"/>
      <c r="EF13" s="34"/>
      <c r="EG13" s="34"/>
      <c r="EH13" s="34"/>
      <c r="EI13" s="34"/>
      <c r="EJ13" s="34"/>
      <c r="EK13" s="34"/>
      <c r="EL13" s="34"/>
      <c r="EM13" s="34"/>
      <c r="EN13" s="34"/>
      <c r="EO13" s="34"/>
      <c r="EP13" s="34"/>
      <c r="EQ13" s="34"/>
      <c r="ER13" s="34"/>
      <c r="ES13" s="34"/>
      <c r="ET13" s="34"/>
      <c r="EU13" s="34"/>
      <c r="EV13" s="34"/>
      <c r="EW13" s="34"/>
      <c r="EX13" s="34"/>
      <c r="EY13" s="34"/>
      <c r="EZ13" s="34"/>
      <c r="FA13" s="34"/>
      <c r="FB13" s="34"/>
      <c r="FC13" s="34"/>
      <c r="FD13" s="34"/>
      <c r="FE13" s="34"/>
      <c r="FF13" s="34"/>
      <c r="FG13" s="34"/>
      <c r="FH13" s="34"/>
      <c r="FI13" s="34"/>
      <c r="FJ13" s="34"/>
      <c r="FK13" s="34"/>
      <c r="FL13" s="34"/>
      <c r="FM13" s="34"/>
      <c r="FN13" s="34"/>
      <c r="FO13" s="34"/>
      <c r="FP13" s="34"/>
      <c r="FQ13" s="34"/>
      <c r="FR13" s="34"/>
      <c r="FS13" s="34"/>
      <c r="FT13" s="34"/>
      <c r="FU13" s="34"/>
      <c r="FV13" s="34"/>
      <c r="FW13" s="34"/>
      <c r="FX13" s="34"/>
      <c r="FY13" s="34"/>
      <c r="FZ13" s="34"/>
      <c r="GA13" s="34"/>
      <c r="GB13" s="34"/>
      <c r="GC13" s="34"/>
      <c r="GD13" s="34"/>
      <c r="GE13" s="34"/>
      <c r="GF13" s="34"/>
      <c r="GG13" s="34"/>
      <c r="GH13" s="34"/>
      <c r="GI13" s="34"/>
      <c r="GJ13" s="34"/>
      <c r="GK13" s="34"/>
      <c r="GL13" s="34"/>
      <c r="GM13" s="34"/>
      <c r="GN13" s="34"/>
      <c r="GO13" s="34"/>
      <c r="GP13" s="34"/>
      <c r="GQ13" s="34"/>
      <c r="GR13" s="34"/>
      <c r="GS13" s="34"/>
      <c r="GT13" s="34"/>
      <c r="GU13" s="34"/>
      <c r="GV13" s="34"/>
      <c r="OX13" s="63"/>
    </row>
    <row r="14" spans="1:506" s="38" customFormat="1" ht="15" customHeight="1" x14ac:dyDescent="0.3">
      <c r="A14" s="34" t="s">
        <v>257</v>
      </c>
      <c r="B14" s="34">
        <v>1</v>
      </c>
      <c r="C14" s="34">
        <v>1</v>
      </c>
      <c r="D14" s="34">
        <v>44</v>
      </c>
      <c r="E14" s="34">
        <v>172</v>
      </c>
      <c r="F14" s="34">
        <v>240</v>
      </c>
      <c r="G14" s="34">
        <v>43</v>
      </c>
      <c r="H14" s="34">
        <v>31</v>
      </c>
      <c r="I14" s="34">
        <v>44</v>
      </c>
      <c r="J14" s="34">
        <v>40</v>
      </c>
      <c r="K14" s="34">
        <v>616</v>
      </c>
      <c r="L14" s="34"/>
      <c r="M14" s="34"/>
      <c r="N14" s="34"/>
      <c r="O14" s="34"/>
      <c r="P14" s="34"/>
      <c r="Q14" s="34"/>
      <c r="R14" s="34"/>
      <c r="S14" s="34"/>
      <c r="T14" s="34"/>
      <c r="U14" s="34"/>
      <c r="V14" s="34"/>
      <c r="W14" s="34"/>
      <c r="X14" s="34"/>
      <c r="Y14" s="148"/>
      <c r="Z14" s="58"/>
      <c r="AA14" s="58"/>
      <c r="AB14" s="58"/>
      <c r="AC14" s="58"/>
      <c r="AD14" s="58"/>
      <c r="AE14" s="58"/>
      <c r="AF14" s="58"/>
      <c r="AG14" s="58"/>
      <c r="AH14" s="58"/>
      <c r="AI14" s="58"/>
      <c r="AJ14" s="58"/>
      <c r="AK14" s="58"/>
      <c r="AL14" s="58"/>
      <c r="AM14" s="34"/>
      <c r="AN14" s="34"/>
      <c r="AO14" s="34"/>
      <c r="AP14" s="34"/>
      <c r="AQ14" s="34"/>
      <c r="AR14" s="34"/>
      <c r="AS14" s="34"/>
      <c r="AT14" s="34"/>
      <c r="AU14" s="34"/>
      <c r="AV14" s="34"/>
      <c r="AW14" s="34"/>
      <c r="AX14" s="34"/>
      <c r="AY14" s="34"/>
      <c r="AZ14" s="34"/>
      <c r="BA14" s="34"/>
      <c r="BB14" s="34"/>
      <c r="BC14" s="34"/>
      <c r="BD14" s="34"/>
      <c r="BE14" s="34"/>
      <c r="BF14" s="34"/>
      <c r="BG14" s="34"/>
      <c r="BH14" s="34"/>
      <c r="BI14" s="34"/>
      <c r="BJ14" s="34"/>
      <c r="BK14" s="34"/>
      <c r="BL14" s="34"/>
      <c r="BM14" s="34"/>
      <c r="BN14" s="34"/>
      <c r="BO14" s="34"/>
      <c r="BP14" s="34"/>
      <c r="BQ14" s="34"/>
      <c r="BR14" s="34"/>
      <c r="BS14" s="34"/>
      <c r="BT14" s="34"/>
      <c r="BU14" s="34"/>
      <c r="BV14" s="34"/>
      <c r="BW14" s="34"/>
      <c r="BX14" s="34"/>
      <c r="BY14" s="34"/>
      <c r="BZ14" s="34"/>
      <c r="CA14" s="34"/>
      <c r="CB14" s="34"/>
      <c r="CC14" s="34"/>
      <c r="CD14" s="34"/>
      <c r="CE14" s="34"/>
      <c r="CF14" s="34"/>
      <c r="CG14" s="34"/>
      <c r="CH14" s="34"/>
      <c r="CI14" s="34"/>
      <c r="CJ14" s="34"/>
      <c r="CK14" s="34"/>
      <c r="CL14" s="34"/>
      <c r="CM14" s="34"/>
      <c r="CN14" s="34"/>
      <c r="CO14" s="34"/>
      <c r="CP14" s="34"/>
      <c r="CQ14" s="34"/>
      <c r="CR14" s="34"/>
      <c r="CS14" s="34"/>
      <c r="CT14" s="34"/>
      <c r="CU14" s="34"/>
      <c r="CV14" s="34"/>
      <c r="CW14" s="34"/>
      <c r="CX14" s="34"/>
      <c r="CY14" s="34"/>
      <c r="CZ14" s="34"/>
      <c r="DA14" s="34"/>
      <c r="DB14" s="34"/>
      <c r="DC14" s="34"/>
      <c r="DD14" s="34"/>
      <c r="DE14" s="34"/>
      <c r="DF14" s="34"/>
      <c r="DG14" s="34"/>
      <c r="DH14" s="34"/>
      <c r="DI14" s="34"/>
      <c r="DJ14" s="34"/>
      <c r="DK14" s="34"/>
      <c r="DL14" s="34"/>
      <c r="DM14" s="34"/>
      <c r="DN14" s="34"/>
      <c r="DO14" s="34"/>
      <c r="DP14" s="34"/>
      <c r="DQ14" s="34"/>
      <c r="DR14" s="34"/>
      <c r="DS14" s="34"/>
      <c r="DT14" s="34"/>
      <c r="DU14" s="34"/>
      <c r="DV14" s="34"/>
      <c r="DW14" s="34"/>
      <c r="DX14" s="34"/>
      <c r="DY14" s="34"/>
      <c r="DZ14" s="34"/>
      <c r="EA14" s="34"/>
      <c r="EB14" s="34"/>
      <c r="EC14" s="34"/>
      <c r="ED14" s="34"/>
      <c r="EE14" s="34"/>
      <c r="EF14" s="34"/>
      <c r="EG14" s="34"/>
      <c r="EH14" s="34"/>
      <c r="EI14" s="34"/>
      <c r="EJ14" s="34"/>
      <c r="EK14" s="34"/>
      <c r="EL14" s="34"/>
      <c r="EM14" s="34"/>
      <c r="EN14" s="34"/>
      <c r="EO14" s="34"/>
      <c r="EP14" s="34"/>
      <c r="EQ14" s="34"/>
      <c r="ER14" s="34"/>
      <c r="ES14" s="34"/>
      <c r="ET14" s="34"/>
      <c r="EU14" s="34"/>
      <c r="EV14" s="34"/>
      <c r="EW14" s="34"/>
      <c r="EX14" s="34"/>
      <c r="EY14" s="34"/>
      <c r="EZ14" s="34"/>
      <c r="FA14" s="34"/>
      <c r="FB14" s="34"/>
      <c r="FC14" s="34"/>
      <c r="FD14" s="34"/>
      <c r="FE14" s="34"/>
      <c r="FF14" s="34"/>
      <c r="FG14" s="34"/>
      <c r="FH14" s="34"/>
      <c r="FI14" s="34"/>
      <c r="FJ14" s="34"/>
      <c r="FK14" s="34"/>
      <c r="FL14" s="34"/>
      <c r="FM14" s="34"/>
      <c r="FN14" s="34"/>
      <c r="FO14" s="34"/>
      <c r="FP14" s="34"/>
      <c r="FQ14" s="34"/>
      <c r="FR14" s="34"/>
      <c r="FS14" s="34"/>
      <c r="FT14" s="34"/>
      <c r="FU14" s="34"/>
      <c r="FV14" s="34"/>
      <c r="FW14" s="34"/>
      <c r="FX14" s="34"/>
      <c r="FY14" s="34"/>
      <c r="FZ14" s="34"/>
      <c r="GA14" s="34"/>
      <c r="GB14" s="34"/>
      <c r="GC14" s="34"/>
      <c r="GD14" s="34"/>
      <c r="GE14" s="34"/>
      <c r="GF14" s="34"/>
      <c r="GG14" s="34"/>
      <c r="GH14" s="34"/>
      <c r="GI14" s="34"/>
      <c r="GJ14" s="34"/>
      <c r="GK14" s="34"/>
      <c r="GL14" s="34"/>
      <c r="GM14" s="34"/>
      <c r="GN14" s="34"/>
      <c r="GO14" s="34"/>
      <c r="GP14" s="34"/>
      <c r="GQ14" s="34"/>
      <c r="GR14" s="34"/>
      <c r="GS14" s="34"/>
      <c r="GT14" s="34"/>
      <c r="GU14" s="34"/>
      <c r="GV14" s="34"/>
      <c r="OX14" s="63"/>
    </row>
    <row r="15" spans="1:506" s="38" customFormat="1" ht="15" customHeight="1" x14ac:dyDescent="0.3">
      <c r="A15" s="234" t="s">
        <v>262</v>
      </c>
      <c r="B15" s="234">
        <v>1</v>
      </c>
      <c r="C15" s="234"/>
      <c r="D15" s="234">
        <v>8</v>
      </c>
      <c r="E15" s="234">
        <v>172</v>
      </c>
      <c r="F15" s="234">
        <v>180</v>
      </c>
      <c r="G15" s="234">
        <v>18</v>
      </c>
      <c r="H15" s="234">
        <v>17</v>
      </c>
      <c r="I15" s="234">
        <v>12</v>
      </c>
      <c r="J15" s="234">
        <v>12</v>
      </c>
      <c r="K15" s="34">
        <v>420</v>
      </c>
      <c r="L15" s="34"/>
      <c r="M15" s="34"/>
      <c r="N15" s="34"/>
      <c r="O15" s="34"/>
      <c r="P15" s="34"/>
      <c r="Q15" s="34"/>
      <c r="R15" s="34"/>
      <c r="S15" s="34"/>
      <c r="T15" s="34"/>
      <c r="U15" s="34"/>
      <c r="V15" s="34"/>
      <c r="W15" s="34"/>
      <c r="X15" s="34"/>
      <c r="Y15" s="34"/>
      <c r="Z15" s="58"/>
      <c r="AA15" s="58"/>
      <c r="AB15" s="58"/>
      <c r="AC15" s="58"/>
      <c r="AD15" s="58"/>
      <c r="AE15" s="58"/>
      <c r="AF15" s="58"/>
      <c r="AG15" s="58"/>
      <c r="AH15" s="58"/>
      <c r="AI15" s="58"/>
      <c r="AJ15" s="58"/>
      <c r="AK15" s="58"/>
      <c r="AL15" s="58"/>
      <c r="AM15" s="34"/>
      <c r="AN15" s="34"/>
      <c r="AO15" s="34"/>
      <c r="AP15" s="34"/>
      <c r="AQ15" s="34"/>
      <c r="AR15" s="34"/>
      <c r="AS15" s="34"/>
      <c r="AT15" s="34"/>
      <c r="AU15" s="34"/>
      <c r="AV15" s="34"/>
      <c r="AW15" s="34"/>
      <c r="AX15" s="34"/>
      <c r="AY15" s="34"/>
      <c r="AZ15" s="34"/>
      <c r="BA15" s="34"/>
      <c r="BB15" s="34"/>
      <c r="BC15" s="34"/>
      <c r="BD15" s="34"/>
      <c r="BE15" s="34"/>
      <c r="BF15" s="34"/>
      <c r="BG15" s="34"/>
      <c r="BH15" s="34"/>
      <c r="BI15" s="34"/>
      <c r="BJ15" s="34"/>
      <c r="BK15" s="34"/>
      <c r="BL15" s="34"/>
      <c r="BM15" s="34"/>
      <c r="BN15" s="34"/>
      <c r="BO15" s="34"/>
      <c r="BP15" s="34"/>
      <c r="BQ15" s="34"/>
      <c r="BR15" s="34"/>
      <c r="BS15" s="34"/>
      <c r="BT15" s="34"/>
      <c r="BU15" s="34"/>
      <c r="BV15" s="34"/>
      <c r="BW15" s="34"/>
      <c r="BX15" s="34"/>
      <c r="BY15" s="34"/>
      <c r="BZ15" s="34"/>
      <c r="CA15" s="34"/>
      <c r="CB15" s="34"/>
      <c r="CC15" s="34"/>
      <c r="CD15" s="34"/>
      <c r="CE15" s="34"/>
      <c r="CF15" s="34"/>
      <c r="CG15" s="34"/>
      <c r="CH15" s="34"/>
      <c r="CI15" s="34"/>
      <c r="CJ15" s="34"/>
      <c r="CK15" s="34"/>
      <c r="CL15" s="34"/>
      <c r="CM15" s="34"/>
      <c r="CN15" s="34"/>
      <c r="CO15" s="34"/>
      <c r="CP15" s="34"/>
      <c r="CQ15" s="34"/>
      <c r="CR15" s="34"/>
      <c r="CS15" s="34"/>
      <c r="CT15" s="34"/>
      <c r="CU15" s="34"/>
      <c r="CV15" s="34"/>
      <c r="CW15" s="34"/>
      <c r="CX15" s="34"/>
      <c r="CY15" s="34"/>
      <c r="CZ15" s="34"/>
      <c r="DA15" s="34"/>
      <c r="DB15" s="34"/>
      <c r="DC15" s="34"/>
      <c r="DD15" s="34"/>
      <c r="DE15" s="34"/>
      <c r="DF15" s="34"/>
      <c r="DG15" s="34"/>
      <c r="DH15" s="34"/>
      <c r="DI15" s="34"/>
      <c r="DJ15" s="34"/>
      <c r="DK15" s="34"/>
      <c r="DL15" s="34"/>
      <c r="DM15" s="34"/>
      <c r="DN15" s="34"/>
      <c r="DO15" s="34"/>
      <c r="DP15" s="34"/>
      <c r="DQ15" s="34"/>
      <c r="DR15" s="34"/>
      <c r="DS15" s="34"/>
      <c r="DT15" s="34"/>
      <c r="DU15" s="34"/>
      <c r="DV15" s="34"/>
      <c r="DW15" s="34"/>
      <c r="DX15" s="34"/>
      <c r="DY15" s="34"/>
      <c r="DZ15" s="34"/>
      <c r="EA15" s="34"/>
      <c r="EB15" s="34"/>
      <c r="EC15" s="34"/>
      <c r="ED15" s="34"/>
      <c r="EE15" s="34"/>
      <c r="EF15" s="34"/>
      <c r="EG15" s="34"/>
      <c r="EH15" s="34"/>
      <c r="EI15" s="34"/>
      <c r="EJ15" s="34"/>
      <c r="EK15" s="34"/>
      <c r="EL15" s="34"/>
      <c r="EM15" s="34"/>
      <c r="EN15" s="34"/>
      <c r="EO15" s="34"/>
      <c r="EP15" s="34"/>
      <c r="EQ15" s="34"/>
      <c r="ER15" s="34"/>
      <c r="ES15" s="34"/>
      <c r="ET15" s="34"/>
      <c r="EU15" s="34"/>
      <c r="EV15" s="34"/>
      <c r="EW15" s="34"/>
      <c r="EX15" s="34"/>
      <c r="EY15" s="34"/>
      <c r="EZ15" s="34"/>
      <c r="FA15" s="34"/>
      <c r="FB15" s="34"/>
      <c r="FC15" s="34"/>
      <c r="FD15" s="34"/>
      <c r="FE15" s="34"/>
      <c r="FF15" s="34"/>
      <c r="FG15" s="34"/>
      <c r="FH15" s="34"/>
      <c r="FI15" s="34"/>
      <c r="FJ15" s="34"/>
      <c r="FK15" s="34"/>
      <c r="FL15" s="34"/>
      <c r="FM15" s="34"/>
      <c r="FN15" s="34"/>
      <c r="FO15" s="34"/>
      <c r="FP15" s="34"/>
      <c r="FQ15" s="34"/>
      <c r="FR15" s="34"/>
      <c r="FS15" s="34"/>
      <c r="FT15" s="34"/>
      <c r="FU15" s="34"/>
      <c r="FV15" s="34"/>
      <c r="FW15" s="34"/>
      <c r="FX15" s="34"/>
      <c r="FY15" s="34"/>
      <c r="FZ15" s="34"/>
      <c r="GA15" s="34"/>
      <c r="GB15" s="34"/>
      <c r="GC15" s="34"/>
      <c r="GD15" s="34"/>
      <c r="GE15" s="34"/>
      <c r="GF15" s="34"/>
      <c r="GG15" s="34"/>
      <c r="GH15" s="34"/>
      <c r="GI15" s="34"/>
      <c r="GJ15" s="34"/>
      <c r="GK15" s="34"/>
      <c r="GL15" s="34"/>
      <c r="GM15" s="34"/>
      <c r="GN15" s="34"/>
      <c r="GO15" s="34"/>
      <c r="GP15" s="34"/>
      <c r="GQ15" s="34"/>
      <c r="GR15" s="34"/>
      <c r="GS15" s="34"/>
      <c r="GT15" s="34"/>
      <c r="GU15" s="34"/>
      <c r="GV15" s="34"/>
    </row>
    <row r="16" spans="1:506" s="38" customFormat="1" ht="15" customHeight="1" x14ac:dyDescent="0.3">
      <c r="A16" s="34" t="s">
        <v>245</v>
      </c>
      <c r="B16" s="34"/>
      <c r="C16" s="34">
        <v>1</v>
      </c>
      <c r="D16" s="34">
        <v>44</v>
      </c>
      <c r="E16" s="34">
        <v>244</v>
      </c>
      <c r="F16" s="34">
        <v>316</v>
      </c>
      <c r="G16" s="34">
        <v>64</v>
      </c>
      <c r="H16" s="34">
        <v>57</v>
      </c>
      <c r="I16" s="34">
        <v>44</v>
      </c>
      <c r="J16" s="34">
        <v>56</v>
      </c>
      <c r="K16" s="34">
        <v>826</v>
      </c>
      <c r="L16" s="34"/>
      <c r="M16" s="34"/>
      <c r="N16" s="34"/>
      <c r="O16" s="34"/>
      <c r="P16" s="34"/>
      <c r="Q16" s="34"/>
      <c r="R16" s="34"/>
      <c r="S16" s="34"/>
      <c r="T16" s="34"/>
      <c r="U16" s="34"/>
      <c r="V16" s="34"/>
      <c r="W16" s="34"/>
      <c r="X16" s="34"/>
      <c r="Y16" s="34"/>
      <c r="Z16" s="58"/>
      <c r="AA16" s="58"/>
      <c r="AB16" s="58"/>
      <c r="AC16" s="58"/>
      <c r="AD16" s="58"/>
      <c r="AE16" s="58"/>
      <c r="AF16" s="58"/>
      <c r="AG16" s="58"/>
      <c r="AH16" s="58"/>
      <c r="AI16" s="58"/>
      <c r="AJ16" s="58"/>
      <c r="AK16" s="58"/>
      <c r="AL16" s="58"/>
      <c r="AM16" s="34"/>
      <c r="AN16" s="34"/>
      <c r="AO16" s="34"/>
      <c r="AP16" s="34"/>
      <c r="AQ16" s="34"/>
      <c r="AR16" s="34"/>
      <c r="AS16" s="34"/>
      <c r="AT16" s="34"/>
      <c r="AU16" s="34"/>
      <c r="AV16" s="34"/>
      <c r="AW16" s="34"/>
      <c r="AX16" s="34"/>
      <c r="AY16" s="34"/>
      <c r="AZ16" s="34"/>
      <c r="BA16" s="34"/>
      <c r="BB16" s="34"/>
      <c r="BC16" s="34"/>
      <c r="BD16" s="34"/>
      <c r="BE16" s="34"/>
      <c r="BF16" s="34"/>
      <c r="BG16" s="34"/>
      <c r="BH16" s="34"/>
      <c r="BI16" s="34"/>
      <c r="BJ16" s="34"/>
      <c r="BK16" s="34"/>
      <c r="BL16" s="34"/>
      <c r="BM16" s="34"/>
      <c r="BN16" s="34"/>
      <c r="BO16" s="34"/>
      <c r="BP16" s="34"/>
      <c r="BQ16" s="34"/>
      <c r="BR16" s="34"/>
      <c r="BS16" s="34"/>
      <c r="BT16" s="34"/>
      <c r="BU16" s="34"/>
      <c r="BV16" s="34"/>
      <c r="BW16" s="34"/>
      <c r="BX16" s="34"/>
      <c r="BY16" s="34"/>
      <c r="BZ16" s="34"/>
      <c r="CA16" s="34"/>
      <c r="CB16" s="34"/>
      <c r="CC16" s="34"/>
      <c r="CD16" s="34"/>
      <c r="CE16" s="34"/>
      <c r="CF16" s="34"/>
      <c r="CG16" s="34"/>
      <c r="CH16" s="34"/>
      <c r="CI16" s="34"/>
      <c r="CJ16" s="34"/>
      <c r="CK16" s="34"/>
      <c r="CL16" s="34"/>
      <c r="CM16" s="34"/>
      <c r="CN16" s="34"/>
      <c r="CO16" s="34"/>
      <c r="CP16" s="34"/>
      <c r="CQ16" s="34"/>
      <c r="CR16" s="34"/>
      <c r="CS16" s="34"/>
      <c r="CT16" s="34"/>
      <c r="CU16" s="34"/>
      <c r="CV16" s="34"/>
      <c r="CW16" s="34"/>
      <c r="CX16" s="34"/>
      <c r="CY16" s="34"/>
      <c r="CZ16" s="34"/>
      <c r="DA16" s="34"/>
      <c r="DB16" s="34"/>
      <c r="DC16" s="34"/>
      <c r="DD16" s="34"/>
      <c r="DE16" s="34"/>
      <c r="DF16" s="34"/>
      <c r="DG16" s="34"/>
      <c r="DH16" s="34"/>
      <c r="DI16" s="34"/>
      <c r="DJ16" s="34"/>
      <c r="DK16" s="34"/>
      <c r="DL16" s="34"/>
      <c r="DM16" s="34"/>
      <c r="DN16" s="34"/>
      <c r="DO16" s="34"/>
      <c r="DP16" s="34"/>
      <c r="DQ16" s="34"/>
      <c r="DR16" s="34"/>
      <c r="DS16" s="34"/>
      <c r="DT16" s="34"/>
      <c r="DU16" s="34"/>
      <c r="DV16" s="34"/>
      <c r="DW16" s="34"/>
      <c r="DX16" s="34"/>
      <c r="DY16" s="34"/>
      <c r="DZ16" s="34"/>
      <c r="EA16" s="34"/>
      <c r="EB16" s="34"/>
      <c r="EC16" s="34"/>
      <c r="ED16" s="34"/>
      <c r="EE16" s="34"/>
      <c r="EF16" s="34"/>
      <c r="EG16" s="34"/>
      <c r="EH16" s="34"/>
      <c r="EI16" s="34"/>
      <c r="EJ16" s="34"/>
      <c r="EK16" s="34"/>
      <c r="EL16" s="34"/>
      <c r="EM16" s="34"/>
      <c r="EN16" s="34"/>
      <c r="EO16" s="34"/>
      <c r="EP16" s="34"/>
      <c r="EQ16" s="34"/>
      <c r="ER16" s="34"/>
      <c r="ES16" s="34"/>
      <c r="ET16" s="34"/>
      <c r="EU16" s="34"/>
      <c r="EV16" s="34"/>
      <c r="EW16" s="34"/>
      <c r="EX16" s="34"/>
      <c r="EY16" s="34"/>
      <c r="EZ16" s="34"/>
      <c r="FA16" s="34"/>
      <c r="FB16" s="34"/>
      <c r="FC16" s="34"/>
      <c r="FD16" s="34"/>
      <c r="FE16" s="34"/>
      <c r="FF16" s="34"/>
      <c r="FG16" s="34"/>
      <c r="FH16" s="34"/>
      <c r="FI16" s="34"/>
      <c r="FJ16" s="34"/>
      <c r="FK16" s="34"/>
      <c r="FL16" s="34"/>
      <c r="FM16" s="34"/>
      <c r="FN16" s="34"/>
      <c r="FO16" s="34"/>
      <c r="FP16" s="34"/>
      <c r="FQ16" s="34"/>
      <c r="FR16" s="34"/>
      <c r="FS16" s="34"/>
      <c r="FT16" s="34"/>
      <c r="FU16" s="34"/>
      <c r="FV16" s="34"/>
      <c r="FW16" s="34"/>
      <c r="FX16" s="34"/>
      <c r="FY16" s="34"/>
      <c r="FZ16" s="34"/>
      <c r="GA16" s="34"/>
      <c r="GB16" s="34"/>
      <c r="GC16" s="34"/>
      <c r="GD16" s="34"/>
      <c r="GE16" s="34"/>
      <c r="GF16" s="34"/>
      <c r="GG16" s="34"/>
      <c r="GH16" s="34"/>
      <c r="GI16" s="34"/>
      <c r="GJ16" s="34"/>
      <c r="GK16" s="34"/>
      <c r="GL16" s="34"/>
      <c r="GM16" s="34"/>
      <c r="GN16" s="34"/>
      <c r="GO16" s="34"/>
      <c r="GP16" s="34"/>
      <c r="GQ16" s="34"/>
      <c r="GR16" s="34"/>
      <c r="GS16" s="34"/>
      <c r="GT16" s="34"/>
      <c r="GU16" s="34"/>
      <c r="GV16" s="34"/>
    </row>
    <row r="17" spans="1:204" s="38" customFormat="1" ht="15" customHeight="1" x14ac:dyDescent="0.3">
      <c r="A17" s="34" t="s">
        <v>248</v>
      </c>
      <c r="B17" s="34">
        <v>3</v>
      </c>
      <c r="C17" s="34">
        <v>2</v>
      </c>
      <c r="D17" s="34">
        <v>96</v>
      </c>
      <c r="E17" s="34">
        <v>232</v>
      </c>
      <c r="F17" s="34">
        <v>424</v>
      </c>
      <c r="G17" s="34">
        <v>125</v>
      </c>
      <c r="H17" s="34">
        <v>70</v>
      </c>
      <c r="I17" s="34">
        <v>144</v>
      </c>
      <c r="J17" s="34">
        <v>100</v>
      </c>
      <c r="K17" s="34">
        <v>1196</v>
      </c>
      <c r="L17" s="34"/>
      <c r="M17" s="34"/>
      <c r="N17" s="34"/>
      <c r="O17" s="34"/>
      <c r="P17" s="34"/>
      <c r="Q17" s="34"/>
      <c r="R17" s="34"/>
      <c r="S17" s="34"/>
      <c r="T17" s="34"/>
      <c r="U17" s="34"/>
      <c r="V17" s="34"/>
      <c r="W17" s="34"/>
      <c r="X17" s="34"/>
      <c r="Y17" s="34"/>
      <c r="Z17" s="58"/>
      <c r="AA17" s="58"/>
      <c r="AB17" s="58"/>
      <c r="AC17" s="58"/>
      <c r="AD17" s="58"/>
      <c r="AE17" s="58"/>
      <c r="AF17" s="58"/>
      <c r="AG17" s="58"/>
      <c r="AH17" s="58"/>
      <c r="AI17" s="58"/>
      <c r="AJ17" s="58"/>
      <c r="AK17" s="58"/>
      <c r="AL17" s="58"/>
      <c r="AM17" s="34"/>
      <c r="AN17" s="34"/>
      <c r="AO17" s="34"/>
      <c r="AP17" s="34"/>
      <c r="AQ17" s="34"/>
      <c r="AR17" s="34"/>
      <c r="AS17" s="34"/>
      <c r="AT17" s="34"/>
      <c r="AU17" s="34"/>
      <c r="AV17" s="34"/>
      <c r="AW17" s="34"/>
      <c r="AX17" s="34"/>
      <c r="AY17" s="34"/>
      <c r="AZ17" s="34"/>
      <c r="BA17" s="34"/>
      <c r="BB17" s="34"/>
      <c r="BC17" s="34"/>
      <c r="BD17" s="34"/>
      <c r="BE17" s="34"/>
      <c r="BF17" s="34"/>
      <c r="BG17" s="34"/>
      <c r="BH17" s="34"/>
      <c r="BI17" s="34"/>
      <c r="BJ17" s="34"/>
      <c r="BK17" s="34"/>
      <c r="BL17" s="34"/>
      <c r="BM17" s="34"/>
      <c r="BN17" s="34"/>
      <c r="BO17" s="34"/>
      <c r="BP17" s="34"/>
      <c r="BQ17" s="34"/>
      <c r="BR17" s="34"/>
      <c r="BS17" s="34"/>
      <c r="BT17" s="34"/>
      <c r="BU17" s="34"/>
      <c r="BV17" s="34"/>
      <c r="BW17" s="34"/>
      <c r="BX17" s="34"/>
      <c r="BY17" s="34"/>
      <c r="BZ17" s="34"/>
      <c r="CA17" s="34"/>
      <c r="CB17" s="34"/>
      <c r="CC17" s="34"/>
      <c r="CD17" s="34"/>
      <c r="CE17" s="34"/>
      <c r="CF17" s="34"/>
      <c r="CG17" s="34"/>
      <c r="CH17" s="34"/>
      <c r="CI17" s="34"/>
      <c r="CJ17" s="34"/>
      <c r="CK17" s="34"/>
      <c r="CL17" s="34"/>
      <c r="CM17" s="34"/>
      <c r="CN17" s="34"/>
      <c r="CO17" s="34"/>
      <c r="CP17" s="34"/>
      <c r="CQ17" s="34"/>
      <c r="CR17" s="34"/>
      <c r="CS17" s="34"/>
      <c r="CT17" s="34"/>
      <c r="CU17" s="34"/>
      <c r="CV17" s="34"/>
      <c r="CW17" s="34"/>
      <c r="CX17" s="34"/>
      <c r="CY17" s="34"/>
      <c r="CZ17" s="34"/>
      <c r="DA17" s="34"/>
      <c r="DB17" s="34"/>
      <c r="DC17" s="34"/>
      <c r="DD17" s="34"/>
      <c r="DE17" s="34"/>
      <c r="DF17" s="34"/>
      <c r="DG17" s="34"/>
      <c r="DH17" s="34"/>
      <c r="DI17" s="34"/>
      <c r="DJ17" s="34"/>
      <c r="DK17" s="34"/>
      <c r="DL17" s="34"/>
      <c r="DM17" s="34"/>
      <c r="DN17" s="34"/>
      <c r="DO17" s="34"/>
      <c r="DP17" s="34"/>
      <c r="DQ17" s="34"/>
      <c r="DR17" s="34"/>
      <c r="DS17" s="34"/>
      <c r="DT17" s="34"/>
      <c r="DU17" s="34"/>
      <c r="DV17" s="34"/>
      <c r="DW17" s="34"/>
      <c r="DX17" s="34"/>
      <c r="DY17" s="34"/>
      <c r="DZ17" s="34"/>
      <c r="EA17" s="34"/>
      <c r="EB17" s="34"/>
      <c r="EC17" s="34"/>
      <c r="ED17" s="34"/>
      <c r="EE17" s="34"/>
      <c r="EF17" s="34"/>
      <c r="EG17" s="34"/>
      <c r="EH17" s="34"/>
      <c r="EI17" s="34"/>
      <c r="EJ17" s="34"/>
      <c r="EK17" s="34"/>
      <c r="EL17" s="34"/>
      <c r="EM17" s="34"/>
      <c r="EN17" s="34"/>
      <c r="EO17" s="34"/>
      <c r="EP17" s="34"/>
      <c r="EQ17" s="34"/>
      <c r="ER17" s="34"/>
      <c r="ES17" s="34"/>
      <c r="ET17" s="34"/>
      <c r="EU17" s="34"/>
      <c r="EV17" s="34"/>
      <c r="EW17" s="34"/>
      <c r="EX17" s="34"/>
      <c r="EY17" s="34"/>
      <c r="EZ17" s="34"/>
      <c r="FA17" s="34"/>
      <c r="FB17" s="34"/>
      <c r="FC17" s="34"/>
      <c r="FD17" s="34"/>
      <c r="FE17" s="34"/>
      <c r="FF17" s="34"/>
      <c r="FG17" s="34"/>
      <c r="FH17" s="34"/>
      <c r="FI17" s="34"/>
      <c r="FJ17" s="34"/>
      <c r="FK17" s="34"/>
      <c r="FL17" s="34"/>
      <c r="FM17" s="34"/>
      <c r="FN17" s="34"/>
      <c r="FO17" s="34"/>
      <c r="FP17" s="34"/>
      <c r="FQ17" s="34"/>
      <c r="FR17" s="34"/>
      <c r="FS17" s="34"/>
      <c r="FT17" s="34"/>
      <c r="FU17" s="34"/>
      <c r="FV17" s="34"/>
      <c r="FW17" s="34"/>
      <c r="FX17" s="34"/>
      <c r="FY17" s="34"/>
      <c r="FZ17" s="34"/>
      <c r="GA17" s="34"/>
      <c r="GB17" s="34"/>
      <c r="GC17" s="34"/>
      <c r="GD17" s="34"/>
      <c r="GE17" s="34"/>
      <c r="GF17" s="34"/>
      <c r="GG17" s="34"/>
      <c r="GH17" s="34"/>
      <c r="GI17" s="34"/>
      <c r="GJ17" s="34"/>
      <c r="GK17" s="34"/>
      <c r="GL17" s="34"/>
      <c r="GM17" s="34"/>
      <c r="GN17" s="34"/>
      <c r="GO17" s="34"/>
      <c r="GP17" s="34"/>
      <c r="GQ17" s="34"/>
      <c r="GR17" s="34"/>
      <c r="GS17" s="34"/>
      <c r="GT17" s="34"/>
      <c r="GU17" s="34"/>
      <c r="GV17" s="34"/>
    </row>
    <row r="18" spans="1:204" s="38" customFormat="1" ht="15" customHeight="1" x14ac:dyDescent="0.3">
      <c r="A18" s="34" t="s">
        <v>258</v>
      </c>
      <c r="B18" s="34">
        <v>2</v>
      </c>
      <c r="C18" s="34">
        <v>2</v>
      </c>
      <c r="D18" s="34">
        <v>48</v>
      </c>
      <c r="E18" s="34">
        <v>252</v>
      </c>
      <c r="F18" s="234">
        <v>272</v>
      </c>
      <c r="G18" s="34">
        <v>135</v>
      </c>
      <c r="H18" s="34">
        <v>48</v>
      </c>
      <c r="I18" s="34">
        <v>52</v>
      </c>
      <c r="J18" s="34">
        <v>56</v>
      </c>
      <c r="K18" s="34">
        <v>867</v>
      </c>
      <c r="L18" s="34"/>
      <c r="M18" s="34"/>
      <c r="N18" s="34"/>
      <c r="O18" s="34"/>
      <c r="P18" s="34"/>
      <c r="Q18" s="34"/>
      <c r="R18" s="34"/>
      <c r="S18" s="34"/>
      <c r="T18" s="34"/>
      <c r="U18" s="34"/>
      <c r="V18" s="34"/>
      <c r="W18" s="34"/>
      <c r="X18" s="34"/>
      <c r="Y18" s="34"/>
      <c r="Z18" s="58"/>
      <c r="AA18" s="58"/>
      <c r="AB18" s="58"/>
      <c r="AC18" s="58"/>
      <c r="AD18" s="58"/>
      <c r="AE18" s="58"/>
      <c r="AF18" s="58"/>
      <c r="AG18" s="58"/>
      <c r="AH18" s="58"/>
      <c r="AI18" s="58"/>
      <c r="AJ18" s="58"/>
      <c r="AK18" s="58"/>
      <c r="AL18" s="58"/>
      <c r="AM18" s="34"/>
      <c r="AN18" s="34"/>
      <c r="AO18" s="34"/>
      <c r="AP18" s="34"/>
      <c r="AQ18" s="34"/>
      <c r="AR18" s="34"/>
      <c r="AS18" s="34"/>
      <c r="AT18" s="34"/>
      <c r="AU18" s="34"/>
      <c r="AV18" s="34"/>
      <c r="AW18" s="34"/>
      <c r="AX18" s="34"/>
      <c r="AY18" s="34"/>
      <c r="AZ18" s="34"/>
      <c r="BA18" s="34"/>
      <c r="BB18" s="34"/>
      <c r="BC18" s="34"/>
      <c r="BD18" s="34"/>
      <c r="BE18" s="34"/>
      <c r="BF18" s="34"/>
      <c r="BG18" s="34"/>
      <c r="BH18" s="34"/>
      <c r="BI18" s="34"/>
      <c r="BJ18" s="34"/>
      <c r="BK18" s="34"/>
      <c r="BL18" s="34"/>
      <c r="BM18" s="34"/>
      <c r="BN18" s="34"/>
      <c r="BO18" s="34"/>
      <c r="BP18" s="34"/>
      <c r="BQ18" s="34"/>
      <c r="BR18" s="34"/>
      <c r="BS18" s="34"/>
      <c r="BT18" s="34"/>
      <c r="BU18" s="34"/>
      <c r="BV18" s="34"/>
      <c r="BW18" s="34"/>
      <c r="BX18" s="34"/>
      <c r="BY18" s="34"/>
      <c r="BZ18" s="34"/>
      <c r="CA18" s="34"/>
      <c r="CB18" s="34"/>
      <c r="CC18" s="34"/>
      <c r="CD18" s="34"/>
      <c r="CE18" s="34"/>
      <c r="CF18" s="34"/>
      <c r="CG18" s="34"/>
      <c r="CH18" s="34"/>
      <c r="CI18" s="34"/>
      <c r="CJ18" s="34"/>
      <c r="CK18" s="34"/>
      <c r="CL18" s="34"/>
      <c r="CM18" s="34"/>
      <c r="CN18" s="34"/>
      <c r="CO18" s="34"/>
      <c r="CP18" s="34"/>
      <c r="CQ18" s="34"/>
      <c r="CR18" s="34"/>
      <c r="CS18" s="34"/>
      <c r="CT18" s="34"/>
      <c r="CU18" s="34"/>
      <c r="CV18" s="34"/>
      <c r="CW18" s="34"/>
      <c r="CX18" s="34"/>
      <c r="CY18" s="34"/>
      <c r="CZ18" s="34"/>
      <c r="DA18" s="34"/>
      <c r="DB18" s="34"/>
      <c r="DC18" s="34"/>
      <c r="DD18" s="34"/>
      <c r="DE18" s="34"/>
      <c r="DF18" s="34"/>
      <c r="DG18" s="34"/>
      <c r="DH18" s="34"/>
      <c r="DI18" s="34"/>
      <c r="DJ18" s="34"/>
      <c r="DK18" s="34"/>
      <c r="DL18" s="34"/>
      <c r="DM18" s="34"/>
      <c r="DN18" s="34"/>
      <c r="DO18" s="34"/>
      <c r="DP18" s="34"/>
      <c r="DQ18" s="34"/>
      <c r="DR18" s="34"/>
      <c r="DS18" s="34"/>
      <c r="DT18" s="34"/>
      <c r="DU18" s="34"/>
      <c r="DV18" s="34"/>
      <c r="DW18" s="34"/>
      <c r="DX18" s="34"/>
      <c r="DY18" s="34"/>
      <c r="DZ18" s="34"/>
      <c r="EA18" s="34"/>
      <c r="EB18" s="34"/>
      <c r="EC18" s="34"/>
      <c r="ED18" s="34"/>
      <c r="EE18" s="34"/>
      <c r="EF18" s="34"/>
      <c r="EG18" s="34"/>
      <c r="EH18" s="34"/>
      <c r="EI18" s="34"/>
      <c r="EJ18" s="34"/>
      <c r="EK18" s="34"/>
      <c r="EL18" s="34"/>
      <c r="EM18" s="34"/>
      <c r="EN18" s="34"/>
      <c r="EO18" s="34"/>
      <c r="EP18" s="34"/>
      <c r="EQ18" s="34"/>
      <c r="ER18" s="34"/>
      <c r="ES18" s="34"/>
      <c r="ET18" s="34"/>
      <c r="EU18" s="34"/>
      <c r="EV18" s="34"/>
      <c r="EW18" s="34"/>
      <c r="EX18" s="34"/>
      <c r="EY18" s="34"/>
      <c r="EZ18" s="34"/>
      <c r="FA18" s="34"/>
      <c r="FB18" s="34"/>
      <c r="FC18" s="34"/>
      <c r="FD18" s="34"/>
      <c r="FE18" s="34"/>
      <c r="FF18" s="34"/>
      <c r="FG18" s="34"/>
      <c r="FH18" s="34"/>
      <c r="FI18" s="34"/>
      <c r="FJ18" s="34"/>
      <c r="FK18" s="34"/>
      <c r="FL18" s="34"/>
      <c r="FM18" s="34"/>
      <c r="FN18" s="34"/>
      <c r="FO18" s="34"/>
      <c r="FP18" s="34"/>
      <c r="FQ18" s="34"/>
      <c r="FR18" s="34"/>
      <c r="FS18" s="34"/>
      <c r="FT18" s="34"/>
      <c r="FU18" s="34"/>
      <c r="FV18" s="34"/>
      <c r="FW18" s="34"/>
      <c r="FX18" s="34"/>
      <c r="FY18" s="34"/>
      <c r="FZ18" s="34"/>
      <c r="GA18" s="34"/>
      <c r="GB18" s="34"/>
      <c r="GC18" s="34"/>
      <c r="GD18" s="34"/>
      <c r="GE18" s="34"/>
      <c r="GF18" s="34"/>
      <c r="GG18" s="34"/>
      <c r="GH18" s="34"/>
      <c r="GI18" s="34"/>
      <c r="GJ18" s="34"/>
      <c r="GK18" s="34"/>
      <c r="GL18" s="34"/>
      <c r="GM18" s="34"/>
      <c r="GN18" s="34"/>
      <c r="GO18" s="34"/>
      <c r="GP18" s="34"/>
      <c r="GQ18" s="34"/>
      <c r="GR18" s="34"/>
      <c r="GS18" s="34"/>
      <c r="GT18" s="34"/>
      <c r="GU18" s="34"/>
      <c r="GV18" s="34"/>
    </row>
    <row r="19" spans="1:204" s="38" customFormat="1" ht="15" customHeight="1" x14ac:dyDescent="0.3">
      <c r="A19" s="34" t="s">
        <v>242</v>
      </c>
      <c r="B19" s="34">
        <v>2</v>
      </c>
      <c r="C19" s="34">
        <v>1</v>
      </c>
      <c r="D19" s="34">
        <v>56</v>
      </c>
      <c r="E19" s="34">
        <v>308</v>
      </c>
      <c r="F19" s="34">
        <v>364</v>
      </c>
      <c r="G19" s="34">
        <v>79</v>
      </c>
      <c r="H19" s="34">
        <v>66</v>
      </c>
      <c r="I19" s="34">
        <v>60</v>
      </c>
      <c r="J19" s="34">
        <v>52</v>
      </c>
      <c r="K19" s="34">
        <v>988</v>
      </c>
      <c r="L19" s="34"/>
      <c r="M19" s="34"/>
      <c r="N19" s="34"/>
      <c r="O19" s="34"/>
      <c r="P19" s="34"/>
      <c r="Q19" s="34"/>
      <c r="R19" s="34"/>
      <c r="S19" s="34"/>
      <c r="T19" s="34"/>
      <c r="U19" s="34"/>
      <c r="V19" s="34"/>
      <c r="W19" s="34"/>
      <c r="X19" s="34"/>
      <c r="Y19" s="34"/>
      <c r="Z19" s="58"/>
      <c r="AA19" s="58"/>
      <c r="AB19" s="58"/>
      <c r="AC19" s="58"/>
      <c r="AD19" s="58"/>
      <c r="AE19" s="58"/>
      <c r="AF19" s="58"/>
      <c r="AG19" s="58"/>
      <c r="AH19" s="58"/>
      <c r="AI19" s="58"/>
      <c r="AJ19" s="58"/>
      <c r="AK19" s="58"/>
      <c r="AL19" s="58"/>
      <c r="AM19" s="34"/>
      <c r="AN19" s="34"/>
      <c r="AO19" s="34"/>
      <c r="AP19" s="34"/>
      <c r="AQ19" s="34"/>
      <c r="AR19" s="34"/>
      <c r="AS19" s="34"/>
      <c r="AT19" s="34"/>
      <c r="AU19" s="34"/>
      <c r="AV19" s="34"/>
      <c r="AW19" s="34"/>
      <c r="AX19" s="34"/>
      <c r="AY19" s="34"/>
      <c r="AZ19" s="34"/>
      <c r="BA19" s="34"/>
      <c r="BB19" s="34"/>
      <c r="BC19" s="34"/>
      <c r="BD19" s="34"/>
      <c r="BE19" s="34"/>
      <c r="BF19" s="34"/>
      <c r="BG19" s="34"/>
      <c r="BH19" s="34"/>
      <c r="BI19" s="34"/>
      <c r="BJ19" s="34"/>
      <c r="BK19" s="34"/>
      <c r="BL19" s="34"/>
      <c r="BM19" s="34"/>
      <c r="BN19" s="34"/>
      <c r="BO19" s="34"/>
      <c r="BP19" s="34"/>
      <c r="BQ19" s="34"/>
      <c r="BR19" s="34"/>
      <c r="BS19" s="34"/>
      <c r="BT19" s="34"/>
      <c r="BU19" s="34"/>
      <c r="BV19" s="34"/>
      <c r="BW19" s="34"/>
      <c r="BX19" s="34"/>
      <c r="BY19" s="34"/>
      <c r="BZ19" s="34"/>
      <c r="CA19" s="34"/>
      <c r="CB19" s="34"/>
      <c r="CC19" s="34"/>
      <c r="CD19" s="34"/>
      <c r="CE19" s="34"/>
      <c r="CF19" s="34"/>
      <c r="CG19" s="34"/>
      <c r="CH19" s="34"/>
      <c r="CI19" s="34"/>
      <c r="CJ19" s="34"/>
      <c r="CK19" s="34"/>
      <c r="CL19" s="34"/>
      <c r="CM19" s="34"/>
      <c r="CN19" s="34"/>
      <c r="CO19" s="34"/>
      <c r="CP19" s="34"/>
      <c r="CQ19" s="34"/>
      <c r="CR19" s="34"/>
      <c r="CS19" s="34"/>
      <c r="CT19" s="34"/>
      <c r="CU19" s="34"/>
      <c r="CV19" s="34"/>
      <c r="CW19" s="34"/>
      <c r="CX19" s="34"/>
      <c r="CY19" s="34"/>
      <c r="CZ19" s="34"/>
      <c r="DA19" s="34"/>
      <c r="DB19" s="34"/>
      <c r="DC19" s="34"/>
      <c r="DD19" s="34"/>
      <c r="DE19" s="34"/>
      <c r="DF19" s="34"/>
      <c r="DG19" s="34"/>
      <c r="DH19" s="34"/>
      <c r="DI19" s="34"/>
      <c r="DJ19" s="34"/>
      <c r="DK19" s="34"/>
      <c r="DL19" s="34"/>
      <c r="DM19" s="34"/>
      <c r="DN19" s="34"/>
      <c r="DO19" s="34"/>
      <c r="DP19" s="34"/>
      <c r="DQ19" s="34"/>
      <c r="DR19" s="34"/>
      <c r="DS19" s="34"/>
      <c r="DT19" s="34"/>
      <c r="DU19" s="34"/>
      <c r="DV19" s="34"/>
      <c r="DW19" s="34"/>
      <c r="DX19" s="34"/>
      <c r="DY19" s="34"/>
      <c r="DZ19" s="34"/>
      <c r="EA19" s="34"/>
      <c r="EB19" s="34"/>
      <c r="EC19" s="34"/>
      <c r="ED19" s="34"/>
      <c r="EE19" s="34"/>
      <c r="EF19" s="34"/>
      <c r="EG19" s="34"/>
      <c r="EH19" s="34"/>
      <c r="EI19" s="34"/>
      <c r="EJ19" s="34"/>
      <c r="EK19" s="34"/>
      <c r="EL19" s="34"/>
      <c r="EM19" s="34"/>
      <c r="EN19" s="34"/>
      <c r="EO19" s="34"/>
      <c r="EP19" s="34"/>
      <c r="EQ19" s="34"/>
      <c r="ER19" s="34"/>
      <c r="ES19" s="34"/>
      <c r="ET19" s="34"/>
      <c r="EU19" s="34"/>
      <c r="EV19" s="34"/>
      <c r="EW19" s="34"/>
      <c r="EX19" s="34"/>
      <c r="EY19" s="34"/>
      <c r="EZ19" s="34"/>
      <c r="FA19" s="34"/>
      <c r="FB19" s="34"/>
      <c r="FC19" s="34"/>
      <c r="FD19" s="34"/>
      <c r="FE19" s="34"/>
      <c r="FF19" s="34"/>
      <c r="FG19" s="34"/>
      <c r="FH19" s="34"/>
      <c r="FI19" s="34"/>
      <c r="FJ19" s="34"/>
      <c r="FK19" s="34"/>
      <c r="FL19" s="34"/>
      <c r="FM19" s="34"/>
      <c r="FN19" s="34"/>
      <c r="FO19" s="34"/>
      <c r="FP19" s="34"/>
      <c r="FQ19" s="34"/>
      <c r="FR19" s="34"/>
      <c r="FS19" s="34"/>
      <c r="FT19" s="34"/>
      <c r="FU19" s="34"/>
      <c r="FV19" s="34"/>
      <c r="FW19" s="34"/>
      <c r="FX19" s="34"/>
      <c r="FY19" s="34"/>
      <c r="FZ19" s="34"/>
      <c r="GA19" s="34"/>
      <c r="GB19" s="34"/>
      <c r="GC19" s="34"/>
      <c r="GD19" s="34"/>
      <c r="GE19" s="34"/>
      <c r="GF19" s="34"/>
      <c r="GG19" s="34"/>
      <c r="GH19" s="34"/>
      <c r="GI19" s="34"/>
      <c r="GJ19" s="34"/>
      <c r="GK19" s="34"/>
      <c r="GL19" s="34"/>
      <c r="GM19" s="34"/>
      <c r="GN19" s="34"/>
      <c r="GO19" s="34"/>
      <c r="GP19" s="34"/>
      <c r="GQ19" s="34"/>
      <c r="GR19" s="34"/>
      <c r="GS19" s="34"/>
      <c r="GT19" s="34"/>
      <c r="GU19" s="34"/>
      <c r="GV19" s="34"/>
    </row>
    <row r="20" spans="1:204" s="38" customFormat="1" ht="16.5" customHeight="1" x14ac:dyDescent="0.3">
      <c r="A20" s="34" t="s">
        <v>259</v>
      </c>
      <c r="B20" s="34">
        <v>1</v>
      </c>
      <c r="C20" s="34"/>
      <c r="D20" s="34">
        <v>104</v>
      </c>
      <c r="E20" s="34">
        <v>252</v>
      </c>
      <c r="F20" s="34">
        <v>248</v>
      </c>
      <c r="G20" s="34">
        <v>87</v>
      </c>
      <c r="H20" s="34">
        <v>60</v>
      </c>
      <c r="I20" s="34">
        <v>108</v>
      </c>
      <c r="J20" s="34">
        <v>72</v>
      </c>
      <c r="K20" s="34">
        <v>932</v>
      </c>
      <c r="L20" s="34"/>
      <c r="M20" s="34"/>
      <c r="N20" s="34"/>
      <c r="O20" s="34"/>
      <c r="P20" s="34"/>
      <c r="Q20" s="34"/>
      <c r="R20" s="34"/>
      <c r="S20" s="34"/>
      <c r="T20" s="34"/>
      <c r="U20" s="34"/>
      <c r="V20" s="34"/>
      <c r="W20" s="34"/>
      <c r="X20" s="34"/>
      <c r="Y20" s="34"/>
      <c r="Z20" s="58"/>
      <c r="AA20" s="58"/>
      <c r="AB20" s="58"/>
      <c r="AC20" s="58"/>
      <c r="AD20" s="58"/>
      <c r="AE20" s="58"/>
      <c r="AF20" s="58"/>
      <c r="AG20" s="58"/>
      <c r="AH20" s="58"/>
      <c r="AI20" s="58"/>
      <c r="AJ20" s="58"/>
      <c r="AK20" s="58"/>
      <c r="AL20" s="58"/>
      <c r="AM20" s="34"/>
      <c r="AN20" s="34"/>
      <c r="AO20" s="34"/>
      <c r="AP20" s="34"/>
      <c r="AQ20" s="34"/>
      <c r="AR20" s="34"/>
      <c r="AS20" s="34"/>
      <c r="AT20" s="34"/>
      <c r="AU20" s="34"/>
      <c r="AV20" s="34"/>
      <c r="AW20" s="34"/>
      <c r="AX20" s="34"/>
      <c r="AY20" s="34"/>
      <c r="AZ20" s="34"/>
      <c r="BA20" s="34"/>
      <c r="BB20" s="34"/>
      <c r="BC20" s="34"/>
      <c r="BD20" s="34"/>
      <c r="BE20" s="34"/>
      <c r="BF20" s="34"/>
      <c r="BG20" s="34"/>
      <c r="BH20" s="34"/>
      <c r="BI20" s="34"/>
      <c r="BJ20" s="34"/>
      <c r="BK20" s="34"/>
      <c r="BL20" s="34"/>
      <c r="BM20" s="34"/>
      <c r="BN20" s="34"/>
      <c r="BO20" s="34"/>
      <c r="BP20" s="34"/>
      <c r="BQ20" s="34"/>
      <c r="BR20" s="34"/>
      <c r="BS20" s="34"/>
      <c r="BT20" s="34"/>
      <c r="BU20" s="34"/>
      <c r="BV20" s="34"/>
      <c r="BW20" s="34"/>
      <c r="BX20" s="34"/>
      <c r="BY20" s="34"/>
      <c r="BZ20" s="34"/>
      <c r="CA20" s="34"/>
      <c r="CB20" s="34"/>
      <c r="CC20" s="34"/>
      <c r="CD20" s="34"/>
      <c r="CE20" s="34"/>
      <c r="CF20" s="34"/>
      <c r="CG20" s="34"/>
      <c r="CH20" s="34"/>
      <c r="CI20" s="34"/>
      <c r="CJ20" s="34"/>
      <c r="CK20" s="34"/>
      <c r="CL20" s="34"/>
      <c r="CM20" s="34"/>
      <c r="CN20" s="34"/>
      <c r="CO20" s="34"/>
      <c r="CP20" s="34"/>
      <c r="CQ20" s="34"/>
      <c r="CR20" s="34"/>
      <c r="CS20" s="34"/>
      <c r="CT20" s="34"/>
      <c r="CU20" s="34"/>
      <c r="CV20" s="34"/>
      <c r="CW20" s="34"/>
      <c r="CX20" s="34"/>
      <c r="CY20" s="34"/>
      <c r="CZ20" s="34"/>
      <c r="DA20" s="34"/>
      <c r="DB20" s="34"/>
      <c r="DC20" s="34"/>
      <c r="DD20" s="34"/>
      <c r="DE20" s="34"/>
      <c r="DF20" s="34"/>
      <c r="DG20" s="34"/>
      <c r="DH20" s="34"/>
      <c r="DI20" s="34"/>
      <c r="DJ20" s="34"/>
      <c r="DK20" s="34"/>
      <c r="DL20" s="34"/>
      <c r="DM20" s="34"/>
      <c r="DN20" s="34"/>
      <c r="DO20" s="34"/>
      <c r="DP20" s="34"/>
      <c r="DQ20" s="34"/>
      <c r="DR20" s="34"/>
      <c r="DS20" s="34"/>
      <c r="DT20" s="34"/>
      <c r="DU20" s="34"/>
      <c r="DV20" s="34"/>
      <c r="DW20" s="34"/>
      <c r="DX20" s="34"/>
      <c r="DY20" s="34"/>
      <c r="DZ20" s="34"/>
      <c r="EA20" s="34"/>
      <c r="EB20" s="34"/>
      <c r="EC20" s="34"/>
      <c r="ED20" s="34"/>
      <c r="EE20" s="34"/>
      <c r="EF20" s="34"/>
      <c r="EG20" s="34"/>
      <c r="EH20" s="34"/>
      <c r="EI20" s="34"/>
      <c r="EJ20" s="34"/>
      <c r="EK20" s="34"/>
      <c r="EL20" s="34"/>
      <c r="EM20" s="34"/>
      <c r="EN20" s="34"/>
      <c r="EO20" s="34"/>
      <c r="EP20" s="34"/>
      <c r="EQ20" s="34"/>
      <c r="ER20" s="34"/>
      <c r="ES20" s="34"/>
      <c r="ET20" s="34"/>
      <c r="EU20" s="34"/>
      <c r="EV20" s="34"/>
      <c r="EW20" s="34"/>
      <c r="EX20" s="34"/>
      <c r="EY20" s="34"/>
      <c r="EZ20" s="34"/>
      <c r="FA20" s="34"/>
      <c r="FB20" s="34"/>
      <c r="FC20" s="34"/>
      <c r="FD20" s="34"/>
      <c r="FE20" s="34"/>
      <c r="FF20" s="34"/>
      <c r="FG20" s="34"/>
      <c r="FH20" s="34"/>
      <c r="FI20" s="34"/>
      <c r="FJ20" s="34"/>
      <c r="FK20" s="34"/>
      <c r="FL20" s="34"/>
      <c r="FM20" s="34"/>
      <c r="FN20" s="34"/>
      <c r="FO20" s="34"/>
      <c r="FP20" s="34"/>
      <c r="FQ20" s="34"/>
      <c r="FR20" s="34"/>
      <c r="FS20" s="34"/>
      <c r="FT20" s="34"/>
      <c r="FU20" s="34"/>
      <c r="FV20" s="34"/>
      <c r="FW20" s="34"/>
      <c r="FX20" s="34"/>
      <c r="FY20" s="34"/>
      <c r="FZ20" s="34"/>
      <c r="GA20" s="34"/>
      <c r="GB20" s="34"/>
      <c r="GC20" s="34"/>
      <c r="GD20" s="34"/>
      <c r="GE20" s="34"/>
      <c r="GF20" s="34"/>
      <c r="GG20" s="34"/>
      <c r="GH20" s="34"/>
      <c r="GI20" s="34"/>
      <c r="GJ20" s="34"/>
      <c r="GK20" s="34"/>
      <c r="GL20" s="34"/>
      <c r="GM20" s="34"/>
      <c r="GN20" s="34"/>
      <c r="GO20" s="34"/>
      <c r="GP20" s="34"/>
      <c r="GQ20" s="34"/>
      <c r="GR20" s="34"/>
      <c r="GS20" s="34"/>
      <c r="GT20" s="34"/>
      <c r="GU20" s="34"/>
      <c r="GV20" s="34"/>
    </row>
    <row r="21" spans="1:204" s="38" customFormat="1" ht="15" customHeight="1" x14ac:dyDescent="0.3">
      <c r="A21" s="34" t="s">
        <v>239</v>
      </c>
      <c r="B21" s="34">
        <v>1</v>
      </c>
      <c r="C21" s="34"/>
      <c r="D21" s="34">
        <v>52</v>
      </c>
      <c r="E21" s="34">
        <v>376</v>
      </c>
      <c r="F21" s="34">
        <v>420</v>
      </c>
      <c r="G21" s="34">
        <v>136</v>
      </c>
      <c r="H21" s="34">
        <v>94</v>
      </c>
      <c r="I21" s="34">
        <v>96</v>
      </c>
      <c r="J21" s="34">
        <v>104</v>
      </c>
      <c r="K21" s="34">
        <v>1279</v>
      </c>
      <c r="L21" s="34"/>
      <c r="M21" s="34"/>
      <c r="N21" s="34"/>
      <c r="O21" s="34"/>
      <c r="P21" s="34"/>
      <c r="Q21" s="34"/>
      <c r="R21" s="34"/>
      <c r="S21" s="34"/>
      <c r="T21" s="34"/>
      <c r="U21" s="34"/>
      <c r="V21" s="34"/>
      <c r="W21" s="34"/>
      <c r="X21" s="34"/>
      <c r="Y21" s="34"/>
      <c r="Z21" s="58"/>
      <c r="AA21" s="58"/>
      <c r="AB21" s="58"/>
      <c r="AC21" s="58"/>
      <c r="AD21" s="58"/>
      <c r="AE21" s="58"/>
      <c r="AF21" s="58"/>
      <c r="AG21" s="58"/>
      <c r="AH21" s="58"/>
      <c r="AI21" s="58"/>
      <c r="AJ21" s="58"/>
      <c r="AK21" s="58"/>
      <c r="AL21" s="58"/>
      <c r="AM21" s="34"/>
      <c r="AN21" s="34"/>
      <c r="AO21" s="34"/>
      <c r="AP21" s="34"/>
      <c r="AQ21" s="34"/>
      <c r="AR21" s="34"/>
      <c r="AS21" s="34"/>
      <c r="AT21" s="34"/>
      <c r="AU21" s="34"/>
      <c r="AV21" s="34"/>
      <c r="AW21" s="34"/>
      <c r="AX21" s="34"/>
      <c r="AY21" s="34"/>
      <c r="AZ21" s="34"/>
      <c r="BA21" s="34"/>
      <c r="BB21" s="34"/>
      <c r="BC21" s="34"/>
      <c r="BD21" s="34"/>
      <c r="BE21" s="34"/>
      <c r="BF21" s="34"/>
      <c r="BG21" s="34"/>
      <c r="BH21" s="34"/>
      <c r="BI21" s="34"/>
      <c r="BJ21" s="34"/>
      <c r="BK21" s="34"/>
      <c r="BL21" s="34"/>
      <c r="BM21" s="34"/>
      <c r="BN21" s="34"/>
      <c r="BO21" s="34"/>
      <c r="BP21" s="34"/>
      <c r="BQ21" s="34"/>
      <c r="BR21" s="34"/>
      <c r="BS21" s="34"/>
      <c r="BT21" s="34"/>
      <c r="BU21" s="34"/>
      <c r="BV21" s="34"/>
      <c r="BW21" s="34"/>
      <c r="BX21" s="34"/>
      <c r="BY21" s="34"/>
      <c r="BZ21" s="34"/>
      <c r="CA21" s="34"/>
      <c r="CB21" s="34"/>
      <c r="CC21" s="34"/>
      <c r="CD21" s="34"/>
      <c r="CE21" s="34"/>
      <c r="CF21" s="34"/>
      <c r="CG21" s="34"/>
      <c r="CH21" s="34"/>
      <c r="CI21" s="34"/>
      <c r="CJ21" s="34"/>
      <c r="CK21" s="34"/>
      <c r="CL21" s="34"/>
      <c r="CM21" s="34"/>
      <c r="CN21" s="34"/>
      <c r="CO21" s="34"/>
      <c r="CP21" s="34"/>
      <c r="CQ21" s="34"/>
      <c r="CR21" s="34"/>
      <c r="CS21" s="34"/>
      <c r="CT21" s="34"/>
      <c r="CU21" s="34"/>
      <c r="CV21" s="34"/>
      <c r="CW21" s="34"/>
      <c r="CX21" s="34"/>
      <c r="CY21" s="34"/>
      <c r="CZ21" s="34"/>
      <c r="DA21" s="34"/>
      <c r="DB21" s="34"/>
      <c r="DC21" s="34"/>
      <c r="DD21" s="34"/>
      <c r="DE21" s="34"/>
      <c r="DF21" s="34"/>
      <c r="DG21" s="34"/>
      <c r="DH21" s="34"/>
      <c r="DI21" s="34"/>
      <c r="DJ21" s="34"/>
      <c r="DK21" s="34"/>
      <c r="DL21" s="34"/>
      <c r="DM21" s="34"/>
      <c r="DN21" s="34"/>
      <c r="DO21" s="34"/>
      <c r="DP21" s="34"/>
      <c r="DQ21" s="34"/>
      <c r="DR21" s="34"/>
      <c r="DS21" s="34"/>
      <c r="DT21" s="34"/>
      <c r="DU21" s="34"/>
      <c r="DV21" s="34"/>
      <c r="DW21" s="34"/>
      <c r="DX21" s="34"/>
      <c r="DY21" s="34"/>
      <c r="DZ21" s="34"/>
      <c r="EA21" s="34"/>
      <c r="EB21" s="34"/>
      <c r="EC21" s="34"/>
      <c r="ED21" s="34"/>
      <c r="EE21" s="34"/>
      <c r="EF21" s="34"/>
      <c r="EG21" s="34"/>
      <c r="EH21" s="34"/>
      <c r="EI21" s="34"/>
      <c r="EJ21" s="34"/>
      <c r="EK21" s="34"/>
      <c r="EL21" s="34"/>
      <c r="EM21" s="34"/>
      <c r="EN21" s="34"/>
      <c r="EO21" s="34"/>
      <c r="EP21" s="34"/>
      <c r="EQ21" s="34"/>
      <c r="ER21" s="34"/>
      <c r="ES21" s="34"/>
      <c r="ET21" s="34"/>
      <c r="EU21" s="34"/>
      <c r="EV21" s="34"/>
      <c r="EW21" s="34"/>
      <c r="EX21" s="34"/>
      <c r="EY21" s="34"/>
      <c r="EZ21" s="34"/>
      <c r="FA21" s="34"/>
      <c r="FB21" s="34"/>
      <c r="FC21" s="34"/>
      <c r="FD21" s="34"/>
      <c r="FE21" s="34"/>
      <c r="FF21" s="34"/>
      <c r="FG21" s="34"/>
      <c r="FH21" s="34"/>
      <c r="FI21" s="34"/>
      <c r="FJ21" s="34"/>
      <c r="FK21" s="34"/>
      <c r="FL21" s="34"/>
      <c r="FM21" s="34"/>
      <c r="FN21" s="34"/>
      <c r="FO21" s="34"/>
      <c r="FP21" s="34"/>
      <c r="FQ21" s="34"/>
      <c r="FR21" s="34"/>
      <c r="FS21" s="34"/>
      <c r="FT21" s="34"/>
      <c r="FU21" s="34"/>
      <c r="FV21" s="34"/>
      <c r="FW21" s="34"/>
      <c r="FX21" s="34"/>
      <c r="FY21" s="34"/>
      <c r="FZ21" s="34"/>
      <c r="GA21" s="34"/>
      <c r="GB21" s="34"/>
      <c r="GC21" s="34"/>
      <c r="GD21" s="34"/>
      <c r="GE21" s="34"/>
      <c r="GF21" s="34"/>
      <c r="GG21" s="34"/>
      <c r="GH21" s="34"/>
      <c r="GI21" s="34"/>
      <c r="GJ21" s="34"/>
      <c r="GK21" s="34"/>
      <c r="GL21" s="34"/>
      <c r="GM21" s="34"/>
      <c r="GN21" s="34"/>
      <c r="GO21" s="34"/>
      <c r="GP21" s="34"/>
      <c r="GQ21" s="34"/>
      <c r="GR21" s="34"/>
      <c r="GS21" s="34"/>
      <c r="GT21" s="34"/>
      <c r="GU21" s="34"/>
      <c r="GV21" s="34"/>
    </row>
    <row r="22" spans="1:204" s="38" customFormat="1" ht="15" customHeight="1" x14ac:dyDescent="0.3">
      <c r="A22" s="34" t="s">
        <v>253</v>
      </c>
      <c r="B22" s="34">
        <v>5</v>
      </c>
      <c r="C22" s="34">
        <v>2</v>
      </c>
      <c r="D22" s="34">
        <v>288</v>
      </c>
      <c r="E22" s="34">
        <v>544</v>
      </c>
      <c r="F22" s="34">
        <v>748</v>
      </c>
      <c r="G22" s="34">
        <v>148</v>
      </c>
      <c r="H22" s="34">
        <v>124</v>
      </c>
      <c r="I22" s="34">
        <v>220</v>
      </c>
      <c r="J22" s="34">
        <v>208</v>
      </c>
      <c r="K22" s="34">
        <v>2287</v>
      </c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4"/>
      <c r="Z22" s="58"/>
      <c r="AA22" s="58"/>
      <c r="AB22" s="58"/>
      <c r="AC22" s="58"/>
      <c r="AD22" s="58"/>
      <c r="AE22" s="58"/>
      <c r="AF22" s="58"/>
      <c r="AG22" s="58"/>
      <c r="AH22" s="58"/>
      <c r="AI22" s="58"/>
      <c r="AJ22" s="58"/>
      <c r="AK22" s="58"/>
      <c r="AL22" s="58"/>
      <c r="AM22" s="34"/>
      <c r="AN22" s="34"/>
      <c r="AO22" s="34"/>
      <c r="AP22" s="34"/>
      <c r="AQ22" s="34"/>
      <c r="AR22" s="34"/>
      <c r="AS22" s="34"/>
      <c r="AT22" s="34"/>
      <c r="AU22" s="34"/>
      <c r="AV22" s="34"/>
      <c r="AW22" s="34"/>
      <c r="AX22" s="34"/>
      <c r="AY22" s="34"/>
      <c r="AZ22" s="34"/>
      <c r="BA22" s="34"/>
      <c r="BB22" s="34"/>
      <c r="BC22" s="34"/>
      <c r="BD22" s="34"/>
      <c r="BE22" s="34"/>
      <c r="BF22" s="34"/>
      <c r="BG22" s="34"/>
      <c r="BH22" s="34"/>
      <c r="BI22" s="34"/>
      <c r="BJ22" s="34"/>
      <c r="BK22" s="34"/>
      <c r="BL22" s="34"/>
      <c r="BM22" s="34"/>
      <c r="BN22" s="34"/>
      <c r="BO22" s="34"/>
      <c r="BP22" s="34"/>
      <c r="BQ22" s="34"/>
      <c r="BR22" s="34"/>
      <c r="BS22" s="34"/>
      <c r="BT22" s="34"/>
      <c r="BU22" s="34"/>
      <c r="BV22" s="34"/>
      <c r="BW22" s="34"/>
      <c r="BX22" s="34"/>
      <c r="BY22" s="34"/>
      <c r="BZ22" s="34"/>
      <c r="CA22" s="34"/>
      <c r="CB22" s="34"/>
      <c r="CC22" s="34"/>
      <c r="CD22" s="34"/>
      <c r="CE22" s="34"/>
      <c r="CF22" s="34"/>
      <c r="CG22" s="34"/>
      <c r="CH22" s="34"/>
      <c r="CI22" s="34"/>
      <c r="CJ22" s="34"/>
      <c r="CK22" s="34"/>
      <c r="CL22" s="34"/>
      <c r="CM22" s="34"/>
      <c r="CN22" s="34"/>
      <c r="CO22" s="34"/>
      <c r="CP22" s="34"/>
      <c r="CQ22" s="34"/>
      <c r="CR22" s="34"/>
      <c r="CS22" s="34"/>
      <c r="CT22" s="34"/>
      <c r="CU22" s="34"/>
      <c r="CV22" s="34"/>
      <c r="CW22" s="34"/>
      <c r="CX22" s="34"/>
      <c r="CY22" s="34"/>
      <c r="CZ22" s="34"/>
      <c r="DA22" s="34"/>
      <c r="DB22" s="34"/>
      <c r="DC22" s="34"/>
      <c r="DD22" s="34"/>
      <c r="DE22" s="34"/>
      <c r="DF22" s="34"/>
      <c r="DG22" s="34"/>
      <c r="DH22" s="34"/>
      <c r="DI22" s="34"/>
      <c r="DJ22" s="34"/>
      <c r="DK22" s="34"/>
      <c r="DL22" s="34"/>
      <c r="DM22" s="34"/>
      <c r="DN22" s="34"/>
      <c r="DO22" s="34"/>
      <c r="DP22" s="34"/>
      <c r="DQ22" s="34"/>
      <c r="DR22" s="34"/>
      <c r="DS22" s="34"/>
      <c r="DT22" s="34"/>
      <c r="DU22" s="34"/>
      <c r="DV22" s="34"/>
      <c r="DW22" s="34"/>
      <c r="DX22" s="34"/>
      <c r="DY22" s="34"/>
      <c r="DZ22" s="34"/>
      <c r="EA22" s="34"/>
      <c r="EB22" s="34"/>
      <c r="EC22" s="34"/>
      <c r="ED22" s="34"/>
      <c r="EE22" s="34"/>
      <c r="EF22" s="34"/>
      <c r="EG22" s="34"/>
      <c r="EH22" s="34"/>
      <c r="EI22" s="34"/>
      <c r="EJ22" s="34"/>
      <c r="EK22" s="34"/>
      <c r="EL22" s="34"/>
      <c r="EM22" s="34"/>
      <c r="EN22" s="34"/>
      <c r="EO22" s="34"/>
      <c r="EP22" s="34"/>
      <c r="EQ22" s="34"/>
      <c r="ER22" s="34"/>
      <c r="ES22" s="34"/>
      <c r="ET22" s="34"/>
      <c r="EU22" s="34"/>
      <c r="EV22" s="34"/>
      <c r="EW22" s="34"/>
      <c r="EX22" s="34"/>
      <c r="EY22" s="34"/>
      <c r="EZ22" s="34"/>
      <c r="FA22" s="34"/>
      <c r="FB22" s="34"/>
      <c r="FC22" s="34"/>
      <c r="FD22" s="34"/>
      <c r="FE22" s="34"/>
      <c r="FF22" s="34"/>
      <c r="FG22" s="34"/>
      <c r="FH22" s="34"/>
      <c r="FI22" s="34"/>
      <c r="FJ22" s="34"/>
      <c r="FK22" s="34"/>
      <c r="FL22" s="34"/>
      <c r="FM22" s="34"/>
      <c r="FN22" s="34"/>
      <c r="FO22" s="34"/>
      <c r="FP22" s="34"/>
      <c r="FQ22" s="34"/>
      <c r="FR22" s="34"/>
      <c r="FS22" s="34"/>
      <c r="FT22" s="34"/>
      <c r="FU22" s="34"/>
      <c r="FV22" s="34"/>
      <c r="FW22" s="34"/>
      <c r="FX22" s="34"/>
      <c r="FY22" s="34"/>
      <c r="FZ22" s="34"/>
      <c r="GA22" s="34"/>
      <c r="GB22" s="34"/>
      <c r="GC22" s="34"/>
      <c r="GD22" s="34"/>
      <c r="GE22" s="34"/>
      <c r="GF22" s="34"/>
      <c r="GG22" s="34"/>
      <c r="GH22" s="34"/>
      <c r="GI22" s="34"/>
      <c r="GJ22" s="34"/>
      <c r="GK22" s="34"/>
      <c r="GL22" s="34"/>
      <c r="GM22" s="34"/>
      <c r="GN22" s="34"/>
      <c r="GO22" s="34"/>
      <c r="GP22" s="34"/>
      <c r="GQ22" s="34"/>
      <c r="GR22" s="34"/>
      <c r="GS22" s="34"/>
      <c r="GT22" s="34"/>
      <c r="GU22" s="34"/>
      <c r="GV22" s="34"/>
    </row>
    <row r="23" spans="1:204" s="38" customFormat="1" ht="15" customHeight="1" x14ac:dyDescent="0.3">
      <c r="A23" s="34" t="s">
        <v>238</v>
      </c>
      <c r="B23" s="34">
        <v>1</v>
      </c>
      <c r="C23" s="34">
        <v>3</v>
      </c>
      <c r="D23" s="34">
        <v>24</v>
      </c>
      <c r="E23" s="34">
        <v>252</v>
      </c>
      <c r="F23" s="34">
        <v>304</v>
      </c>
      <c r="G23" s="34">
        <v>51</v>
      </c>
      <c r="H23" s="34">
        <v>40</v>
      </c>
      <c r="I23" s="34">
        <v>60</v>
      </c>
      <c r="J23" s="34">
        <v>60</v>
      </c>
      <c r="K23" s="34">
        <v>795</v>
      </c>
      <c r="L23" s="34"/>
      <c r="M23" s="34"/>
      <c r="N23" s="34"/>
      <c r="O23" s="34"/>
      <c r="P23" s="34"/>
      <c r="Q23" s="34"/>
      <c r="R23" s="34"/>
      <c r="S23" s="34"/>
      <c r="T23" s="34"/>
      <c r="U23" s="34"/>
      <c r="V23" s="34"/>
      <c r="W23" s="34"/>
      <c r="X23" s="34"/>
      <c r="Y23" s="34"/>
      <c r="Z23" s="58"/>
      <c r="AA23" s="58"/>
      <c r="AB23" s="58"/>
      <c r="AC23" s="58"/>
      <c r="AD23" s="58"/>
      <c r="AE23" s="58"/>
      <c r="AF23" s="58"/>
      <c r="AG23" s="58"/>
      <c r="AH23" s="58"/>
      <c r="AI23" s="58"/>
      <c r="AJ23" s="58"/>
      <c r="AK23" s="58"/>
      <c r="AL23" s="58"/>
      <c r="AM23" s="34"/>
      <c r="AN23" s="34"/>
      <c r="AO23" s="34"/>
      <c r="AP23" s="34"/>
      <c r="AQ23" s="34"/>
      <c r="AR23" s="34"/>
      <c r="AS23" s="34"/>
      <c r="AT23" s="34"/>
      <c r="AU23" s="34"/>
      <c r="AV23" s="34"/>
      <c r="AW23" s="34"/>
      <c r="AX23" s="34"/>
      <c r="AY23" s="34"/>
      <c r="AZ23" s="34"/>
      <c r="BA23" s="34"/>
      <c r="BB23" s="34"/>
      <c r="BC23" s="34"/>
      <c r="BD23" s="34"/>
      <c r="BE23" s="34"/>
      <c r="BF23" s="34"/>
      <c r="BG23" s="34"/>
      <c r="BH23" s="34"/>
      <c r="BI23" s="34"/>
      <c r="BJ23" s="34"/>
      <c r="BK23" s="34"/>
      <c r="BL23" s="34"/>
      <c r="BM23" s="34"/>
      <c r="BN23" s="34"/>
      <c r="BO23" s="34"/>
      <c r="BP23" s="34"/>
      <c r="BQ23" s="34"/>
      <c r="BR23" s="34"/>
      <c r="BS23" s="34"/>
      <c r="BT23" s="34"/>
      <c r="BU23" s="34"/>
      <c r="BV23" s="34"/>
      <c r="BW23" s="34"/>
      <c r="BX23" s="34"/>
      <c r="BY23" s="34"/>
      <c r="BZ23" s="34"/>
      <c r="CA23" s="34"/>
      <c r="CB23" s="34"/>
      <c r="CC23" s="34"/>
      <c r="CD23" s="34"/>
      <c r="CE23" s="34"/>
      <c r="CF23" s="34"/>
      <c r="CG23" s="34"/>
      <c r="CH23" s="34"/>
      <c r="CI23" s="34"/>
      <c r="CJ23" s="34"/>
      <c r="CK23" s="34"/>
      <c r="CL23" s="34"/>
      <c r="CM23" s="34"/>
      <c r="CN23" s="34"/>
      <c r="CO23" s="34"/>
      <c r="CP23" s="34"/>
      <c r="CQ23" s="34"/>
      <c r="CR23" s="34"/>
      <c r="CS23" s="34"/>
      <c r="CT23" s="34"/>
      <c r="CU23" s="34"/>
      <c r="CV23" s="34"/>
      <c r="CW23" s="34"/>
      <c r="CX23" s="34"/>
      <c r="CY23" s="34"/>
      <c r="CZ23" s="34"/>
      <c r="DA23" s="34"/>
      <c r="DB23" s="34"/>
      <c r="DC23" s="34"/>
      <c r="DD23" s="34"/>
      <c r="DE23" s="34"/>
      <c r="DF23" s="34"/>
      <c r="DG23" s="34"/>
      <c r="DH23" s="34"/>
      <c r="DI23" s="34"/>
      <c r="DJ23" s="34"/>
      <c r="DK23" s="34"/>
      <c r="DL23" s="34"/>
      <c r="DM23" s="34"/>
      <c r="DN23" s="34"/>
      <c r="DO23" s="34"/>
      <c r="DP23" s="34"/>
      <c r="DQ23" s="34"/>
      <c r="DR23" s="34"/>
      <c r="DS23" s="34"/>
      <c r="DT23" s="34"/>
      <c r="DU23" s="34"/>
      <c r="DV23" s="34"/>
      <c r="DW23" s="34"/>
      <c r="DX23" s="34"/>
      <c r="DY23" s="34"/>
      <c r="DZ23" s="34"/>
      <c r="EA23" s="34"/>
      <c r="EB23" s="34"/>
      <c r="EC23" s="34"/>
      <c r="ED23" s="34"/>
      <c r="EE23" s="34"/>
      <c r="EF23" s="34"/>
      <c r="EG23" s="34"/>
      <c r="EH23" s="34"/>
      <c r="EI23" s="34"/>
      <c r="EJ23" s="34"/>
      <c r="EK23" s="34"/>
      <c r="EL23" s="34"/>
      <c r="EM23" s="34"/>
      <c r="EN23" s="34"/>
      <c r="EO23" s="34"/>
      <c r="EP23" s="34"/>
      <c r="EQ23" s="34"/>
      <c r="ER23" s="34"/>
      <c r="ES23" s="34"/>
      <c r="ET23" s="34"/>
      <c r="EU23" s="34"/>
      <c r="EV23" s="34"/>
      <c r="EW23" s="34"/>
      <c r="EX23" s="34"/>
      <c r="EY23" s="34"/>
      <c r="EZ23" s="34"/>
      <c r="FA23" s="34"/>
      <c r="FB23" s="34"/>
      <c r="FC23" s="34"/>
      <c r="FD23" s="34"/>
      <c r="FE23" s="34"/>
      <c r="FF23" s="34"/>
      <c r="FG23" s="34"/>
      <c r="FH23" s="34"/>
      <c r="FI23" s="34"/>
      <c r="FJ23" s="34"/>
      <c r="FK23" s="34"/>
      <c r="FL23" s="34"/>
      <c r="FM23" s="34"/>
      <c r="FN23" s="34"/>
      <c r="FO23" s="34"/>
      <c r="FP23" s="34"/>
      <c r="FQ23" s="34"/>
      <c r="FR23" s="34"/>
      <c r="FS23" s="34"/>
      <c r="FT23" s="34"/>
      <c r="FU23" s="34"/>
      <c r="FV23" s="34"/>
      <c r="FW23" s="34"/>
      <c r="FX23" s="34"/>
      <c r="FY23" s="34"/>
      <c r="FZ23" s="34"/>
      <c r="GA23" s="34"/>
      <c r="GB23" s="34"/>
      <c r="GC23" s="34"/>
      <c r="GD23" s="34"/>
      <c r="GE23" s="34"/>
      <c r="GF23" s="34"/>
      <c r="GG23" s="34"/>
      <c r="GH23" s="34"/>
      <c r="GI23" s="34"/>
      <c r="GJ23" s="34"/>
      <c r="GK23" s="34"/>
      <c r="GL23" s="34"/>
      <c r="GM23" s="34"/>
      <c r="GN23" s="34"/>
      <c r="GO23" s="34"/>
      <c r="GP23" s="34"/>
      <c r="GQ23" s="34"/>
      <c r="GR23" s="34"/>
      <c r="GS23" s="34"/>
      <c r="GT23" s="34"/>
      <c r="GU23" s="34"/>
      <c r="GV23" s="34"/>
    </row>
    <row r="24" spans="1:204" s="38" customFormat="1" ht="15" customHeight="1" x14ac:dyDescent="0.3">
      <c r="A24" s="34" t="s">
        <v>252</v>
      </c>
      <c r="B24" s="34">
        <v>1</v>
      </c>
      <c r="C24" s="34"/>
      <c r="D24" s="34">
        <v>112</v>
      </c>
      <c r="E24" s="34">
        <v>432</v>
      </c>
      <c r="F24" s="34">
        <v>512</v>
      </c>
      <c r="G24" s="34">
        <v>134</v>
      </c>
      <c r="H24" s="34">
        <v>86</v>
      </c>
      <c r="I24" s="34">
        <v>172</v>
      </c>
      <c r="J24" s="34">
        <v>164</v>
      </c>
      <c r="K24" s="34">
        <v>1613</v>
      </c>
      <c r="L24" s="34"/>
      <c r="M24" s="34"/>
      <c r="N24" s="34"/>
      <c r="O24" s="34"/>
      <c r="P24" s="34"/>
      <c r="Q24" s="34"/>
      <c r="R24" s="34"/>
      <c r="S24" s="34"/>
      <c r="T24" s="34"/>
      <c r="U24" s="34"/>
      <c r="V24" s="34"/>
      <c r="W24" s="34"/>
      <c r="X24" s="34"/>
      <c r="Y24" s="34"/>
      <c r="Z24" s="58"/>
      <c r="AA24" s="58"/>
      <c r="AB24" s="58"/>
      <c r="AC24" s="58"/>
      <c r="AD24" s="58"/>
      <c r="AE24" s="58"/>
      <c r="AF24" s="58"/>
      <c r="AG24" s="58"/>
      <c r="AH24" s="58"/>
      <c r="AI24" s="58"/>
      <c r="AJ24" s="58"/>
      <c r="AK24" s="58"/>
      <c r="AL24" s="58"/>
      <c r="AM24" s="34"/>
      <c r="AN24" s="34"/>
      <c r="AO24" s="34"/>
      <c r="AP24" s="34"/>
      <c r="AQ24" s="34"/>
      <c r="AR24" s="34"/>
      <c r="AS24" s="34"/>
      <c r="AT24" s="34"/>
      <c r="AU24" s="34"/>
      <c r="AV24" s="34"/>
      <c r="AW24" s="34"/>
      <c r="AX24" s="34"/>
      <c r="AY24" s="34"/>
      <c r="AZ24" s="34"/>
      <c r="BA24" s="34"/>
      <c r="BB24" s="34"/>
      <c r="BC24" s="34"/>
      <c r="BD24" s="34"/>
      <c r="BE24" s="34"/>
      <c r="BF24" s="34"/>
      <c r="BG24" s="34"/>
      <c r="BH24" s="34"/>
      <c r="BI24" s="34"/>
      <c r="BJ24" s="34"/>
      <c r="BK24" s="34"/>
      <c r="BL24" s="34"/>
      <c r="BM24" s="34"/>
      <c r="BN24" s="34"/>
      <c r="BO24" s="34"/>
      <c r="BP24" s="34"/>
      <c r="BQ24" s="34"/>
      <c r="BR24" s="34"/>
      <c r="BS24" s="34"/>
      <c r="BT24" s="34"/>
      <c r="BU24" s="34"/>
      <c r="BV24" s="34"/>
      <c r="BW24" s="34"/>
      <c r="BX24" s="34"/>
      <c r="BY24" s="34"/>
      <c r="BZ24" s="34"/>
      <c r="CA24" s="34"/>
      <c r="CB24" s="34"/>
      <c r="CC24" s="34"/>
      <c r="CD24" s="34"/>
      <c r="CE24" s="34"/>
      <c r="CF24" s="34"/>
      <c r="CG24" s="34"/>
      <c r="CH24" s="34"/>
      <c r="CI24" s="34"/>
      <c r="CJ24" s="34"/>
      <c r="CK24" s="34"/>
      <c r="CL24" s="34"/>
      <c r="CM24" s="34"/>
      <c r="CN24" s="34"/>
      <c r="CO24" s="34"/>
      <c r="CP24" s="34"/>
      <c r="CQ24" s="34"/>
      <c r="CR24" s="34"/>
      <c r="CS24" s="34"/>
      <c r="CT24" s="34"/>
      <c r="CU24" s="34"/>
      <c r="CV24" s="34"/>
      <c r="CW24" s="34"/>
      <c r="CX24" s="34"/>
      <c r="CY24" s="34"/>
      <c r="CZ24" s="34"/>
      <c r="DA24" s="34"/>
      <c r="DB24" s="34"/>
      <c r="DC24" s="34"/>
      <c r="DD24" s="34"/>
      <c r="DE24" s="34"/>
      <c r="DF24" s="34"/>
      <c r="DG24" s="34"/>
      <c r="DH24" s="34"/>
      <c r="DI24" s="34"/>
      <c r="DJ24" s="34"/>
      <c r="DK24" s="34"/>
      <c r="DL24" s="34"/>
      <c r="DM24" s="34"/>
      <c r="DN24" s="34"/>
      <c r="DO24" s="34"/>
      <c r="DP24" s="34"/>
      <c r="DQ24" s="34"/>
      <c r="DR24" s="34"/>
      <c r="DS24" s="34"/>
      <c r="DT24" s="34"/>
      <c r="DU24" s="34"/>
      <c r="DV24" s="34"/>
      <c r="DW24" s="34"/>
      <c r="DX24" s="34"/>
      <c r="DY24" s="34"/>
      <c r="DZ24" s="34"/>
      <c r="EA24" s="34"/>
      <c r="EB24" s="34"/>
      <c r="EC24" s="34"/>
      <c r="ED24" s="34"/>
      <c r="EE24" s="34"/>
      <c r="EF24" s="34"/>
      <c r="EG24" s="34"/>
      <c r="EH24" s="34"/>
      <c r="EI24" s="34"/>
      <c r="EJ24" s="34"/>
      <c r="EK24" s="34"/>
      <c r="EL24" s="34"/>
      <c r="EM24" s="34"/>
      <c r="EN24" s="34"/>
      <c r="EO24" s="34"/>
      <c r="EP24" s="34"/>
      <c r="EQ24" s="34"/>
      <c r="ER24" s="34"/>
      <c r="ES24" s="34"/>
      <c r="ET24" s="34"/>
      <c r="EU24" s="34"/>
      <c r="EV24" s="34"/>
      <c r="EW24" s="34"/>
      <c r="EX24" s="34"/>
      <c r="EY24" s="34"/>
      <c r="EZ24" s="34"/>
      <c r="FA24" s="34"/>
      <c r="FB24" s="34"/>
      <c r="FC24" s="34"/>
      <c r="FD24" s="34"/>
      <c r="FE24" s="34"/>
      <c r="FF24" s="34"/>
      <c r="FG24" s="34"/>
      <c r="FH24" s="34"/>
      <c r="FI24" s="34"/>
      <c r="FJ24" s="34"/>
      <c r="FK24" s="34"/>
      <c r="FL24" s="34"/>
      <c r="FM24" s="34"/>
      <c r="FN24" s="34"/>
      <c r="FO24" s="34"/>
      <c r="FP24" s="34"/>
      <c r="FQ24" s="34"/>
      <c r="FR24" s="34"/>
      <c r="FS24" s="34"/>
      <c r="FT24" s="34"/>
      <c r="FU24" s="34"/>
      <c r="FV24" s="34"/>
      <c r="FW24" s="34"/>
      <c r="FX24" s="34"/>
      <c r="FY24" s="34"/>
      <c r="FZ24" s="34"/>
      <c r="GA24" s="34"/>
      <c r="GB24" s="34"/>
      <c r="GC24" s="34"/>
      <c r="GD24" s="34"/>
      <c r="GE24" s="34"/>
      <c r="GF24" s="34"/>
      <c r="GG24" s="34"/>
      <c r="GH24" s="34"/>
      <c r="GI24" s="34"/>
      <c r="GJ24" s="34"/>
      <c r="GK24" s="34"/>
      <c r="GL24" s="34"/>
      <c r="GM24" s="34"/>
      <c r="GN24" s="34"/>
      <c r="GO24" s="34"/>
      <c r="GP24" s="34"/>
      <c r="GQ24" s="34"/>
      <c r="GR24" s="34"/>
      <c r="GS24" s="34"/>
      <c r="GT24" s="34"/>
      <c r="GU24" s="34"/>
      <c r="GV24" s="34"/>
    </row>
    <row r="25" spans="1:204" s="38" customFormat="1" ht="15" customHeight="1" x14ac:dyDescent="0.3">
      <c r="A25" s="34" t="s">
        <v>251</v>
      </c>
      <c r="B25" s="34">
        <v>1</v>
      </c>
      <c r="C25" s="34">
        <v>2</v>
      </c>
      <c r="D25" s="34">
        <v>84</v>
      </c>
      <c r="E25" s="34">
        <v>360</v>
      </c>
      <c r="F25" s="34">
        <v>568</v>
      </c>
      <c r="G25" s="34">
        <v>106</v>
      </c>
      <c r="H25" s="34">
        <v>90</v>
      </c>
      <c r="I25" s="34">
        <v>208</v>
      </c>
      <c r="J25" s="34">
        <v>148</v>
      </c>
      <c r="K25" s="34">
        <v>1567</v>
      </c>
      <c r="L25" s="34"/>
      <c r="M25" s="34"/>
      <c r="N25" s="34"/>
      <c r="O25" s="34"/>
      <c r="P25" s="34"/>
      <c r="Q25" s="34"/>
      <c r="R25" s="34"/>
      <c r="S25" s="34"/>
      <c r="T25" s="34"/>
      <c r="U25" s="34"/>
      <c r="V25" s="34"/>
      <c r="W25" s="34"/>
      <c r="X25" s="34"/>
      <c r="Y25" s="34"/>
      <c r="Z25" s="58"/>
      <c r="AA25" s="58"/>
      <c r="AB25" s="58"/>
      <c r="AC25" s="58"/>
      <c r="AD25" s="58"/>
      <c r="AE25" s="58"/>
      <c r="AF25" s="58"/>
      <c r="AG25" s="58"/>
      <c r="AH25" s="58"/>
      <c r="AI25" s="58"/>
      <c r="AJ25" s="58"/>
      <c r="AK25" s="58"/>
      <c r="AL25" s="58"/>
      <c r="AM25" s="34"/>
      <c r="AN25" s="34"/>
      <c r="AO25" s="34"/>
      <c r="AP25" s="34"/>
      <c r="AQ25" s="34"/>
      <c r="AR25" s="34"/>
      <c r="AS25" s="34"/>
      <c r="AT25" s="34"/>
      <c r="AU25" s="34"/>
      <c r="AV25" s="34"/>
      <c r="AW25" s="34"/>
      <c r="AX25" s="34"/>
      <c r="AY25" s="34"/>
      <c r="AZ25" s="34"/>
      <c r="BA25" s="34"/>
      <c r="BB25" s="34"/>
      <c r="BC25" s="34"/>
      <c r="BD25" s="34"/>
      <c r="BE25" s="34"/>
      <c r="BF25" s="34"/>
      <c r="BG25" s="34"/>
      <c r="BH25" s="34"/>
      <c r="BI25" s="34"/>
      <c r="BJ25" s="34"/>
      <c r="BK25" s="34"/>
      <c r="BL25" s="34"/>
      <c r="BM25" s="34"/>
      <c r="BN25" s="34"/>
      <c r="BO25" s="34"/>
      <c r="BP25" s="34"/>
      <c r="BQ25" s="34"/>
      <c r="BR25" s="34"/>
      <c r="BS25" s="34"/>
      <c r="BT25" s="34"/>
      <c r="BU25" s="34"/>
      <c r="BV25" s="34"/>
      <c r="BW25" s="34"/>
      <c r="BX25" s="34"/>
      <c r="BY25" s="34"/>
      <c r="BZ25" s="34"/>
      <c r="CA25" s="34"/>
      <c r="CB25" s="34"/>
      <c r="CC25" s="34"/>
      <c r="CD25" s="34"/>
      <c r="CE25" s="34"/>
      <c r="CF25" s="34"/>
      <c r="CG25" s="34"/>
      <c r="CH25" s="34"/>
      <c r="CI25" s="34"/>
      <c r="CJ25" s="34"/>
      <c r="CK25" s="34"/>
      <c r="CL25" s="34"/>
      <c r="CM25" s="34"/>
      <c r="CN25" s="34"/>
      <c r="CO25" s="34"/>
      <c r="CP25" s="34"/>
      <c r="CQ25" s="34"/>
      <c r="CR25" s="34"/>
      <c r="CS25" s="34"/>
      <c r="CT25" s="34"/>
      <c r="CU25" s="34"/>
      <c r="CV25" s="34"/>
      <c r="CW25" s="34"/>
      <c r="CX25" s="34"/>
      <c r="CY25" s="34"/>
      <c r="CZ25" s="34"/>
      <c r="DA25" s="34"/>
      <c r="DB25" s="34"/>
      <c r="DC25" s="34"/>
      <c r="DD25" s="34"/>
      <c r="DE25" s="34"/>
      <c r="DF25" s="34"/>
      <c r="DG25" s="34"/>
      <c r="DH25" s="34"/>
      <c r="DI25" s="34"/>
      <c r="DJ25" s="34"/>
      <c r="DK25" s="34"/>
      <c r="DL25" s="34"/>
      <c r="DM25" s="34"/>
      <c r="DN25" s="34"/>
      <c r="DO25" s="34"/>
      <c r="DP25" s="34"/>
      <c r="DQ25" s="34"/>
      <c r="DR25" s="34"/>
      <c r="DS25" s="34"/>
      <c r="DT25" s="34"/>
      <c r="DU25" s="34"/>
      <c r="DV25" s="34"/>
      <c r="DW25" s="34"/>
      <c r="DX25" s="34"/>
      <c r="DY25" s="34"/>
      <c r="DZ25" s="34"/>
      <c r="EA25" s="34"/>
      <c r="EB25" s="34"/>
      <c r="EC25" s="34"/>
      <c r="ED25" s="34"/>
      <c r="EE25" s="34"/>
      <c r="EF25" s="34"/>
      <c r="EG25" s="34"/>
      <c r="EH25" s="34"/>
      <c r="EI25" s="34"/>
      <c r="EJ25" s="34"/>
      <c r="EK25" s="34"/>
      <c r="EL25" s="34"/>
      <c r="EM25" s="34"/>
      <c r="EN25" s="34"/>
      <c r="EO25" s="34"/>
      <c r="EP25" s="34"/>
      <c r="EQ25" s="34"/>
      <c r="ER25" s="34"/>
      <c r="ES25" s="34"/>
      <c r="ET25" s="34"/>
      <c r="EU25" s="34"/>
      <c r="EV25" s="34"/>
      <c r="EW25" s="34"/>
      <c r="EX25" s="34"/>
      <c r="EY25" s="34"/>
      <c r="EZ25" s="34"/>
      <c r="FA25" s="34"/>
      <c r="FB25" s="34"/>
      <c r="FC25" s="34"/>
      <c r="FD25" s="34"/>
      <c r="FE25" s="34"/>
      <c r="FF25" s="34"/>
      <c r="FG25" s="34"/>
      <c r="FH25" s="34"/>
      <c r="FI25" s="34"/>
      <c r="FJ25" s="34"/>
      <c r="FK25" s="34"/>
      <c r="FL25" s="34"/>
      <c r="FM25" s="34"/>
      <c r="FN25" s="34"/>
      <c r="FO25" s="34"/>
      <c r="FP25" s="34"/>
      <c r="FQ25" s="34"/>
      <c r="FR25" s="34"/>
      <c r="FS25" s="34"/>
      <c r="FT25" s="34"/>
      <c r="FU25" s="34"/>
      <c r="FV25" s="34"/>
      <c r="FW25" s="34"/>
      <c r="FX25" s="34"/>
      <c r="FY25" s="34"/>
      <c r="FZ25" s="34"/>
      <c r="GA25" s="34"/>
      <c r="GB25" s="34"/>
      <c r="GC25" s="34"/>
      <c r="GD25" s="34"/>
      <c r="GE25" s="34"/>
      <c r="GF25" s="34"/>
      <c r="GG25" s="34"/>
      <c r="GH25" s="34"/>
      <c r="GI25" s="34"/>
      <c r="GJ25" s="34"/>
      <c r="GK25" s="34"/>
      <c r="GL25" s="34"/>
      <c r="GM25" s="34"/>
      <c r="GN25" s="34"/>
      <c r="GO25" s="34"/>
      <c r="GP25" s="34"/>
      <c r="GQ25" s="34"/>
      <c r="GR25" s="34"/>
      <c r="GS25" s="34"/>
      <c r="GT25" s="34"/>
      <c r="GU25" s="34"/>
      <c r="GV25" s="34"/>
    </row>
    <row r="26" spans="1:204" s="38" customFormat="1" ht="15" customHeight="1" x14ac:dyDescent="0.3">
      <c r="A26" s="34" t="s">
        <v>241</v>
      </c>
      <c r="B26" s="34"/>
      <c r="C26" s="34"/>
      <c r="D26" s="34">
        <v>132</v>
      </c>
      <c r="E26" s="34">
        <v>400</v>
      </c>
      <c r="F26" s="34">
        <v>544</v>
      </c>
      <c r="G26" s="34">
        <v>96</v>
      </c>
      <c r="H26" s="34">
        <v>66</v>
      </c>
      <c r="I26" s="34">
        <v>88</v>
      </c>
      <c r="J26" s="34">
        <v>148</v>
      </c>
      <c r="K26" s="34">
        <v>1474</v>
      </c>
      <c r="L26" s="34"/>
      <c r="M26" s="34"/>
      <c r="N26" s="34"/>
      <c r="O26" s="34"/>
      <c r="P26" s="34"/>
      <c r="Q26" s="34"/>
      <c r="R26" s="34"/>
      <c r="S26" s="34"/>
      <c r="T26" s="34"/>
      <c r="U26" s="34"/>
      <c r="V26" s="34"/>
      <c r="W26" s="34"/>
      <c r="X26" s="34"/>
      <c r="Y26" s="34"/>
      <c r="Z26" s="58"/>
      <c r="AA26" s="58"/>
      <c r="AB26" s="58"/>
      <c r="AC26" s="58"/>
      <c r="AD26" s="58"/>
      <c r="AE26" s="58"/>
      <c r="AF26" s="58"/>
      <c r="AG26" s="58"/>
      <c r="AH26" s="58"/>
      <c r="AI26" s="58"/>
      <c r="AJ26" s="58"/>
      <c r="AK26" s="58"/>
      <c r="AL26" s="58"/>
      <c r="AM26" s="34"/>
      <c r="AN26" s="34"/>
      <c r="AO26" s="34"/>
      <c r="AP26" s="34"/>
      <c r="AQ26" s="34"/>
      <c r="AR26" s="34"/>
      <c r="AS26" s="34"/>
      <c r="AT26" s="34"/>
      <c r="AU26" s="34"/>
      <c r="AV26" s="34"/>
      <c r="AW26" s="34"/>
      <c r="AX26" s="34"/>
      <c r="AY26" s="34"/>
      <c r="AZ26" s="34"/>
      <c r="BA26" s="34"/>
      <c r="BB26" s="34"/>
      <c r="BC26" s="34"/>
      <c r="BD26" s="34"/>
      <c r="BE26" s="34"/>
      <c r="BF26" s="34"/>
      <c r="BG26" s="34"/>
      <c r="BH26" s="34"/>
      <c r="BI26" s="34"/>
      <c r="BJ26" s="34"/>
      <c r="BK26" s="34"/>
      <c r="BL26" s="34"/>
      <c r="BM26" s="34"/>
      <c r="BN26" s="34"/>
      <c r="BO26" s="34"/>
      <c r="BP26" s="34"/>
      <c r="BQ26" s="34"/>
      <c r="BR26" s="34"/>
      <c r="BS26" s="34"/>
      <c r="BT26" s="34"/>
      <c r="BU26" s="34"/>
      <c r="BV26" s="34"/>
      <c r="BW26" s="34"/>
      <c r="BX26" s="34"/>
      <c r="BY26" s="34"/>
      <c r="BZ26" s="34"/>
      <c r="CA26" s="34"/>
      <c r="CB26" s="34"/>
      <c r="CC26" s="34"/>
      <c r="CD26" s="34"/>
      <c r="CE26" s="34"/>
      <c r="CF26" s="34"/>
      <c r="CG26" s="34"/>
      <c r="CH26" s="34"/>
      <c r="CI26" s="34"/>
      <c r="CJ26" s="34"/>
      <c r="CK26" s="34"/>
      <c r="CL26" s="34"/>
      <c r="CM26" s="34"/>
      <c r="CN26" s="34"/>
      <c r="CO26" s="34"/>
      <c r="CP26" s="34"/>
      <c r="CQ26" s="34"/>
      <c r="CR26" s="34"/>
      <c r="CS26" s="34"/>
      <c r="CT26" s="34"/>
      <c r="CU26" s="34"/>
      <c r="CV26" s="34"/>
      <c r="CW26" s="34"/>
      <c r="CX26" s="34"/>
      <c r="CY26" s="34"/>
      <c r="CZ26" s="34"/>
      <c r="DA26" s="34"/>
      <c r="DB26" s="34"/>
      <c r="DC26" s="34"/>
      <c r="DD26" s="34"/>
      <c r="DE26" s="34"/>
      <c r="DF26" s="34"/>
      <c r="DG26" s="34"/>
      <c r="DH26" s="34"/>
      <c r="DI26" s="34"/>
      <c r="DJ26" s="34"/>
      <c r="DK26" s="34"/>
      <c r="DL26" s="34"/>
      <c r="DM26" s="34"/>
      <c r="DN26" s="34"/>
      <c r="DO26" s="34"/>
      <c r="DP26" s="34"/>
      <c r="DQ26" s="34"/>
      <c r="DR26" s="34"/>
      <c r="DS26" s="34"/>
      <c r="DT26" s="34"/>
      <c r="DU26" s="34"/>
      <c r="DV26" s="34"/>
      <c r="DW26" s="34"/>
      <c r="DX26" s="34"/>
      <c r="DY26" s="34"/>
      <c r="DZ26" s="34"/>
      <c r="EA26" s="34"/>
      <c r="EB26" s="34"/>
      <c r="EC26" s="34"/>
      <c r="ED26" s="34"/>
      <c r="EE26" s="34"/>
      <c r="EF26" s="34"/>
      <c r="EG26" s="34"/>
      <c r="EH26" s="34"/>
      <c r="EI26" s="34"/>
      <c r="EJ26" s="34"/>
      <c r="EK26" s="34"/>
      <c r="EL26" s="34"/>
      <c r="EM26" s="34"/>
      <c r="EN26" s="34"/>
      <c r="EO26" s="34"/>
      <c r="EP26" s="34"/>
      <c r="EQ26" s="34"/>
      <c r="ER26" s="34"/>
      <c r="ES26" s="34"/>
      <c r="ET26" s="34"/>
      <c r="EU26" s="34"/>
      <c r="EV26" s="34"/>
      <c r="EW26" s="34"/>
      <c r="EX26" s="34"/>
      <c r="EY26" s="34"/>
      <c r="EZ26" s="34"/>
      <c r="FA26" s="34"/>
      <c r="FB26" s="34"/>
      <c r="FC26" s="34"/>
      <c r="FD26" s="34"/>
      <c r="FE26" s="34"/>
      <c r="FF26" s="34"/>
      <c r="FG26" s="34"/>
      <c r="FH26" s="34"/>
      <c r="FI26" s="34"/>
      <c r="FJ26" s="34"/>
      <c r="FK26" s="34"/>
      <c r="FL26" s="34"/>
      <c r="FM26" s="34"/>
      <c r="FN26" s="34"/>
      <c r="FO26" s="34"/>
      <c r="FP26" s="34"/>
      <c r="FQ26" s="34"/>
      <c r="FR26" s="34"/>
      <c r="FS26" s="34"/>
      <c r="FT26" s="34"/>
      <c r="FU26" s="34"/>
      <c r="FV26" s="34"/>
      <c r="FW26" s="34"/>
      <c r="FX26" s="34"/>
      <c r="FY26" s="34"/>
      <c r="FZ26" s="34"/>
      <c r="GA26" s="34"/>
      <c r="GB26" s="34"/>
      <c r="GC26" s="34"/>
      <c r="GD26" s="34"/>
      <c r="GE26" s="34"/>
      <c r="GF26" s="34"/>
      <c r="GG26" s="34"/>
      <c r="GH26" s="34"/>
      <c r="GI26" s="34"/>
      <c r="GJ26" s="34"/>
      <c r="GK26" s="34"/>
      <c r="GL26" s="34"/>
      <c r="GM26" s="34"/>
      <c r="GN26" s="34"/>
      <c r="GO26" s="34"/>
      <c r="GP26" s="34"/>
      <c r="GQ26" s="34"/>
      <c r="GR26" s="34"/>
      <c r="GS26" s="34"/>
      <c r="GT26" s="34"/>
      <c r="GU26" s="34"/>
      <c r="GV26" s="34"/>
    </row>
    <row r="27" spans="1:204" s="38" customFormat="1" ht="15" customHeight="1" x14ac:dyDescent="0.3">
      <c r="A27" s="34" t="s">
        <v>237</v>
      </c>
      <c r="B27" s="34">
        <v>1</v>
      </c>
      <c r="C27" s="34"/>
      <c r="D27" s="34">
        <v>48</v>
      </c>
      <c r="E27" s="34">
        <v>232</v>
      </c>
      <c r="F27" s="34">
        <v>248</v>
      </c>
      <c r="G27" s="34">
        <v>49</v>
      </c>
      <c r="H27" s="34">
        <v>37</v>
      </c>
      <c r="I27" s="34">
        <v>84</v>
      </c>
      <c r="J27" s="34">
        <v>104</v>
      </c>
      <c r="K27" s="34">
        <v>803</v>
      </c>
      <c r="L27" s="34"/>
      <c r="M27" s="34"/>
      <c r="N27" s="34"/>
      <c r="O27" s="34"/>
      <c r="P27" s="34"/>
      <c r="Q27" s="34"/>
      <c r="R27" s="34"/>
      <c r="S27" s="34"/>
      <c r="T27" s="34"/>
      <c r="U27" s="34"/>
      <c r="V27" s="34"/>
      <c r="W27" s="34"/>
      <c r="X27" s="34"/>
      <c r="Y27" s="34"/>
      <c r="Z27" s="58"/>
      <c r="AA27" s="58"/>
      <c r="AB27" s="58"/>
      <c r="AC27" s="58"/>
      <c r="AD27" s="58"/>
      <c r="AE27" s="58"/>
      <c r="AF27" s="58"/>
      <c r="AG27" s="58"/>
      <c r="AH27" s="58"/>
      <c r="AI27" s="58"/>
      <c r="AJ27" s="58"/>
      <c r="AK27" s="58"/>
      <c r="AL27" s="58"/>
      <c r="AM27" s="34"/>
      <c r="AN27" s="34"/>
      <c r="AO27" s="34"/>
      <c r="AP27" s="34"/>
      <c r="AQ27" s="34"/>
      <c r="AR27" s="34"/>
      <c r="AS27" s="34"/>
      <c r="AT27" s="34"/>
      <c r="AU27" s="34"/>
      <c r="AV27" s="34"/>
      <c r="AW27" s="34"/>
      <c r="AX27" s="34"/>
      <c r="AY27" s="34"/>
      <c r="AZ27" s="34"/>
      <c r="BA27" s="34"/>
      <c r="BB27" s="34"/>
      <c r="BC27" s="34"/>
      <c r="BD27" s="34"/>
      <c r="BE27" s="34"/>
      <c r="BF27" s="34"/>
      <c r="BG27" s="34"/>
      <c r="BH27" s="34"/>
      <c r="BI27" s="34"/>
      <c r="BJ27" s="34"/>
      <c r="BK27" s="34"/>
      <c r="BL27" s="34"/>
      <c r="BM27" s="34"/>
      <c r="BN27" s="34"/>
      <c r="BO27" s="34"/>
      <c r="BP27" s="34"/>
      <c r="BQ27" s="34"/>
      <c r="BR27" s="34"/>
      <c r="BS27" s="34"/>
      <c r="BT27" s="34"/>
      <c r="BU27" s="34"/>
      <c r="BV27" s="34"/>
      <c r="BW27" s="34"/>
      <c r="BX27" s="34"/>
      <c r="BY27" s="34"/>
      <c r="BZ27" s="34"/>
      <c r="CA27" s="34"/>
      <c r="CB27" s="34"/>
      <c r="CC27" s="34"/>
      <c r="CD27" s="34"/>
      <c r="CE27" s="34"/>
      <c r="CF27" s="34"/>
      <c r="CG27" s="34"/>
      <c r="CH27" s="34"/>
      <c r="CI27" s="34"/>
      <c r="CJ27" s="34"/>
      <c r="CK27" s="34"/>
      <c r="CL27" s="34"/>
      <c r="CM27" s="34"/>
      <c r="CN27" s="34"/>
      <c r="CO27" s="34"/>
      <c r="CP27" s="34"/>
      <c r="CQ27" s="34"/>
      <c r="CR27" s="34"/>
      <c r="CS27" s="34"/>
      <c r="CT27" s="34"/>
      <c r="CU27" s="34"/>
      <c r="CV27" s="34"/>
      <c r="CW27" s="34"/>
      <c r="CX27" s="34"/>
      <c r="CY27" s="34"/>
      <c r="CZ27" s="34"/>
      <c r="DA27" s="34"/>
      <c r="DB27" s="34"/>
      <c r="DC27" s="34"/>
      <c r="DD27" s="34"/>
      <c r="DE27" s="34"/>
      <c r="DF27" s="34"/>
      <c r="DG27" s="34"/>
      <c r="DH27" s="34"/>
      <c r="DI27" s="34"/>
      <c r="DJ27" s="34"/>
      <c r="DK27" s="34"/>
      <c r="DL27" s="34"/>
      <c r="DM27" s="34"/>
      <c r="DN27" s="34"/>
      <c r="DO27" s="34"/>
      <c r="DP27" s="34"/>
      <c r="DQ27" s="34"/>
      <c r="DR27" s="34"/>
      <c r="DS27" s="34"/>
      <c r="DT27" s="34"/>
      <c r="DU27" s="34"/>
      <c r="DV27" s="34"/>
      <c r="DW27" s="34"/>
      <c r="DX27" s="34"/>
      <c r="DY27" s="34"/>
      <c r="DZ27" s="34"/>
      <c r="EA27" s="34"/>
      <c r="EB27" s="34"/>
      <c r="EC27" s="34"/>
      <c r="ED27" s="34"/>
      <c r="EE27" s="34"/>
      <c r="EF27" s="34"/>
      <c r="EG27" s="34"/>
      <c r="EH27" s="34"/>
      <c r="EI27" s="34"/>
      <c r="EJ27" s="34"/>
      <c r="EK27" s="34"/>
      <c r="EL27" s="34"/>
      <c r="EM27" s="34"/>
      <c r="EN27" s="34"/>
      <c r="EO27" s="34"/>
      <c r="EP27" s="34"/>
      <c r="EQ27" s="34"/>
      <c r="ER27" s="34"/>
      <c r="ES27" s="34"/>
      <c r="ET27" s="34"/>
      <c r="EU27" s="34"/>
      <c r="EV27" s="34"/>
      <c r="EW27" s="34"/>
      <c r="EX27" s="34"/>
      <c r="EY27" s="34"/>
      <c r="EZ27" s="34"/>
      <c r="FA27" s="34"/>
      <c r="FB27" s="34"/>
      <c r="FC27" s="34"/>
      <c r="FD27" s="34"/>
      <c r="FE27" s="34"/>
      <c r="FF27" s="34"/>
      <c r="FG27" s="34"/>
      <c r="FH27" s="34"/>
      <c r="FI27" s="34"/>
      <c r="FJ27" s="34"/>
      <c r="FK27" s="34"/>
      <c r="FL27" s="34"/>
      <c r="FM27" s="34"/>
      <c r="FN27" s="34"/>
      <c r="FO27" s="34"/>
      <c r="FP27" s="34"/>
      <c r="FQ27" s="34"/>
      <c r="FR27" s="34"/>
      <c r="FS27" s="34"/>
      <c r="FT27" s="34"/>
      <c r="FU27" s="34"/>
      <c r="FV27" s="34"/>
      <c r="FW27" s="34"/>
      <c r="FX27" s="34"/>
      <c r="FY27" s="34"/>
      <c r="FZ27" s="34"/>
      <c r="GA27" s="34"/>
      <c r="GB27" s="34"/>
      <c r="GC27" s="34"/>
      <c r="GD27" s="34"/>
      <c r="GE27" s="34"/>
      <c r="GF27" s="34"/>
      <c r="GG27" s="34"/>
      <c r="GH27" s="34"/>
      <c r="GI27" s="34"/>
      <c r="GJ27" s="34"/>
      <c r="GK27" s="34"/>
      <c r="GL27" s="34"/>
      <c r="GM27" s="34"/>
      <c r="GN27" s="34"/>
      <c r="GO27" s="34"/>
      <c r="GP27" s="34"/>
      <c r="GQ27" s="34"/>
      <c r="GR27" s="34"/>
      <c r="GS27" s="34"/>
      <c r="GT27" s="34"/>
      <c r="GU27" s="34"/>
      <c r="GV27" s="34"/>
    </row>
    <row r="28" spans="1:204" s="38" customFormat="1" ht="15" customHeight="1" x14ac:dyDescent="0.3">
      <c r="A28" s="34" t="s">
        <v>247</v>
      </c>
      <c r="B28" s="34">
        <v>1</v>
      </c>
      <c r="C28" s="34">
        <v>1</v>
      </c>
      <c r="D28" s="34">
        <v>88</v>
      </c>
      <c r="E28" s="34">
        <v>236</v>
      </c>
      <c r="F28" s="34">
        <v>356</v>
      </c>
      <c r="G28" s="34">
        <v>100</v>
      </c>
      <c r="H28" s="34">
        <v>86</v>
      </c>
      <c r="I28" s="34">
        <v>116</v>
      </c>
      <c r="J28" s="34">
        <v>112</v>
      </c>
      <c r="K28" s="34">
        <v>1096</v>
      </c>
      <c r="L28" s="34"/>
      <c r="M28" s="34"/>
      <c r="N28" s="34"/>
      <c r="O28" s="34"/>
      <c r="P28" s="34"/>
      <c r="Q28" s="34"/>
      <c r="R28" s="34"/>
      <c r="S28" s="34"/>
      <c r="T28" s="34"/>
      <c r="U28" s="34"/>
      <c r="V28" s="34"/>
      <c r="W28" s="34"/>
      <c r="X28" s="34"/>
      <c r="Y28" s="34"/>
      <c r="Z28" s="58"/>
      <c r="AA28" s="58"/>
      <c r="AB28" s="58"/>
      <c r="AC28" s="58"/>
      <c r="AD28" s="58"/>
      <c r="AE28" s="58"/>
      <c r="AF28" s="58"/>
      <c r="AG28" s="58"/>
      <c r="AH28" s="58"/>
      <c r="AI28" s="58"/>
      <c r="AJ28" s="58"/>
      <c r="AK28" s="58"/>
      <c r="AL28" s="58"/>
      <c r="AM28" s="34"/>
      <c r="AN28" s="34"/>
      <c r="AO28" s="34"/>
      <c r="AP28" s="34"/>
      <c r="AQ28" s="34"/>
      <c r="AR28" s="34"/>
      <c r="AS28" s="34"/>
      <c r="AT28" s="34"/>
      <c r="AU28" s="34"/>
      <c r="AV28" s="34"/>
      <c r="AW28" s="34"/>
      <c r="AX28" s="34"/>
      <c r="AY28" s="34"/>
      <c r="AZ28" s="34"/>
      <c r="BA28" s="34"/>
      <c r="BB28" s="34"/>
      <c r="BC28" s="34"/>
      <c r="BD28" s="34"/>
      <c r="BE28" s="34"/>
      <c r="BF28" s="34"/>
      <c r="BG28" s="34"/>
      <c r="BH28" s="34"/>
      <c r="BI28" s="34"/>
      <c r="BJ28" s="34"/>
      <c r="BK28" s="34"/>
      <c r="BL28" s="34"/>
      <c r="BM28" s="34"/>
      <c r="BN28" s="34"/>
      <c r="BO28" s="34"/>
      <c r="BP28" s="34"/>
      <c r="BQ28" s="34"/>
      <c r="BR28" s="34"/>
      <c r="BS28" s="34"/>
      <c r="BT28" s="34"/>
      <c r="BU28" s="34"/>
      <c r="BV28" s="34"/>
      <c r="BW28" s="34"/>
      <c r="BX28" s="34"/>
      <c r="BY28" s="34"/>
      <c r="BZ28" s="34"/>
      <c r="CA28" s="34"/>
      <c r="CB28" s="34"/>
      <c r="CC28" s="34"/>
      <c r="CD28" s="34"/>
      <c r="CE28" s="34"/>
      <c r="CF28" s="34"/>
      <c r="CG28" s="34"/>
      <c r="CH28" s="34"/>
      <c r="CI28" s="34"/>
      <c r="CJ28" s="34"/>
      <c r="CK28" s="34"/>
      <c r="CL28" s="34"/>
      <c r="CM28" s="34"/>
      <c r="CN28" s="34"/>
      <c r="CO28" s="34"/>
      <c r="CP28" s="34"/>
      <c r="CQ28" s="34"/>
      <c r="CR28" s="34"/>
      <c r="CS28" s="34"/>
      <c r="CT28" s="34"/>
      <c r="CU28" s="34"/>
      <c r="CV28" s="34"/>
      <c r="CW28" s="34"/>
      <c r="CX28" s="34"/>
      <c r="CY28" s="34"/>
      <c r="CZ28" s="34"/>
      <c r="DA28" s="34"/>
      <c r="DB28" s="34"/>
      <c r="DC28" s="34"/>
      <c r="DD28" s="34"/>
      <c r="DE28" s="34"/>
      <c r="DF28" s="34"/>
      <c r="DG28" s="34"/>
      <c r="DH28" s="34"/>
      <c r="DI28" s="34"/>
      <c r="DJ28" s="34"/>
      <c r="DK28" s="34"/>
      <c r="DL28" s="34"/>
      <c r="DM28" s="34"/>
      <c r="DN28" s="34"/>
      <c r="DO28" s="34"/>
      <c r="DP28" s="34"/>
      <c r="DQ28" s="34"/>
      <c r="DR28" s="34"/>
      <c r="DS28" s="34"/>
      <c r="DT28" s="34"/>
      <c r="DU28" s="34"/>
      <c r="DV28" s="34"/>
      <c r="DW28" s="34"/>
      <c r="DX28" s="34"/>
      <c r="DY28" s="34"/>
      <c r="DZ28" s="34"/>
      <c r="EA28" s="34"/>
      <c r="EB28" s="34"/>
      <c r="EC28" s="34"/>
      <c r="ED28" s="34"/>
      <c r="EE28" s="34"/>
      <c r="EF28" s="34"/>
      <c r="EG28" s="34"/>
      <c r="EH28" s="34"/>
      <c r="EI28" s="34"/>
      <c r="EJ28" s="34"/>
      <c r="EK28" s="34"/>
      <c r="EL28" s="34"/>
      <c r="EM28" s="34"/>
      <c r="EN28" s="34"/>
      <c r="EO28" s="34"/>
      <c r="EP28" s="34"/>
      <c r="EQ28" s="34"/>
      <c r="ER28" s="34"/>
      <c r="ES28" s="34"/>
      <c r="ET28" s="34"/>
      <c r="EU28" s="34"/>
      <c r="EV28" s="34"/>
      <c r="EW28" s="34"/>
      <c r="EX28" s="34"/>
      <c r="EY28" s="34"/>
      <c r="EZ28" s="34"/>
      <c r="FA28" s="34"/>
      <c r="FB28" s="34"/>
      <c r="FC28" s="34"/>
      <c r="FD28" s="34"/>
      <c r="FE28" s="34"/>
      <c r="FF28" s="34"/>
      <c r="FG28" s="34"/>
      <c r="FH28" s="34"/>
      <c r="FI28" s="34"/>
      <c r="FJ28" s="34"/>
      <c r="FK28" s="34"/>
      <c r="FL28" s="34"/>
      <c r="FM28" s="34"/>
      <c r="FN28" s="34"/>
      <c r="FO28" s="34"/>
      <c r="FP28" s="34"/>
      <c r="FQ28" s="34"/>
      <c r="FR28" s="34"/>
      <c r="FS28" s="34"/>
      <c r="FT28" s="34"/>
      <c r="FU28" s="34"/>
      <c r="FV28" s="34"/>
      <c r="FW28" s="34"/>
      <c r="FX28" s="34"/>
      <c r="FY28" s="34"/>
      <c r="FZ28" s="34"/>
      <c r="GA28" s="34"/>
      <c r="GB28" s="34"/>
      <c r="GC28" s="34"/>
      <c r="GD28" s="34"/>
      <c r="GE28" s="34"/>
      <c r="GF28" s="34"/>
      <c r="GG28" s="34"/>
      <c r="GH28" s="34"/>
      <c r="GI28" s="34"/>
      <c r="GJ28" s="34"/>
      <c r="GK28" s="34"/>
      <c r="GL28" s="34"/>
      <c r="GM28" s="34"/>
      <c r="GN28" s="34"/>
      <c r="GO28" s="34"/>
      <c r="GP28" s="34"/>
      <c r="GQ28" s="34"/>
      <c r="GR28" s="34"/>
      <c r="GS28" s="34"/>
      <c r="GT28" s="34"/>
      <c r="GU28" s="34"/>
      <c r="GV28" s="34"/>
    </row>
    <row r="29" spans="1:204" ht="15" customHeight="1" x14ac:dyDescent="0.3">
      <c r="A29" s="34" t="s">
        <v>3</v>
      </c>
      <c r="B29" s="34">
        <v>65</v>
      </c>
      <c r="C29" s="34">
        <v>34</v>
      </c>
      <c r="D29" s="34">
        <v>2584</v>
      </c>
      <c r="E29" s="34">
        <v>8432</v>
      </c>
      <c r="F29" s="34">
        <v>11036</v>
      </c>
      <c r="G29" s="34">
        <v>2431</v>
      </c>
      <c r="H29" s="34">
        <v>1798</v>
      </c>
      <c r="I29" s="34">
        <v>3136</v>
      </c>
      <c r="J29" s="34">
        <v>2920</v>
      </c>
      <c r="K29" s="34">
        <v>32436</v>
      </c>
      <c r="Z29" s="58"/>
      <c r="AA29" s="58"/>
      <c r="AB29" s="58"/>
      <c r="AC29" s="58"/>
      <c r="AD29" s="58"/>
      <c r="AE29" s="58"/>
      <c r="AF29" s="58"/>
      <c r="AG29" s="58"/>
      <c r="AH29" s="58"/>
      <c r="AI29" s="58"/>
      <c r="AJ29" s="58"/>
      <c r="AK29" s="58"/>
      <c r="AL29" s="58"/>
    </row>
    <row r="30" spans="1:204" ht="15" customHeight="1" x14ac:dyDescent="0.3">
      <c r="Z30" s="58"/>
      <c r="AA30" s="58"/>
      <c r="AB30" s="58"/>
      <c r="AC30" s="58"/>
      <c r="AD30" s="58"/>
      <c r="AE30" s="58"/>
      <c r="AF30" s="58"/>
      <c r="AG30" s="58"/>
      <c r="AH30" s="58"/>
      <c r="AI30" s="58"/>
      <c r="AJ30" s="58"/>
      <c r="AK30" s="58"/>
    </row>
    <row r="31" spans="1:204" ht="15" customHeight="1" x14ac:dyDescent="0.3">
      <c r="Z31" s="58"/>
      <c r="AA31" s="58"/>
      <c r="AB31" s="58"/>
      <c r="AC31" s="58"/>
      <c r="AD31" s="58"/>
      <c r="AE31" s="58"/>
      <c r="AF31" s="58"/>
      <c r="AG31" s="58"/>
      <c r="AH31" s="58"/>
      <c r="AI31" s="58"/>
      <c r="AJ31" s="58"/>
      <c r="AK31" s="58"/>
      <c r="AL31" s="58"/>
    </row>
    <row r="32" spans="1:204" ht="15" customHeight="1" x14ac:dyDescent="0.3">
      <c r="Z32" s="58"/>
      <c r="AA32" s="58"/>
      <c r="AB32" s="58"/>
      <c r="AC32" s="58"/>
      <c r="AD32" s="58"/>
      <c r="AE32" s="58"/>
      <c r="AF32" s="58"/>
      <c r="AG32" s="58"/>
      <c r="AH32" s="58"/>
      <c r="AI32" s="58"/>
      <c r="AJ32" s="58"/>
      <c r="AK32" s="58"/>
      <c r="AL32" s="58"/>
    </row>
    <row r="33" spans="26:40" ht="15" customHeight="1" x14ac:dyDescent="0.3">
      <c r="Z33" s="58"/>
      <c r="AA33" s="58"/>
      <c r="AB33" s="58"/>
      <c r="AC33" s="58"/>
      <c r="AD33" s="58"/>
      <c r="AE33" s="58"/>
      <c r="AF33" s="58"/>
      <c r="AG33" s="58"/>
      <c r="AH33" s="58"/>
      <c r="AI33" s="58"/>
      <c r="AJ33" s="58"/>
      <c r="AK33" s="58"/>
      <c r="AL33" s="58"/>
    </row>
    <row r="34" spans="26:40" ht="15" customHeight="1" x14ac:dyDescent="0.3">
      <c r="Z34" s="58"/>
      <c r="AA34" s="58"/>
      <c r="AB34" s="58"/>
      <c r="AC34" s="58"/>
      <c r="AD34" s="58"/>
      <c r="AE34" s="58"/>
      <c r="AF34" s="58"/>
      <c r="AG34" s="58"/>
      <c r="AH34" s="58"/>
      <c r="AI34" s="58"/>
      <c r="AJ34" s="58"/>
      <c r="AK34" s="58"/>
      <c r="AL34" s="58"/>
    </row>
    <row r="35" spans="26:40" ht="15" customHeight="1" x14ac:dyDescent="0.3">
      <c r="Z35" s="58"/>
      <c r="AA35" s="58"/>
      <c r="AB35" s="58"/>
      <c r="AC35" s="58"/>
      <c r="AD35" s="58"/>
      <c r="AE35" s="58"/>
      <c r="AF35" s="58"/>
      <c r="AG35" s="58"/>
      <c r="AH35" s="58"/>
      <c r="AI35" s="58"/>
      <c r="AJ35" s="58"/>
      <c r="AK35" s="58"/>
      <c r="AL35" s="58"/>
    </row>
    <row r="36" spans="26:40" ht="15" customHeight="1" x14ac:dyDescent="0.3">
      <c r="Z36" s="58"/>
      <c r="AA36" s="58"/>
      <c r="AB36" s="58"/>
      <c r="AC36" s="58"/>
      <c r="AD36" s="58"/>
      <c r="AE36" s="58"/>
      <c r="AF36" s="58"/>
      <c r="AG36" s="58"/>
      <c r="AH36" s="58"/>
      <c r="AI36" s="58"/>
      <c r="AJ36" s="58"/>
      <c r="AK36" s="58"/>
      <c r="AL36" s="58"/>
    </row>
    <row r="37" spans="26:40" ht="15" customHeight="1" x14ac:dyDescent="0.3">
      <c r="Z37" s="58"/>
      <c r="AA37" s="58"/>
      <c r="AB37" s="58"/>
      <c r="AC37" s="58"/>
      <c r="AD37" s="58"/>
      <c r="AE37" s="58"/>
      <c r="AF37" s="58"/>
      <c r="AG37" s="58"/>
      <c r="AH37" s="58"/>
      <c r="AI37" s="58"/>
      <c r="AJ37" s="58"/>
      <c r="AK37" s="58"/>
      <c r="AL37" s="58"/>
    </row>
    <row r="38" spans="26:40" ht="15" customHeight="1" x14ac:dyDescent="0.3">
      <c r="Z38" s="58"/>
      <c r="AA38" s="58"/>
      <c r="AB38" s="58"/>
      <c r="AC38" s="58"/>
      <c r="AD38" s="58"/>
      <c r="AE38" s="58"/>
      <c r="AF38" s="58"/>
      <c r="AG38" s="58"/>
      <c r="AH38" s="58"/>
      <c r="AI38" s="58"/>
      <c r="AJ38" s="58"/>
      <c r="AK38" s="58"/>
      <c r="AL38" s="58"/>
      <c r="AN38" s="39"/>
    </row>
    <row r="39" spans="26:40" ht="15" customHeight="1" x14ac:dyDescent="0.3">
      <c r="Z39" s="58"/>
      <c r="AA39" s="58"/>
      <c r="AB39" s="58"/>
      <c r="AC39" s="58"/>
      <c r="AD39" s="58"/>
      <c r="AE39" s="58"/>
      <c r="AF39" s="58"/>
      <c r="AG39" s="58"/>
      <c r="AH39" s="58"/>
      <c r="AI39" s="58"/>
      <c r="AJ39" s="58"/>
      <c r="AK39" s="58"/>
      <c r="AL39" s="58"/>
    </row>
  </sheetData>
  <phoneticPr fontId="13" type="noConversion"/>
  <printOptions horizontalCentered="1" verticalCentered="1"/>
  <pageMargins left="0" right="0" top="0" bottom="0" header="0" footer="0"/>
  <pageSetup paperSize="9" scale="75" orientation="landscape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01A215-F729-449F-87FF-18936AC99B88}">
  <sheetPr>
    <tabColor rgb="FFFFFF00"/>
    <pageSetUpPr fitToPage="1"/>
  </sheetPr>
  <dimension ref="A1:K49"/>
  <sheetViews>
    <sheetView zoomScale="40" zoomScaleNormal="40" zoomScaleSheetLayoutView="75" workbookViewId="0">
      <selection activeCell="A2" sqref="A2:F47"/>
    </sheetView>
  </sheetViews>
  <sheetFormatPr defaultColWidth="9" defaultRowHeight="16.5" x14ac:dyDescent="0.3"/>
  <cols>
    <col min="1" max="1" width="24.75" style="34" customWidth="1"/>
    <col min="2" max="2" width="7.625" style="38" customWidth="1"/>
    <col min="3" max="3" width="30.625" style="34" customWidth="1"/>
    <col min="4" max="4" width="9.875" style="2" customWidth="1"/>
    <col min="5" max="5" width="11.375" style="34" customWidth="1"/>
    <col min="6" max="6" width="11.125" style="2" customWidth="1"/>
    <col min="7" max="7" width="8.375" style="34" customWidth="1"/>
    <col min="8" max="8" width="9" style="34" customWidth="1"/>
    <col min="9" max="13" width="9" style="34"/>
    <col min="14" max="14" width="10.625" style="34" customWidth="1"/>
    <col min="15" max="17" width="9" style="34"/>
    <col min="18" max="18" width="36.5" style="34" bestFit="1" customWidth="1"/>
    <col min="19" max="16384" width="9" style="34"/>
  </cols>
  <sheetData>
    <row r="1" spans="1:11" ht="25.9" customHeight="1" thickBot="1" x14ac:dyDescent="0.35">
      <c r="A1" s="270"/>
      <c r="B1" s="270"/>
      <c r="C1" s="270"/>
      <c r="D1" s="270"/>
      <c r="E1" s="270"/>
      <c r="F1" s="270"/>
    </row>
    <row r="2" spans="1:11" ht="25.9" customHeight="1" x14ac:dyDescent="0.3">
      <c r="A2" s="215">
        <f ca="1">TODAY()</f>
        <v>46314</v>
      </c>
      <c r="B2" s="287" t="s">
        <v>175</v>
      </c>
      <c r="C2" s="287"/>
      <c r="D2" s="287"/>
      <c r="E2" s="287"/>
      <c r="F2" s="288"/>
      <c r="G2" s="67"/>
      <c r="H2" s="67"/>
    </row>
    <row r="3" spans="1:11" ht="40.5" customHeight="1" x14ac:dyDescent="0.3">
      <c r="A3" s="222" t="s">
        <v>67</v>
      </c>
      <c r="B3" s="223" t="s">
        <v>13</v>
      </c>
      <c r="C3" s="229" t="s">
        <v>299</v>
      </c>
      <c r="D3" s="230" t="s">
        <v>2</v>
      </c>
      <c r="E3" s="229" t="s">
        <v>23</v>
      </c>
      <c r="F3" s="231" t="s">
        <v>14</v>
      </c>
      <c r="G3" s="67"/>
      <c r="H3" s="67"/>
    </row>
    <row r="4" spans="1:11" ht="25.35" customHeight="1" x14ac:dyDescent="0.3">
      <c r="A4" s="220" t="s">
        <v>260</v>
      </c>
      <c r="B4" s="224">
        <v>20</v>
      </c>
      <c r="C4" s="227">
        <f>IFERROR(VLOOKUP(A4,'조인앤조인 피벗'!A:SH,2,FALSE),0)</f>
        <v>0</v>
      </c>
      <c r="D4" s="227">
        <f t="shared" ref="D4:D18" si="0">IFERROR(ROUNDDOWN(C4/B4,0),"")</f>
        <v>0</v>
      </c>
      <c r="E4" s="51" t="s">
        <v>109</v>
      </c>
      <c r="F4" s="228">
        <f t="shared" ref="F4:F18" si="1">IFERROR(C4-(D4*B4),"")</f>
        <v>0</v>
      </c>
      <c r="G4" s="67"/>
      <c r="H4" s="67"/>
      <c r="J4" s="73"/>
      <c r="K4" s="73"/>
    </row>
    <row r="5" spans="1:11" ht="25.35" customHeight="1" x14ac:dyDescent="0.3">
      <c r="A5" s="221" t="s">
        <v>255</v>
      </c>
      <c r="B5" s="224">
        <f t="shared" ref="B5:B18" si="2">$B$4</f>
        <v>20</v>
      </c>
      <c r="C5" s="227">
        <f>IFERROR(VLOOKUP(A5,'조인앤조인 피벗'!A:SH,2,FALSE),0)</f>
        <v>1</v>
      </c>
      <c r="D5" s="227">
        <f t="shared" ref="D5" si="3">IFERROR(ROUNDDOWN(C5/B5,0),"")</f>
        <v>0</v>
      </c>
      <c r="E5" s="51" t="s">
        <v>335</v>
      </c>
      <c r="F5" s="228">
        <f t="shared" ref="F5" si="4">IFERROR(C5-(D5*B5),"")</f>
        <v>1</v>
      </c>
      <c r="G5" s="67"/>
      <c r="H5" s="67"/>
      <c r="J5" s="73"/>
      <c r="K5" s="73"/>
    </row>
    <row r="6" spans="1:11" ht="25.35" customHeight="1" x14ac:dyDescent="0.3">
      <c r="A6" s="221" t="s">
        <v>249</v>
      </c>
      <c r="B6" s="224">
        <f t="shared" si="2"/>
        <v>20</v>
      </c>
      <c r="C6" s="227">
        <f>IFERROR(VLOOKUP(A6,'조인앤조인 피벗'!A:SH,2,FALSE),0)</f>
        <v>4</v>
      </c>
      <c r="D6" s="227">
        <f>IFERROR(ROUNDDOWN(C6/B6,0),"")</f>
        <v>0</v>
      </c>
      <c r="E6" s="51" t="s">
        <v>272</v>
      </c>
      <c r="F6" s="228">
        <f>IFERROR(C6-(D6*B6),"")</f>
        <v>4</v>
      </c>
      <c r="G6" s="67"/>
      <c r="H6" s="67"/>
      <c r="J6" s="73"/>
      <c r="K6" s="73"/>
    </row>
    <row r="7" spans="1:11" ht="25.35" customHeight="1" x14ac:dyDescent="0.3">
      <c r="A7" s="221" t="s">
        <v>250</v>
      </c>
      <c r="B7" s="224">
        <f t="shared" si="2"/>
        <v>20</v>
      </c>
      <c r="C7" s="227">
        <f>IFERROR(VLOOKUP(A7,'조인앤조인 피벗'!A:SH,2,FALSE),0)</f>
        <v>0</v>
      </c>
      <c r="D7" s="227">
        <f>IFERROR(ROUNDDOWN(C7/B7,0),"")</f>
        <v>0</v>
      </c>
      <c r="E7" s="51" t="s">
        <v>273</v>
      </c>
      <c r="F7" s="228">
        <f>IFERROR(C7-(D7*B7),"")</f>
        <v>0</v>
      </c>
      <c r="G7" s="67"/>
      <c r="H7" s="67"/>
      <c r="J7" s="73"/>
      <c r="K7" s="73"/>
    </row>
    <row r="8" spans="1:11" ht="25.35" customHeight="1" x14ac:dyDescent="0.3">
      <c r="A8" s="221" t="s">
        <v>248</v>
      </c>
      <c r="B8" s="224">
        <f t="shared" si="2"/>
        <v>20</v>
      </c>
      <c r="C8" s="227">
        <f>IFERROR(VLOOKUP(A8,'조인앤조인 피벗'!A:SH,2,FALSE),0)</f>
        <v>3</v>
      </c>
      <c r="D8" s="227">
        <f>IFERROR(ROUNDDOWN(C8/B8,0),"")</f>
        <v>0</v>
      </c>
      <c r="E8" s="51" t="s">
        <v>271</v>
      </c>
      <c r="F8" s="228">
        <f>IFERROR(C8-(D8*B8),"")</f>
        <v>3</v>
      </c>
      <c r="G8" s="67"/>
      <c r="H8" s="67"/>
      <c r="J8" s="73"/>
      <c r="K8" s="73"/>
    </row>
    <row r="9" spans="1:11" ht="25.35" customHeight="1" x14ac:dyDescent="0.3">
      <c r="A9" s="221" t="s">
        <v>246</v>
      </c>
      <c r="B9" s="224">
        <f t="shared" si="2"/>
        <v>20</v>
      </c>
      <c r="C9" s="227">
        <f>IFERROR(VLOOKUP(A9,'조인앤조인 피벗'!A:SH,2,FALSE),0)</f>
        <v>1</v>
      </c>
      <c r="D9" s="227">
        <f t="shared" si="0"/>
        <v>0</v>
      </c>
      <c r="E9" s="51" t="s">
        <v>270</v>
      </c>
      <c r="F9" s="228">
        <f t="shared" si="1"/>
        <v>1</v>
      </c>
      <c r="G9" s="67"/>
      <c r="H9" s="67"/>
      <c r="J9" s="73"/>
      <c r="K9" s="73"/>
    </row>
    <row r="10" spans="1:11" ht="25.35" customHeight="1" x14ac:dyDescent="0.3">
      <c r="A10" s="221" t="s">
        <v>256</v>
      </c>
      <c r="B10" s="224">
        <f t="shared" si="2"/>
        <v>20</v>
      </c>
      <c r="C10" s="227">
        <f>IFERROR(VLOOKUP(A10,'조인앤조인 피벗'!A:SH,2,FALSE),0)</f>
        <v>3</v>
      </c>
      <c r="D10" s="227">
        <f>IFERROR(ROUNDDOWN(C10/B10,0),"")</f>
        <v>0</v>
      </c>
      <c r="E10" s="51" t="s">
        <v>278</v>
      </c>
      <c r="F10" s="228">
        <f>IFERROR(C10-(D10*B10),"")</f>
        <v>3</v>
      </c>
      <c r="G10" s="67"/>
      <c r="H10" s="67"/>
      <c r="J10" s="73"/>
      <c r="K10" s="73"/>
    </row>
    <row r="11" spans="1:11" ht="25.35" customHeight="1" x14ac:dyDescent="0.3">
      <c r="A11" s="221" t="s">
        <v>247</v>
      </c>
      <c r="B11" s="224">
        <f t="shared" si="2"/>
        <v>20</v>
      </c>
      <c r="C11" s="227">
        <f>IFERROR(VLOOKUP(A11,'조인앤조인 피벗'!A:SH,2,FALSE),0)</f>
        <v>1</v>
      </c>
      <c r="D11" s="227">
        <f t="shared" si="0"/>
        <v>0</v>
      </c>
      <c r="E11" s="51" t="s">
        <v>334</v>
      </c>
      <c r="F11" s="228">
        <f t="shared" si="1"/>
        <v>1</v>
      </c>
      <c r="G11" s="67"/>
      <c r="H11" s="67"/>
      <c r="J11" s="73"/>
      <c r="K11" s="73"/>
    </row>
    <row r="12" spans="1:11" ht="25.35" customHeight="1" x14ac:dyDescent="0.3">
      <c r="A12" s="221" t="s">
        <v>251</v>
      </c>
      <c r="B12" s="224">
        <f t="shared" si="2"/>
        <v>20</v>
      </c>
      <c r="C12" s="227">
        <f>IFERROR(VLOOKUP(A12,'조인앤조인 피벗'!A:SH,2,FALSE),0)</f>
        <v>1</v>
      </c>
      <c r="D12" s="227">
        <f t="shared" si="0"/>
        <v>0</v>
      </c>
      <c r="E12" s="51" t="s">
        <v>274</v>
      </c>
      <c r="F12" s="228">
        <f t="shared" si="1"/>
        <v>1</v>
      </c>
      <c r="G12" s="67"/>
      <c r="H12" s="67"/>
      <c r="J12" s="73"/>
      <c r="K12" s="73"/>
    </row>
    <row r="13" spans="1:11" ht="25.35" customHeight="1" x14ac:dyDescent="0.3">
      <c r="A13" s="220" t="s">
        <v>252</v>
      </c>
      <c r="B13" s="224">
        <f t="shared" si="2"/>
        <v>20</v>
      </c>
      <c r="C13" s="227">
        <f>IFERROR(VLOOKUP(A13,'조인앤조인 피벗'!A:SH,2,FALSE),0)</f>
        <v>1</v>
      </c>
      <c r="D13" s="227">
        <f t="shared" si="0"/>
        <v>0</v>
      </c>
      <c r="E13" s="51" t="s">
        <v>275</v>
      </c>
      <c r="F13" s="228">
        <f t="shared" si="1"/>
        <v>1</v>
      </c>
      <c r="G13" s="67"/>
      <c r="H13" s="67"/>
      <c r="J13" s="73"/>
      <c r="K13" s="73"/>
    </row>
    <row r="14" spans="1:11" ht="25.35" customHeight="1" x14ac:dyDescent="0.3">
      <c r="A14" s="221" t="s">
        <v>253</v>
      </c>
      <c r="B14" s="224">
        <f t="shared" si="2"/>
        <v>20</v>
      </c>
      <c r="C14" s="227">
        <f>IFERROR(VLOOKUP(A14,'조인앤조인 피벗'!A:SH,2,FALSE),0)</f>
        <v>5</v>
      </c>
      <c r="D14" s="227">
        <f t="shared" si="0"/>
        <v>0</v>
      </c>
      <c r="E14" s="51" t="s">
        <v>276</v>
      </c>
      <c r="F14" s="228">
        <f t="shared" si="1"/>
        <v>5</v>
      </c>
      <c r="G14" s="67"/>
      <c r="H14" s="67"/>
      <c r="J14" s="73"/>
      <c r="K14" s="73"/>
    </row>
    <row r="15" spans="1:11" ht="25.35" customHeight="1" x14ac:dyDescent="0.3">
      <c r="A15" s="221" t="s">
        <v>254</v>
      </c>
      <c r="B15" s="224">
        <f t="shared" si="2"/>
        <v>20</v>
      </c>
      <c r="C15" s="227">
        <f>IFERROR(VLOOKUP(A15,'조인앤조인 피벗'!A:SH,2,FALSE),0)</f>
        <v>33</v>
      </c>
      <c r="D15" s="227">
        <f t="shared" si="0"/>
        <v>1</v>
      </c>
      <c r="E15" s="51" t="s">
        <v>277</v>
      </c>
      <c r="F15" s="228">
        <f t="shared" si="1"/>
        <v>13</v>
      </c>
      <c r="G15" s="67"/>
      <c r="H15" s="67"/>
      <c r="J15" s="73"/>
      <c r="K15" s="73"/>
    </row>
    <row r="16" spans="1:11" ht="25.35" customHeight="1" x14ac:dyDescent="0.3">
      <c r="A16" s="221" t="s">
        <v>257</v>
      </c>
      <c r="B16" s="224">
        <f t="shared" si="2"/>
        <v>20</v>
      </c>
      <c r="C16" s="227">
        <f>IFERROR(VLOOKUP(A16,'조인앤조인 피벗'!A:SH,2,FALSE),0)</f>
        <v>1</v>
      </c>
      <c r="D16" s="227">
        <f t="shared" si="0"/>
        <v>0</v>
      </c>
      <c r="E16" s="51" t="s">
        <v>279</v>
      </c>
      <c r="F16" s="228">
        <f t="shared" si="1"/>
        <v>1</v>
      </c>
      <c r="G16" s="67"/>
      <c r="H16" s="67"/>
      <c r="J16" s="73"/>
      <c r="K16" s="73"/>
    </row>
    <row r="17" spans="1:11" ht="25.35" customHeight="1" x14ac:dyDescent="0.3">
      <c r="A17" s="221" t="s">
        <v>258</v>
      </c>
      <c r="B17" s="224">
        <f t="shared" si="2"/>
        <v>20</v>
      </c>
      <c r="C17" s="227">
        <f>IFERROR(VLOOKUP(A17,'조인앤조인 피벗'!A:SH,2,FALSE),0)</f>
        <v>2</v>
      </c>
      <c r="D17" s="227">
        <f t="shared" si="0"/>
        <v>0</v>
      </c>
      <c r="E17" s="51" t="s">
        <v>280</v>
      </c>
      <c r="F17" s="228">
        <f t="shared" si="1"/>
        <v>2</v>
      </c>
      <c r="G17" s="67"/>
      <c r="H17" s="67"/>
      <c r="J17" s="73"/>
      <c r="K17" s="73"/>
    </row>
    <row r="18" spans="1:11" ht="25.35" customHeight="1" x14ac:dyDescent="0.3">
      <c r="A18" s="221" t="s">
        <v>259</v>
      </c>
      <c r="B18" s="224">
        <f t="shared" si="2"/>
        <v>20</v>
      </c>
      <c r="C18" s="227">
        <f>IFERROR(VLOOKUP(A18,'조인앤조인 피벗'!A:SH,2,FALSE),0)</f>
        <v>1</v>
      </c>
      <c r="D18" s="227">
        <f t="shared" si="0"/>
        <v>0</v>
      </c>
      <c r="E18" s="51" t="s">
        <v>336</v>
      </c>
      <c r="F18" s="228">
        <f t="shared" si="1"/>
        <v>1</v>
      </c>
      <c r="G18" s="67"/>
      <c r="H18" s="67"/>
      <c r="J18" s="73"/>
      <c r="K18" s="73"/>
    </row>
    <row r="19" spans="1:11" ht="4.5" customHeight="1" x14ac:dyDescent="0.3">
      <c r="A19" s="284"/>
      <c r="B19" s="285"/>
      <c r="C19" s="285"/>
      <c r="D19" s="285"/>
      <c r="E19" s="285"/>
      <c r="F19" s="286"/>
      <c r="J19" s="73"/>
      <c r="K19" s="73"/>
    </row>
    <row r="20" spans="1:11" ht="32.450000000000003" customHeight="1" x14ac:dyDescent="0.3">
      <c r="A20" s="211" t="s">
        <v>122</v>
      </c>
      <c r="B20" s="225">
        <f>$B$4</f>
        <v>20</v>
      </c>
      <c r="C20" s="212">
        <f>SUM(C4:C18)</f>
        <v>57</v>
      </c>
      <c r="D20" s="55">
        <f>IFERROR(ROUNDDOWN(C20/B20,0),"")</f>
        <v>2</v>
      </c>
      <c r="E20" s="213"/>
      <c r="F20" s="214">
        <f>IFERROR(C20-(D20*B20),"")</f>
        <v>17</v>
      </c>
      <c r="J20" s="73"/>
      <c r="K20" s="73"/>
    </row>
    <row r="21" spans="1:11" ht="4.5" customHeight="1" x14ac:dyDescent="0.3">
      <c r="A21" s="183"/>
      <c r="B21" s="224"/>
      <c r="C21" s="50"/>
      <c r="D21" s="50"/>
      <c r="E21" s="50"/>
      <c r="F21" s="184"/>
      <c r="J21" s="73"/>
      <c r="K21" s="73"/>
    </row>
    <row r="22" spans="1:11" ht="25.35" customHeight="1" x14ac:dyDescent="0.3">
      <c r="A22" s="221" t="s">
        <v>241</v>
      </c>
      <c r="B22" s="224">
        <f t="shared" ref="B22:B26" si="5">$B$4</f>
        <v>20</v>
      </c>
      <c r="C22" s="227">
        <f>IFERROR(VLOOKUP(A22,'조인앤조인 피벗'!A:SH,2,FALSE),0)</f>
        <v>0</v>
      </c>
      <c r="D22" s="227">
        <f>IFERROR(ROUNDDOWN(C22/B22,0),"")</f>
        <v>0</v>
      </c>
      <c r="E22" s="51" t="s">
        <v>268</v>
      </c>
      <c r="F22" s="228">
        <f>IFERROR(C22-(D22*B22),"")</f>
        <v>0</v>
      </c>
      <c r="G22" s="67"/>
      <c r="H22" s="67"/>
      <c r="J22" s="73"/>
      <c r="K22" s="73"/>
    </row>
    <row r="23" spans="1:11" ht="25.35" customHeight="1" x14ac:dyDescent="0.3">
      <c r="A23" s="221" t="s">
        <v>242</v>
      </c>
      <c r="B23" s="224">
        <f t="shared" si="5"/>
        <v>20</v>
      </c>
      <c r="C23" s="227">
        <f>IFERROR(VLOOKUP(A23,'조인앤조인 피벗'!A:SH,2,FALSE),0)</f>
        <v>2</v>
      </c>
      <c r="D23" s="227">
        <f>IFERROR(ROUNDDOWN(C23/B23,0),"")</f>
        <v>0</v>
      </c>
      <c r="E23" s="51" t="s">
        <v>337</v>
      </c>
      <c r="F23" s="228">
        <f>IFERROR(C23-(D23*B23),"")</f>
        <v>2</v>
      </c>
      <c r="G23" s="67"/>
      <c r="H23" s="67"/>
      <c r="J23" s="73"/>
      <c r="K23" s="73"/>
    </row>
    <row r="24" spans="1:11" ht="25.35" customHeight="1" x14ac:dyDescent="0.3">
      <c r="A24" s="221" t="s">
        <v>243</v>
      </c>
      <c r="B24" s="224">
        <f t="shared" si="5"/>
        <v>20</v>
      </c>
      <c r="C24" s="227">
        <f>IFERROR(VLOOKUP(A24,'조인앤조인 피벗'!A:SH,2,FALSE),0)</f>
        <v>0</v>
      </c>
      <c r="D24" s="227">
        <f>IFERROR(ROUNDDOWN(C24/B24,0),"")</f>
        <v>0</v>
      </c>
      <c r="E24" s="51" t="s">
        <v>106</v>
      </c>
      <c r="F24" s="228">
        <f>IFERROR(C24-(D24*B24),"")</f>
        <v>0</v>
      </c>
      <c r="G24" s="67"/>
      <c r="H24" s="67"/>
      <c r="J24" s="73"/>
      <c r="K24" s="73"/>
    </row>
    <row r="25" spans="1:11" ht="25.35" customHeight="1" x14ac:dyDescent="0.3">
      <c r="A25" s="221" t="s">
        <v>244</v>
      </c>
      <c r="B25" s="224">
        <f t="shared" si="5"/>
        <v>20</v>
      </c>
      <c r="C25" s="227">
        <f>IFERROR(VLOOKUP(A25,'조인앤조인 피벗'!A:SH,2,FALSE),0)</f>
        <v>0</v>
      </c>
      <c r="D25" s="227">
        <f>IFERROR(ROUNDDOWN(C25/B25,0),"")</f>
        <v>0</v>
      </c>
      <c r="E25" s="51" t="s">
        <v>269</v>
      </c>
      <c r="F25" s="228">
        <f>IFERROR(C25-(D25*B25),"")</f>
        <v>0</v>
      </c>
      <c r="G25" s="67"/>
      <c r="H25" s="67"/>
      <c r="J25" s="73"/>
      <c r="K25" s="73"/>
    </row>
    <row r="26" spans="1:11" ht="25.35" customHeight="1" x14ac:dyDescent="0.3">
      <c r="A26" s="221" t="s">
        <v>245</v>
      </c>
      <c r="B26" s="224">
        <f t="shared" si="5"/>
        <v>20</v>
      </c>
      <c r="C26" s="227">
        <f>IFERROR(VLOOKUP(A26,'조인앤조인 피벗'!A:SH,2,FALSE),0)</f>
        <v>0</v>
      </c>
      <c r="D26" s="227">
        <f>IFERROR(ROUNDDOWN(C26/B26,0),"")</f>
        <v>0</v>
      </c>
      <c r="E26" s="51" t="s">
        <v>118</v>
      </c>
      <c r="F26" s="228">
        <f>IFERROR(C26-(D26*B26),"")</f>
        <v>0</v>
      </c>
      <c r="G26" s="67"/>
      <c r="H26" s="67"/>
      <c r="J26" s="73"/>
      <c r="K26" s="73"/>
    </row>
    <row r="27" spans="1:11" ht="4.5" customHeight="1" x14ac:dyDescent="0.3">
      <c r="A27" s="284"/>
      <c r="B27" s="285"/>
      <c r="C27" s="285"/>
      <c r="D27" s="285"/>
      <c r="E27" s="285"/>
      <c r="F27" s="286"/>
      <c r="G27" s="67"/>
      <c r="H27" s="67"/>
      <c r="J27" s="73"/>
      <c r="K27" s="73"/>
    </row>
    <row r="28" spans="1:11" ht="32.450000000000003" customHeight="1" x14ac:dyDescent="0.3">
      <c r="A28" s="211" t="s">
        <v>285</v>
      </c>
      <c r="B28" s="225">
        <f>$B$4</f>
        <v>20</v>
      </c>
      <c r="C28" s="212">
        <f>SUM(C22:C26)</f>
        <v>2</v>
      </c>
      <c r="D28" s="55">
        <f>IFERROR(ROUNDDOWN(C28/B28,0),"")</f>
        <v>0</v>
      </c>
      <c r="E28" s="213"/>
      <c r="F28" s="214">
        <f>IFERROR(C28-(D28*B28),"")</f>
        <v>2</v>
      </c>
      <c r="G28" s="67"/>
      <c r="H28" s="67"/>
      <c r="J28" s="73"/>
      <c r="K28" s="73"/>
    </row>
    <row r="29" spans="1:11" ht="4.5" customHeight="1" x14ac:dyDescent="0.3">
      <c r="A29" s="284"/>
      <c r="B29" s="285"/>
      <c r="C29" s="285"/>
      <c r="D29" s="285"/>
      <c r="E29" s="285"/>
      <c r="F29" s="286"/>
      <c r="G29" s="67"/>
      <c r="H29" s="67"/>
      <c r="J29" s="73"/>
      <c r="K29" s="73"/>
    </row>
    <row r="30" spans="1:11" ht="25.35" customHeight="1" x14ac:dyDescent="0.3">
      <c r="A30" s="221" t="s">
        <v>239</v>
      </c>
      <c r="B30" s="224">
        <f t="shared" ref="B30:B31" si="6">$B$4</f>
        <v>20</v>
      </c>
      <c r="C30" s="227">
        <f>IFERROR(VLOOKUP(A30,'조인앤조인 피벗'!A:SH,2,FALSE),0)</f>
        <v>1</v>
      </c>
      <c r="D30" s="227">
        <f t="shared" ref="D30:D31" si="7">IFERROR(ROUNDDOWN(C30/B30,0),"")</f>
        <v>0</v>
      </c>
      <c r="E30" s="51" t="s">
        <v>266</v>
      </c>
      <c r="F30" s="228">
        <f t="shared" ref="F30:F31" si="8">IFERROR(C30-(D30*B30),"")</f>
        <v>1</v>
      </c>
      <c r="G30" s="67"/>
      <c r="H30" s="67"/>
      <c r="J30" s="73"/>
      <c r="K30" s="73"/>
    </row>
    <row r="31" spans="1:11" ht="25.35" customHeight="1" x14ac:dyDescent="0.3">
      <c r="A31" s="221" t="s">
        <v>240</v>
      </c>
      <c r="B31" s="224">
        <f t="shared" si="6"/>
        <v>20</v>
      </c>
      <c r="C31" s="227">
        <f>IFERROR(VLOOKUP(A31,'조인앤조인 피벗'!A:SH,2,FALSE),0)</f>
        <v>0</v>
      </c>
      <c r="D31" s="227">
        <f t="shared" si="7"/>
        <v>0</v>
      </c>
      <c r="E31" s="51" t="s">
        <v>267</v>
      </c>
      <c r="F31" s="228">
        <f t="shared" si="8"/>
        <v>0</v>
      </c>
      <c r="G31" s="67"/>
      <c r="H31" s="67"/>
      <c r="J31" s="73"/>
      <c r="K31" s="73"/>
    </row>
    <row r="32" spans="1:11" ht="4.5" customHeight="1" x14ac:dyDescent="0.3">
      <c r="A32" s="284"/>
      <c r="B32" s="285"/>
      <c r="C32" s="285"/>
      <c r="D32" s="285"/>
      <c r="E32" s="285"/>
      <c r="F32" s="286"/>
      <c r="G32" s="67"/>
      <c r="H32" s="67"/>
      <c r="J32" s="73"/>
      <c r="K32" s="73"/>
    </row>
    <row r="33" spans="1:11" ht="32.450000000000003" customHeight="1" x14ac:dyDescent="0.3">
      <c r="A33" s="211" t="s">
        <v>284</v>
      </c>
      <c r="B33" s="225">
        <f>$B$4</f>
        <v>20</v>
      </c>
      <c r="C33" s="212">
        <f>SUM(C30:C31)</f>
        <v>1</v>
      </c>
      <c r="D33" s="55">
        <f>IFERROR(ROUNDDOWN(C33/B33,0),"")</f>
        <v>0</v>
      </c>
      <c r="E33" s="213"/>
      <c r="F33" s="214">
        <f>IFERROR(C33-(D33*B33),"")</f>
        <v>1</v>
      </c>
      <c r="G33" s="67"/>
      <c r="H33" s="67"/>
      <c r="J33" s="73"/>
      <c r="K33" s="73"/>
    </row>
    <row r="34" spans="1:11" ht="4.5" customHeight="1" x14ac:dyDescent="0.3">
      <c r="A34" s="183"/>
      <c r="B34" s="224"/>
      <c r="C34" s="50"/>
      <c r="D34" s="50"/>
      <c r="E34" s="50"/>
      <c r="F34" s="184"/>
      <c r="G34" s="67"/>
      <c r="H34" s="67"/>
      <c r="J34" s="73"/>
      <c r="K34" s="73"/>
    </row>
    <row r="35" spans="1:11" ht="25.35" customHeight="1" x14ac:dyDescent="0.3">
      <c r="A35" s="221" t="s">
        <v>236</v>
      </c>
      <c r="B35" s="224">
        <f t="shared" ref="B35:B37" si="9">$B$4</f>
        <v>20</v>
      </c>
      <c r="C35" s="227">
        <f>IFERROR(VLOOKUP(A35,'조인앤조인 피벗'!A:SH,2,FALSE),0)</f>
        <v>0</v>
      </c>
      <c r="D35" s="227">
        <f>IFERROR(ROUNDDOWN(C35/B35,0),"")</f>
        <v>0</v>
      </c>
      <c r="E35" s="51" t="s">
        <v>264</v>
      </c>
      <c r="F35" s="228">
        <f>IFERROR(C35-(D35*B35),"")</f>
        <v>0</v>
      </c>
      <c r="G35" s="67"/>
      <c r="H35" s="67"/>
      <c r="J35" s="73"/>
      <c r="K35" s="73"/>
    </row>
    <row r="36" spans="1:11" ht="25.35" customHeight="1" x14ac:dyDescent="0.3">
      <c r="A36" s="221" t="s">
        <v>237</v>
      </c>
      <c r="B36" s="224">
        <f t="shared" si="9"/>
        <v>20</v>
      </c>
      <c r="C36" s="227">
        <f>IFERROR(VLOOKUP(A36,'조인앤조인 피벗'!A:SH,2,FALSE),0)</f>
        <v>1</v>
      </c>
      <c r="D36" s="227">
        <f t="shared" ref="D36:D37" si="10">IFERROR(ROUNDDOWN(C36/B36,0),"")</f>
        <v>0</v>
      </c>
      <c r="E36" s="51" t="s">
        <v>338</v>
      </c>
      <c r="F36" s="228">
        <f t="shared" ref="F36:F37" si="11">IFERROR(C36-(D36*B36),"")</f>
        <v>1</v>
      </c>
      <c r="G36" s="67"/>
      <c r="H36" s="67"/>
      <c r="J36" s="73"/>
      <c r="K36" s="73"/>
    </row>
    <row r="37" spans="1:11" ht="25.35" customHeight="1" x14ac:dyDescent="0.3">
      <c r="A37" s="221" t="s">
        <v>238</v>
      </c>
      <c r="B37" s="224">
        <f t="shared" si="9"/>
        <v>20</v>
      </c>
      <c r="C37" s="227">
        <f>IFERROR(VLOOKUP(A37,'조인앤조인 피벗'!A:SH,2,FALSE),0)</f>
        <v>1</v>
      </c>
      <c r="D37" s="227">
        <f t="shared" si="10"/>
        <v>0</v>
      </c>
      <c r="E37" s="51" t="s">
        <v>265</v>
      </c>
      <c r="F37" s="228">
        <f t="shared" si="11"/>
        <v>1</v>
      </c>
      <c r="G37" s="67"/>
      <c r="H37" s="67"/>
      <c r="J37" s="73"/>
      <c r="K37" s="73"/>
    </row>
    <row r="38" spans="1:11" ht="4.5" customHeight="1" x14ac:dyDescent="0.3">
      <c r="A38" s="284"/>
      <c r="B38" s="285"/>
      <c r="C38" s="285"/>
      <c r="D38" s="285"/>
      <c r="E38" s="285"/>
      <c r="F38" s="286"/>
      <c r="G38" s="67"/>
      <c r="H38" s="67"/>
      <c r="J38" s="73"/>
      <c r="K38" s="73"/>
    </row>
    <row r="39" spans="1:11" ht="32.450000000000003" customHeight="1" x14ac:dyDescent="0.3">
      <c r="A39" s="211" t="s">
        <v>283</v>
      </c>
      <c r="B39" s="225">
        <f>$B$4</f>
        <v>20</v>
      </c>
      <c r="C39" s="212">
        <f>SUM(C35:C37)</f>
        <v>2</v>
      </c>
      <c r="D39" s="55">
        <f>IFERROR(ROUNDDOWN(C39/B39,0),"")</f>
        <v>0</v>
      </c>
      <c r="E39" s="213"/>
      <c r="F39" s="214">
        <f>IFERROR(C39-(D39*B39),"")</f>
        <v>2</v>
      </c>
      <c r="G39" s="67"/>
      <c r="H39" s="67"/>
      <c r="J39" s="73"/>
      <c r="K39" s="73"/>
    </row>
    <row r="40" spans="1:11" ht="4.5" customHeight="1" x14ac:dyDescent="0.3">
      <c r="A40" s="183"/>
      <c r="B40" s="224"/>
      <c r="C40" s="50"/>
      <c r="D40" s="50"/>
      <c r="E40" s="50"/>
      <c r="F40" s="184"/>
      <c r="G40" s="67"/>
      <c r="H40" s="67"/>
      <c r="J40" s="73"/>
      <c r="K40" s="73"/>
    </row>
    <row r="41" spans="1:11" ht="25.35" customHeight="1" x14ac:dyDescent="0.3">
      <c r="A41" s="221" t="s">
        <v>261</v>
      </c>
      <c r="B41" s="224">
        <f t="shared" ref="B41:B42" si="12">$B$4</f>
        <v>20</v>
      </c>
      <c r="C41" s="227">
        <f>IFERROR(VLOOKUP(A41,'조인앤조인 피벗'!A:SH,2,FALSE),0)</f>
        <v>2</v>
      </c>
      <c r="D41" s="227">
        <f t="shared" ref="D41:D42" si="13">IFERROR(ROUNDDOWN(C41/B41,0),"")</f>
        <v>0</v>
      </c>
      <c r="E41" s="51" t="s">
        <v>281</v>
      </c>
      <c r="F41" s="228">
        <f t="shared" ref="F41:F42" si="14">IFERROR(C41-(D41*B41),"")</f>
        <v>2</v>
      </c>
      <c r="G41" s="67"/>
      <c r="H41" s="67"/>
      <c r="J41" s="73"/>
      <c r="K41" s="73"/>
    </row>
    <row r="42" spans="1:11" ht="25.35" customHeight="1" x14ac:dyDescent="0.3">
      <c r="A42" s="221" t="s">
        <v>262</v>
      </c>
      <c r="B42" s="224">
        <f t="shared" si="12"/>
        <v>20</v>
      </c>
      <c r="C42" s="227">
        <f>IFERROR(VLOOKUP(A42,'조인앤조인 피벗'!A:SH,2,FALSE),0)</f>
        <v>1</v>
      </c>
      <c r="D42" s="227">
        <f t="shared" si="13"/>
        <v>0</v>
      </c>
      <c r="E42" s="51" t="s">
        <v>282</v>
      </c>
      <c r="F42" s="228">
        <f t="shared" si="14"/>
        <v>1</v>
      </c>
      <c r="G42" s="67"/>
      <c r="H42" s="67"/>
      <c r="J42" s="73"/>
      <c r="K42" s="73"/>
    </row>
    <row r="43" spans="1:11" ht="4.5" customHeight="1" x14ac:dyDescent="0.3">
      <c r="A43" s="284"/>
      <c r="B43" s="285"/>
      <c r="C43" s="285"/>
      <c r="D43" s="285"/>
      <c r="E43" s="285"/>
      <c r="F43" s="286"/>
      <c r="G43" s="67"/>
      <c r="H43" s="67"/>
      <c r="J43" s="73"/>
      <c r="K43" s="73"/>
    </row>
    <row r="44" spans="1:11" ht="32.450000000000003" customHeight="1" x14ac:dyDescent="0.3">
      <c r="A44" s="211" t="s">
        <v>339</v>
      </c>
      <c r="B44" s="225">
        <f>$B$4</f>
        <v>20</v>
      </c>
      <c r="C44" s="212">
        <f>SUM(C41:C42)</f>
        <v>3</v>
      </c>
      <c r="D44" s="55">
        <f>IFERROR(ROUNDDOWN(C44/B44,0),"")</f>
        <v>0</v>
      </c>
      <c r="E44" s="213"/>
      <c r="F44" s="214">
        <f>IFERROR(C44-(D44*B44),"")</f>
        <v>3</v>
      </c>
      <c r="G44" s="67"/>
      <c r="H44" s="67"/>
      <c r="J44" s="73"/>
      <c r="K44" s="73"/>
    </row>
    <row r="45" spans="1:11" ht="4.5" customHeight="1" thickBot="1" x14ac:dyDescent="0.35">
      <c r="A45" s="183"/>
      <c r="B45" s="50"/>
      <c r="C45" s="50"/>
      <c r="D45" s="50"/>
      <c r="E45" s="50"/>
      <c r="F45" s="184"/>
      <c r="G45" s="67"/>
      <c r="H45" s="67"/>
      <c r="J45" s="73"/>
      <c r="K45" s="73"/>
    </row>
    <row r="46" spans="1:11" ht="26.25" x14ac:dyDescent="0.3">
      <c r="A46" s="87" t="s">
        <v>3</v>
      </c>
      <c r="B46" s="226">
        <f>$B$4</f>
        <v>20</v>
      </c>
      <c r="C46" s="55">
        <f>SUM(C4:C18,C35:C37,C30:C31,C22:C26,C41:C42)</f>
        <v>65</v>
      </c>
      <c r="D46" s="54">
        <f>IFERROR(ROUNDDOWN(C46/B46,0),"")</f>
        <v>3</v>
      </c>
      <c r="E46" s="56"/>
      <c r="F46" s="121">
        <f>IFERROR(C46-(D46*B46),"")</f>
        <v>5</v>
      </c>
      <c r="G46" s="232" t="s">
        <v>110</v>
      </c>
      <c r="H46" s="233" t="s">
        <v>111</v>
      </c>
      <c r="J46" s="73"/>
      <c r="K46" s="73"/>
    </row>
    <row r="47" spans="1:11" ht="27" thickBot="1" x14ac:dyDescent="0.35">
      <c r="A47" s="42" t="s">
        <v>286</v>
      </c>
      <c r="B47" s="43" t="s">
        <v>173</v>
      </c>
      <c r="C47" s="40"/>
      <c r="D47" s="41">
        <f>SUM(D4:D18,D35:D37,D30:D31,D22:D26,D41:D42)</f>
        <v>1</v>
      </c>
      <c r="E47" s="48"/>
      <c r="F47" s="93">
        <f>SUM(F4:F18,F35:F37,F30:F31,F22:F26,F41:F42)</f>
        <v>45</v>
      </c>
      <c r="G47" s="216">
        <f>IFERROR(ROUNDDOWN(F47/B35,0),"")</f>
        <v>2</v>
      </c>
      <c r="H47" s="217">
        <f>IFERROR(F47-(G47*B35),"")</f>
        <v>5</v>
      </c>
    </row>
    <row r="48" spans="1:11" ht="22.5" customHeight="1" x14ac:dyDescent="0.3">
      <c r="C48" s="77">
        <f>C20+C28+C33+C39+C44</f>
        <v>65</v>
      </c>
      <c r="G48" s="199"/>
      <c r="H48" s="34" t="s">
        <v>174</v>
      </c>
    </row>
    <row r="49" spans="3:3" x14ac:dyDescent="0.3">
      <c r="C49" s="34" t="b">
        <f>C48=C46</f>
        <v>1</v>
      </c>
    </row>
  </sheetData>
  <mergeCells count="8">
    <mergeCell ref="A43:F43"/>
    <mergeCell ref="A38:F38"/>
    <mergeCell ref="A1:F1"/>
    <mergeCell ref="B2:F2"/>
    <mergeCell ref="A19:F19"/>
    <mergeCell ref="A27:F27"/>
    <mergeCell ref="A29:F29"/>
    <mergeCell ref="A32:F32"/>
  </mergeCells>
  <phoneticPr fontId="13" type="noConversion"/>
  <printOptions horizontalCentered="1" verticalCentered="1"/>
  <pageMargins left="0" right="0" top="0" bottom="0" header="0" footer="0"/>
  <pageSetup paperSize="9" scale="77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39B039-120E-4AB5-AFE4-37EC0D376FFA}">
  <sheetPr>
    <tabColor rgb="FFFFFF00"/>
    <pageSetUpPr fitToPage="1"/>
  </sheetPr>
  <dimension ref="A1:H49"/>
  <sheetViews>
    <sheetView zoomScale="40" zoomScaleNormal="40" zoomScaleSheetLayoutView="75" workbookViewId="0">
      <selection activeCell="A2" sqref="A2:F47"/>
    </sheetView>
  </sheetViews>
  <sheetFormatPr defaultColWidth="9" defaultRowHeight="16.5" x14ac:dyDescent="0.3"/>
  <cols>
    <col min="1" max="1" width="24.75" style="34" customWidth="1"/>
    <col min="2" max="2" width="7.625" style="38" customWidth="1"/>
    <col min="3" max="3" width="30.625" style="34" customWidth="1"/>
    <col min="4" max="4" width="9.875" style="2" customWidth="1"/>
    <col min="5" max="5" width="11.375" style="34" customWidth="1"/>
    <col min="6" max="6" width="11.125" style="2" customWidth="1"/>
    <col min="7" max="7" width="8.375" style="34" customWidth="1"/>
    <col min="8" max="8" width="9" style="34" customWidth="1"/>
    <col min="9" max="13" width="9" style="34"/>
    <col min="14" max="14" width="10.625" style="34" customWidth="1"/>
    <col min="15" max="17" width="9" style="34"/>
    <col min="18" max="18" width="36.5" style="34" bestFit="1" customWidth="1"/>
    <col min="19" max="16384" width="9" style="34"/>
  </cols>
  <sheetData>
    <row r="1" spans="1:8" ht="25.9" customHeight="1" thickBot="1" x14ac:dyDescent="0.35">
      <c r="A1" s="270"/>
      <c r="B1" s="270"/>
      <c r="C1" s="270"/>
      <c r="D1" s="270"/>
      <c r="E1" s="270"/>
      <c r="F1" s="270"/>
    </row>
    <row r="2" spans="1:8" ht="25.9" customHeight="1" x14ac:dyDescent="0.3">
      <c r="A2" s="215">
        <f ca="1">TODAY()</f>
        <v>46314</v>
      </c>
      <c r="B2" s="287" t="s">
        <v>175</v>
      </c>
      <c r="C2" s="287"/>
      <c r="D2" s="287"/>
      <c r="E2" s="287"/>
      <c r="F2" s="288"/>
      <c r="G2" s="67"/>
      <c r="H2" s="67"/>
    </row>
    <row r="3" spans="1:8" ht="40.5" customHeight="1" x14ac:dyDescent="0.3">
      <c r="A3" s="222" t="s">
        <v>67</v>
      </c>
      <c r="B3" s="223" t="s">
        <v>13</v>
      </c>
      <c r="C3" s="229" t="s">
        <v>304</v>
      </c>
      <c r="D3" s="230" t="s">
        <v>2</v>
      </c>
      <c r="E3" s="229" t="s">
        <v>23</v>
      </c>
      <c r="F3" s="231" t="s">
        <v>14</v>
      </c>
      <c r="G3" s="67"/>
      <c r="H3" s="67"/>
    </row>
    <row r="4" spans="1:8" ht="25.35" customHeight="1" x14ac:dyDescent="0.3">
      <c r="A4" s="220" t="s">
        <v>260</v>
      </c>
      <c r="B4" s="224">
        <v>20</v>
      </c>
      <c r="C4" s="227">
        <f>IFERROR(VLOOKUP(A4,'조인앤조인 피벗'!A:SH,3,FALSE),0)</f>
        <v>0</v>
      </c>
      <c r="D4" s="227">
        <f t="shared" ref="D4:D18" si="0">IFERROR(ROUNDDOWN(C4/B4,0),"")</f>
        <v>0</v>
      </c>
      <c r="E4" s="51" t="s">
        <v>109</v>
      </c>
      <c r="F4" s="228">
        <f t="shared" ref="F4:F18" si="1">IFERROR(C4-(D4*B4),"")</f>
        <v>0</v>
      </c>
      <c r="G4" s="67"/>
      <c r="H4" s="67"/>
    </row>
    <row r="5" spans="1:8" ht="25.35" customHeight="1" x14ac:dyDescent="0.3">
      <c r="A5" s="221" t="s">
        <v>255</v>
      </c>
      <c r="B5" s="224">
        <f t="shared" ref="B5:B18" si="2">$B$4</f>
        <v>20</v>
      </c>
      <c r="C5" s="227">
        <f>IFERROR(VLOOKUP(A5,'조인앤조인 피벗'!A:SH,3,FALSE),0)</f>
        <v>2</v>
      </c>
      <c r="D5" s="227">
        <f t="shared" ref="D5" si="3">IFERROR(ROUNDDOWN(C5/B5,0),"")</f>
        <v>0</v>
      </c>
      <c r="E5" s="51" t="s">
        <v>335</v>
      </c>
      <c r="F5" s="228">
        <f t="shared" ref="F5" si="4">IFERROR(C5-(D5*B5),"")</f>
        <v>2</v>
      </c>
      <c r="G5" s="67"/>
      <c r="H5" s="67"/>
    </row>
    <row r="6" spans="1:8" ht="25.35" customHeight="1" x14ac:dyDescent="0.3">
      <c r="A6" s="221" t="s">
        <v>249</v>
      </c>
      <c r="B6" s="224">
        <f t="shared" si="2"/>
        <v>20</v>
      </c>
      <c r="C6" s="227">
        <f>IFERROR(VLOOKUP(A6,'조인앤조인 피벗'!A:SH,3,FALSE),0)</f>
        <v>3</v>
      </c>
      <c r="D6" s="227">
        <f>IFERROR(ROUNDDOWN(C6/B6,0),"")</f>
        <v>0</v>
      </c>
      <c r="E6" s="51" t="s">
        <v>272</v>
      </c>
      <c r="F6" s="228">
        <f>IFERROR(C6-(D6*B6),"")</f>
        <v>3</v>
      </c>
      <c r="G6" s="67"/>
      <c r="H6" s="67"/>
    </row>
    <row r="7" spans="1:8" ht="25.35" customHeight="1" x14ac:dyDescent="0.3">
      <c r="A7" s="221" t="s">
        <v>250</v>
      </c>
      <c r="B7" s="224">
        <f t="shared" si="2"/>
        <v>20</v>
      </c>
      <c r="C7" s="227">
        <f>IFERROR(VLOOKUP(A7,'조인앤조인 피벗'!A:SH,3,FALSE),0)</f>
        <v>1</v>
      </c>
      <c r="D7" s="227">
        <f>IFERROR(ROUNDDOWN(C7/B7,0),"")</f>
        <v>0</v>
      </c>
      <c r="E7" s="51" t="s">
        <v>273</v>
      </c>
      <c r="F7" s="228">
        <f>IFERROR(C7-(D7*B7),"")</f>
        <v>1</v>
      </c>
      <c r="G7" s="67"/>
      <c r="H7" s="67"/>
    </row>
    <row r="8" spans="1:8" ht="25.35" customHeight="1" x14ac:dyDescent="0.3">
      <c r="A8" s="221" t="s">
        <v>248</v>
      </c>
      <c r="B8" s="224">
        <f t="shared" si="2"/>
        <v>20</v>
      </c>
      <c r="C8" s="227">
        <f>IFERROR(VLOOKUP(A8,'조인앤조인 피벗'!A:SH,3,FALSE),0)</f>
        <v>2</v>
      </c>
      <c r="D8" s="227">
        <f>IFERROR(ROUNDDOWN(C8/B8,0),"")</f>
        <v>0</v>
      </c>
      <c r="E8" s="51" t="s">
        <v>271</v>
      </c>
      <c r="F8" s="228">
        <f>IFERROR(C8-(D8*B8),"")</f>
        <v>2</v>
      </c>
      <c r="G8" s="67"/>
      <c r="H8" s="67"/>
    </row>
    <row r="9" spans="1:8" ht="25.35" customHeight="1" x14ac:dyDescent="0.3">
      <c r="A9" s="221" t="s">
        <v>246</v>
      </c>
      <c r="B9" s="224">
        <f t="shared" si="2"/>
        <v>20</v>
      </c>
      <c r="C9" s="227">
        <f>IFERROR(VLOOKUP(A9,'조인앤조인 피벗'!A:SH,3,FALSE),0)</f>
        <v>1</v>
      </c>
      <c r="D9" s="227">
        <f t="shared" si="0"/>
        <v>0</v>
      </c>
      <c r="E9" s="51" t="s">
        <v>270</v>
      </c>
      <c r="F9" s="228">
        <f t="shared" si="1"/>
        <v>1</v>
      </c>
      <c r="G9" s="67"/>
      <c r="H9" s="67"/>
    </row>
    <row r="10" spans="1:8" ht="25.35" customHeight="1" x14ac:dyDescent="0.3">
      <c r="A10" s="221" t="s">
        <v>256</v>
      </c>
      <c r="B10" s="224">
        <f t="shared" si="2"/>
        <v>20</v>
      </c>
      <c r="C10" s="227">
        <f>IFERROR(VLOOKUP(A10,'조인앤조인 피벗'!A:SH,3,FALSE),0)</f>
        <v>1</v>
      </c>
      <c r="D10" s="227">
        <f>IFERROR(ROUNDDOWN(C10/B10,0),"")</f>
        <v>0</v>
      </c>
      <c r="E10" s="51" t="s">
        <v>278</v>
      </c>
      <c r="F10" s="228">
        <f>IFERROR(C10-(D10*B10),"")</f>
        <v>1</v>
      </c>
      <c r="G10" s="67"/>
      <c r="H10" s="67"/>
    </row>
    <row r="11" spans="1:8" ht="25.35" customHeight="1" x14ac:dyDescent="0.3">
      <c r="A11" s="221" t="s">
        <v>247</v>
      </c>
      <c r="B11" s="224">
        <f t="shared" si="2"/>
        <v>20</v>
      </c>
      <c r="C11" s="227">
        <f>IFERROR(VLOOKUP(A11,'조인앤조인 피벗'!A:SH,3,FALSE),0)</f>
        <v>1</v>
      </c>
      <c r="D11" s="227">
        <f t="shared" si="0"/>
        <v>0</v>
      </c>
      <c r="E11" s="51" t="s">
        <v>334</v>
      </c>
      <c r="F11" s="228">
        <f t="shared" si="1"/>
        <v>1</v>
      </c>
      <c r="G11" s="67"/>
      <c r="H11" s="67"/>
    </row>
    <row r="12" spans="1:8" ht="25.35" customHeight="1" x14ac:dyDescent="0.3">
      <c r="A12" s="221" t="s">
        <v>251</v>
      </c>
      <c r="B12" s="224">
        <f t="shared" si="2"/>
        <v>20</v>
      </c>
      <c r="C12" s="227">
        <f>IFERROR(VLOOKUP(A12,'조인앤조인 피벗'!A:SH,3,FALSE),0)</f>
        <v>2</v>
      </c>
      <c r="D12" s="227">
        <f t="shared" si="0"/>
        <v>0</v>
      </c>
      <c r="E12" s="51" t="s">
        <v>274</v>
      </c>
      <c r="F12" s="228">
        <f t="shared" si="1"/>
        <v>2</v>
      </c>
      <c r="G12" s="67"/>
      <c r="H12" s="67"/>
    </row>
    <row r="13" spans="1:8" ht="25.35" customHeight="1" x14ac:dyDescent="0.3">
      <c r="A13" s="220" t="s">
        <v>252</v>
      </c>
      <c r="B13" s="224">
        <f t="shared" si="2"/>
        <v>20</v>
      </c>
      <c r="C13" s="227">
        <f>IFERROR(VLOOKUP(A13,'조인앤조인 피벗'!A:SH,3,FALSE),0)</f>
        <v>0</v>
      </c>
      <c r="D13" s="227">
        <f t="shared" si="0"/>
        <v>0</v>
      </c>
      <c r="E13" s="51" t="s">
        <v>275</v>
      </c>
      <c r="F13" s="228">
        <f t="shared" si="1"/>
        <v>0</v>
      </c>
      <c r="G13" s="67"/>
      <c r="H13" s="67"/>
    </row>
    <row r="14" spans="1:8" ht="25.35" customHeight="1" x14ac:dyDescent="0.3">
      <c r="A14" s="221" t="s">
        <v>253</v>
      </c>
      <c r="B14" s="224">
        <f t="shared" si="2"/>
        <v>20</v>
      </c>
      <c r="C14" s="227">
        <f>IFERROR(VLOOKUP(A14,'조인앤조인 피벗'!A:SH,3,FALSE),0)</f>
        <v>2</v>
      </c>
      <c r="D14" s="227">
        <f t="shared" si="0"/>
        <v>0</v>
      </c>
      <c r="E14" s="51" t="s">
        <v>276</v>
      </c>
      <c r="F14" s="228">
        <f t="shared" si="1"/>
        <v>2</v>
      </c>
      <c r="G14" s="67"/>
      <c r="H14" s="67"/>
    </row>
    <row r="15" spans="1:8" ht="25.35" customHeight="1" x14ac:dyDescent="0.3">
      <c r="A15" s="221" t="s">
        <v>254</v>
      </c>
      <c r="B15" s="224">
        <f t="shared" si="2"/>
        <v>20</v>
      </c>
      <c r="C15" s="227">
        <f>IFERROR(VLOOKUP(A15,'조인앤조인 피벗'!A:SH,3,FALSE),0)</f>
        <v>3</v>
      </c>
      <c r="D15" s="227">
        <f t="shared" si="0"/>
        <v>0</v>
      </c>
      <c r="E15" s="51" t="s">
        <v>277</v>
      </c>
      <c r="F15" s="228">
        <f t="shared" si="1"/>
        <v>3</v>
      </c>
      <c r="G15" s="67"/>
      <c r="H15" s="67"/>
    </row>
    <row r="16" spans="1:8" ht="25.35" customHeight="1" x14ac:dyDescent="0.3">
      <c r="A16" s="221" t="s">
        <v>257</v>
      </c>
      <c r="B16" s="224">
        <f t="shared" si="2"/>
        <v>20</v>
      </c>
      <c r="C16" s="227">
        <f>IFERROR(VLOOKUP(A16,'조인앤조인 피벗'!A:SH,3,FALSE),0)</f>
        <v>1</v>
      </c>
      <c r="D16" s="227">
        <f t="shared" si="0"/>
        <v>0</v>
      </c>
      <c r="E16" s="51" t="s">
        <v>279</v>
      </c>
      <c r="F16" s="228">
        <f t="shared" si="1"/>
        <v>1</v>
      </c>
      <c r="G16" s="67"/>
      <c r="H16" s="67"/>
    </row>
    <row r="17" spans="1:8" ht="25.35" customHeight="1" x14ac:dyDescent="0.3">
      <c r="A17" s="221" t="s">
        <v>258</v>
      </c>
      <c r="B17" s="224">
        <f t="shared" si="2"/>
        <v>20</v>
      </c>
      <c r="C17" s="227">
        <f>IFERROR(VLOOKUP(A17,'조인앤조인 피벗'!A:SH,3,FALSE),0)</f>
        <v>2</v>
      </c>
      <c r="D17" s="227">
        <f t="shared" si="0"/>
        <v>0</v>
      </c>
      <c r="E17" s="51" t="s">
        <v>280</v>
      </c>
      <c r="F17" s="228">
        <f t="shared" si="1"/>
        <v>2</v>
      </c>
      <c r="G17" s="67"/>
      <c r="H17" s="67"/>
    </row>
    <row r="18" spans="1:8" ht="25.35" customHeight="1" x14ac:dyDescent="0.3">
      <c r="A18" s="221" t="s">
        <v>259</v>
      </c>
      <c r="B18" s="224">
        <f t="shared" si="2"/>
        <v>20</v>
      </c>
      <c r="C18" s="227">
        <f>IFERROR(VLOOKUP(A18,'조인앤조인 피벗'!A:SH,3,FALSE),0)</f>
        <v>0</v>
      </c>
      <c r="D18" s="227">
        <f t="shared" si="0"/>
        <v>0</v>
      </c>
      <c r="E18" s="51" t="s">
        <v>336</v>
      </c>
      <c r="F18" s="228">
        <f t="shared" si="1"/>
        <v>0</v>
      </c>
      <c r="G18" s="67"/>
      <c r="H18" s="67"/>
    </row>
    <row r="19" spans="1:8" ht="4.5" customHeight="1" x14ac:dyDescent="0.3">
      <c r="A19" s="284"/>
      <c r="B19" s="285"/>
      <c r="C19" s="285"/>
      <c r="D19" s="285"/>
      <c r="E19" s="285"/>
      <c r="F19" s="286"/>
    </row>
    <row r="20" spans="1:8" ht="32.450000000000003" customHeight="1" x14ac:dyDescent="0.3">
      <c r="A20" s="211" t="s">
        <v>122</v>
      </c>
      <c r="B20" s="225">
        <f>$B$4</f>
        <v>20</v>
      </c>
      <c r="C20" s="212">
        <f>SUM(C4:C18)</f>
        <v>21</v>
      </c>
      <c r="D20" s="55">
        <f>IFERROR(ROUNDDOWN(C20/B20,0),"")</f>
        <v>1</v>
      </c>
      <c r="E20" s="213"/>
      <c r="F20" s="214">
        <f>IFERROR(C20-(D20*B20),"")</f>
        <v>1</v>
      </c>
    </row>
    <row r="21" spans="1:8" ht="4.5" customHeight="1" x14ac:dyDescent="0.3">
      <c r="A21" s="183"/>
      <c r="B21" s="224"/>
      <c r="C21" s="50"/>
      <c r="D21" s="50"/>
      <c r="E21" s="50"/>
      <c r="F21" s="184"/>
    </row>
    <row r="22" spans="1:8" ht="25.35" customHeight="1" x14ac:dyDescent="0.3">
      <c r="A22" s="221" t="s">
        <v>241</v>
      </c>
      <c r="B22" s="224">
        <f t="shared" ref="B22:B26" si="5">$B$4</f>
        <v>20</v>
      </c>
      <c r="C22" s="227">
        <f>IFERROR(VLOOKUP(A22,'조인앤조인 피벗'!A:SH,3,FALSE),0)</f>
        <v>0</v>
      </c>
      <c r="D22" s="227">
        <f>IFERROR(ROUNDDOWN(C22/B22,0),"")</f>
        <v>0</v>
      </c>
      <c r="E22" s="51" t="s">
        <v>268</v>
      </c>
      <c r="F22" s="228">
        <f>IFERROR(C22-(D22*B22),"")</f>
        <v>0</v>
      </c>
      <c r="G22" s="67"/>
      <c r="H22" s="67"/>
    </row>
    <row r="23" spans="1:8" ht="25.35" customHeight="1" x14ac:dyDescent="0.3">
      <c r="A23" s="221" t="s">
        <v>242</v>
      </c>
      <c r="B23" s="224">
        <f t="shared" si="5"/>
        <v>20</v>
      </c>
      <c r="C23" s="227">
        <f>IFERROR(VLOOKUP(A23,'조인앤조인 피벗'!A:SH,3,FALSE),0)</f>
        <v>1</v>
      </c>
      <c r="D23" s="227">
        <f>IFERROR(ROUNDDOWN(C23/B23,0),"")</f>
        <v>0</v>
      </c>
      <c r="E23" s="51" t="s">
        <v>337</v>
      </c>
      <c r="F23" s="228">
        <f>IFERROR(C23-(D23*B23),"")</f>
        <v>1</v>
      </c>
      <c r="G23" s="67"/>
      <c r="H23" s="67"/>
    </row>
    <row r="24" spans="1:8" ht="25.35" customHeight="1" x14ac:dyDescent="0.3">
      <c r="A24" s="221" t="s">
        <v>243</v>
      </c>
      <c r="B24" s="224">
        <f t="shared" si="5"/>
        <v>20</v>
      </c>
      <c r="C24" s="227">
        <f>IFERROR(VLOOKUP(A24,'조인앤조인 피벗'!A:SH,3,FALSE),0)</f>
        <v>0</v>
      </c>
      <c r="D24" s="227">
        <f>IFERROR(ROUNDDOWN(C24/B24,0),"")</f>
        <v>0</v>
      </c>
      <c r="E24" s="51" t="s">
        <v>106</v>
      </c>
      <c r="F24" s="228">
        <f>IFERROR(C24-(D24*B24),"")</f>
        <v>0</v>
      </c>
      <c r="G24" s="67"/>
      <c r="H24" s="67"/>
    </row>
    <row r="25" spans="1:8" ht="25.35" customHeight="1" x14ac:dyDescent="0.3">
      <c r="A25" s="221" t="s">
        <v>244</v>
      </c>
      <c r="B25" s="224">
        <f t="shared" si="5"/>
        <v>20</v>
      </c>
      <c r="C25" s="227">
        <f>IFERROR(VLOOKUP(A25,'조인앤조인 피벗'!A:SH,3,FALSE),0)</f>
        <v>1</v>
      </c>
      <c r="D25" s="227">
        <f>IFERROR(ROUNDDOWN(C25/B25,0),"")</f>
        <v>0</v>
      </c>
      <c r="E25" s="51" t="s">
        <v>269</v>
      </c>
      <c r="F25" s="228">
        <f>IFERROR(C25-(D25*B25),"")</f>
        <v>1</v>
      </c>
      <c r="G25" s="67"/>
      <c r="H25" s="67"/>
    </row>
    <row r="26" spans="1:8" ht="25.35" customHeight="1" x14ac:dyDescent="0.3">
      <c r="A26" s="221" t="s">
        <v>245</v>
      </c>
      <c r="B26" s="224">
        <f t="shared" si="5"/>
        <v>20</v>
      </c>
      <c r="C26" s="227">
        <f>IFERROR(VLOOKUP(A26,'조인앤조인 피벗'!A:SH,3,FALSE),0)</f>
        <v>1</v>
      </c>
      <c r="D26" s="227">
        <f>IFERROR(ROUNDDOWN(C26/B26,0),"")</f>
        <v>0</v>
      </c>
      <c r="E26" s="51" t="s">
        <v>118</v>
      </c>
      <c r="F26" s="228">
        <f>IFERROR(C26-(D26*B26),"")</f>
        <v>1</v>
      </c>
      <c r="G26" s="67"/>
      <c r="H26" s="67"/>
    </row>
    <row r="27" spans="1:8" ht="4.5" customHeight="1" x14ac:dyDescent="0.3">
      <c r="A27" s="284"/>
      <c r="B27" s="285"/>
      <c r="C27" s="285"/>
      <c r="D27" s="285"/>
      <c r="E27" s="285"/>
      <c r="F27" s="286"/>
      <c r="G27" s="67"/>
      <c r="H27" s="67"/>
    </row>
    <row r="28" spans="1:8" ht="32.450000000000003" customHeight="1" x14ac:dyDescent="0.3">
      <c r="A28" s="211" t="s">
        <v>285</v>
      </c>
      <c r="B28" s="225">
        <f>$B$4</f>
        <v>20</v>
      </c>
      <c r="C28" s="212">
        <f>SUM(C22:C26)</f>
        <v>3</v>
      </c>
      <c r="D28" s="55">
        <f>IFERROR(ROUNDDOWN(C28/B28,0),"")</f>
        <v>0</v>
      </c>
      <c r="E28" s="213"/>
      <c r="F28" s="214">
        <f>IFERROR(C28-(D28*B28),"")</f>
        <v>3</v>
      </c>
      <c r="G28" s="67"/>
      <c r="H28" s="67"/>
    </row>
    <row r="29" spans="1:8" ht="4.5" customHeight="1" x14ac:dyDescent="0.3">
      <c r="A29" s="284"/>
      <c r="B29" s="285"/>
      <c r="C29" s="285"/>
      <c r="D29" s="285"/>
      <c r="E29" s="285"/>
      <c r="F29" s="286"/>
      <c r="G29" s="67"/>
      <c r="H29" s="67"/>
    </row>
    <row r="30" spans="1:8" ht="25.35" customHeight="1" x14ac:dyDescent="0.3">
      <c r="A30" s="221" t="s">
        <v>239</v>
      </c>
      <c r="B30" s="224">
        <f t="shared" ref="B30:B31" si="6">$B$4</f>
        <v>20</v>
      </c>
      <c r="C30" s="227">
        <f>IFERROR(VLOOKUP(A30,'조인앤조인 피벗'!A:SH,3,FALSE),0)</f>
        <v>0</v>
      </c>
      <c r="D30" s="227">
        <f t="shared" ref="D30:D31" si="7">IFERROR(ROUNDDOWN(C30/B30,0),"")</f>
        <v>0</v>
      </c>
      <c r="E30" s="51" t="s">
        <v>266</v>
      </c>
      <c r="F30" s="228">
        <f t="shared" ref="F30:F31" si="8">IFERROR(C30-(D30*B30),"")</f>
        <v>0</v>
      </c>
      <c r="G30" s="67"/>
      <c r="H30" s="67"/>
    </row>
    <row r="31" spans="1:8" ht="25.35" customHeight="1" x14ac:dyDescent="0.3">
      <c r="A31" s="221" t="s">
        <v>240</v>
      </c>
      <c r="B31" s="224">
        <f t="shared" si="6"/>
        <v>20</v>
      </c>
      <c r="C31" s="227">
        <f>IFERROR(VLOOKUP(A31,'조인앤조인 피벗'!A:SH,3,FALSE),0)</f>
        <v>4</v>
      </c>
      <c r="D31" s="227">
        <f t="shared" si="7"/>
        <v>0</v>
      </c>
      <c r="E31" s="51" t="s">
        <v>267</v>
      </c>
      <c r="F31" s="228">
        <f t="shared" si="8"/>
        <v>4</v>
      </c>
      <c r="G31" s="67"/>
      <c r="H31" s="67"/>
    </row>
    <row r="32" spans="1:8" ht="4.5" customHeight="1" x14ac:dyDescent="0.3">
      <c r="A32" s="284"/>
      <c r="B32" s="285"/>
      <c r="C32" s="285"/>
      <c r="D32" s="285"/>
      <c r="E32" s="285"/>
      <c r="F32" s="286"/>
      <c r="G32" s="67"/>
      <c r="H32" s="67"/>
    </row>
    <row r="33" spans="1:8" ht="32.450000000000003" customHeight="1" x14ac:dyDescent="0.3">
      <c r="A33" s="211" t="s">
        <v>284</v>
      </c>
      <c r="B33" s="225">
        <f>$B$4</f>
        <v>20</v>
      </c>
      <c r="C33" s="212">
        <f>SUM(C30:C31)</f>
        <v>4</v>
      </c>
      <c r="D33" s="55">
        <f>IFERROR(ROUNDDOWN(C33/B33,0),"")</f>
        <v>0</v>
      </c>
      <c r="E33" s="213"/>
      <c r="F33" s="214">
        <f>IFERROR(C33-(D33*B33),"")</f>
        <v>4</v>
      </c>
      <c r="G33" s="67"/>
      <c r="H33" s="67"/>
    </row>
    <row r="34" spans="1:8" ht="4.5" customHeight="1" x14ac:dyDescent="0.3">
      <c r="A34" s="183"/>
      <c r="B34" s="224"/>
      <c r="C34" s="50"/>
      <c r="D34" s="50"/>
      <c r="E34" s="50"/>
      <c r="F34" s="184"/>
      <c r="G34" s="67"/>
      <c r="H34" s="67"/>
    </row>
    <row r="35" spans="1:8" ht="25.35" customHeight="1" x14ac:dyDescent="0.3">
      <c r="A35" s="221" t="s">
        <v>236</v>
      </c>
      <c r="B35" s="224">
        <f t="shared" ref="B35:B37" si="9">$B$4</f>
        <v>20</v>
      </c>
      <c r="C35" s="227">
        <f>IFERROR(VLOOKUP(A35,'조인앤조인 피벗'!A:SH,3,FALSE),0)</f>
        <v>1</v>
      </c>
      <c r="D35" s="227">
        <f t="shared" ref="D35:D37" si="10">IFERROR(ROUNDDOWN(C35/B35,0),"")</f>
        <v>0</v>
      </c>
      <c r="E35" s="51" t="s">
        <v>264</v>
      </c>
      <c r="F35" s="228">
        <f t="shared" ref="F35:F37" si="11">IFERROR(C35-(D35*B35),"")</f>
        <v>1</v>
      </c>
      <c r="G35" s="67"/>
      <c r="H35" s="67"/>
    </row>
    <row r="36" spans="1:8" ht="25.35" customHeight="1" x14ac:dyDescent="0.3">
      <c r="A36" s="221" t="s">
        <v>237</v>
      </c>
      <c r="B36" s="224">
        <f t="shared" si="9"/>
        <v>20</v>
      </c>
      <c r="C36" s="227">
        <f>IFERROR(VLOOKUP(A36,'조인앤조인 피벗'!A:SH,3,FALSE),0)</f>
        <v>0</v>
      </c>
      <c r="D36" s="227">
        <f t="shared" si="10"/>
        <v>0</v>
      </c>
      <c r="E36" s="51" t="s">
        <v>338</v>
      </c>
      <c r="F36" s="228">
        <f t="shared" si="11"/>
        <v>0</v>
      </c>
      <c r="G36" s="67"/>
      <c r="H36" s="67"/>
    </row>
    <row r="37" spans="1:8" ht="25.35" customHeight="1" x14ac:dyDescent="0.3">
      <c r="A37" s="221" t="s">
        <v>238</v>
      </c>
      <c r="B37" s="224">
        <f t="shared" si="9"/>
        <v>20</v>
      </c>
      <c r="C37" s="227">
        <f>IFERROR(VLOOKUP(A37,'조인앤조인 피벗'!A:SH,3,FALSE),0)</f>
        <v>3</v>
      </c>
      <c r="D37" s="227">
        <f t="shared" si="10"/>
        <v>0</v>
      </c>
      <c r="E37" s="51" t="s">
        <v>265</v>
      </c>
      <c r="F37" s="228">
        <f t="shared" si="11"/>
        <v>3</v>
      </c>
      <c r="G37" s="67"/>
      <c r="H37" s="67"/>
    </row>
    <row r="38" spans="1:8" ht="4.5" customHeight="1" x14ac:dyDescent="0.3">
      <c r="A38" s="284"/>
      <c r="B38" s="285"/>
      <c r="C38" s="285"/>
      <c r="D38" s="285"/>
      <c r="E38" s="285"/>
      <c r="F38" s="286"/>
      <c r="G38" s="67"/>
      <c r="H38" s="67"/>
    </row>
    <row r="39" spans="1:8" ht="32.450000000000003" customHeight="1" x14ac:dyDescent="0.3">
      <c r="A39" s="211" t="s">
        <v>283</v>
      </c>
      <c r="B39" s="225">
        <f>$B$4</f>
        <v>20</v>
      </c>
      <c r="C39" s="212">
        <f>SUM(C35:C37)</f>
        <v>4</v>
      </c>
      <c r="D39" s="55">
        <f>IFERROR(ROUNDDOWN(C39/B39,0),"")</f>
        <v>0</v>
      </c>
      <c r="E39" s="213"/>
      <c r="F39" s="214">
        <f>IFERROR(C39-(D39*B39),"")</f>
        <v>4</v>
      </c>
      <c r="G39" s="67"/>
      <c r="H39" s="67"/>
    </row>
    <row r="40" spans="1:8" ht="4.5" customHeight="1" x14ac:dyDescent="0.3">
      <c r="A40" s="183"/>
      <c r="B40" s="224"/>
      <c r="C40" s="50"/>
      <c r="D40" s="50"/>
      <c r="E40" s="50"/>
      <c r="F40" s="184"/>
      <c r="G40" s="67"/>
      <c r="H40" s="67"/>
    </row>
    <row r="41" spans="1:8" ht="25.35" customHeight="1" x14ac:dyDescent="0.3">
      <c r="A41" s="221" t="s">
        <v>261</v>
      </c>
      <c r="B41" s="224">
        <f t="shared" ref="B41:B42" si="12">$B$4</f>
        <v>20</v>
      </c>
      <c r="C41" s="227">
        <f>IFERROR(VLOOKUP(A41,'조인앤조인 피벗'!A:SH,3,FALSE),0)</f>
        <v>2</v>
      </c>
      <c r="D41" s="227">
        <f t="shared" ref="D41:D42" si="13">IFERROR(ROUNDDOWN(C41/B41,0),"")</f>
        <v>0</v>
      </c>
      <c r="E41" s="51" t="s">
        <v>281</v>
      </c>
      <c r="F41" s="228">
        <f t="shared" ref="F41:F42" si="14">IFERROR(C41-(D41*B41),"")</f>
        <v>2</v>
      </c>
      <c r="G41" s="67"/>
      <c r="H41" s="67"/>
    </row>
    <row r="42" spans="1:8" ht="25.35" customHeight="1" x14ac:dyDescent="0.3">
      <c r="A42" s="221" t="s">
        <v>262</v>
      </c>
      <c r="B42" s="224">
        <f t="shared" si="12"/>
        <v>20</v>
      </c>
      <c r="C42" s="227">
        <f>IFERROR(VLOOKUP(A42,'조인앤조인 피벗'!A:SH,3,FALSE),0)</f>
        <v>0</v>
      </c>
      <c r="D42" s="227">
        <f t="shared" si="13"/>
        <v>0</v>
      </c>
      <c r="E42" s="51" t="s">
        <v>282</v>
      </c>
      <c r="F42" s="228">
        <f t="shared" si="14"/>
        <v>0</v>
      </c>
      <c r="G42" s="67"/>
      <c r="H42" s="67"/>
    </row>
    <row r="43" spans="1:8" ht="4.5" customHeight="1" x14ac:dyDescent="0.3">
      <c r="A43" s="284"/>
      <c r="B43" s="285"/>
      <c r="C43" s="285"/>
      <c r="D43" s="285"/>
      <c r="E43" s="285"/>
      <c r="F43" s="286"/>
      <c r="G43" s="67"/>
      <c r="H43" s="67"/>
    </row>
    <row r="44" spans="1:8" ht="32.450000000000003" customHeight="1" x14ac:dyDescent="0.3">
      <c r="A44" s="211" t="s">
        <v>339</v>
      </c>
      <c r="B44" s="225">
        <f>$B$4</f>
        <v>20</v>
      </c>
      <c r="C44" s="212">
        <f>SUM(C41:C42)</f>
        <v>2</v>
      </c>
      <c r="D44" s="55">
        <f>IFERROR(ROUNDDOWN(C44/B44,0),"")</f>
        <v>0</v>
      </c>
      <c r="E44" s="213"/>
      <c r="F44" s="214">
        <f>IFERROR(C44-(D44*B44),"")</f>
        <v>2</v>
      </c>
      <c r="G44" s="67"/>
      <c r="H44" s="67"/>
    </row>
    <row r="45" spans="1:8" ht="4.5" customHeight="1" thickBot="1" x14ac:dyDescent="0.35">
      <c r="A45" s="183"/>
      <c r="B45" s="50"/>
      <c r="C45" s="50"/>
      <c r="D45" s="50"/>
      <c r="E45" s="50"/>
      <c r="F45" s="184"/>
      <c r="G45" s="67"/>
      <c r="H45" s="67"/>
    </row>
    <row r="46" spans="1:8" ht="26.25" x14ac:dyDescent="0.3">
      <c r="A46" s="87" t="s">
        <v>3</v>
      </c>
      <c r="B46" s="226">
        <f>$B$4</f>
        <v>20</v>
      </c>
      <c r="C46" s="55">
        <f>SUM(C4:C18,C35:C37,C30:C31,C22:C26,C41:C42)</f>
        <v>34</v>
      </c>
      <c r="D46" s="54">
        <f>IFERROR(ROUNDDOWN(C46/B46,0),"")</f>
        <v>1</v>
      </c>
      <c r="E46" s="56"/>
      <c r="F46" s="121">
        <f>IFERROR(C46-(D46*B46),"")</f>
        <v>14</v>
      </c>
      <c r="G46" s="232" t="s">
        <v>110</v>
      </c>
      <c r="H46" s="233" t="s">
        <v>111</v>
      </c>
    </row>
    <row r="47" spans="1:8" ht="27" thickBot="1" x14ac:dyDescent="0.35">
      <c r="A47" s="42" t="s">
        <v>286</v>
      </c>
      <c r="B47" s="43" t="s">
        <v>173</v>
      </c>
      <c r="C47" s="40"/>
      <c r="D47" s="41">
        <f>SUM(D4:D18,D35:D37,D30:D31,D22:D26,D41:D42)</f>
        <v>0</v>
      </c>
      <c r="E47" s="48"/>
      <c r="F47" s="93">
        <f>SUM(F4:F18,F35:F37,F30:F31,F22:F26,F41:F42)</f>
        <v>34</v>
      </c>
      <c r="G47" s="216">
        <f>IFERROR(ROUNDDOWN(F47/B35,0),"")</f>
        <v>1</v>
      </c>
      <c r="H47" s="217">
        <f>IFERROR(F47-(G47*B35),"")</f>
        <v>14</v>
      </c>
    </row>
    <row r="48" spans="1:8" ht="22.5" customHeight="1" x14ac:dyDescent="0.3">
      <c r="C48" s="77">
        <f>C20+C28+C33+C39+C44</f>
        <v>34</v>
      </c>
      <c r="G48" s="199"/>
      <c r="H48" s="34" t="s">
        <v>174</v>
      </c>
    </row>
    <row r="49" spans="3:3" x14ac:dyDescent="0.3">
      <c r="C49" s="34" t="b">
        <f>C48=C46</f>
        <v>1</v>
      </c>
    </row>
  </sheetData>
  <mergeCells count="8">
    <mergeCell ref="A43:F43"/>
    <mergeCell ref="A38:F38"/>
    <mergeCell ref="A1:F1"/>
    <mergeCell ref="B2:F2"/>
    <mergeCell ref="A19:F19"/>
    <mergeCell ref="A27:F27"/>
    <mergeCell ref="A29:F29"/>
    <mergeCell ref="A32:F32"/>
  </mergeCells>
  <phoneticPr fontId="13" type="noConversion"/>
  <printOptions horizontalCentered="1" verticalCentered="1"/>
  <pageMargins left="0" right="0" top="0" bottom="0" header="0" footer="0"/>
  <pageSetup paperSize="9" scale="77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37B618-1ECE-4B20-A2DE-A7B1E2FBB851}">
  <sheetPr>
    <tabColor rgb="FFFFFF00"/>
    <pageSetUpPr fitToPage="1"/>
  </sheetPr>
  <dimension ref="A1:K49"/>
  <sheetViews>
    <sheetView zoomScale="40" zoomScaleNormal="40" zoomScaleSheetLayoutView="75" workbookViewId="0">
      <selection activeCell="A2" sqref="A2:F47"/>
    </sheetView>
  </sheetViews>
  <sheetFormatPr defaultColWidth="9" defaultRowHeight="16.5" x14ac:dyDescent="0.3"/>
  <cols>
    <col min="1" max="1" width="24.75" style="34" customWidth="1"/>
    <col min="2" max="2" width="7.625" style="38" customWidth="1"/>
    <col min="3" max="3" width="30.625" style="34" customWidth="1"/>
    <col min="4" max="4" width="9.875" style="2" customWidth="1"/>
    <col min="5" max="5" width="11.375" style="34" customWidth="1"/>
    <col min="6" max="6" width="11.125" style="2" customWidth="1"/>
    <col min="7" max="7" width="8.375" style="34" customWidth="1"/>
    <col min="8" max="8" width="9" style="34" customWidth="1"/>
    <col min="9" max="13" width="9" style="34"/>
    <col min="14" max="14" width="10.625" style="34" customWidth="1"/>
    <col min="15" max="17" width="9" style="34"/>
    <col min="18" max="18" width="36.5" style="34" bestFit="1" customWidth="1"/>
    <col min="19" max="16384" width="9" style="34"/>
  </cols>
  <sheetData>
    <row r="1" spans="1:11" ht="25.9" customHeight="1" thickBot="1" x14ac:dyDescent="0.35">
      <c r="A1" s="270"/>
      <c r="B1" s="270"/>
      <c r="C1" s="270"/>
      <c r="D1" s="270"/>
      <c r="E1" s="270"/>
      <c r="F1" s="270"/>
    </row>
    <row r="2" spans="1:11" ht="25.9" customHeight="1" x14ac:dyDescent="0.3">
      <c r="A2" s="215">
        <f ca="1">TODAY()</f>
        <v>46314</v>
      </c>
      <c r="B2" s="287" t="s">
        <v>175</v>
      </c>
      <c r="C2" s="287"/>
      <c r="D2" s="287"/>
      <c r="E2" s="287"/>
      <c r="F2" s="288"/>
      <c r="G2" s="67"/>
      <c r="H2" s="67"/>
    </row>
    <row r="3" spans="1:11" ht="40.5" customHeight="1" x14ac:dyDescent="0.3">
      <c r="A3" s="222" t="s">
        <v>67</v>
      </c>
      <c r="B3" s="223" t="s">
        <v>13</v>
      </c>
      <c r="C3" s="229" t="s">
        <v>305</v>
      </c>
      <c r="D3" s="230" t="s">
        <v>2</v>
      </c>
      <c r="E3" s="229" t="s">
        <v>23</v>
      </c>
      <c r="F3" s="231" t="s">
        <v>14</v>
      </c>
      <c r="G3" s="67"/>
      <c r="H3" s="67"/>
    </row>
    <row r="4" spans="1:11" ht="25.35" customHeight="1" x14ac:dyDescent="0.3">
      <c r="A4" s="220" t="s">
        <v>260</v>
      </c>
      <c r="B4" s="224">
        <v>48</v>
      </c>
      <c r="C4" s="227">
        <f>IFERROR(VLOOKUP(A4,'조인앤조인 피벗'!A:SH,4,FALSE),0)</f>
        <v>16</v>
      </c>
      <c r="D4" s="227">
        <f t="shared" ref="D4:D18" si="0">IFERROR(ROUNDDOWN(C4/B4,0),"")</f>
        <v>0</v>
      </c>
      <c r="E4" s="51" t="s">
        <v>109</v>
      </c>
      <c r="F4" s="228">
        <f t="shared" ref="F4:F18" si="1">IFERROR(C4-(D4*B4),"")</f>
        <v>16</v>
      </c>
      <c r="G4" s="67"/>
      <c r="H4" s="67"/>
      <c r="J4" s="73"/>
      <c r="K4" s="73"/>
    </row>
    <row r="5" spans="1:11" ht="25.35" customHeight="1" x14ac:dyDescent="0.3">
      <c r="A5" s="221" t="s">
        <v>255</v>
      </c>
      <c r="B5" s="224">
        <f t="shared" ref="B5:B18" si="2">$B$4</f>
        <v>48</v>
      </c>
      <c r="C5" s="227">
        <f>IFERROR(VLOOKUP(A5,'조인앤조인 피벗'!A:SH,4,FALSE),0)</f>
        <v>280</v>
      </c>
      <c r="D5" s="227">
        <f t="shared" ref="D5" si="3">IFERROR(ROUNDDOWN(C5/B5,0),"")</f>
        <v>5</v>
      </c>
      <c r="E5" s="51" t="s">
        <v>335</v>
      </c>
      <c r="F5" s="228">
        <f t="shared" ref="F5" si="4">IFERROR(C5-(D5*B5),"")</f>
        <v>40</v>
      </c>
      <c r="G5" s="67"/>
      <c r="H5" s="67"/>
      <c r="J5" s="73"/>
      <c r="K5" s="73"/>
    </row>
    <row r="6" spans="1:11" ht="25.35" customHeight="1" x14ac:dyDescent="0.3">
      <c r="A6" s="221" t="s">
        <v>249</v>
      </c>
      <c r="B6" s="224">
        <f t="shared" si="2"/>
        <v>48</v>
      </c>
      <c r="C6" s="227">
        <f>IFERROR(VLOOKUP(A6,'조인앤조인 피벗'!A:SH,4,FALSE),0)</f>
        <v>148</v>
      </c>
      <c r="D6" s="227">
        <f>IFERROR(ROUNDDOWN(C6/B6,0),"")</f>
        <v>3</v>
      </c>
      <c r="E6" s="51" t="s">
        <v>272</v>
      </c>
      <c r="F6" s="228">
        <f>IFERROR(C6-(D6*B6),"")</f>
        <v>4</v>
      </c>
      <c r="G6" s="67"/>
      <c r="H6" s="67"/>
      <c r="J6" s="73"/>
      <c r="K6" s="73"/>
    </row>
    <row r="7" spans="1:11" ht="25.35" customHeight="1" x14ac:dyDescent="0.3">
      <c r="A7" s="221" t="s">
        <v>250</v>
      </c>
      <c r="B7" s="224">
        <f t="shared" si="2"/>
        <v>48</v>
      </c>
      <c r="C7" s="227">
        <f>IFERROR(VLOOKUP(A7,'조인앤조인 피벗'!A:SH,4,FALSE),0)</f>
        <v>144</v>
      </c>
      <c r="D7" s="227">
        <f>IFERROR(ROUNDDOWN(C7/B7,0),"")</f>
        <v>3</v>
      </c>
      <c r="E7" s="51" t="s">
        <v>273</v>
      </c>
      <c r="F7" s="228">
        <f>IFERROR(C7-(D7*B7),"")</f>
        <v>0</v>
      </c>
      <c r="G7" s="67"/>
      <c r="H7" s="67"/>
      <c r="J7" s="73"/>
      <c r="K7" s="73"/>
    </row>
    <row r="8" spans="1:11" ht="25.35" customHeight="1" x14ac:dyDescent="0.3">
      <c r="A8" s="221" t="s">
        <v>248</v>
      </c>
      <c r="B8" s="224">
        <f t="shared" si="2"/>
        <v>48</v>
      </c>
      <c r="C8" s="227">
        <f>IFERROR(VLOOKUP(A8,'조인앤조인 피벗'!A:SH,4,FALSE),0)</f>
        <v>96</v>
      </c>
      <c r="D8" s="227">
        <f>IFERROR(ROUNDDOWN(C8/B8,0),"")</f>
        <v>2</v>
      </c>
      <c r="E8" s="51" t="s">
        <v>271</v>
      </c>
      <c r="F8" s="228">
        <f>IFERROR(C8-(D8*B8),"")</f>
        <v>0</v>
      </c>
      <c r="G8" s="67"/>
      <c r="H8" s="67"/>
      <c r="J8" s="73"/>
      <c r="K8" s="73"/>
    </row>
    <row r="9" spans="1:11" ht="25.35" customHeight="1" x14ac:dyDescent="0.3">
      <c r="A9" s="221" t="s">
        <v>246</v>
      </c>
      <c r="B9" s="224">
        <f t="shared" si="2"/>
        <v>48</v>
      </c>
      <c r="C9" s="227">
        <f>IFERROR(VLOOKUP(A9,'조인앤조인 피벗'!A:SH,4,FALSE),0)</f>
        <v>112</v>
      </c>
      <c r="D9" s="227">
        <f t="shared" si="0"/>
        <v>2</v>
      </c>
      <c r="E9" s="51" t="s">
        <v>270</v>
      </c>
      <c r="F9" s="228">
        <f t="shared" si="1"/>
        <v>16</v>
      </c>
      <c r="G9" s="67"/>
      <c r="H9" s="67"/>
      <c r="J9" s="73"/>
      <c r="K9" s="73"/>
    </row>
    <row r="10" spans="1:11" ht="25.35" customHeight="1" x14ac:dyDescent="0.3">
      <c r="A10" s="221" t="s">
        <v>256</v>
      </c>
      <c r="B10" s="224">
        <f t="shared" si="2"/>
        <v>48</v>
      </c>
      <c r="C10" s="227">
        <f>IFERROR(VLOOKUP(A10,'조인앤조인 피벗'!A:SH,4,FALSE),0)</f>
        <v>76</v>
      </c>
      <c r="D10" s="227">
        <f>IFERROR(ROUNDDOWN(C10/B10,0),"")</f>
        <v>1</v>
      </c>
      <c r="E10" s="51" t="s">
        <v>278</v>
      </c>
      <c r="F10" s="228">
        <f>IFERROR(C10-(D10*B10),"")</f>
        <v>28</v>
      </c>
      <c r="G10" s="67"/>
      <c r="H10" s="67"/>
      <c r="J10" s="73"/>
      <c r="K10" s="73"/>
    </row>
    <row r="11" spans="1:11" ht="25.35" customHeight="1" x14ac:dyDescent="0.3">
      <c r="A11" s="221" t="s">
        <v>247</v>
      </c>
      <c r="B11" s="224">
        <f t="shared" si="2"/>
        <v>48</v>
      </c>
      <c r="C11" s="227">
        <f>IFERROR(VLOOKUP(A11,'조인앤조인 피벗'!A:SH,4,FALSE),0)</f>
        <v>88</v>
      </c>
      <c r="D11" s="227">
        <f t="shared" si="0"/>
        <v>1</v>
      </c>
      <c r="E11" s="51" t="s">
        <v>334</v>
      </c>
      <c r="F11" s="228">
        <f t="shared" si="1"/>
        <v>40</v>
      </c>
      <c r="G11" s="67"/>
      <c r="H11" s="67"/>
      <c r="J11" s="73"/>
      <c r="K11" s="73"/>
    </row>
    <row r="12" spans="1:11" ht="25.35" customHeight="1" x14ac:dyDescent="0.3">
      <c r="A12" s="221" t="s">
        <v>251</v>
      </c>
      <c r="B12" s="224">
        <f t="shared" si="2"/>
        <v>48</v>
      </c>
      <c r="C12" s="227">
        <f>IFERROR(VLOOKUP(A12,'조인앤조인 피벗'!A:SH,4,FALSE),0)</f>
        <v>84</v>
      </c>
      <c r="D12" s="227">
        <f t="shared" si="0"/>
        <v>1</v>
      </c>
      <c r="E12" s="51" t="s">
        <v>274</v>
      </c>
      <c r="F12" s="228">
        <f t="shared" si="1"/>
        <v>36</v>
      </c>
      <c r="G12" s="67"/>
      <c r="H12" s="67"/>
      <c r="J12" s="73"/>
      <c r="K12" s="73"/>
    </row>
    <row r="13" spans="1:11" ht="25.35" customHeight="1" x14ac:dyDescent="0.3">
      <c r="A13" s="220" t="s">
        <v>252</v>
      </c>
      <c r="B13" s="224">
        <f t="shared" si="2"/>
        <v>48</v>
      </c>
      <c r="C13" s="227">
        <f>IFERROR(VLOOKUP(A13,'조인앤조인 피벗'!A:SH,4,FALSE),0)</f>
        <v>112</v>
      </c>
      <c r="D13" s="227">
        <f t="shared" si="0"/>
        <v>2</v>
      </c>
      <c r="E13" s="51" t="s">
        <v>275</v>
      </c>
      <c r="F13" s="228">
        <f t="shared" si="1"/>
        <v>16</v>
      </c>
      <c r="G13" s="67"/>
      <c r="H13" s="67"/>
      <c r="J13" s="73"/>
      <c r="K13" s="73"/>
    </row>
    <row r="14" spans="1:11" ht="25.35" customHeight="1" x14ac:dyDescent="0.3">
      <c r="A14" s="221" t="s">
        <v>253</v>
      </c>
      <c r="B14" s="224">
        <f t="shared" si="2"/>
        <v>48</v>
      </c>
      <c r="C14" s="227">
        <f>IFERROR(VLOOKUP(A14,'조인앤조인 피벗'!A:SH,4,FALSE),0)</f>
        <v>288</v>
      </c>
      <c r="D14" s="227">
        <f t="shared" si="0"/>
        <v>6</v>
      </c>
      <c r="E14" s="51" t="s">
        <v>276</v>
      </c>
      <c r="F14" s="228">
        <f t="shared" si="1"/>
        <v>0</v>
      </c>
      <c r="G14" s="67"/>
      <c r="H14" s="67"/>
      <c r="J14" s="73"/>
      <c r="K14" s="73"/>
    </row>
    <row r="15" spans="1:11" ht="25.35" customHeight="1" x14ac:dyDescent="0.3">
      <c r="A15" s="221" t="s">
        <v>254</v>
      </c>
      <c r="B15" s="224">
        <f t="shared" si="2"/>
        <v>48</v>
      </c>
      <c r="C15" s="227">
        <f>IFERROR(VLOOKUP(A15,'조인앤조인 피벗'!A:SH,4,FALSE),0)</f>
        <v>260</v>
      </c>
      <c r="D15" s="227">
        <f t="shared" si="0"/>
        <v>5</v>
      </c>
      <c r="E15" s="51" t="s">
        <v>277</v>
      </c>
      <c r="F15" s="228">
        <f t="shared" si="1"/>
        <v>20</v>
      </c>
      <c r="G15" s="67"/>
      <c r="H15" s="67"/>
      <c r="J15" s="73"/>
      <c r="K15" s="73"/>
    </row>
    <row r="16" spans="1:11" ht="25.35" customHeight="1" x14ac:dyDescent="0.3">
      <c r="A16" s="221" t="s">
        <v>257</v>
      </c>
      <c r="B16" s="224">
        <f t="shared" si="2"/>
        <v>48</v>
      </c>
      <c r="C16" s="227">
        <f>IFERROR(VLOOKUP(A16,'조인앤조인 피벗'!A:SH,4,FALSE),0)</f>
        <v>44</v>
      </c>
      <c r="D16" s="227">
        <f t="shared" si="0"/>
        <v>0</v>
      </c>
      <c r="E16" s="51" t="s">
        <v>279</v>
      </c>
      <c r="F16" s="228">
        <f t="shared" si="1"/>
        <v>44</v>
      </c>
      <c r="G16" s="67"/>
      <c r="H16" s="67"/>
      <c r="J16" s="73"/>
      <c r="K16" s="73"/>
    </row>
    <row r="17" spans="1:11" ht="25.35" customHeight="1" x14ac:dyDescent="0.3">
      <c r="A17" s="221" t="s">
        <v>258</v>
      </c>
      <c r="B17" s="224">
        <f t="shared" si="2"/>
        <v>48</v>
      </c>
      <c r="C17" s="227">
        <f>IFERROR(VLOOKUP(A17,'조인앤조인 피벗'!A:SH,4,FALSE),0)</f>
        <v>48</v>
      </c>
      <c r="D17" s="227">
        <f t="shared" si="0"/>
        <v>1</v>
      </c>
      <c r="E17" s="51" t="s">
        <v>280</v>
      </c>
      <c r="F17" s="228">
        <f t="shared" si="1"/>
        <v>0</v>
      </c>
      <c r="G17" s="67"/>
      <c r="H17" s="67"/>
      <c r="J17" s="73"/>
      <c r="K17" s="73"/>
    </row>
    <row r="18" spans="1:11" ht="25.35" customHeight="1" x14ac:dyDescent="0.3">
      <c r="A18" s="221" t="s">
        <v>259</v>
      </c>
      <c r="B18" s="224">
        <f t="shared" si="2"/>
        <v>48</v>
      </c>
      <c r="C18" s="227">
        <f>IFERROR(VLOOKUP(A18,'조인앤조인 피벗'!A:SH,4,FALSE),0)</f>
        <v>104</v>
      </c>
      <c r="D18" s="227">
        <f t="shared" si="0"/>
        <v>2</v>
      </c>
      <c r="E18" s="51" t="s">
        <v>336</v>
      </c>
      <c r="F18" s="228">
        <f t="shared" si="1"/>
        <v>8</v>
      </c>
      <c r="G18" s="67"/>
      <c r="H18" s="67"/>
      <c r="J18" s="73"/>
      <c r="K18" s="73"/>
    </row>
    <row r="19" spans="1:11" ht="4.5" customHeight="1" x14ac:dyDescent="0.3">
      <c r="A19" s="284"/>
      <c r="B19" s="285"/>
      <c r="C19" s="285"/>
      <c r="D19" s="285"/>
      <c r="E19" s="285"/>
      <c r="F19" s="286"/>
      <c r="J19" s="73"/>
      <c r="K19" s="73"/>
    </row>
    <row r="20" spans="1:11" ht="32.450000000000003" customHeight="1" x14ac:dyDescent="0.3">
      <c r="A20" s="211" t="s">
        <v>122</v>
      </c>
      <c r="B20" s="225">
        <f>$B$4</f>
        <v>48</v>
      </c>
      <c r="C20" s="212">
        <f>SUM(C4:C18)</f>
        <v>1900</v>
      </c>
      <c r="D20" s="55">
        <f>IFERROR(ROUNDDOWN(C20/B20,0),"")</f>
        <v>39</v>
      </c>
      <c r="E20" s="213"/>
      <c r="F20" s="214">
        <f>IFERROR(C20-(D20*B20),"")</f>
        <v>28</v>
      </c>
      <c r="J20" s="73"/>
      <c r="K20" s="73"/>
    </row>
    <row r="21" spans="1:11" ht="4.5" customHeight="1" x14ac:dyDescent="0.3">
      <c r="A21" s="183"/>
      <c r="B21" s="224"/>
      <c r="C21" s="50"/>
      <c r="D21" s="50"/>
      <c r="E21" s="50"/>
      <c r="F21" s="184"/>
      <c r="J21" s="73"/>
      <c r="K21" s="73"/>
    </row>
    <row r="22" spans="1:11" ht="25.35" customHeight="1" x14ac:dyDescent="0.3">
      <c r="A22" s="221" t="s">
        <v>241</v>
      </c>
      <c r="B22" s="224">
        <f t="shared" ref="B22:B26" si="5">$B$4</f>
        <v>48</v>
      </c>
      <c r="C22" s="227">
        <f>IFERROR(VLOOKUP(A22,'조인앤조인 피벗'!A:SH,4,FALSE),0)</f>
        <v>132</v>
      </c>
      <c r="D22" s="227">
        <f>IFERROR(ROUNDDOWN(C22/B22,0),"")</f>
        <v>2</v>
      </c>
      <c r="E22" s="51" t="s">
        <v>268</v>
      </c>
      <c r="F22" s="228">
        <f>IFERROR(C22-(D22*B22),"")</f>
        <v>36</v>
      </c>
      <c r="G22" s="67"/>
      <c r="H22" s="67"/>
      <c r="J22" s="73"/>
      <c r="K22" s="73"/>
    </row>
    <row r="23" spans="1:11" ht="25.35" customHeight="1" x14ac:dyDescent="0.3">
      <c r="A23" s="221" t="s">
        <v>242</v>
      </c>
      <c r="B23" s="224">
        <f t="shared" si="5"/>
        <v>48</v>
      </c>
      <c r="C23" s="227">
        <f>IFERROR(VLOOKUP(A23,'조인앤조인 피벗'!A:SH,4,FALSE),0)</f>
        <v>56</v>
      </c>
      <c r="D23" s="227">
        <f>IFERROR(ROUNDDOWN(C23/B23,0),"")</f>
        <v>1</v>
      </c>
      <c r="E23" s="51" t="s">
        <v>337</v>
      </c>
      <c r="F23" s="228">
        <f>IFERROR(C23-(D23*B23),"")</f>
        <v>8</v>
      </c>
      <c r="G23" s="67"/>
      <c r="H23" s="67"/>
      <c r="J23" s="73"/>
      <c r="K23" s="73"/>
    </row>
    <row r="24" spans="1:11" ht="25.35" customHeight="1" x14ac:dyDescent="0.3">
      <c r="A24" s="221" t="s">
        <v>243</v>
      </c>
      <c r="B24" s="224">
        <f t="shared" si="5"/>
        <v>48</v>
      </c>
      <c r="C24" s="227">
        <f>IFERROR(VLOOKUP(A24,'조인앤조인 피벗'!A:SH,4,FALSE),0)</f>
        <v>0</v>
      </c>
      <c r="D24" s="227">
        <f>IFERROR(ROUNDDOWN(C24/B24,0),"")</f>
        <v>0</v>
      </c>
      <c r="E24" s="51" t="s">
        <v>106</v>
      </c>
      <c r="F24" s="228">
        <f>IFERROR(C24-(D24*B24),"")</f>
        <v>0</v>
      </c>
      <c r="G24" s="67"/>
      <c r="H24" s="67"/>
      <c r="J24" s="73"/>
      <c r="K24" s="73"/>
    </row>
    <row r="25" spans="1:11" ht="25.35" customHeight="1" x14ac:dyDescent="0.3">
      <c r="A25" s="221" t="s">
        <v>244</v>
      </c>
      <c r="B25" s="224">
        <f t="shared" si="5"/>
        <v>48</v>
      </c>
      <c r="C25" s="227">
        <f>IFERROR(VLOOKUP(A25,'조인앤조인 피벗'!A:SH,4,FALSE),0)</f>
        <v>116</v>
      </c>
      <c r="D25" s="227">
        <f>IFERROR(ROUNDDOWN(C25/B25,0),"")</f>
        <v>2</v>
      </c>
      <c r="E25" s="51" t="s">
        <v>269</v>
      </c>
      <c r="F25" s="228">
        <f>IFERROR(C25-(D25*B25),"")</f>
        <v>20</v>
      </c>
      <c r="G25" s="67"/>
      <c r="H25" s="67"/>
      <c r="J25" s="73"/>
      <c r="K25" s="73"/>
    </row>
    <row r="26" spans="1:11" ht="25.35" customHeight="1" x14ac:dyDescent="0.3">
      <c r="A26" s="221" t="s">
        <v>245</v>
      </c>
      <c r="B26" s="224">
        <f t="shared" si="5"/>
        <v>48</v>
      </c>
      <c r="C26" s="227">
        <f>IFERROR(VLOOKUP(A26,'조인앤조인 피벗'!A:SH,4,FALSE),0)</f>
        <v>44</v>
      </c>
      <c r="D26" s="227">
        <f>IFERROR(ROUNDDOWN(C26/B26,0),"")</f>
        <v>0</v>
      </c>
      <c r="E26" s="51" t="s">
        <v>118</v>
      </c>
      <c r="F26" s="228">
        <f>IFERROR(C26-(D26*B26),"")</f>
        <v>44</v>
      </c>
      <c r="G26" s="67"/>
      <c r="H26" s="67"/>
      <c r="J26" s="73"/>
      <c r="K26" s="73"/>
    </row>
    <row r="27" spans="1:11" ht="4.5" customHeight="1" x14ac:dyDescent="0.3">
      <c r="A27" s="284"/>
      <c r="B27" s="285"/>
      <c r="C27" s="285"/>
      <c r="D27" s="285"/>
      <c r="E27" s="285"/>
      <c r="F27" s="286"/>
      <c r="G27" s="67"/>
      <c r="H27" s="67"/>
      <c r="J27" s="73"/>
      <c r="K27" s="73"/>
    </row>
    <row r="28" spans="1:11" ht="32.450000000000003" customHeight="1" x14ac:dyDescent="0.3">
      <c r="A28" s="211" t="s">
        <v>285</v>
      </c>
      <c r="B28" s="225">
        <f>$B$4</f>
        <v>48</v>
      </c>
      <c r="C28" s="212">
        <f>SUM(C22:C26)</f>
        <v>348</v>
      </c>
      <c r="D28" s="55">
        <f>IFERROR(ROUNDDOWN(C28/B28,0),"")</f>
        <v>7</v>
      </c>
      <c r="E28" s="213"/>
      <c r="F28" s="214">
        <f>IFERROR(C28-(D28*B28),"")</f>
        <v>12</v>
      </c>
      <c r="G28" s="67"/>
      <c r="H28" s="67"/>
      <c r="J28" s="73"/>
      <c r="K28" s="73"/>
    </row>
    <row r="29" spans="1:11" ht="4.5" customHeight="1" x14ac:dyDescent="0.3">
      <c r="A29" s="284"/>
      <c r="B29" s="285"/>
      <c r="C29" s="285"/>
      <c r="D29" s="285"/>
      <c r="E29" s="285"/>
      <c r="F29" s="286"/>
      <c r="G29" s="67"/>
      <c r="H29" s="67"/>
      <c r="J29" s="73"/>
      <c r="K29" s="73"/>
    </row>
    <row r="30" spans="1:11" ht="25.35" customHeight="1" x14ac:dyDescent="0.3">
      <c r="A30" s="221" t="s">
        <v>239</v>
      </c>
      <c r="B30" s="224">
        <f t="shared" ref="B30:B31" si="6">$B$4</f>
        <v>48</v>
      </c>
      <c r="C30" s="227">
        <f>IFERROR(VLOOKUP(A30,'조인앤조인 피벗'!A:SH,4,FALSE),0)</f>
        <v>52</v>
      </c>
      <c r="D30" s="227">
        <f t="shared" ref="D30:D31" si="7">IFERROR(ROUNDDOWN(C30/B30,0),"")</f>
        <v>1</v>
      </c>
      <c r="E30" s="51" t="s">
        <v>266</v>
      </c>
      <c r="F30" s="228">
        <f t="shared" ref="F30:F31" si="8">IFERROR(C30-(D30*B30),"")</f>
        <v>4</v>
      </c>
      <c r="G30" s="67"/>
      <c r="H30" s="67"/>
      <c r="J30" s="73"/>
      <c r="K30" s="73"/>
    </row>
    <row r="31" spans="1:11" ht="25.35" customHeight="1" x14ac:dyDescent="0.3">
      <c r="A31" s="221" t="s">
        <v>240</v>
      </c>
      <c r="B31" s="224">
        <f t="shared" si="6"/>
        <v>48</v>
      </c>
      <c r="C31" s="227">
        <f>IFERROR(VLOOKUP(A31,'조인앤조인 피벗'!A:SH,4,FALSE),0)</f>
        <v>96</v>
      </c>
      <c r="D31" s="227">
        <f t="shared" si="7"/>
        <v>2</v>
      </c>
      <c r="E31" s="51" t="s">
        <v>267</v>
      </c>
      <c r="F31" s="228">
        <f t="shared" si="8"/>
        <v>0</v>
      </c>
      <c r="G31" s="67"/>
      <c r="H31" s="67"/>
      <c r="J31" s="73"/>
      <c r="K31" s="73"/>
    </row>
    <row r="32" spans="1:11" ht="4.5" customHeight="1" x14ac:dyDescent="0.3">
      <c r="A32" s="284"/>
      <c r="B32" s="285"/>
      <c r="C32" s="285"/>
      <c r="D32" s="285"/>
      <c r="E32" s="285"/>
      <c r="F32" s="286"/>
      <c r="G32" s="67"/>
      <c r="H32" s="67"/>
      <c r="J32" s="73"/>
      <c r="K32" s="73"/>
    </row>
    <row r="33" spans="1:11" ht="32.450000000000003" customHeight="1" x14ac:dyDescent="0.3">
      <c r="A33" s="211" t="s">
        <v>284</v>
      </c>
      <c r="B33" s="225">
        <f>$B$4</f>
        <v>48</v>
      </c>
      <c r="C33" s="212">
        <f>SUM(C30:C31)</f>
        <v>148</v>
      </c>
      <c r="D33" s="55">
        <f>IFERROR(ROUNDDOWN(C33/B33,0),"")</f>
        <v>3</v>
      </c>
      <c r="E33" s="213"/>
      <c r="F33" s="214">
        <f>IFERROR(C33-(D33*B33),"")</f>
        <v>4</v>
      </c>
      <c r="G33" s="67"/>
      <c r="H33" s="67"/>
      <c r="J33" s="73"/>
      <c r="K33" s="73"/>
    </row>
    <row r="34" spans="1:11" ht="4.5" customHeight="1" x14ac:dyDescent="0.3">
      <c r="A34" s="183"/>
      <c r="B34" s="224"/>
      <c r="C34" s="50"/>
      <c r="D34" s="50"/>
      <c r="E34" s="50"/>
      <c r="F34" s="184"/>
      <c r="G34" s="67"/>
      <c r="H34" s="67"/>
      <c r="J34" s="73"/>
      <c r="K34" s="73"/>
    </row>
    <row r="35" spans="1:11" ht="25.35" customHeight="1" x14ac:dyDescent="0.3">
      <c r="A35" s="221" t="s">
        <v>236</v>
      </c>
      <c r="B35" s="224">
        <f t="shared" ref="B35:B37" si="9">$B$4</f>
        <v>48</v>
      </c>
      <c r="C35" s="227">
        <f>IFERROR(VLOOKUP(A35,'조인앤조인 피벗'!A:SH,4,FALSE),0)</f>
        <v>92</v>
      </c>
      <c r="D35" s="227">
        <f>IFERROR(ROUNDDOWN(C35/B35,0),"")</f>
        <v>1</v>
      </c>
      <c r="E35" s="51" t="s">
        <v>264</v>
      </c>
      <c r="F35" s="228">
        <f>IFERROR(C35-(D35*B35),"")</f>
        <v>44</v>
      </c>
      <c r="G35" s="67"/>
      <c r="H35" s="67"/>
      <c r="J35" s="73"/>
      <c r="K35" s="73"/>
    </row>
    <row r="36" spans="1:11" ht="25.35" customHeight="1" x14ac:dyDescent="0.3">
      <c r="A36" s="221" t="s">
        <v>237</v>
      </c>
      <c r="B36" s="224">
        <f t="shared" si="9"/>
        <v>48</v>
      </c>
      <c r="C36" s="227">
        <f>IFERROR(VLOOKUP(A36,'조인앤조인 피벗'!A:SH,4,FALSE),0)</f>
        <v>48</v>
      </c>
      <c r="D36" s="227">
        <f t="shared" ref="D36:D37" si="10">IFERROR(ROUNDDOWN(C36/B36,0),"")</f>
        <v>1</v>
      </c>
      <c r="E36" s="51" t="s">
        <v>338</v>
      </c>
      <c r="F36" s="228">
        <f t="shared" ref="F36:F37" si="11">IFERROR(C36-(D36*B36),"")</f>
        <v>0</v>
      </c>
      <c r="G36" s="67"/>
      <c r="H36" s="67"/>
      <c r="J36" s="73"/>
      <c r="K36" s="73"/>
    </row>
    <row r="37" spans="1:11" ht="25.35" customHeight="1" x14ac:dyDescent="0.3">
      <c r="A37" s="221" t="s">
        <v>238</v>
      </c>
      <c r="B37" s="224">
        <f t="shared" si="9"/>
        <v>48</v>
      </c>
      <c r="C37" s="227">
        <f>IFERROR(VLOOKUP(A37,'조인앤조인 피벗'!A:SH,4,FALSE),0)</f>
        <v>24</v>
      </c>
      <c r="D37" s="227">
        <f t="shared" si="10"/>
        <v>0</v>
      </c>
      <c r="E37" s="51" t="s">
        <v>265</v>
      </c>
      <c r="F37" s="228">
        <f t="shared" si="11"/>
        <v>24</v>
      </c>
      <c r="G37" s="67"/>
      <c r="H37" s="67"/>
      <c r="J37" s="73"/>
      <c r="K37" s="73"/>
    </row>
    <row r="38" spans="1:11" ht="4.5" customHeight="1" x14ac:dyDescent="0.3">
      <c r="A38" s="284"/>
      <c r="B38" s="285"/>
      <c r="C38" s="285"/>
      <c r="D38" s="285"/>
      <c r="E38" s="285"/>
      <c r="F38" s="286"/>
      <c r="G38" s="67"/>
      <c r="H38" s="67"/>
      <c r="J38" s="73"/>
      <c r="K38" s="73"/>
    </row>
    <row r="39" spans="1:11" ht="32.450000000000003" customHeight="1" x14ac:dyDescent="0.3">
      <c r="A39" s="211" t="s">
        <v>283</v>
      </c>
      <c r="B39" s="225">
        <f>$B$4</f>
        <v>48</v>
      </c>
      <c r="C39" s="212">
        <f>SUM(C35:C37)</f>
        <v>164</v>
      </c>
      <c r="D39" s="55">
        <f>IFERROR(ROUNDDOWN(C39/B39,0),"")</f>
        <v>3</v>
      </c>
      <c r="E39" s="213"/>
      <c r="F39" s="214">
        <f>IFERROR(C39-(D39*B39),"")</f>
        <v>20</v>
      </c>
      <c r="G39" s="67"/>
      <c r="H39" s="67"/>
      <c r="J39" s="73"/>
      <c r="K39" s="73"/>
    </row>
    <row r="40" spans="1:11" ht="4.5" customHeight="1" x14ac:dyDescent="0.3">
      <c r="A40" s="183"/>
      <c r="B40" s="224"/>
      <c r="C40" s="50"/>
      <c r="D40" s="50"/>
      <c r="E40" s="50"/>
      <c r="F40" s="184"/>
      <c r="G40" s="67"/>
      <c r="H40" s="67"/>
      <c r="J40" s="73"/>
      <c r="K40" s="73"/>
    </row>
    <row r="41" spans="1:11" ht="25.35" customHeight="1" x14ac:dyDescent="0.3">
      <c r="A41" s="221" t="s">
        <v>261</v>
      </c>
      <c r="B41" s="224">
        <f t="shared" ref="B41:B42" si="12">$B$4</f>
        <v>48</v>
      </c>
      <c r="C41" s="227">
        <f>IFERROR(VLOOKUP(A41,'조인앤조인 피벗'!A:SH,4,FALSE),0)</f>
        <v>16</v>
      </c>
      <c r="D41" s="227">
        <f t="shared" ref="D41:D42" si="13">IFERROR(ROUNDDOWN(C41/B41,0),"")</f>
        <v>0</v>
      </c>
      <c r="E41" s="51" t="s">
        <v>281</v>
      </c>
      <c r="F41" s="228">
        <f t="shared" ref="F41:F42" si="14">IFERROR(C41-(D41*B41),"")</f>
        <v>16</v>
      </c>
      <c r="G41" s="67"/>
      <c r="H41" s="67"/>
      <c r="J41" s="73"/>
      <c r="K41" s="73"/>
    </row>
    <row r="42" spans="1:11" ht="25.35" customHeight="1" x14ac:dyDescent="0.3">
      <c r="A42" s="221" t="s">
        <v>262</v>
      </c>
      <c r="B42" s="224">
        <f t="shared" si="12"/>
        <v>48</v>
      </c>
      <c r="C42" s="227">
        <f>IFERROR(VLOOKUP(A42,'조인앤조인 피벗'!A:SH,4,FALSE),0)</f>
        <v>8</v>
      </c>
      <c r="D42" s="227">
        <f t="shared" si="13"/>
        <v>0</v>
      </c>
      <c r="E42" s="51" t="s">
        <v>282</v>
      </c>
      <c r="F42" s="228">
        <f t="shared" si="14"/>
        <v>8</v>
      </c>
      <c r="G42" s="67"/>
      <c r="H42" s="67"/>
      <c r="J42" s="73"/>
      <c r="K42" s="73"/>
    </row>
    <row r="43" spans="1:11" ht="4.5" customHeight="1" x14ac:dyDescent="0.3">
      <c r="A43" s="284"/>
      <c r="B43" s="285"/>
      <c r="C43" s="285"/>
      <c r="D43" s="285"/>
      <c r="E43" s="285"/>
      <c r="F43" s="286"/>
      <c r="G43" s="67"/>
      <c r="H43" s="67"/>
      <c r="J43" s="73"/>
      <c r="K43" s="73"/>
    </row>
    <row r="44" spans="1:11" ht="32.450000000000003" customHeight="1" x14ac:dyDescent="0.3">
      <c r="A44" s="211" t="s">
        <v>339</v>
      </c>
      <c r="B44" s="225">
        <f>$B$4</f>
        <v>48</v>
      </c>
      <c r="C44" s="212">
        <f>SUM(C41:C42)</f>
        <v>24</v>
      </c>
      <c r="D44" s="55">
        <f>IFERROR(ROUNDDOWN(C44/B44,0),"")</f>
        <v>0</v>
      </c>
      <c r="E44" s="213"/>
      <c r="F44" s="214">
        <f>IFERROR(C44-(D44*B44),"")</f>
        <v>24</v>
      </c>
      <c r="G44" s="67"/>
      <c r="H44" s="67"/>
      <c r="J44" s="73"/>
      <c r="K44" s="73"/>
    </row>
    <row r="45" spans="1:11" ht="4.5" customHeight="1" thickBot="1" x14ac:dyDescent="0.35">
      <c r="A45" s="183"/>
      <c r="B45" s="50"/>
      <c r="C45" s="50"/>
      <c r="D45" s="50"/>
      <c r="E45" s="50"/>
      <c r="F45" s="184"/>
      <c r="G45" s="67"/>
      <c r="H45" s="67"/>
      <c r="J45" s="73"/>
      <c r="K45" s="73"/>
    </row>
    <row r="46" spans="1:11" ht="26.25" x14ac:dyDescent="0.3">
      <c r="A46" s="87" t="s">
        <v>3</v>
      </c>
      <c r="B46" s="226">
        <f>$B$4</f>
        <v>48</v>
      </c>
      <c r="C46" s="55">
        <f>SUM(C4:C18,C35:C37,C30:C31,C22:C26,C41:C42)</f>
        <v>2584</v>
      </c>
      <c r="D46" s="54">
        <f>IFERROR(ROUNDDOWN(C46/B46,0),"")</f>
        <v>53</v>
      </c>
      <c r="E46" s="56"/>
      <c r="F46" s="121">
        <f>IFERROR(C46-(D46*B46),"")</f>
        <v>40</v>
      </c>
      <c r="G46" s="232" t="s">
        <v>110</v>
      </c>
      <c r="H46" s="233" t="s">
        <v>111</v>
      </c>
      <c r="J46" s="73"/>
      <c r="K46" s="73"/>
    </row>
    <row r="47" spans="1:11" ht="27" thickBot="1" x14ac:dyDescent="0.35">
      <c r="A47" s="42" t="s">
        <v>286</v>
      </c>
      <c r="B47" s="43" t="s">
        <v>173</v>
      </c>
      <c r="C47" s="40"/>
      <c r="D47" s="41">
        <f>SUM(D4:D18,D35:D37,D30:D31,D22:D26,D41:D42)</f>
        <v>44</v>
      </c>
      <c r="E47" s="48"/>
      <c r="F47" s="93">
        <f>SUM(F4:F18,F35:F37,F30:F31,F22:F26,F41:F42)</f>
        <v>472</v>
      </c>
      <c r="G47" s="216">
        <f>IFERROR(ROUNDDOWN(F47/B35,0),"")</f>
        <v>9</v>
      </c>
      <c r="H47" s="217">
        <f>IFERROR(F47-(G47*B35),"")</f>
        <v>40</v>
      </c>
    </row>
    <row r="48" spans="1:11" ht="22.5" customHeight="1" x14ac:dyDescent="0.3">
      <c r="C48" s="77">
        <f>C20+C28+C33+C39+C44</f>
        <v>2584</v>
      </c>
      <c r="G48" s="199"/>
      <c r="H48" s="34" t="s">
        <v>174</v>
      </c>
    </row>
    <row r="49" spans="3:3" x14ac:dyDescent="0.3">
      <c r="C49" s="34" t="b">
        <f>C48=C46</f>
        <v>1</v>
      </c>
    </row>
  </sheetData>
  <mergeCells count="8">
    <mergeCell ref="A43:F43"/>
    <mergeCell ref="A38:F38"/>
    <mergeCell ref="A1:F1"/>
    <mergeCell ref="B2:F2"/>
    <mergeCell ref="A19:F19"/>
    <mergeCell ref="A27:F27"/>
    <mergeCell ref="A29:F29"/>
    <mergeCell ref="A32:F32"/>
  </mergeCells>
  <phoneticPr fontId="13" type="noConversion"/>
  <printOptions horizontalCentered="1" verticalCentered="1"/>
  <pageMargins left="0" right="0" top="0" bottom="0" header="0" footer="0"/>
  <pageSetup paperSize="9" scale="77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88730D-922C-4D78-8193-407F62C9D794}">
  <sheetPr>
    <tabColor rgb="FFFFFF00"/>
    <pageSetUpPr fitToPage="1"/>
  </sheetPr>
  <dimension ref="A1:K49"/>
  <sheetViews>
    <sheetView zoomScale="40" zoomScaleNormal="40" zoomScaleSheetLayoutView="75" workbookViewId="0">
      <selection activeCell="A2" sqref="A2:F47"/>
    </sheetView>
  </sheetViews>
  <sheetFormatPr defaultColWidth="9" defaultRowHeight="16.5" x14ac:dyDescent="0.3"/>
  <cols>
    <col min="1" max="1" width="24.75" style="34" customWidth="1"/>
    <col min="2" max="2" width="7.625" style="38" customWidth="1"/>
    <col min="3" max="3" width="30.625" style="34" customWidth="1"/>
    <col min="4" max="4" width="13.25" style="2" bestFit="1" customWidth="1"/>
    <col min="5" max="5" width="11.375" style="34" customWidth="1"/>
    <col min="6" max="6" width="11.125" style="2" customWidth="1"/>
    <col min="7" max="7" width="8.375" style="34" customWidth="1"/>
    <col min="8" max="8" width="9" style="34" customWidth="1"/>
    <col min="9" max="13" width="9" style="34"/>
    <col min="14" max="14" width="10.625" style="34" customWidth="1"/>
    <col min="15" max="17" width="9" style="34"/>
    <col min="18" max="18" width="36.5" style="34" bestFit="1" customWidth="1"/>
    <col min="19" max="16384" width="9" style="34"/>
  </cols>
  <sheetData>
    <row r="1" spans="1:11" ht="25.9" customHeight="1" thickBot="1" x14ac:dyDescent="0.35">
      <c r="A1" s="270"/>
      <c r="B1" s="270"/>
      <c r="C1" s="270"/>
      <c r="D1" s="270"/>
      <c r="E1" s="270"/>
      <c r="F1" s="270"/>
    </row>
    <row r="2" spans="1:11" ht="25.9" customHeight="1" x14ac:dyDescent="0.3">
      <c r="A2" s="215">
        <f ca="1">TODAY()</f>
        <v>46314</v>
      </c>
      <c r="B2" s="287" t="s">
        <v>175</v>
      </c>
      <c r="C2" s="287"/>
      <c r="D2" s="287"/>
      <c r="E2" s="287"/>
      <c r="F2" s="288"/>
      <c r="G2" s="67"/>
      <c r="H2" s="67"/>
    </row>
    <row r="3" spans="1:11" ht="40.5" customHeight="1" x14ac:dyDescent="0.3">
      <c r="A3" s="222" t="s">
        <v>67</v>
      </c>
      <c r="B3" s="223" t="s">
        <v>13</v>
      </c>
      <c r="C3" s="235" t="s">
        <v>389</v>
      </c>
      <c r="D3" s="230" t="s">
        <v>2</v>
      </c>
      <c r="E3" s="229" t="s">
        <v>23</v>
      </c>
      <c r="F3" s="231" t="s">
        <v>14</v>
      </c>
      <c r="G3" s="67"/>
      <c r="H3" s="67"/>
    </row>
    <row r="4" spans="1:11" ht="25.35" customHeight="1" x14ac:dyDescent="0.3">
      <c r="A4" s="220" t="s">
        <v>260</v>
      </c>
      <c r="B4" s="224">
        <v>40</v>
      </c>
      <c r="C4" s="227">
        <f>IFERROR(VLOOKUP(A4,'조인앤조인 피벗'!A:SH,5,FALSE),0)</f>
        <v>160</v>
      </c>
      <c r="D4" s="227">
        <f t="shared" ref="D4:D18" si="0">IFERROR(ROUNDDOWN(C4/B4,0),"")</f>
        <v>4</v>
      </c>
      <c r="E4" s="51" t="s">
        <v>109</v>
      </c>
      <c r="F4" s="228">
        <f t="shared" ref="F4:F18" si="1">IFERROR(C4-(D4*B4),"")</f>
        <v>0</v>
      </c>
      <c r="G4" s="67"/>
      <c r="H4" s="67"/>
      <c r="J4" s="73"/>
      <c r="K4" s="73"/>
    </row>
    <row r="5" spans="1:11" ht="25.35" customHeight="1" x14ac:dyDescent="0.3">
      <c r="A5" s="221" t="s">
        <v>255</v>
      </c>
      <c r="B5" s="224">
        <f t="shared" ref="B5:B18" si="2">$B$4</f>
        <v>40</v>
      </c>
      <c r="C5" s="227">
        <f>IFERROR(VLOOKUP(A5,'조인앤조인 피벗'!A:SH,5,FALSE),0)</f>
        <v>920</v>
      </c>
      <c r="D5" s="227">
        <f t="shared" si="0"/>
        <v>23</v>
      </c>
      <c r="E5" s="51" t="s">
        <v>335</v>
      </c>
      <c r="F5" s="228">
        <f t="shared" si="1"/>
        <v>0</v>
      </c>
      <c r="G5" s="67"/>
      <c r="H5" s="67"/>
      <c r="J5" s="73"/>
      <c r="K5" s="73"/>
    </row>
    <row r="6" spans="1:11" ht="25.35" customHeight="1" x14ac:dyDescent="0.3">
      <c r="A6" s="221" t="s">
        <v>249</v>
      </c>
      <c r="B6" s="224">
        <f t="shared" si="2"/>
        <v>40</v>
      </c>
      <c r="C6" s="227">
        <f>IFERROR(VLOOKUP(A6,'조인앤조인 피벗'!A:SH,5,FALSE),0)</f>
        <v>456</v>
      </c>
      <c r="D6" s="227">
        <f>IFERROR(ROUNDDOWN(C6/B6,0),"")</f>
        <v>11</v>
      </c>
      <c r="E6" s="51" t="s">
        <v>272</v>
      </c>
      <c r="F6" s="228">
        <f>IFERROR(C6-(D6*B6),"")</f>
        <v>16</v>
      </c>
      <c r="G6" s="67"/>
      <c r="H6" s="67"/>
      <c r="J6" s="73"/>
      <c r="K6" s="73"/>
    </row>
    <row r="7" spans="1:11" ht="25.35" customHeight="1" x14ac:dyDescent="0.3">
      <c r="A7" s="221" t="s">
        <v>250</v>
      </c>
      <c r="B7" s="224">
        <f t="shared" si="2"/>
        <v>40</v>
      </c>
      <c r="C7" s="227">
        <f>IFERROR(VLOOKUP(A7,'조인앤조인 피벗'!A:SH,5,FALSE),0)</f>
        <v>356</v>
      </c>
      <c r="D7" s="227">
        <f>IFERROR(ROUNDDOWN(C7/B7,0),"")</f>
        <v>8</v>
      </c>
      <c r="E7" s="51" t="s">
        <v>273</v>
      </c>
      <c r="F7" s="228">
        <f>IFERROR(C7-(D7*B7),"")</f>
        <v>36</v>
      </c>
      <c r="G7" s="67"/>
      <c r="H7" s="67"/>
      <c r="J7" s="73"/>
      <c r="K7" s="73"/>
    </row>
    <row r="8" spans="1:11" ht="25.35" customHeight="1" x14ac:dyDescent="0.3">
      <c r="A8" s="221" t="s">
        <v>248</v>
      </c>
      <c r="B8" s="224">
        <f t="shared" si="2"/>
        <v>40</v>
      </c>
      <c r="C8" s="227">
        <f>IFERROR(VLOOKUP(A8,'조인앤조인 피벗'!A:SH,5,FALSE),0)</f>
        <v>232</v>
      </c>
      <c r="D8" s="227">
        <f>IFERROR(ROUNDDOWN(C8/B8,0),"")</f>
        <v>5</v>
      </c>
      <c r="E8" s="51" t="s">
        <v>271</v>
      </c>
      <c r="F8" s="228">
        <f>IFERROR(C8-(D8*B8),"")</f>
        <v>32</v>
      </c>
      <c r="G8" s="67"/>
      <c r="H8" s="67"/>
      <c r="J8" s="73"/>
      <c r="K8" s="73"/>
    </row>
    <row r="9" spans="1:11" ht="25.35" customHeight="1" x14ac:dyDescent="0.3">
      <c r="A9" s="221" t="s">
        <v>246</v>
      </c>
      <c r="B9" s="224">
        <f t="shared" si="2"/>
        <v>40</v>
      </c>
      <c r="C9" s="227">
        <f>IFERROR(VLOOKUP(A9,'조인앤조인 피벗'!A:SH,5,FALSE),0)</f>
        <v>208</v>
      </c>
      <c r="D9" s="227">
        <f t="shared" si="0"/>
        <v>5</v>
      </c>
      <c r="E9" s="51" t="s">
        <v>270</v>
      </c>
      <c r="F9" s="228">
        <f t="shared" si="1"/>
        <v>8</v>
      </c>
      <c r="G9" s="67"/>
      <c r="H9" s="67"/>
      <c r="J9" s="73"/>
      <c r="K9" s="73"/>
    </row>
    <row r="10" spans="1:11" ht="25.35" customHeight="1" x14ac:dyDescent="0.3">
      <c r="A10" s="221" t="s">
        <v>256</v>
      </c>
      <c r="B10" s="224">
        <f t="shared" si="2"/>
        <v>40</v>
      </c>
      <c r="C10" s="227">
        <f>IFERROR(VLOOKUP(A10,'조인앤조인 피벗'!A:SH,5,FALSE),0)</f>
        <v>184</v>
      </c>
      <c r="D10" s="227">
        <f>IFERROR(ROUNDDOWN(C10/B10,0),"")</f>
        <v>4</v>
      </c>
      <c r="E10" s="51" t="s">
        <v>278</v>
      </c>
      <c r="F10" s="228">
        <f>IFERROR(C10-(D10*B10),"")</f>
        <v>24</v>
      </c>
      <c r="G10" s="67"/>
      <c r="H10" s="67"/>
      <c r="J10" s="73"/>
      <c r="K10" s="73"/>
    </row>
    <row r="11" spans="1:11" ht="25.35" customHeight="1" x14ac:dyDescent="0.3">
      <c r="A11" s="221" t="s">
        <v>247</v>
      </c>
      <c r="B11" s="224">
        <f t="shared" si="2"/>
        <v>40</v>
      </c>
      <c r="C11" s="227">
        <f>IFERROR(VLOOKUP(A11,'조인앤조인 피벗'!A:SH,5,FALSE),0)</f>
        <v>236</v>
      </c>
      <c r="D11" s="227">
        <f t="shared" si="0"/>
        <v>5</v>
      </c>
      <c r="E11" s="51" t="s">
        <v>334</v>
      </c>
      <c r="F11" s="228">
        <f t="shared" si="1"/>
        <v>36</v>
      </c>
      <c r="G11" s="67"/>
      <c r="H11" s="67"/>
      <c r="J11" s="73"/>
      <c r="K11" s="73"/>
    </row>
    <row r="12" spans="1:11" ht="25.35" customHeight="1" x14ac:dyDescent="0.3">
      <c r="A12" s="221" t="s">
        <v>251</v>
      </c>
      <c r="B12" s="224">
        <f t="shared" si="2"/>
        <v>40</v>
      </c>
      <c r="C12" s="227">
        <f>IFERROR(VLOOKUP(A12,'조인앤조인 피벗'!A:SH,5,FALSE),0)</f>
        <v>360</v>
      </c>
      <c r="D12" s="227">
        <f t="shared" si="0"/>
        <v>9</v>
      </c>
      <c r="E12" s="51" t="s">
        <v>274</v>
      </c>
      <c r="F12" s="228">
        <f t="shared" si="1"/>
        <v>0</v>
      </c>
      <c r="G12" s="67"/>
      <c r="H12" s="67"/>
      <c r="J12" s="73"/>
      <c r="K12" s="73"/>
    </row>
    <row r="13" spans="1:11" ht="25.35" customHeight="1" x14ac:dyDescent="0.3">
      <c r="A13" s="220" t="s">
        <v>252</v>
      </c>
      <c r="B13" s="224">
        <f t="shared" si="2"/>
        <v>40</v>
      </c>
      <c r="C13" s="227">
        <f>IFERROR(VLOOKUP(A13,'조인앤조인 피벗'!A:SH,5,FALSE),0)</f>
        <v>432</v>
      </c>
      <c r="D13" s="227">
        <f t="shared" si="0"/>
        <v>10</v>
      </c>
      <c r="E13" s="51" t="s">
        <v>275</v>
      </c>
      <c r="F13" s="228">
        <f t="shared" si="1"/>
        <v>32</v>
      </c>
      <c r="G13" s="67"/>
      <c r="H13" s="67"/>
      <c r="J13" s="73"/>
      <c r="K13" s="73"/>
    </row>
    <row r="14" spans="1:11" ht="25.35" customHeight="1" x14ac:dyDescent="0.3">
      <c r="A14" s="221" t="s">
        <v>253</v>
      </c>
      <c r="B14" s="224">
        <f t="shared" si="2"/>
        <v>40</v>
      </c>
      <c r="C14" s="227">
        <f>IFERROR(VLOOKUP(A14,'조인앤조인 피벗'!A:SH,5,FALSE),0)</f>
        <v>544</v>
      </c>
      <c r="D14" s="227">
        <f t="shared" si="0"/>
        <v>13</v>
      </c>
      <c r="E14" s="51" t="s">
        <v>276</v>
      </c>
      <c r="F14" s="228">
        <f t="shared" si="1"/>
        <v>24</v>
      </c>
      <c r="G14" s="67"/>
      <c r="H14" s="67"/>
      <c r="J14" s="73"/>
      <c r="K14" s="73"/>
    </row>
    <row r="15" spans="1:11" ht="25.35" customHeight="1" x14ac:dyDescent="0.3">
      <c r="A15" s="221" t="s">
        <v>254</v>
      </c>
      <c r="B15" s="224">
        <f t="shared" si="2"/>
        <v>40</v>
      </c>
      <c r="C15" s="227">
        <f>IFERROR(VLOOKUP(A15,'조인앤조인 피벗'!A:SH,5,FALSE),0)</f>
        <v>620</v>
      </c>
      <c r="D15" s="227">
        <f t="shared" si="0"/>
        <v>15</v>
      </c>
      <c r="E15" s="51" t="s">
        <v>277</v>
      </c>
      <c r="F15" s="228">
        <f t="shared" si="1"/>
        <v>20</v>
      </c>
      <c r="G15" s="67"/>
      <c r="H15" s="67"/>
      <c r="J15" s="73"/>
      <c r="K15" s="73"/>
    </row>
    <row r="16" spans="1:11" ht="25.35" customHeight="1" x14ac:dyDescent="0.3">
      <c r="A16" s="221" t="s">
        <v>257</v>
      </c>
      <c r="B16" s="224">
        <f t="shared" si="2"/>
        <v>40</v>
      </c>
      <c r="C16" s="227">
        <f>IFERROR(VLOOKUP(A16,'조인앤조인 피벗'!A:SH,5,FALSE),0)</f>
        <v>172</v>
      </c>
      <c r="D16" s="227">
        <f t="shared" si="0"/>
        <v>4</v>
      </c>
      <c r="E16" s="51" t="s">
        <v>279</v>
      </c>
      <c r="F16" s="228">
        <f t="shared" si="1"/>
        <v>12</v>
      </c>
      <c r="G16" s="67"/>
      <c r="H16" s="67"/>
      <c r="J16" s="73"/>
      <c r="K16" s="73"/>
    </row>
    <row r="17" spans="1:11" ht="25.35" customHeight="1" x14ac:dyDescent="0.3">
      <c r="A17" s="221" t="s">
        <v>258</v>
      </c>
      <c r="B17" s="224">
        <f t="shared" si="2"/>
        <v>40</v>
      </c>
      <c r="C17" s="227">
        <f>IFERROR(VLOOKUP(A17,'조인앤조인 피벗'!A:SH,5,FALSE),0)</f>
        <v>252</v>
      </c>
      <c r="D17" s="227">
        <f t="shared" si="0"/>
        <v>6</v>
      </c>
      <c r="E17" s="51" t="s">
        <v>280</v>
      </c>
      <c r="F17" s="228">
        <f t="shared" si="1"/>
        <v>12</v>
      </c>
      <c r="G17" s="67"/>
      <c r="H17" s="67"/>
      <c r="J17" s="73"/>
      <c r="K17" s="73"/>
    </row>
    <row r="18" spans="1:11" ht="25.35" customHeight="1" x14ac:dyDescent="0.3">
      <c r="A18" s="221" t="s">
        <v>259</v>
      </c>
      <c r="B18" s="224">
        <f t="shared" si="2"/>
        <v>40</v>
      </c>
      <c r="C18" s="227">
        <f>IFERROR(VLOOKUP(A18,'조인앤조인 피벗'!A:SH,5,FALSE),0)</f>
        <v>252</v>
      </c>
      <c r="D18" s="227">
        <f t="shared" si="0"/>
        <v>6</v>
      </c>
      <c r="E18" s="51" t="s">
        <v>336</v>
      </c>
      <c r="F18" s="228">
        <f t="shared" si="1"/>
        <v>12</v>
      </c>
      <c r="G18" s="67"/>
      <c r="H18" s="67"/>
      <c r="J18" s="73"/>
      <c r="K18" s="73"/>
    </row>
    <row r="19" spans="1:11" ht="4.5" customHeight="1" x14ac:dyDescent="0.3">
      <c r="A19" s="284"/>
      <c r="B19" s="285"/>
      <c r="C19" s="285"/>
      <c r="D19" s="285"/>
      <c r="E19" s="285"/>
      <c r="F19" s="286"/>
      <c r="J19" s="73"/>
      <c r="K19" s="73"/>
    </row>
    <row r="20" spans="1:11" ht="32.450000000000003" customHeight="1" x14ac:dyDescent="0.3">
      <c r="A20" s="211" t="s">
        <v>122</v>
      </c>
      <c r="B20" s="225">
        <f>$B$4</f>
        <v>40</v>
      </c>
      <c r="C20" s="212">
        <f>SUM(C4:C18)</f>
        <v>5384</v>
      </c>
      <c r="D20" s="55">
        <f>IFERROR(ROUNDDOWN(C20/B20,0),"")</f>
        <v>134</v>
      </c>
      <c r="E20" s="213"/>
      <c r="F20" s="214">
        <f>IFERROR(C20-(D20*B20),"")</f>
        <v>24</v>
      </c>
      <c r="J20" s="73"/>
      <c r="K20" s="73"/>
    </row>
    <row r="21" spans="1:11" ht="4.5" customHeight="1" x14ac:dyDescent="0.3">
      <c r="A21" s="183"/>
      <c r="B21" s="224"/>
      <c r="C21" s="50"/>
      <c r="D21" s="50"/>
      <c r="E21" s="50"/>
      <c r="F21" s="184"/>
      <c r="J21" s="73"/>
      <c r="K21" s="73"/>
    </row>
    <row r="22" spans="1:11" ht="25.35" customHeight="1" x14ac:dyDescent="0.3">
      <c r="A22" s="221" t="s">
        <v>241</v>
      </c>
      <c r="B22" s="224">
        <f t="shared" ref="B22:B26" si="3">$B$4</f>
        <v>40</v>
      </c>
      <c r="C22" s="227">
        <f>IFERROR(VLOOKUP(A22,'조인앤조인 피벗'!A:SH,5,FALSE),0)</f>
        <v>400</v>
      </c>
      <c r="D22" s="227">
        <f>IFERROR(ROUNDDOWN(C22/B22,0),"")</f>
        <v>10</v>
      </c>
      <c r="E22" s="51" t="s">
        <v>268</v>
      </c>
      <c r="F22" s="228">
        <f>IFERROR(C22-(D22*B22),"")</f>
        <v>0</v>
      </c>
      <c r="G22" s="67"/>
      <c r="H22" s="67"/>
      <c r="J22" s="73"/>
      <c r="K22" s="73"/>
    </row>
    <row r="23" spans="1:11" ht="25.35" customHeight="1" x14ac:dyDescent="0.3">
      <c r="A23" s="221" t="s">
        <v>242</v>
      </c>
      <c r="B23" s="224">
        <f t="shared" si="3"/>
        <v>40</v>
      </c>
      <c r="C23" s="227">
        <f>IFERROR(VLOOKUP(A23,'조인앤조인 피벗'!A:SH,5,FALSE),0)</f>
        <v>308</v>
      </c>
      <c r="D23" s="227">
        <f>IFERROR(ROUNDDOWN(C23/B23,0),"")</f>
        <v>7</v>
      </c>
      <c r="E23" s="51" t="s">
        <v>337</v>
      </c>
      <c r="F23" s="228">
        <f>IFERROR(C23-(D23*B23),"")</f>
        <v>28</v>
      </c>
      <c r="G23" s="67"/>
      <c r="H23" s="67"/>
      <c r="J23" s="73"/>
      <c r="K23" s="73"/>
    </row>
    <row r="24" spans="1:11" ht="25.35" customHeight="1" x14ac:dyDescent="0.3">
      <c r="A24" s="221" t="s">
        <v>243</v>
      </c>
      <c r="B24" s="224">
        <f t="shared" si="3"/>
        <v>40</v>
      </c>
      <c r="C24" s="227">
        <f>IFERROR(VLOOKUP(A24,'조인앤조인 피벗'!A:SH,5,FALSE),0)</f>
        <v>0</v>
      </c>
      <c r="D24" s="227">
        <f>IFERROR(ROUNDDOWN(C24/B24,0),"")</f>
        <v>0</v>
      </c>
      <c r="E24" s="51" t="s">
        <v>106</v>
      </c>
      <c r="F24" s="228">
        <f>IFERROR(C24-(D24*B24),"")</f>
        <v>0</v>
      </c>
      <c r="G24" s="67"/>
      <c r="H24" s="67"/>
      <c r="J24" s="73"/>
      <c r="K24" s="73"/>
    </row>
    <row r="25" spans="1:11" ht="25.35" customHeight="1" x14ac:dyDescent="0.3">
      <c r="A25" s="221" t="s">
        <v>244</v>
      </c>
      <c r="B25" s="224">
        <f t="shared" si="3"/>
        <v>40</v>
      </c>
      <c r="C25" s="227">
        <f>IFERROR(VLOOKUP(A25,'조인앤조인 피벗'!A:SH,5,FALSE),0)</f>
        <v>376</v>
      </c>
      <c r="D25" s="227">
        <f>IFERROR(ROUNDDOWN(C25/B25,0),"")</f>
        <v>9</v>
      </c>
      <c r="E25" s="51" t="s">
        <v>269</v>
      </c>
      <c r="F25" s="228">
        <f>IFERROR(C25-(D25*B25),"")</f>
        <v>16</v>
      </c>
      <c r="G25" s="67"/>
      <c r="H25" s="67"/>
      <c r="J25" s="73"/>
      <c r="K25" s="73"/>
    </row>
    <row r="26" spans="1:11" ht="25.35" customHeight="1" x14ac:dyDescent="0.3">
      <c r="A26" s="221" t="s">
        <v>245</v>
      </c>
      <c r="B26" s="224">
        <f t="shared" si="3"/>
        <v>40</v>
      </c>
      <c r="C26" s="227">
        <f>IFERROR(VLOOKUP(A26,'조인앤조인 피벗'!A:SH,5,FALSE),0)</f>
        <v>244</v>
      </c>
      <c r="D26" s="227">
        <f>IFERROR(ROUNDDOWN(C26/B26,0),"")</f>
        <v>6</v>
      </c>
      <c r="E26" s="51" t="s">
        <v>118</v>
      </c>
      <c r="F26" s="228">
        <f>IFERROR(C26-(D26*B26),"")</f>
        <v>4</v>
      </c>
      <c r="G26" s="67"/>
      <c r="H26" s="67"/>
      <c r="J26" s="73"/>
      <c r="K26" s="73"/>
    </row>
    <row r="27" spans="1:11" ht="4.5" customHeight="1" x14ac:dyDescent="0.3">
      <c r="A27" s="284"/>
      <c r="B27" s="285"/>
      <c r="C27" s="285"/>
      <c r="D27" s="285"/>
      <c r="E27" s="285"/>
      <c r="F27" s="286"/>
      <c r="G27" s="67"/>
      <c r="H27" s="67"/>
      <c r="J27" s="73"/>
      <c r="K27" s="73"/>
    </row>
    <row r="28" spans="1:11" ht="32.450000000000003" customHeight="1" x14ac:dyDescent="0.3">
      <c r="A28" s="211" t="s">
        <v>285</v>
      </c>
      <c r="B28" s="225">
        <f>$B$4</f>
        <v>40</v>
      </c>
      <c r="C28" s="212">
        <f>SUM(C22:C26)</f>
        <v>1328</v>
      </c>
      <c r="D28" s="55">
        <f>IFERROR(ROUNDDOWN(C28/B28,0),"")</f>
        <v>33</v>
      </c>
      <c r="E28" s="213"/>
      <c r="F28" s="214">
        <f>IFERROR(C28-(D28*B28),"")</f>
        <v>8</v>
      </c>
      <c r="G28" s="67"/>
      <c r="H28" s="67"/>
      <c r="J28" s="73"/>
      <c r="K28" s="73"/>
    </row>
    <row r="29" spans="1:11" ht="4.5" customHeight="1" x14ac:dyDescent="0.3">
      <c r="A29" s="284"/>
      <c r="B29" s="285"/>
      <c r="C29" s="285"/>
      <c r="D29" s="285"/>
      <c r="E29" s="285"/>
      <c r="F29" s="286"/>
      <c r="G29" s="67"/>
      <c r="H29" s="67"/>
      <c r="J29" s="73"/>
      <c r="K29" s="73"/>
    </row>
    <row r="30" spans="1:11" ht="25.35" customHeight="1" x14ac:dyDescent="0.3">
      <c r="A30" s="221" t="s">
        <v>239</v>
      </c>
      <c r="B30" s="224">
        <f t="shared" ref="B30:B31" si="4">$B$4</f>
        <v>40</v>
      </c>
      <c r="C30" s="227">
        <f>IFERROR(VLOOKUP(A30,'조인앤조인 피벗'!A:SH,5,FALSE),0)</f>
        <v>376</v>
      </c>
      <c r="D30" s="227">
        <f t="shared" ref="D30:D31" si="5">IFERROR(ROUNDDOWN(C30/B30,0),"")</f>
        <v>9</v>
      </c>
      <c r="E30" s="51" t="s">
        <v>266</v>
      </c>
      <c r="F30" s="228">
        <f t="shared" ref="F30:F31" si="6">IFERROR(C30-(D30*B30),"")</f>
        <v>16</v>
      </c>
      <c r="G30" s="67"/>
      <c r="H30" s="67"/>
      <c r="J30" s="73"/>
      <c r="K30" s="73"/>
    </row>
    <row r="31" spans="1:11" ht="25.35" customHeight="1" x14ac:dyDescent="0.3">
      <c r="A31" s="221" t="s">
        <v>240</v>
      </c>
      <c r="B31" s="224">
        <f t="shared" si="4"/>
        <v>40</v>
      </c>
      <c r="C31" s="227">
        <f>IFERROR(VLOOKUP(A31,'조인앤조인 피벗'!A:SH,5,FALSE),0)</f>
        <v>312</v>
      </c>
      <c r="D31" s="227">
        <f t="shared" si="5"/>
        <v>7</v>
      </c>
      <c r="E31" s="51" t="s">
        <v>267</v>
      </c>
      <c r="F31" s="228">
        <f t="shared" si="6"/>
        <v>32</v>
      </c>
      <c r="G31" s="67"/>
      <c r="H31" s="67"/>
      <c r="J31" s="73"/>
      <c r="K31" s="73"/>
    </row>
    <row r="32" spans="1:11" ht="4.5" customHeight="1" x14ac:dyDescent="0.3">
      <c r="A32" s="284"/>
      <c r="B32" s="285"/>
      <c r="C32" s="285"/>
      <c r="D32" s="285"/>
      <c r="E32" s="285"/>
      <c r="F32" s="286"/>
      <c r="G32" s="67"/>
      <c r="H32" s="67"/>
      <c r="J32" s="73"/>
      <c r="K32" s="73"/>
    </row>
    <row r="33" spans="1:11" ht="32.450000000000003" customHeight="1" x14ac:dyDescent="0.3">
      <c r="A33" s="211" t="s">
        <v>284</v>
      </c>
      <c r="B33" s="225">
        <f>$B$4</f>
        <v>40</v>
      </c>
      <c r="C33" s="212">
        <f>SUM(C30:C31)</f>
        <v>688</v>
      </c>
      <c r="D33" s="55">
        <f>IFERROR(ROUNDDOWN(C33/B33,0),"")</f>
        <v>17</v>
      </c>
      <c r="E33" s="213"/>
      <c r="F33" s="214">
        <f>IFERROR(C33-(D33*B33),"")</f>
        <v>8</v>
      </c>
      <c r="G33" s="67"/>
      <c r="H33" s="67"/>
      <c r="J33" s="73"/>
      <c r="K33" s="73"/>
    </row>
    <row r="34" spans="1:11" ht="4.5" customHeight="1" x14ac:dyDescent="0.3">
      <c r="A34" s="183"/>
      <c r="B34" s="224"/>
      <c r="C34" s="50"/>
      <c r="D34" s="50"/>
      <c r="E34" s="50"/>
      <c r="F34" s="184"/>
      <c r="G34" s="67"/>
      <c r="H34" s="67"/>
      <c r="J34" s="73"/>
      <c r="K34" s="73"/>
    </row>
    <row r="35" spans="1:11" ht="25.35" customHeight="1" x14ac:dyDescent="0.3">
      <c r="A35" s="221" t="s">
        <v>236</v>
      </c>
      <c r="B35" s="224">
        <f t="shared" ref="B35:B37" si="7">$B$4</f>
        <v>40</v>
      </c>
      <c r="C35" s="227">
        <f>IFERROR(VLOOKUP(A35,'조인앤조인 피벗'!A:SH,5,FALSE),0)</f>
        <v>264</v>
      </c>
      <c r="D35" s="227">
        <f>IFERROR(ROUNDDOWN(C35/B35,0),"")</f>
        <v>6</v>
      </c>
      <c r="E35" s="51" t="s">
        <v>264</v>
      </c>
      <c r="F35" s="228">
        <f>IFERROR(C35-(D35*B35),"")</f>
        <v>24</v>
      </c>
      <c r="G35" s="67"/>
      <c r="H35" s="67"/>
      <c r="J35" s="73"/>
      <c r="K35" s="73"/>
    </row>
    <row r="36" spans="1:11" ht="25.35" customHeight="1" x14ac:dyDescent="0.3">
      <c r="A36" s="221" t="s">
        <v>237</v>
      </c>
      <c r="B36" s="224">
        <f t="shared" si="7"/>
        <v>40</v>
      </c>
      <c r="C36" s="227">
        <f>IFERROR(VLOOKUP(A36,'조인앤조인 피벗'!A:SH,5,FALSE),0)</f>
        <v>232</v>
      </c>
      <c r="D36" s="227">
        <f t="shared" ref="D36:D37" si="8">IFERROR(ROUNDDOWN(C36/B36,0),"")</f>
        <v>5</v>
      </c>
      <c r="E36" s="51" t="s">
        <v>338</v>
      </c>
      <c r="F36" s="228">
        <f t="shared" ref="F36:F37" si="9">IFERROR(C36-(D36*B36),"")</f>
        <v>32</v>
      </c>
      <c r="G36" s="67"/>
      <c r="H36" s="67"/>
      <c r="J36" s="73"/>
      <c r="K36" s="73"/>
    </row>
    <row r="37" spans="1:11" ht="25.35" customHeight="1" x14ac:dyDescent="0.3">
      <c r="A37" s="221" t="s">
        <v>238</v>
      </c>
      <c r="B37" s="224">
        <f t="shared" si="7"/>
        <v>40</v>
      </c>
      <c r="C37" s="227">
        <f>IFERROR(VLOOKUP(A37,'조인앤조인 피벗'!A:SH,5,FALSE),0)</f>
        <v>252</v>
      </c>
      <c r="D37" s="227">
        <f t="shared" si="8"/>
        <v>6</v>
      </c>
      <c r="E37" s="51" t="s">
        <v>265</v>
      </c>
      <c r="F37" s="228">
        <f t="shared" si="9"/>
        <v>12</v>
      </c>
      <c r="G37" s="67"/>
      <c r="H37" s="67"/>
      <c r="J37" s="73"/>
      <c r="K37" s="73"/>
    </row>
    <row r="38" spans="1:11" ht="4.5" customHeight="1" x14ac:dyDescent="0.3">
      <c r="A38" s="284"/>
      <c r="B38" s="285"/>
      <c r="C38" s="285"/>
      <c r="D38" s="285"/>
      <c r="E38" s="285"/>
      <c r="F38" s="286"/>
      <c r="G38" s="67"/>
      <c r="H38" s="67"/>
      <c r="J38" s="73"/>
      <c r="K38" s="73"/>
    </row>
    <row r="39" spans="1:11" ht="32.450000000000003" customHeight="1" x14ac:dyDescent="0.3">
      <c r="A39" s="211" t="s">
        <v>283</v>
      </c>
      <c r="B39" s="225">
        <f>$B$4</f>
        <v>40</v>
      </c>
      <c r="C39" s="212">
        <f>SUM(C35:C37)</f>
        <v>748</v>
      </c>
      <c r="D39" s="55">
        <f>IFERROR(ROUNDDOWN(C39/B39,0),"")</f>
        <v>18</v>
      </c>
      <c r="E39" s="213"/>
      <c r="F39" s="214">
        <f>IFERROR(C39-(D39*B39),"")</f>
        <v>28</v>
      </c>
      <c r="G39" s="67"/>
      <c r="H39" s="67"/>
      <c r="J39" s="73"/>
      <c r="K39" s="73"/>
    </row>
    <row r="40" spans="1:11" ht="4.5" customHeight="1" x14ac:dyDescent="0.3">
      <c r="A40" s="183"/>
      <c r="B40" s="224"/>
      <c r="C40" s="50"/>
      <c r="D40" s="50"/>
      <c r="E40" s="50"/>
      <c r="F40" s="184"/>
      <c r="G40" s="67"/>
      <c r="H40" s="67"/>
      <c r="J40" s="73"/>
      <c r="K40" s="73"/>
    </row>
    <row r="41" spans="1:11" ht="25.35" customHeight="1" x14ac:dyDescent="0.3">
      <c r="A41" s="221" t="s">
        <v>261</v>
      </c>
      <c r="B41" s="224">
        <f t="shared" ref="B41:B42" si="10">$B$4</f>
        <v>40</v>
      </c>
      <c r="C41" s="227">
        <f>IFERROR(VLOOKUP(A41,'조인앤조인 피벗'!A:SH,5,FALSE),0)</f>
        <v>112</v>
      </c>
      <c r="D41" s="227">
        <f t="shared" ref="D41:D42" si="11">IFERROR(ROUNDDOWN(C41/B41,0),"")</f>
        <v>2</v>
      </c>
      <c r="E41" s="51" t="s">
        <v>281</v>
      </c>
      <c r="F41" s="228">
        <f t="shared" ref="F41:F42" si="12">IFERROR(C41-(D41*B41),"")</f>
        <v>32</v>
      </c>
      <c r="G41" s="67"/>
      <c r="H41" s="67"/>
      <c r="J41" s="73"/>
      <c r="K41" s="73"/>
    </row>
    <row r="42" spans="1:11" ht="25.35" customHeight="1" x14ac:dyDescent="0.3">
      <c r="A42" s="221" t="s">
        <v>262</v>
      </c>
      <c r="B42" s="224">
        <f t="shared" si="10"/>
        <v>40</v>
      </c>
      <c r="C42" s="227">
        <f>IFERROR(VLOOKUP(A42,'조인앤조인 피벗'!A:SH,5,FALSE),0)</f>
        <v>172</v>
      </c>
      <c r="D42" s="227">
        <f t="shared" si="11"/>
        <v>4</v>
      </c>
      <c r="E42" s="51" t="s">
        <v>282</v>
      </c>
      <c r="F42" s="228">
        <f t="shared" si="12"/>
        <v>12</v>
      </c>
      <c r="G42" s="67"/>
      <c r="H42" s="67"/>
      <c r="J42" s="73"/>
      <c r="K42" s="73"/>
    </row>
    <row r="43" spans="1:11" ht="4.5" customHeight="1" x14ac:dyDescent="0.3">
      <c r="A43" s="284"/>
      <c r="B43" s="285"/>
      <c r="C43" s="285"/>
      <c r="D43" s="285"/>
      <c r="E43" s="285"/>
      <c r="F43" s="286"/>
      <c r="G43" s="67"/>
      <c r="H43" s="67"/>
      <c r="J43" s="73"/>
      <c r="K43" s="73"/>
    </row>
    <row r="44" spans="1:11" ht="32.450000000000003" customHeight="1" x14ac:dyDescent="0.3">
      <c r="A44" s="211" t="s">
        <v>339</v>
      </c>
      <c r="B44" s="225">
        <f>$B$4</f>
        <v>40</v>
      </c>
      <c r="C44" s="212">
        <f>SUM(C41:C42)</f>
        <v>284</v>
      </c>
      <c r="D44" s="55">
        <f>IFERROR(ROUNDDOWN(C44/B44,0),"")</f>
        <v>7</v>
      </c>
      <c r="E44" s="213"/>
      <c r="F44" s="214">
        <f>IFERROR(C44-(D44*B44),"")</f>
        <v>4</v>
      </c>
      <c r="G44" s="67"/>
      <c r="H44" s="67"/>
      <c r="J44" s="73"/>
      <c r="K44" s="73"/>
    </row>
    <row r="45" spans="1:11" ht="4.5" customHeight="1" thickBot="1" x14ac:dyDescent="0.35">
      <c r="A45" s="183"/>
      <c r="B45" s="50"/>
      <c r="C45" s="50"/>
      <c r="D45" s="50"/>
      <c r="E45" s="50"/>
      <c r="F45" s="184"/>
      <c r="G45" s="67"/>
      <c r="H45" s="67"/>
      <c r="J45" s="73"/>
      <c r="K45" s="73"/>
    </row>
    <row r="46" spans="1:11" ht="26.25" x14ac:dyDescent="0.3">
      <c r="A46" s="87" t="s">
        <v>3</v>
      </c>
      <c r="B46" s="226">
        <f>$B$4</f>
        <v>40</v>
      </c>
      <c r="C46" s="55">
        <f>SUM(C4:C18,C35:C37,C30:C31,C22:C26,C41:C42)</f>
        <v>8432</v>
      </c>
      <c r="D46" s="54">
        <f>IFERROR(ROUNDDOWN(C46/B46,0),"")</f>
        <v>210</v>
      </c>
      <c r="E46" s="56"/>
      <c r="F46" s="121">
        <f>IFERROR(C46-(D46*B46),"")</f>
        <v>32</v>
      </c>
      <c r="G46" s="232" t="s">
        <v>110</v>
      </c>
      <c r="H46" s="233" t="s">
        <v>111</v>
      </c>
      <c r="J46" s="73"/>
      <c r="K46" s="73"/>
    </row>
    <row r="47" spans="1:11" ht="27" thickBot="1" x14ac:dyDescent="0.35">
      <c r="A47" s="42" t="s">
        <v>286</v>
      </c>
      <c r="B47" s="43" t="s">
        <v>173</v>
      </c>
      <c r="C47" s="40"/>
      <c r="D47" s="41">
        <f>SUM(D4:D18,D35:D37,D30:D31,D22:D26,D41:D42)</f>
        <v>199</v>
      </c>
      <c r="E47" s="48"/>
      <c r="F47" s="93">
        <f>SUM(F4:F18,F35:F37,F30:F31,F22:F26,F41:F42)</f>
        <v>472</v>
      </c>
      <c r="G47" s="216">
        <f>IFERROR(ROUNDDOWN(F47/B35,0),"")</f>
        <v>11</v>
      </c>
      <c r="H47" s="217">
        <f>IFERROR(F47-(G47*B35),"")</f>
        <v>32</v>
      </c>
    </row>
    <row r="48" spans="1:11" ht="22.5" customHeight="1" x14ac:dyDescent="0.3">
      <c r="C48" s="77">
        <f>C20+C28+C33+C39+C44</f>
        <v>8432</v>
      </c>
      <c r="G48" s="199"/>
      <c r="H48" s="34" t="s">
        <v>174</v>
      </c>
    </row>
    <row r="49" spans="3:3" x14ac:dyDescent="0.3">
      <c r="C49" s="34" t="b">
        <f>C48=C46</f>
        <v>1</v>
      </c>
    </row>
  </sheetData>
  <mergeCells count="8">
    <mergeCell ref="A38:F38"/>
    <mergeCell ref="A43:F43"/>
    <mergeCell ref="A1:F1"/>
    <mergeCell ref="B2:F2"/>
    <mergeCell ref="A19:F19"/>
    <mergeCell ref="A27:F27"/>
    <mergeCell ref="A29:F29"/>
    <mergeCell ref="A32:F32"/>
  </mergeCells>
  <phoneticPr fontId="13" type="noConversion"/>
  <printOptions horizontalCentered="1" verticalCentered="1"/>
  <pageMargins left="0" right="0" top="0" bottom="0" header="0" footer="0"/>
  <pageSetup paperSize="9" scale="77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B41923-5627-482E-A30B-1A695F88D454}">
  <sheetPr>
    <tabColor rgb="FFFFFF00"/>
    <pageSetUpPr fitToPage="1"/>
  </sheetPr>
  <dimension ref="A1:K49"/>
  <sheetViews>
    <sheetView zoomScale="40" zoomScaleNormal="40" zoomScaleSheetLayoutView="75" workbookViewId="0">
      <selection activeCell="A2" sqref="A2:F47"/>
    </sheetView>
  </sheetViews>
  <sheetFormatPr defaultColWidth="9" defaultRowHeight="16.5" x14ac:dyDescent="0.3"/>
  <cols>
    <col min="1" max="1" width="24.75" style="34" customWidth="1"/>
    <col min="2" max="2" width="7.625" style="38" customWidth="1"/>
    <col min="3" max="3" width="30.625" style="34" customWidth="1"/>
    <col min="4" max="4" width="12.125" style="2" bestFit="1" customWidth="1"/>
    <col min="5" max="5" width="11.375" style="34" customWidth="1"/>
    <col min="6" max="6" width="11.125" style="2" customWidth="1"/>
    <col min="7" max="7" width="8.375" style="34" customWidth="1"/>
    <col min="8" max="8" width="9" style="34" customWidth="1"/>
    <col min="9" max="13" width="9" style="34"/>
    <col min="14" max="14" width="10.625" style="34" customWidth="1"/>
    <col min="15" max="17" width="9" style="34"/>
    <col min="18" max="18" width="36.5" style="34" bestFit="1" customWidth="1"/>
    <col min="19" max="16384" width="9" style="34"/>
  </cols>
  <sheetData>
    <row r="1" spans="1:11" ht="25.9" customHeight="1" thickBot="1" x14ac:dyDescent="0.35">
      <c r="A1" s="270"/>
      <c r="B1" s="270"/>
      <c r="C1" s="270"/>
      <c r="D1" s="270"/>
      <c r="E1" s="270"/>
      <c r="F1" s="270"/>
    </row>
    <row r="2" spans="1:11" ht="25.9" customHeight="1" x14ac:dyDescent="0.3">
      <c r="A2" s="215">
        <f ca="1">TODAY()</f>
        <v>46314</v>
      </c>
      <c r="B2" s="287" t="s">
        <v>175</v>
      </c>
      <c r="C2" s="287"/>
      <c r="D2" s="287"/>
      <c r="E2" s="287"/>
      <c r="F2" s="288"/>
      <c r="G2" s="67"/>
      <c r="H2" s="67"/>
    </row>
    <row r="3" spans="1:11" ht="40.5" customHeight="1" x14ac:dyDescent="0.3">
      <c r="A3" s="222" t="s">
        <v>67</v>
      </c>
      <c r="B3" s="223" t="s">
        <v>13</v>
      </c>
      <c r="C3" s="235" t="s">
        <v>377</v>
      </c>
      <c r="D3" s="230" t="s">
        <v>2</v>
      </c>
      <c r="E3" s="229" t="s">
        <v>23</v>
      </c>
      <c r="F3" s="231" t="s">
        <v>14</v>
      </c>
      <c r="G3" s="67"/>
      <c r="H3" s="67"/>
    </row>
    <row r="4" spans="1:11" ht="25.35" customHeight="1" x14ac:dyDescent="0.3">
      <c r="A4" s="220" t="s">
        <v>260</v>
      </c>
      <c r="B4" s="224">
        <v>40</v>
      </c>
      <c r="C4" s="227">
        <f>IFERROR(VLOOKUP(A4,'조인앤조인 피벗'!A:SH,6,FALSE),0)</f>
        <v>180</v>
      </c>
      <c r="D4" s="227">
        <f t="shared" ref="D4:D18" si="0">IFERROR(ROUNDDOWN(C4/B4,0),"")</f>
        <v>4</v>
      </c>
      <c r="E4" s="51" t="s">
        <v>109</v>
      </c>
      <c r="F4" s="228">
        <f t="shared" ref="F4:F18" si="1">IFERROR(C4-(D4*B4),"")</f>
        <v>20</v>
      </c>
      <c r="G4" s="67"/>
      <c r="H4" s="67"/>
      <c r="J4" s="73"/>
      <c r="K4" s="73"/>
    </row>
    <row r="5" spans="1:11" ht="25.35" customHeight="1" x14ac:dyDescent="0.3">
      <c r="A5" s="221" t="s">
        <v>255</v>
      </c>
      <c r="B5" s="224">
        <f t="shared" ref="B5:B18" si="2">$B$4</f>
        <v>40</v>
      </c>
      <c r="C5" s="227">
        <f>IFERROR(VLOOKUP(A5,'조인앤조인 피벗'!A:SH,6,FALSE),0)</f>
        <v>1236</v>
      </c>
      <c r="D5" s="227">
        <f t="shared" si="0"/>
        <v>30</v>
      </c>
      <c r="E5" s="51" t="s">
        <v>335</v>
      </c>
      <c r="F5" s="228">
        <f t="shared" si="1"/>
        <v>36</v>
      </c>
      <c r="G5" s="67"/>
      <c r="H5" s="67"/>
      <c r="J5" s="73"/>
      <c r="K5" s="73"/>
    </row>
    <row r="6" spans="1:11" ht="25.35" customHeight="1" x14ac:dyDescent="0.3">
      <c r="A6" s="221" t="s">
        <v>249</v>
      </c>
      <c r="B6" s="224">
        <f t="shared" si="2"/>
        <v>40</v>
      </c>
      <c r="C6" s="227">
        <f>IFERROR(VLOOKUP(A6,'조인앤조인 피벗'!A:SH,6,FALSE),0)</f>
        <v>568</v>
      </c>
      <c r="D6" s="227">
        <f>IFERROR(ROUNDDOWN(C6/B6,0),"")</f>
        <v>14</v>
      </c>
      <c r="E6" s="51" t="s">
        <v>272</v>
      </c>
      <c r="F6" s="228">
        <f>IFERROR(C6-(D6*B6),"")</f>
        <v>8</v>
      </c>
      <c r="G6" s="67"/>
      <c r="H6" s="67"/>
      <c r="J6" s="73"/>
      <c r="K6" s="73"/>
    </row>
    <row r="7" spans="1:11" ht="25.35" customHeight="1" x14ac:dyDescent="0.3">
      <c r="A7" s="221" t="s">
        <v>250</v>
      </c>
      <c r="B7" s="224">
        <f t="shared" si="2"/>
        <v>40</v>
      </c>
      <c r="C7" s="227">
        <f>IFERROR(VLOOKUP(A7,'조인앤조인 피벗'!A:SH,6,FALSE),0)</f>
        <v>624</v>
      </c>
      <c r="D7" s="227">
        <f>IFERROR(ROUNDDOWN(C7/B7,0),"")</f>
        <v>15</v>
      </c>
      <c r="E7" s="51" t="s">
        <v>273</v>
      </c>
      <c r="F7" s="228">
        <f>IFERROR(C7-(D7*B7),"")</f>
        <v>24</v>
      </c>
      <c r="G7" s="67"/>
      <c r="H7" s="67"/>
      <c r="J7" s="73"/>
      <c r="K7" s="73"/>
    </row>
    <row r="8" spans="1:11" ht="25.35" customHeight="1" x14ac:dyDescent="0.3">
      <c r="A8" s="221" t="s">
        <v>248</v>
      </c>
      <c r="B8" s="224">
        <f t="shared" si="2"/>
        <v>40</v>
      </c>
      <c r="C8" s="227">
        <f>IFERROR(VLOOKUP(A8,'조인앤조인 피벗'!A:SH,6,FALSE),0)</f>
        <v>424</v>
      </c>
      <c r="D8" s="227">
        <f>IFERROR(ROUNDDOWN(C8/B8,0),"")</f>
        <v>10</v>
      </c>
      <c r="E8" s="51" t="s">
        <v>271</v>
      </c>
      <c r="F8" s="228">
        <f>IFERROR(C8-(D8*B8),"")</f>
        <v>24</v>
      </c>
      <c r="G8" s="67"/>
      <c r="H8" s="67"/>
      <c r="J8" s="73"/>
      <c r="K8" s="73"/>
    </row>
    <row r="9" spans="1:11" ht="25.35" customHeight="1" x14ac:dyDescent="0.3">
      <c r="A9" s="221" t="s">
        <v>246</v>
      </c>
      <c r="B9" s="224">
        <f t="shared" si="2"/>
        <v>40</v>
      </c>
      <c r="C9" s="227">
        <f>IFERROR(VLOOKUP(A9,'조인앤조인 피벗'!A:SH,6,FALSE),0)</f>
        <v>344</v>
      </c>
      <c r="D9" s="227">
        <f t="shared" si="0"/>
        <v>8</v>
      </c>
      <c r="E9" s="51" t="s">
        <v>270</v>
      </c>
      <c r="F9" s="228">
        <f t="shared" si="1"/>
        <v>24</v>
      </c>
      <c r="G9" s="67"/>
      <c r="H9" s="67"/>
      <c r="J9" s="73"/>
      <c r="K9" s="73"/>
    </row>
    <row r="10" spans="1:11" ht="25.35" customHeight="1" x14ac:dyDescent="0.3">
      <c r="A10" s="221" t="s">
        <v>256</v>
      </c>
      <c r="B10" s="224">
        <f t="shared" si="2"/>
        <v>40</v>
      </c>
      <c r="C10" s="227">
        <f>IFERROR(VLOOKUP(A10,'조인앤조인 피벗'!A:SH,6,FALSE),0)</f>
        <v>268</v>
      </c>
      <c r="D10" s="227">
        <f>IFERROR(ROUNDDOWN(C10/B10,0),"")</f>
        <v>6</v>
      </c>
      <c r="E10" s="51" t="s">
        <v>278</v>
      </c>
      <c r="F10" s="228">
        <f>IFERROR(C10-(D10*B10),"")</f>
        <v>28</v>
      </c>
      <c r="G10" s="67"/>
      <c r="H10" s="67"/>
      <c r="J10" s="73"/>
      <c r="K10" s="73"/>
    </row>
    <row r="11" spans="1:11" ht="25.35" customHeight="1" x14ac:dyDescent="0.3">
      <c r="A11" s="221" t="s">
        <v>247</v>
      </c>
      <c r="B11" s="224">
        <f t="shared" si="2"/>
        <v>40</v>
      </c>
      <c r="C11" s="227">
        <f>IFERROR(VLOOKUP(A11,'조인앤조인 피벗'!A:SH,6,FALSE),0)</f>
        <v>356</v>
      </c>
      <c r="D11" s="227">
        <f t="shared" si="0"/>
        <v>8</v>
      </c>
      <c r="E11" s="51" t="s">
        <v>334</v>
      </c>
      <c r="F11" s="228">
        <f t="shared" si="1"/>
        <v>36</v>
      </c>
      <c r="G11" s="67"/>
      <c r="H11" s="67"/>
      <c r="J11" s="73"/>
      <c r="K11" s="73"/>
    </row>
    <row r="12" spans="1:11" ht="25.35" customHeight="1" x14ac:dyDescent="0.3">
      <c r="A12" s="221" t="s">
        <v>251</v>
      </c>
      <c r="B12" s="224">
        <f t="shared" si="2"/>
        <v>40</v>
      </c>
      <c r="C12" s="227">
        <f>IFERROR(VLOOKUP(A12,'조인앤조인 피벗'!A:SH,6,FALSE),0)</f>
        <v>568</v>
      </c>
      <c r="D12" s="227">
        <f t="shared" si="0"/>
        <v>14</v>
      </c>
      <c r="E12" s="51" t="s">
        <v>274</v>
      </c>
      <c r="F12" s="228">
        <f t="shared" si="1"/>
        <v>8</v>
      </c>
      <c r="G12" s="67"/>
      <c r="H12" s="67"/>
      <c r="J12" s="73"/>
      <c r="K12" s="73"/>
    </row>
    <row r="13" spans="1:11" ht="25.35" customHeight="1" x14ac:dyDescent="0.3">
      <c r="A13" s="220" t="s">
        <v>252</v>
      </c>
      <c r="B13" s="224">
        <f t="shared" si="2"/>
        <v>40</v>
      </c>
      <c r="C13" s="227">
        <f>IFERROR(VLOOKUP(A13,'조인앤조인 피벗'!A:SH,6,FALSE),0)</f>
        <v>512</v>
      </c>
      <c r="D13" s="227">
        <f t="shared" si="0"/>
        <v>12</v>
      </c>
      <c r="E13" s="51" t="s">
        <v>275</v>
      </c>
      <c r="F13" s="228">
        <f t="shared" si="1"/>
        <v>32</v>
      </c>
      <c r="G13" s="67"/>
      <c r="H13" s="67"/>
      <c r="J13" s="73"/>
      <c r="K13" s="73"/>
    </row>
    <row r="14" spans="1:11" ht="25.35" customHeight="1" x14ac:dyDescent="0.3">
      <c r="A14" s="221" t="s">
        <v>253</v>
      </c>
      <c r="B14" s="224">
        <f t="shared" si="2"/>
        <v>40</v>
      </c>
      <c r="C14" s="227">
        <f>IFERROR(VLOOKUP(A14,'조인앤조인 피벗'!A:SH,6,FALSE),0)</f>
        <v>748</v>
      </c>
      <c r="D14" s="227">
        <f t="shared" si="0"/>
        <v>18</v>
      </c>
      <c r="E14" s="51" t="s">
        <v>276</v>
      </c>
      <c r="F14" s="228">
        <f t="shared" si="1"/>
        <v>28</v>
      </c>
      <c r="G14" s="67"/>
      <c r="H14" s="67"/>
      <c r="J14" s="73"/>
      <c r="K14" s="73"/>
    </row>
    <row r="15" spans="1:11" ht="25.35" customHeight="1" x14ac:dyDescent="0.3">
      <c r="A15" s="221" t="s">
        <v>254</v>
      </c>
      <c r="B15" s="224">
        <f t="shared" si="2"/>
        <v>40</v>
      </c>
      <c r="C15" s="227">
        <f>IFERROR(VLOOKUP(A15,'조인앤조인 피벗'!A:SH,6,FALSE),0)</f>
        <v>816</v>
      </c>
      <c r="D15" s="227">
        <f t="shared" si="0"/>
        <v>20</v>
      </c>
      <c r="E15" s="51" t="s">
        <v>277</v>
      </c>
      <c r="F15" s="228">
        <f t="shared" si="1"/>
        <v>16</v>
      </c>
      <c r="G15" s="67"/>
      <c r="H15" s="67"/>
      <c r="J15" s="73"/>
      <c r="K15" s="73"/>
    </row>
    <row r="16" spans="1:11" ht="25.35" customHeight="1" x14ac:dyDescent="0.3">
      <c r="A16" s="221" t="s">
        <v>257</v>
      </c>
      <c r="B16" s="224">
        <f t="shared" si="2"/>
        <v>40</v>
      </c>
      <c r="C16" s="227">
        <f>IFERROR(VLOOKUP(A16,'조인앤조인 피벗'!A:SH,6,FALSE),0)</f>
        <v>240</v>
      </c>
      <c r="D16" s="227">
        <f t="shared" si="0"/>
        <v>6</v>
      </c>
      <c r="E16" s="51" t="s">
        <v>279</v>
      </c>
      <c r="F16" s="228">
        <f t="shared" si="1"/>
        <v>0</v>
      </c>
      <c r="G16" s="67"/>
      <c r="H16" s="67"/>
      <c r="J16" s="73"/>
      <c r="K16" s="73"/>
    </row>
    <row r="17" spans="1:11" ht="25.35" customHeight="1" x14ac:dyDescent="0.3">
      <c r="A17" s="221" t="s">
        <v>258</v>
      </c>
      <c r="B17" s="224">
        <f t="shared" si="2"/>
        <v>40</v>
      </c>
      <c r="C17" s="227">
        <f>IFERROR(VLOOKUP(A17,'조인앤조인 피벗'!A:SH,6,FALSE),0)</f>
        <v>272</v>
      </c>
      <c r="D17" s="227">
        <f t="shared" si="0"/>
        <v>6</v>
      </c>
      <c r="E17" s="51" t="s">
        <v>280</v>
      </c>
      <c r="F17" s="228">
        <f t="shared" si="1"/>
        <v>32</v>
      </c>
      <c r="G17" s="67"/>
      <c r="H17" s="67"/>
      <c r="J17" s="73"/>
      <c r="K17" s="73"/>
    </row>
    <row r="18" spans="1:11" ht="25.35" customHeight="1" x14ac:dyDescent="0.3">
      <c r="A18" s="221" t="s">
        <v>259</v>
      </c>
      <c r="B18" s="224">
        <f t="shared" si="2"/>
        <v>40</v>
      </c>
      <c r="C18" s="227">
        <f>IFERROR(VLOOKUP(A18,'조인앤조인 피벗'!A:SH,6,FALSE),0)</f>
        <v>248</v>
      </c>
      <c r="D18" s="227">
        <f t="shared" si="0"/>
        <v>6</v>
      </c>
      <c r="E18" s="51" t="s">
        <v>336</v>
      </c>
      <c r="F18" s="228">
        <f t="shared" si="1"/>
        <v>8</v>
      </c>
      <c r="G18" s="67"/>
      <c r="H18" s="67"/>
      <c r="J18" s="73"/>
      <c r="K18" s="73"/>
    </row>
    <row r="19" spans="1:11" ht="4.5" customHeight="1" x14ac:dyDescent="0.3">
      <c r="A19" s="284"/>
      <c r="B19" s="285"/>
      <c r="C19" s="285"/>
      <c r="D19" s="285"/>
      <c r="E19" s="285"/>
      <c r="F19" s="286"/>
      <c r="J19" s="73"/>
      <c r="K19" s="73"/>
    </row>
    <row r="20" spans="1:11" ht="32.450000000000003" customHeight="1" x14ac:dyDescent="0.3">
      <c r="A20" s="211" t="s">
        <v>122</v>
      </c>
      <c r="B20" s="225">
        <f>$B$4</f>
        <v>40</v>
      </c>
      <c r="C20" s="212">
        <f>SUM(C4:C18)</f>
        <v>7404</v>
      </c>
      <c r="D20" s="55">
        <f>IFERROR(ROUNDDOWN(C20/B20,0),"")</f>
        <v>185</v>
      </c>
      <c r="E20" s="213"/>
      <c r="F20" s="214">
        <f>IFERROR(C20-(D20*B20),"")</f>
        <v>4</v>
      </c>
      <c r="J20" s="73"/>
      <c r="K20" s="73"/>
    </row>
    <row r="21" spans="1:11" ht="4.5" customHeight="1" x14ac:dyDescent="0.3">
      <c r="A21" s="183"/>
      <c r="B21" s="224"/>
      <c r="C21" s="50"/>
      <c r="D21" s="50"/>
      <c r="E21" s="50"/>
      <c r="F21" s="184"/>
      <c r="J21" s="73"/>
      <c r="K21" s="73"/>
    </row>
    <row r="22" spans="1:11" ht="25.35" customHeight="1" x14ac:dyDescent="0.3">
      <c r="A22" s="221" t="s">
        <v>241</v>
      </c>
      <c r="B22" s="224">
        <f t="shared" ref="B22:B26" si="3">$B$4</f>
        <v>40</v>
      </c>
      <c r="C22" s="227">
        <f>IFERROR(VLOOKUP(A22,'조인앤조인 피벗'!A:SH,6,FALSE),0)</f>
        <v>544</v>
      </c>
      <c r="D22" s="227">
        <f>IFERROR(ROUNDDOWN(C22/B22,0),"")</f>
        <v>13</v>
      </c>
      <c r="E22" s="51" t="s">
        <v>268</v>
      </c>
      <c r="F22" s="228">
        <f>IFERROR(C22-(D22*B22),"")</f>
        <v>24</v>
      </c>
      <c r="G22" s="67"/>
      <c r="H22" s="67"/>
      <c r="J22" s="73"/>
      <c r="K22" s="73"/>
    </row>
    <row r="23" spans="1:11" ht="25.35" customHeight="1" x14ac:dyDescent="0.3">
      <c r="A23" s="221" t="s">
        <v>242</v>
      </c>
      <c r="B23" s="224">
        <f t="shared" si="3"/>
        <v>40</v>
      </c>
      <c r="C23" s="227">
        <f>IFERROR(VLOOKUP(A23,'조인앤조인 피벗'!A:SH,6,FALSE),0)</f>
        <v>364</v>
      </c>
      <c r="D23" s="227">
        <f>IFERROR(ROUNDDOWN(C23/B23,0),"")</f>
        <v>9</v>
      </c>
      <c r="E23" s="51" t="s">
        <v>337</v>
      </c>
      <c r="F23" s="228">
        <f>IFERROR(C23-(D23*B23),"")</f>
        <v>4</v>
      </c>
      <c r="G23" s="67"/>
      <c r="H23" s="67"/>
      <c r="J23" s="73"/>
      <c r="K23" s="73"/>
    </row>
    <row r="24" spans="1:11" ht="25.35" customHeight="1" x14ac:dyDescent="0.3">
      <c r="A24" s="221" t="s">
        <v>243</v>
      </c>
      <c r="B24" s="224">
        <f t="shared" si="3"/>
        <v>40</v>
      </c>
      <c r="C24" s="227">
        <f>IFERROR(VLOOKUP(A24,'조인앤조인 피벗'!A:SH,6,FALSE),0)</f>
        <v>0</v>
      </c>
      <c r="D24" s="227">
        <f>IFERROR(ROUNDDOWN(C24/B24,0),"")</f>
        <v>0</v>
      </c>
      <c r="E24" s="51" t="s">
        <v>106</v>
      </c>
      <c r="F24" s="228">
        <f>IFERROR(C24-(D24*B24),"")</f>
        <v>0</v>
      </c>
      <c r="G24" s="67"/>
      <c r="H24" s="67"/>
      <c r="J24" s="73"/>
      <c r="K24" s="73"/>
    </row>
    <row r="25" spans="1:11" ht="25.35" customHeight="1" x14ac:dyDescent="0.3">
      <c r="A25" s="221" t="s">
        <v>244</v>
      </c>
      <c r="B25" s="224">
        <f t="shared" si="3"/>
        <v>40</v>
      </c>
      <c r="C25" s="227">
        <f>IFERROR(VLOOKUP(A25,'조인앤조인 피벗'!A:SH,6,FALSE),0)</f>
        <v>412</v>
      </c>
      <c r="D25" s="227">
        <f>IFERROR(ROUNDDOWN(C25/B25,0),"")</f>
        <v>10</v>
      </c>
      <c r="E25" s="51" t="s">
        <v>269</v>
      </c>
      <c r="F25" s="228">
        <f>IFERROR(C25-(D25*B25),"")</f>
        <v>12</v>
      </c>
      <c r="G25" s="67"/>
      <c r="H25" s="67"/>
      <c r="J25" s="73"/>
      <c r="K25" s="73"/>
    </row>
    <row r="26" spans="1:11" ht="25.35" customHeight="1" x14ac:dyDescent="0.3">
      <c r="A26" s="221" t="s">
        <v>245</v>
      </c>
      <c r="B26" s="224">
        <f t="shared" si="3"/>
        <v>40</v>
      </c>
      <c r="C26" s="227">
        <f>IFERROR(VLOOKUP(A26,'조인앤조인 피벗'!A:SH,6,FALSE),0)</f>
        <v>316</v>
      </c>
      <c r="D26" s="227">
        <f>IFERROR(ROUNDDOWN(C26/B26,0),"")</f>
        <v>7</v>
      </c>
      <c r="E26" s="51" t="s">
        <v>118</v>
      </c>
      <c r="F26" s="228">
        <f>IFERROR(C26-(D26*B26),"")</f>
        <v>36</v>
      </c>
      <c r="G26" s="67"/>
      <c r="H26" s="67"/>
      <c r="J26" s="73"/>
      <c r="K26" s="73"/>
    </row>
    <row r="27" spans="1:11" ht="4.5" customHeight="1" x14ac:dyDescent="0.3">
      <c r="A27" s="284"/>
      <c r="B27" s="285"/>
      <c r="C27" s="285"/>
      <c r="D27" s="285"/>
      <c r="E27" s="285"/>
      <c r="F27" s="286"/>
      <c r="G27" s="67"/>
      <c r="H27" s="67"/>
      <c r="J27" s="73"/>
      <c r="K27" s="73"/>
    </row>
    <row r="28" spans="1:11" ht="32.450000000000003" customHeight="1" x14ac:dyDescent="0.3">
      <c r="A28" s="211" t="s">
        <v>285</v>
      </c>
      <c r="B28" s="225">
        <f>$B$4</f>
        <v>40</v>
      </c>
      <c r="C28" s="212">
        <f>SUM(C22:C26)</f>
        <v>1636</v>
      </c>
      <c r="D28" s="55">
        <f>IFERROR(ROUNDDOWN(C28/B28,0),"")</f>
        <v>40</v>
      </c>
      <c r="E28" s="213"/>
      <c r="F28" s="214">
        <f>IFERROR(C28-(D28*B28),"")</f>
        <v>36</v>
      </c>
      <c r="G28" s="67"/>
      <c r="H28" s="67"/>
      <c r="J28" s="73"/>
      <c r="K28" s="73"/>
    </row>
    <row r="29" spans="1:11" ht="4.5" customHeight="1" x14ac:dyDescent="0.3">
      <c r="A29" s="284"/>
      <c r="B29" s="285"/>
      <c r="C29" s="285"/>
      <c r="D29" s="285"/>
      <c r="E29" s="285"/>
      <c r="F29" s="286"/>
      <c r="G29" s="67"/>
      <c r="H29" s="67"/>
      <c r="J29" s="73"/>
      <c r="K29" s="73"/>
    </row>
    <row r="30" spans="1:11" ht="25.35" customHeight="1" x14ac:dyDescent="0.3">
      <c r="A30" s="221" t="s">
        <v>239</v>
      </c>
      <c r="B30" s="224">
        <f t="shared" ref="B30:B31" si="4">$B$4</f>
        <v>40</v>
      </c>
      <c r="C30" s="227">
        <f>IFERROR(VLOOKUP(A30,'조인앤조인 피벗'!A:SH,6,FALSE),0)</f>
        <v>420</v>
      </c>
      <c r="D30" s="227">
        <f t="shared" ref="D30:D31" si="5">IFERROR(ROUNDDOWN(C30/B30,0),"")</f>
        <v>10</v>
      </c>
      <c r="E30" s="51" t="s">
        <v>266</v>
      </c>
      <c r="F30" s="228">
        <f t="shared" ref="F30:F31" si="6">IFERROR(C30-(D30*B30),"")</f>
        <v>20</v>
      </c>
      <c r="G30" s="67"/>
      <c r="H30" s="67"/>
      <c r="J30" s="73"/>
      <c r="K30" s="73"/>
    </row>
    <row r="31" spans="1:11" ht="25.35" customHeight="1" x14ac:dyDescent="0.3">
      <c r="A31" s="221" t="s">
        <v>240</v>
      </c>
      <c r="B31" s="224">
        <f t="shared" si="4"/>
        <v>40</v>
      </c>
      <c r="C31" s="227">
        <f>IFERROR(VLOOKUP(A31,'조인앤조인 피벗'!A:SH,6,FALSE),0)</f>
        <v>384</v>
      </c>
      <c r="D31" s="227">
        <f t="shared" si="5"/>
        <v>9</v>
      </c>
      <c r="E31" s="51" t="s">
        <v>267</v>
      </c>
      <c r="F31" s="228">
        <f t="shared" si="6"/>
        <v>24</v>
      </c>
      <c r="G31" s="67"/>
      <c r="H31" s="67"/>
      <c r="J31" s="73"/>
      <c r="K31" s="73"/>
    </row>
    <row r="32" spans="1:11" ht="4.5" customHeight="1" x14ac:dyDescent="0.3">
      <c r="A32" s="284"/>
      <c r="B32" s="285"/>
      <c r="C32" s="285"/>
      <c r="D32" s="285"/>
      <c r="E32" s="285"/>
      <c r="F32" s="286"/>
      <c r="G32" s="67"/>
      <c r="H32" s="67"/>
      <c r="J32" s="73"/>
      <c r="K32" s="73"/>
    </row>
    <row r="33" spans="1:11" ht="32.450000000000003" customHeight="1" x14ac:dyDescent="0.3">
      <c r="A33" s="211" t="s">
        <v>284</v>
      </c>
      <c r="B33" s="225">
        <f>$B$4</f>
        <v>40</v>
      </c>
      <c r="C33" s="212">
        <f>SUM(C30:C31)</f>
        <v>804</v>
      </c>
      <c r="D33" s="55">
        <f>IFERROR(ROUNDDOWN(C33/B33,0),"")</f>
        <v>20</v>
      </c>
      <c r="E33" s="213"/>
      <c r="F33" s="214">
        <f>IFERROR(C33-(D33*B33),"")</f>
        <v>4</v>
      </c>
      <c r="G33" s="67"/>
      <c r="H33" s="67"/>
      <c r="J33" s="73"/>
      <c r="K33" s="73"/>
    </row>
    <row r="34" spans="1:11" ht="4.5" customHeight="1" x14ac:dyDescent="0.3">
      <c r="A34" s="183"/>
      <c r="B34" s="224"/>
      <c r="C34" s="50"/>
      <c r="D34" s="50"/>
      <c r="E34" s="50"/>
      <c r="F34" s="184"/>
      <c r="G34" s="67"/>
      <c r="H34" s="67"/>
      <c r="J34" s="73"/>
      <c r="K34" s="73"/>
    </row>
    <row r="35" spans="1:11" ht="25.35" customHeight="1" x14ac:dyDescent="0.3">
      <c r="A35" s="221" t="s">
        <v>236</v>
      </c>
      <c r="B35" s="224">
        <f t="shared" ref="B35:B37" si="7">$B$4</f>
        <v>40</v>
      </c>
      <c r="C35" s="227">
        <f>IFERROR(VLOOKUP(A35,'조인앤조인 피벗'!A:SH,6,FALSE),0)</f>
        <v>360</v>
      </c>
      <c r="D35" s="227">
        <f>IFERROR(ROUNDDOWN(C35/B35,0),"")</f>
        <v>9</v>
      </c>
      <c r="E35" s="51" t="s">
        <v>264</v>
      </c>
      <c r="F35" s="228">
        <f>IFERROR(C35-(D35*B35),"")</f>
        <v>0</v>
      </c>
      <c r="G35" s="67"/>
      <c r="H35" s="67"/>
      <c r="J35" s="73"/>
      <c r="K35" s="73"/>
    </row>
    <row r="36" spans="1:11" ht="25.35" customHeight="1" x14ac:dyDescent="0.3">
      <c r="A36" s="221" t="s">
        <v>237</v>
      </c>
      <c r="B36" s="224">
        <f t="shared" si="7"/>
        <v>40</v>
      </c>
      <c r="C36" s="227">
        <f>IFERROR(VLOOKUP(A36,'조인앤조인 피벗'!A:SH,6,FALSE),0)</f>
        <v>248</v>
      </c>
      <c r="D36" s="227">
        <f t="shared" ref="D36:D37" si="8">IFERROR(ROUNDDOWN(C36/B36,0),"")</f>
        <v>6</v>
      </c>
      <c r="E36" s="51" t="s">
        <v>338</v>
      </c>
      <c r="F36" s="228">
        <f t="shared" ref="F36:F37" si="9">IFERROR(C36-(D36*B36),"")</f>
        <v>8</v>
      </c>
      <c r="G36" s="67"/>
      <c r="H36" s="67"/>
      <c r="J36" s="73"/>
      <c r="K36" s="73"/>
    </row>
    <row r="37" spans="1:11" ht="25.35" customHeight="1" x14ac:dyDescent="0.3">
      <c r="A37" s="221" t="s">
        <v>238</v>
      </c>
      <c r="B37" s="224">
        <f t="shared" si="7"/>
        <v>40</v>
      </c>
      <c r="C37" s="227">
        <f>IFERROR(VLOOKUP(A37,'조인앤조인 피벗'!A:SH,6,FALSE),0)</f>
        <v>304</v>
      </c>
      <c r="D37" s="227">
        <f t="shared" si="8"/>
        <v>7</v>
      </c>
      <c r="E37" s="51" t="s">
        <v>265</v>
      </c>
      <c r="F37" s="228">
        <f t="shared" si="9"/>
        <v>24</v>
      </c>
      <c r="G37" s="67"/>
      <c r="H37" s="67"/>
      <c r="J37" s="73"/>
      <c r="K37" s="73"/>
    </row>
    <row r="38" spans="1:11" ht="4.5" customHeight="1" x14ac:dyDescent="0.3">
      <c r="A38" s="284"/>
      <c r="B38" s="285"/>
      <c r="C38" s="285"/>
      <c r="D38" s="285"/>
      <c r="E38" s="285"/>
      <c r="F38" s="286"/>
      <c r="G38" s="67"/>
      <c r="H38" s="67"/>
      <c r="J38" s="73"/>
      <c r="K38" s="73"/>
    </row>
    <row r="39" spans="1:11" ht="32.450000000000003" customHeight="1" x14ac:dyDescent="0.3">
      <c r="A39" s="211" t="s">
        <v>283</v>
      </c>
      <c r="B39" s="225">
        <f>$B$4</f>
        <v>40</v>
      </c>
      <c r="C39" s="212">
        <f>SUM(C35:C37)</f>
        <v>912</v>
      </c>
      <c r="D39" s="55">
        <f>IFERROR(ROUNDDOWN(C39/B39,0),"")</f>
        <v>22</v>
      </c>
      <c r="E39" s="213"/>
      <c r="F39" s="214">
        <f>IFERROR(C39-(D39*B39),"")</f>
        <v>32</v>
      </c>
      <c r="G39" s="67"/>
      <c r="H39" s="67"/>
      <c r="J39" s="73"/>
      <c r="K39" s="73"/>
    </row>
    <row r="40" spans="1:11" ht="4.5" customHeight="1" x14ac:dyDescent="0.3">
      <c r="A40" s="183"/>
      <c r="B40" s="224"/>
      <c r="C40" s="50"/>
      <c r="D40" s="50"/>
      <c r="E40" s="50"/>
      <c r="F40" s="184"/>
      <c r="G40" s="67"/>
      <c r="H40" s="67"/>
      <c r="J40" s="73"/>
      <c r="K40" s="73"/>
    </row>
    <row r="41" spans="1:11" ht="25.35" customHeight="1" x14ac:dyDescent="0.3">
      <c r="A41" s="221" t="s">
        <v>261</v>
      </c>
      <c r="B41" s="224">
        <f t="shared" ref="B41:B42" si="10">$B$4</f>
        <v>40</v>
      </c>
      <c r="C41" s="227">
        <f>IFERROR(VLOOKUP(A41,'조인앤조인 피벗'!A:SH,6,FALSE),0)</f>
        <v>100</v>
      </c>
      <c r="D41" s="227">
        <f t="shared" ref="D41:D42" si="11">IFERROR(ROUNDDOWN(C41/B41,0),"")</f>
        <v>2</v>
      </c>
      <c r="E41" s="51" t="s">
        <v>281</v>
      </c>
      <c r="F41" s="228">
        <f t="shared" ref="F41:F42" si="12">IFERROR(C41-(D41*B41),"")</f>
        <v>20</v>
      </c>
      <c r="G41" s="67"/>
      <c r="H41" s="67"/>
      <c r="J41" s="73"/>
      <c r="K41" s="73"/>
    </row>
    <row r="42" spans="1:11" ht="25.35" customHeight="1" x14ac:dyDescent="0.3">
      <c r="A42" s="221" t="s">
        <v>262</v>
      </c>
      <c r="B42" s="224">
        <f t="shared" si="10"/>
        <v>40</v>
      </c>
      <c r="C42" s="227">
        <f>IFERROR(VLOOKUP(A42,'조인앤조인 피벗'!A:SH,6,FALSE),0)</f>
        <v>180</v>
      </c>
      <c r="D42" s="227">
        <f t="shared" si="11"/>
        <v>4</v>
      </c>
      <c r="E42" s="51" t="s">
        <v>282</v>
      </c>
      <c r="F42" s="228">
        <f t="shared" si="12"/>
        <v>20</v>
      </c>
      <c r="G42" s="67"/>
      <c r="H42" s="67"/>
      <c r="J42" s="73"/>
      <c r="K42" s="73"/>
    </row>
    <row r="43" spans="1:11" ht="4.5" customHeight="1" x14ac:dyDescent="0.3">
      <c r="A43" s="284"/>
      <c r="B43" s="285"/>
      <c r="C43" s="285"/>
      <c r="D43" s="285"/>
      <c r="E43" s="285"/>
      <c r="F43" s="286"/>
      <c r="G43" s="67"/>
      <c r="H43" s="67"/>
      <c r="J43" s="73"/>
      <c r="K43" s="73"/>
    </row>
    <row r="44" spans="1:11" ht="32.450000000000003" customHeight="1" x14ac:dyDescent="0.3">
      <c r="A44" s="211" t="s">
        <v>339</v>
      </c>
      <c r="B44" s="225">
        <f>$B$4</f>
        <v>40</v>
      </c>
      <c r="C44" s="212">
        <f>SUM(C41:C42)</f>
        <v>280</v>
      </c>
      <c r="D44" s="55">
        <f>IFERROR(ROUNDDOWN(C44/B44,0),"")</f>
        <v>7</v>
      </c>
      <c r="E44" s="213"/>
      <c r="F44" s="214">
        <f>IFERROR(C44-(D44*B44),"")</f>
        <v>0</v>
      </c>
      <c r="G44" s="67"/>
      <c r="H44" s="67"/>
      <c r="J44" s="73"/>
      <c r="K44" s="73"/>
    </row>
    <row r="45" spans="1:11" ht="4.5" customHeight="1" thickBot="1" x14ac:dyDescent="0.35">
      <c r="A45" s="183"/>
      <c r="B45" s="50"/>
      <c r="C45" s="50"/>
      <c r="D45" s="50"/>
      <c r="E45" s="50"/>
      <c r="F45" s="184"/>
      <c r="G45" s="67"/>
      <c r="H45" s="67"/>
      <c r="J45" s="73"/>
      <c r="K45" s="73"/>
    </row>
    <row r="46" spans="1:11" ht="26.25" x14ac:dyDescent="0.3">
      <c r="A46" s="87" t="s">
        <v>3</v>
      </c>
      <c r="B46" s="226">
        <f>$B$4</f>
        <v>40</v>
      </c>
      <c r="C46" s="55">
        <f>SUM(C4:C18,C35:C37,C30:C31,C22:C26,C41:C42)</f>
        <v>11036</v>
      </c>
      <c r="D46" s="54">
        <f>IFERROR(ROUNDDOWN(C46/B46,0),"")</f>
        <v>275</v>
      </c>
      <c r="E46" s="56"/>
      <c r="F46" s="121">
        <f>IFERROR(C46-(D46*B46),"")</f>
        <v>36</v>
      </c>
      <c r="G46" s="232" t="s">
        <v>110</v>
      </c>
      <c r="H46" s="233" t="s">
        <v>111</v>
      </c>
      <c r="J46" s="73"/>
      <c r="K46" s="73"/>
    </row>
    <row r="47" spans="1:11" ht="27" thickBot="1" x14ac:dyDescent="0.35">
      <c r="A47" s="42" t="s">
        <v>286</v>
      </c>
      <c r="B47" s="43" t="s">
        <v>173</v>
      </c>
      <c r="C47" s="40"/>
      <c r="D47" s="41">
        <f>SUM(D4:D18,D35:D37,D30:D31,D22:D26,D41:D42)</f>
        <v>263</v>
      </c>
      <c r="E47" s="48"/>
      <c r="F47" s="93">
        <f>SUM(F4:F18,F35:F37,F30:F31,F22:F26,F41:F42)</f>
        <v>516</v>
      </c>
      <c r="G47" s="216">
        <f>IFERROR(ROUNDDOWN(F47/B35,0),"")</f>
        <v>12</v>
      </c>
      <c r="H47" s="217">
        <f>IFERROR(F47-(G47*B35),"")</f>
        <v>36</v>
      </c>
    </row>
    <row r="48" spans="1:11" ht="22.5" customHeight="1" x14ac:dyDescent="0.3">
      <c r="C48" s="77">
        <f>C20+C28+C33+C39+C44</f>
        <v>11036</v>
      </c>
      <c r="G48" s="199"/>
      <c r="H48" s="34" t="s">
        <v>174</v>
      </c>
    </row>
    <row r="49" spans="3:3" x14ac:dyDescent="0.3">
      <c r="C49" s="34" t="b">
        <f>C48=C46</f>
        <v>1</v>
      </c>
    </row>
  </sheetData>
  <mergeCells count="8">
    <mergeCell ref="A38:F38"/>
    <mergeCell ref="A43:F43"/>
    <mergeCell ref="A1:F1"/>
    <mergeCell ref="B2:F2"/>
    <mergeCell ref="A19:F19"/>
    <mergeCell ref="A27:F27"/>
    <mergeCell ref="A29:F29"/>
    <mergeCell ref="A32:F32"/>
  </mergeCells>
  <phoneticPr fontId="13" type="noConversion"/>
  <printOptions horizontalCentered="1" verticalCentered="1"/>
  <pageMargins left="0" right="0" top="0" bottom="0" header="0" footer="0"/>
  <pageSetup paperSize="9" scale="77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34A84F-7CAA-4EB7-9B0F-0320A26913B3}">
  <sheetPr>
    <tabColor rgb="FFFFFF00"/>
    <pageSetUpPr fitToPage="1"/>
  </sheetPr>
  <dimension ref="A1:K49"/>
  <sheetViews>
    <sheetView zoomScale="40" zoomScaleNormal="40" zoomScaleSheetLayoutView="75" workbookViewId="0">
      <selection activeCell="A2" sqref="A2:F47"/>
    </sheetView>
  </sheetViews>
  <sheetFormatPr defaultColWidth="9" defaultRowHeight="16.5" x14ac:dyDescent="0.3"/>
  <cols>
    <col min="1" max="1" width="24.75" style="34" customWidth="1"/>
    <col min="2" max="2" width="7.625" style="38" customWidth="1"/>
    <col min="3" max="3" width="30.625" style="34" customWidth="1"/>
    <col min="4" max="4" width="9.875" style="2" customWidth="1"/>
    <col min="5" max="5" width="11.375" style="34" customWidth="1"/>
    <col min="6" max="6" width="11.125" style="2" customWidth="1"/>
    <col min="7" max="7" width="8.375" style="34" customWidth="1"/>
    <col min="8" max="8" width="9" style="34" customWidth="1"/>
    <col min="9" max="13" width="9" style="34"/>
    <col min="14" max="14" width="10.625" style="34" customWidth="1"/>
    <col min="15" max="17" width="9" style="34"/>
    <col min="18" max="18" width="36.5" style="34" bestFit="1" customWidth="1"/>
    <col min="19" max="16384" width="9" style="34"/>
  </cols>
  <sheetData>
    <row r="1" spans="1:11" ht="25.9" customHeight="1" thickBot="1" x14ac:dyDescent="0.35">
      <c r="A1" s="270"/>
      <c r="B1" s="270"/>
      <c r="C1" s="270"/>
      <c r="D1" s="270"/>
      <c r="E1" s="270"/>
      <c r="F1" s="270"/>
    </row>
    <row r="2" spans="1:11" ht="25.9" customHeight="1" x14ac:dyDescent="0.3">
      <c r="A2" s="215">
        <f ca="1">TODAY()</f>
        <v>46314</v>
      </c>
      <c r="B2" s="287" t="s">
        <v>175</v>
      </c>
      <c r="C2" s="287"/>
      <c r="D2" s="287"/>
      <c r="E2" s="287"/>
      <c r="F2" s="288"/>
      <c r="G2" s="67"/>
      <c r="H2" s="67"/>
    </row>
    <row r="3" spans="1:11" ht="40.5" customHeight="1" x14ac:dyDescent="0.3">
      <c r="A3" s="222" t="s">
        <v>67</v>
      </c>
      <c r="B3" s="223" t="s">
        <v>13</v>
      </c>
      <c r="C3" s="229" t="s">
        <v>360</v>
      </c>
      <c r="D3" s="230" t="s">
        <v>2</v>
      </c>
      <c r="E3" s="229" t="s">
        <v>23</v>
      </c>
      <c r="F3" s="231" t="s">
        <v>14</v>
      </c>
      <c r="G3" s="67"/>
      <c r="H3" s="67"/>
    </row>
    <row r="4" spans="1:11" ht="25.35" customHeight="1" x14ac:dyDescent="0.3">
      <c r="A4" s="220" t="s">
        <v>260</v>
      </c>
      <c r="B4" s="224">
        <v>30</v>
      </c>
      <c r="C4" s="227">
        <f>IFERROR(VLOOKUP(A4,'조인앤조인 피벗'!A:SH,7,FALSE),0)</f>
        <v>24</v>
      </c>
      <c r="D4" s="227">
        <f t="shared" ref="D4:D18" si="0">IFERROR(ROUNDDOWN(C4/B4,0),"")</f>
        <v>0</v>
      </c>
      <c r="E4" s="51" t="s">
        <v>109</v>
      </c>
      <c r="F4" s="228">
        <f t="shared" ref="F4:F18" si="1">IFERROR(C4-(D4*B4),"")</f>
        <v>24</v>
      </c>
      <c r="G4" s="67"/>
      <c r="H4" s="67"/>
      <c r="J4" s="73"/>
      <c r="K4" s="73"/>
    </row>
    <row r="5" spans="1:11" ht="25.35" customHeight="1" x14ac:dyDescent="0.3">
      <c r="A5" s="221" t="s">
        <v>255</v>
      </c>
      <c r="B5" s="224">
        <f t="shared" ref="B5:B18" si="2">$B$4</f>
        <v>30</v>
      </c>
      <c r="C5" s="227">
        <f>IFERROR(VLOOKUP(A5,'조인앤조인 피벗'!A:SH,7,FALSE),0)</f>
        <v>207</v>
      </c>
      <c r="D5" s="227">
        <f t="shared" si="0"/>
        <v>6</v>
      </c>
      <c r="E5" s="51" t="s">
        <v>335</v>
      </c>
      <c r="F5" s="228">
        <f t="shared" si="1"/>
        <v>27</v>
      </c>
      <c r="G5" s="67"/>
      <c r="H5" s="67"/>
      <c r="J5" s="73"/>
      <c r="K5" s="73"/>
    </row>
    <row r="6" spans="1:11" ht="25.35" customHeight="1" x14ac:dyDescent="0.3">
      <c r="A6" s="221" t="s">
        <v>249</v>
      </c>
      <c r="B6" s="224">
        <f t="shared" si="2"/>
        <v>30</v>
      </c>
      <c r="C6" s="227">
        <f>IFERROR(VLOOKUP(A6,'조인앤조인 피벗'!A:SH,7,FALSE),0)</f>
        <v>122</v>
      </c>
      <c r="D6" s="227">
        <f>IFERROR(ROUNDDOWN(C6/B6,0),"")</f>
        <v>4</v>
      </c>
      <c r="E6" s="51" t="s">
        <v>272</v>
      </c>
      <c r="F6" s="228">
        <f>IFERROR(C6-(D6*B6),"")</f>
        <v>2</v>
      </c>
      <c r="G6" s="67"/>
      <c r="H6" s="67"/>
      <c r="J6" s="73"/>
      <c r="K6" s="73"/>
    </row>
    <row r="7" spans="1:11" ht="25.35" customHeight="1" x14ac:dyDescent="0.3">
      <c r="A7" s="221" t="s">
        <v>250</v>
      </c>
      <c r="B7" s="224">
        <f t="shared" si="2"/>
        <v>30</v>
      </c>
      <c r="C7" s="227">
        <f>IFERROR(VLOOKUP(A7,'조인앤조인 피벗'!A:SH,7,FALSE),0)</f>
        <v>112</v>
      </c>
      <c r="D7" s="227">
        <f>IFERROR(ROUNDDOWN(C7/B7,0),"")</f>
        <v>3</v>
      </c>
      <c r="E7" s="51" t="s">
        <v>273</v>
      </c>
      <c r="F7" s="228">
        <f>IFERROR(C7-(D7*B7),"")</f>
        <v>22</v>
      </c>
      <c r="G7" s="67"/>
      <c r="H7" s="67"/>
      <c r="J7" s="73"/>
      <c r="K7" s="73"/>
    </row>
    <row r="8" spans="1:11" ht="25.35" customHeight="1" x14ac:dyDescent="0.3">
      <c r="A8" s="221" t="s">
        <v>248</v>
      </c>
      <c r="B8" s="224">
        <f t="shared" si="2"/>
        <v>30</v>
      </c>
      <c r="C8" s="227">
        <f>IFERROR(VLOOKUP(A8,'조인앤조인 피벗'!A:SH,7,FALSE),0)</f>
        <v>125</v>
      </c>
      <c r="D8" s="227">
        <f>IFERROR(ROUNDDOWN(C8/B8,0),"")</f>
        <v>4</v>
      </c>
      <c r="E8" s="51" t="s">
        <v>271</v>
      </c>
      <c r="F8" s="228">
        <f>IFERROR(C8-(D8*B8),"")</f>
        <v>5</v>
      </c>
      <c r="G8" s="67"/>
      <c r="H8" s="67"/>
      <c r="J8" s="73"/>
      <c r="K8" s="73"/>
    </row>
    <row r="9" spans="1:11" ht="25.35" customHeight="1" x14ac:dyDescent="0.3">
      <c r="A9" s="221" t="s">
        <v>246</v>
      </c>
      <c r="B9" s="224">
        <f t="shared" si="2"/>
        <v>30</v>
      </c>
      <c r="C9" s="227">
        <f>IFERROR(VLOOKUP(A9,'조인앤조인 피벗'!A:SH,7,FALSE),0)</f>
        <v>79</v>
      </c>
      <c r="D9" s="227">
        <f t="shared" si="0"/>
        <v>2</v>
      </c>
      <c r="E9" s="51" t="s">
        <v>270</v>
      </c>
      <c r="F9" s="228">
        <f t="shared" si="1"/>
        <v>19</v>
      </c>
      <c r="G9" s="67"/>
      <c r="H9" s="67"/>
      <c r="J9" s="73"/>
      <c r="K9" s="73"/>
    </row>
    <row r="10" spans="1:11" ht="25.35" customHeight="1" x14ac:dyDescent="0.3">
      <c r="A10" s="221" t="s">
        <v>256</v>
      </c>
      <c r="B10" s="224">
        <f t="shared" si="2"/>
        <v>30</v>
      </c>
      <c r="C10" s="227">
        <f>IFERROR(VLOOKUP(A10,'조인앤조인 피벗'!A:SH,7,FALSE),0)</f>
        <v>48</v>
      </c>
      <c r="D10" s="227">
        <f>IFERROR(ROUNDDOWN(C10/B10,0),"")</f>
        <v>1</v>
      </c>
      <c r="E10" s="51" t="s">
        <v>278</v>
      </c>
      <c r="F10" s="228">
        <f>IFERROR(C10-(D10*B10),"")</f>
        <v>18</v>
      </c>
      <c r="G10" s="67"/>
      <c r="H10" s="67"/>
      <c r="J10" s="73"/>
      <c r="K10" s="73"/>
    </row>
    <row r="11" spans="1:11" ht="25.35" customHeight="1" x14ac:dyDescent="0.3">
      <c r="A11" s="221" t="s">
        <v>247</v>
      </c>
      <c r="B11" s="224">
        <f t="shared" si="2"/>
        <v>30</v>
      </c>
      <c r="C11" s="227">
        <f>IFERROR(VLOOKUP(A11,'조인앤조인 피벗'!A:SH,7,FALSE),0)</f>
        <v>100</v>
      </c>
      <c r="D11" s="227">
        <f t="shared" si="0"/>
        <v>3</v>
      </c>
      <c r="E11" s="51" t="s">
        <v>334</v>
      </c>
      <c r="F11" s="228">
        <f t="shared" si="1"/>
        <v>10</v>
      </c>
      <c r="G11" s="67"/>
      <c r="H11" s="67"/>
      <c r="J11" s="73"/>
      <c r="K11" s="73"/>
    </row>
    <row r="12" spans="1:11" ht="25.35" customHeight="1" x14ac:dyDescent="0.3">
      <c r="A12" s="221" t="s">
        <v>251</v>
      </c>
      <c r="B12" s="224">
        <f t="shared" si="2"/>
        <v>30</v>
      </c>
      <c r="C12" s="227">
        <f>IFERROR(VLOOKUP(A12,'조인앤조인 피벗'!A:SH,7,FALSE),0)</f>
        <v>106</v>
      </c>
      <c r="D12" s="227">
        <f t="shared" si="0"/>
        <v>3</v>
      </c>
      <c r="E12" s="51" t="s">
        <v>274</v>
      </c>
      <c r="F12" s="228">
        <f t="shared" si="1"/>
        <v>16</v>
      </c>
      <c r="G12" s="67"/>
      <c r="H12" s="67"/>
      <c r="J12" s="73"/>
      <c r="K12" s="73"/>
    </row>
    <row r="13" spans="1:11" ht="25.35" customHeight="1" x14ac:dyDescent="0.3">
      <c r="A13" s="220" t="s">
        <v>252</v>
      </c>
      <c r="B13" s="224">
        <f t="shared" si="2"/>
        <v>30</v>
      </c>
      <c r="C13" s="227">
        <f>IFERROR(VLOOKUP(A13,'조인앤조인 피벗'!A:SH,7,FALSE),0)</f>
        <v>134</v>
      </c>
      <c r="D13" s="227">
        <f t="shared" si="0"/>
        <v>4</v>
      </c>
      <c r="E13" s="51" t="s">
        <v>275</v>
      </c>
      <c r="F13" s="228">
        <f t="shared" si="1"/>
        <v>14</v>
      </c>
      <c r="G13" s="67"/>
      <c r="H13" s="67"/>
      <c r="J13" s="73"/>
      <c r="K13" s="73"/>
    </row>
    <row r="14" spans="1:11" ht="25.35" customHeight="1" x14ac:dyDescent="0.3">
      <c r="A14" s="221" t="s">
        <v>253</v>
      </c>
      <c r="B14" s="224">
        <f t="shared" si="2"/>
        <v>30</v>
      </c>
      <c r="C14" s="227">
        <f>IFERROR(VLOOKUP(A14,'조인앤조인 피벗'!A:SH,7,FALSE),0)</f>
        <v>148</v>
      </c>
      <c r="D14" s="227">
        <f t="shared" si="0"/>
        <v>4</v>
      </c>
      <c r="E14" s="51" t="s">
        <v>276</v>
      </c>
      <c r="F14" s="228">
        <f t="shared" si="1"/>
        <v>28</v>
      </c>
      <c r="G14" s="67"/>
      <c r="H14" s="67"/>
      <c r="J14" s="73"/>
      <c r="K14" s="73"/>
    </row>
    <row r="15" spans="1:11" ht="25.35" customHeight="1" x14ac:dyDescent="0.3">
      <c r="A15" s="221" t="s">
        <v>254</v>
      </c>
      <c r="B15" s="224">
        <f t="shared" si="2"/>
        <v>30</v>
      </c>
      <c r="C15" s="227">
        <f>IFERROR(VLOOKUP(A15,'조인앤조인 피벗'!A:SH,7,FALSE),0)</f>
        <v>206</v>
      </c>
      <c r="D15" s="227">
        <f t="shared" si="0"/>
        <v>6</v>
      </c>
      <c r="E15" s="51" t="s">
        <v>277</v>
      </c>
      <c r="F15" s="228">
        <f t="shared" si="1"/>
        <v>26</v>
      </c>
      <c r="G15" s="67"/>
      <c r="H15" s="67"/>
      <c r="J15" s="73"/>
      <c r="K15" s="73"/>
    </row>
    <row r="16" spans="1:11" ht="25.35" customHeight="1" x14ac:dyDescent="0.3">
      <c r="A16" s="221" t="s">
        <v>257</v>
      </c>
      <c r="B16" s="224">
        <f t="shared" si="2"/>
        <v>30</v>
      </c>
      <c r="C16" s="227">
        <f>IFERROR(VLOOKUP(A16,'조인앤조인 피벗'!A:SH,7,FALSE),0)</f>
        <v>43</v>
      </c>
      <c r="D16" s="227">
        <f t="shared" si="0"/>
        <v>1</v>
      </c>
      <c r="E16" s="51" t="s">
        <v>279</v>
      </c>
      <c r="F16" s="228">
        <f t="shared" si="1"/>
        <v>13</v>
      </c>
      <c r="G16" s="67"/>
      <c r="H16" s="67"/>
      <c r="J16" s="73"/>
      <c r="K16" s="73"/>
    </row>
    <row r="17" spans="1:11" ht="25.35" customHeight="1" x14ac:dyDescent="0.3">
      <c r="A17" s="221" t="s">
        <v>258</v>
      </c>
      <c r="B17" s="224">
        <f t="shared" si="2"/>
        <v>30</v>
      </c>
      <c r="C17" s="227">
        <f>IFERROR(VLOOKUP(A17,'조인앤조인 피벗'!A:SH,7,FALSE),0)</f>
        <v>135</v>
      </c>
      <c r="D17" s="227">
        <f t="shared" si="0"/>
        <v>4</v>
      </c>
      <c r="E17" s="51" t="s">
        <v>280</v>
      </c>
      <c r="F17" s="228">
        <f t="shared" si="1"/>
        <v>15</v>
      </c>
      <c r="G17" s="67"/>
      <c r="H17" s="67"/>
      <c r="J17" s="73"/>
      <c r="K17" s="73"/>
    </row>
    <row r="18" spans="1:11" ht="25.35" customHeight="1" x14ac:dyDescent="0.3">
      <c r="A18" s="221" t="s">
        <v>259</v>
      </c>
      <c r="B18" s="224">
        <f t="shared" si="2"/>
        <v>30</v>
      </c>
      <c r="C18" s="227">
        <f>IFERROR(VLOOKUP(A18,'조인앤조인 피벗'!A:SH,7,FALSE),0)</f>
        <v>87</v>
      </c>
      <c r="D18" s="227">
        <f t="shared" si="0"/>
        <v>2</v>
      </c>
      <c r="E18" s="51" t="s">
        <v>336</v>
      </c>
      <c r="F18" s="228">
        <f t="shared" si="1"/>
        <v>27</v>
      </c>
      <c r="G18" s="67"/>
      <c r="H18" s="67"/>
      <c r="J18" s="73"/>
      <c r="K18" s="73"/>
    </row>
    <row r="19" spans="1:11" ht="4.5" customHeight="1" x14ac:dyDescent="0.3">
      <c r="A19" s="284"/>
      <c r="B19" s="285"/>
      <c r="C19" s="285"/>
      <c r="D19" s="285"/>
      <c r="E19" s="285"/>
      <c r="F19" s="286"/>
      <c r="J19" s="73"/>
      <c r="K19" s="73"/>
    </row>
    <row r="20" spans="1:11" ht="32.450000000000003" customHeight="1" x14ac:dyDescent="0.3">
      <c r="A20" s="211" t="s">
        <v>122</v>
      </c>
      <c r="B20" s="225">
        <f>$B$4</f>
        <v>30</v>
      </c>
      <c r="C20" s="212">
        <f>SUM(C4:C18)</f>
        <v>1676</v>
      </c>
      <c r="D20" s="55">
        <f>IFERROR(ROUNDDOWN(C20/B20,0),"")</f>
        <v>55</v>
      </c>
      <c r="E20" s="213"/>
      <c r="F20" s="214">
        <f>IFERROR(C20-(D20*B20),"")</f>
        <v>26</v>
      </c>
      <c r="J20" s="73"/>
      <c r="K20" s="73"/>
    </row>
    <row r="21" spans="1:11" ht="4.5" customHeight="1" x14ac:dyDescent="0.3">
      <c r="A21" s="183"/>
      <c r="B21" s="224"/>
      <c r="C21" s="50"/>
      <c r="D21" s="50"/>
      <c r="E21" s="50"/>
      <c r="F21" s="184"/>
      <c r="J21" s="73"/>
      <c r="K21" s="73"/>
    </row>
    <row r="22" spans="1:11" ht="25.35" customHeight="1" x14ac:dyDescent="0.3">
      <c r="A22" s="221" t="s">
        <v>241</v>
      </c>
      <c r="B22" s="224">
        <f t="shared" ref="B22:B26" si="3">$B$4</f>
        <v>30</v>
      </c>
      <c r="C22" s="227">
        <f>IFERROR(VLOOKUP(A22,'조인앤조인 피벗'!A:SH,7,FALSE),0)</f>
        <v>96</v>
      </c>
      <c r="D22" s="227">
        <f>IFERROR(ROUNDDOWN(C22/B22,0),"")</f>
        <v>3</v>
      </c>
      <c r="E22" s="51" t="s">
        <v>268</v>
      </c>
      <c r="F22" s="228">
        <f>IFERROR(C22-(D22*B22),"")</f>
        <v>6</v>
      </c>
      <c r="G22" s="67"/>
      <c r="H22" s="67"/>
      <c r="J22" s="73"/>
      <c r="K22" s="73"/>
    </row>
    <row r="23" spans="1:11" ht="25.35" customHeight="1" x14ac:dyDescent="0.3">
      <c r="A23" s="221" t="s">
        <v>242</v>
      </c>
      <c r="B23" s="224">
        <f t="shared" si="3"/>
        <v>30</v>
      </c>
      <c r="C23" s="227">
        <f>IFERROR(VLOOKUP(A23,'조인앤조인 피벗'!A:SH,7,FALSE),0)</f>
        <v>79</v>
      </c>
      <c r="D23" s="227">
        <f>IFERROR(ROUNDDOWN(C23/B23,0),"")</f>
        <v>2</v>
      </c>
      <c r="E23" s="51" t="s">
        <v>337</v>
      </c>
      <c r="F23" s="228">
        <f>IFERROR(C23-(D23*B23),"")</f>
        <v>19</v>
      </c>
      <c r="G23" s="67"/>
      <c r="H23" s="67"/>
      <c r="J23" s="73"/>
      <c r="K23" s="73"/>
    </row>
    <row r="24" spans="1:11" ht="25.35" customHeight="1" x14ac:dyDescent="0.3">
      <c r="A24" s="221" t="s">
        <v>243</v>
      </c>
      <c r="B24" s="224">
        <f t="shared" si="3"/>
        <v>30</v>
      </c>
      <c r="C24" s="227">
        <f>IFERROR(VLOOKUP(A24,'조인앤조인 피벗'!A:SH,7,FALSE),0)</f>
        <v>0</v>
      </c>
      <c r="D24" s="227">
        <f>IFERROR(ROUNDDOWN(C24/B24,0),"")</f>
        <v>0</v>
      </c>
      <c r="E24" s="51" t="s">
        <v>106</v>
      </c>
      <c r="F24" s="228">
        <f>IFERROR(C24-(D24*B24),"")</f>
        <v>0</v>
      </c>
      <c r="G24" s="67"/>
      <c r="H24" s="67"/>
      <c r="J24" s="73"/>
      <c r="K24" s="73"/>
    </row>
    <row r="25" spans="1:11" ht="25.35" customHeight="1" x14ac:dyDescent="0.3">
      <c r="A25" s="221" t="s">
        <v>244</v>
      </c>
      <c r="B25" s="224">
        <f t="shared" si="3"/>
        <v>30</v>
      </c>
      <c r="C25" s="227">
        <f>IFERROR(VLOOKUP(A25,'조인앤조인 피벗'!A:SH,7,FALSE),0)</f>
        <v>124</v>
      </c>
      <c r="D25" s="227">
        <f>IFERROR(ROUNDDOWN(C25/B25,0),"")</f>
        <v>4</v>
      </c>
      <c r="E25" s="51" t="s">
        <v>269</v>
      </c>
      <c r="F25" s="228">
        <f>IFERROR(C25-(D25*B25),"")</f>
        <v>4</v>
      </c>
      <c r="G25" s="67"/>
      <c r="H25" s="67"/>
      <c r="J25" s="73"/>
      <c r="K25" s="73"/>
    </row>
    <row r="26" spans="1:11" ht="25.35" customHeight="1" x14ac:dyDescent="0.3">
      <c r="A26" s="221" t="s">
        <v>245</v>
      </c>
      <c r="B26" s="224">
        <f t="shared" si="3"/>
        <v>30</v>
      </c>
      <c r="C26" s="227">
        <f>IFERROR(VLOOKUP(A26,'조인앤조인 피벗'!A:SH,7,FALSE),0)</f>
        <v>64</v>
      </c>
      <c r="D26" s="227">
        <f>IFERROR(ROUNDDOWN(C26/B26,0),"")</f>
        <v>2</v>
      </c>
      <c r="E26" s="51" t="s">
        <v>118</v>
      </c>
      <c r="F26" s="228">
        <f>IFERROR(C26-(D26*B26),"")</f>
        <v>4</v>
      </c>
      <c r="G26" s="67"/>
      <c r="H26" s="67"/>
      <c r="J26" s="73"/>
      <c r="K26" s="73"/>
    </row>
    <row r="27" spans="1:11" ht="4.5" customHeight="1" x14ac:dyDescent="0.3">
      <c r="A27" s="284"/>
      <c r="B27" s="285"/>
      <c r="C27" s="285"/>
      <c r="D27" s="285"/>
      <c r="E27" s="285"/>
      <c r="F27" s="286"/>
      <c r="G27" s="67"/>
      <c r="H27" s="67"/>
      <c r="J27" s="73"/>
      <c r="K27" s="73"/>
    </row>
    <row r="28" spans="1:11" ht="32.450000000000003" customHeight="1" x14ac:dyDescent="0.3">
      <c r="A28" s="211" t="s">
        <v>285</v>
      </c>
      <c r="B28" s="225">
        <f>$B$4</f>
        <v>30</v>
      </c>
      <c r="C28" s="212">
        <f>SUM(C22:C26)</f>
        <v>363</v>
      </c>
      <c r="D28" s="55">
        <f>IFERROR(ROUNDDOWN(C28/B28,0),"")</f>
        <v>12</v>
      </c>
      <c r="E28" s="213"/>
      <c r="F28" s="214">
        <f>IFERROR(C28-(D28*B28),"")</f>
        <v>3</v>
      </c>
      <c r="G28" s="67"/>
      <c r="H28" s="67"/>
      <c r="J28" s="73"/>
      <c r="K28" s="73"/>
    </row>
    <row r="29" spans="1:11" ht="4.5" customHeight="1" x14ac:dyDescent="0.3">
      <c r="A29" s="284"/>
      <c r="B29" s="285"/>
      <c r="C29" s="285"/>
      <c r="D29" s="285"/>
      <c r="E29" s="285"/>
      <c r="F29" s="286"/>
      <c r="G29" s="67"/>
      <c r="H29" s="67"/>
      <c r="J29" s="73"/>
      <c r="K29" s="73"/>
    </row>
    <row r="30" spans="1:11" ht="25.35" customHeight="1" x14ac:dyDescent="0.3">
      <c r="A30" s="221" t="s">
        <v>239</v>
      </c>
      <c r="B30" s="224">
        <f t="shared" ref="B30:B31" si="4">$B$4</f>
        <v>30</v>
      </c>
      <c r="C30" s="227">
        <f>IFERROR(VLOOKUP(A30,'조인앤조인 피벗'!A:SH,7,FALSE),0)</f>
        <v>136</v>
      </c>
      <c r="D30" s="227">
        <f t="shared" ref="D30:D31" si="5">IFERROR(ROUNDDOWN(C30/B30,0),"")</f>
        <v>4</v>
      </c>
      <c r="E30" s="51" t="s">
        <v>266</v>
      </c>
      <c r="F30" s="228">
        <f t="shared" ref="F30:F31" si="6">IFERROR(C30-(D30*B30),"")</f>
        <v>16</v>
      </c>
      <c r="G30" s="67"/>
      <c r="H30" s="67"/>
      <c r="J30" s="73"/>
      <c r="K30" s="73"/>
    </row>
    <row r="31" spans="1:11" ht="25.35" customHeight="1" x14ac:dyDescent="0.3">
      <c r="A31" s="221" t="s">
        <v>240</v>
      </c>
      <c r="B31" s="224">
        <f t="shared" si="4"/>
        <v>30</v>
      </c>
      <c r="C31" s="227">
        <f>IFERROR(VLOOKUP(A31,'조인앤조인 피벗'!A:SH,7,FALSE),0)</f>
        <v>63</v>
      </c>
      <c r="D31" s="227">
        <f t="shared" si="5"/>
        <v>2</v>
      </c>
      <c r="E31" s="51" t="s">
        <v>267</v>
      </c>
      <c r="F31" s="228">
        <f t="shared" si="6"/>
        <v>3</v>
      </c>
      <c r="G31" s="67"/>
      <c r="H31" s="67"/>
      <c r="J31" s="73"/>
      <c r="K31" s="73"/>
    </row>
    <row r="32" spans="1:11" ht="4.5" customHeight="1" x14ac:dyDescent="0.3">
      <c r="A32" s="284"/>
      <c r="B32" s="285"/>
      <c r="C32" s="285"/>
      <c r="D32" s="285"/>
      <c r="E32" s="285"/>
      <c r="F32" s="286"/>
      <c r="G32" s="67"/>
      <c r="H32" s="67"/>
      <c r="J32" s="73"/>
      <c r="K32" s="73"/>
    </row>
    <row r="33" spans="1:11" ht="32.450000000000003" customHeight="1" x14ac:dyDescent="0.3">
      <c r="A33" s="211" t="s">
        <v>284</v>
      </c>
      <c r="B33" s="225">
        <f>$B$4</f>
        <v>30</v>
      </c>
      <c r="C33" s="212">
        <f>SUM(C30:C31)</f>
        <v>199</v>
      </c>
      <c r="D33" s="55">
        <f>IFERROR(ROUNDDOWN(C33/B33,0),"")</f>
        <v>6</v>
      </c>
      <c r="E33" s="213"/>
      <c r="F33" s="214">
        <f>IFERROR(C33-(D33*B33),"")</f>
        <v>19</v>
      </c>
      <c r="G33" s="67"/>
      <c r="H33" s="67"/>
      <c r="J33" s="73"/>
      <c r="K33" s="73"/>
    </row>
    <row r="34" spans="1:11" ht="4.5" customHeight="1" x14ac:dyDescent="0.3">
      <c r="A34" s="183"/>
      <c r="B34" s="224"/>
      <c r="C34" s="50"/>
      <c r="D34" s="50"/>
      <c r="E34" s="50"/>
      <c r="F34" s="184"/>
      <c r="G34" s="67"/>
      <c r="H34" s="67"/>
      <c r="J34" s="73"/>
      <c r="K34" s="73"/>
    </row>
    <row r="35" spans="1:11" ht="25.35" customHeight="1" x14ac:dyDescent="0.3">
      <c r="A35" s="221" t="s">
        <v>236</v>
      </c>
      <c r="B35" s="224">
        <f t="shared" ref="B35:B37" si="7">$B$4</f>
        <v>30</v>
      </c>
      <c r="C35" s="227">
        <f>IFERROR(VLOOKUP(A35,'조인앤조인 피벗'!A:SH,7,FALSE),0)</f>
        <v>64</v>
      </c>
      <c r="D35" s="227">
        <f>IFERROR(ROUNDDOWN(C35/B35,0),"")</f>
        <v>2</v>
      </c>
      <c r="E35" s="51" t="s">
        <v>264</v>
      </c>
      <c r="F35" s="228">
        <f>IFERROR(C35-(D35*B35),"")</f>
        <v>4</v>
      </c>
      <c r="G35" s="67"/>
      <c r="H35" s="67"/>
      <c r="J35" s="73"/>
      <c r="K35" s="73"/>
    </row>
    <row r="36" spans="1:11" ht="25.35" customHeight="1" x14ac:dyDescent="0.3">
      <c r="A36" s="221" t="s">
        <v>237</v>
      </c>
      <c r="B36" s="224">
        <f t="shared" si="7"/>
        <v>30</v>
      </c>
      <c r="C36" s="227">
        <f>IFERROR(VLOOKUP(A36,'조인앤조인 피벗'!A:SH,7,FALSE),0)</f>
        <v>49</v>
      </c>
      <c r="D36" s="227">
        <f t="shared" ref="D36:D37" si="8">IFERROR(ROUNDDOWN(C36/B36,0),"")</f>
        <v>1</v>
      </c>
      <c r="E36" s="51" t="s">
        <v>338</v>
      </c>
      <c r="F36" s="228">
        <f t="shared" ref="F36:F37" si="9">IFERROR(C36-(D36*B36),"")</f>
        <v>19</v>
      </c>
      <c r="G36" s="67"/>
      <c r="H36" s="67"/>
      <c r="J36" s="73"/>
      <c r="K36" s="73"/>
    </row>
    <row r="37" spans="1:11" ht="25.35" customHeight="1" x14ac:dyDescent="0.3">
      <c r="A37" s="221" t="s">
        <v>238</v>
      </c>
      <c r="B37" s="224">
        <f t="shared" si="7"/>
        <v>30</v>
      </c>
      <c r="C37" s="227">
        <f>IFERROR(VLOOKUP(A37,'조인앤조인 피벗'!A:SH,7,FALSE),0)</f>
        <v>51</v>
      </c>
      <c r="D37" s="227">
        <f t="shared" si="8"/>
        <v>1</v>
      </c>
      <c r="E37" s="51" t="s">
        <v>265</v>
      </c>
      <c r="F37" s="228">
        <f t="shared" si="9"/>
        <v>21</v>
      </c>
      <c r="G37" s="67"/>
      <c r="H37" s="67"/>
      <c r="J37" s="73"/>
      <c r="K37" s="73"/>
    </row>
    <row r="38" spans="1:11" ht="4.5" customHeight="1" x14ac:dyDescent="0.3">
      <c r="A38" s="284"/>
      <c r="B38" s="285"/>
      <c r="C38" s="285"/>
      <c r="D38" s="285"/>
      <c r="E38" s="285"/>
      <c r="F38" s="286"/>
      <c r="G38" s="67"/>
      <c r="H38" s="67"/>
      <c r="J38" s="73"/>
      <c r="K38" s="73"/>
    </row>
    <row r="39" spans="1:11" ht="32.450000000000003" customHeight="1" x14ac:dyDescent="0.3">
      <c r="A39" s="211" t="s">
        <v>283</v>
      </c>
      <c r="B39" s="225">
        <f>$B$4</f>
        <v>30</v>
      </c>
      <c r="C39" s="212">
        <f>SUM(C35:C37)</f>
        <v>164</v>
      </c>
      <c r="D39" s="55">
        <f>IFERROR(ROUNDDOWN(C39/B39,0),"")</f>
        <v>5</v>
      </c>
      <c r="E39" s="213"/>
      <c r="F39" s="214">
        <f>IFERROR(C39-(D39*B39),"")</f>
        <v>14</v>
      </c>
      <c r="G39" s="67"/>
      <c r="H39" s="67"/>
      <c r="J39" s="73"/>
      <c r="K39" s="73"/>
    </row>
    <row r="40" spans="1:11" ht="4.5" customHeight="1" x14ac:dyDescent="0.3">
      <c r="A40" s="183"/>
      <c r="B40" s="224"/>
      <c r="C40" s="50"/>
      <c r="D40" s="50"/>
      <c r="E40" s="50"/>
      <c r="F40" s="184"/>
      <c r="G40" s="67"/>
      <c r="H40" s="67"/>
      <c r="J40" s="73"/>
      <c r="K40" s="73"/>
    </row>
    <row r="41" spans="1:11" ht="25.35" customHeight="1" x14ac:dyDescent="0.3">
      <c r="A41" s="221" t="s">
        <v>261</v>
      </c>
      <c r="B41" s="224">
        <f t="shared" ref="B41:B42" si="10">$B$4</f>
        <v>30</v>
      </c>
      <c r="C41" s="227">
        <f>IFERROR(VLOOKUP(A41,'조인앤조인 피벗'!A:SH,7,FALSE),0)</f>
        <v>11</v>
      </c>
      <c r="D41" s="227">
        <f t="shared" ref="D41:D42" si="11">IFERROR(ROUNDDOWN(C41/B41,0),"")</f>
        <v>0</v>
      </c>
      <c r="E41" s="51" t="s">
        <v>281</v>
      </c>
      <c r="F41" s="228">
        <f t="shared" ref="F41:F42" si="12">IFERROR(C41-(D41*B41),"")</f>
        <v>11</v>
      </c>
      <c r="G41" s="67"/>
      <c r="H41" s="67"/>
      <c r="J41" s="73"/>
      <c r="K41" s="73"/>
    </row>
    <row r="42" spans="1:11" ht="25.35" customHeight="1" x14ac:dyDescent="0.3">
      <c r="A42" s="221" t="s">
        <v>262</v>
      </c>
      <c r="B42" s="224">
        <f t="shared" si="10"/>
        <v>30</v>
      </c>
      <c r="C42" s="227">
        <f>IFERROR(VLOOKUP(A42,'조인앤조인 피벗'!A:SH,7,FALSE),0)</f>
        <v>18</v>
      </c>
      <c r="D42" s="227">
        <f t="shared" si="11"/>
        <v>0</v>
      </c>
      <c r="E42" s="51" t="s">
        <v>282</v>
      </c>
      <c r="F42" s="228">
        <f t="shared" si="12"/>
        <v>18</v>
      </c>
      <c r="G42" s="67"/>
      <c r="H42" s="67"/>
      <c r="J42" s="73"/>
      <c r="K42" s="73"/>
    </row>
    <row r="43" spans="1:11" ht="4.5" customHeight="1" x14ac:dyDescent="0.3">
      <c r="A43" s="284"/>
      <c r="B43" s="285"/>
      <c r="C43" s="285"/>
      <c r="D43" s="285"/>
      <c r="E43" s="285"/>
      <c r="F43" s="286"/>
      <c r="G43" s="67"/>
      <c r="H43" s="67"/>
      <c r="J43" s="73"/>
      <c r="K43" s="73"/>
    </row>
    <row r="44" spans="1:11" ht="32.450000000000003" customHeight="1" x14ac:dyDescent="0.3">
      <c r="A44" s="211" t="s">
        <v>339</v>
      </c>
      <c r="B44" s="225">
        <f>$B$4</f>
        <v>30</v>
      </c>
      <c r="C44" s="212">
        <f>SUM(C41:C42)</f>
        <v>29</v>
      </c>
      <c r="D44" s="55">
        <f>IFERROR(ROUNDDOWN(C44/B44,0),"")</f>
        <v>0</v>
      </c>
      <c r="E44" s="213"/>
      <c r="F44" s="214">
        <f>IFERROR(C44-(D44*B44),"")</f>
        <v>29</v>
      </c>
      <c r="G44" s="67"/>
      <c r="H44" s="67"/>
      <c r="J44" s="73"/>
      <c r="K44" s="73"/>
    </row>
    <row r="45" spans="1:11" ht="4.5" customHeight="1" thickBot="1" x14ac:dyDescent="0.35">
      <c r="A45" s="183"/>
      <c r="B45" s="50"/>
      <c r="C45" s="50"/>
      <c r="D45" s="50"/>
      <c r="E45" s="50"/>
      <c r="F45" s="184"/>
      <c r="G45" s="67"/>
      <c r="H45" s="67"/>
      <c r="J45" s="73"/>
      <c r="K45" s="73"/>
    </row>
    <row r="46" spans="1:11" ht="26.25" x14ac:dyDescent="0.3">
      <c r="A46" s="87" t="s">
        <v>3</v>
      </c>
      <c r="B46" s="226">
        <f>$B$4</f>
        <v>30</v>
      </c>
      <c r="C46" s="55">
        <f>SUM(C4:C18,C35:C37,C30:C31,C22:C26,C41:C42)</f>
        <v>2431</v>
      </c>
      <c r="D46" s="54">
        <f>IFERROR(ROUNDDOWN(C46/B46,0),"")</f>
        <v>81</v>
      </c>
      <c r="E46" s="56"/>
      <c r="F46" s="121">
        <f>IFERROR(C46-(D46*B46),"")</f>
        <v>1</v>
      </c>
      <c r="G46" s="232" t="s">
        <v>110</v>
      </c>
      <c r="H46" s="233" t="s">
        <v>111</v>
      </c>
      <c r="J46" s="73"/>
      <c r="K46" s="73"/>
    </row>
    <row r="47" spans="1:11" ht="27" thickBot="1" x14ac:dyDescent="0.35">
      <c r="A47" s="42" t="s">
        <v>286</v>
      </c>
      <c r="B47" s="43" t="s">
        <v>173</v>
      </c>
      <c r="C47" s="40"/>
      <c r="D47" s="41">
        <f>SUM(D4:D18,D35:D37,D30:D31,D22:D26,D41:D42)</f>
        <v>68</v>
      </c>
      <c r="E47" s="48"/>
      <c r="F47" s="93">
        <f>SUM(F4:F18,F35:F37,F30:F31,F22:F26,F41:F42)</f>
        <v>391</v>
      </c>
      <c r="G47" s="216">
        <f>IFERROR(ROUNDDOWN(F47/B35,0),"")</f>
        <v>13</v>
      </c>
      <c r="H47" s="217">
        <f>IFERROR(F47-(G47*B35),"")</f>
        <v>1</v>
      </c>
    </row>
    <row r="48" spans="1:11" ht="22.5" customHeight="1" x14ac:dyDescent="0.3">
      <c r="C48" s="77">
        <f>C20+C28+C33+C39+C44</f>
        <v>2431</v>
      </c>
      <c r="G48" s="199"/>
      <c r="H48" s="34" t="s">
        <v>174</v>
      </c>
    </row>
    <row r="49" spans="3:3" x14ac:dyDescent="0.3">
      <c r="C49" s="34" t="b">
        <f>C48=C46</f>
        <v>1</v>
      </c>
    </row>
  </sheetData>
  <mergeCells count="8">
    <mergeCell ref="A38:F38"/>
    <mergeCell ref="A43:F43"/>
    <mergeCell ref="A1:F1"/>
    <mergeCell ref="B2:F2"/>
    <mergeCell ref="A19:F19"/>
    <mergeCell ref="A27:F27"/>
    <mergeCell ref="A29:F29"/>
    <mergeCell ref="A32:F32"/>
  </mergeCells>
  <phoneticPr fontId="13" type="noConversion"/>
  <printOptions horizontalCentered="1" verticalCentered="1"/>
  <pageMargins left="0" right="0" top="0" bottom="0" header="0" footer="0"/>
  <pageSetup paperSize="9" scale="77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37F128-A6AC-4663-B3EA-70E3EECDF98B}">
  <sheetPr>
    <tabColor rgb="FFFFFF00"/>
    <pageSetUpPr fitToPage="1"/>
  </sheetPr>
  <dimension ref="A1:K49"/>
  <sheetViews>
    <sheetView zoomScale="40" zoomScaleNormal="40" zoomScaleSheetLayoutView="75" workbookViewId="0">
      <selection activeCell="A2" sqref="A2:F47"/>
    </sheetView>
  </sheetViews>
  <sheetFormatPr defaultColWidth="9" defaultRowHeight="16.5" x14ac:dyDescent="0.3"/>
  <cols>
    <col min="1" max="1" width="24.75" style="34" customWidth="1"/>
    <col min="2" max="2" width="7.625" style="38" customWidth="1"/>
    <col min="3" max="3" width="30.625" style="34" customWidth="1"/>
    <col min="4" max="4" width="9.875" style="2" customWidth="1"/>
    <col min="5" max="5" width="11.375" style="34" customWidth="1"/>
    <col min="6" max="6" width="11.125" style="2" customWidth="1"/>
    <col min="7" max="7" width="8.375" style="34" customWidth="1"/>
    <col min="8" max="8" width="9" style="34" customWidth="1"/>
    <col min="9" max="13" width="9" style="34"/>
    <col min="14" max="14" width="10.625" style="34" customWidth="1"/>
    <col min="15" max="17" width="9" style="34"/>
    <col min="18" max="18" width="36.5" style="34" bestFit="1" customWidth="1"/>
    <col min="19" max="16384" width="9" style="34"/>
  </cols>
  <sheetData>
    <row r="1" spans="1:11" ht="25.9" customHeight="1" thickBot="1" x14ac:dyDescent="0.35">
      <c r="A1" s="270"/>
      <c r="B1" s="270"/>
      <c r="C1" s="270"/>
      <c r="D1" s="270"/>
      <c r="E1" s="270"/>
      <c r="F1" s="270"/>
    </row>
    <row r="2" spans="1:11" ht="25.9" customHeight="1" x14ac:dyDescent="0.3">
      <c r="A2" s="215">
        <f ca="1">TODAY()</f>
        <v>46314</v>
      </c>
      <c r="B2" s="287" t="s">
        <v>175</v>
      </c>
      <c r="C2" s="287"/>
      <c r="D2" s="287"/>
      <c r="E2" s="287"/>
      <c r="F2" s="288"/>
      <c r="G2" s="67"/>
      <c r="H2" s="67"/>
    </row>
    <row r="3" spans="1:11" ht="40.5" customHeight="1" x14ac:dyDescent="0.3">
      <c r="A3" s="222" t="s">
        <v>67</v>
      </c>
      <c r="B3" s="223" t="s">
        <v>13</v>
      </c>
      <c r="C3" s="229" t="s">
        <v>359</v>
      </c>
      <c r="D3" s="230" t="s">
        <v>2</v>
      </c>
      <c r="E3" s="229" t="s">
        <v>23</v>
      </c>
      <c r="F3" s="231" t="s">
        <v>14</v>
      </c>
      <c r="G3" s="67"/>
      <c r="H3" s="67"/>
    </row>
    <row r="4" spans="1:11" ht="25.35" customHeight="1" x14ac:dyDescent="0.3">
      <c r="A4" s="220" t="s">
        <v>260</v>
      </c>
      <c r="B4" s="224">
        <v>30</v>
      </c>
      <c r="C4" s="227">
        <f>IFERROR(VLOOKUP(A4,'조인앤조인 피벗'!A:SH,8,FALSE),0)</f>
        <v>19</v>
      </c>
      <c r="D4" s="227">
        <f t="shared" ref="D4:D18" si="0">IFERROR(ROUNDDOWN(C4/B4,0),"")</f>
        <v>0</v>
      </c>
      <c r="E4" s="51" t="s">
        <v>109</v>
      </c>
      <c r="F4" s="228">
        <f t="shared" ref="F4:F18" si="1">IFERROR(C4-(D4*B4),"")</f>
        <v>19</v>
      </c>
      <c r="G4" s="67"/>
      <c r="H4" s="67"/>
      <c r="J4" s="73"/>
      <c r="K4" s="73"/>
    </row>
    <row r="5" spans="1:11" ht="25.35" customHeight="1" x14ac:dyDescent="0.3">
      <c r="A5" s="221" t="s">
        <v>255</v>
      </c>
      <c r="B5" s="224">
        <f t="shared" ref="B5:B18" si="2">$B$4</f>
        <v>30</v>
      </c>
      <c r="C5" s="227">
        <f>IFERROR(VLOOKUP(A5,'조인앤조인 피벗'!A:SH,8,FALSE),0)</f>
        <v>154</v>
      </c>
      <c r="D5" s="227">
        <f t="shared" si="0"/>
        <v>5</v>
      </c>
      <c r="E5" s="51" t="s">
        <v>335</v>
      </c>
      <c r="F5" s="228">
        <f t="shared" si="1"/>
        <v>4</v>
      </c>
      <c r="G5" s="67"/>
      <c r="H5" s="67"/>
      <c r="J5" s="73"/>
      <c r="K5" s="73"/>
    </row>
    <row r="6" spans="1:11" ht="25.35" customHeight="1" x14ac:dyDescent="0.3">
      <c r="A6" s="221" t="s">
        <v>249</v>
      </c>
      <c r="B6" s="224">
        <f t="shared" si="2"/>
        <v>30</v>
      </c>
      <c r="C6" s="227">
        <f>IFERROR(VLOOKUP(A6,'조인앤조인 피벗'!A:SH,8,FALSE),0)</f>
        <v>94</v>
      </c>
      <c r="D6" s="227">
        <f>IFERROR(ROUNDDOWN(C6/B6,0),"")</f>
        <v>3</v>
      </c>
      <c r="E6" s="51" t="s">
        <v>272</v>
      </c>
      <c r="F6" s="228">
        <f>IFERROR(C6-(D6*B6),"")</f>
        <v>4</v>
      </c>
      <c r="G6" s="67"/>
      <c r="H6" s="67"/>
      <c r="J6" s="73"/>
      <c r="K6" s="73"/>
    </row>
    <row r="7" spans="1:11" ht="25.35" customHeight="1" x14ac:dyDescent="0.3">
      <c r="A7" s="221" t="s">
        <v>250</v>
      </c>
      <c r="B7" s="224">
        <f t="shared" si="2"/>
        <v>30</v>
      </c>
      <c r="C7" s="227">
        <f>IFERROR(VLOOKUP(A7,'조인앤조인 피벗'!A:SH,8,FALSE),0)</f>
        <v>107</v>
      </c>
      <c r="D7" s="227">
        <f>IFERROR(ROUNDDOWN(C7/B7,0),"")</f>
        <v>3</v>
      </c>
      <c r="E7" s="51" t="s">
        <v>273</v>
      </c>
      <c r="F7" s="228">
        <f>IFERROR(C7-(D7*B7),"")</f>
        <v>17</v>
      </c>
      <c r="G7" s="67"/>
      <c r="H7" s="67"/>
      <c r="J7" s="73"/>
      <c r="K7" s="73"/>
    </row>
    <row r="8" spans="1:11" ht="25.35" customHeight="1" x14ac:dyDescent="0.3">
      <c r="A8" s="221" t="s">
        <v>248</v>
      </c>
      <c r="B8" s="224">
        <f t="shared" si="2"/>
        <v>30</v>
      </c>
      <c r="C8" s="227">
        <f>IFERROR(VLOOKUP(A8,'조인앤조인 피벗'!A:SH,8,FALSE),0)</f>
        <v>70</v>
      </c>
      <c r="D8" s="227">
        <f>IFERROR(ROUNDDOWN(C8/B8,0),"")</f>
        <v>2</v>
      </c>
      <c r="E8" s="51" t="s">
        <v>271</v>
      </c>
      <c r="F8" s="228">
        <f>IFERROR(C8-(D8*B8),"")</f>
        <v>10</v>
      </c>
      <c r="G8" s="67"/>
      <c r="H8" s="67"/>
      <c r="J8" s="73"/>
      <c r="K8" s="73"/>
    </row>
    <row r="9" spans="1:11" ht="25.35" customHeight="1" x14ac:dyDescent="0.3">
      <c r="A9" s="221" t="s">
        <v>246</v>
      </c>
      <c r="B9" s="224">
        <f t="shared" si="2"/>
        <v>30</v>
      </c>
      <c r="C9" s="227">
        <f>IFERROR(VLOOKUP(A9,'조인앤조인 피벗'!A:SH,8,FALSE),0)</f>
        <v>58</v>
      </c>
      <c r="D9" s="227">
        <f t="shared" si="0"/>
        <v>1</v>
      </c>
      <c r="E9" s="51" t="s">
        <v>270</v>
      </c>
      <c r="F9" s="228">
        <f t="shared" si="1"/>
        <v>28</v>
      </c>
      <c r="G9" s="67"/>
      <c r="H9" s="67"/>
      <c r="J9" s="73"/>
      <c r="K9" s="73"/>
    </row>
    <row r="10" spans="1:11" ht="25.35" customHeight="1" x14ac:dyDescent="0.3">
      <c r="A10" s="221" t="s">
        <v>256</v>
      </c>
      <c r="B10" s="224">
        <f t="shared" si="2"/>
        <v>30</v>
      </c>
      <c r="C10" s="227">
        <f>IFERROR(VLOOKUP(A10,'조인앤조인 피벗'!A:SH,8,FALSE),0)</f>
        <v>24</v>
      </c>
      <c r="D10" s="227">
        <f>IFERROR(ROUNDDOWN(C10/B10,0),"")</f>
        <v>0</v>
      </c>
      <c r="E10" s="51" t="s">
        <v>278</v>
      </c>
      <c r="F10" s="228">
        <f>IFERROR(C10-(D10*B10),"")</f>
        <v>24</v>
      </c>
      <c r="G10" s="67"/>
      <c r="H10" s="67"/>
      <c r="J10" s="73"/>
      <c r="K10" s="73"/>
    </row>
    <row r="11" spans="1:11" ht="25.35" customHeight="1" x14ac:dyDescent="0.3">
      <c r="A11" s="221" t="s">
        <v>247</v>
      </c>
      <c r="B11" s="224">
        <f t="shared" si="2"/>
        <v>30</v>
      </c>
      <c r="C11" s="227">
        <f>IFERROR(VLOOKUP(A11,'조인앤조인 피벗'!A:SH,8,FALSE),0)</f>
        <v>86</v>
      </c>
      <c r="D11" s="227">
        <f t="shared" si="0"/>
        <v>2</v>
      </c>
      <c r="E11" s="51" t="s">
        <v>334</v>
      </c>
      <c r="F11" s="228">
        <f t="shared" si="1"/>
        <v>26</v>
      </c>
      <c r="G11" s="67"/>
      <c r="H11" s="67"/>
      <c r="J11" s="73"/>
      <c r="K11" s="73"/>
    </row>
    <row r="12" spans="1:11" ht="25.35" customHeight="1" x14ac:dyDescent="0.3">
      <c r="A12" s="221" t="s">
        <v>251</v>
      </c>
      <c r="B12" s="224">
        <f t="shared" si="2"/>
        <v>30</v>
      </c>
      <c r="C12" s="227">
        <f>IFERROR(VLOOKUP(A12,'조인앤조인 피벗'!A:SH,8,FALSE),0)</f>
        <v>90</v>
      </c>
      <c r="D12" s="227">
        <f t="shared" si="0"/>
        <v>3</v>
      </c>
      <c r="E12" s="51" t="s">
        <v>274</v>
      </c>
      <c r="F12" s="228">
        <f t="shared" si="1"/>
        <v>0</v>
      </c>
      <c r="G12" s="67"/>
      <c r="H12" s="67"/>
      <c r="J12" s="73"/>
      <c r="K12" s="73"/>
    </row>
    <row r="13" spans="1:11" ht="25.35" customHeight="1" x14ac:dyDescent="0.3">
      <c r="A13" s="220" t="s">
        <v>252</v>
      </c>
      <c r="B13" s="224">
        <f t="shared" si="2"/>
        <v>30</v>
      </c>
      <c r="C13" s="227">
        <f>IFERROR(VLOOKUP(A13,'조인앤조인 피벗'!A:SH,8,FALSE),0)</f>
        <v>86</v>
      </c>
      <c r="D13" s="227">
        <f t="shared" si="0"/>
        <v>2</v>
      </c>
      <c r="E13" s="51" t="s">
        <v>275</v>
      </c>
      <c r="F13" s="228">
        <f t="shared" si="1"/>
        <v>26</v>
      </c>
      <c r="G13" s="67"/>
      <c r="H13" s="67"/>
      <c r="J13" s="73"/>
      <c r="K13" s="73"/>
    </row>
    <row r="14" spans="1:11" ht="25.35" customHeight="1" x14ac:dyDescent="0.3">
      <c r="A14" s="221" t="s">
        <v>253</v>
      </c>
      <c r="B14" s="224">
        <f t="shared" si="2"/>
        <v>30</v>
      </c>
      <c r="C14" s="227">
        <f>IFERROR(VLOOKUP(A14,'조인앤조인 피벗'!A:SH,8,FALSE),0)</f>
        <v>124</v>
      </c>
      <c r="D14" s="227">
        <f t="shared" si="0"/>
        <v>4</v>
      </c>
      <c r="E14" s="51" t="s">
        <v>276</v>
      </c>
      <c r="F14" s="228">
        <f t="shared" si="1"/>
        <v>4</v>
      </c>
      <c r="G14" s="67"/>
      <c r="H14" s="67"/>
      <c r="J14" s="73"/>
      <c r="K14" s="73"/>
    </row>
    <row r="15" spans="1:11" ht="25.35" customHeight="1" x14ac:dyDescent="0.3">
      <c r="A15" s="221" t="s">
        <v>254</v>
      </c>
      <c r="B15" s="224">
        <f t="shared" si="2"/>
        <v>30</v>
      </c>
      <c r="C15" s="227">
        <f>IFERROR(VLOOKUP(A15,'조인앤조인 피벗'!A:SH,8,FALSE),0)</f>
        <v>150</v>
      </c>
      <c r="D15" s="227">
        <f t="shared" si="0"/>
        <v>5</v>
      </c>
      <c r="E15" s="51" t="s">
        <v>277</v>
      </c>
      <c r="F15" s="228">
        <f t="shared" si="1"/>
        <v>0</v>
      </c>
      <c r="G15" s="67"/>
      <c r="H15" s="67"/>
      <c r="J15" s="73"/>
      <c r="K15" s="73"/>
    </row>
    <row r="16" spans="1:11" ht="25.35" customHeight="1" x14ac:dyDescent="0.3">
      <c r="A16" s="221" t="s">
        <v>257</v>
      </c>
      <c r="B16" s="224">
        <f t="shared" si="2"/>
        <v>30</v>
      </c>
      <c r="C16" s="227">
        <f>IFERROR(VLOOKUP(A16,'조인앤조인 피벗'!A:SH,8,FALSE),0)</f>
        <v>31</v>
      </c>
      <c r="D16" s="227">
        <f t="shared" si="0"/>
        <v>1</v>
      </c>
      <c r="E16" s="51" t="s">
        <v>279</v>
      </c>
      <c r="F16" s="228">
        <f t="shared" si="1"/>
        <v>1</v>
      </c>
      <c r="G16" s="67"/>
      <c r="H16" s="67"/>
      <c r="J16" s="73"/>
      <c r="K16" s="73"/>
    </row>
    <row r="17" spans="1:11" ht="25.35" customHeight="1" x14ac:dyDescent="0.3">
      <c r="A17" s="221" t="s">
        <v>258</v>
      </c>
      <c r="B17" s="224">
        <f t="shared" si="2"/>
        <v>30</v>
      </c>
      <c r="C17" s="227">
        <f>IFERROR(VLOOKUP(A17,'조인앤조인 피벗'!A:SH,8,FALSE),0)</f>
        <v>48</v>
      </c>
      <c r="D17" s="227">
        <f t="shared" si="0"/>
        <v>1</v>
      </c>
      <c r="E17" s="51" t="s">
        <v>280</v>
      </c>
      <c r="F17" s="228">
        <f t="shared" si="1"/>
        <v>18</v>
      </c>
      <c r="G17" s="67"/>
      <c r="H17" s="67"/>
      <c r="J17" s="73"/>
      <c r="K17" s="73"/>
    </row>
    <row r="18" spans="1:11" ht="25.35" customHeight="1" x14ac:dyDescent="0.3">
      <c r="A18" s="221" t="s">
        <v>259</v>
      </c>
      <c r="B18" s="224">
        <f t="shared" si="2"/>
        <v>30</v>
      </c>
      <c r="C18" s="227">
        <f>IFERROR(VLOOKUP(A18,'조인앤조인 피벗'!A:SH,8,FALSE),0)</f>
        <v>60</v>
      </c>
      <c r="D18" s="227">
        <f t="shared" si="0"/>
        <v>2</v>
      </c>
      <c r="E18" s="51" t="s">
        <v>336</v>
      </c>
      <c r="F18" s="228">
        <f t="shared" si="1"/>
        <v>0</v>
      </c>
      <c r="G18" s="67"/>
      <c r="H18" s="67"/>
      <c r="J18" s="73"/>
      <c r="K18" s="73"/>
    </row>
    <row r="19" spans="1:11" ht="4.5" customHeight="1" x14ac:dyDescent="0.3">
      <c r="A19" s="284"/>
      <c r="B19" s="285"/>
      <c r="C19" s="285"/>
      <c r="D19" s="285"/>
      <c r="E19" s="285"/>
      <c r="F19" s="286"/>
      <c r="J19" s="73"/>
      <c r="K19" s="73"/>
    </row>
    <row r="20" spans="1:11" ht="32.450000000000003" customHeight="1" x14ac:dyDescent="0.3">
      <c r="A20" s="211" t="s">
        <v>122</v>
      </c>
      <c r="B20" s="225">
        <f>$B$4</f>
        <v>30</v>
      </c>
      <c r="C20" s="212">
        <f>SUM(C4:C18)</f>
        <v>1201</v>
      </c>
      <c r="D20" s="55">
        <f>IFERROR(ROUNDDOWN(C20/B20,0),"")</f>
        <v>40</v>
      </c>
      <c r="E20" s="213"/>
      <c r="F20" s="214">
        <f>IFERROR(C20-(D20*B20),"")</f>
        <v>1</v>
      </c>
      <c r="J20" s="73"/>
      <c r="K20" s="73"/>
    </row>
    <row r="21" spans="1:11" ht="4.5" customHeight="1" x14ac:dyDescent="0.3">
      <c r="A21" s="183"/>
      <c r="B21" s="224"/>
      <c r="C21" s="50"/>
      <c r="D21" s="50"/>
      <c r="E21" s="50"/>
      <c r="F21" s="184"/>
      <c r="J21" s="73"/>
      <c r="K21" s="73"/>
    </row>
    <row r="22" spans="1:11" ht="25.35" customHeight="1" x14ac:dyDescent="0.3">
      <c r="A22" s="221" t="s">
        <v>241</v>
      </c>
      <c r="B22" s="224">
        <f t="shared" ref="B22:B26" si="3">$B$4</f>
        <v>30</v>
      </c>
      <c r="C22" s="227">
        <f>IFERROR(VLOOKUP(A22,'조인앤조인 피벗'!A:SH,8,FALSE),0)</f>
        <v>66</v>
      </c>
      <c r="D22" s="227">
        <f>IFERROR(ROUNDDOWN(C22/B22,0),"")</f>
        <v>2</v>
      </c>
      <c r="E22" s="51" t="s">
        <v>268</v>
      </c>
      <c r="F22" s="228">
        <f>IFERROR(C22-(D22*B22),"")</f>
        <v>6</v>
      </c>
      <c r="G22" s="67"/>
      <c r="H22" s="67"/>
      <c r="J22" s="73"/>
      <c r="K22" s="73"/>
    </row>
    <row r="23" spans="1:11" ht="25.35" customHeight="1" x14ac:dyDescent="0.3">
      <c r="A23" s="221" t="s">
        <v>242</v>
      </c>
      <c r="B23" s="224">
        <f t="shared" si="3"/>
        <v>30</v>
      </c>
      <c r="C23" s="227">
        <f>IFERROR(VLOOKUP(A23,'조인앤조인 피벗'!A:SH,8,FALSE),0)</f>
        <v>66</v>
      </c>
      <c r="D23" s="227">
        <f>IFERROR(ROUNDDOWN(C23/B23,0),"")</f>
        <v>2</v>
      </c>
      <c r="E23" s="51" t="s">
        <v>337</v>
      </c>
      <c r="F23" s="228">
        <f>IFERROR(C23-(D23*B23),"")</f>
        <v>6</v>
      </c>
      <c r="G23" s="67"/>
      <c r="H23" s="67"/>
      <c r="J23" s="73"/>
      <c r="K23" s="73"/>
    </row>
    <row r="24" spans="1:11" ht="25.35" customHeight="1" x14ac:dyDescent="0.3">
      <c r="A24" s="221" t="s">
        <v>243</v>
      </c>
      <c r="B24" s="224">
        <f t="shared" si="3"/>
        <v>30</v>
      </c>
      <c r="C24" s="227">
        <f>IFERROR(VLOOKUP(A24,'조인앤조인 피벗'!A:SH,8,FALSE),0)</f>
        <v>0</v>
      </c>
      <c r="D24" s="227">
        <f>IFERROR(ROUNDDOWN(C24/B24,0),"")</f>
        <v>0</v>
      </c>
      <c r="E24" s="51" t="s">
        <v>106</v>
      </c>
      <c r="F24" s="228">
        <f>IFERROR(C24-(D24*B24),"")</f>
        <v>0</v>
      </c>
      <c r="G24" s="67"/>
      <c r="H24" s="67"/>
      <c r="J24" s="73"/>
      <c r="K24" s="73"/>
    </row>
    <row r="25" spans="1:11" ht="25.35" customHeight="1" x14ac:dyDescent="0.3">
      <c r="A25" s="221" t="s">
        <v>244</v>
      </c>
      <c r="B25" s="224">
        <f t="shared" si="3"/>
        <v>30</v>
      </c>
      <c r="C25" s="227">
        <f>IFERROR(VLOOKUP(A25,'조인앤조인 피벗'!A:SH,8,FALSE),0)</f>
        <v>101</v>
      </c>
      <c r="D25" s="227">
        <f>IFERROR(ROUNDDOWN(C25/B25,0),"")</f>
        <v>3</v>
      </c>
      <c r="E25" s="51" t="s">
        <v>269</v>
      </c>
      <c r="F25" s="228">
        <f>IFERROR(C25-(D25*B25),"")</f>
        <v>11</v>
      </c>
      <c r="G25" s="67"/>
      <c r="H25" s="67"/>
      <c r="J25" s="73"/>
      <c r="K25" s="73"/>
    </row>
    <row r="26" spans="1:11" ht="25.35" customHeight="1" x14ac:dyDescent="0.3">
      <c r="A26" s="221" t="s">
        <v>245</v>
      </c>
      <c r="B26" s="224">
        <f t="shared" si="3"/>
        <v>30</v>
      </c>
      <c r="C26" s="227">
        <f>IFERROR(VLOOKUP(A26,'조인앤조인 피벗'!A:SH,8,FALSE),0)</f>
        <v>57</v>
      </c>
      <c r="D26" s="227">
        <f>IFERROR(ROUNDDOWN(C26/B26,0),"")</f>
        <v>1</v>
      </c>
      <c r="E26" s="51" t="s">
        <v>118</v>
      </c>
      <c r="F26" s="228">
        <f>IFERROR(C26-(D26*B26),"")</f>
        <v>27</v>
      </c>
      <c r="G26" s="67"/>
      <c r="H26" s="67"/>
      <c r="J26" s="73"/>
      <c r="K26" s="73"/>
    </row>
    <row r="27" spans="1:11" ht="4.5" customHeight="1" x14ac:dyDescent="0.3">
      <c r="A27" s="284"/>
      <c r="B27" s="285"/>
      <c r="C27" s="285"/>
      <c r="D27" s="285"/>
      <c r="E27" s="285"/>
      <c r="F27" s="286"/>
      <c r="G27" s="67"/>
      <c r="H27" s="67"/>
      <c r="J27" s="73"/>
      <c r="K27" s="73"/>
    </row>
    <row r="28" spans="1:11" ht="32.450000000000003" customHeight="1" x14ac:dyDescent="0.3">
      <c r="A28" s="211" t="s">
        <v>285</v>
      </c>
      <c r="B28" s="225">
        <f>$B$4</f>
        <v>30</v>
      </c>
      <c r="C28" s="212">
        <f>SUM(C22:C26)</f>
        <v>290</v>
      </c>
      <c r="D28" s="55">
        <f>IFERROR(ROUNDDOWN(C28/B28,0),"")</f>
        <v>9</v>
      </c>
      <c r="E28" s="213"/>
      <c r="F28" s="214">
        <f>IFERROR(C28-(D28*B28),"")</f>
        <v>20</v>
      </c>
      <c r="G28" s="67"/>
      <c r="H28" s="67"/>
      <c r="J28" s="73"/>
      <c r="K28" s="73"/>
    </row>
    <row r="29" spans="1:11" ht="4.5" customHeight="1" x14ac:dyDescent="0.3">
      <c r="A29" s="284"/>
      <c r="B29" s="285"/>
      <c r="C29" s="285"/>
      <c r="D29" s="285"/>
      <c r="E29" s="285"/>
      <c r="F29" s="286"/>
      <c r="G29" s="67"/>
      <c r="H29" s="67"/>
      <c r="J29" s="73"/>
      <c r="K29" s="73"/>
    </row>
    <row r="30" spans="1:11" ht="25.35" customHeight="1" x14ac:dyDescent="0.3">
      <c r="A30" s="221" t="s">
        <v>239</v>
      </c>
      <c r="B30" s="224">
        <f t="shared" ref="B30:B31" si="4">$B$4</f>
        <v>30</v>
      </c>
      <c r="C30" s="227">
        <f>IFERROR(VLOOKUP(A30,'조인앤조인 피벗'!A:SH,8,FALSE),0)</f>
        <v>94</v>
      </c>
      <c r="D30" s="227">
        <f t="shared" ref="D30:D31" si="5">IFERROR(ROUNDDOWN(C30/B30,0),"")</f>
        <v>3</v>
      </c>
      <c r="E30" s="51" t="s">
        <v>266</v>
      </c>
      <c r="F30" s="228">
        <f t="shared" ref="F30:F31" si="6">IFERROR(C30-(D30*B30),"")</f>
        <v>4</v>
      </c>
      <c r="G30" s="67"/>
      <c r="H30" s="67"/>
      <c r="J30" s="73"/>
      <c r="K30" s="73"/>
    </row>
    <row r="31" spans="1:11" ht="25.35" customHeight="1" x14ac:dyDescent="0.3">
      <c r="A31" s="221" t="s">
        <v>240</v>
      </c>
      <c r="B31" s="224">
        <f t="shared" si="4"/>
        <v>30</v>
      </c>
      <c r="C31" s="227">
        <f>IFERROR(VLOOKUP(A31,'조인앤조인 피벗'!A:SH,8,FALSE),0)</f>
        <v>60</v>
      </c>
      <c r="D31" s="227">
        <f t="shared" si="5"/>
        <v>2</v>
      </c>
      <c r="E31" s="51" t="s">
        <v>267</v>
      </c>
      <c r="F31" s="228">
        <f t="shared" si="6"/>
        <v>0</v>
      </c>
      <c r="G31" s="67"/>
      <c r="H31" s="67"/>
      <c r="J31" s="73"/>
      <c r="K31" s="73"/>
    </row>
    <row r="32" spans="1:11" ht="4.5" customHeight="1" x14ac:dyDescent="0.3">
      <c r="A32" s="284"/>
      <c r="B32" s="285"/>
      <c r="C32" s="285"/>
      <c r="D32" s="285"/>
      <c r="E32" s="285"/>
      <c r="F32" s="286"/>
      <c r="G32" s="67"/>
      <c r="H32" s="67"/>
      <c r="J32" s="73"/>
      <c r="K32" s="73"/>
    </row>
    <row r="33" spans="1:11" ht="32.450000000000003" customHeight="1" x14ac:dyDescent="0.3">
      <c r="A33" s="211" t="s">
        <v>284</v>
      </c>
      <c r="B33" s="225">
        <f>$B$4</f>
        <v>30</v>
      </c>
      <c r="C33" s="212">
        <f>SUM(C30:C31)</f>
        <v>154</v>
      </c>
      <c r="D33" s="55">
        <f>IFERROR(ROUNDDOWN(C33/B33,0),"")</f>
        <v>5</v>
      </c>
      <c r="E33" s="213"/>
      <c r="F33" s="214">
        <f>IFERROR(C33-(D33*B33),"")</f>
        <v>4</v>
      </c>
      <c r="G33" s="67"/>
      <c r="H33" s="67"/>
      <c r="J33" s="73"/>
      <c r="K33" s="73"/>
    </row>
    <row r="34" spans="1:11" ht="4.5" customHeight="1" x14ac:dyDescent="0.3">
      <c r="A34" s="183"/>
      <c r="B34" s="224"/>
      <c r="C34" s="50"/>
      <c r="D34" s="50"/>
      <c r="E34" s="50"/>
      <c r="F34" s="184"/>
      <c r="G34" s="67"/>
      <c r="H34" s="67"/>
      <c r="J34" s="73"/>
      <c r="K34" s="73"/>
    </row>
    <row r="35" spans="1:11" ht="25.35" customHeight="1" x14ac:dyDescent="0.3">
      <c r="A35" s="221" t="s">
        <v>236</v>
      </c>
      <c r="B35" s="224">
        <f t="shared" ref="B35:B37" si="7">$B$4</f>
        <v>30</v>
      </c>
      <c r="C35" s="227">
        <f>IFERROR(VLOOKUP(A35,'조인앤조인 피벗'!A:SH,8,FALSE),0)</f>
        <v>38</v>
      </c>
      <c r="D35" s="227">
        <f>IFERROR(ROUNDDOWN(C35/B35,0),"")</f>
        <v>1</v>
      </c>
      <c r="E35" s="51" t="s">
        <v>264</v>
      </c>
      <c r="F35" s="228">
        <f>IFERROR(C35-(D35*B35),"")</f>
        <v>8</v>
      </c>
      <c r="G35" s="67"/>
      <c r="H35" s="67"/>
      <c r="J35" s="73"/>
      <c r="K35" s="73"/>
    </row>
    <row r="36" spans="1:11" ht="25.35" customHeight="1" x14ac:dyDescent="0.3">
      <c r="A36" s="221" t="s">
        <v>237</v>
      </c>
      <c r="B36" s="224">
        <f t="shared" si="7"/>
        <v>30</v>
      </c>
      <c r="C36" s="227">
        <f>IFERROR(VLOOKUP(A36,'조인앤조인 피벗'!A:SH,8,FALSE),0)</f>
        <v>37</v>
      </c>
      <c r="D36" s="227">
        <f t="shared" ref="D36:D37" si="8">IFERROR(ROUNDDOWN(C36/B36,0),"")</f>
        <v>1</v>
      </c>
      <c r="E36" s="51" t="s">
        <v>338</v>
      </c>
      <c r="F36" s="228">
        <f t="shared" ref="F36:F37" si="9">IFERROR(C36-(D36*B36),"")</f>
        <v>7</v>
      </c>
      <c r="G36" s="67"/>
      <c r="H36" s="67"/>
      <c r="J36" s="73"/>
      <c r="K36" s="73"/>
    </row>
    <row r="37" spans="1:11" ht="25.35" customHeight="1" x14ac:dyDescent="0.3">
      <c r="A37" s="221" t="s">
        <v>238</v>
      </c>
      <c r="B37" s="224">
        <f t="shared" si="7"/>
        <v>30</v>
      </c>
      <c r="C37" s="227">
        <f>IFERROR(VLOOKUP(A37,'조인앤조인 피벗'!A:SH,8,FALSE),0)</f>
        <v>40</v>
      </c>
      <c r="D37" s="227">
        <f t="shared" si="8"/>
        <v>1</v>
      </c>
      <c r="E37" s="51" t="s">
        <v>265</v>
      </c>
      <c r="F37" s="228">
        <f t="shared" si="9"/>
        <v>10</v>
      </c>
      <c r="G37" s="67"/>
      <c r="H37" s="67"/>
      <c r="J37" s="73"/>
      <c r="K37" s="73"/>
    </row>
    <row r="38" spans="1:11" ht="4.5" customHeight="1" x14ac:dyDescent="0.3">
      <c r="A38" s="284"/>
      <c r="B38" s="285"/>
      <c r="C38" s="285"/>
      <c r="D38" s="285"/>
      <c r="E38" s="285"/>
      <c r="F38" s="286"/>
      <c r="G38" s="67"/>
      <c r="H38" s="67"/>
      <c r="J38" s="73"/>
      <c r="K38" s="73"/>
    </row>
    <row r="39" spans="1:11" ht="32.450000000000003" customHeight="1" x14ac:dyDescent="0.3">
      <c r="A39" s="211" t="s">
        <v>283</v>
      </c>
      <c r="B39" s="225">
        <f>$B$4</f>
        <v>30</v>
      </c>
      <c r="C39" s="212">
        <f>SUM(C35:C37)</f>
        <v>115</v>
      </c>
      <c r="D39" s="55">
        <f>IFERROR(ROUNDDOWN(C39/B39,0),"")</f>
        <v>3</v>
      </c>
      <c r="E39" s="213"/>
      <c r="F39" s="214">
        <f>IFERROR(C39-(D39*B39),"")</f>
        <v>25</v>
      </c>
      <c r="G39" s="67"/>
      <c r="H39" s="67"/>
      <c r="J39" s="73"/>
      <c r="K39" s="73"/>
    </row>
    <row r="40" spans="1:11" ht="4.5" customHeight="1" x14ac:dyDescent="0.3">
      <c r="A40" s="183"/>
      <c r="B40" s="224"/>
      <c r="C40" s="50"/>
      <c r="D40" s="50"/>
      <c r="E40" s="50"/>
      <c r="F40" s="184"/>
      <c r="G40" s="67"/>
      <c r="H40" s="67"/>
      <c r="J40" s="73"/>
      <c r="K40" s="73"/>
    </row>
    <row r="41" spans="1:11" ht="25.35" customHeight="1" x14ac:dyDescent="0.3">
      <c r="A41" s="221" t="s">
        <v>261</v>
      </c>
      <c r="B41" s="224">
        <f t="shared" ref="B41:B42" si="10">$B$4</f>
        <v>30</v>
      </c>
      <c r="C41" s="227">
        <f>IFERROR(VLOOKUP(A41,'조인앤조인 피벗'!A:SH,8,FALSE),0)</f>
        <v>21</v>
      </c>
      <c r="D41" s="227">
        <f t="shared" ref="D41:D42" si="11">IFERROR(ROUNDDOWN(C41/B41,0),"")</f>
        <v>0</v>
      </c>
      <c r="E41" s="51" t="s">
        <v>281</v>
      </c>
      <c r="F41" s="228">
        <f t="shared" ref="F41:F42" si="12">IFERROR(C41-(D41*B41),"")</f>
        <v>21</v>
      </c>
      <c r="G41" s="67"/>
      <c r="H41" s="67"/>
      <c r="J41" s="73"/>
      <c r="K41" s="73"/>
    </row>
    <row r="42" spans="1:11" ht="25.35" customHeight="1" x14ac:dyDescent="0.3">
      <c r="A42" s="221" t="s">
        <v>262</v>
      </c>
      <c r="B42" s="224">
        <f t="shared" si="10"/>
        <v>30</v>
      </c>
      <c r="C42" s="227">
        <f>IFERROR(VLOOKUP(A42,'조인앤조인 피벗'!A:SH,8,FALSE),0)</f>
        <v>17</v>
      </c>
      <c r="D42" s="227">
        <f t="shared" si="11"/>
        <v>0</v>
      </c>
      <c r="E42" s="51" t="s">
        <v>282</v>
      </c>
      <c r="F42" s="228">
        <f t="shared" si="12"/>
        <v>17</v>
      </c>
      <c r="G42" s="67"/>
      <c r="H42" s="67"/>
      <c r="J42" s="73"/>
      <c r="K42" s="73"/>
    </row>
    <row r="43" spans="1:11" ht="4.5" customHeight="1" x14ac:dyDescent="0.3">
      <c r="A43" s="284"/>
      <c r="B43" s="285"/>
      <c r="C43" s="285"/>
      <c r="D43" s="285"/>
      <c r="E43" s="285"/>
      <c r="F43" s="286"/>
      <c r="G43" s="67"/>
      <c r="H43" s="67"/>
      <c r="J43" s="73"/>
      <c r="K43" s="73"/>
    </row>
    <row r="44" spans="1:11" ht="32.450000000000003" customHeight="1" x14ac:dyDescent="0.3">
      <c r="A44" s="211" t="s">
        <v>339</v>
      </c>
      <c r="B44" s="225">
        <f>$B$4</f>
        <v>30</v>
      </c>
      <c r="C44" s="212">
        <f>SUM(C41:C42)</f>
        <v>38</v>
      </c>
      <c r="D44" s="55">
        <f>IFERROR(ROUNDDOWN(C44/B44,0),"")</f>
        <v>1</v>
      </c>
      <c r="E44" s="213"/>
      <c r="F44" s="214">
        <f>IFERROR(C44-(D44*B44),"")</f>
        <v>8</v>
      </c>
      <c r="G44" s="67"/>
      <c r="H44" s="67"/>
      <c r="J44" s="73"/>
      <c r="K44" s="73"/>
    </row>
    <row r="45" spans="1:11" ht="4.5" customHeight="1" thickBot="1" x14ac:dyDescent="0.35">
      <c r="A45" s="183"/>
      <c r="B45" s="50"/>
      <c r="C45" s="50"/>
      <c r="D45" s="50"/>
      <c r="E45" s="50"/>
      <c r="F45" s="184"/>
      <c r="G45" s="67"/>
      <c r="H45" s="67"/>
      <c r="J45" s="73"/>
      <c r="K45" s="73"/>
    </row>
    <row r="46" spans="1:11" ht="26.25" x14ac:dyDescent="0.3">
      <c r="A46" s="87" t="s">
        <v>3</v>
      </c>
      <c r="B46" s="226">
        <f>$B$4</f>
        <v>30</v>
      </c>
      <c r="C46" s="55">
        <f>SUM(C4:C18,C35:C37,C30:C31,C22:C26,C41:C42)</f>
        <v>1798</v>
      </c>
      <c r="D46" s="54">
        <f>IFERROR(ROUNDDOWN(C46/B46,0),"")</f>
        <v>59</v>
      </c>
      <c r="E46" s="56"/>
      <c r="F46" s="121">
        <f>IFERROR(C46-(D46*B46),"")</f>
        <v>28</v>
      </c>
      <c r="G46" s="232" t="s">
        <v>110</v>
      </c>
      <c r="H46" s="233" t="s">
        <v>111</v>
      </c>
      <c r="J46" s="73"/>
      <c r="K46" s="73"/>
    </row>
    <row r="47" spans="1:11" ht="27" thickBot="1" x14ac:dyDescent="0.35">
      <c r="A47" s="42" t="s">
        <v>286</v>
      </c>
      <c r="B47" s="43" t="s">
        <v>173</v>
      </c>
      <c r="C47" s="40"/>
      <c r="D47" s="41">
        <f>SUM(D4:D18,D35:D37,D30:D31,D22:D26,D41:D42)</f>
        <v>50</v>
      </c>
      <c r="E47" s="48"/>
      <c r="F47" s="93">
        <f>SUM(F4:F18,F35:F37,F30:F31,F22:F26,F41:F42)</f>
        <v>298</v>
      </c>
      <c r="G47" s="216">
        <f>IFERROR(ROUNDDOWN(F47/B35,0),"")</f>
        <v>9</v>
      </c>
      <c r="H47" s="217">
        <f>IFERROR(F47-(G47*B35),"")</f>
        <v>28</v>
      </c>
    </row>
    <row r="48" spans="1:11" ht="22.5" customHeight="1" x14ac:dyDescent="0.3">
      <c r="C48" s="77">
        <f>C20+C28+C33+C39+C44</f>
        <v>1798</v>
      </c>
      <c r="G48" s="199"/>
      <c r="H48" s="34" t="s">
        <v>174</v>
      </c>
    </row>
    <row r="49" spans="3:3" x14ac:dyDescent="0.3">
      <c r="C49" s="34" t="b">
        <f>C48=C46</f>
        <v>1</v>
      </c>
    </row>
  </sheetData>
  <mergeCells count="8">
    <mergeCell ref="A38:F38"/>
    <mergeCell ref="A43:F43"/>
    <mergeCell ref="A1:F1"/>
    <mergeCell ref="B2:F2"/>
    <mergeCell ref="A19:F19"/>
    <mergeCell ref="A27:F27"/>
    <mergeCell ref="A29:F29"/>
    <mergeCell ref="A32:F32"/>
  </mergeCells>
  <phoneticPr fontId="13" type="noConversion"/>
  <printOptions horizontalCentered="1" verticalCentered="1"/>
  <pageMargins left="0" right="0" top="0" bottom="0" header="0" footer="0"/>
  <pageSetup paperSize="9" scale="77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BF23F2-B95C-4602-9F93-B2B33C46DA15}">
  <sheetPr>
    <tabColor rgb="FFFFFF00"/>
    <pageSetUpPr fitToPage="1"/>
  </sheetPr>
  <dimension ref="A1:L49"/>
  <sheetViews>
    <sheetView zoomScale="40" zoomScaleNormal="40" zoomScaleSheetLayoutView="75" workbookViewId="0">
      <selection activeCell="A2" sqref="A2:F47"/>
    </sheetView>
  </sheetViews>
  <sheetFormatPr defaultColWidth="9" defaultRowHeight="16.5" x14ac:dyDescent="0.3"/>
  <cols>
    <col min="1" max="1" width="24.75" style="34" customWidth="1"/>
    <col min="2" max="2" width="7.625" style="38" customWidth="1"/>
    <col min="3" max="3" width="30.625" style="34" customWidth="1"/>
    <col min="4" max="4" width="9.875" style="2" customWidth="1"/>
    <col min="5" max="5" width="11.375" style="34" customWidth="1"/>
    <col min="6" max="6" width="11.125" style="2" customWidth="1"/>
    <col min="7" max="7" width="8.375" style="34" customWidth="1"/>
    <col min="8" max="8" width="9" style="34" customWidth="1"/>
    <col min="9" max="13" width="9" style="34"/>
    <col min="14" max="14" width="10.625" style="34" customWidth="1"/>
    <col min="15" max="17" width="9" style="34"/>
    <col min="18" max="18" width="36.5" style="34" bestFit="1" customWidth="1"/>
    <col min="19" max="16384" width="9" style="34"/>
  </cols>
  <sheetData>
    <row r="1" spans="1:12" ht="25.9" customHeight="1" thickBot="1" x14ac:dyDescent="0.35">
      <c r="A1" s="270"/>
      <c r="B1" s="270"/>
      <c r="C1" s="270"/>
      <c r="D1" s="270"/>
      <c r="E1" s="270"/>
      <c r="F1" s="270"/>
    </row>
    <row r="2" spans="1:12" ht="25.9" customHeight="1" x14ac:dyDescent="0.3">
      <c r="A2" s="215">
        <f ca="1">TODAY()</f>
        <v>46314</v>
      </c>
      <c r="B2" s="271" t="s">
        <v>175</v>
      </c>
      <c r="C2" s="292"/>
      <c r="D2" s="292"/>
      <c r="E2" s="292"/>
      <c r="F2" s="293"/>
      <c r="G2" s="67"/>
      <c r="H2" s="67"/>
    </row>
    <row r="3" spans="1:12" ht="40.5" customHeight="1" x14ac:dyDescent="0.3">
      <c r="A3" s="222" t="s">
        <v>67</v>
      </c>
      <c r="B3" s="223" t="s">
        <v>13</v>
      </c>
      <c r="C3" s="229" t="s">
        <v>306</v>
      </c>
      <c r="D3" s="230" t="s">
        <v>2</v>
      </c>
      <c r="E3" s="229" t="s">
        <v>23</v>
      </c>
      <c r="F3" s="231" t="s">
        <v>14</v>
      </c>
      <c r="G3" s="67"/>
      <c r="H3" s="67"/>
      <c r="K3" s="73"/>
      <c r="L3" s="73"/>
    </row>
    <row r="4" spans="1:12" ht="25.35" customHeight="1" x14ac:dyDescent="0.3">
      <c r="A4" s="220" t="s">
        <v>260</v>
      </c>
      <c r="B4" s="224">
        <v>48</v>
      </c>
      <c r="C4" s="227">
        <f>IFERROR(VLOOKUP(A4,'조인앤조인 피벗'!A:SH,9,FALSE),0)</f>
        <v>20</v>
      </c>
      <c r="D4" s="227">
        <f t="shared" ref="D4:D18" si="0">IFERROR(ROUNDDOWN(C4/B4,0),"")</f>
        <v>0</v>
      </c>
      <c r="E4" s="51" t="s">
        <v>109</v>
      </c>
      <c r="F4" s="228">
        <f t="shared" ref="F4:F18" si="1">IFERROR(C4-(D4*B4),"")</f>
        <v>20</v>
      </c>
      <c r="G4" s="67"/>
      <c r="H4" s="67"/>
      <c r="K4" s="73"/>
      <c r="L4" s="73"/>
    </row>
    <row r="5" spans="1:12" ht="25.35" customHeight="1" x14ac:dyDescent="0.3">
      <c r="A5" s="221" t="s">
        <v>255</v>
      </c>
      <c r="B5" s="224">
        <f t="shared" ref="B5:B18" si="2">$B$4</f>
        <v>48</v>
      </c>
      <c r="C5" s="227">
        <f>IFERROR(VLOOKUP(A5,'조인앤조인 피벗'!A:SH,9,FALSE),0)</f>
        <v>444</v>
      </c>
      <c r="D5" s="227">
        <f t="shared" ref="D5" si="3">IFERROR(ROUNDDOWN(C5/B5,0),"")</f>
        <v>9</v>
      </c>
      <c r="E5" s="51" t="s">
        <v>335</v>
      </c>
      <c r="F5" s="228">
        <f t="shared" ref="F5" si="4">IFERROR(C5-(D5*B5),"")</f>
        <v>12</v>
      </c>
      <c r="G5" s="67"/>
      <c r="H5" s="67"/>
      <c r="K5" s="73"/>
      <c r="L5" s="73"/>
    </row>
    <row r="6" spans="1:12" ht="25.35" customHeight="1" x14ac:dyDescent="0.3">
      <c r="A6" s="221" t="s">
        <v>249</v>
      </c>
      <c r="B6" s="224">
        <f t="shared" si="2"/>
        <v>48</v>
      </c>
      <c r="C6" s="227">
        <f>IFERROR(VLOOKUP(A6,'조인앤조인 피벗'!A:SH,9,FALSE),0)</f>
        <v>140</v>
      </c>
      <c r="D6" s="227">
        <f>IFERROR(ROUNDDOWN(C6/B6,0),"")</f>
        <v>2</v>
      </c>
      <c r="E6" s="51" t="s">
        <v>272</v>
      </c>
      <c r="F6" s="228">
        <f>IFERROR(C6-(D6*B6),"")</f>
        <v>44</v>
      </c>
      <c r="G6" s="67"/>
      <c r="H6" s="67"/>
      <c r="K6" s="73"/>
      <c r="L6" s="73"/>
    </row>
    <row r="7" spans="1:12" ht="25.35" customHeight="1" x14ac:dyDescent="0.3">
      <c r="A7" s="221" t="s">
        <v>250</v>
      </c>
      <c r="B7" s="224">
        <f t="shared" si="2"/>
        <v>48</v>
      </c>
      <c r="C7" s="227">
        <f>IFERROR(VLOOKUP(A7,'조인앤조인 피벗'!A:SH,9,FALSE),0)</f>
        <v>168</v>
      </c>
      <c r="D7" s="227">
        <f>IFERROR(ROUNDDOWN(C7/B7,0),"")</f>
        <v>3</v>
      </c>
      <c r="E7" s="51" t="s">
        <v>273</v>
      </c>
      <c r="F7" s="228">
        <f>IFERROR(C7-(D7*B7),"")</f>
        <v>24</v>
      </c>
      <c r="G7" s="67"/>
      <c r="H7" s="67"/>
      <c r="K7" s="73"/>
      <c r="L7" s="73"/>
    </row>
    <row r="8" spans="1:12" ht="25.35" customHeight="1" x14ac:dyDescent="0.3">
      <c r="A8" s="221" t="s">
        <v>248</v>
      </c>
      <c r="B8" s="224">
        <f t="shared" si="2"/>
        <v>48</v>
      </c>
      <c r="C8" s="227">
        <f>IFERROR(VLOOKUP(A8,'조인앤조인 피벗'!A:SH,9,FALSE),0)</f>
        <v>144</v>
      </c>
      <c r="D8" s="227">
        <f>IFERROR(ROUNDDOWN(C8/B8,0),"")</f>
        <v>3</v>
      </c>
      <c r="E8" s="51" t="s">
        <v>271</v>
      </c>
      <c r="F8" s="228">
        <f>IFERROR(C8-(D8*B8),"")</f>
        <v>0</v>
      </c>
      <c r="G8" s="67"/>
      <c r="H8" s="67"/>
      <c r="K8" s="73"/>
      <c r="L8" s="73"/>
    </row>
    <row r="9" spans="1:12" ht="25.35" customHeight="1" x14ac:dyDescent="0.3">
      <c r="A9" s="221" t="s">
        <v>246</v>
      </c>
      <c r="B9" s="224">
        <f t="shared" si="2"/>
        <v>48</v>
      </c>
      <c r="C9" s="227">
        <f>IFERROR(VLOOKUP(A9,'조인앤조인 피벗'!A:SH,9,FALSE),0)</f>
        <v>124</v>
      </c>
      <c r="D9" s="227">
        <f t="shared" si="0"/>
        <v>2</v>
      </c>
      <c r="E9" s="51" t="s">
        <v>270</v>
      </c>
      <c r="F9" s="228">
        <f t="shared" si="1"/>
        <v>28</v>
      </c>
      <c r="G9" s="67"/>
      <c r="H9" s="67"/>
      <c r="K9" s="73"/>
      <c r="L9" s="73"/>
    </row>
    <row r="10" spans="1:12" ht="25.35" customHeight="1" x14ac:dyDescent="0.3">
      <c r="A10" s="221" t="s">
        <v>256</v>
      </c>
      <c r="B10" s="224">
        <f t="shared" si="2"/>
        <v>48</v>
      </c>
      <c r="C10" s="227">
        <f>IFERROR(VLOOKUP(A10,'조인앤조인 피벗'!A:SH,9,FALSE),0)</f>
        <v>80</v>
      </c>
      <c r="D10" s="227">
        <f>IFERROR(ROUNDDOWN(C10/B10,0),"")</f>
        <v>1</v>
      </c>
      <c r="E10" s="51" t="s">
        <v>278</v>
      </c>
      <c r="F10" s="228">
        <f>IFERROR(C10-(D10*B10),"")</f>
        <v>32</v>
      </c>
      <c r="G10" s="67"/>
      <c r="H10" s="67"/>
      <c r="K10" s="73"/>
      <c r="L10" s="73"/>
    </row>
    <row r="11" spans="1:12" ht="25.35" customHeight="1" x14ac:dyDescent="0.3">
      <c r="A11" s="221" t="s">
        <v>247</v>
      </c>
      <c r="B11" s="224">
        <f t="shared" si="2"/>
        <v>48</v>
      </c>
      <c r="C11" s="227">
        <f>IFERROR(VLOOKUP(A11,'조인앤조인 피벗'!A:SH,9,FALSE),0)</f>
        <v>116</v>
      </c>
      <c r="D11" s="227">
        <f t="shared" si="0"/>
        <v>2</v>
      </c>
      <c r="E11" s="51" t="s">
        <v>334</v>
      </c>
      <c r="F11" s="228">
        <f t="shared" si="1"/>
        <v>20</v>
      </c>
      <c r="G11" s="67"/>
      <c r="H11" s="67"/>
      <c r="K11" s="73"/>
      <c r="L11" s="73"/>
    </row>
    <row r="12" spans="1:12" ht="25.35" customHeight="1" x14ac:dyDescent="0.3">
      <c r="A12" s="221" t="s">
        <v>251</v>
      </c>
      <c r="B12" s="224">
        <f t="shared" si="2"/>
        <v>48</v>
      </c>
      <c r="C12" s="227">
        <f>IFERROR(VLOOKUP(A12,'조인앤조인 피벗'!A:SH,9,FALSE),0)</f>
        <v>208</v>
      </c>
      <c r="D12" s="227">
        <f t="shared" si="0"/>
        <v>4</v>
      </c>
      <c r="E12" s="51" t="s">
        <v>274</v>
      </c>
      <c r="F12" s="228">
        <f t="shared" si="1"/>
        <v>16</v>
      </c>
      <c r="G12" s="67"/>
      <c r="H12" s="67"/>
      <c r="K12" s="73"/>
      <c r="L12" s="73"/>
    </row>
    <row r="13" spans="1:12" ht="25.35" customHeight="1" x14ac:dyDescent="0.3">
      <c r="A13" s="220" t="s">
        <v>252</v>
      </c>
      <c r="B13" s="224">
        <f t="shared" si="2"/>
        <v>48</v>
      </c>
      <c r="C13" s="227">
        <f>IFERROR(VLOOKUP(A13,'조인앤조인 피벗'!A:SH,9,FALSE),0)</f>
        <v>172</v>
      </c>
      <c r="D13" s="227">
        <f t="shared" si="0"/>
        <v>3</v>
      </c>
      <c r="E13" s="51" t="s">
        <v>275</v>
      </c>
      <c r="F13" s="228">
        <f t="shared" si="1"/>
        <v>28</v>
      </c>
      <c r="G13" s="67"/>
      <c r="H13" s="67"/>
      <c r="K13" s="73"/>
      <c r="L13" s="73"/>
    </row>
    <row r="14" spans="1:12" ht="25.35" customHeight="1" x14ac:dyDescent="0.3">
      <c r="A14" s="221" t="s">
        <v>253</v>
      </c>
      <c r="B14" s="224">
        <f t="shared" si="2"/>
        <v>48</v>
      </c>
      <c r="C14" s="227">
        <f>IFERROR(VLOOKUP(A14,'조인앤조인 피벗'!A:SH,9,FALSE),0)</f>
        <v>220</v>
      </c>
      <c r="D14" s="227">
        <f t="shared" si="0"/>
        <v>4</v>
      </c>
      <c r="E14" s="51" t="s">
        <v>276</v>
      </c>
      <c r="F14" s="228">
        <f t="shared" si="1"/>
        <v>28</v>
      </c>
      <c r="G14" s="67"/>
      <c r="H14" s="67"/>
      <c r="K14" s="73"/>
      <c r="L14" s="73"/>
    </row>
    <row r="15" spans="1:12" ht="25.35" customHeight="1" x14ac:dyDescent="0.3">
      <c r="A15" s="221" t="s">
        <v>254</v>
      </c>
      <c r="B15" s="224">
        <f t="shared" si="2"/>
        <v>48</v>
      </c>
      <c r="C15" s="227">
        <f>IFERROR(VLOOKUP(A15,'조인앤조인 피벗'!A:SH,9,FALSE),0)</f>
        <v>296</v>
      </c>
      <c r="D15" s="227">
        <f t="shared" si="0"/>
        <v>6</v>
      </c>
      <c r="E15" s="51" t="s">
        <v>277</v>
      </c>
      <c r="F15" s="228">
        <f t="shared" si="1"/>
        <v>8</v>
      </c>
      <c r="G15" s="67"/>
      <c r="H15" s="67"/>
      <c r="K15" s="73"/>
      <c r="L15" s="73"/>
    </row>
    <row r="16" spans="1:12" ht="25.35" customHeight="1" x14ac:dyDescent="0.3">
      <c r="A16" s="221" t="s">
        <v>257</v>
      </c>
      <c r="B16" s="224">
        <f t="shared" si="2"/>
        <v>48</v>
      </c>
      <c r="C16" s="227">
        <f>IFERROR(VLOOKUP(A16,'조인앤조인 피벗'!A:SH,9,FALSE),0)</f>
        <v>44</v>
      </c>
      <c r="D16" s="227">
        <f t="shared" si="0"/>
        <v>0</v>
      </c>
      <c r="E16" s="51" t="s">
        <v>279</v>
      </c>
      <c r="F16" s="228">
        <f t="shared" si="1"/>
        <v>44</v>
      </c>
      <c r="G16" s="67"/>
      <c r="H16" s="67"/>
      <c r="K16" s="73"/>
      <c r="L16" s="73"/>
    </row>
    <row r="17" spans="1:12" ht="25.35" customHeight="1" x14ac:dyDescent="0.3">
      <c r="A17" s="221" t="s">
        <v>258</v>
      </c>
      <c r="B17" s="224">
        <f t="shared" si="2"/>
        <v>48</v>
      </c>
      <c r="C17" s="227">
        <f>IFERROR(VLOOKUP(A17,'조인앤조인 피벗'!A:SH,9,FALSE),0)</f>
        <v>52</v>
      </c>
      <c r="D17" s="227">
        <f t="shared" si="0"/>
        <v>1</v>
      </c>
      <c r="E17" s="51" t="s">
        <v>280</v>
      </c>
      <c r="F17" s="228">
        <f t="shared" si="1"/>
        <v>4</v>
      </c>
      <c r="G17" s="67"/>
      <c r="H17" s="67"/>
      <c r="K17" s="73"/>
      <c r="L17" s="73"/>
    </row>
    <row r="18" spans="1:12" ht="25.35" customHeight="1" x14ac:dyDescent="0.3">
      <c r="A18" s="221" t="s">
        <v>259</v>
      </c>
      <c r="B18" s="224">
        <f t="shared" si="2"/>
        <v>48</v>
      </c>
      <c r="C18" s="227">
        <f>IFERROR(VLOOKUP(A18,'조인앤조인 피벗'!A:SH,9,FALSE),0)</f>
        <v>108</v>
      </c>
      <c r="D18" s="227">
        <f t="shared" si="0"/>
        <v>2</v>
      </c>
      <c r="E18" s="51" t="s">
        <v>336</v>
      </c>
      <c r="F18" s="228">
        <f t="shared" si="1"/>
        <v>12</v>
      </c>
      <c r="G18" s="67"/>
      <c r="H18" s="67"/>
      <c r="K18" s="73"/>
      <c r="L18" s="73"/>
    </row>
    <row r="19" spans="1:12" ht="4.5" customHeight="1" x14ac:dyDescent="0.3">
      <c r="A19" s="289"/>
      <c r="B19" s="290"/>
      <c r="C19" s="290"/>
      <c r="D19" s="290"/>
      <c r="E19" s="290"/>
      <c r="F19" s="291"/>
      <c r="K19" s="73"/>
      <c r="L19" s="73"/>
    </row>
    <row r="20" spans="1:12" ht="32.450000000000003" customHeight="1" x14ac:dyDescent="0.3">
      <c r="A20" s="211" t="s">
        <v>122</v>
      </c>
      <c r="B20" s="225">
        <f>$B$4</f>
        <v>48</v>
      </c>
      <c r="C20" s="212">
        <f>SUM(C4:C18)</f>
        <v>2336</v>
      </c>
      <c r="D20" s="55">
        <f>IFERROR(ROUNDDOWN(C20/B20,0),"")</f>
        <v>48</v>
      </c>
      <c r="E20" s="213"/>
      <c r="F20" s="214">
        <f>IFERROR(C20-(D20*B20),"")</f>
        <v>32</v>
      </c>
      <c r="K20" s="73"/>
      <c r="L20" s="73"/>
    </row>
    <row r="21" spans="1:12" ht="4.5" customHeight="1" x14ac:dyDescent="0.3">
      <c r="A21" s="183"/>
      <c r="B21" s="224"/>
      <c r="C21" s="50"/>
      <c r="D21" s="50"/>
      <c r="E21" s="50"/>
      <c r="F21" s="184"/>
      <c r="K21" s="73"/>
      <c r="L21" s="73"/>
    </row>
    <row r="22" spans="1:12" ht="25.35" customHeight="1" x14ac:dyDescent="0.3">
      <c r="A22" s="221" t="s">
        <v>241</v>
      </c>
      <c r="B22" s="224">
        <f t="shared" ref="B22:B26" si="5">$B$4</f>
        <v>48</v>
      </c>
      <c r="C22" s="227">
        <f>IFERROR(VLOOKUP(A22,'조인앤조인 피벗'!A:SH,9,FALSE),0)</f>
        <v>88</v>
      </c>
      <c r="D22" s="227">
        <f>IFERROR(ROUNDDOWN(C22/B22,0),"")</f>
        <v>1</v>
      </c>
      <c r="E22" s="51" t="s">
        <v>268</v>
      </c>
      <c r="F22" s="228">
        <f>IFERROR(C22-(D22*B22),"")</f>
        <v>40</v>
      </c>
      <c r="G22" s="67"/>
      <c r="H22" s="67"/>
      <c r="K22" s="73"/>
      <c r="L22" s="73"/>
    </row>
    <row r="23" spans="1:12" ht="25.35" customHeight="1" x14ac:dyDescent="0.3">
      <c r="A23" s="221" t="s">
        <v>242</v>
      </c>
      <c r="B23" s="224">
        <f t="shared" si="5"/>
        <v>48</v>
      </c>
      <c r="C23" s="227">
        <f>IFERROR(VLOOKUP(A23,'조인앤조인 피벗'!A:SH,9,FALSE),0)</f>
        <v>60</v>
      </c>
      <c r="D23" s="227">
        <f>IFERROR(ROUNDDOWN(C23/B23,0),"")</f>
        <v>1</v>
      </c>
      <c r="E23" s="51" t="s">
        <v>337</v>
      </c>
      <c r="F23" s="228">
        <f>IFERROR(C23-(D23*B23),"")</f>
        <v>12</v>
      </c>
      <c r="G23" s="67"/>
      <c r="H23" s="67"/>
      <c r="K23" s="73"/>
      <c r="L23" s="73"/>
    </row>
    <row r="24" spans="1:12" ht="25.35" customHeight="1" x14ac:dyDescent="0.3">
      <c r="A24" s="221" t="s">
        <v>243</v>
      </c>
      <c r="B24" s="224">
        <f t="shared" si="5"/>
        <v>48</v>
      </c>
      <c r="C24" s="227">
        <f>IFERROR(VLOOKUP(A24,'조인앤조인 피벗'!A:SH,9,FALSE),0)</f>
        <v>0</v>
      </c>
      <c r="D24" s="227">
        <f>IFERROR(ROUNDDOWN(C24/B24,0),"")</f>
        <v>0</v>
      </c>
      <c r="E24" s="51" t="s">
        <v>106</v>
      </c>
      <c r="F24" s="228">
        <f>IFERROR(C24-(D24*B24),"")</f>
        <v>0</v>
      </c>
      <c r="G24" s="67"/>
      <c r="H24" s="67"/>
      <c r="K24" s="73"/>
      <c r="L24" s="73"/>
    </row>
    <row r="25" spans="1:12" ht="25.35" customHeight="1" x14ac:dyDescent="0.3">
      <c r="A25" s="221" t="s">
        <v>244</v>
      </c>
      <c r="B25" s="224">
        <f t="shared" si="5"/>
        <v>48</v>
      </c>
      <c r="C25" s="227">
        <f>IFERROR(VLOOKUP(A25,'조인앤조인 피벗'!A:SH,9,FALSE),0)</f>
        <v>144</v>
      </c>
      <c r="D25" s="227">
        <f>IFERROR(ROUNDDOWN(C25/B25,0),"")</f>
        <v>3</v>
      </c>
      <c r="E25" s="51" t="s">
        <v>269</v>
      </c>
      <c r="F25" s="228">
        <f>IFERROR(C25-(D25*B25),"")</f>
        <v>0</v>
      </c>
      <c r="G25" s="67"/>
      <c r="H25" s="67"/>
      <c r="K25" s="73"/>
      <c r="L25" s="73"/>
    </row>
    <row r="26" spans="1:12" ht="25.35" customHeight="1" x14ac:dyDescent="0.3">
      <c r="A26" s="221" t="s">
        <v>245</v>
      </c>
      <c r="B26" s="224">
        <f t="shared" si="5"/>
        <v>48</v>
      </c>
      <c r="C26" s="227">
        <f>IFERROR(VLOOKUP(A26,'조인앤조인 피벗'!A:SH,9,FALSE),0)</f>
        <v>44</v>
      </c>
      <c r="D26" s="227">
        <f>IFERROR(ROUNDDOWN(C26/B26,0),"")</f>
        <v>0</v>
      </c>
      <c r="E26" s="51" t="s">
        <v>118</v>
      </c>
      <c r="F26" s="228">
        <f>IFERROR(C26-(D26*B26),"")</f>
        <v>44</v>
      </c>
      <c r="G26" s="67"/>
      <c r="H26" s="67"/>
      <c r="K26" s="73"/>
      <c r="L26" s="73"/>
    </row>
    <row r="27" spans="1:12" ht="4.5" customHeight="1" x14ac:dyDescent="0.3">
      <c r="A27" s="289"/>
      <c r="B27" s="290"/>
      <c r="C27" s="290"/>
      <c r="D27" s="290"/>
      <c r="E27" s="290"/>
      <c r="F27" s="291"/>
      <c r="G27" s="67"/>
      <c r="H27" s="67"/>
      <c r="K27" s="73"/>
      <c r="L27" s="73"/>
    </row>
    <row r="28" spans="1:12" ht="32.450000000000003" customHeight="1" x14ac:dyDescent="0.3">
      <c r="A28" s="211" t="s">
        <v>285</v>
      </c>
      <c r="B28" s="225">
        <f>$B$4</f>
        <v>48</v>
      </c>
      <c r="C28" s="212">
        <f>SUM(C22:C26)</f>
        <v>336</v>
      </c>
      <c r="D28" s="55">
        <f>IFERROR(ROUNDDOWN(C28/B28,0),"")</f>
        <v>7</v>
      </c>
      <c r="E28" s="213"/>
      <c r="F28" s="214">
        <f>IFERROR(C28-(D28*B28),"")</f>
        <v>0</v>
      </c>
      <c r="G28" s="67"/>
      <c r="H28" s="67"/>
      <c r="K28" s="73"/>
      <c r="L28" s="73"/>
    </row>
    <row r="29" spans="1:12" ht="4.5" customHeight="1" x14ac:dyDescent="0.3">
      <c r="A29" s="289"/>
      <c r="B29" s="290"/>
      <c r="C29" s="290"/>
      <c r="D29" s="290"/>
      <c r="E29" s="290"/>
      <c r="F29" s="291"/>
      <c r="G29" s="67"/>
      <c r="H29" s="67"/>
      <c r="K29" s="73"/>
      <c r="L29" s="73"/>
    </row>
    <row r="30" spans="1:12" ht="25.35" customHeight="1" x14ac:dyDescent="0.3">
      <c r="A30" s="221" t="s">
        <v>239</v>
      </c>
      <c r="B30" s="224">
        <f t="shared" ref="B30:B31" si="6">$B$4</f>
        <v>48</v>
      </c>
      <c r="C30" s="227">
        <f>IFERROR(VLOOKUP(A30,'조인앤조인 피벗'!A:SH,9,FALSE),0)</f>
        <v>96</v>
      </c>
      <c r="D30" s="227">
        <f t="shared" ref="D30:D31" si="7">IFERROR(ROUNDDOWN(C30/B30,0),"")</f>
        <v>2</v>
      </c>
      <c r="E30" s="51" t="s">
        <v>266</v>
      </c>
      <c r="F30" s="228">
        <f t="shared" ref="F30:F31" si="8">IFERROR(C30-(D30*B30),"")</f>
        <v>0</v>
      </c>
      <c r="G30" s="67"/>
      <c r="H30" s="67"/>
      <c r="K30" s="73"/>
      <c r="L30" s="73"/>
    </row>
    <row r="31" spans="1:12" ht="25.35" customHeight="1" x14ac:dyDescent="0.3">
      <c r="A31" s="221" t="s">
        <v>240</v>
      </c>
      <c r="B31" s="224">
        <f t="shared" si="6"/>
        <v>48</v>
      </c>
      <c r="C31" s="227">
        <f>IFERROR(VLOOKUP(A31,'조인앤조인 피벗'!A:SH,9,FALSE),0)</f>
        <v>88</v>
      </c>
      <c r="D31" s="227">
        <f t="shared" si="7"/>
        <v>1</v>
      </c>
      <c r="E31" s="51" t="s">
        <v>267</v>
      </c>
      <c r="F31" s="228">
        <f t="shared" si="8"/>
        <v>40</v>
      </c>
      <c r="G31" s="67"/>
      <c r="H31" s="67"/>
      <c r="K31" s="73"/>
      <c r="L31" s="73"/>
    </row>
    <row r="32" spans="1:12" ht="4.5" customHeight="1" x14ac:dyDescent="0.3">
      <c r="A32" s="289"/>
      <c r="B32" s="290"/>
      <c r="C32" s="290"/>
      <c r="D32" s="290"/>
      <c r="E32" s="290"/>
      <c r="F32" s="291"/>
      <c r="G32" s="67"/>
      <c r="H32" s="67"/>
      <c r="K32" s="73"/>
      <c r="L32" s="73"/>
    </row>
    <row r="33" spans="1:12" ht="32.450000000000003" customHeight="1" x14ac:dyDescent="0.3">
      <c r="A33" s="211" t="s">
        <v>284</v>
      </c>
      <c r="B33" s="225">
        <f>$B$4</f>
        <v>48</v>
      </c>
      <c r="C33" s="212">
        <f>SUM(C30:C31)</f>
        <v>184</v>
      </c>
      <c r="D33" s="55">
        <f>IFERROR(ROUNDDOWN(C33/B33,0),"")</f>
        <v>3</v>
      </c>
      <c r="E33" s="213"/>
      <c r="F33" s="214">
        <f>IFERROR(C33-(D33*B33),"")</f>
        <v>40</v>
      </c>
      <c r="G33" s="67"/>
      <c r="H33" s="67"/>
      <c r="K33" s="73"/>
      <c r="L33" s="73"/>
    </row>
    <row r="34" spans="1:12" ht="4.5" customHeight="1" x14ac:dyDescent="0.3">
      <c r="A34" s="183"/>
      <c r="B34" s="224"/>
      <c r="C34" s="50"/>
      <c r="D34" s="50"/>
      <c r="E34" s="50"/>
      <c r="F34" s="184"/>
      <c r="G34" s="67"/>
      <c r="H34" s="67"/>
      <c r="K34" s="73"/>
      <c r="L34" s="73"/>
    </row>
    <row r="35" spans="1:12" ht="25.35" customHeight="1" x14ac:dyDescent="0.3">
      <c r="A35" s="221" t="s">
        <v>236</v>
      </c>
      <c r="B35" s="224">
        <f t="shared" ref="B35:B37" si="9">$B$4</f>
        <v>48</v>
      </c>
      <c r="C35" s="227">
        <f>IFERROR(VLOOKUP(A35,'조인앤조인 피벗'!A:SH,9,FALSE),0)</f>
        <v>96</v>
      </c>
      <c r="D35" s="227">
        <f>IFERROR(ROUNDDOWN(C35/B35,0),"")</f>
        <v>2</v>
      </c>
      <c r="E35" s="51" t="s">
        <v>264</v>
      </c>
      <c r="F35" s="228">
        <f>IFERROR(C35-(D35*B35),"")</f>
        <v>0</v>
      </c>
      <c r="G35" s="67"/>
      <c r="H35" s="67"/>
      <c r="K35" s="73"/>
      <c r="L35" s="73"/>
    </row>
    <row r="36" spans="1:12" ht="25.35" customHeight="1" x14ac:dyDescent="0.3">
      <c r="A36" s="221" t="s">
        <v>237</v>
      </c>
      <c r="B36" s="224">
        <f t="shared" si="9"/>
        <v>48</v>
      </c>
      <c r="C36" s="227">
        <f>IFERROR(VLOOKUP(A36,'조인앤조인 피벗'!A:SH,9,FALSE),0)</f>
        <v>84</v>
      </c>
      <c r="D36" s="227">
        <f t="shared" ref="D36:D37" si="10">IFERROR(ROUNDDOWN(C36/B36,0),"")</f>
        <v>1</v>
      </c>
      <c r="E36" s="51" t="s">
        <v>338</v>
      </c>
      <c r="F36" s="228">
        <f t="shared" ref="F36:F37" si="11">IFERROR(C36-(D36*B36),"")</f>
        <v>36</v>
      </c>
      <c r="G36" s="67"/>
      <c r="H36" s="67"/>
      <c r="K36" s="73"/>
      <c r="L36" s="73"/>
    </row>
    <row r="37" spans="1:12" ht="25.35" customHeight="1" x14ac:dyDescent="0.3">
      <c r="A37" s="221" t="s">
        <v>238</v>
      </c>
      <c r="B37" s="224">
        <f t="shared" si="9"/>
        <v>48</v>
      </c>
      <c r="C37" s="227">
        <f>IFERROR(VLOOKUP(A37,'조인앤조인 피벗'!A:SH,9,FALSE),0)</f>
        <v>60</v>
      </c>
      <c r="D37" s="227">
        <f t="shared" si="10"/>
        <v>1</v>
      </c>
      <c r="E37" s="51" t="s">
        <v>265</v>
      </c>
      <c r="F37" s="228">
        <f t="shared" si="11"/>
        <v>12</v>
      </c>
      <c r="G37" s="67"/>
      <c r="H37" s="67"/>
      <c r="K37" s="73"/>
      <c r="L37" s="73"/>
    </row>
    <row r="38" spans="1:12" ht="4.5" customHeight="1" x14ac:dyDescent="0.3">
      <c r="A38" s="289"/>
      <c r="B38" s="290"/>
      <c r="C38" s="290"/>
      <c r="D38" s="290"/>
      <c r="E38" s="290"/>
      <c r="F38" s="291"/>
      <c r="G38" s="67"/>
      <c r="H38" s="67"/>
      <c r="K38" s="73"/>
      <c r="L38" s="73"/>
    </row>
    <row r="39" spans="1:12" ht="32.450000000000003" customHeight="1" x14ac:dyDescent="0.3">
      <c r="A39" s="211" t="s">
        <v>283</v>
      </c>
      <c r="B39" s="225">
        <f>$B$4</f>
        <v>48</v>
      </c>
      <c r="C39" s="212">
        <f>SUM(C35:C37)</f>
        <v>240</v>
      </c>
      <c r="D39" s="55">
        <f>IFERROR(ROUNDDOWN(C39/B39,0),"")</f>
        <v>5</v>
      </c>
      <c r="E39" s="213"/>
      <c r="F39" s="214">
        <f>IFERROR(C39-(D39*B39),"")</f>
        <v>0</v>
      </c>
      <c r="G39" s="67"/>
      <c r="H39" s="67"/>
      <c r="K39" s="73"/>
      <c r="L39" s="73"/>
    </row>
    <row r="40" spans="1:12" ht="4.5" customHeight="1" x14ac:dyDescent="0.3">
      <c r="A40" s="183"/>
      <c r="B40" s="224"/>
      <c r="C40" s="50"/>
      <c r="D40" s="50"/>
      <c r="E40" s="50"/>
      <c r="F40" s="184"/>
      <c r="G40" s="67"/>
      <c r="H40" s="67"/>
      <c r="K40" s="73"/>
      <c r="L40" s="73"/>
    </row>
    <row r="41" spans="1:12" ht="25.35" customHeight="1" x14ac:dyDescent="0.3">
      <c r="A41" s="221" t="s">
        <v>261</v>
      </c>
      <c r="B41" s="224">
        <f t="shared" ref="B41:B42" si="12">$B$4</f>
        <v>48</v>
      </c>
      <c r="C41" s="227">
        <f>IFERROR(VLOOKUP(A41,'조인앤조인 피벗'!A:SH,9,FALSE),0)</f>
        <v>28</v>
      </c>
      <c r="D41" s="227">
        <f t="shared" ref="D41:D42" si="13">IFERROR(ROUNDDOWN(C41/B41,0),"")</f>
        <v>0</v>
      </c>
      <c r="E41" s="51" t="s">
        <v>281</v>
      </c>
      <c r="F41" s="228">
        <f t="shared" ref="F41:F42" si="14">IFERROR(C41-(D41*B41),"")</f>
        <v>28</v>
      </c>
      <c r="G41" s="67"/>
      <c r="H41" s="67"/>
      <c r="K41" s="73"/>
      <c r="L41" s="73"/>
    </row>
    <row r="42" spans="1:12" ht="25.35" customHeight="1" x14ac:dyDescent="0.3">
      <c r="A42" s="221" t="s">
        <v>262</v>
      </c>
      <c r="B42" s="224">
        <f t="shared" si="12"/>
        <v>48</v>
      </c>
      <c r="C42" s="227">
        <f>IFERROR(VLOOKUP(A42,'조인앤조인 피벗'!A:SH,9,FALSE),0)</f>
        <v>12</v>
      </c>
      <c r="D42" s="227">
        <f t="shared" si="13"/>
        <v>0</v>
      </c>
      <c r="E42" s="51" t="s">
        <v>282</v>
      </c>
      <c r="F42" s="228">
        <f t="shared" si="14"/>
        <v>12</v>
      </c>
      <c r="G42" s="67"/>
      <c r="H42" s="67"/>
      <c r="K42" s="73"/>
      <c r="L42" s="73"/>
    </row>
    <row r="43" spans="1:12" ht="4.5" customHeight="1" x14ac:dyDescent="0.3">
      <c r="A43" s="289"/>
      <c r="B43" s="290"/>
      <c r="C43" s="290"/>
      <c r="D43" s="290"/>
      <c r="E43" s="290"/>
      <c r="F43" s="291"/>
      <c r="G43" s="67"/>
      <c r="H43" s="67"/>
      <c r="K43" s="73"/>
      <c r="L43" s="73"/>
    </row>
    <row r="44" spans="1:12" ht="32.450000000000003" customHeight="1" x14ac:dyDescent="0.3">
      <c r="A44" s="211" t="s">
        <v>339</v>
      </c>
      <c r="B44" s="225">
        <f>$B$4</f>
        <v>48</v>
      </c>
      <c r="C44" s="212">
        <f>SUM(C41:C42)</f>
        <v>40</v>
      </c>
      <c r="D44" s="55">
        <f>IFERROR(ROUNDDOWN(C44/B44,0),"")</f>
        <v>0</v>
      </c>
      <c r="E44" s="213"/>
      <c r="F44" s="214">
        <f>IFERROR(C44-(D44*B44),"")</f>
        <v>40</v>
      </c>
      <c r="G44" s="67"/>
      <c r="H44" s="67"/>
      <c r="K44" s="73"/>
      <c r="L44" s="73"/>
    </row>
    <row r="45" spans="1:12" ht="4.5" customHeight="1" thickBot="1" x14ac:dyDescent="0.35">
      <c r="A45" s="183"/>
      <c r="B45" s="50"/>
      <c r="C45" s="50"/>
      <c r="D45" s="50"/>
      <c r="E45" s="50"/>
      <c r="F45" s="184"/>
      <c r="G45" s="67"/>
      <c r="H45" s="67"/>
      <c r="K45" s="73"/>
      <c r="L45" s="73"/>
    </row>
    <row r="46" spans="1:12" ht="26.25" x14ac:dyDescent="0.3">
      <c r="A46" s="87" t="s">
        <v>3</v>
      </c>
      <c r="B46" s="226">
        <f>$B$4</f>
        <v>48</v>
      </c>
      <c r="C46" s="55">
        <f>SUM(C4:C18,C35:C37,C30:C31,C22:C26,C41:C42)</f>
        <v>3136</v>
      </c>
      <c r="D46" s="54">
        <f>IFERROR(ROUNDDOWN(C46/B46,0),"")</f>
        <v>65</v>
      </c>
      <c r="E46" s="56"/>
      <c r="F46" s="121">
        <f>IFERROR(C46-(D46*B46),"")</f>
        <v>16</v>
      </c>
      <c r="G46" s="232" t="s">
        <v>110</v>
      </c>
      <c r="H46" s="233" t="s">
        <v>111</v>
      </c>
      <c r="K46" s="73"/>
      <c r="L46" s="73"/>
    </row>
    <row r="47" spans="1:12" ht="27" thickBot="1" x14ac:dyDescent="0.35">
      <c r="A47" s="42" t="s">
        <v>286</v>
      </c>
      <c r="B47" s="43" t="s">
        <v>173</v>
      </c>
      <c r="C47" s="40"/>
      <c r="D47" s="41">
        <f>SUM(D4:D18,D35:D37,D30:D31,D22:D26,D41:D42)</f>
        <v>54</v>
      </c>
      <c r="E47" s="48"/>
      <c r="F47" s="93">
        <f>SUM(F4:F18,F35:F37,F30:F31,F22:F26,F41:F42)</f>
        <v>544</v>
      </c>
      <c r="G47" s="216">
        <f>IFERROR(ROUNDDOWN(F47/B35,0),"")</f>
        <v>11</v>
      </c>
      <c r="H47" s="217">
        <f>IFERROR(F47-(G47*B35),"")</f>
        <v>16</v>
      </c>
    </row>
    <row r="48" spans="1:12" ht="22.5" customHeight="1" x14ac:dyDescent="0.3">
      <c r="C48" s="77">
        <f>C20+C28+C33+C39+C44</f>
        <v>3136</v>
      </c>
      <c r="G48" s="199"/>
      <c r="H48" s="34" t="s">
        <v>174</v>
      </c>
    </row>
    <row r="49" spans="3:3" x14ac:dyDescent="0.3">
      <c r="C49" s="34" t="b">
        <f>C48=C46</f>
        <v>1</v>
      </c>
    </row>
  </sheetData>
  <mergeCells count="8">
    <mergeCell ref="A43:F43"/>
    <mergeCell ref="A38:F38"/>
    <mergeCell ref="A1:F1"/>
    <mergeCell ref="B2:F2"/>
    <mergeCell ref="A19:F19"/>
    <mergeCell ref="A27:F27"/>
    <mergeCell ref="A29:F29"/>
    <mergeCell ref="A32:F32"/>
  </mergeCells>
  <phoneticPr fontId="13" type="noConversion"/>
  <printOptions horizontalCentered="1" verticalCentered="1"/>
  <pageMargins left="0" right="0" top="0" bottom="0" header="0" footer="0"/>
  <pageSetup paperSize="9" scale="77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B8AADC-27C2-48C7-8C14-6E295C5BDB01}">
  <sheetPr>
    <tabColor rgb="FFFFFF00"/>
    <pageSetUpPr fitToPage="1"/>
  </sheetPr>
  <dimension ref="A1:H49"/>
  <sheetViews>
    <sheetView zoomScale="40" zoomScaleNormal="40" zoomScaleSheetLayoutView="75" workbookViewId="0">
      <selection activeCell="A2" sqref="A2:F47"/>
    </sheetView>
  </sheetViews>
  <sheetFormatPr defaultColWidth="9" defaultRowHeight="16.5" x14ac:dyDescent="0.3"/>
  <cols>
    <col min="1" max="1" width="24.75" style="34" customWidth="1"/>
    <col min="2" max="2" width="7.625" style="38" customWidth="1"/>
    <col min="3" max="3" width="30.625" style="34" customWidth="1"/>
    <col min="4" max="4" width="9.875" style="2" customWidth="1"/>
    <col min="5" max="5" width="11.375" style="34" customWidth="1"/>
    <col min="6" max="6" width="11.125" style="2" customWidth="1"/>
    <col min="7" max="7" width="8.375" style="34" customWidth="1"/>
    <col min="8" max="8" width="9" style="34" customWidth="1"/>
    <col min="9" max="13" width="9" style="34"/>
    <col min="14" max="14" width="10.625" style="34" customWidth="1"/>
    <col min="15" max="17" width="9" style="34"/>
    <col min="18" max="18" width="36.5" style="34" bestFit="1" customWidth="1"/>
    <col min="19" max="16384" width="9" style="34"/>
  </cols>
  <sheetData>
    <row r="1" spans="1:8" ht="25.9" customHeight="1" thickBot="1" x14ac:dyDescent="0.35">
      <c r="A1" s="270"/>
      <c r="B1" s="270"/>
      <c r="C1" s="270"/>
      <c r="D1" s="270"/>
      <c r="E1" s="270"/>
      <c r="F1" s="270"/>
    </row>
    <row r="2" spans="1:8" ht="25.9" customHeight="1" x14ac:dyDescent="0.3">
      <c r="A2" s="215">
        <f ca="1">TODAY()</f>
        <v>46314</v>
      </c>
      <c r="B2" s="287" t="s">
        <v>175</v>
      </c>
      <c r="C2" s="287"/>
      <c r="D2" s="287"/>
      <c r="E2" s="287"/>
      <c r="F2" s="288"/>
      <c r="G2" s="67"/>
      <c r="H2" s="67"/>
    </row>
    <row r="3" spans="1:8" ht="40.15" customHeight="1" x14ac:dyDescent="0.3">
      <c r="A3" s="222" t="s">
        <v>67</v>
      </c>
      <c r="B3" s="223" t="s">
        <v>13</v>
      </c>
      <c r="C3" s="229" t="s">
        <v>303</v>
      </c>
      <c r="D3" s="230" t="s">
        <v>2</v>
      </c>
      <c r="E3" s="229" t="s">
        <v>23</v>
      </c>
      <c r="F3" s="231" t="s">
        <v>14</v>
      </c>
      <c r="G3" s="67"/>
      <c r="H3" s="67"/>
    </row>
    <row r="4" spans="1:8" ht="25.35" customHeight="1" x14ac:dyDescent="0.3">
      <c r="A4" s="220" t="s">
        <v>260</v>
      </c>
      <c r="B4" s="224">
        <v>48</v>
      </c>
      <c r="C4" s="227">
        <f>IFERROR(VLOOKUP(A4,'조인앤조인 피벗'!A:SH,10,FALSE),0)</f>
        <v>16</v>
      </c>
      <c r="D4" s="227">
        <f t="shared" ref="D4:D18" si="0">IFERROR(ROUNDDOWN(C4/B4,0),"")</f>
        <v>0</v>
      </c>
      <c r="E4" s="51" t="s">
        <v>109</v>
      </c>
      <c r="F4" s="228">
        <f t="shared" ref="F4:F18" si="1">IFERROR(C4-(D4*B4),"")</f>
        <v>16</v>
      </c>
      <c r="G4" s="67"/>
      <c r="H4" s="67"/>
    </row>
    <row r="5" spans="1:8" ht="25.35" customHeight="1" x14ac:dyDescent="0.3">
      <c r="A5" s="221" t="s">
        <v>255</v>
      </c>
      <c r="B5" s="224">
        <f t="shared" ref="B5:B18" si="2">$B$4</f>
        <v>48</v>
      </c>
      <c r="C5" s="227">
        <f>IFERROR(VLOOKUP(A5,'조인앤조인 피벗'!A:SH,10,FALSE),0)</f>
        <v>364</v>
      </c>
      <c r="D5" s="227">
        <f t="shared" ref="D5" si="3">IFERROR(ROUNDDOWN(C5/B5,0),"")</f>
        <v>7</v>
      </c>
      <c r="E5" s="51" t="s">
        <v>335</v>
      </c>
      <c r="F5" s="228">
        <f t="shared" ref="F5" si="4">IFERROR(C5-(D5*B5),"")</f>
        <v>28</v>
      </c>
      <c r="G5" s="67"/>
      <c r="H5" s="67"/>
    </row>
    <row r="6" spans="1:8" ht="25.35" customHeight="1" x14ac:dyDescent="0.3">
      <c r="A6" s="221" t="s">
        <v>249</v>
      </c>
      <c r="B6" s="224">
        <f t="shared" si="2"/>
        <v>48</v>
      </c>
      <c r="C6" s="227">
        <f>IFERROR(VLOOKUP(A6,'조인앤조인 피벗'!A:SH,10,FALSE),0)</f>
        <v>192</v>
      </c>
      <c r="D6" s="227">
        <f>IFERROR(ROUNDDOWN(C6/B6,0),"")</f>
        <v>4</v>
      </c>
      <c r="E6" s="51" t="s">
        <v>272</v>
      </c>
      <c r="F6" s="228">
        <f>IFERROR(C6-(D6*B6),"")</f>
        <v>0</v>
      </c>
      <c r="G6" s="67"/>
      <c r="H6" s="67"/>
    </row>
    <row r="7" spans="1:8" ht="25.35" customHeight="1" x14ac:dyDescent="0.3">
      <c r="A7" s="221" t="s">
        <v>250</v>
      </c>
      <c r="B7" s="224">
        <f t="shared" si="2"/>
        <v>48</v>
      </c>
      <c r="C7" s="227">
        <f>IFERROR(VLOOKUP(A7,'조인앤조인 피벗'!A:SH,10,FALSE),0)</f>
        <v>152</v>
      </c>
      <c r="D7" s="227">
        <f>IFERROR(ROUNDDOWN(C7/B7,0),"")</f>
        <v>3</v>
      </c>
      <c r="E7" s="51" t="s">
        <v>273</v>
      </c>
      <c r="F7" s="228">
        <f>IFERROR(C7-(D7*B7),"")</f>
        <v>8</v>
      </c>
      <c r="G7" s="67"/>
      <c r="H7" s="67"/>
    </row>
    <row r="8" spans="1:8" ht="25.35" customHeight="1" x14ac:dyDescent="0.3">
      <c r="A8" s="221" t="s">
        <v>248</v>
      </c>
      <c r="B8" s="224">
        <f t="shared" si="2"/>
        <v>48</v>
      </c>
      <c r="C8" s="227">
        <f>IFERROR(VLOOKUP(A8,'조인앤조인 피벗'!A:SH,10,FALSE),0)</f>
        <v>100</v>
      </c>
      <c r="D8" s="227">
        <f>IFERROR(ROUNDDOWN(C8/B8,0),"")</f>
        <v>2</v>
      </c>
      <c r="E8" s="51" t="s">
        <v>271</v>
      </c>
      <c r="F8" s="228">
        <f>IFERROR(C8-(D8*B8),"")</f>
        <v>4</v>
      </c>
      <c r="G8" s="67"/>
      <c r="H8" s="67"/>
    </row>
    <row r="9" spans="1:8" ht="25.35" customHeight="1" x14ac:dyDescent="0.3">
      <c r="A9" s="221" t="s">
        <v>246</v>
      </c>
      <c r="B9" s="224">
        <f t="shared" si="2"/>
        <v>48</v>
      </c>
      <c r="C9" s="227">
        <f>IFERROR(VLOOKUP(A9,'조인앤조인 피벗'!A:SH,10,FALSE),0)</f>
        <v>112</v>
      </c>
      <c r="D9" s="227">
        <f t="shared" si="0"/>
        <v>2</v>
      </c>
      <c r="E9" s="51" t="s">
        <v>270</v>
      </c>
      <c r="F9" s="228">
        <f t="shared" si="1"/>
        <v>16</v>
      </c>
      <c r="G9" s="67"/>
      <c r="H9" s="67"/>
    </row>
    <row r="10" spans="1:8" ht="25.35" customHeight="1" x14ac:dyDescent="0.3">
      <c r="A10" s="221" t="s">
        <v>256</v>
      </c>
      <c r="B10" s="224">
        <f t="shared" si="2"/>
        <v>48</v>
      </c>
      <c r="C10" s="227">
        <f>IFERROR(VLOOKUP(A10,'조인앤조인 피벗'!A:SH,10,FALSE),0)</f>
        <v>40</v>
      </c>
      <c r="D10" s="227">
        <f>IFERROR(ROUNDDOWN(C10/B10,0),"")</f>
        <v>0</v>
      </c>
      <c r="E10" s="51" t="s">
        <v>278</v>
      </c>
      <c r="F10" s="228">
        <f>IFERROR(C10-(D10*B10),"")</f>
        <v>40</v>
      </c>
      <c r="G10" s="67"/>
      <c r="H10" s="67"/>
    </row>
    <row r="11" spans="1:8" ht="25.35" customHeight="1" x14ac:dyDescent="0.3">
      <c r="A11" s="221" t="s">
        <v>247</v>
      </c>
      <c r="B11" s="224">
        <f t="shared" si="2"/>
        <v>48</v>
      </c>
      <c r="C11" s="227">
        <f>IFERROR(VLOOKUP(A11,'조인앤조인 피벗'!A:SH,10,FALSE),0)</f>
        <v>112</v>
      </c>
      <c r="D11" s="227">
        <f t="shared" si="0"/>
        <v>2</v>
      </c>
      <c r="E11" s="51" t="s">
        <v>334</v>
      </c>
      <c r="F11" s="228">
        <f t="shared" si="1"/>
        <v>16</v>
      </c>
      <c r="G11" s="67"/>
      <c r="H11" s="67"/>
    </row>
    <row r="12" spans="1:8" ht="25.35" customHeight="1" x14ac:dyDescent="0.3">
      <c r="A12" s="221" t="s">
        <v>251</v>
      </c>
      <c r="B12" s="224">
        <f t="shared" si="2"/>
        <v>48</v>
      </c>
      <c r="C12" s="227">
        <f>IFERROR(VLOOKUP(A12,'조인앤조인 피벗'!A:SH,10,FALSE),0)</f>
        <v>148</v>
      </c>
      <c r="D12" s="227">
        <f t="shared" si="0"/>
        <v>3</v>
      </c>
      <c r="E12" s="51" t="s">
        <v>274</v>
      </c>
      <c r="F12" s="228">
        <f t="shared" si="1"/>
        <v>4</v>
      </c>
      <c r="G12" s="67"/>
      <c r="H12" s="67"/>
    </row>
    <row r="13" spans="1:8" ht="25.35" customHeight="1" x14ac:dyDescent="0.3">
      <c r="A13" s="220" t="s">
        <v>252</v>
      </c>
      <c r="B13" s="224">
        <f t="shared" si="2"/>
        <v>48</v>
      </c>
      <c r="C13" s="227">
        <f>IFERROR(VLOOKUP(A13,'조인앤조인 피벗'!A:SH,10,FALSE),0)</f>
        <v>164</v>
      </c>
      <c r="D13" s="227">
        <f t="shared" si="0"/>
        <v>3</v>
      </c>
      <c r="E13" s="51" t="s">
        <v>275</v>
      </c>
      <c r="F13" s="228">
        <f t="shared" si="1"/>
        <v>20</v>
      </c>
      <c r="G13" s="67"/>
      <c r="H13" s="67"/>
    </row>
    <row r="14" spans="1:8" ht="25.35" customHeight="1" x14ac:dyDescent="0.3">
      <c r="A14" s="221" t="s">
        <v>253</v>
      </c>
      <c r="B14" s="224">
        <f t="shared" si="2"/>
        <v>48</v>
      </c>
      <c r="C14" s="227">
        <f>IFERROR(VLOOKUP(A14,'조인앤조인 피벗'!A:SH,10,FALSE),0)</f>
        <v>208</v>
      </c>
      <c r="D14" s="227">
        <f t="shared" si="0"/>
        <v>4</v>
      </c>
      <c r="E14" s="51" t="s">
        <v>276</v>
      </c>
      <c r="F14" s="228">
        <f t="shared" si="1"/>
        <v>16</v>
      </c>
      <c r="G14" s="67"/>
      <c r="H14" s="67"/>
    </row>
    <row r="15" spans="1:8" ht="25.35" customHeight="1" x14ac:dyDescent="0.3">
      <c r="A15" s="221" t="s">
        <v>254</v>
      </c>
      <c r="B15" s="224">
        <f t="shared" si="2"/>
        <v>48</v>
      </c>
      <c r="C15" s="227">
        <f>IFERROR(VLOOKUP(A15,'조인앤조인 피벗'!A:SH,10,FALSE),0)</f>
        <v>288</v>
      </c>
      <c r="D15" s="227">
        <f t="shared" si="0"/>
        <v>6</v>
      </c>
      <c r="E15" s="51" t="s">
        <v>277</v>
      </c>
      <c r="F15" s="228">
        <f t="shared" si="1"/>
        <v>0</v>
      </c>
      <c r="G15" s="67"/>
      <c r="H15" s="67"/>
    </row>
    <row r="16" spans="1:8" ht="25.35" customHeight="1" x14ac:dyDescent="0.3">
      <c r="A16" s="221" t="s">
        <v>257</v>
      </c>
      <c r="B16" s="224">
        <f t="shared" si="2"/>
        <v>48</v>
      </c>
      <c r="C16" s="227">
        <f>IFERROR(VLOOKUP(A16,'조인앤조인 피벗'!A:SH,10,FALSE),0)</f>
        <v>40</v>
      </c>
      <c r="D16" s="227">
        <f t="shared" si="0"/>
        <v>0</v>
      </c>
      <c r="E16" s="51" t="s">
        <v>279</v>
      </c>
      <c r="F16" s="228">
        <f t="shared" si="1"/>
        <v>40</v>
      </c>
      <c r="G16" s="67"/>
      <c r="H16" s="67"/>
    </row>
    <row r="17" spans="1:8" ht="25.35" customHeight="1" x14ac:dyDescent="0.3">
      <c r="A17" s="221" t="s">
        <v>258</v>
      </c>
      <c r="B17" s="224">
        <f t="shared" si="2"/>
        <v>48</v>
      </c>
      <c r="C17" s="227">
        <f>IFERROR(VLOOKUP(A17,'조인앤조인 피벗'!A:SH,10,FALSE),0)</f>
        <v>56</v>
      </c>
      <c r="D17" s="227">
        <f t="shared" si="0"/>
        <v>1</v>
      </c>
      <c r="E17" s="51" t="s">
        <v>280</v>
      </c>
      <c r="F17" s="228">
        <f t="shared" si="1"/>
        <v>8</v>
      </c>
      <c r="G17" s="67"/>
      <c r="H17" s="67"/>
    </row>
    <row r="18" spans="1:8" ht="25.35" customHeight="1" x14ac:dyDescent="0.3">
      <c r="A18" s="221" t="s">
        <v>259</v>
      </c>
      <c r="B18" s="224">
        <f t="shared" si="2"/>
        <v>48</v>
      </c>
      <c r="C18" s="227">
        <f>IFERROR(VLOOKUP(A18,'조인앤조인 피벗'!A:SH,10,FALSE),0)</f>
        <v>72</v>
      </c>
      <c r="D18" s="227">
        <f t="shared" si="0"/>
        <v>1</v>
      </c>
      <c r="E18" s="51" t="s">
        <v>336</v>
      </c>
      <c r="F18" s="228">
        <f t="shared" si="1"/>
        <v>24</v>
      </c>
      <c r="G18" s="67"/>
      <c r="H18" s="67"/>
    </row>
    <row r="19" spans="1:8" ht="4.5" customHeight="1" x14ac:dyDescent="0.3">
      <c r="A19" s="284"/>
      <c r="B19" s="285"/>
      <c r="C19" s="285"/>
      <c r="D19" s="285"/>
      <c r="E19" s="285"/>
      <c r="F19" s="286"/>
    </row>
    <row r="20" spans="1:8" ht="32.450000000000003" customHeight="1" x14ac:dyDescent="0.3">
      <c r="A20" s="209" t="s">
        <v>122</v>
      </c>
      <c r="B20" s="226">
        <f>$B$4</f>
        <v>48</v>
      </c>
      <c r="C20" s="210">
        <f>SUM(C4:C18)</f>
        <v>2064</v>
      </c>
      <c r="D20" s="54">
        <f>IFERROR(ROUNDDOWN(C20/B20,0),"")</f>
        <v>43</v>
      </c>
      <c r="E20" s="36"/>
      <c r="F20" s="121">
        <f>IFERROR(C20-(D20*B20),"")</f>
        <v>0</v>
      </c>
    </row>
    <row r="21" spans="1:8" ht="4.5" customHeight="1" x14ac:dyDescent="0.3">
      <c r="A21" s="183"/>
      <c r="B21" s="224"/>
      <c r="C21" s="50"/>
      <c r="D21" s="50"/>
      <c r="E21" s="50"/>
      <c r="F21" s="184"/>
    </row>
    <row r="22" spans="1:8" ht="25.35" customHeight="1" x14ac:dyDescent="0.3">
      <c r="A22" s="221" t="s">
        <v>241</v>
      </c>
      <c r="B22" s="224">
        <f t="shared" ref="B22:B26" si="5">$B$4</f>
        <v>48</v>
      </c>
      <c r="C22" s="227">
        <f>IFERROR(VLOOKUP(A22,'조인앤조인 피벗'!A:SH,10,FALSE),0)</f>
        <v>148</v>
      </c>
      <c r="D22" s="227">
        <f>IFERROR(ROUNDDOWN(C22/B22,0),"")</f>
        <v>3</v>
      </c>
      <c r="E22" s="51" t="s">
        <v>268</v>
      </c>
      <c r="F22" s="228">
        <f>IFERROR(C22-(D22*B22),"")</f>
        <v>4</v>
      </c>
      <c r="G22" s="67"/>
      <c r="H22" s="67"/>
    </row>
    <row r="23" spans="1:8" ht="25.35" customHeight="1" x14ac:dyDescent="0.3">
      <c r="A23" s="221" t="s">
        <v>242</v>
      </c>
      <c r="B23" s="224">
        <f t="shared" si="5"/>
        <v>48</v>
      </c>
      <c r="C23" s="227">
        <f>IFERROR(VLOOKUP(A23,'조인앤조인 피벗'!A:SH,10,FALSE),0)</f>
        <v>52</v>
      </c>
      <c r="D23" s="227">
        <f>IFERROR(ROUNDDOWN(C23/B23,0),"")</f>
        <v>1</v>
      </c>
      <c r="E23" s="51" t="s">
        <v>337</v>
      </c>
      <c r="F23" s="228">
        <f>IFERROR(C23-(D23*B23),"")</f>
        <v>4</v>
      </c>
      <c r="G23" s="67"/>
      <c r="H23" s="67"/>
    </row>
    <row r="24" spans="1:8" ht="25.35" customHeight="1" x14ac:dyDescent="0.3">
      <c r="A24" s="221" t="s">
        <v>243</v>
      </c>
      <c r="B24" s="224">
        <f t="shared" si="5"/>
        <v>48</v>
      </c>
      <c r="C24" s="227">
        <f>IFERROR(VLOOKUP(A24,'조인앤조인 피벗'!A:SH,10,FALSE),0)</f>
        <v>0</v>
      </c>
      <c r="D24" s="227">
        <f>IFERROR(ROUNDDOWN(C24/B24,0),"")</f>
        <v>0</v>
      </c>
      <c r="E24" s="51" t="s">
        <v>106</v>
      </c>
      <c r="F24" s="228">
        <f>IFERROR(C24-(D24*B24),"")</f>
        <v>0</v>
      </c>
      <c r="G24" s="67"/>
      <c r="H24" s="67"/>
    </row>
    <row r="25" spans="1:8" ht="25.35" customHeight="1" x14ac:dyDescent="0.3">
      <c r="A25" s="221" t="s">
        <v>244</v>
      </c>
      <c r="B25" s="224">
        <f t="shared" si="5"/>
        <v>48</v>
      </c>
      <c r="C25" s="227">
        <f>IFERROR(VLOOKUP(A25,'조인앤조인 피벗'!A:SH,10,FALSE),0)</f>
        <v>140</v>
      </c>
      <c r="D25" s="227">
        <f>IFERROR(ROUNDDOWN(C25/B25,0),"")</f>
        <v>2</v>
      </c>
      <c r="E25" s="51" t="s">
        <v>269</v>
      </c>
      <c r="F25" s="228">
        <f>IFERROR(C25-(D25*B25),"")</f>
        <v>44</v>
      </c>
      <c r="G25" s="67"/>
      <c r="H25" s="67"/>
    </row>
    <row r="26" spans="1:8" ht="25.35" customHeight="1" x14ac:dyDescent="0.3">
      <c r="A26" s="221" t="s">
        <v>245</v>
      </c>
      <c r="B26" s="224">
        <f t="shared" si="5"/>
        <v>48</v>
      </c>
      <c r="C26" s="227">
        <f>IFERROR(VLOOKUP(A26,'조인앤조인 피벗'!A:SH,10,FALSE),0)</f>
        <v>56</v>
      </c>
      <c r="D26" s="227">
        <f>IFERROR(ROUNDDOWN(C26/B26,0),"")</f>
        <v>1</v>
      </c>
      <c r="E26" s="51" t="s">
        <v>118</v>
      </c>
      <c r="F26" s="228">
        <f>IFERROR(C26-(D26*B26),"")</f>
        <v>8</v>
      </c>
      <c r="G26" s="67"/>
      <c r="H26" s="67"/>
    </row>
    <row r="27" spans="1:8" ht="4.5" customHeight="1" x14ac:dyDescent="0.3">
      <c r="A27" s="284"/>
      <c r="B27" s="285"/>
      <c r="C27" s="285"/>
      <c r="D27" s="285"/>
      <c r="E27" s="285"/>
      <c r="F27" s="286"/>
      <c r="G27" s="67"/>
      <c r="H27" s="67"/>
    </row>
    <row r="28" spans="1:8" ht="32.450000000000003" customHeight="1" x14ac:dyDescent="0.3">
      <c r="A28" s="209" t="s">
        <v>285</v>
      </c>
      <c r="B28" s="226">
        <f>$B$4</f>
        <v>48</v>
      </c>
      <c r="C28" s="210">
        <f>SUM(C22:C26)</f>
        <v>396</v>
      </c>
      <c r="D28" s="54">
        <f>IFERROR(ROUNDDOWN(C28/B28,0),"")</f>
        <v>8</v>
      </c>
      <c r="E28" s="36"/>
      <c r="F28" s="121">
        <f>IFERROR(C28-(D28*B28),"")</f>
        <v>12</v>
      </c>
      <c r="G28" s="67"/>
      <c r="H28" s="67"/>
    </row>
    <row r="29" spans="1:8" ht="4.5" customHeight="1" x14ac:dyDescent="0.3">
      <c r="A29" s="284"/>
      <c r="B29" s="285"/>
      <c r="C29" s="285"/>
      <c r="D29" s="285"/>
      <c r="E29" s="285"/>
      <c r="F29" s="286"/>
      <c r="G29" s="67"/>
      <c r="H29" s="67"/>
    </row>
    <row r="30" spans="1:8" ht="25.35" customHeight="1" x14ac:dyDescent="0.3">
      <c r="A30" s="221" t="s">
        <v>239</v>
      </c>
      <c r="B30" s="224">
        <f t="shared" ref="B30:B31" si="6">$B$4</f>
        <v>48</v>
      </c>
      <c r="C30" s="227">
        <f>IFERROR(VLOOKUP(A30,'조인앤조인 피벗'!A:SH,10,FALSE),0)</f>
        <v>104</v>
      </c>
      <c r="D30" s="227">
        <f t="shared" ref="D30:D31" si="7">IFERROR(ROUNDDOWN(C30/B30,0),"")</f>
        <v>2</v>
      </c>
      <c r="E30" s="51" t="s">
        <v>266</v>
      </c>
      <c r="F30" s="228">
        <f t="shared" ref="F30:F31" si="8">IFERROR(C30-(D30*B30),"")</f>
        <v>8</v>
      </c>
      <c r="G30" s="67"/>
      <c r="H30" s="67"/>
    </row>
    <row r="31" spans="1:8" ht="25.35" customHeight="1" x14ac:dyDescent="0.3">
      <c r="A31" s="221" t="s">
        <v>240</v>
      </c>
      <c r="B31" s="224">
        <f t="shared" si="6"/>
        <v>48</v>
      </c>
      <c r="C31" s="243">
        <f>IFERROR(VLOOKUP(A31,'조인앤조인 피벗'!A:SH,10,FALSE),0)</f>
        <v>116</v>
      </c>
      <c r="D31" s="227">
        <f t="shared" si="7"/>
        <v>2</v>
      </c>
      <c r="E31" s="51" t="s">
        <v>267</v>
      </c>
      <c r="F31" s="228">
        <f t="shared" si="8"/>
        <v>20</v>
      </c>
      <c r="G31" s="67"/>
      <c r="H31" s="67"/>
    </row>
    <row r="32" spans="1:8" ht="4.5" customHeight="1" x14ac:dyDescent="0.3">
      <c r="A32" s="284"/>
      <c r="B32" s="285"/>
      <c r="C32" s="285"/>
      <c r="D32" s="285"/>
      <c r="E32" s="285"/>
      <c r="F32" s="286"/>
      <c r="G32" s="67"/>
      <c r="H32" s="67"/>
    </row>
    <row r="33" spans="1:8" ht="32.450000000000003" customHeight="1" x14ac:dyDescent="0.3">
      <c r="A33" s="209" t="s">
        <v>284</v>
      </c>
      <c r="B33" s="226">
        <f>$B$4</f>
        <v>48</v>
      </c>
      <c r="C33" s="210">
        <f>SUM(C30:C31)</f>
        <v>220</v>
      </c>
      <c r="D33" s="54">
        <f>IFERROR(ROUNDDOWN(C33/B33,0),"")</f>
        <v>4</v>
      </c>
      <c r="E33" s="36"/>
      <c r="F33" s="121">
        <f>IFERROR(C33-(D33*B33),"")</f>
        <v>28</v>
      </c>
      <c r="G33" s="67"/>
      <c r="H33" s="67"/>
    </row>
    <row r="34" spans="1:8" ht="4.5" customHeight="1" x14ac:dyDescent="0.3">
      <c r="A34" s="183"/>
      <c r="B34" s="224"/>
      <c r="C34" s="50"/>
      <c r="D34" s="50"/>
      <c r="E34" s="50"/>
      <c r="F34" s="184"/>
      <c r="G34" s="67"/>
      <c r="H34" s="67"/>
    </row>
    <row r="35" spans="1:8" ht="25.35" customHeight="1" x14ac:dyDescent="0.3">
      <c r="A35" s="221" t="s">
        <v>236</v>
      </c>
      <c r="B35" s="224">
        <f t="shared" ref="B35:B37" si="9">$B$4</f>
        <v>48</v>
      </c>
      <c r="C35" s="227">
        <f>IFERROR(VLOOKUP(A35,'조인앤조인 피벗'!A:SH,10,FALSE),0)</f>
        <v>44</v>
      </c>
      <c r="D35" s="227">
        <f>IFERROR(ROUNDDOWN(C35/B35,0),"")</f>
        <v>0</v>
      </c>
      <c r="E35" s="51" t="s">
        <v>264</v>
      </c>
      <c r="F35" s="228">
        <f>IFERROR(C35-(D35*B35),"")</f>
        <v>44</v>
      </c>
      <c r="G35" s="67"/>
      <c r="H35" s="67"/>
    </row>
    <row r="36" spans="1:8" ht="25.35" customHeight="1" x14ac:dyDescent="0.3">
      <c r="A36" s="221" t="s">
        <v>237</v>
      </c>
      <c r="B36" s="224">
        <f t="shared" si="9"/>
        <v>48</v>
      </c>
      <c r="C36" s="227">
        <f>IFERROR(VLOOKUP(A36,'조인앤조인 피벗'!A:SH,10,FALSE),0)</f>
        <v>104</v>
      </c>
      <c r="D36" s="227">
        <f t="shared" ref="D36:D37" si="10">IFERROR(ROUNDDOWN(C36/B36,0),"")</f>
        <v>2</v>
      </c>
      <c r="E36" s="51" t="s">
        <v>338</v>
      </c>
      <c r="F36" s="228">
        <f t="shared" ref="F36:F37" si="11">IFERROR(C36-(D36*B36),"")</f>
        <v>8</v>
      </c>
      <c r="G36" s="67"/>
      <c r="H36" s="67"/>
    </row>
    <row r="37" spans="1:8" ht="25.35" customHeight="1" x14ac:dyDescent="0.3">
      <c r="A37" s="221" t="s">
        <v>238</v>
      </c>
      <c r="B37" s="224">
        <f t="shared" si="9"/>
        <v>48</v>
      </c>
      <c r="C37" s="227">
        <f>IFERROR(VLOOKUP(A37,'조인앤조인 피벗'!A:SH,10,FALSE),0)</f>
        <v>60</v>
      </c>
      <c r="D37" s="227">
        <f t="shared" si="10"/>
        <v>1</v>
      </c>
      <c r="E37" s="51" t="s">
        <v>265</v>
      </c>
      <c r="F37" s="228">
        <f t="shared" si="11"/>
        <v>12</v>
      </c>
      <c r="G37" s="67"/>
      <c r="H37" s="67"/>
    </row>
    <row r="38" spans="1:8" ht="4.5" customHeight="1" x14ac:dyDescent="0.3">
      <c r="A38" s="284"/>
      <c r="B38" s="285"/>
      <c r="C38" s="285"/>
      <c r="D38" s="285"/>
      <c r="E38" s="285"/>
      <c r="F38" s="286"/>
      <c r="G38" s="67"/>
      <c r="H38" s="67"/>
    </row>
    <row r="39" spans="1:8" ht="32.450000000000003" customHeight="1" x14ac:dyDescent="0.3">
      <c r="A39" s="209" t="s">
        <v>283</v>
      </c>
      <c r="B39" s="226">
        <f>$B$4</f>
        <v>48</v>
      </c>
      <c r="C39" s="210">
        <f>SUM(C35:C37)</f>
        <v>208</v>
      </c>
      <c r="D39" s="54">
        <f>IFERROR(ROUNDDOWN(C39/B39,0),"")</f>
        <v>4</v>
      </c>
      <c r="E39" s="36"/>
      <c r="F39" s="121">
        <f>IFERROR(C39-(D39*B39),"")</f>
        <v>16</v>
      </c>
      <c r="G39" s="67"/>
      <c r="H39" s="67"/>
    </row>
    <row r="40" spans="1:8" ht="4.5" customHeight="1" x14ac:dyDescent="0.3">
      <c r="A40" s="183"/>
      <c r="B40" s="224"/>
      <c r="C40" s="50"/>
      <c r="D40" s="50"/>
      <c r="E40" s="50"/>
      <c r="F40" s="184"/>
      <c r="G40" s="67"/>
      <c r="H40" s="67"/>
    </row>
    <row r="41" spans="1:8" ht="25.35" customHeight="1" x14ac:dyDescent="0.3">
      <c r="A41" s="221" t="s">
        <v>261</v>
      </c>
      <c r="B41" s="224">
        <f t="shared" ref="B41:B42" si="12">$B$4</f>
        <v>48</v>
      </c>
      <c r="C41" s="227">
        <f>IFERROR(VLOOKUP(A41,'조인앤조인 피벗'!A:SH,10,FALSE),0)</f>
        <v>20</v>
      </c>
      <c r="D41" s="227">
        <f t="shared" ref="D41:D42" si="13">IFERROR(ROUNDDOWN(C41/B41,0),"")</f>
        <v>0</v>
      </c>
      <c r="E41" s="51" t="s">
        <v>281</v>
      </c>
      <c r="F41" s="228">
        <f t="shared" ref="F41:F42" si="14">IFERROR(C41-(D41*B41),"")</f>
        <v>20</v>
      </c>
      <c r="G41" s="67"/>
      <c r="H41" s="67"/>
    </row>
    <row r="42" spans="1:8" ht="25.35" customHeight="1" x14ac:dyDescent="0.3">
      <c r="A42" s="221" t="s">
        <v>262</v>
      </c>
      <c r="B42" s="224">
        <f t="shared" si="12"/>
        <v>48</v>
      </c>
      <c r="C42" s="227">
        <f>IFERROR(VLOOKUP(A42,'조인앤조인 피벗'!A:SH,10,FALSE),0)</f>
        <v>12</v>
      </c>
      <c r="D42" s="227">
        <f t="shared" si="13"/>
        <v>0</v>
      </c>
      <c r="E42" s="51" t="s">
        <v>282</v>
      </c>
      <c r="F42" s="228">
        <f t="shared" si="14"/>
        <v>12</v>
      </c>
      <c r="G42" s="67"/>
      <c r="H42" s="67"/>
    </row>
    <row r="43" spans="1:8" ht="4.5" customHeight="1" x14ac:dyDescent="0.3">
      <c r="A43" s="284"/>
      <c r="B43" s="285"/>
      <c r="C43" s="285"/>
      <c r="D43" s="285"/>
      <c r="E43" s="285"/>
      <c r="F43" s="286"/>
      <c r="G43" s="67"/>
      <c r="H43" s="67"/>
    </row>
    <row r="44" spans="1:8" ht="32.450000000000003" customHeight="1" x14ac:dyDescent="0.3">
      <c r="A44" s="209" t="s">
        <v>339</v>
      </c>
      <c r="B44" s="226">
        <f>$B$4</f>
        <v>48</v>
      </c>
      <c r="C44" s="210">
        <f>SUM(C41:C42)</f>
        <v>32</v>
      </c>
      <c r="D44" s="54">
        <f>IFERROR(ROUNDDOWN(C44/B44,0),"")</f>
        <v>0</v>
      </c>
      <c r="E44" s="36"/>
      <c r="F44" s="121">
        <f>IFERROR(C44-(D44*B44),"")</f>
        <v>32</v>
      </c>
      <c r="G44" s="67"/>
      <c r="H44" s="67"/>
    </row>
    <row r="45" spans="1:8" ht="4.5" customHeight="1" thickBot="1" x14ac:dyDescent="0.35">
      <c r="A45" s="183"/>
      <c r="B45" s="50"/>
      <c r="C45" s="50"/>
      <c r="D45" s="50"/>
      <c r="E45" s="50"/>
      <c r="F45" s="184"/>
      <c r="G45" s="67"/>
      <c r="H45" s="67"/>
    </row>
    <row r="46" spans="1:8" ht="26.25" x14ac:dyDescent="0.3">
      <c r="A46" s="87" t="s">
        <v>3</v>
      </c>
      <c r="B46" s="226">
        <f>$B$4</f>
        <v>48</v>
      </c>
      <c r="C46" s="55">
        <f>SUM(C4:C18,C35:C37,C30:C31,C22:C26,C41:C42)</f>
        <v>2920</v>
      </c>
      <c r="D46" s="54">
        <f>IFERROR(ROUNDDOWN(C46/B46,0),"")</f>
        <v>60</v>
      </c>
      <c r="E46" s="56"/>
      <c r="F46" s="121">
        <f>IFERROR(C46-(D46*B46),"")</f>
        <v>40</v>
      </c>
      <c r="G46" s="232" t="s">
        <v>110</v>
      </c>
      <c r="H46" s="233" t="s">
        <v>111</v>
      </c>
    </row>
    <row r="47" spans="1:8" ht="27" thickBot="1" x14ac:dyDescent="0.35">
      <c r="A47" s="42" t="s">
        <v>286</v>
      </c>
      <c r="B47" s="43" t="s">
        <v>173</v>
      </c>
      <c r="C47" s="40"/>
      <c r="D47" s="41">
        <f>SUM(D4:D18,D35:D37,D30:D31,D22:D26,D41:D42)</f>
        <v>52</v>
      </c>
      <c r="E47" s="48"/>
      <c r="F47" s="93">
        <f>SUM(F4:F18,F35:F37,F30:F31,F22:F26,F41:F42)</f>
        <v>424</v>
      </c>
      <c r="G47" s="216">
        <f>IFERROR(ROUNDDOWN(F47/B35,0),"")</f>
        <v>8</v>
      </c>
      <c r="H47" s="217">
        <f>IFERROR(F47-(G47*B35),"")</f>
        <v>40</v>
      </c>
    </row>
    <row r="48" spans="1:8" ht="22.5" customHeight="1" x14ac:dyDescent="0.3">
      <c r="C48" s="77">
        <f>C20+C28+C33+C39+C44</f>
        <v>2920</v>
      </c>
      <c r="G48" s="199"/>
      <c r="H48" s="34" t="s">
        <v>174</v>
      </c>
    </row>
    <row r="49" spans="3:3" x14ac:dyDescent="0.3">
      <c r="C49" s="34" t="b">
        <f>C48=C46</f>
        <v>1</v>
      </c>
    </row>
  </sheetData>
  <mergeCells count="8">
    <mergeCell ref="A43:F43"/>
    <mergeCell ref="A38:F38"/>
    <mergeCell ref="A1:F1"/>
    <mergeCell ref="B2:F2"/>
    <mergeCell ref="A19:F19"/>
    <mergeCell ref="A27:F27"/>
    <mergeCell ref="A29:F29"/>
    <mergeCell ref="A32:F32"/>
  </mergeCells>
  <phoneticPr fontId="13" type="noConversion"/>
  <printOptions horizontalCentered="1" verticalCentered="1"/>
  <pageMargins left="0" right="0" top="0" bottom="0" header="0" footer="0"/>
  <pageSetup paperSize="9" scale="77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19FF97-05FD-4A30-BE1C-24FFA0BDBEB0}">
  <sheetPr>
    <tabColor rgb="FF7030A0"/>
  </sheetPr>
  <dimension ref="A1:TF31"/>
  <sheetViews>
    <sheetView zoomScale="60" zoomScaleNormal="60" zoomScaleSheetLayoutView="75" workbookViewId="0">
      <pane xSplit="1" topLeftCell="L1" activePane="topRight" state="frozen"/>
      <selection activeCell="A2" sqref="A2:F47"/>
      <selection pane="topRight" activeCell="B29" sqref="B29:U29"/>
    </sheetView>
  </sheetViews>
  <sheetFormatPr defaultColWidth="9" defaultRowHeight="15" customHeight="1" x14ac:dyDescent="0.3"/>
  <cols>
    <col min="1" max="1" width="25" style="34" customWidth="1"/>
    <col min="2" max="2" width="27.875" style="34" customWidth="1"/>
    <col min="3" max="3" width="24.5" style="34" customWidth="1"/>
    <col min="4" max="4" width="21.375" style="34" customWidth="1"/>
    <col min="5" max="5" width="22.375" style="34" customWidth="1"/>
    <col min="6" max="6" width="22.625" style="34" customWidth="1"/>
    <col min="7" max="7" width="22.25" style="34" customWidth="1"/>
    <col min="8" max="8" width="14.75" style="34" customWidth="1"/>
    <col min="9" max="9" width="15.75" style="34" customWidth="1"/>
    <col min="10" max="10" width="16" style="34" customWidth="1"/>
    <col min="11" max="11" width="18.875" style="34" customWidth="1"/>
    <col min="12" max="12" width="20.75" style="34" customWidth="1"/>
    <col min="13" max="23" width="23.875" style="34" customWidth="1"/>
    <col min="24" max="25" width="37.625" style="34" customWidth="1"/>
    <col min="26" max="26" width="12.125" style="34" customWidth="1"/>
    <col min="27" max="27" width="15.75" style="34" customWidth="1"/>
    <col min="28" max="28" width="8.625" style="34" customWidth="1"/>
    <col min="29" max="36" width="37.625" style="34" customWidth="1"/>
    <col min="37" max="37" width="22.25" style="34" bestFit="1" customWidth="1"/>
    <col min="38" max="40" width="18.375" style="34" customWidth="1"/>
    <col min="41" max="41" width="27.625" style="34" bestFit="1" customWidth="1"/>
    <col min="42" max="43" width="18.375" style="34" customWidth="1"/>
    <col min="44" max="44" width="27.625" style="34" bestFit="1" customWidth="1"/>
    <col min="45" max="45" width="18.375" style="34" customWidth="1"/>
    <col min="46" max="46" width="25.375" style="34" bestFit="1" customWidth="1"/>
    <col min="47" max="47" width="21" style="34" bestFit="1" customWidth="1"/>
    <col min="48" max="48" width="27.625" style="34" bestFit="1" customWidth="1"/>
    <col min="49" max="49" width="18.375" style="34" customWidth="1"/>
    <col min="50" max="50" width="27.625" style="34" bestFit="1" customWidth="1"/>
    <col min="51" max="404" width="30.375" style="34" customWidth="1"/>
    <col min="405" max="406" width="21.25" style="34" customWidth="1"/>
    <col min="407" max="422" width="20.5" style="34" customWidth="1"/>
    <col min="423" max="423" width="21" style="34" bestFit="1" customWidth="1"/>
    <col min="424" max="424" width="25.125" style="34" bestFit="1" customWidth="1"/>
    <col min="425" max="425" width="23" style="34" bestFit="1" customWidth="1"/>
    <col min="426" max="426" width="33.375" style="34" bestFit="1" customWidth="1"/>
    <col min="427" max="427" width="25.125" style="34" bestFit="1" customWidth="1"/>
    <col min="428" max="428" width="28.875" style="34" bestFit="1" customWidth="1"/>
    <col min="429" max="429" width="23" style="34" bestFit="1" customWidth="1"/>
    <col min="430" max="430" width="18.875" style="34" customWidth="1"/>
    <col min="431" max="431" width="23" style="34" bestFit="1" customWidth="1"/>
    <col min="432" max="432" width="25.125" style="34" bestFit="1" customWidth="1"/>
    <col min="433" max="433" width="18.875" style="34" customWidth="1"/>
    <col min="434" max="434" width="19.125" style="34" customWidth="1"/>
    <col min="435" max="435" width="18.125" style="34" customWidth="1"/>
    <col min="436" max="436" width="18.875" style="34" customWidth="1"/>
    <col min="437" max="437" width="26.625" style="34" customWidth="1"/>
    <col min="438" max="438" width="22.125" style="34" customWidth="1"/>
    <col min="439" max="439" width="24.125" style="34" customWidth="1"/>
    <col min="440" max="440" width="21.375" style="34" customWidth="1"/>
    <col min="441" max="441" width="19.375" style="34" customWidth="1"/>
    <col min="442" max="442" width="20" style="34" customWidth="1"/>
    <col min="443" max="443" width="23.25" style="34" customWidth="1"/>
    <col min="444" max="444" width="18" style="34" customWidth="1"/>
    <col min="445" max="475" width="19" style="34" customWidth="1"/>
    <col min="476" max="480" width="20.25" style="34" customWidth="1"/>
    <col min="481" max="481" width="17.25" style="34" customWidth="1"/>
    <col min="482" max="482" width="17.75" style="34" customWidth="1"/>
    <col min="483" max="483" width="16.5" style="34" customWidth="1"/>
    <col min="484" max="486" width="21" style="34" customWidth="1"/>
    <col min="487" max="487" width="18.5" style="34" customWidth="1"/>
    <col min="488" max="492" width="21" style="34" customWidth="1"/>
    <col min="493" max="493" width="15.125" style="34" customWidth="1"/>
    <col min="494" max="509" width="21" style="34" customWidth="1"/>
    <col min="510" max="510" width="24.25" style="34" customWidth="1"/>
    <col min="511" max="511" width="18.875" style="34" bestFit="1" customWidth="1"/>
    <col min="512" max="512" width="21" style="34" bestFit="1" customWidth="1"/>
    <col min="513" max="513" width="23" style="38" bestFit="1" customWidth="1"/>
    <col min="514" max="514" width="8.625" style="38" bestFit="1" customWidth="1"/>
    <col min="515" max="515" width="21" style="38" bestFit="1" customWidth="1"/>
    <col min="516" max="516" width="23" style="38" bestFit="1" customWidth="1"/>
    <col min="517" max="517" width="8.625" style="38" bestFit="1" customWidth="1"/>
    <col min="518" max="518" width="22.875" style="34" customWidth="1"/>
    <col min="519" max="525" width="20.875" style="38" customWidth="1"/>
    <col min="526" max="526" width="23.25" style="38" customWidth="1"/>
    <col min="527" max="16384" width="9" style="34"/>
  </cols>
  <sheetData>
    <row r="1" spans="1:518" s="38" customFormat="1" ht="15" customHeight="1" x14ac:dyDescent="0.3">
      <c r="A1" s="236" t="s">
        <v>391</v>
      </c>
      <c r="B1" s="236" t="s">
        <v>89</v>
      </c>
      <c r="C1" s="237"/>
      <c r="D1" s="236"/>
      <c r="E1" s="237"/>
      <c r="F1" s="236"/>
      <c r="G1" s="236"/>
      <c r="H1" s="236"/>
      <c r="I1" s="237"/>
      <c r="J1" s="236"/>
      <c r="K1" s="237"/>
      <c r="L1" s="236"/>
      <c r="M1" s="237"/>
      <c r="N1" s="236"/>
      <c r="O1" s="237"/>
      <c r="P1" s="244"/>
      <c r="Q1" s="237"/>
      <c r="R1" s="244"/>
      <c r="S1" s="237"/>
      <c r="T1" s="244"/>
      <c r="U1" s="250"/>
      <c r="V1" s="247"/>
      <c r="W1" s="247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2"/>
      <c r="AM1" s="62"/>
      <c r="AN1" s="62"/>
      <c r="AO1" s="62"/>
      <c r="AP1" s="62"/>
      <c r="AQ1" s="62"/>
      <c r="AR1" s="62"/>
      <c r="AS1" s="62"/>
      <c r="AT1" s="62"/>
      <c r="AU1" s="62"/>
      <c r="AV1" s="62"/>
      <c r="AW1" s="62"/>
      <c r="AX1" s="62"/>
      <c r="AY1" s="2"/>
      <c r="AZ1" s="2"/>
      <c r="BA1" s="2"/>
      <c r="BB1" s="2"/>
      <c r="BC1" s="2"/>
      <c r="BD1" s="2"/>
      <c r="BE1" s="2"/>
      <c r="BF1" s="2"/>
      <c r="BG1" s="29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2"/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2"/>
      <c r="EV1" s="2"/>
      <c r="EW1" s="2"/>
      <c r="EX1" s="2"/>
      <c r="EY1" s="2"/>
      <c r="EZ1" s="2"/>
      <c r="FA1" s="2"/>
      <c r="FB1" s="2"/>
      <c r="FC1" s="2"/>
      <c r="FD1" s="2"/>
      <c r="FE1" s="2"/>
      <c r="FF1" s="2"/>
      <c r="FG1" s="2"/>
      <c r="FH1" s="2"/>
      <c r="FI1" s="2"/>
      <c r="FJ1" s="2"/>
      <c r="FK1" s="2"/>
      <c r="FL1" s="2"/>
      <c r="FM1" s="2"/>
      <c r="FN1" s="2"/>
      <c r="FO1" s="2"/>
      <c r="FP1" s="2"/>
      <c r="FQ1" s="2"/>
      <c r="FR1" s="2"/>
      <c r="FS1" s="2"/>
      <c r="FT1" s="2"/>
      <c r="FU1" s="2"/>
      <c r="FV1" s="2"/>
      <c r="FW1" s="2"/>
      <c r="FX1" s="2"/>
      <c r="FY1" s="2"/>
      <c r="FZ1" s="2"/>
      <c r="GA1" s="2"/>
      <c r="GB1" s="2"/>
      <c r="GC1" s="2"/>
      <c r="GD1" s="2"/>
      <c r="GE1" s="2"/>
      <c r="GF1" s="2"/>
      <c r="GG1" s="2"/>
      <c r="GH1" s="2"/>
      <c r="GI1" s="2"/>
      <c r="GJ1" s="2"/>
      <c r="GK1" s="2"/>
      <c r="GL1" s="2"/>
      <c r="GM1" s="2"/>
      <c r="GN1" s="2"/>
      <c r="GO1" s="2"/>
      <c r="GP1" s="2"/>
      <c r="GQ1" s="2"/>
      <c r="GR1" s="2"/>
      <c r="GS1" s="2"/>
      <c r="GT1" s="2"/>
      <c r="GU1" s="2"/>
      <c r="GV1" s="2"/>
      <c r="GW1" s="2"/>
      <c r="GX1" s="2"/>
      <c r="GY1" s="2"/>
      <c r="GZ1" s="2"/>
      <c r="HA1" s="2"/>
      <c r="HB1" s="2"/>
      <c r="HC1" s="2"/>
      <c r="HD1" s="2"/>
      <c r="HE1" s="2"/>
      <c r="HF1" s="2"/>
      <c r="HG1" s="2"/>
      <c r="HH1" s="2"/>
      <c r="HI1" s="23"/>
      <c r="HJ1" s="23"/>
      <c r="HK1" s="23"/>
      <c r="HL1" s="23"/>
      <c r="HM1" s="23"/>
      <c r="HN1" s="23"/>
      <c r="HO1" s="23"/>
      <c r="HP1" s="23"/>
      <c r="HQ1" s="23"/>
      <c r="HR1" s="23"/>
      <c r="HS1" s="23"/>
      <c r="HT1" s="23"/>
      <c r="HU1" s="23"/>
      <c r="HV1" s="23"/>
      <c r="HW1" s="23"/>
      <c r="HX1" s="23"/>
      <c r="HY1" s="23"/>
      <c r="HZ1" s="23"/>
      <c r="IA1" s="23"/>
      <c r="IB1" s="23"/>
      <c r="IC1" s="23"/>
      <c r="ID1" s="23"/>
      <c r="IE1" s="23"/>
      <c r="IF1" s="23"/>
      <c r="IG1" s="23"/>
      <c r="IH1" s="23"/>
      <c r="II1" s="23"/>
      <c r="IJ1" s="23"/>
      <c r="IK1" s="23"/>
      <c r="IL1" s="23"/>
      <c r="IM1" s="23"/>
      <c r="IN1" s="23"/>
      <c r="IO1" s="23"/>
      <c r="IP1" s="23"/>
      <c r="IQ1" s="23"/>
      <c r="IR1" s="23"/>
      <c r="IS1" s="23"/>
      <c r="IT1" s="23"/>
      <c r="IU1" s="23"/>
      <c r="IV1" s="23"/>
      <c r="IW1" s="23"/>
      <c r="IX1" s="23"/>
      <c r="IY1" s="23"/>
      <c r="IZ1" s="23"/>
      <c r="JA1" s="23"/>
      <c r="JB1" s="23"/>
      <c r="JC1" s="23"/>
      <c r="JD1" s="23"/>
      <c r="JE1" s="23"/>
      <c r="JF1" s="23"/>
      <c r="JG1" s="23"/>
      <c r="JH1" s="23"/>
      <c r="JI1" s="23"/>
      <c r="JJ1" s="23"/>
      <c r="JK1" s="23"/>
      <c r="JL1" s="23"/>
      <c r="JM1" s="23"/>
      <c r="JN1" s="23"/>
      <c r="JO1" s="23"/>
      <c r="JP1" s="23"/>
      <c r="JQ1" s="23"/>
      <c r="JR1" s="23"/>
      <c r="JS1" s="23"/>
      <c r="JT1" s="23"/>
      <c r="JU1" s="23"/>
      <c r="JV1" s="23"/>
      <c r="JW1" s="23"/>
      <c r="JX1" s="23"/>
      <c r="JY1" s="23"/>
      <c r="JZ1" s="23"/>
      <c r="KA1" s="23"/>
      <c r="KB1" s="23"/>
      <c r="KC1" s="23"/>
      <c r="KD1" s="23"/>
      <c r="KE1" s="23"/>
      <c r="KF1" s="23"/>
      <c r="KG1" s="23"/>
      <c r="KH1" s="23"/>
      <c r="KI1" s="23"/>
      <c r="KJ1" s="23"/>
      <c r="KK1" s="23"/>
      <c r="KL1" s="23"/>
      <c r="KM1" s="23"/>
      <c r="KN1" s="23"/>
      <c r="KO1" s="23"/>
      <c r="KP1" s="23"/>
      <c r="KQ1" s="23"/>
      <c r="KR1" s="23"/>
      <c r="KS1" s="23"/>
      <c r="KT1" s="23"/>
      <c r="KU1" s="23"/>
      <c r="KV1" s="23"/>
      <c r="KW1" s="23"/>
      <c r="KX1" s="23"/>
      <c r="KY1" s="23"/>
      <c r="KZ1" s="23"/>
      <c r="LA1" s="23"/>
      <c r="LB1" s="23"/>
      <c r="LC1" s="23"/>
      <c r="LD1" s="23"/>
      <c r="LE1" s="23"/>
      <c r="LF1" s="23"/>
      <c r="LG1" s="23"/>
      <c r="LH1" s="23"/>
      <c r="LI1" s="23"/>
      <c r="LJ1" s="23"/>
      <c r="LK1" s="23"/>
      <c r="LL1" s="23"/>
      <c r="LM1" s="23"/>
      <c r="LN1" s="23"/>
      <c r="LO1" s="23"/>
      <c r="LP1" s="23"/>
      <c r="LQ1" s="23"/>
      <c r="LR1" s="23"/>
      <c r="LS1" s="23"/>
      <c r="LT1" s="23"/>
      <c r="LU1" s="23"/>
      <c r="LV1" s="23"/>
      <c r="LW1" s="23"/>
      <c r="LX1" s="23"/>
      <c r="LY1" s="23"/>
      <c r="LZ1" s="23"/>
      <c r="MA1" s="23"/>
      <c r="MB1" s="23"/>
      <c r="MC1" s="23"/>
      <c r="MD1" s="23"/>
      <c r="ME1" s="23"/>
      <c r="MF1" s="23"/>
      <c r="MG1" s="23"/>
      <c r="MH1" s="23"/>
      <c r="MI1" s="23"/>
      <c r="MJ1" s="23"/>
      <c r="MK1" s="23"/>
      <c r="ML1" s="23"/>
      <c r="MM1" s="23"/>
      <c r="MN1" s="23"/>
      <c r="MO1" s="23"/>
      <c r="MP1" s="23"/>
      <c r="MQ1" s="23"/>
      <c r="MR1" s="23"/>
      <c r="MS1" s="23"/>
      <c r="MT1" s="23"/>
      <c r="MU1" s="23"/>
      <c r="MV1" s="32"/>
      <c r="MW1" s="23"/>
      <c r="MX1" s="23"/>
      <c r="MY1" s="23"/>
      <c r="MZ1" s="23"/>
      <c r="NA1" s="32"/>
      <c r="NB1" s="32"/>
      <c r="NC1" s="23"/>
      <c r="ND1" s="23"/>
      <c r="NE1" s="23"/>
      <c r="NF1" s="23"/>
      <c r="NG1" s="23"/>
      <c r="NH1" s="23"/>
      <c r="NI1" s="23"/>
      <c r="NJ1" s="23"/>
      <c r="NK1" s="23"/>
      <c r="NL1" s="23"/>
      <c r="NM1" s="23"/>
      <c r="NN1" s="23"/>
      <c r="NO1" s="23"/>
      <c r="NP1" s="23"/>
      <c r="NQ1" s="23"/>
      <c r="NR1" s="23"/>
      <c r="NS1" s="23"/>
      <c r="NT1" s="23"/>
      <c r="NU1" s="23"/>
      <c r="NV1" s="23"/>
      <c r="NW1" s="23"/>
      <c r="NX1" s="23"/>
      <c r="NY1" s="23"/>
      <c r="NZ1" s="23"/>
      <c r="OA1" s="23"/>
      <c r="OB1" s="23"/>
      <c r="OC1" s="23"/>
      <c r="OD1" s="23"/>
      <c r="OE1" s="23"/>
      <c r="OF1" s="23"/>
      <c r="OG1" s="23"/>
      <c r="OH1" s="23"/>
      <c r="OI1" s="23"/>
      <c r="OJ1" s="23"/>
      <c r="OK1" s="23"/>
      <c r="OL1" s="23"/>
      <c r="OM1" s="23"/>
      <c r="ON1" s="23"/>
      <c r="OO1" s="23"/>
      <c r="OP1" s="23"/>
      <c r="OQ1" s="23"/>
      <c r="OR1" s="23"/>
      <c r="OS1" s="23"/>
      <c r="OT1" s="23"/>
      <c r="OU1" s="23"/>
      <c r="OV1" s="23"/>
      <c r="OW1" s="23"/>
      <c r="OX1" s="23"/>
      <c r="OY1" s="23"/>
      <c r="OZ1" s="23"/>
      <c r="PA1" s="23"/>
      <c r="PB1" s="23"/>
      <c r="PC1" s="23"/>
      <c r="PD1" s="23"/>
      <c r="PE1" s="23"/>
      <c r="PF1" s="23"/>
      <c r="PG1" s="32"/>
      <c r="PH1" s="23"/>
      <c r="PI1" s="23"/>
      <c r="PJ1" s="23"/>
      <c r="PK1" s="23"/>
      <c r="PL1" s="23"/>
      <c r="PM1" s="23"/>
      <c r="PN1" s="23"/>
      <c r="PO1" s="23"/>
      <c r="PP1" s="23"/>
      <c r="PQ1" s="23"/>
      <c r="PR1" s="23"/>
      <c r="PS1" s="23"/>
      <c r="PT1" s="23"/>
      <c r="PU1" s="23"/>
      <c r="PV1" s="23"/>
      <c r="PW1" s="23"/>
      <c r="PX1" s="23"/>
      <c r="PY1" s="23"/>
      <c r="PZ1" s="23"/>
      <c r="QA1" s="23"/>
      <c r="QB1" s="23"/>
      <c r="QC1" s="32"/>
      <c r="QD1" s="23"/>
      <c r="QE1" s="23"/>
      <c r="QF1" s="23"/>
      <c r="QG1" s="23"/>
      <c r="QH1" s="23"/>
      <c r="QI1" s="23"/>
      <c r="QJ1" s="23"/>
      <c r="QK1" s="23"/>
      <c r="QL1" s="23"/>
      <c r="QM1" s="23"/>
      <c r="QN1" s="23"/>
      <c r="QO1" s="23"/>
      <c r="QP1" s="23"/>
      <c r="QQ1" s="32"/>
      <c r="QR1" s="23"/>
      <c r="QS1" s="23"/>
      <c r="QT1" s="23"/>
      <c r="QU1" s="23"/>
      <c r="QV1" s="23"/>
      <c r="QW1" s="23"/>
      <c r="QX1" s="23"/>
      <c r="QY1" s="23"/>
      <c r="QZ1" s="23"/>
      <c r="RA1" s="23"/>
      <c r="RB1" s="23"/>
      <c r="RC1" s="23"/>
      <c r="RD1" s="23"/>
      <c r="RE1" s="23"/>
      <c r="RF1" s="23"/>
      <c r="RG1" s="23"/>
      <c r="RH1" s="23"/>
      <c r="RI1" s="23"/>
      <c r="RJ1" s="23"/>
      <c r="RK1" s="23"/>
      <c r="RL1" s="23"/>
      <c r="RM1" s="23"/>
      <c r="RN1" s="23"/>
      <c r="RO1" s="23"/>
      <c r="RP1" s="23"/>
      <c r="RQ1" s="23"/>
      <c r="RR1" s="23"/>
      <c r="RS1" s="23"/>
      <c r="RT1" s="23"/>
      <c r="RU1" s="23"/>
      <c r="RV1" s="23"/>
      <c r="RW1" s="23"/>
      <c r="RX1" s="23"/>
      <c r="RY1" s="23"/>
      <c r="RZ1" s="23"/>
      <c r="SA1" s="23"/>
      <c r="SB1" s="23"/>
      <c r="SC1" s="23"/>
      <c r="SD1" s="23"/>
      <c r="SE1" s="23"/>
      <c r="SF1" s="23"/>
      <c r="SG1" s="23"/>
      <c r="SH1" s="23"/>
      <c r="SI1" s="23"/>
      <c r="SJ1" s="23"/>
      <c r="SK1" s="23"/>
      <c r="SL1" s="23"/>
      <c r="SM1" s="23"/>
      <c r="SN1" s="23"/>
      <c r="SO1" s="23"/>
      <c r="SP1" s="23"/>
      <c r="SQ1" s="23"/>
      <c r="SR1" s="23"/>
      <c r="SS1" s="23"/>
      <c r="ST1" s="23"/>
      <c r="SU1" s="23"/>
      <c r="SV1" s="23"/>
      <c r="SW1" s="23"/>
      <c r="SX1" s="23"/>
    </row>
    <row r="2" spans="1:518" s="38" customFormat="1" ht="15" customHeight="1" x14ac:dyDescent="0.3">
      <c r="A2" s="238" t="s">
        <v>67</v>
      </c>
      <c r="B2" s="238" t="s">
        <v>311</v>
      </c>
      <c r="C2" s="239" t="s">
        <v>313</v>
      </c>
      <c r="D2" s="238" t="s">
        <v>314</v>
      </c>
      <c r="E2" s="239" t="s">
        <v>315</v>
      </c>
      <c r="F2" s="238" t="s">
        <v>372</v>
      </c>
      <c r="G2" s="239" t="s">
        <v>373</v>
      </c>
      <c r="H2" s="238" t="s">
        <v>316</v>
      </c>
      <c r="I2" s="239" t="s">
        <v>317</v>
      </c>
      <c r="J2" s="238" t="s">
        <v>318</v>
      </c>
      <c r="K2" s="239" t="s">
        <v>319</v>
      </c>
      <c r="L2" s="238" t="s">
        <v>320</v>
      </c>
      <c r="M2" s="239" t="s">
        <v>321</v>
      </c>
      <c r="N2" s="238" t="s">
        <v>349</v>
      </c>
      <c r="O2" s="239" t="s">
        <v>350</v>
      </c>
      <c r="P2" s="245" t="s">
        <v>378</v>
      </c>
      <c r="Q2" s="239" t="s">
        <v>386</v>
      </c>
      <c r="R2" s="245" t="s">
        <v>364</v>
      </c>
      <c r="S2" s="239" t="s">
        <v>365</v>
      </c>
      <c r="T2" s="245" t="s">
        <v>361</v>
      </c>
      <c r="U2" s="239" t="s">
        <v>362</v>
      </c>
      <c r="V2" s="245" t="s">
        <v>3</v>
      </c>
      <c r="W2" s="248"/>
      <c r="X2" s="218" t="s">
        <v>381</v>
      </c>
      <c r="Y2" s="218" t="s">
        <v>333</v>
      </c>
      <c r="Z2" s="53"/>
      <c r="AA2" s="53"/>
      <c r="AB2" s="53"/>
      <c r="AC2" s="53"/>
      <c r="AD2" s="53"/>
      <c r="AE2" s="53"/>
      <c r="AF2" s="53"/>
      <c r="AG2" s="53"/>
      <c r="AH2" s="53"/>
      <c r="AI2" s="53"/>
      <c r="AJ2" s="53"/>
      <c r="AK2" s="53"/>
      <c r="AL2" s="53"/>
      <c r="AM2" s="53"/>
      <c r="AN2" s="53"/>
      <c r="AO2" s="53"/>
      <c r="AP2" s="53"/>
      <c r="AQ2" s="53"/>
      <c r="AR2" s="53"/>
      <c r="AS2" s="53"/>
      <c r="AT2" s="53"/>
      <c r="AU2" s="53"/>
      <c r="AV2" s="53"/>
      <c r="AW2" s="53"/>
      <c r="AX2" s="53"/>
      <c r="AY2" s="34"/>
      <c r="AZ2" s="34"/>
      <c r="BA2" s="34"/>
      <c r="BB2" s="34"/>
      <c r="BC2" s="34"/>
      <c r="BD2" s="34"/>
      <c r="BE2" s="34"/>
      <c r="BF2" s="34"/>
      <c r="BG2" s="34"/>
      <c r="BH2" s="34"/>
      <c r="BI2" s="34"/>
      <c r="BJ2" s="34"/>
      <c r="BK2" s="34"/>
      <c r="BL2" s="34"/>
      <c r="BM2" s="34"/>
      <c r="BN2" s="34"/>
      <c r="BO2" s="34"/>
      <c r="BP2" s="34"/>
      <c r="BQ2" s="34"/>
      <c r="BR2" s="34"/>
      <c r="BS2" s="34"/>
      <c r="BT2" s="34"/>
      <c r="BU2" s="34"/>
      <c r="BV2" s="34"/>
      <c r="BW2" s="34"/>
      <c r="BX2" s="34"/>
      <c r="BY2" s="34"/>
      <c r="BZ2" s="34"/>
      <c r="CA2" s="34"/>
      <c r="CB2" s="34"/>
      <c r="CC2" s="34"/>
      <c r="CD2" s="34"/>
      <c r="CE2" s="34"/>
      <c r="CF2" s="34"/>
      <c r="CG2" s="34"/>
      <c r="CH2" s="34"/>
      <c r="CI2" s="34"/>
      <c r="CJ2" s="34"/>
      <c r="CK2" s="34"/>
      <c r="CL2" s="34"/>
      <c r="CM2" s="34"/>
      <c r="CN2" s="34"/>
      <c r="CO2" s="34"/>
      <c r="CP2" s="34"/>
      <c r="CQ2" s="34"/>
      <c r="CR2" s="34"/>
      <c r="CS2" s="34"/>
      <c r="CT2" s="34"/>
      <c r="CU2" s="34"/>
      <c r="CV2" s="34"/>
      <c r="CW2" s="34"/>
      <c r="CX2" s="34"/>
      <c r="CY2" s="34"/>
      <c r="CZ2" s="34"/>
      <c r="DA2" s="34"/>
      <c r="DB2" s="34"/>
      <c r="DC2" s="34"/>
      <c r="DD2" s="34"/>
      <c r="DE2" s="34"/>
      <c r="DF2" s="34"/>
      <c r="DG2" s="34"/>
      <c r="DH2" s="34"/>
      <c r="DI2" s="34"/>
      <c r="DJ2" s="34"/>
      <c r="DK2" s="34"/>
      <c r="DL2" s="34"/>
      <c r="DM2" s="34"/>
      <c r="DN2" s="34"/>
      <c r="DO2" s="34"/>
      <c r="DP2" s="34"/>
      <c r="DQ2" s="34"/>
      <c r="DR2" s="34"/>
      <c r="DS2" s="34"/>
      <c r="DT2" s="34"/>
      <c r="DU2" s="34"/>
      <c r="DV2" s="34"/>
      <c r="DW2" s="34"/>
      <c r="DX2" s="34"/>
      <c r="DY2" s="34"/>
      <c r="DZ2" s="34"/>
      <c r="EA2" s="34"/>
      <c r="EB2" s="34"/>
      <c r="EC2" s="34"/>
      <c r="ED2" s="34"/>
      <c r="EE2" s="34"/>
      <c r="EF2" s="34"/>
      <c r="EG2" s="34"/>
      <c r="EH2" s="34"/>
      <c r="EI2" s="34"/>
      <c r="EJ2" s="34"/>
      <c r="EK2" s="34"/>
      <c r="EL2" s="34"/>
      <c r="EM2" s="34"/>
      <c r="EN2" s="34"/>
      <c r="EO2" s="34"/>
      <c r="EP2" s="34"/>
      <c r="EQ2" s="34"/>
      <c r="ER2" s="34"/>
      <c r="ES2" s="34"/>
      <c r="ET2" s="34"/>
      <c r="EU2" s="34"/>
      <c r="EV2" s="34"/>
      <c r="EW2" s="34"/>
      <c r="EX2" s="34"/>
      <c r="EY2" s="34"/>
      <c r="EZ2" s="34"/>
      <c r="FA2" s="34"/>
      <c r="FB2" s="34"/>
      <c r="FC2" s="34"/>
      <c r="FD2" s="34"/>
      <c r="FE2" s="34"/>
      <c r="FF2" s="34"/>
      <c r="FG2" s="34"/>
      <c r="FH2" s="34"/>
      <c r="FI2" s="34"/>
      <c r="FJ2" s="34"/>
      <c r="FK2" s="34"/>
      <c r="FL2" s="34"/>
      <c r="FM2" s="34"/>
      <c r="FN2" s="34"/>
      <c r="FO2" s="34"/>
      <c r="FP2" s="34"/>
      <c r="FQ2" s="34"/>
      <c r="FR2" s="34"/>
      <c r="FS2" s="34"/>
      <c r="FT2" s="34"/>
      <c r="FU2" s="34"/>
      <c r="FV2" s="34"/>
      <c r="FW2" s="34"/>
      <c r="FX2" s="34"/>
      <c r="FY2" s="34"/>
      <c r="FZ2" s="34"/>
      <c r="GA2" s="34"/>
      <c r="GB2" s="34"/>
      <c r="GC2" s="34"/>
      <c r="GD2" s="34"/>
      <c r="GE2" s="34"/>
      <c r="GF2" s="34"/>
      <c r="GG2" s="34"/>
      <c r="GH2" s="34"/>
      <c r="GI2" s="34"/>
      <c r="GJ2" s="34"/>
      <c r="GK2" s="34"/>
      <c r="GL2" s="34"/>
      <c r="GM2" s="34"/>
      <c r="GN2" s="34"/>
      <c r="GO2" s="34"/>
      <c r="GP2" s="34"/>
      <c r="GQ2" s="34"/>
      <c r="GR2" s="34"/>
      <c r="GS2" s="34"/>
      <c r="GT2" s="34"/>
      <c r="GU2" s="34"/>
      <c r="GV2" s="34"/>
      <c r="GW2" s="34"/>
      <c r="GX2" s="34"/>
      <c r="GY2" s="34"/>
      <c r="GZ2" s="34"/>
      <c r="HA2" s="34"/>
      <c r="HB2" s="34"/>
      <c r="HC2" s="34"/>
      <c r="HD2" s="34"/>
      <c r="HE2" s="34"/>
      <c r="HF2" s="34"/>
      <c r="HG2" s="34"/>
      <c r="HH2" s="34"/>
    </row>
    <row r="3" spans="1:518" s="38" customFormat="1" ht="15" customHeight="1" x14ac:dyDescent="0.3">
      <c r="A3" s="240" t="s">
        <v>260</v>
      </c>
      <c r="B3" s="240"/>
      <c r="C3" s="241">
        <v>2</v>
      </c>
      <c r="D3" s="240">
        <v>4</v>
      </c>
      <c r="E3" s="241">
        <v>10</v>
      </c>
      <c r="F3" s="240">
        <v>6</v>
      </c>
      <c r="G3" s="241">
        <v>23</v>
      </c>
      <c r="H3" s="240">
        <v>4</v>
      </c>
      <c r="I3" s="241">
        <v>5</v>
      </c>
      <c r="J3" s="240">
        <v>1</v>
      </c>
      <c r="K3" s="241">
        <v>2</v>
      </c>
      <c r="L3" s="240">
        <v>2</v>
      </c>
      <c r="M3" s="241">
        <v>6</v>
      </c>
      <c r="N3" s="240"/>
      <c r="O3" s="241">
        <v>2</v>
      </c>
      <c r="P3" s="246">
        <v>8</v>
      </c>
      <c r="Q3" s="241">
        <v>25</v>
      </c>
      <c r="R3" s="246">
        <v>3</v>
      </c>
      <c r="S3" s="241">
        <v>4</v>
      </c>
      <c r="T3" s="246">
        <v>4</v>
      </c>
      <c r="U3" s="241">
        <v>6</v>
      </c>
      <c r="V3" s="246">
        <v>117</v>
      </c>
      <c r="W3" s="39"/>
      <c r="X3" s="219">
        <f>SUM(B3,D3,F3,H3,J3,L3,N3,P3,R3,T3)</f>
        <v>32</v>
      </c>
      <c r="Y3" s="219">
        <f>SUM(C3,E3,G3,I3,K3,M3,O3,Q3,S3,U3)</f>
        <v>85</v>
      </c>
      <c r="Z3" s="34"/>
      <c r="AA3" s="34"/>
      <c r="AB3" s="34"/>
      <c r="AC3" s="34"/>
      <c r="AD3" s="34"/>
      <c r="AE3" s="34"/>
      <c r="AF3" s="34"/>
      <c r="AG3" s="34"/>
      <c r="AH3" s="34"/>
      <c r="AI3" s="34"/>
      <c r="AJ3" s="34"/>
      <c r="AK3" s="34"/>
      <c r="AL3" s="58"/>
      <c r="AM3" s="58"/>
      <c r="AN3" s="58"/>
      <c r="AO3" s="58"/>
      <c r="AP3" s="58"/>
      <c r="AQ3" s="58"/>
      <c r="AR3" s="58"/>
      <c r="AS3" s="58"/>
      <c r="AT3" s="58"/>
      <c r="AU3" s="58"/>
      <c r="AV3" s="58"/>
      <c r="AW3" s="58"/>
      <c r="AX3" s="58"/>
      <c r="AY3" s="34"/>
      <c r="AZ3" s="34"/>
      <c r="BA3" s="34"/>
      <c r="BB3" s="34"/>
      <c r="BC3" s="34"/>
      <c r="BD3" s="34"/>
      <c r="BE3" s="34"/>
      <c r="BF3" s="34"/>
      <c r="BG3" s="34"/>
      <c r="BH3" s="34"/>
      <c r="BI3" s="34"/>
      <c r="BJ3" s="34"/>
      <c r="BK3" s="34"/>
      <c r="BL3" s="34"/>
      <c r="BM3" s="34"/>
      <c r="BN3" s="34"/>
      <c r="BO3" s="34"/>
      <c r="BP3" s="34"/>
      <c r="BQ3" s="34"/>
      <c r="BR3" s="34"/>
      <c r="BS3" s="34"/>
      <c r="BT3" s="34"/>
      <c r="BU3" s="34"/>
      <c r="BV3" s="34"/>
      <c r="BW3" s="34"/>
      <c r="BX3" s="34"/>
      <c r="BY3" s="34"/>
      <c r="BZ3" s="34"/>
      <c r="CA3" s="34"/>
      <c r="CB3" s="34"/>
      <c r="CC3" s="34"/>
      <c r="CD3" s="34"/>
      <c r="CE3" s="34"/>
      <c r="CF3" s="34"/>
      <c r="CG3" s="34"/>
      <c r="CH3" s="34"/>
      <c r="CI3" s="34"/>
      <c r="CJ3" s="34"/>
      <c r="CK3" s="34"/>
      <c r="CL3" s="34"/>
      <c r="CM3" s="34"/>
      <c r="CN3" s="34"/>
      <c r="CO3" s="34"/>
      <c r="CP3" s="34"/>
      <c r="CQ3" s="34"/>
      <c r="CR3" s="34"/>
      <c r="CS3" s="34"/>
      <c r="CT3" s="34"/>
      <c r="CU3" s="34"/>
      <c r="CV3" s="34"/>
      <c r="CW3" s="34"/>
      <c r="CX3" s="34"/>
      <c r="CY3" s="34"/>
      <c r="CZ3" s="34"/>
      <c r="DA3" s="34"/>
      <c r="DB3" s="34"/>
      <c r="DC3" s="34"/>
      <c r="DD3" s="34"/>
      <c r="DE3" s="34"/>
      <c r="DF3" s="34"/>
      <c r="DG3" s="34"/>
      <c r="DH3" s="34"/>
      <c r="DI3" s="34"/>
      <c r="DJ3" s="34"/>
      <c r="DK3" s="34"/>
      <c r="DL3" s="34"/>
      <c r="DM3" s="34"/>
      <c r="DN3" s="34"/>
      <c r="DO3" s="34"/>
      <c r="DP3" s="34"/>
      <c r="DQ3" s="34"/>
      <c r="DR3" s="34"/>
      <c r="DS3" s="34"/>
      <c r="DT3" s="34"/>
      <c r="DU3" s="34"/>
      <c r="DV3" s="34"/>
      <c r="DW3" s="34"/>
      <c r="DX3" s="34"/>
      <c r="DY3" s="34"/>
      <c r="DZ3" s="34"/>
      <c r="EA3" s="34"/>
      <c r="EB3" s="34"/>
      <c r="EC3" s="34"/>
      <c r="ED3" s="34"/>
      <c r="EE3" s="34"/>
      <c r="EF3" s="34"/>
      <c r="EG3" s="34"/>
      <c r="EH3" s="34"/>
      <c r="EI3" s="34"/>
      <c r="EJ3" s="34"/>
      <c r="EK3" s="34"/>
      <c r="EL3" s="34"/>
      <c r="EM3" s="34"/>
      <c r="EN3" s="34"/>
      <c r="EO3" s="34"/>
      <c r="EP3" s="34"/>
      <c r="EQ3" s="34"/>
      <c r="ER3" s="34"/>
      <c r="ES3" s="34"/>
      <c r="ET3" s="34"/>
      <c r="EU3" s="34"/>
      <c r="EV3" s="34"/>
      <c r="EW3" s="34"/>
      <c r="EX3" s="34"/>
      <c r="EY3" s="34"/>
      <c r="EZ3" s="34"/>
      <c r="FA3" s="34"/>
      <c r="FB3" s="34"/>
      <c r="FC3" s="34"/>
      <c r="FD3" s="34"/>
      <c r="FE3" s="34"/>
      <c r="FF3" s="34"/>
      <c r="FG3" s="34"/>
      <c r="FH3" s="34"/>
      <c r="FI3" s="34"/>
      <c r="FJ3" s="34"/>
      <c r="FK3" s="34"/>
      <c r="FL3" s="34"/>
      <c r="FM3" s="34"/>
      <c r="FN3" s="34"/>
      <c r="FO3" s="34"/>
      <c r="FP3" s="34"/>
      <c r="FQ3" s="34"/>
      <c r="FR3" s="34"/>
      <c r="FS3" s="34"/>
      <c r="FT3" s="34"/>
      <c r="FU3" s="34"/>
      <c r="FV3" s="34"/>
      <c r="FW3" s="34"/>
      <c r="FX3" s="34"/>
      <c r="FY3" s="34"/>
      <c r="FZ3" s="34"/>
      <c r="GA3" s="34"/>
      <c r="GB3" s="34"/>
      <c r="GC3" s="34"/>
      <c r="GD3" s="34"/>
      <c r="GE3" s="34"/>
      <c r="GF3" s="34"/>
      <c r="GG3" s="34"/>
      <c r="GH3" s="34"/>
      <c r="GI3" s="34"/>
      <c r="GJ3" s="34"/>
      <c r="GK3" s="34"/>
      <c r="GL3" s="34"/>
      <c r="GM3" s="34"/>
      <c r="GN3" s="34"/>
      <c r="GO3" s="34"/>
      <c r="GP3" s="34"/>
      <c r="GQ3" s="34"/>
      <c r="GR3" s="34"/>
      <c r="GS3" s="34"/>
      <c r="GT3" s="34"/>
      <c r="GU3" s="34"/>
      <c r="GV3" s="34"/>
      <c r="GW3" s="34"/>
      <c r="GX3" s="34"/>
      <c r="GY3" s="34"/>
      <c r="GZ3" s="34"/>
      <c r="HA3" s="34"/>
      <c r="HB3" s="34"/>
      <c r="HC3" s="34"/>
      <c r="HD3" s="34"/>
      <c r="HE3" s="34"/>
      <c r="HF3" s="34"/>
      <c r="HG3" s="34"/>
      <c r="HH3" s="34"/>
    </row>
    <row r="4" spans="1:518" s="38" customFormat="1" ht="15" customHeight="1" x14ac:dyDescent="0.3">
      <c r="A4" s="240" t="s">
        <v>255</v>
      </c>
      <c r="B4" s="240">
        <v>19</v>
      </c>
      <c r="C4" s="241">
        <v>28</v>
      </c>
      <c r="D4" s="240">
        <v>22</v>
      </c>
      <c r="E4" s="241">
        <v>30</v>
      </c>
      <c r="F4" s="240">
        <v>38</v>
      </c>
      <c r="G4" s="241">
        <v>84</v>
      </c>
      <c r="H4" s="240">
        <v>6</v>
      </c>
      <c r="I4" s="241">
        <v>15</v>
      </c>
      <c r="J4" s="240">
        <v>6</v>
      </c>
      <c r="K4" s="241">
        <v>28</v>
      </c>
      <c r="L4" s="240">
        <v>9</v>
      </c>
      <c r="M4" s="241">
        <v>20</v>
      </c>
      <c r="N4" s="240">
        <v>2</v>
      </c>
      <c r="O4" s="241">
        <v>28</v>
      </c>
      <c r="P4" s="246">
        <v>43</v>
      </c>
      <c r="Q4" s="241">
        <v>88</v>
      </c>
      <c r="R4" s="246">
        <v>11</v>
      </c>
      <c r="S4" s="241">
        <v>29</v>
      </c>
      <c r="T4" s="246">
        <v>16</v>
      </c>
      <c r="U4" s="241">
        <v>21</v>
      </c>
      <c r="V4" s="246">
        <v>543</v>
      </c>
      <c r="W4" s="39"/>
      <c r="X4" s="50">
        <f t="shared" ref="X4:X27" si="0">SUM(B4,D4,F4,H4,J4,L4,N4,P4,R4,T4)</f>
        <v>172</v>
      </c>
      <c r="Y4" s="50">
        <f t="shared" ref="Y4:Y28" si="1">SUM(C4,E4,G4,I4,K4,M4,O4,Q4,S4,U4)</f>
        <v>371</v>
      </c>
      <c r="Z4" s="34"/>
      <c r="AA4" s="34"/>
      <c r="AB4" s="34"/>
      <c r="AC4" s="34"/>
      <c r="AD4" s="34"/>
      <c r="AE4" s="34"/>
      <c r="AF4" s="34"/>
      <c r="AG4" s="34"/>
      <c r="AH4" s="34"/>
      <c r="AI4" s="34"/>
      <c r="AJ4" s="34"/>
      <c r="AK4" s="34"/>
      <c r="AL4" s="58"/>
      <c r="AM4" s="58"/>
      <c r="AN4" s="58"/>
      <c r="AO4" s="58"/>
      <c r="AP4" s="58"/>
      <c r="AQ4" s="58"/>
      <c r="AR4" s="58"/>
      <c r="AS4" s="58"/>
      <c r="AT4" s="58"/>
      <c r="AU4" s="58"/>
      <c r="AV4" s="58"/>
      <c r="AW4" s="58"/>
      <c r="AX4" s="58"/>
      <c r="AY4" s="34"/>
      <c r="AZ4" s="34"/>
      <c r="BA4" s="34"/>
      <c r="BB4" s="34"/>
      <c r="BC4" s="34"/>
      <c r="BD4" s="34"/>
      <c r="BE4" s="34"/>
      <c r="BF4" s="34"/>
      <c r="BG4" s="34"/>
      <c r="BH4" s="34"/>
      <c r="BI4" s="34"/>
      <c r="BJ4" s="34"/>
      <c r="BK4" s="34"/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4"/>
      <c r="BZ4" s="34"/>
      <c r="CA4" s="34"/>
      <c r="CB4" s="34"/>
      <c r="CC4" s="34"/>
      <c r="CD4" s="34"/>
      <c r="CE4" s="34"/>
      <c r="CF4" s="34"/>
      <c r="CG4" s="34"/>
      <c r="CH4" s="34"/>
      <c r="CI4" s="34"/>
      <c r="CJ4" s="34"/>
      <c r="CK4" s="34"/>
      <c r="CL4" s="34"/>
      <c r="CM4" s="34"/>
      <c r="CN4" s="34"/>
      <c r="CO4" s="34"/>
      <c r="CP4" s="34"/>
      <c r="CQ4" s="34"/>
      <c r="CR4" s="34"/>
      <c r="CS4" s="34"/>
      <c r="CT4" s="34"/>
      <c r="CU4" s="34"/>
      <c r="CV4" s="34"/>
      <c r="CW4" s="34"/>
      <c r="CX4" s="34"/>
      <c r="CY4" s="34"/>
      <c r="CZ4" s="34"/>
      <c r="DA4" s="34"/>
      <c r="DB4" s="34"/>
      <c r="DC4" s="34"/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4"/>
      <c r="DO4" s="34"/>
      <c r="DP4" s="34"/>
      <c r="DQ4" s="34"/>
      <c r="DR4" s="34"/>
      <c r="DS4" s="34"/>
      <c r="DT4" s="34"/>
      <c r="DU4" s="34"/>
      <c r="DV4" s="34"/>
      <c r="DW4" s="34"/>
      <c r="DX4" s="34"/>
      <c r="DY4" s="34"/>
      <c r="DZ4" s="34"/>
      <c r="EA4" s="34"/>
      <c r="EB4" s="34"/>
      <c r="EC4" s="34"/>
      <c r="ED4" s="34"/>
      <c r="EE4" s="34"/>
      <c r="EF4" s="34"/>
      <c r="EG4" s="34"/>
      <c r="EH4" s="34"/>
      <c r="EI4" s="34"/>
      <c r="EJ4" s="34"/>
      <c r="EK4" s="34"/>
      <c r="EL4" s="34"/>
      <c r="EM4" s="34"/>
      <c r="EN4" s="34"/>
      <c r="EO4" s="34"/>
      <c r="EP4" s="34"/>
      <c r="EQ4" s="34"/>
      <c r="ER4" s="34"/>
      <c r="ES4" s="34"/>
      <c r="ET4" s="34"/>
      <c r="EU4" s="34"/>
      <c r="EV4" s="34"/>
      <c r="EW4" s="34"/>
      <c r="EX4" s="34"/>
      <c r="EY4" s="34"/>
      <c r="EZ4" s="34"/>
      <c r="FA4" s="34"/>
      <c r="FB4" s="34"/>
      <c r="FC4" s="34"/>
      <c r="FD4" s="34"/>
      <c r="FE4" s="34"/>
      <c r="FF4" s="34"/>
      <c r="FG4" s="34"/>
      <c r="FH4" s="34"/>
      <c r="FI4" s="34"/>
      <c r="FJ4" s="34"/>
      <c r="FK4" s="34"/>
      <c r="FL4" s="34"/>
      <c r="FM4" s="34"/>
      <c r="FN4" s="34"/>
      <c r="FO4" s="34"/>
      <c r="FP4" s="34"/>
      <c r="FQ4" s="34"/>
      <c r="FR4" s="34"/>
      <c r="FS4" s="34"/>
      <c r="FT4" s="34"/>
      <c r="FU4" s="34"/>
      <c r="FV4" s="34"/>
      <c r="FW4" s="34"/>
      <c r="FX4" s="34"/>
      <c r="FY4" s="34"/>
      <c r="FZ4" s="34"/>
      <c r="GA4" s="34"/>
      <c r="GB4" s="34"/>
      <c r="GC4" s="34"/>
      <c r="GD4" s="34"/>
      <c r="GE4" s="34"/>
      <c r="GF4" s="34"/>
      <c r="GG4" s="34"/>
      <c r="GH4" s="34"/>
      <c r="GI4" s="34"/>
      <c r="GJ4" s="34"/>
      <c r="GK4" s="34"/>
      <c r="GL4" s="34"/>
      <c r="GM4" s="34"/>
      <c r="GN4" s="34"/>
      <c r="GO4" s="34"/>
      <c r="GP4" s="34"/>
      <c r="GQ4" s="34"/>
      <c r="GR4" s="34"/>
      <c r="GS4" s="34"/>
      <c r="GT4" s="34"/>
      <c r="GU4" s="34"/>
      <c r="GV4" s="34"/>
      <c r="GW4" s="34"/>
      <c r="GX4" s="34"/>
      <c r="GY4" s="34"/>
      <c r="GZ4" s="34"/>
      <c r="HA4" s="34"/>
      <c r="HB4" s="34"/>
      <c r="HC4" s="34"/>
      <c r="HD4" s="34"/>
      <c r="HE4" s="34"/>
      <c r="HF4" s="34"/>
      <c r="HG4" s="34"/>
      <c r="HH4" s="34"/>
    </row>
    <row r="5" spans="1:518" s="38" customFormat="1" ht="15" customHeight="1" x14ac:dyDescent="0.3">
      <c r="A5" s="240" t="s">
        <v>254</v>
      </c>
      <c r="B5" s="240">
        <v>2</v>
      </c>
      <c r="C5" s="241">
        <v>22</v>
      </c>
      <c r="D5" s="240">
        <v>17</v>
      </c>
      <c r="E5" s="241">
        <v>36</v>
      </c>
      <c r="F5" s="240">
        <v>27</v>
      </c>
      <c r="G5" s="241">
        <v>65</v>
      </c>
      <c r="H5" s="240">
        <v>4</v>
      </c>
      <c r="I5" s="241">
        <v>12</v>
      </c>
      <c r="J5" s="240">
        <v>6</v>
      </c>
      <c r="K5" s="241">
        <v>14</v>
      </c>
      <c r="L5" s="240">
        <v>4</v>
      </c>
      <c r="M5" s="241">
        <v>13</v>
      </c>
      <c r="N5" s="240">
        <v>3</v>
      </c>
      <c r="O5" s="241">
        <v>13</v>
      </c>
      <c r="P5" s="246">
        <v>24</v>
      </c>
      <c r="Q5" s="241">
        <v>74</v>
      </c>
      <c r="R5" s="246">
        <v>16</v>
      </c>
      <c r="S5" s="241">
        <v>34</v>
      </c>
      <c r="T5" s="246">
        <v>8</v>
      </c>
      <c r="U5" s="241">
        <v>20</v>
      </c>
      <c r="V5" s="246">
        <v>414</v>
      </c>
      <c r="W5" s="39"/>
      <c r="X5" s="50">
        <f t="shared" si="0"/>
        <v>111</v>
      </c>
      <c r="Y5" s="50">
        <f t="shared" si="1"/>
        <v>303</v>
      </c>
      <c r="Z5" s="34"/>
      <c r="AA5" s="34"/>
      <c r="AB5" s="34"/>
      <c r="AC5" s="34"/>
      <c r="AD5" s="34"/>
      <c r="AE5" s="34"/>
      <c r="AF5" s="34"/>
      <c r="AG5" s="34"/>
      <c r="AH5" s="34"/>
      <c r="AI5" s="34"/>
      <c r="AJ5" s="34"/>
      <c r="AK5" s="34"/>
      <c r="AL5" s="58"/>
      <c r="AM5" s="58"/>
      <c r="AN5" s="58"/>
      <c r="AO5" s="58"/>
      <c r="AP5" s="58"/>
      <c r="AQ5" s="58"/>
      <c r="AR5" s="58"/>
      <c r="AS5" s="58"/>
      <c r="AT5" s="58"/>
      <c r="AU5" s="58"/>
      <c r="AV5" s="58"/>
      <c r="AW5" s="58"/>
      <c r="AX5" s="58"/>
      <c r="AY5" s="34"/>
      <c r="AZ5" s="34"/>
      <c r="BA5" s="34"/>
      <c r="BB5" s="34"/>
      <c r="BC5" s="34"/>
      <c r="BD5" s="34"/>
      <c r="BE5" s="34"/>
      <c r="BF5" s="34"/>
      <c r="BG5" s="34"/>
      <c r="BH5" s="34"/>
      <c r="BI5" s="34"/>
      <c r="BJ5" s="34"/>
      <c r="BK5" s="34"/>
      <c r="BL5" s="34"/>
      <c r="BM5" s="34"/>
      <c r="BN5" s="34"/>
      <c r="BO5" s="34"/>
      <c r="BP5" s="34"/>
      <c r="BQ5" s="34"/>
      <c r="BR5" s="34"/>
      <c r="BS5" s="34"/>
      <c r="BT5" s="34"/>
      <c r="BU5" s="34"/>
      <c r="BV5" s="34"/>
      <c r="BW5" s="34"/>
      <c r="BX5" s="34"/>
      <c r="BY5" s="34"/>
      <c r="BZ5" s="34"/>
      <c r="CA5" s="34"/>
      <c r="CB5" s="34"/>
      <c r="CC5" s="34"/>
      <c r="CD5" s="34"/>
      <c r="CE5" s="34"/>
      <c r="CF5" s="34"/>
      <c r="CG5" s="34"/>
      <c r="CH5" s="34"/>
      <c r="CI5" s="34"/>
      <c r="CJ5" s="34"/>
      <c r="CK5" s="34"/>
      <c r="CL5" s="34"/>
      <c r="CM5" s="34"/>
      <c r="CN5" s="34"/>
      <c r="CO5" s="34"/>
      <c r="CP5" s="34"/>
      <c r="CQ5" s="34"/>
      <c r="CR5" s="34"/>
      <c r="CS5" s="34"/>
      <c r="CT5" s="34"/>
      <c r="CU5" s="34"/>
      <c r="CV5" s="34"/>
      <c r="CW5" s="34"/>
      <c r="CX5" s="34"/>
      <c r="CY5" s="34"/>
      <c r="CZ5" s="34"/>
      <c r="DA5" s="34"/>
      <c r="DB5" s="34"/>
      <c r="DC5" s="34"/>
      <c r="DD5" s="34"/>
      <c r="DE5" s="34"/>
      <c r="DF5" s="34"/>
      <c r="DG5" s="34"/>
      <c r="DH5" s="34"/>
      <c r="DI5" s="34"/>
      <c r="DJ5" s="34"/>
      <c r="DK5" s="34"/>
      <c r="DL5" s="34"/>
      <c r="DM5" s="34"/>
      <c r="DN5" s="34"/>
      <c r="DO5" s="34"/>
      <c r="DP5" s="34"/>
      <c r="DQ5" s="34"/>
      <c r="DR5" s="34"/>
      <c r="DS5" s="34"/>
      <c r="DT5" s="34"/>
      <c r="DU5" s="34"/>
      <c r="DV5" s="34"/>
      <c r="DW5" s="34"/>
      <c r="DX5" s="34"/>
      <c r="DY5" s="34"/>
      <c r="DZ5" s="34"/>
      <c r="EA5" s="34"/>
      <c r="EB5" s="34"/>
      <c r="EC5" s="34"/>
      <c r="ED5" s="34"/>
      <c r="EE5" s="34"/>
      <c r="EF5" s="34"/>
      <c r="EG5" s="34"/>
      <c r="EH5" s="34"/>
      <c r="EI5" s="34"/>
      <c r="EJ5" s="34"/>
      <c r="EK5" s="34"/>
      <c r="EL5" s="34"/>
      <c r="EM5" s="34"/>
      <c r="EN5" s="34"/>
      <c r="EO5" s="34"/>
      <c r="EP5" s="34"/>
      <c r="EQ5" s="34"/>
      <c r="ER5" s="34"/>
      <c r="ES5" s="34"/>
      <c r="ET5" s="34"/>
      <c r="EU5" s="34"/>
      <c r="EV5" s="34"/>
      <c r="EW5" s="34"/>
      <c r="EX5" s="34"/>
      <c r="EY5" s="34"/>
      <c r="EZ5" s="34"/>
      <c r="FA5" s="34"/>
      <c r="FB5" s="34"/>
      <c r="FC5" s="34"/>
      <c r="FD5" s="34"/>
      <c r="FE5" s="34"/>
      <c r="FF5" s="34"/>
      <c r="FG5" s="34"/>
      <c r="FH5" s="34"/>
      <c r="FI5" s="34"/>
      <c r="FJ5" s="34"/>
      <c r="FK5" s="34"/>
      <c r="FL5" s="34"/>
      <c r="FM5" s="34"/>
      <c r="FN5" s="34"/>
      <c r="FO5" s="34"/>
      <c r="FP5" s="34"/>
      <c r="FQ5" s="34"/>
      <c r="FR5" s="34"/>
      <c r="FS5" s="34"/>
      <c r="FT5" s="34"/>
      <c r="FU5" s="34"/>
      <c r="FV5" s="34"/>
      <c r="FW5" s="34"/>
      <c r="FX5" s="34"/>
      <c r="FY5" s="34"/>
      <c r="FZ5" s="34"/>
      <c r="GA5" s="34"/>
      <c r="GB5" s="34"/>
      <c r="GC5" s="34"/>
      <c r="GD5" s="34"/>
      <c r="GE5" s="34"/>
      <c r="GF5" s="34"/>
      <c r="GG5" s="34"/>
      <c r="GH5" s="34"/>
      <c r="GI5" s="34"/>
      <c r="GJ5" s="34"/>
      <c r="GK5" s="34"/>
      <c r="GL5" s="34"/>
      <c r="GM5" s="34"/>
      <c r="GN5" s="34"/>
      <c r="GO5" s="34"/>
      <c r="GP5" s="34"/>
      <c r="GQ5" s="34"/>
      <c r="GR5" s="34"/>
      <c r="GS5" s="34"/>
      <c r="GT5" s="34"/>
      <c r="GU5" s="34"/>
      <c r="GV5" s="34"/>
      <c r="GW5" s="34"/>
      <c r="GX5" s="34"/>
      <c r="GY5" s="34"/>
      <c r="GZ5" s="34"/>
      <c r="HA5" s="34"/>
      <c r="HB5" s="34"/>
      <c r="HC5" s="34"/>
      <c r="HD5" s="34"/>
      <c r="HE5" s="34"/>
      <c r="HF5" s="34"/>
      <c r="HG5" s="34"/>
      <c r="HH5" s="34"/>
    </row>
    <row r="6" spans="1:518" s="38" customFormat="1" ht="15" customHeight="1" x14ac:dyDescent="0.3">
      <c r="A6" s="240" t="s">
        <v>236</v>
      </c>
      <c r="B6" s="240">
        <v>4</v>
      </c>
      <c r="C6" s="241">
        <v>11</v>
      </c>
      <c r="D6" s="240">
        <v>19</v>
      </c>
      <c r="E6" s="241">
        <v>20</v>
      </c>
      <c r="F6" s="240">
        <v>19</v>
      </c>
      <c r="G6" s="241">
        <v>61</v>
      </c>
      <c r="H6" s="240">
        <v>3</v>
      </c>
      <c r="I6" s="241">
        <v>1</v>
      </c>
      <c r="J6" s="240">
        <v>3</v>
      </c>
      <c r="K6" s="241">
        <v>6</v>
      </c>
      <c r="L6" s="240"/>
      <c r="M6" s="241">
        <v>7</v>
      </c>
      <c r="N6" s="240"/>
      <c r="O6" s="241">
        <v>4</v>
      </c>
      <c r="P6" s="246">
        <v>23</v>
      </c>
      <c r="Q6" s="241">
        <v>62</v>
      </c>
      <c r="R6" s="246">
        <v>4</v>
      </c>
      <c r="S6" s="241">
        <v>19</v>
      </c>
      <c r="T6" s="246">
        <v>13</v>
      </c>
      <c r="U6" s="241">
        <v>14</v>
      </c>
      <c r="V6" s="246">
        <v>293</v>
      </c>
      <c r="W6" s="39"/>
      <c r="X6" s="50">
        <f t="shared" si="0"/>
        <v>88</v>
      </c>
      <c r="Y6" s="50">
        <f t="shared" si="1"/>
        <v>205</v>
      </c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58"/>
      <c r="AM6" s="58"/>
      <c r="AN6" s="58"/>
      <c r="AO6" s="58"/>
      <c r="AP6" s="58"/>
      <c r="AQ6" s="58"/>
      <c r="AR6" s="58"/>
      <c r="AS6" s="58"/>
      <c r="AT6" s="58"/>
      <c r="AU6" s="58"/>
      <c r="AV6" s="58"/>
      <c r="AW6" s="58"/>
      <c r="AX6" s="58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  <c r="EY6" s="34"/>
      <c r="EZ6" s="34"/>
      <c r="FA6" s="34"/>
      <c r="FB6" s="34"/>
      <c r="FC6" s="34"/>
      <c r="FD6" s="34"/>
      <c r="FE6" s="34"/>
      <c r="FF6" s="34"/>
      <c r="FG6" s="34"/>
      <c r="FH6" s="34"/>
      <c r="FI6" s="34"/>
      <c r="FJ6" s="34"/>
      <c r="FK6" s="34"/>
      <c r="FL6" s="34"/>
      <c r="FM6" s="34"/>
      <c r="FN6" s="34"/>
      <c r="FO6" s="34"/>
      <c r="FP6" s="34"/>
      <c r="FQ6" s="34"/>
      <c r="FR6" s="34"/>
      <c r="FS6" s="34"/>
      <c r="FT6" s="34"/>
      <c r="FU6" s="34"/>
      <c r="FV6" s="34"/>
      <c r="FW6" s="34"/>
      <c r="FX6" s="34"/>
      <c r="FY6" s="34"/>
      <c r="FZ6" s="34"/>
      <c r="GA6" s="34"/>
      <c r="GB6" s="34"/>
      <c r="GC6" s="34"/>
      <c r="GD6" s="34"/>
      <c r="GE6" s="34"/>
      <c r="GF6" s="34"/>
      <c r="GG6" s="34"/>
      <c r="GH6" s="34"/>
      <c r="GI6" s="34"/>
      <c r="GJ6" s="34"/>
      <c r="GK6" s="34"/>
      <c r="GL6" s="34"/>
      <c r="GM6" s="34"/>
      <c r="GN6" s="34"/>
      <c r="GO6" s="34"/>
      <c r="GP6" s="34"/>
      <c r="GQ6" s="34"/>
      <c r="GR6" s="34"/>
      <c r="GS6" s="34"/>
      <c r="GT6" s="34"/>
      <c r="GU6" s="34"/>
      <c r="GV6" s="34"/>
      <c r="GW6" s="34"/>
      <c r="GX6" s="34"/>
      <c r="GY6" s="34"/>
      <c r="GZ6" s="34"/>
      <c r="HA6" s="34"/>
      <c r="HB6" s="34"/>
      <c r="HC6" s="34"/>
      <c r="HD6" s="34"/>
      <c r="HE6" s="34"/>
      <c r="HF6" s="34"/>
      <c r="HG6" s="34"/>
      <c r="HH6" s="34"/>
    </row>
    <row r="7" spans="1:518" s="38" customFormat="1" ht="15" customHeight="1" x14ac:dyDescent="0.3">
      <c r="A7" s="240" t="s">
        <v>240</v>
      </c>
      <c r="B7" s="240">
        <v>2</v>
      </c>
      <c r="C7" s="241">
        <v>9</v>
      </c>
      <c r="D7" s="240">
        <v>20</v>
      </c>
      <c r="E7" s="241">
        <v>22</v>
      </c>
      <c r="F7" s="240">
        <v>22</v>
      </c>
      <c r="G7" s="241">
        <v>32</v>
      </c>
      <c r="H7" s="240">
        <v>6</v>
      </c>
      <c r="I7" s="241">
        <v>5</v>
      </c>
      <c r="J7" s="240">
        <v>2</v>
      </c>
      <c r="K7" s="241">
        <v>9</v>
      </c>
      <c r="L7" s="240">
        <v>6</v>
      </c>
      <c r="M7" s="241">
        <v>7</v>
      </c>
      <c r="N7" s="240">
        <v>2</v>
      </c>
      <c r="O7" s="241">
        <v>5</v>
      </c>
      <c r="P7" s="246">
        <v>16</v>
      </c>
      <c r="Q7" s="241">
        <v>46</v>
      </c>
      <c r="R7" s="246">
        <v>6</v>
      </c>
      <c r="S7" s="241">
        <v>15</v>
      </c>
      <c r="T7" s="246">
        <v>19</v>
      </c>
      <c r="U7" s="241">
        <v>16</v>
      </c>
      <c r="V7" s="246">
        <v>267</v>
      </c>
      <c r="W7" s="39"/>
      <c r="X7" s="50">
        <f t="shared" si="0"/>
        <v>101</v>
      </c>
      <c r="Y7" s="50">
        <f t="shared" si="1"/>
        <v>166</v>
      </c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58"/>
      <c r="AM7" s="58"/>
      <c r="AN7" s="58"/>
      <c r="AO7" s="58"/>
      <c r="AP7" s="58"/>
      <c r="AQ7" s="58"/>
      <c r="AR7" s="58"/>
      <c r="AS7" s="58"/>
      <c r="AT7" s="58"/>
      <c r="AU7" s="58"/>
      <c r="AV7" s="58"/>
      <c r="AW7" s="58"/>
      <c r="AX7" s="58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  <c r="EY7" s="34"/>
      <c r="EZ7" s="34"/>
      <c r="FA7" s="34"/>
      <c r="FB7" s="34"/>
      <c r="FC7" s="34"/>
      <c r="FD7" s="34"/>
      <c r="FE7" s="34"/>
      <c r="FF7" s="34"/>
      <c r="FG7" s="34"/>
      <c r="FH7" s="34"/>
      <c r="FI7" s="34"/>
      <c r="FJ7" s="34"/>
      <c r="FK7" s="34"/>
      <c r="FL7" s="34"/>
      <c r="FM7" s="34"/>
      <c r="FN7" s="34"/>
      <c r="FO7" s="34"/>
      <c r="FP7" s="34"/>
      <c r="FQ7" s="34"/>
      <c r="FR7" s="34"/>
      <c r="FS7" s="34"/>
      <c r="FT7" s="34"/>
      <c r="FU7" s="34"/>
      <c r="FV7" s="34"/>
      <c r="FW7" s="34"/>
      <c r="FX7" s="34"/>
      <c r="FY7" s="34"/>
      <c r="FZ7" s="34"/>
      <c r="GA7" s="34"/>
      <c r="GB7" s="34"/>
      <c r="GC7" s="34"/>
      <c r="GD7" s="34"/>
      <c r="GE7" s="34"/>
      <c r="GF7" s="34"/>
      <c r="GG7" s="34"/>
      <c r="GH7" s="34"/>
      <c r="GI7" s="34"/>
      <c r="GJ7" s="34"/>
      <c r="GK7" s="34"/>
      <c r="GL7" s="34"/>
      <c r="GM7" s="34"/>
      <c r="GN7" s="34"/>
      <c r="GO7" s="34"/>
      <c r="GP7" s="34"/>
      <c r="GQ7" s="34"/>
      <c r="GR7" s="34"/>
      <c r="GS7" s="34"/>
      <c r="GT7" s="34"/>
      <c r="GU7" s="34"/>
      <c r="GV7" s="34"/>
      <c r="GW7" s="34"/>
      <c r="GX7" s="34"/>
      <c r="GY7" s="34"/>
      <c r="GZ7" s="34"/>
      <c r="HA7" s="34"/>
      <c r="HB7" s="34"/>
      <c r="HC7" s="34"/>
      <c r="HD7" s="34"/>
      <c r="HE7" s="34"/>
      <c r="HF7" s="34"/>
      <c r="HG7" s="34"/>
      <c r="HH7" s="34"/>
    </row>
    <row r="8" spans="1:518" s="38" customFormat="1" ht="15" customHeight="1" x14ac:dyDescent="0.3">
      <c r="A8" s="240" t="s">
        <v>244</v>
      </c>
      <c r="B8" s="240">
        <v>5</v>
      </c>
      <c r="C8" s="241">
        <v>6</v>
      </c>
      <c r="D8" s="240">
        <v>9</v>
      </c>
      <c r="E8" s="241">
        <v>12</v>
      </c>
      <c r="F8" s="240">
        <v>17</v>
      </c>
      <c r="G8" s="241">
        <v>35</v>
      </c>
      <c r="H8" s="240">
        <v>5</v>
      </c>
      <c r="I8" s="241">
        <v>3</v>
      </c>
      <c r="J8" s="240">
        <v>4</v>
      </c>
      <c r="K8" s="241">
        <v>5</v>
      </c>
      <c r="L8" s="240">
        <v>3</v>
      </c>
      <c r="M8" s="241">
        <v>10</v>
      </c>
      <c r="N8" s="240">
        <v>2</v>
      </c>
      <c r="O8" s="241">
        <v>1</v>
      </c>
      <c r="P8" s="246">
        <v>12</v>
      </c>
      <c r="Q8" s="241">
        <v>30</v>
      </c>
      <c r="R8" s="246">
        <v>5</v>
      </c>
      <c r="S8" s="241">
        <v>12</v>
      </c>
      <c r="T8" s="246">
        <v>6</v>
      </c>
      <c r="U8" s="241">
        <v>8</v>
      </c>
      <c r="V8" s="246">
        <v>190</v>
      </c>
      <c r="W8" s="39"/>
      <c r="X8" s="50">
        <f t="shared" si="0"/>
        <v>68</v>
      </c>
      <c r="Y8" s="50">
        <f t="shared" si="1"/>
        <v>122</v>
      </c>
      <c r="Z8" s="34"/>
      <c r="AA8" s="34"/>
      <c r="AB8" s="34"/>
      <c r="AC8" s="34"/>
      <c r="AD8" s="34"/>
      <c r="AE8" s="34"/>
      <c r="AF8" s="34"/>
      <c r="AG8" s="34"/>
      <c r="AH8" s="34"/>
      <c r="AI8" s="34"/>
      <c r="AJ8" s="34"/>
      <c r="AK8" s="34"/>
      <c r="AL8" s="58"/>
      <c r="AM8" s="58"/>
      <c r="AN8" s="58"/>
      <c r="AO8" s="58"/>
      <c r="AP8" s="58"/>
      <c r="AQ8" s="58"/>
      <c r="AR8" s="58"/>
      <c r="AS8" s="58"/>
      <c r="AT8" s="58"/>
      <c r="AU8" s="58"/>
      <c r="AV8" s="58"/>
      <c r="AW8" s="58"/>
      <c r="AX8" s="58"/>
      <c r="AY8" s="34"/>
      <c r="AZ8" s="34"/>
      <c r="BA8" s="34"/>
      <c r="BB8" s="34"/>
      <c r="BC8" s="34"/>
      <c r="BD8" s="34"/>
      <c r="BE8" s="34"/>
      <c r="BF8" s="34"/>
      <c r="BG8" s="34"/>
      <c r="BH8" s="34"/>
      <c r="BI8" s="34"/>
      <c r="BJ8" s="34"/>
      <c r="BK8" s="34"/>
      <c r="BL8" s="34"/>
      <c r="BM8" s="34"/>
      <c r="BN8" s="34"/>
      <c r="BO8" s="34"/>
      <c r="BP8" s="34"/>
      <c r="BQ8" s="34"/>
      <c r="BR8" s="34"/>
      <c r="BS8" s="34"/>
      <c r="BT8" s="34"/>
      <c r="BU8" s="34"/>
      <c r="BV8" s="34"/>
      <c r="BW8" s="34"/>
      <c r="BX8" s="34"/>
      <c r="BY8" s="34"/>
      <c r="BZ8" s="34"/>
      <c r="CA8" s="34"/>
      <c r="CB8" s="34"/>
      <c r="CC8" s="34"/>
      <c r="CD8" s="34"/>
      <c r="CE8" s="34"/>
      <c r="CF8" s="34"/>
      <c r="CG8" s="34"/>
      <c r="CH8" s="34"/>
      <c r="CI8" s="34"/>
      <c r="CJ8" s="34"/>
      <c r="CK8" s="34"/>
      <c r="CL8" s="34"/>
      <c r="CM8" s="34"/>
      <c r="CN8" s="34"/>
      <c r="CO8" s="34"/>
      <c r="CP8" s="34"/>
      <c r="CQ8" s="34"/>
      <c r="CR8" s="34"/>
      <c r="CS8" s="34"/>
      <c r="CT8" s="34"/>
      <c r="CU8" s="34"/>
      <c r="CV8" s="34"/>
      <c r="CW8" s="34"/>
      <c r="CX8" s="34"/>
      <c r="CY8" s="34"/>
      <c r="CZ8" s="34"/>
      <c r="DA8" s="34"/>
      <c r="DB8" s="34"/>
      <c r="DC8" s="34"/>
      <c r="DD8" s="34"/>
      <c r="DE8" s="34"/>
      <c r="DF8" s="34"/>
      <c r="DG8" s="34"/>
      <c r="DH8" s="34"/>
      <c r="DI8" s="34"/>
      <c r="DJ8" s="34"/>
      <c r="DK8" s="34"/>
      <c r="DL8" s="34"/>
      <c r="DM8" s="34"/>
      <c r="DN8" s="34"/>
      <c r="DO8" s="34"/>
      <c r="DP8" s="34"/>
      <c r="DQ8" s="34"/>
      <c r="DR8" s="34"/>
      <c r="DS8" s="34"/>
      <c r="DT8" s="34"/>
      <c r="DU8" s="34"/>
      <c r="DV8" s="34"/>
      <c r="DW8" s="34"/>
      <c r="DX8" s="34"/>
      <c r="DY8" s="34"/>
      <c r="DZ8" s="34"/>
      <c r="EA8" s="34"/>
      <c r="EB8" s="34"/>
      <c r="EC8" s="34"/>
      <c r="ED8" s="34"/>
      <c r="EE8" s="34"/>
      <c r="EF8" s="34"/>
      <c r="EG8" s="34"/>
      <c r="EH8" s="34"/>
      <c r="EI8" s="34"/>
      <c r="EJ8" s="34"/>
      <c r="EK8" s="34"/>
      <c r="EL8" s="34"/>
      <c r="EM8" s="34"/>
      <c r="EN8" s="34"/>
      <c r="EO8" s="34"/>
      <c r="EP8" s="34"/>
      <c r="EQ8" s="34"/>
      <c r="ER8" s="34"/>
      <c r="ES8" s="34"/>
      <c r="ET8" s="34"/>
      <c r="EU8" s="34"/>
      <c r="EV8" s="34"/>
      <c r="EW8" s="34"/>
      <c r="EX8" s="34"/>
      <c r="EY8" s="34"/>
      <c r="EZ8" s="34"/>
      <c r="FA8" s="34"/>
      <c r="FB8" s="34"/>
      <c r="FC8" s="34"/>
      <c r="FD8" s="34"/>
      <c r="FE8" s="34"/>
      <c r="FF8" s="34"/>
      <c r="FG8" s="34"/>
      <c r="FH8" s="34"/>
      <c r="FI8" s="34"/>
      <c r="FJ8" s="34"/>
      <c r="FK8" s="34"/>
      <c r="FL8" s="34"/>
      <c r="FM8" s="34"/>
      <c r="FN8" s="34"/>
      <c r="FO8" s="34"/>
      <c r="FP8" s="34"/>
      <c r="FQ8" s="34"/>
      <c r="FR8" s="34"/>
      <c r="FS8" s="34"/>
      <c r="FT8" s="34"/>
      <c r="FU8" s="34"/>
      <c r="FV8" s="34"/>
      <c r="FW8" s="34"/>
      <c r="FX8" s="34"/>
      <c r="FY8" s="34"/>
      <c r="FZ8" s="34"/>
      <c r="GA8" s="34"/>
      <c r="GB8" s="34"/>
      <c r="GC8" s="34"/>
      <c r="GD8" s="34"/>
      <c r="GE8" s="34"/>
      <c r="GF8" s="34"/>
      <c r="GG8" s="34"/>
      <c r="GH8" s="34"/>
      <c r="GI8" s="34"/>
      <c r="GJ8" s="34"/>
      <c r="GK8" s="34"/>
      <c r="GL8" s="34"/>
      <c r="GM8" s="34"/>
      <c r="GN8" s="34"/>
      <c r="GO8" s="34"/>
      <c r="GP8" s="34"/>
      <c r="GQ8" s="34"/>
      <c r="GR8" s="34"/>
      <c r="GS8" s="34"/>
      <c r="GT8" s="34"/>
      <c r="GU8" s="34"/>
      <c r="GV8" s="34"/>
      <c r="GW8" s="34"/>
      <c r="GX8" s="34"/>
      <c r="GY8" s="34"/>
      <c r="GZ8" s="34"/>
      <c r="HA8" s="34"/>
      <c r="HB8" s="34"/>
      <c r="HC8" s="34"/>
      <c r="HD8" s="34"/>
      <c r="HE8" s="34"/>
      <c r="HF8" s="34"/>
      <c r="HG8" s="34"/>
      <c r="HH8" s="34"/>
    </row>
    <row r="9" spans="1:518" s="38" customFormat="1" ht="15" customHeight="1" x14ac:dyDescent="0.3">
      <c r="A9" s="240" t="s">
        <v>261</v>
      </c>
      <c r="B9" s="240">
        <v>3</v>
      </c>
      <c r="C9" s="241"/>
      <c r="D9" s="240">
        <v>19</v>
      </c>
      <c r="E9" s="241">
        <v>14</v>
      </c>
      <c r="F9" s="240">
        <v>17</v>
      </c>
      <c r="G9" s="241">
        <v>17</v>
      </c>
      <c r="H9" s="240">
        <v>4</v>
      </c>
      <c r="I9" s="241">
        <v>1</v>
      </c>
      <c r="J9" s="240">
        <v>2</v>
      </c>
      <c r="K9" s="241">
        <v>1</v>
      </c>
      <c r="L9" s="240">
        <v>2</v>
      </c>
      <c r="M9" s="241"/>
      <c r="N9" s="240">
        <v>5</v>
      </c>
      <c r="O9" s="241">
        <v>2</v>
      </c>
      <c r="P9" s="246">
        <v>17</v>
      </c>
      <c r="Q9" s="241">
        <v>6</v>
      </c>
      <c r="R9" s="246">
        <v>7</v>
      </c>
      <c r="S9" s="241">
        <v>4</v>
      </c>
      <c r="T9" s="246">
        <v>9</v>
      </c>
      <c r="U9" s="241">
        <v>7</v>
      </c>
      <c r="V9" s="246">
        <v>137</v>
      </c>
      <c r="W9" s="39"/>
      <c r="X9" s="219">
        <f t="shared" si="0"/>
        <v>85</v>
      </c>
      <c r="Y9" s="219">
        <f t="shared" si="1"/>
        <v>52</v>
      </c>
      <c r="Z9" s="34"/>
      <c r="AA9" s="34"/>
      <c r="AB9" s="34"/>
      <c r="AC9" s="34"/>
      <c r="AD9" s="34"/>
      <c r="AE9" s="34"/>
      <c r="AF9" s="34"/>
      <c r="AG9" s="34"/>
      <c r="AH9" s="34"/>
      <c r="AI9" s="34"/>
      <c r="AJ9" s="34"/>
      <c r="AK9" s="34"/>
      <c r="AL9" s="58"/>
      <c r="AM9" s="58"/>
      <c r="AN9" s="58"/>
      <c r="AO9" s="58"/>
      <c r="AP9" s="58"/>
      <c r="AQ9" s="58"/>
      <c r="AR9" s="58"/>
      <c r="AS9" s="58"/>
      <c r="AT9" s="58"/>
      <c r="AU9" s="58"/>
      <c r="AV9" s="58"/>
      <c r="AW9" s="58"/>
      <c r="AX9" s="58"/>
      <c r="AY9" s="34"/>
      <c r="AZ9" s="34"/>
      <c r="BA9" s="34"/>
      <c r="BB9" s="34"/>
      <c r="BC9" s="34"/>
      <c r="BD9" s="34"/>
      <c r="BE9" s="34"/>
      <c r="BF9" s="34"/>
      <c r="BG9" s="34"/>
      <c r="BH9" s="34"/>
      <c r="BI9" s="34"/>
      <c r="BJ9" s="34"/>
      <c r="BK9" s="34"/>
      <c r="BL9" s="34"/>
      <c r="BM9" s="34"/>
      <c r="BN9" s="34"/>
      <c r="BO9" s="34"/>
      <c r="BP9" s="34"/>
      <c r="BQ9" s="34"/>
      <c r="BR9" s="34"/>
      <c r="BS9" s="34"/>
      <c r="BT9" s="34"/>
      <c r="BU9" s="34"/>
      <c r="BV9" s="34"/>
      <c r="BW9" s="34"/>
      <c r="BX9" s="34"/>
      <c r="BY9" s="34"/>
      <c r="BZ9" s="34"/>
      <c r="CA9" s="34"/>
      <c r="CB9" s="34"/>
      <c r="CC9" s="34"/>
      <c r="CD9" s="34"/>
      <c r="CE9" s="34"/>
      <c r="CF9" s="34"/>
      <c r="CG9" s="34"/>
      <c r="CH9" s="34"/>
      <c r="CI9" s="34"/>
      <c r="CJ9" s="34"/>
      <c r="CK9" s="34"/>
      <c r="CL9" s="34"/>
      <c r="CM9" s="34"/>
      <c r="CN9" s="34"/>
      <c r="CO9" s="34"/>
      <c r="CP9" s="34"/>
      <c r="CQ9" s="34"/>
      <c r="CR9" s="34"/>
      <c r="CS9" s="34"/>
      <c r="CT9" s="34"/>
      <c r="CU9" s="34"/>
      <c r="CV9" s="34"/>
      <c r="CW9" s="34"/>
      <c r="CX9" s="34"/>
      <c r="CY9" s="34"/>
      <c r="CZ9" s="34"/>
      <c r="DA9" s="34"/>
      <c r="DB9" s="34"/>
      <c r="DC9" s="34"/>
      <c r="DD9" s="34"/>
      <c r="DE9" s="34"/>
      <c r="DF9" s="34"/>
      <c r="DG9" s="34"/>
      <c r="DH9" s="34"/>
      <c r="DI9" s="34"/>
      <c r="DJ9" s="34"/>
      <c r="DK9" s="34"/>
      <c r="DL9" s="34"/>
      <c r="DM9" s="34"/>
      <c r="DN9" s="34"/>
      <c r="DO9" s="34"/>
      <c r="DP9" s="34"/>
      <c r="DQ9" s="34"/>
      <c r="DR9" s="34"/>
      <c r="DS9" s="34"/>
      <c r="DT9" s="34"/>
      <c r="DU9" s="34"/>
      <c r="DV9" s="34"/>
      <c r="DW9" s="34"/>
      <c r="DX9" s="34"/>
      <c r="DY9" s="34"/>
      <c r="DZ9" s="34"/>
      <c r="EA9" s="34"/>
      <c r="EB9" s="34"/>
      <c r="EC9" s="34"/>
      <c r="ED9" s="34"/>
      <c r="EE9" s="34"/>
      <c r="EF9" s="34"/>
      <c r="EG9" s="34"/>
      <c r="EH9" s="34"/>
      <c r="EI9" s="34"/>
      <c r="EJ9" s="34"/>
      <c r="EK9" s="34"/>
      <c r="EL9" s="34"/>
      <c r="EM9" s="34"/>
      <c r="EN9" s="34"/>
      <c r="EO9" s="34"/>
      <c r="EP9" s="34"/>
      <c r="EQ9" s="34"/>
      <c r="ER9" s="34"/>
      <c r="ES9" s="34"/>
      <c r="ET9" s="34"/>
      <c r="EU9" s="34"/>
      <c r="EV9" s="34"/>
      <c r="EW9" s="34"/>
      <c r="EX9" s="34"/>
      <c r="EY9" s="34"/>
      <c r="EZ9" s="34"/>
      <c r="FA9" s="34"/>
      <c r="FB9" s="34"/>
      <c r="FC9" s="34"/>
      <c r="FD9" s="34"/>
      <c r="FE9" s="34"/>
      <c r="FF9" s="34"/>
      <c r="FG9" s="34"/>
      <c r="FH9" s="34"/>
      <c r="FI9" s="34"/>
      <c r="FJ9" s="34"/>
      <c r="FK9" s="34"/>
      <c r="FL9" s="34"/>
      <c r="FM9" s="34"/>
      <c r="FN9" s="34"/>
      <c r="FO9" s="34"/>
      <c r="FP9" s="34"/>
      <c r="FQ9" s="34"/>
      <c r="FR9" s="34"/>
      <c r="FS9" s="34"/>
      <c r="FT9" s="34"/>
      <c r="FU9" s="34"/>
      <c r="FV9" s="34"/>
      <c r="FW9" s="34"/>
      <c r="FX9" s="34"/>
      <c r="FY9" s="34"/>
      <c r="FZ9" s="34"/>
      <c r="GA9" s="34"/>
      <c r="GB9" s="34"/>
      <c r="GC9" s="34"/>
      <c r="GD9" s="34"/>
      <c r="GE9" s="34"/>
      <c r="GF9" s="34"/>
      <c r="GG9" s="34"/>
      <c r="GH9" s="34"/>
      <c r="GI9" s="34"/>
      <c r="GJ9" s="34"/>
      <c r="GK9" s="34"/>
      <c r="GL9" s="34"/>
      <c r="GM9" s="34"/>
      <c r="GN9" s="34"/>
      <c r="GO9" s="34"/>
      <c r="GP9" s="34"/>
      <c r="GQ9" s="34"/>
      <c r="GR9" s="34"/>
      <c r="GS9" s="34"/>
      <c r="GT9" s="34"/>
      <c r="GU9" s="34"/>
      <c r="GV9" s="34"/>
      <c r="GW9" s="34"/>
      <c r="GX9" s="34"/>
      <c r="GY9" s="34"/>
      <c r="GZ9" s="34"/>
      <c r="HA9" s="34"/>
      <c r="HB9" s="34"/>
      <c r="HC9" s="34"/>
      <c r="HD9" s="34"/>
      <c r="HE9" s="34"/>
      <c r="HF9" s="34"/>
      <c r="HG9" s="34"/>
      <c r="HH9" s="34"/>
    </row>
    <row r="10" spans="1:518" s="38" customFormat="1" ht="15" customHeight="1" x14ac:dyDescent="0.3">
      <c r="A10" s="240" t="s">
        <v>249</v>
      </c>
      <c r="B10" s="240">
        <v>3</v>
      </c>
      <c r="C10" s="241">
        <v>21</v>
      </c>
      <c r="D10" s="240">
        <v>16</v>
      </c>
      <c r="E10" s="241">
        <v>12</v>
      </c>
      <c r="F10" s="240">
        <v>15</v>
      </c>
      <c r="G10" s="241">
        <v>57</v>
      </c>
      <c r="H10" s="240">
        <v>2</v>
      </c>
      <c r="I10" s="241">
        <v>11</v>
      </c>
      <c r="J10" s="240">
        <v>7</v>
      </c>
      <c r="K10" s="241">
        <v>11</v>
      </c>
      <c r="L10" s="240">
        <v>6</v>
      </c>
      <c r="M10" s="241">
        <v>21</v>
      </c>
      <c r="N10" s="240">
        <v>1</v>
      </c>
      <c r="O10" s="241">
        <v>15</v>
      </c>
      <c r="P10" s="246">
        <v>19</v>
      </c>
      <c r="Q10" s="241">
        <v>50</v>
      </c>
      <c r="R10" s="246">
        <v>12</v>
      </c>
      <c r="S10" s="241">
        <v>19</v>
      </c>
      <c r="T10" s="246">
        <v>20</v>
      </c>
      <c r="U10" s="241">
        <v>14</v>
      </c>
      <c r="V10" s="246">
        <v>332</v>
      </c>
      <c r="W10" s="39"/>
      <c r="X10" s="50">
        <f t="shared" si="0"/>
        <v>101</v>
      </c>
      <c r="Y10" s="50">
        <f t="shared" si="1"/>
        <v>231</v>
      </c>
      <c r="Z10" s="34"/>
      <c r="AA10" s="34"/>
      <c r="AB10" s="34"/>
      <c r="AC10" s="34"/>
      <c r="AD10" s="34"/>
      <c r="AE10" s="34"/>
      <c r="AF10" s="34"/>
      <c r="AG10" s="34"/>
      <c r="AH10" s="34"/>
      <c r="AI10" s="34"/>
      <c r="AJ10" s="34"/>
      <c r="AK10" s="34"/>
      <c r="AL10" s="58"/>
      <c r="AM10" s="58"/>
      <c r="AN10" s="58"/>
      <c r="AO10" s="58"/>
      <c r="AP10" s="58"/>
      <c r="AQ10" s="58"/>
      <c r="AR10" s="58"/>
      <c r="AS10" s="58"/>
      <c r="AT10" s="58"/>
      <c r="AU10" s="58"/>
      <c r="AV10" s="58"/>
      <c r="AW10" s="58"/>
      <c r="AX10" s="58"/>
      <c r="AY10" s="34"/>
      <c r="AZ10" s="34"/>
      <c r="BA10" s="34"/>
      <c r="BB10" s="34"/>
      <c r="BC10" s="34"/>
      <c r="BD10" s="34"/>
      <c r="BE10" s="34"/>
      <c r="BF10" s="34"/>
      <c r="BG10" s="34"/>
      <c r="BH10" s="34"/>
      <c r="BI10" s="34"/>
      <c r="BJ10" s="34"/>
      <c r="BK10" s="34"/>
      <c r="BL10" s="34"/>
      <c r="BM10" s="34"/>
      <c r="BN10" s="34"/>
      <c r="BO10" s="34"/>
      <c r="BP10" s="34"/>
      <c r="BQ10" s="34"/>
      <c r="BR10" s="34"/>
      <c r="BS10" s="34"/>
      <c r="BT10" s="34"/>
      <c r="BU10" s="34"/>
      <c r="BV10" s="34"/>
      <c r="BW10" s="34"/>
      <c r="BX10" s="34"/>
      <c r="BY10" s="34"/>
      <c r="BZ10" s="34"/>
      <c r="CA10" s="34"/>
      <c r="CB10" s="34"/>
      <c r="CC10" s="34"/>
      <c r="CD10" s="34"/>
      <c r="CE10" s="34"/>
      <c r="CF10" s="34"/>
      <c r="CG10" s="34"/>
      <c r="CH10" s="34"/>
      <c r="CI10" s="34"/>
      <c r="CJ10" s="34"/>
      <c r="CK10" s="34"/>
      <c r="CL10" s="34"/>
      <c r="CM10" s="34"/>
      <c r="CN10" s="34"/>
      <c r="CO10" s="34"/>
      <c r="CP10" s="34"/>
      <c r="CQ10" s="34"/>
      <c r="CR10" s="34"/>
      <c r="CS10" s="34"/>
      <c r="CT10" s="34"/>
      <c r="CU10" s="34"/>
      <c r="CV10" s="34"/>
      <c r="CW10" s="34"/>
      <c r="CX10" s="34"/>
      <c r="CY10" s="34"/>
      <c r="CZ10" s="34"/>
      <c r="DA10" s="34"/>
      <c r="DB10" s="34"/>
      <c r="DC10" s="34"/>
      <c r="DD10" s="34"/>
      <c r="DE10" s="34"/>
      <c r="DF10" s="34"/>
      <c r="DG10" s="34"/>
      <c r="DH10" s="34"/>
      <c r="DI10" s="34"/>
      <c r="DJ10" s="34"/>
      <c r="DK10" s="34"/>
      <c r="DL10" s="34"/>
      <c r="DM10" s="34"/>
      <c r="DN10" s="34"/>
      <c r="DO10" s="34"/>
      <c r="DP10" s="34"/>
      <c r="DQ10" s="34"/>
      <c r="DR10" s="34"/>
      <c r="DS10" s="34"/>
      <c r="DT10" s="34"/>
      <c r="DU10" s="34"/>
      <c r="DV10" s="34"/>
      <c r="DW10" s="34"/>
      <c r="DX10" s="34"/>
      <c r="DY10" s="34"/>
      <c r="DZ10" s="34"/>
      <c r="EA10" s="34"/>
      <c r="EB10" s="34"/>
      <c r="EC10" s="34"/>
      <c r="ED10" s="34"/>
      <c r="EE10" s="34"/>
      <c r="EF10" s="34"/>
      <c r="EG10" s="34"/>
      <c r="EH10" s="34"/>
      <c r="EI10" s="34"/>
      <c r="EJ10" s="34"/>
      <c r="EK10" s="34"/>
      <c r="EL10" s="34"/>
      <c r="EM10" s="34"/>
      <c r="EN10" s="34"/>
      <c r="EO10" s="34"/>
      <c r="EP10" s="34"/>
      <c r="EQ10" s="34"/>
      <c r="ER10" s="34"/>
      <c r="ES10" s="34"/>
      <c r="ET10" s="34"/>
      <c r="EU10" s="34"/>
      <c r="EV10" s="34"/>
      <c r="EW10" s="34"/>
      <c r="EX10" s="34"/>
      <c r="EY10" s="34"/>
      <c r="EZ10" s="34"/>
      <c r="FA10" s="34"/>
      <c r="FB10" s="34"/>
      <c r="FC10" s="34"/>
      <c r="FD10" s="34"/>
      <c r="FE10" s="34"/>
      <c r="FF10" s="34"/>
      <c r="FG10" s="34"/>
      <c r="FH10" s="34"/>
      <c r="FI10" s="34"/>
      <c r="FJ10" s="34"/>
      <c r="FK10" s="34"/>
      <c r="FL10" s="34"/>
      <c r="FM10" s="34"/>
      <c r="FN10" s="34"/>
      <c r="FO10" s="34"/>
      <c r="FP10" s="34"/>
      <c r="FQ10" s="34"/>
      <c r="FR10" s="34"/>
      <c r="FS10" s="34"/>
      <c r="FT10" s="34"/>
      <c r="FU10" s="34"/>
      <c r="FV10" s="34"/>
      <c r="FW10" s="34"/>
      <c r="FX10" s="34"/>
      <c r="FY10" s="34"/>
      <c r="FZ10" s="34"/>
      <c r="GA10" s="34"/>
      <c r="GB10" s="34"/>
      <c r="GC10" s="34"/>
      <c r="GD10" s="34"/>
      <c r="GE10" s="34"/>
      <c r="GF10" s="34"/>
      <c r="GG10" s="34"/>
      <c r="GH10" s="34"/>
      <c r="GI10" s="34"/>
      <c r="GJ10" s="34"/>
      <c r="GK10" s="34"/>
      <c r="GL10" s="34"/>
      <c r="GM10" s="34"/>
      <c r="GN10" s="34"/>
      <c r="GO10" s="34"/>
      <c r="GP10" s="34"/>
      <c r="GQ10" s="34"/>
      <c r="GR10" s="34"/>
      <c r="GS10" s="34"/>
      <c r="GT10" s="34"/>
      <c r="GU10" s="34"/>
      <c r="GV10" s="34"/>
      <c r="GW10" s="34"/>
      <c r="GX10" s="34"/>
      <c r="GY10" s="34"/>
      <c r="GZ10" s="34"/>
      <c r="HA10" s="34"/>
      <c r="HB10" s="34"/>
      <c r="HC10" s="34"/>
      <c r="HD10" s="34"/>
      <c r="HE10" s="34"/>
      <c r="HF10" s="34"/>
      <c r="HG10" s="34"/>
      <c r="HH10" s="34"/>
      <c r="PJ10" s="63"/>
    </row>
    <row r="11" spans="1:518" s="38" customFormat="1" ht="15" customHeight="1" x14ac:dyDescent="0.3">
      <c r="A11" s="240" t="s">
        <v>250</v>
      </c>
      <c r="B11" s="240">
        <v>7</v>
      </c>
      <c r="C11" s="241">
        <v>21</v>
      </c>
      <c r="D11" s="240">
        <v>17</v>
      </c>
      <c r="E11" s="241">
        <v>19</v>
      </c>
      <c r="F11" s="240">
        <v>27</v>
      </c>
      <c r="G11" s="241">
        <v>56</v>
      </c>
      <c r="H11" s="240">
        <v>3</v>
      </c>
      <c r="I11" s="241">
        <v>15</v>
      </c>
      <c r="J11" s="240">
        <v>9</v>
      </c>
      <c r="K11" s="241">
        <v>9</v>
      </c>
      <c r="L11" s="240">
        <v>6</v>
      </c>
      <c r="M11" s="241">
        <v>22</v>
      </c>
      <c r="N11" s="240">
        <v>7</v>
      </c>
      <c r="O11" s="241">
        <v>5</v>
      </c>
      <c r="P11" s="246">
        <v>23</v>
      </c>
      <c r="Q11" s="241">
        <v>75</v>
      </c>
      <c r="R11" s="246">
        <v>8</v>
      </c>
      <c r="S11" s="241">
        <v>12</v>
      </c>
      <c r="T11" s="246">
        <v>11</v>
      </c>
      <c r="U11" s="241">
        <v>18</v>
      </c>
      <c r="V11" s="246">
        <v>370</v>
      </c>
      <c r="W11" s="39"/>
      <c r="X11" s="50">
        <f t="shared" si="0"/>
        <v>118</v>
      </c>
      <c r="Y11" s="50">
        <f t="shared" si="1"/>
        <v>252</v>
      </c>
      <c r="Z11" s="34"/>
      <c r="AA11" s="34"/>
      <c r="AB11" s="34"/>
      <c r="AC11" s="34"/>
      <c r="AD11" s="34"/>
      <c r="AE11" s="34"/>
      <c r="AF11" s="34"/>
      <c r="AG11" s="34"/>
      <c r="AH11" s="34"/>
      <c r="AI11" s="34"/>
      <c r="AJ11" s="34"/>
      <c r="AK11" s="34"/>
      <c r="AL11" s="58"/>
      <c r="AM11" s="58"/>
      <c r="AN11" s="58"/>
      <c r="AO11" s="58"/>
      <c r="AP11" s="58"/>
      <c r="AQ11" s="58"/>
      <c r="AR11" s="58"/>
      <c r="AS11" s="58"/>
      <c r="AT11" s="58"/>
      <c r="AU11" s="58"/>
      <c r="AV11" s="58"/>
      <c r="AW11" s="58"/>
      <c r="AX11" s="58"/>
      <c r="AY11" s="34"/>
      <c r="AZ11" s="34"/>
      <c r="BA11" s="34"/>
      <c r="BB11" s="34"/>
      <c r="BC11" s="34"/>
      <c r="BD11" s="34"/>
      <c r="BE11" s="34"/>
      <c r="BF11" s="34"/>
      <c r="BG11" s="34"/>
      <c r="BH11" s="34"/>
      <c r="BI11" s="34"/>
      <c r="BJ11" s="34"/>
      <c r="BK11" s="34"/>
      <c r="BL11" s="34"/>
      <c r="BM11" s="34"/>
      <c r="BN11" s="34"/>
      <c r="BO11" s="34"/>
      <c r="BP11" s="34"/>
      <c r="BQ11" s="34"/>
      <c r="BR11" s="34"/>
      <c r="BS11" s="34"/>
      <c r="BT11" s="34"/>
      <c r="BU11" s="34"/>
      <c r="BV11" s="34"/>
      <c r="BW11" s="34"/>
      <c r="BX11" s="34"/>
      <c r="BY11" s="34"/>
      <c r="BZ11" s="34"/>
      <c r="CA11" s="34"/>
      <c r="CB11" s="34"/>
      <c r="CC11" s="34"/>
      <c r="CD11" s="34"/>
      <c r="CE11" s="34"/>
      <c r="CF11" s="34"/>
      <c r="CG11" s="34"/>
      <c r="CH11" s="34"/>
      <c r="CI11" s="34"/>
      <c r="CJ11" s="34"/>
      <c r="CK11" s="34"/>
      <c r="CL11" s="34"/>
      <c r="CM11" s="34"/>
      <c r="CN11" s="34"/>
      <c r="CO11" s="34"/>
      <c r="CP11" s="34"/>
      <c r="CQ11" s="34"/>
      <c r="CR11" s="34"/>
      <c r="CS11" s="34"/>
      <c r="CT11" s="34"/>
      <c r="CU11" s="34"/>
      <c r="CV11" s="34"/>
      <c r="CW11" s="34"/>
      <c r="CX11" s="34"/>
      <c r="CY11" s="34"/>
      <c r="CZ11" s="34"/>
      <c r="DA11" s="34"/>
      <c r="DB11" s="34"/>
      <c r="DC11" s="34"/>
      <c r="DD11" s="34"/>
      <c r="DE11" s="34"/>
      <c r="DF11" s="34"/>
      <c r="DG11" s="34"/>
      <c r="DH11" s="34"/>
      <c r="DI11" s="34"/>
      <c r="DJ11" s="34"/>
      <c r="DK11" s="34"/>
      <c r="DL11" s="34"/>
      <c r="DM11" s="34"/>
      <c r="DN11" s="34"/>
      <c r="DO11" s="34"/>
      <c r="DP11" s="34"/>
      <c r="DQ11" s="34"/>
      <c r="DR11" s="34"/>
      <c r="DS11" s="34"/>
      <c r="DT11" s="34"/>
      <c r="DU11" s="34"/>
      <c r="DV11" s="34"/>
      <c r="DW11" s="34"/>
      <c r="DX11" s="34"/>
      <c r="DY11" s="34"/>
      <c r="DZ11" s="34"/>
      <c r="EA11" s="34"/>
      <c r="EB11" s="34"/>
      <c r="EC11" s="34"/>
      <c r="ED11" s="34"/>
      <c r="EE11" s="34"/>
      <c r="EF11" s="34"/>
      <c r="EG11" s="34"/>
      <c r="EH11" s="34"/>
      <c r="EI11" s="34"/>
      <c r="EJ11" s="34"/>
      <c r="EK11" s="34"/>
      <c r="EL11" s="34"/>
      <c r="EM11" s="34"/>
      <c r="EN11" s="34"/>
      <c r="EO11" s="34"/>
      <c r="EP11" s="34"/>
      <c r="EQ11" s="34"/>
      <c r="ER11" s="34"/>
      <c r="ES11" s="34"/>
      <c r="ET11" s="34"/>
      <c r="EU11" s="34"/>
      <c r="EV11" s="34"/>
      <c r="EW11" s="34"/>
      <c r="EX11" s="34"/>
      <c r="EY11" s="34"/>
      <c r="EZ11" s="34"/>
      <c r="FA11" s="34"/>
      <c r="FB11" s="34"/>
      <c r="FC11" s="34"/>
      <c r="FD11" s="34"/>
      <c r="FE11" s="34"/>
      <c r="FF11" s="34"/>
      <c r="FG11" s="34"/>
      <c r="FH11" s="34"/>
      <c r="FI11" s="34"/>
      <c r="FJ11" s="34"/>
      <c r="FK11" s="34"/>
      <c r="FL11" s="34"/>
      <c r="FM11" s="34"/>
      <c r="FN11" s="34"/>
      <c r="FO11" s="34"/>
      <c r="FP11" s="34"/>
      <c r="FQ11" s="34"/>
      <c r="FR11" s="34"/>
      <c r="FS11" s="34"/>
      <c r="FT11" s="34"/>
      <c r="FU11" s="34"/>
      <c r="FV11" s="34"/>
      <c r="FW11" s="34"/>
      <c r="FX11" s="34"/>
      <c r="FY11" s="34"/>
      <c r="FZ11" s="34"/>
      <c r="GA11" s="34"/>
      <c r="GB11" s="34"/>
      <c r="GC11" s="34"/>
      <c r="GD11" s="34"/>
      <c r="GE11" s="34"/>
      <c r="GF11" s="34"/>
      <c r="GG11" s="34"/>
      <c r="GH11" s="34"/>
      <c r="GI11" s="34"/>
      <c r="GJ11" s="34"/>
      <c r="GK11" s="34"/>
      <c r="GL11" s="34"/>
      <c r="GM11" s="34"/>
      <c r="GN11" s="34"/>
      <c r="GO11" s="34"/>
      <c r="GP11" s="34"/>
      <c r="GQ11" s="34"/>
      <c r="GR11" s="34"/>
      <c r="GS11" s="34"/>
      <c r="GT11" s="34"/>
      <c r="GU11" s="34"/>
      <c r="GV11" s="34"/>
      <c r="GW11" s="34"/>
      <c r="GX11" s="34"/>
      <c r="GY11" s="34"/>
      <c r="GZ11" s="34"/>
      <c r="HA11" s="34"/>
      <c r="HB11" s="34"/>
      <c r="HC11" s="34"/>
      <c r="HD11" s="34"/>
      <c r="HE11" s="34"/>
      <c r="HF11" s="34"/>
      <c r="HG11" s="34"/>
      <c r="HH11" s="34"/>
      <c r="PG11" s="64"/>
      <c r="PJ11" s="63"/>
    </row>
    <row r="12" spans="1:518" s="38" customFormat="1" ht="15" customHeight="1" x14ac:dyDescent="0.3">
      <c r="A12" s="240" t="s">
        <v>256</v>
      </c>
      <c r="B12" s="240">
        <v>3</v>
      </c>
      <c r="C12" s="241">
        <v>7</v>
      </c>
      <c r="D12" s="240">
        <v>13</v>
      </c>
      <c r="E12" s="241">
        <v>16</v>
      </c>
      <c r="F12" s="240">
        <v>12</v>
      </c>
      <c r="G12" s="241">
        <v>33</v>
      </c>
      <c r="H12" s="240">
        <v>3</v>
      </c>
      <c r="I12" s="241">
        <v>3</v>
      </c>
      <c r="J12" s="240">
        <v>4</v>
      </c>
      <c r="K12" s="241">
        <v>7</v>
      </c>
      <c r="L12" s="240">
        <v>5</v>
      </c>
      <c r="M12" s="241">
        <v>5</v>
      </c>
      <c r="N12" s="240">
        <v>1</v>
      </c>
      <c r="O12" s="241">
        <v>2</v>
      </c>
      <c r="P12" s="246">
        <v>14</v>
      </c>
      <c r="Q12" s="241">
        <v>30</v>
      </c>
      <c r="R12" s="246">
        <v>4</v>
      </c>
      <c r="S12" s="241">
        <v>12</v>
      </c>
      <c r="T12" s="246">
        <v>4</v>
      </c>
      <c r="U12" s="241">
        <v>7</v>
      </c>
      <c r="V12" s="246">
        <v>185</v>
      </c>
      <c r="W12" s="39"/>
      <c r="X12" s="50">
        <f t="shared" si="0"/>
        <v>63</v>
      </c>
      <c r="Y12" s="50">
        <f t="shared" si="1"/>
        <v>122</v>
      </c>
      <c r="Z12" s="34"/>
      <c r="AA12" s="34"/>
      <c r="AB12" s="34"/>
      <c r="AC12" s="34"/>
      <c r="AD12" s="34"/>
      <c r="AE12" s="34"/>
      <c r="AF12" s="34"/>
      <c r="AG12" s="34"/>
      <c r="AH12" s="34"/>
      <c r="AI12" s="34"/>
      <c r="AJ12" s="34"/>
      <c r="AK12" s="34"/>
      <c r="AL12" s="58"/>
      <c r="AM12" s="58"/>
      <c r="AN12" s="58"/>
      <c r="AO12" s="58"/>
      <c r="AP12" s="58"/>
      <c r="AQ12" s="58"/>
      <c r="AR12" s="58"/>
      <c r="AS12" s="58"/>
      <c r="AT12" s="58"/>
      <c r="AU12" s="58"/>
      <c r="AV12" s="58"/>
      <c r="AW12" s="58"/>
      <c r="AX12" s="58"/>
      <c r="AY12" s="34"/>
      <c r="AZ12" s="34"/>
      <c r="BA12" s="34"/>
      <c r="BB12" s="34"/>
      <c r="BC12" s="34"/>
      <c r="BD12" s="34"/>
      <c r="BE12" s="34"/>
      <c r="BF12" s="34"/>
      <c r="BG12" s="34"/>
      <c r="BH12" s="34"/>
      <c r="BI12" s="34"/>
      <c r="BJ12" s="34"/>
      <c r="BK12" s="34"/>
      <c r="BL12" s="34"/>
      <c r="BM12" s="34"/>
      <c r="BN12" s="34"/>
      <c r="BO12" s="34"/>
      <c r="BP12" s="34"/>
      <c r="BQ12" s="34"/>
      <c r="BR12" s="34"/>
      <c r="BS12" s="34"/>
      <c r="BT12" s="34"/>
      <c r="BU12" s="34"/>
      <c r="BV12" s="34"/>
      <c r="BW12" s="34"/>
      <c r="BX12" s="34"/>
      <c r="BY12" s="34"/>
      <c r="BZ12" s="34"/>
      <c r="CA12" s="34"/>
      <c r="CB12" s="34"/>
      <c r="CC12" s="34"/>
      <c r="CD12" s="34"/>
      <c r="CE12" s="34"/>
      <c r="CF12" s="34"/>
      <c r="CG12" s="34"/>
      <c r="CH12" s="34"/>
      <c r="CI12" s="34"/>
      <c r="CJ12" s="34"/>
      <c r="CK12" s="34"/>
      <c r="CL12" s="34"/>
      <c r="CM12" s="34"/>
      <c r="CN12" s="34"/>
      <c r="CO12" s="34"/>
      <c r="CP12" s="34"/>
      <c r="CQ12" s="34"/>
      <c r="CR12" s="34"/>
      <c r="CS12" s="34"/>
      <c r="CT12" s="34"/>
      <c r="CU12" s="34"/>
      <c r="CV12" s="34"/>
      <c r="CW12" s="34"/>
      <c r="CX12" s="34"/>
      <c r="CY12" s="34"/>
      <c r="CZ12" s="34"/>
      <c r="DA12" s="34"/>
      <c r="DB12" s="34"/>
      <c r="DC12" s="34"/>
      <c r="DD12" s="34"/>
      <c r="DE12" s="34"/>
      <c r="DF12" s="34"/>
      <c r="DG12" s="34"/>
      <c r="DH12" s="34"/>
      <c r="DI12" s="34"/>
      <c r="DJ12" s="34"/>
      <c r="DK12" s="34"/>
      <c r="DL12" s="34"/>
      <c r="DM12" s="34"/>
      <c r="DN12" s="34"/>
      <c r="DO12" s="34"/>
      <c r="DP12" s="34"/>
      <c r="DQ12" s="34"/>
      <c r="DR12" s="34"/>
      <c r="DS12" s="34"/>
      <c r="DT12" s="34"/>
      <c r="DU12" s="34"/>
      <c r="DV12" s="34"/>
      <c r="DW12" s="34"/>
      <c r="DX12" s="34"/>
      <c r="DY12" s="34"/>
      <c r="DZ12" s="34"/>
      <c r="EA12" s="34"/>
      <c r="EB12" s="34"/>
      <c r="EC12" s="34"/>
      <c r="ED12" s="34"/>
      <c r="EE12" s="34"/>
      <c r="EF12" s="34"/>
      <c r="EG12" s="34"/>
      <c r="EH12" s="34"/>
      <c r="EI12" s="34"/>
      <c r="EJ12" s="34"/>
      <c r="EK12" s="34"/>
      <c r="EL12" s="34"/>
      <c r="EM12" s="34"/>
      <c r="EN12" s="34"/>
      <c r="EO12" s="34"/>
      <c r="EP12" s="34"/>
      <c r="EQ12" s="34"/>
      <c r="ER12" s="34"/>
      <c r="ES12" s="34"/>
      <c r="ET12" s="34"/>
      <c r="EU12" s="34"/>
      <c r="EV12" s="34"/>
      <c r="EW12" s="34"/>
      <c r="EX12" s="34"/>
      <c r="EY12" s="34"/>
      <c r="EZ12" s="34"/>
      <c r="FA12" s="34"/>
      <c r="FB12" s="34"/>
      <c r="FC12" s="34"/>
      <c r="FD12" s="34"/>
      <c r="FE12" s="34"/>
      <c r="FF12" s="34"/>
      <c r="FG12" s="34"/>
      <c r="FH12" s="34"/>
      <c r="FI12" s="34"/>
      <c r="FJ12" s="34"/>
      <c r="FK12" s="34"/>
      <c r="FL12" s="34"/>
      <c r="FM12" s="34"/>
      <c r="FN12" s="34"/>
      <c r="FO12" s="34"/>
      <c r="FP12" s="34"/>
      <c r="FQ12" s="34"/>
      <c r="FR12" s="34"/>
      <c r="FS12" s="34"/>
      <c r="FT12" s="34"/>
      <c r="FU12" s="34"/>
      <c r="FV12" s="34"/>
      <c r="FW12" s="34"/>
      <c r="FX12" s="34"/>
      <c r="FY12" s="34"/>
      <c r="FZ12" s="34"/>
      <c r="GA12" s="34"/>
      <c r="GB12" s="34"/>
      <c r="GC12" s="34"/>
      <c r="GD12" s="34"/>
      <c r="GE12" s="34"/>
      <c r="GF12" s="34"/>
      <c r="GG12" s="34"/>
      <c r="GH12" s="34"/>
      <c r="GI12" s="34"/>
      <c r="GJ12" s="34"/>
      <c r="GK12" s="34"/>
      <c r="GL12" s="34"/>
      <c r="GM12" s="34"/>
      <c r="GN12" s="34"/>
      <c r="GO12" s="34"/>
      <c r="GP12" s="34"/>
      <c r="GQ12" s="34"/>
      <c r="GR12" s="34"/>
      <c r="GS12" s="34"/>
      <c r="GT12" s="34"/>
      <c r="GU12" s="34"/>
      <c r="GV12" s="34"/>
      <c r="GW12" s="34"/>
      <c r="GX12" s="34"/>
      <c r="GY12" s="34"/>
      <c r="GZ12" s="34"/>
      <c r="HA12" s="34"/>
      <c r="HB12" s="34"/>
      <c r="HC12" s="34"/>
      <c r="HD12" s="34"/>
      <c r="HE12" s="34"/>
      <c r="HF12" s="34"/>
      <c r="HG12" s="34"/>
      <c r="HH12" s="34"/>
      <c r="PG12" s="64"/>
      <c r="PJ12" s="63"/>
    </row>
    <row r="13" spans="1:518" s="38" customFormat="1" ht="15" customHeight="1" x14ac:dyDescent="0.3">
      <c r="A13" s="240" t="s">
        <v>246</v>
      </c>
      <c r="B13" s="240">
        <v>1</v>
      </c>
      <c r="C13" s="241">
        <v>9</v>
      </c>
      <c r="D13" s="240">
        <v>11</v>
      </c>
      <c r="E13" s="241">
        <v>11</v>
      </c>
      <c r="F13" s="240">
        <v>13</v>
      </c>
      <c r="G13" s="241">
        <v>25</v>
      </c>
      <c r="H13" s="240"/>
      <c r="I13" s="241">
        <v>5</v>
      </c>
      <c r="J13" s="240">
        <v>1</v>
      </c>
      <c r="K13" s="241">
        <v>7</v>
      </c>
      <c r="L13" s="240">
        <v>2</v>
      </c>
      <c r="M13" s="241">
        <v>7</v>
      </c>
      <c r="N13" s="240">
        <v>2</v>
      </c>
      <c r="O13" s="241">
        <v>2</v>
      </c>
      <c r="P13" s="246">
        <v>13</v>
      </c>
      <c r="Q13" s="241">
        <v>33</v>
      </c>
      <c r="R13" s="246">
        <v>5</v>
      </c>
      <c r="S13" s="241">
        <v>15</v>
      </c>
      <c r="T13" s="246">
        <v>7</v>
      </c>
      <c r="U13" s="241">
        <v>10</v>
      </c>
      <c r="V13" s="246">
        <v>179</v>
      </c>
      <c r="W13" s="39"/>
      <c r="X13" s="50">
        <f t="shared" si="0"/>
        <v>55</v>
      </c>
      <c r="Y13" s="50">
        <f t="shared" si="1"/>
        <v>124</v>
      </c>
      <c r="Z13" s="34"/>
      <c r="AA13" s="34"/>
      <c r="AB13" s="34"/>
      <c r="AC13" s="34"/>
      <c r="AD13" s="34"/>
      <c r="AE13" s="34"/>
      <c r="AF13" s="34"/>
      <c r="AG13" s="34"/>
      <c r="AH13" s="34"/>
      <c r="AI13" s="34"/>
      <c r="AJ13" s="34"/>
      <c r="AK13" s="136"/>
      <c r="AL13" s="58"/>
      <c r="AM13" s="58"/>
      <c r="AN13" s="58"/>
      <c r="AO13" s="58"/>
      <c r="AP13" s="58"/>
      <c r="AQ13" s="58"/>
      <c r="AR13" s="58"/>
      <c r="AS13" s="58"/>
      <c r="AT13" s="58"/>
      <c r="AU13" s="58"/>
      <c r="AV13" s="58"/>
      <c r="AW13" s="58"/>
      <c r="AX13" s="58"/>
      <c r="AY13" s="34"/>
      <c r="AZ13" s="34"/>
      <c r="BA13" s="34"/>
      <c r="BB13" s="34"/>
      <c r="BC13" s="34"/>
      <c r="BD13" s="34"/>
      <c r="BE13" s="34"/>
      <c r="BF13" s="34"/>
      <c r="BG13" s="34"/>
      <c r="BH13" s="34"/>
      <c r="BI13" s="34"/>
      <c r="BJ13" s="34"/>
      <c r="BK13" s="34"/>
      <c r="BL13" s="34"/>
      <c r="BM13" s="34"/>
      <c r="BN13" s="34"/>
      <c r="BO13" s="34"/>
      <c r="BP13" s="34"/>
      <c r="BQ13" s="34"/>
      <c r="BR13" s="34"/>
      <c r="BS13" s="34"/>
      <c r="BT13" s="34"/>
      <c r="BU13" s="34"/>
      <c r="BV13" s="34"/>
      <c r="BW13" s="34"/>
      <c r="BX13" s="34"/>
      <c r="BY13" s="34"/>
      <c r="BZ13" s="34"/>
      <c r="CA13" s="34"/>
      <c r="CB13" s="34"/>
      <c r="CC13" s="34"/>
      <c r="CD13" s="34"/>
      <c r="CE13" s="34"/>
      <c r="CF13" s="34"/>
      <c r="CG13" s="34"/>
      <c r="CH13" s="34"/>
      <c r="CI13" s="34"/>
      <c r="CJ13" s="34"/>
      <c r="CK13" s="34"/>
      <c r="CL13" s="34"/>
      <c r="CM13" s="34"/>
      <c r="CN13" s="34"/>
      <c r="CO13" s="34"/>
      <c r="CP13" s="34"/>
      <c r="CQ13" s="34"/>
      <c r="CR13" s="34"/>
      <c r="CS13" s="34"/>
      <c r="CT13" s="34"/>
      <c r="CU13" s="34"/>
      <c r="CV13" s="34"/>
      <c r="CW13" s="34"/>
      <c r="CX13" s="34"/>
      <c r="CY13" s="34"/>
      <c r="CZ13" s="34"/>
      <c r="DA13" s="34"/>
      <c r="DB13" s="34"/>
      <c r="DC13" s="34"/>
      <c r="DD13" s="34"/>
      <c r="DE13" s="34"/>
      <c r="DF13" s="34"/>
      <c r="DG13" s="34"/>
      <c r="DH13" s="34"/>
      <c r="DI13" s="34"/>
      <c r="DJ13" s="34"/>
      <c r="DK13" s="34"/>
      <c r="DL13" s="34"/>
      <c r="DM13" s="34"/>
      <c r="DN13" s="34"/>
      <c r="DO13" s="34"/>
      <c r="DP13" s="34"/>
      <c r="DQ13" s="34"/>
      <c r="DR13" s="34"/>
      <c r="DS13" s="34"/>
      <c r="DT13" s="34"/>
      <c r="DU13" s="34"/>
      <c r="DV13" s="34"/>
      <c r="DW13" s="34"/>
      <c r="DX13" s="34"/>
      <c r="DY13" s="34"/>
      <c r="DZ13" s="34"/>
      <c r="EA13" s="34"/>
      <c r="EB13" s="34"/>
      <c r="EC13" s="34"/>
      <c r="ED13" s="34"/>
      <c r="EE13" s="34"/>
      <c r="EF13" s="34"/>
      <c r="EG13" s="34"/>
      <c r="EH13" s="34"/>
      <c r="EI13" s="34"/>
      <c r="EJ13" s="34"/>
      <c r="EK13" s="34"/>
      <c r="EL13" s="34"/>
      <c r="EM13" s="34"/>
      <c r="EN13" s="34"/>
      <c r="EO13" s="34"/>
      <c r="EP13" s="34"/>
      <c r="EQ13" s="34"/>
      <c r="ER13" s="34"/>
      <c r="ES13" s="34"/>
      <c r="ET13" s="34"/>
      <c r="EU13" s="34"/>
      <c r="EV13" s="34"/>
      <c r="EW13" s="34"/>
      <c r="EX13" s="34"/>
      <c r="EY13" s="34"/>
      <c r="EZ13" s="34"/>
      <c r="FA13" s="34"/>
      <c r="FB13" s="34"/>
      <c r="FC13" s="34"/>
      <c r="FD13" s="34"/>
      <c r="FE13" s="34"/>
      <c r="FF13" s="34"/>
      <c r="FG13" s="34"/>
      <c r="FH13" s="34"/>
      <c r="FI13" s="34"/>
      <c r="FJ13" s="34"/>
      <c r="FK13" s="34"/>
      <c r="FL13" s="34"/>
      <c r="FM13" s="34"/>
      <c r="FN13" s="34"/>
      <c r="FO13" s="34"/>
      <c r="FP13" s="34"/>
      <c r="FQ13" s="34"/>
      <c r="FR13" s="34"/>
      <c r="FS13" s="34"/>
      <c r="FT13" s="34"/>
      <c r="FU13" s="34"/>
      <c r="FV13" s="34"/>
      <c r="FW13" s="34"/>
      <c r="FX13" s="34"/>
      <c r="FY13" s="34"/>
      <c r="FZ13" s="34"/>
      <c r="GA13" s="34"/>
      <c r="GB13" s="34"/>
      <c r="GC13" s="34"/>
      <c r="GD13" s="34"/>
      <c r="GE13" s="34"/>
      <c r="GF13" s="34"/>
      <c r="GG13" s="34"/>
      <c r="GH13" s="34"/>
      <c r="GI13" s="34"/>
      <c r="GJ13" s="34"/>
      <c r="GK13" s="34"/>
      <c r="GL13" s="34"/>
      <c r="GM13" s="34"/>
      <c r="GN13" s="34"/>
      <c r="GO13" s="34"/>
      <c r="GP13" s="34"/>
      <c r="GQ13" s="34"/>
      <c r="GR13" s="34"/>
      <c r="GS13" s="34"/>
      <c r="GT13" s="34"/>
      <c r="GU13" s="34"/>
      <c r="GV13" s="34"/>
      <c r="GW13" s="34"/>
      <c r="GX13" s="34"/>
      <c r="GY13" s="34"/>
      <c r="GZ13" s="34"/>
      <c r="HA13" s="34"/>
      <c r="HB13" s="34"/>
      <c r="HC13" s="34"/>
      <c r="HD13" s="34"/>
      <c r="HE13" s="34"/>
      <c r="HF13" s="34"/>
      <c r="HG13" s="34"/>
      <c r="HH13" s="34"/>
      <c r="PJ13" s="63"/>
    </row>
    <row r="14" spans="1:518" s="38" customFormat="1" ht="15" customHeight="1" x14ac:dyDescent="0.3">
      <c r="A14" s="240" t="s">
        <v>257</v>
      </c>
      <c r="B14" s="240">
        <v>1</v>
      </c>
      <c r="C14" s="241">
        <v>7</v>
      </c>
      <c r="D14" s="240">
        <v>11</v>
      </c>
      <c r="E14" s="241">
        <v>15</v>
      </c>
      <c r="F14" s="240">
        <v>21</v>
      </c>
      <c r="G14" s="241">
        <v>41</v>
      </c>
      <c r="H14" s="240">
        <v>1</v>
      </c>
      <c r="I14" s="241">
        <v>3</v>
      </c>
      <c r="J14" s="240">
        <v>3</v>
      </c>
      <c r="K14" s="241">
        <v>10</v>
      </c>
      <c r="L14" s="240">
        <v>1</v>
      </c>
      <c r="M14" s="241">
        <v>7</v>
      </c>
      <c r="N14" s="240">
        <v>1</v>
      </c>
      <c r="O14" s="241"/>
      <c r="P14" s="246">
        <v>19</v>
      </c>
      <c r="Q14" s="241">
        <v>28</v>
      </c>
      <c r="R14" s="246">
        <v>5</v>
      </c>
      <c r="S14" s="241">
        <v>10</v>
      </c>
      <c r="T14" s="246">
        <v>6</v>
      </c>
      <c r="U14" s="241">
        <v>7</v>
      </c>
      <c r="V14" s="246">
        <v>197</v>
      </c>
      <c r="W14" s="39"/>
      <c r="X14" s="50">
        <f t="shared" si="0"/>
        <v>69</v>
      </c>
      <c r="Y14" s="50">
        <f t="shared" si="1"/>
        <v>128</v>
      </c>
      <c r="Z14" s="34"/>
      <c r="AA14" s="34"/>
      <c r="AB14" s="34"/>
      <c r="AC14" s="34"/>
      <c r="AD14" s="34"/>
      <c r="AE14" s="34"/>
      <c r="AF14" s="34"/>
      <c r="AG14" s="34"/>
      <c r="AH14" s="34"/>
      <c r="AI14" s="34"/>
      <c r="AJ14" s="34"/>
      <c r="AK14" s="148"/>
      <c r="AL14" s="58"/>
      <c r="AM14" s="58"/>
      <c r="AN14" s="58"/>
      <c r="AO14" s="58"/>
      <c r="AP14" s="58"/>
      <c r="AQ14" s="58"/>
      <c r="AR14" s="58"/>
      <c r="AS14" s="58"/>
      <c r="AT14" s="58"/>
      <c r="AU14" s="58"/>
      <c r="AV14" s="58"/>
      <c r="AW14" s="58"/>
      <c r="AX14" s="58"/>
      <c r="AY14" s="34"/>
      <c r="AZ14" s="34"/>
      <c r="BA14" s="34"/>
      <c r="BB14" s="34"/>
      <c r="BC14" s="34"/>
      <c r="BD14" s="34"/>
      <c r="BE14" s="34"/>
      <c r="BF14" s="34"/>
      <c r="BG14" s="34"/>
      <c r="BH14" s="34"/>
      <c r="BI14" s="34"/>
      <c r="BJ14" s="34"/>
      <c r="BK14" s="34"/>
      <c r="BL14" s="34"/>
      <c r="BM14" s="34"/>
      <c r="BN14" s="34"/>
      <c r="BO14" s="34"/>
      <c r="BP14" s="34"/>
      <c r="BQ14" s="34"/>
      <c r="BR14" s="34"/>
      <c r="BS14" s="34"/>
      <c r="BT14" s="34"/>
      <c r="BU14" s="34"/>
      <c r="BV14" s="34"/>
      <c r="BW14" s="34"/>
      <c r="BX14" s="34"/>
      <c r="BY14" s="34"/>
      <c r="BZ14" s="34"/>
      <c r="CA14" s="34"/>
      <c r="CB14" s="34"/>
      <c r="CC14" s="34"/>
      <c r="CD14" s="34"/>
      <c r="CE14" s="34"/>
      <c r="CF14" s="34"/>
      <c r="CG14" s="34"/>
      <c r="CH14" s="34"/>
      <c r="CI14" s="34"/>
      <c r="CJ14" s="34"/>
      <c r="CK14" s="34"/>
      <c r="CL14" s="34"/>
      <c r="CM14" s="34"/>
      <c r="CN14" s="34"/>
      <c r="CO14" s="34"/>
      <c r="CP14" s="34"/>
      <c r="CQ14" s="34"/>
      <c r="CR14" s="34"/>
      <c r="CS14" s="34"/>
      <c r="CT14" s="34"/>
      <c r="CU14" s="34"/>
      <c r="CV14" s="34"/>
      <c r="CW14" s="34"/>
      <c r="CX14" s="34"/>
      <c r="CY14" s="34"/>
      <c r="CZ14" s="34"/>
      <c r="DA14" s="34"/>
      <c r="DB14" s="34"/>
      <c r="DC14" s="34"/>
      <c r="DD14" s="34"/>
      <c r="DE14" s="34"/>
      <c r="DF14" s="34"/>
      <c r="DG14" s="34"/>
      <c r="DH14" s="34"/>
      <c r="DI14" s="34"/>
      <c r="DJ14" s="34"/>
      <c r="DK14" s="34"/>
      <c r="DL14" s="34"/>
      <c r="DM14" s="34"/>
      <c r="DN14" s="34"/>
      <c r="DO14" s="34"/>
      <c r="DP14" s="34"/>
      <c r="DQ14" s="34"/>
      <c r="DR14" s="34"/>
      <c r="DS14" s="34"/>
      <c r="DT14" s="34"/>
      <c r="DU14" s="34"/>
      <c r="DV14" s="34"/>
      <c r="DW14" s="34"/>
      <c r="DX14" s="34"/>
      <c r="DY14" s="34"/>
      <c r="DZ14" s="34"/>
      <c r="EA14" s="34"/>
      <c r="EB14" s="34"/>
      <c r="EC14" s="34"/>
      <c r="ED14" s="34"/>
      <c r="EE14" s="34"/>
      <c r="EF14" s="34"/>
      <c r="EG14" s="34"/>
      <c r="EH14" s="34"/>
      <c r="EI14" s="34"/>
      <c r="EJ14" s="34"/>
      <c r="EK14" s="34"/>
      <c r="EL14" s="34"/>
      <c r="EM14" s="34"/>
      <c r="EN14" s="34"/>
      <c r="EO14" s="34"/>
      <c r="EP14" s="34"/>
      <c r="EQ14" s="34"/>
      <c r="ER14" s="34"/>
      <c r="ES14" s="34"/>
      <c r="ET14" s="34"/>
      <c r="EU14" s="34"/>
      <c r="EV14" s="34"/>
      <c r="EW14" s="34"/>
      <c r="EX14" s="34"/>
      <c r="EY14" s="34"/>
      <c r="EZ14" s="34"/>
      <c r="FA14" s="34"/>
      <c r="FB14" s="34"/>
      <c r="FC14" s="34"/>
      <c r="FD14" s="34"/>
      <c r="FE14" s="34"/>
      <c r="FF14" s="34"/>
      <c r="FG14" s="34"/>
      <c r="FH14" s="34"/>
      <c r="FI14" s="34"/>
      <c r="FJ14" s="34"/>
      <c r="FK14" s="34"/>
      <c r="FL14" s="34"/>
      <c r="FM14" s="34"/>
      <c r="FN14" s="34"/>
      <c r="FO14" s="34"/>
      <c r="FP14" s="34"/>
      <c r="FQ14" s="34"/>
      <c r="FR14" s="34"/>
      <c r="FS14" s="34"/>
      <c r="FT14" s="34"/>
      <c r="FU14" s="34"/>
      <c r="FV14" s="34"/>
      <c r="FW14" s="34"/>
      <c r="FX14" s="34"/>
      <c r="FY14" s="34"/>
      <c r="FZ14" s="34"/>
      <c r="GA14" s="34"/>
      <c r="GB14" s="34"/>
      <c r="GC14" s="34"/>
      <c r="GD14" s="34"/>
      <c r="GE14" s="34"/>
      <c r="GF14" s="34"/>
      <c r="GG14" s="34"/>
      <c r="GH14" s="34"/>
      <c r="GI14" s="34"/>
      <c r="GJ14" s="34"/>
      <c r="GK14" s="34"/>
      <c r="GL14" s="34"/>
      <c r="GM14" s="34"/>
      <c r="GN14" s="34"/>
      <c r="GO14" s="34"/>
      <c r="GP14" s="34"/>
      <c r="GQ14" s="34"/>
      <c r="GR14" s="34"/>
      <c r="GS14" s="34"/>
      <c r="GT14" s="34"/>
      <c r="GU14" s="34"/>
      <c r="GV14" s="34"/>
      <c r="GW14" s="34"/>
      <c r="GX14" s="34"/>
      <c r="GY14" s="34"/>
      <c r="GZ14" s="34"/>
      <c r="HA14" s="34"/>
      <c r="HB14" s="34"/>
      <c r="HC14" s="34"/>
      <c r="HD14" s="34"/>
      <c r="HE14" s="34"/>
      <c r="HF14" s="34"/>
      <c r="HG14" s="34"/>
      <c r="HH14" s="34"/>
      <c r="PJ14" s="63"/>
    </row>
    <row r="15" spans="1:518" s="38" customFormat="1" ht="15" customHeight="1" x14ac:dyDescent="0.3">
      <c r="A15" s="240" t="s">
        <v>262</v>
      </c>
      <c r="B15" s="240">
        <v>1</v>
      </c>
      <c r="C15" s="241"/>
      <c r="D15" s="240">
        <v>13</v>
      </c>
      <c r="E15" s="241">
        <v>20</v>
      </c>
      <c r="F15" s="240">
        <v>22</v>
      </c>
      <c r="G15" s="241">
        <v>23</v>
      </c>
      <c r="H15" s="240">
        <v>1</v>
      </c>
      <c r="I15" s="241">
        <v>3</v>
      </c>
      <c r="J15" s="240">
        <v>2</v>
      </c>
      <c r="K15" s="241">
        <v>1</v>
      </c>
      <c r="L15" s="240">
        <v>1</v>
      </c>
      <c r="M15" s="241"/>
      <c r="N15" s="240">
        <v>1</v>
      </c>
      <c r="O15" s="241"/>
      <c r="P15" s="246">
        <v>12</v>
      </c>
      <c r="Q15" s="241">
        <v>6</v>
      </c>
      <c r="R15" s="246">
        <v>7</v>
      </c>
      <c r="S15" s="241">
        <v>5</v>
      </c>
      <c r="T15" s="246">
        <v>11</v>
      </c>
      <c r="U15" s="241">
        <v>5</v>
      </c>
      <c r="V15" s="246">
        <v>134</v>
      </c>
      <c r="W15" s="39"/>
      <c r="X15" s="219">
        <f t="shared" si="0"/>
        <v>71</v>
      </c>
      <c r="Y15" s="219">
        <f t="shared" si="1"/>
        <v>63</v>
      </c>
      <c r="Z15" s="34"/>
      <c r="AA15" s="34"/>
      <c r="AB15" s="34"/>
      <c r="AC15" s="34"/>
      <c r="AD15" s="34"/>
      <c r="AE15" s="34"/>
      <c r="AF15" s="34"/>
      <c r="AG15" s="34"/>
      <c r="AH15" s="34"/>
      <c r="AI15" s="34"/>
      <c r="AJ15" s="34"/>
      <c r="AK15" s="34"/>
      <c r="AL15" s="58"/>
      <c r="AM15" s="58"/>
      <c r="AN15" s="58"/>
      <c r="AO15" s="58"/>
      <c r="AP15" s="58"/>
      <c r="AQ15" s="58"/>
      <c r="AR15" s="58"/>
      <c r="AS15" s="58"/>
      <c r="AT15" s="58"/>
      <c r="AU15" s="58"/>
      <c r="AV15" s="58"/>
      <c r="AW15" s="58"/>
      <c r="AX15" s="58"/>
      <c r="AY15" s="34"/>
      <c r="AZ15" s="34"/>
      <c r="BA15" s="34"/>
      <c r="BB15" s="34"/>
      <c r="BC15" s="34"/>
      <c r="BD15" s="34"/>
      <c r="BE15" s="34"/>
      <c r="BF15" s="34"/>
      <c r="BG15" s="34"/>
      <c r="BH15" s="34"/>
      <c r="BI15" s="34"/>
      <c r="BJ15" s="34"/>
      <c r="BK15" s="34"/>
      <c r="BL15" s="34"/>
      <c r="BM15" s="34"/>
      <c r="BN15" s="34"/>
      <c r="BO15" s="34"/>
      <c r="BP15" s="34"/>
      <c r="BQ15" s="34"/>
      <c r="BR15" s="34"/>
      <c r="BS15" s="34"/>
      <c r="BT15" s="34"/>
      <c r="BU15" s="34"/>
      <c r="BV15" s="34"/>
      <c r="BW15" s="34"/>
      <c r="BX15" s="34"/>
      <c r="BY15" s="34"/>
      <c r="BZ15" s="34"/>
      <c r="CA15" s="34"/>
      <c r="CB15" s="34"/>
      <c r="CC15" s="34"/>
      <c r="CD15" s="34"/>
      <c r="CE15" s="34"/>
      <c r="CF15" s="34"/>
      <c r="CG15" s="34"/>
      <c r="CH15" s="34"/>
      <c r="CI15" s="34"/>
      <c r="CJ15" s="34"/>
      <c r="CK15" s="34"/>
      <c r="CL15" s="34"/>
      <c r="CM15" s="34"/>
      <c r="CN15" s="34"/>
      <c r="CO15" s="34"/>
      <c r="CP15" s="34"/>
      <c r="CQ15" s="34"/>
      <c r="CR15" s="34"/>
      <c r="CS15" s="34"/>
      <c r="CT15" s="34"/>
      <c r="CU15" s="34"/>
      <c r="CV15" s="34"/>
      <c r="CW15" s="34"/>
      <c r="CX15" s="34"/>
      <c r="CY15" s="34"/>
      <c r="CZ15" s="34"/>
      <c r="DA15" s="34"/>
      <c r="DB15" s="34"/>
      <c r="DC15" s="34"/>
      <c r="DD15" s="34"/>
      <c r="DE15" s="34"/>
      <c r="DF15" s="34"/>
      <c r="DG15" s="34"/>
      <c r="DH15" s="34"/>
      <c r="DI15" s="34"/>
      <c r="DJ15" s="34"/>
      <c r="DK15" s="34"/>
      <c r="DL15" s="34"/>
      <c r="DM15" s="34"/>
      <c r="DN15" s="34"/>
      <c r="DO15" s="34"/>
      <c r="DP15" s="34"/>
      <c r="DQ15" s="34"/>
      <c r="DR15" s="34"/>
      <c r="DS15" s="34"/>
      <c r="DT15" s="34"/>
      <c r="DU15" s="34"/>
      <c r="DV15" s="34"/>
      <c r="DW15" s="34"/>
      <c r="DX15" s="34"/>
      <c r="DY15" s="34"/>
      <c r="DZ15" s="34"/>
      <c r="EA15" s="34"/>
      <c r="EB15" s="34"/>
      <c r="EC15" s="34"/>
      <c r="ED15" s="34"/>
      <c r="EE15" s="34"/>
      <c r="EF15" s="34"/>
      <c r="EG15" s="34"/>
      <c r="EH15" s="34"/>
      <c r="EI15" s="34"/>
      <c r="EJ15" s="34"/>
      <c r="EK15" s="34"/>
      <c r="EL15" s="34"/>
      <c r="EM15" s="34"/>
      <c r="EN15" s="34"/>
      <c r="EO15" s="34"/>
      <c r="EP15" s="34"/>
      <c r="EQ15" s="34"/>
      <c r="ER15" s="34"/>
      <c r="ES15" s="34"/>
      <c r="ET15" s="34"/>
      <c r="EU15" s="34"/>
      <c r="EV15" s="34"/>
      <c r="EW15" s="34"/>
      <c r="EX15" s="34"/>
      <c r="EY15" s="34"/>
      <c r="EZ15" s="34"/>
      <c r="FA15" s="34"/>
      <c r="FB15" s="34"/>
      <c r="FC15" s="34"/>
      <c r="FD15" s="34"/>
      <c r="FE15" s="34"/>
      <c r="FF15" s="34"/>
      <c r="FG15" s="34"/>
      <c r="FH15" s="34"/>
      <c r="FI15" s="34"/>
      <c r="FJ15" s="34"/>
      <c r="FK15" s="34"/>
      <c r="FL15" s="34"/>
      <c r="FM15" s="34"/>
      <c r="FN15" s="34"/>
      <c r="FO15" s="34"/>
      <c r="FP15" s="34"/>
      <c r="FQ15" s="34"/>
      <c r="FR15" s="34"/>
      <c r="FS15" s="34"/>
      <c r="FT15" s="34"/>
      <c r="FU15" s="34"/>
      <c r="FV15" s="34"/>
      <c r="FW15" s="34"/>
      <c r="FX15" s="34"/>
      <c r="FY15" s="34"/>
      <c r="FZ15" s="34"/>
      <c r="GA15" s="34"/>
      <c r="GB15" s="34"/>
      <c r="GC15" s="34"/>
      <c r="GD15" s="34"/>
      <c r="GE15" s="34"/>
      <c r="GF15" s="34"/>
      <c r="GG15" s="34"/>
      <c r="GH15" s="34"/>
      <c r="GI15" s="34"/>
      <c r="GJ15" s="34"/>
      <c r="GK15" s="34"/>
      <c r="GL15" s="34"/>
      <c r="GM15" s="34"/>
      <c r="GN15" s="34"/>
      <c r="GO15" s="34"/>
      <c r="GP15" s="34"/>
      <c r="GQ15" s="34"/>
      <c r="GR15" s="34"/>
      <c r="GS15" s="34"/>
      <c r="GT15" s="34"/>
      <c r="GU15" s="34"/>
      <c r="GV15" s="34"/>
      <c r="GW15" s="34"/>
      <c r="GX15" s="34"/>
      <c r="GY15" s="34"/>
      <c r="GZ15" s="34"/>
      <c r="HA15" s="34"/>
      <c r="HB15" s="34"/>
      <c r="HC15" s="34"/>
      <c r="HD15" s="34"/>
      <c r="HE15" s="34"/>
      <c r="HF15" s="34"/>
      <c r="HG15" s="34"/>
      <c r="HH15" s="34"/>
    </row>
    <row r="16" spans="1:518" s="38" customFormat="1" ht="15" customHeight="1" x14ac:dyDescent="0.3">
      <c r="A16" s="240" t="s">
        <v>245</v>
      </c>
      <c r="B16" s="240">
        <v>1</v>
      </c>
      <c r="C16" s="241">
        <v>3</v>
      </c>
      <c r="D16" s="240">
        <v>6</v>
      </c>
      <c r="E16" s="241">
        <v>14</v>
      </c>
      <c r="F16" s="240">
        <v>21</v>
      </c>
      <c r="G16" s="241">
        <v>49</v>
      </c>
      <c r="H16" s="240">
        <v>1</v>
      </c>
      <c r="I16" s="241">
        <v>3</v>
      </c>
      <c r="J16" s="240">
        <v>1</v>
      </c>
      <c r="K16" s="241">
        <v>3</v>
      </c>
      <c r="L16" s="240">
        <v>4</v>
      </c>
      <c r="M16" s="241">
        <v>7</v>
      </c>
      <c r="N16" s="240">
        <v>1</v>
      </c>
      <c r="O16" s="241">
        <v>5</v>
      </c>
      <c r="P16" s="246">
        <v>12</v>
      </c>
      <c r="Q16" s="241">
        <v>38</v>
      </c>
      <c r="R16" s="246">
        <v>5</v>
      </c>
      <c r="S16" s="241">
        <v>10</v>
      </c>
      <c r="T16" s="246">
        <v>6</v>
      </c>
      <c r="U16" s="241">
        <v>11</v>
      </c>
      <c r="V16" s="246">
        <v>201</v>
      </c>
      <c r="W16" s="39"/>
      <c r="X16" s="50">
        <f t="shared" si="0"/>
        <v>58</v>
      </c>
      <c r="Y16" s="50">
        <f t="shared" si="1"/>
        <v>143</v>
      </c>
      <c r="Z16" s="34"/>
      <c r="AA16" s="34"/>
      <c r="AB16" s="34"/>
      <c r="AC16" s="34"/>
      <c r="AD16" s="34"/>
      <c r="AE16" s="34"/>
      <c r="AF16" s="34"/>
      <c r="AG16" s="34"/>
      <c r="AH16" s="34"/>
      <c r="AI16" s="34"/>
      <c r="AJ16" s="34"/>
      <c r="AK16" s="34"/>
      <c r="AL16" s="58"/>
      <c r="AM16" s="58"/>
      <c r="AN16" s="58"/>
      <c r="AO16" s="58"/>
      <c r="AP16" s="58"/>
      <c r="AQ16" s="58"/>
      <c r="AR16" s="58"/>
      <c r="AS16" s="58"/>
      <c r="AT16" s="58"/>
      <c r="AU16" s="58"/>
      <c r="AV16" s="58"/>
      <c r="AW16" s="58"/>
      <c r="AX16" s="58"/>
      <c r="AY16" s="34"/>
      <c r="AZ16" s="34"/>
      <c r="BA16" s="34"/>
      <c r="BB16" s="34"/>
      <c r="BC16" s="34"/>
      <c r="BD16" s="34"/>
      <c r="BE16" s="34"/>
      <c r="BF16" s="34"/>
      <c r="BG16" s="34"/>
      <c r="BH16" s="34"/>
      <c r="BI16" s="34"/>
      <c r="BJ16" s="34"/>
      <c r="BK16" s="34"/>
      <c r="BL16" s="34"/>
      <c r="BM16" s="34"/>
      <c r="BN16" s="34"/>
      <c r="BO16" s="34"/>
      <c r="BP16" s="34"/>
      <c r="BQ16" s="34"/>
      <c r="BR16" s="34"/>
      <c r="BS16" s="34"/>
      <c r="BT16" s="34"/>
      <c r="BU16" s="34"/>
      <c r="BV16" s="34"/>
      <c r="BW16" s="34"/>
      <c r="BX16" s="34"/>
      <c r="BY16" s="34"/>
      <c r="BZ16" s="34"/>
      <c r="CA16" s="34"/>
      <c r="CB16" s="34"/>
      <c r="CC16" s="34"/>
      <c r="CD16" s="34"/>
      <c r="CE16" s="34"/>
      <c r="CF16" s="34"/>
      <c r="CG16" s="34"/>
      <c r="CH16" s="34"/>
      <c r="CI16" s="34"/>
      <c r="CJ16" s="34"/>
      <c r="CK16" s="34"/>
      <c r="CL16" s="34"/>
      <c r="CM16" s="34"/>
      <c r="CN16" s="34"/>
      <c r="CO16" s="34"/>
      <c r="CP16" s="34"/>
      <c r="CQ16" s="34"/>
      <c r="CR16" s="34"/>
      <c r="CS16" s="34"/>
      <c r="CT16" s="34"/>
      <c r="CU16" s="34"/>
      <c r="CV16" s="34"/>
      <c r="CW16" s="34"/>
      <c r="CX16" s="34"/>
      <c r="CY16" s="34"/>
      <c r="CZ16" s="34"/>
      <c r="DA16" s="34"/>
      <c r="DB16" s="34"/>
      <c r="DC16" s="34"/>
      <c r="DD16" s="34"/>
      <c r="DE16" s="34"/>
      <c r="DF16" s="34"/>
      <c r="DG16" s="34"/>
      <c r="DH16" s="34"/>
      <c r="DI16" s="34"/>
      <c r="DJ16" s="34"/>
      <c r="DK16" s="34"/>
      <c r="DL16" s="34"/>
      <c r="DM16" s="34"/>
      <c r="DN16" s="34"/>
      <c r="DO16" s="34"/>
      <c r="DP16" s="34"/>
      <c r="DQ16" s="34"/>
      <c r="DR16" s="34"/>
      <c r="DS16" s="34"/>
      <c r="DT16" s="34"/>
      <c r="DU16" s="34"/>
      <c r="DV16" s="34"/>
      <c r="DW16" s="34"/>
      <c r="DX16" s="34"/>
      <c r="DY16" s="34"/>
      <c r="DZ16" s="34"/>
      <c r="EA16" s="34"/>
      <c r="EB16" s="34"/>
      <c r="EC16" s="34"/>
      <c r="ED16" s="34"/>
      <c r="EE16" s="34"/>
      <c r="EF16" s="34"/>
      <c r="EG16" s="34"/>
      <c r="EH16" s="34"/>
      <c r="EI16" s="34"/>
      <c r="EJ16" s="34"/>
      <c r="EK16" s="34"/>
      <c r="EL16" s="34"/>
      <c r="EM16" s="34"/>
      <c r="EN16" s="34"/>
      <c r="EO16" s="34"/>
      <c r="EP16" s="34"/>
      <c r="EQ16" s="34"/>
      <c r="ER16" s="34"/>
      <c r="ES16" s="34"/>
      <c r="ET16" s="34"/>
      <c r="EU16" s="34"/>
      <c r="EV16" s="34"/>
      <c r="EW16" s="34"/>
      <c r="EX16" s="34"/>
      <c r="EY16" s="34"/>
      <c r="EZ16" s="34"/>
      <c r="FA16" s="34"/>
      <c r="FB16" s="34"/>
      <c r="FC16" s="34"/>
      <c r="FD16" s="34"/>
      <c r="FE16" s="34"/>
      <c r="FF16" s="34"/>
      <c r="FG16" s="34"/>
      <c r="FH16" s="34"/>
      <c r="FI16" s="34"/>
      <c r="FJ16" s="34"/>
      <c r="FK16" s="34"/>
      <c r="FL16" s="34"/>
      <c r="FM16" s="34"/>
      <c r="FN16" s="34"/>
      <c r="FO16" s="34"/>
      <c r="FP16" s="34"/>
      <c r="FQ16" s="34"/>
      <c r="FR16" s="34"/>
      <c r="FS16" s="34"/>
      <c r="FT16" s="34"/>
      <c r="FU16" s="34"/>
      <c r="FV16" s="34"/>
      <c r="FW16" s="34"/>
      <c r="FX16" s="34"/>
      <c r="FY16" s="34"/>
      <c r="FZ16" s="34"/>
      <c r="GA16" s="34"/>
      <c r="GB16" s="34"/>
      <c r="GC16" s="34"/>
      <c r="GD16" s="34"/>
      <c r="GE16" s="34"/>
      <c r="GF16" s="34"/>
      <c r="GG16" s="34"/>
      <c r="GH16" s="34"/>
      <c r="GI16" s="34"/>
      <c r="GJ16" s="34"/>
      <c r="GK16" s="34"/>
      <c r="GL16" s="34"/>
      <c r="GM16" s="34"/>
      <c r="GN16" s="34"/>
      <c r="GO16" s="34"/>
      <c r="GP16" s="34"/>
      <c r="GQ16" s="34"/>
      <c r="GR16" s="34"/>
      <c r="GS16" s="34"/>
      <c r="GT16" s="34"/>
      <c r="GU16" s="34"/>
      <c r="GV16" s="34"/>
      <c r="GW16" s="34"/>
      <c r="GX16" s="34"/>
      <c r="GY16" s="34"/>
      <c r="GZ16" s="34"/>
      <c r="HA16" s="34"/>
      <c r="HB16" s="34"/>
      <c r="HC16" s="34"/>
      <c r="HD16" s="34"/>
      <c r="HE16" s="34"/>
      <c r="HF16" s="34"/>
      <c r="HG16" s="34"/>
      <c r="HH16" s="34"/>
    </row>
    <row r="17" spans="1:216" s="38" customFormat="1" ht="15" customHeight="1" x14ac:dyDescent="0.3">
      <c r="A17" s="240" t="s">
        <v>248</v>
      </c>
      <c r="B17" s="240">
        <v>1</v>
      </c>
      <c r="C17" s="241">
        <v>6</v>
      </c>
      <c r="D17" s="240">
        <v>9</v>
      </c>
      <c r="E17" s="241">
        <v>18</v>
      </c>
      <c r="F17" s="240">
        <v>13</v>
      </c>
      <c r="G17" s="241">
        <v>34</v>
      </c>
      <c r="H17" s="240">
        <v>3</v>
      </c>
      <c r="I17" s="241">
        <v>9</v>
      </c>
      <c r="J17" s="240">
        <v>1</v>
      </c>
      <c r="K17" s="241">
        <v>5</v>
      </c>
      <c r="L17" s="240"/>
      <c r="M17" s="241">
        <v>7</v>
      </c>
      <c r="N17" s="240"/>
      <c r="O17" s="241">
        <v>3</v>
      </c>
      <c r="P17" s="246">
        <v>12</v>
      </c>
      <c r="Q17" s="241">
        <v>46</v>
      </c>
      <c r="R17" s="246">
        <v>5</v>
      </c>
      <c r="S17" s="241">
        <v>19</v>
      </c>
      <c r="T17" s="246">
        <v>9</v>
      </c>
      <c r="U17" s="241">
        <v>12</v>
      </c>
      <c r="V17" s="246">
        <v>212</v>
      </c>
      <c r="W17" s="39"/>
      <c r="X17" s="50">
        <f t="shared" si="0"/>
        <v>53</v>
      </c>
      <c r="Y17" s="50">
        <f t="shared" si="1"/>
        <v>159</v>
      </c>
      <c r="Z17" s="34"/>
      <c r="AA17" s="34"/>
      <c r="AB17" s="34"/>
      <c r="AC17" s="34"/>
      <c r="AD17" s="34"/>
      <c r="AE17" s="34"/>
      <c r="AF17" s="34"/>
      <c r="AG17" s="34"/>
      <c r="AH17" s="34"/>
      <c r="AI17" s="34"/>
      <c r="AJ17" s="34"/>
      <c r="AK17" s="34"/>
      <c r="AL17" s="58"/>
      <c r="AM17" s="58"/>
      <c r="AN17" s="58"/>
      <c r="AO17" s="58"/>
      <c r="AP17" s="58"/>
      <c r="AQ17" s="58"/>
      <c r="AR17" s="58"/>
      <c r="AS17" s="58"/>
      <c r="AT17" s="58"/>
      <c r="AU17" s="58"/>
      <c r="AV17" s="58"/>
      <c r="AW17" s="58"/>
      <c r="AX17" s="58"/>
      <c r="AY17" s="34"/>
      <c r="AZ17" s="34"/>
      <c r="BA17" s="34"/>
      <c r="BB17" s="34"/>
      <c r="BC17" s="34"/>
      <c r="BD17" s="34"/>
      <c r="BE17" s="34"/>
      <c r="BF17" s="34"/>
      <c r="BG17" s="34"/>
      <c r="BH17" s="34"/>
      <c r="BI17" s="34"/>
      <c r="BJ17" s="34"/>
      <c r="BK17" s="34"/>
      <c r="BL17" s="34"/>
      <c r="BM17" s="34"/>
      <c r="BN17" s="34"/>
      <c r="BO17" s="34"/>
      <c r="BP17" s="34"/>
      <c r="BQ17" s="34"/>
      <c r="BR17" s="34"/>
      <c r="BS17" s="34"/>
      <c r="BT17" s="34"/>
      <c r="BU17" s="34"/>
      <c r="BV17" s="34"/>
      <c r="BW17" s="34"/>
      <c r="BX17" s="34"/>
      <c r="BY17" s="34"/>
      <c r="BZ17" s="34"/>
      <c r="CA17" s="34"/>
      <c r="CB17" s="34"/>
      <c r="CC17" s="34"/>
      <c r="CD17" s="34"/>
      <c r="CE17" s="34"/>
      <c r="CF17" s="34"/>
      <c r="CG17" s="34"/>
      <c r="CH17" s="34"/>
      <c r="CI17" s="34"/>
      <c r="CJ17" s="34"/>
      <c r="CK17" s="34"/>
      <c r="CL17" s="34"/>
      <c r="CM17" s="34"/>
      <c r="CN17" s="34"/>
      <c r="CO17" s="34"/>
      <c r="CP17" s="34"/>
      <c r="CQ17" s="34"/>
      <c r="CR17" s="34"/>
      <c r="CS17" s="34"/>
      <c r="CT17" s="34"/>
      <c r="CU17" s="34"/>
      <c r="CV17" s="34"/>
      <c r="CW17" s="34"/>
      <c r="CX17" s="34"/>
      <c r="CY17" s="34"/>
      <c r="CZ17" s="34"/>
      <c r="DA17" s="34"/>
      <c r="DB17" s="34"/>
      <c r="DC17" s="34"/>
      <c r="DD17" s="34"/>
      <c r="DE17" s="34"/>
      <c r="DF17" s="34"/>
      <c r="DG17" s="34"/>
      <c r="DH17" s="34"/>
      <c r="DI17" s="34"/>
      <c r="DJ17" s="34"/>
      <c r="DK17" s="34"/>
      <c r="DL17" s="34"/>
      <c r="DM17" s="34"/>
      <c r="DN17" s="34"/>
      <c r="DO17" s="34"/>
      <c r="DP17" s="34"/>
      <c r="DQ17" s="34"/>
      <c r="DR17" s="34"/>
      <c r="DS17" s="34"/>
      <c r="DT17" s="34"/>
      <c r="DU17" s="34"/>
      <c r="DV17" s="34"/>
      <c r="DW17" s="34"/>
      <c r="DX17" s="34"/>
      <c r="DY17" s="34"/>
      <c r="DZ17" s="34"/>
      <c r="EA17" s="34"/>
      <c r="EB17" s="34"/>
      <c r="EC17" s="34"/>
      <c r="ED17" s="34"/>
      <c r="EE17" s="34"/>
      <c r="EF17" s="34"/>
      <c r="EG17" s="34"/>
      <c r="EH17" s="34"/>
      <c r="EI17" s="34"/>
      <c r="EJ17" s="34"/>
      <c r="EK17" s="34"/>
      <c r="EL17" s="34"/>
      <c r="EM17" s="34"/>
      <c r="EN17" s="34"/>
      <c r="EO17" s="34"/>
      <c r="EP17" s="34"/>
      <c r="EQ17" s="34"/>
      <c r="ER17" s="34"/>
      <c r="ES17" s="34"/>
      <c r="ET17" s="34"/>
      <c r="EU17" s="34"/>
      <c r="EV17" s="34"/>
      <c r="EW17" s="34"/>
      <c r="EX17" s="34"/>
      <c r="EY17" s="34"/>
      <c r="EZ17" s="34"/>
      <c r="FA17" s="34"/>
      <c r="FB17" s="34"/>
      <c r="FC17" s="34"/>
      <c r="FD17" s="34"/>
      <c r="FE17" s="34"/>
      <c r="FF17" s="34"/>
      <c r="FG17" s="34"/>
      <c r="FH17" s="34"/>
      <c r="FI17" s="34"/>
      <c r="FJ17" s="34"/>
      <c r="FK17" s="34"/>
      <c r="FL17" s="34"/>
      <c r="FM17" s="34"/>
      <c r="FN17" s="34"/>
      <c r="FO17" s="34"/>
      <c r="FP17" s="34"/>
      <c r="FQ17" s="34"/>
      <c r="FR17" s="34"/>
      <c r="FS17" s="34"/>
      <c r="FT17" s="34"/>
      <c r="FU17" s="34"/>
      <c r="FV17" s="34"/>
      <c r="FW17" s="34"/>
      <c r="FX17" s="34"/>
      <c r="FY17" s="34"/>
      <c r="FZ17" s="34"/>
      <c r="GA17" s="34"/>
      <c r="GB17" s="34"/>
      <c r="GC17" s="34"/>
      <c r="GD17" s="34"/>
      <c r="GE17" s="34"/>
      <c r="GF17" s="34"/>
      <c r="GG17" s="34"/>
      <c r="GH17" s="34"/>
      <c r="GI17" s="34"/>
      <c r="GJ17" s="34"/>
      <c r="GK17" s="34"/>
      <c r="GL17" s="34"/>
      <c r="GM17" s="34"/>
      <c r="GN17" s="34"/>
      <c r="GO17" s="34"/>
      <c r="GP17" s="34"/>
      <c r="GQ17" s="34"/>
      <c r="GR17" s="34"/>
      <c r="GS17" s="34"/>
      <c r="GT17" s="34"/>
      <c r="GU17" s="34"/>
      <c r="GV17" s="34"/>
      <c r="GW17" s="34"/>
      <c r="GX17" s="34"/>
      <c r="GY17" s="34"/>
      <c r="GZ17" s="34"/>
      <c r="HA17" s="34"/>
      <c r="HB17" s="34"/>
      <c r="HC17" s="34"/>
      <c r="HD17" s="34"/>
      <c r="HE17" s="34"/>
      <c r="HF17" s="34"/>
      <c r="HG17" s="34"/>
      <c r="HH17" s="34"/>
    </row>
    <row r="18" spans="1:216" s="38" customFormat="1" ht="15" customHeight="1" x14ac:dyDescent="0.3">
      <c r="A18" s="240" t="s">
        <v>258</v>
      </c>
      <c r="B18" s="240">
        <v>2</v>
      </c>
      <c r="C18" s="241">
        <v>5</v>
      </c>
      <c r="D18" s="240">
        <v>11</v>
      </c>
      <c r="E18" s="241">
        <v>17</v>
      </c>
      <c r="F18" s="240">
        <v>14</v>
      </c>
      <c r="G18" s="241">
        <v>21</v>
      </c>
      <c r="H18" s="240">
        <v>2</v>
      </c>
      <c r="I18" s="241">
        <v>4</v>
      </c>
      <c r="J18" s="240">
        <v>2</v>
      </c>
      <c r="K18" s="241">
        <v>3</v>
      </c>
      <c r="L18" s="240">
        <v>4</v>
      </c>
      <c r="M18" s="241">
        <v>5</v>
      </c>
      <c r="N18" s="240">
        <v>1</v>
      </c>
      <c r="O18" s="241">
        <v>2</v>
      </c>
      <c r="P18" s="246">
        <v>9</v>
      </c>
      <c r="Q18" s="241">
        <v>24</v>
      </c>
      <c r="R18" s="246">
        <v>2</v>
      </c>
      <c r="S18" s="241">
        <v>8</v>
      </c>
      <c r="T18" s="246">
        <v>5</v>
      </c>
      <c r="U18" s="241">
        <v>6</v>
      </c>
      <c r="V18" s="246">
        <v>147</v>
      </c>
      <c r="W18" s="39"/>
      <c r="X18" s="50">
        <f t="shared" si="0"/>
        <v>52</v>
      </c>
      <c r="Y18" s="50">
        <f t="shared" si="1"/>
        <v>95</v>
      </c>
      <c r="Z18" s="34"/>
      <c r="AA18" s="34"/>
      <c r="AB18" s="34"/>
      <c r="AC18" s="34"/>
      <c r="AD18" s="34"/>
      <c r="AE18" s="34"/>
      <c r="AF18" s="34"/>
      <c r="AG18" s="34"/>
      <c r="AH18" s="34"/>
      <c r="AI18" s="34"/>
      <c r="AJ18" s="34"/>
      <c r="AK18" s="34"/>
      <c r="AL18" s="58"/>
      <c r="AM18" s="58"/>
      <c r="AN18" s="58"/>
      <c r="AO18" s="58"/>
      <c r="AP18" s="58"/>
      <c r="AQ18" s="58"/>
      <c r="AR18" s="58"/>
      <c r="AS18" s="58"/>
      <c r="AT18" s="58"/>
      <c r="AU18" s="58"/>
      <c r="AV18" s="58"/>
      <c r="AW18" s="58"/>
      <c r="AX18" s="58"/>
      <c r="AY18" s="34"/>
      <c r="AZ18" s="34"/>
      <c r="BA18" s="34"/>
      <c r="BB18" s="34"/>
      <c r="BC18" s="34"/>
      <c r="BD18" s="34"/>
      <c r="BE18" s="34"/>
      <c r="BF18" s="34"/>
      <c r="BG18" s="34"/>
      <c r="BH18" s="34"/>
      <c r="BI18" s="34"/>
      <c r="BJ18" s="34"/>
      <c r="BK18" s="34"/>
      <c r="BL18" s="34"/>
      <c r="BM18" s="34"/>
      <c r="BN18" s="34"/>
      <c r="BO18" s="34"/>
      <c r="BP18" s="34"/>
      <c r="BQ18" s="34"/>
      <c r="BR18" s="34"/>
      <c r="BS18" s="34"/>
      <c r="BT18" s="34"/>
      <c r="BU18" s="34"/>
      <c r="BV18" s="34"/>
      <c r="BW18" s="34"/>
      <c r="BX18" s="34"/>
      <c r="BY18" s="34"/>
      <c r="BZ18" s="34"/>
      <c r="CA18" s="34"/>
      <c r="CB18" s="34"/>
      <c r="CC18" s="34"/>
      <c r="CD18" s="34"/>
      <c r="CE18" s="34"/>
      <c r="CF18" s="34"/>
      <c r="CG18" s="34"/>
      <c r="CH18" s="34"/>
      <c r="CI18" s="34"/>
      <c r="CJ18" s="34"/>
      <c r="CK18" s="34"/>
      <c r="CL18" s="34"/>
      <c r="CM18" s="34"/>
      <c r="CN18" s="34"/>
      <c r="CO18" s="34"/>
      <c r="CP18" s="34"/>
      <c r="CQ18" s="34"/>
      <c r="CR18" s="34"/>
      <c r="CS18" s="34"/>
      <c r="CT18" s="34"/>
      <c r="CU18" s="34"/>
      <c r="CV18" s="34"/>
      <c r="CW18" s="34"/>
      <c r="CX18" s="34"/>
      <c r="CY18" s="34"/>
      <c r="CZ18" s="34"/>
      <c r="DA18" s="34"/>
      <c r="DB18" s="34"/>
      <c r="DC18" s="34"/>
      <c r="DD18" s="34"/>
      <c r="DE18" s="34"/>
      <c r="DF18" s="34"/>
      <c r="DG18" s="34"/>
      <c r="DH18" s="34"/>
      <c r="DI18" s="34"/>
      <c r="DJ18" s="34"/>
      <c r="DK18" s="34"/>
      <c r="DL18" s="34"/>
      <c r="DM18" s="34"/>
      <c r="DN18" s="34"/>
      <c r="DO18" s="34"/>
      <c r="DP18" s="34"/>
      <c r="DQ18" s="34"/>
      <c r="DR18" s="34"/>
      <c r="DS18" s="34"/>
      <c r="DT18" s="34"/>
      <c r="DU18" s="34"/>
      <c r="DV18" s="34"/>
      <c r="DW18" s="34"/>
      <c r="DX18" s="34"/>
      <c r="DY18" s="34"/>
      <c r="DZ18" s="34"/>
      <c r="EA18" s="34"/>
      <c r="EB18" s="34"/>
      <c r="EC18" s="34"/>
      <c r="ED18" s="34"/>
      <c r="EE18" s="34"/>
      <c r="EF18" s="34"/>
      <c r="EG18" s="34"/>
      <c r="EH18" s="34"/>
      <c r="EI18" s="34"/>
      <c r="EJ18" s="34"/>
      <c r="EK18" s="34"/>
      <c r="EL18" s="34"/>
      <c r="EM18" s="34"/>
      <c r="EN18" s="34"/>
      <c r="EO18" s="34"/>
      <c r="EP18" s="34"/>
      <c r="EQ18" s="34"/>
      <c r="ER18" s="34"/>
      <c r="ES18" s="34"/>
      <c r="ET18" s="34"/>
      <c r="EU18" s="34"/>
      <c r="EV18" s="34"/>
      <c r="EW18" s="34"/>
      <c r="EX18" s="34"/>
      <c r="EY18" s="34"/>
      <c r="EZ18" s="34"/>
      <c r="FA18" s="34"/>
      <c r="FB18" s="34"/>
      <c r="FC18" s="34"/>
      <c r="FD18" s="34"/>
      <c r="FE18" s="34"/>
      <c r="FF18" s="34"/>
      <c r="FG18" s="34"/>
      <c r="FH18" s="34"/>
      <c r="FI18" s="34"/>
      <c r="FJ18" s="34"/>
      <c r="FK18" s="34"/>
      <c r="FL18" s="34"/>
      <c r="FM18" s="34"/>
      <c r="FN18" s="34"/>
      <c r="FO18" s="34"/>
      <c r="FP18" s="34"/>
      <c r="FQ18" s="34"/>
      <c r="FR18" s="34"/>
      <c r="FS18" s="34"/>
      <c r="FT18" s="34"/>
      <c r="FU18" s="34"/>
      <c r="FV18" s="34"/>
      <c r="FW18" s="34"/>
      <c r="FX18" s="34"/>
      <c r="FY18" s="34"/>
      <c r="FZ18" s="34"/>
      <c r="GA18" s="34"/>
      <c r="GB18" s="34"/>
      <c r="GC18" s="34"/>
      <c r="GD18" s="34"/>
      <c r="GE18" s="34"/>
      <c r="GF18" s="34"/>
      <c r="GG18" s="34"/>
      <c r="GH18" s="34"/>
      <c r="GI18" s="34"/>
      <c r="GJ18" s="34"/>
      <c r="GK18" s="34"/>
      <c r="GL18" s="34"/>
      <c r="GM18" s="34"/>
      <c r="GN18" s="34"/>
      <c r="GO18" s="34"/>
      <c r="GP18" s="34"/>
      <c r="GQ18" s="34"/>
      <c r="GR18" s="34"/>
      <c r="GS18" s="34"/>
      <c r="GT18" s="34"/>
      <c r="GU18" s="34"/>
      <c r="GV18" s="34"/>
      <c r="GW18" s="34"/>
      <c r="GX18" s="34"/>
      <c r="GY18" s="34"/>
      <c r="GZ18" s="34"/>
      <c r="HA18" s="34"/>
      <c r="HB18" s="34"/>
      <c r="HC18" s="34"/>
      <c r="HD18" s="34"/>
      <c r="HE18" s="34"/>
      <c r="HF18" s="34"/>
      <c r="HG18" s="34"/>
      <c r="HH18" s="34"/>
    </row>
    <row r="19" spans="1:216" s="38" customFormat="1" ht="15" customHeight="1" x14ac:dyDescent="0.3">
      <c r="A19" s="240" t="s">
        <v>242</v>
      </c>
      <c r="B19" s="240">
        <v>5</v>
      </c>
      <c r="C19" s="241">
        <v>5</v>
      </c>
      <c r="D19" s="240">
        <v>9</v>
      </c>
      <c r="E19" s="241">
        <v>5</v>
      </c>
      <c r="F19" s="240">
        <v>16</v>
      </c>
      <c r="G19" s="241">
        <v>31</v>
      </c>
      <c r="H19" s="240"/>
      <c r="I19" s="241">
        <v>2</v>
      </c>
      <c r="J19" s="240">
        <v>2</v>
      </c>
      <c r="K19" s="241">
        <v>3</v>
      </c>
      <c r="L19" s="240">
        <v>5</v>
      </c>
      <c r="M19" s="241">
        <v>10</v>
      </c>
      <c r="N19" s="240">
        <v>1</v>
      </c>
      <c r="O19" s="241">
        <v>3</v>
      </c>
      <c r="P19" s="246">
        <v>16</v>
      </c>
      <c r="Q19" s="241">
        <v>36</v>
      </c>
      <c r="R19" s="246">
        <v>5</v>
      </c>
      <c r="S19" s="241">
        <v>9</v>
      </c>
      <c r="T19" s="246">
        <v>3</v>
      </c>
      <c r="U19" s="241">
        <v>4</v>
      </c>
      <c r="V19" s="246">
        <v>170</v>
      </c>
      <c r="W19" s="39"/>
      <c r="X19" s="50">
        <f t="shared" si="0"/>
        <v>62</v>
      </c>
      <c r="Y19" s="50">
        <f t="shared" si="1"/>
        <v>108</v>
      </c>
      <c r="Z19" s="34"/>
      <c r="AA19" s="34"/>
      <c r="AB19" s="34"/>
      <c r="AC19" s="34"/>
      <c r="AD19" s="34"/>
      <c r="AE19" s="34"/>
      <c r="AF19" s="34"/>
      <c r="AG19" s="34"/>
      <c r="AH19" s="34"/>
      <c r="AI19" s="34"/>
      <c r="AJ19" s="34"/>
      <c r="AK19" s="34"/>
      <c r="AL19" s="58"/>
      <c r="AM19" s="58"/>
      <c r="AN19" s="58"/>
      <c r="AO19" s="58"/>
      <c r="AP19" s="58"/>
      <c r="AQ19" s="58"/>
      <c r="AR19" s="58"/>
      <c r="AS19" s="58"/>
      <c r="AT19" s="58"/>
      <c r="AU19" s="58"/>
      <c r="AV19" s="58"/>
      <c r="AW19" s="58"/>
      <c r="AX19" s="58"/>
      <c r="AY19" s="34"/>
      <c r="AZ19" s="34"/>
      <c r="BA19" s="34"/>
      <c r="BB19" s="34"/>
      <c r="BC19" s="34"/>
      <c r="BD19" s="34"/>
      <c r="BE19" s="34"/>
      <c r="BF19" s="34"/>
      <c r="BG19" s="34"/>
      <c r="BH19" s="34"/>
      <c r="BI19" s="34"/>
      <c r="BJ19" s="34"/>
      <c r="BK19" s="34"/>
      <c r="BL19" s="34"/>
      <c r="BM19" s="34"/>
      <c r="BN19" s="34"/>
      <c r="BO19" s="34"/>
      <c r="BP19" s="34"/>
      <c r="BQ19" s="34"/>
      <c r="BR19" s="34"/>
      <c r="BS19" s="34"/>
      <c r="BT19" s="34"/>
      <c r="BU19" s="34"/>
      <c r="BV19" s="34"/>
      <c r="BW19" s="34"/>
      <c r="BX19" s="34"/>
      <c r="BY19" s="34"/>
      <c r="BZ19" s="34"/>
      <c r="CA19" s="34"/>
      <c r="CB19" s="34"/>
      <c r="CC19" s="34"/>
      <c r="CD19" s="34"/>
      <c r="CE19" s="34"/>
      <c r="CF19" s="34"/>
      <c r="CG19" s="34"/>
      <c r="CH19" s="34"/>
      <c r="CI19" s="34"/>
      <c r="CJ19" s="34"/>
      <c r="CK19" s="34"/>
      <c r="CL19" s="34"/>
      <c r="CM19" s="34"/>
      <c r="CN19" s="34"/>
      <c r="CO19" s="34"/>
      <c r="CP19" s="34"/>
      <c r="CQ19" s="34"/>
      <c r="CR19" s="34"/>
      <c r="CS19" s="34"/>
      <c r="CT19" s="34"/>
      <c r="CU19" s="34"/>
      <c r="CV19" s="34"/>
      <c r="CW19" s="34"/>
      <c r="CX19" s="34"/>
      <c r="CY19" s="34"/>
      <c r="CZ19" s="34"/>
      <c r="DA19" s="34"/>
      <c r="DB19" s="34"/>
      <c r="DC19" s="34"/>
      <c r="DD19" s="34"/>
      <c r="DE19" s="34"/>
      <c r="DF19" s="34"/>
      <c r="DG19" s="34"/>
      <c r="DH19" s="34"/>
      <c r="DI19" s="34"/>
      <c r="DJ19" s="34"/>
      <c r="DK19" s="34"/>
      <c r="DL19" s="34"/>
      <c r="DM19" s="34"/>
      <c r="DN19" s="34"/>
      <c r="DO19" s="34"/>
      <c r="DP19" s="34"/>
      <c r="DQ19" s="34"/>
      <c r="DR19" s="34"/>
      <c r="DS19" s="34"/>
      <c r="DT19" s="34"/>
      <c r="DU19" s="34"/>
      <c r="DV19" s="34"/>
      <c r="DW19" s="34"/>
      <c r="DX19" s="34"/>
      <c r="DY19" s="34"/>
      <c r="DZ19" s="34"/>
      <c r="EA19" s="34"/>
      <c r="EB19" s="34"/>
      <c r="EC19" s="34"/>
      <c r="ED19" s="34"/>
      <c r="EE19" s="34"/>
      <c r="EF19" s="34"/>
      <c r="EG19" s="34"/>
      <c r="EH19" s="34"/>
      <c r="EI19" s="34"/>
      <c r="EJ19" s="34"/>
      <c r="EK19" s="34"/>
      <c r="EL19" s="34"/>
      <c r="EM19" s="34"/>
      <c r="EN19" s="34"/>
      <c r="EO19" s="34"/>
      <c r="EP19" s="34"/>
      <c r="EQ19" s="34"/>
      <c r="ER19" s="34"/>
      <c r="ES19" s="34"/>
      <c r="ET19" s="34"/>
      <c r="EU19" s="34"/>
      <c r="EV19" s="34"/>
      <c r="EW19" s="34"/>
      <c r="EX19" s="34"/>
      <c r="EY19" s="34"/>
      <c r="EZ19" s="34"/>
      <c r="FA19" s="34"/>
      <c r="FB19" s="34"/>
      <c r="FC19" s="34"/>
      <c r="FD19" s="34"/>
      <c r="FE19" s="34"/>
      <c r="FF19" s="34"/>
      <c r="FG19" s="34"/>
      <c r="FH19" s="34"/>
      <c r="FI19" s="34"/>
      <c r="FJ19" s="34"/>
      <c r="FK19" s="34"/>
      <c r="FL19" s="34"/>
      <c r="FM19" s="34"/>
      <c r="FN19" s="34"/>
      <c r="FO19" s="34"/>
      <c r="FP19" s="34"/>
      <c r="FQ19" s="34"/>
      <c r="FR19" s="34"/>
      <c r="FS19" s="34"/>
      <c r="FT19" s="34"/>
      <c r="FU19" s="34"/>
      <c r="FV19" s="34"/>
      <c r="FW19" s="34"/>
      <c r="FX19" s="34"/>
      <c r="FY19" s="34"/>
      <c r="FZ19" s="34"/>
      <c r="GA19" s="34"/>
      <c r="GB19" s="34"/>
      <c r="GC19" s="34"/>
      <c r="GD19" s="34"/>
      <c r="GE19" s="34"/>
      <c r="GF19" s="34"/>
      <c r="GG19" s="34"/>
      <c r="GH19" s="34"/>
      <c r="GI19" s="34"/>
      <c r="GJ19" s="34"/>
      <c r="GK19" s="34"/>
      <c r="GL19" s="34"/>
      <c r="GM19" s="34"/>
      <c r="GN19" s="34"/>
      <c r="GO19" s="34"/>
      <c r="GP19" s="34"/>
      <c r="GQ19" s="34"/>
      <c r="GR19" s="34"/>
      <c r="GS19" s="34"/>
      <c r="GT19" s="34"/>
      <c r="GU19" s="34"/>
      <c r="GV19" s="34"/>
      <c r="GW19" s="34"/>
      <c r="GX19" s="34"/>
      <c r="GY19" s="34"/>
      <c r="GZ19" s="34"/>
      <c r="HA19" s="34"/>
      <c r="HB19" s="34"/>
      <c r="HC19" s="34"/>
      <c r="HD19" s="34"/>
      <c r="HE19" s="34"/>
      <c r="HF19" s="34"/>
      <c r="HG19" s="34"/>
      <c r="HH19" s="34"/>
    </row>
    <row r="20" spans="1:216" s="38" customFormat="1" ht="16.5" customHeight="1" x14ac:dyDescent="0.3">
      <c r="A20" s="240" t="s">
        <v>259</v>
      </c>
      <c r="B20" s="240">
        <v>4</v>
      </c>
      <c r="C20" s="241">
        <v>8</v>
      </c>
      <c r="D20" s="240">
        <v>9</v>
      </c>
      <c r="E20" s="241">
        <v>14</v>
      </c>
      <c r="F20" s="240">
        <v>11</v>
      </c>
      <c r="G20" s="241">
        <v>36</v>
      </c>
      <c r="H20" s="240">
        <v>2</v>
      </c>
      <c r="I20" s="241">
        <v>5</v>
      </c>
      <c r="J20" s="240">
        <v>1</v>
      </c>
      <c r="K20" s="241">
        <v>7</v>
      </c>
      <c r="L20" s="240">
        <v>2</v>
      </c>
      <c r="M20" s="241">
        <v>5</v>
      </c>
      <c r="N20" s="240">
        <v>1</v>
      </c>
      <c r="O20" s="241">
        <v>2</v>
      </c>
      <c r="P20" s="246">
        <v>16</v>
      </c>
      <c r="Q20" s="241">
        <v>35</v>
      </c>
      <c r="R20" s="246">
        <v>7</v>
      </c>
      <c r="S20" s="241">
        <v>10</v>
      </c>
      <c r="T20" s="246">
        <v>7</v>
      </c>
      <c r="U20" s="241">
        <v>14</v>
      </c>
      <c r="V20" s="246">
        <v>196</v>
      </c>
      <c r="W20" s="39"/>
      <c r="X20" s="50">
        <f t="shared" si="0"/>
        <v>60</v>
      </c>
      <c r="Y20" s="50">
        <f t="shared" si="1"/>
        <v>136</v>
      </c>
      <c r="Z20" s="34"/>
      <c r="AA20" s="34"/>
      <c r="AB20" s="34"/>
      <c r="AC20" s="34"/>
      <c r="AD20" s="34"/>
      <c r="AE20" s="34"/>
      <c r="AF20" s="34"/>
      <c r="AG20" s="34"/>
      <c r="AH20" s="34"/>
      <c r="AI20" s="34"/>
      <c r="AJ20" s="34"/>
      <c r="AK20" s="34"/>
      <c r="AL20" s="58"/>
      <c r="AM20" s="58"/>
      <c r="AN20" s="58"/>
      <c r="AO20" s="58"/>
      <c r="AP20" s="58"/>
      <c r="AQ20" s="58"/>
      <c r="AR20" s="58"/>
      <c r="AS20" s="58"/>
      <c r="AT20" s="58"/>
      <c r="AU20" s="58"/>
      <c r="AV20" s="58"/>
      <c r="AW20" s="58"/>
      <c r="AX20" s="58"/>
      <c r="AY20" s="34"/>
      <c r="AZ20" s="34"/>
      <c r="BA20" s="34"/>
      <c r="BB20" s="34"/>
      <c r="BC20" s="34"/>
      <c r="BD20" s="34"/>
      <c r="BE20" s="34"/>
      <c r="BF20" s="34"/>
      <c r="BG20" s="34"/>
      <c r="BH20" s="34"/>
      <c r="BI20" s="34"/>
      <c r="BJ20" s="34"/>
      <c r="BK20" s="34"/>
      <c r="BL20" s="34"/>
      <c r="BM20" s="34"/>
      <c r="BN20" s="34"/>
      <c r="BO20" s="34"/>
      <c r="BP20" s="34"/>
      <c r="BQ20" s="34"/>
      <c r="BR20" s="34"/>
      <c r="BS20" s="34"/>
      <c r="BT20" s="34"/>
      <c r="BU20" s="34"/>
      <c r="BV20" s="34"/>
      <c r="BW20" s="34"/>
      <c r="BX20" s="34"/>
      <c r="BY20" s="34"/>
      <c r="BZ20" s="34"/>
      <c r="CA20" s="34"/>
      <c r="CB20" s="34"/>
      <c r="CC20" s="34"/>
      <c r="CD20" s="34"/>
      <c r="CE20" s="34"/>
      <c r="CF20" s="34"/>
      <c r="CG20" s="34"/>
      <c r="CH20" s="34"/>
      <c r="CI20" s="34"/>
      <c r="CJ20" s="34"/>
      <c r="CK20" s="34"/>
      <c r="CL20" s="34"/>
      <c r="CM20" s="34"/>
      <c r="CN20" s="34"/>
      <c r="CO20" s="34"/>
      <c r="CP20" s="34"/>
      <c r="CQ20" s="34"/>
      <c r="CR20" s="34"/>
      <c r="CS20" s="34"/>
      <c r="CT20" s="34"/>
      <c r="CU20" s="34"/>
      <c r="CV20" s="34"/>
      <c r="CW20" s="34"/>
      <c r="CX20" s="34"/>
      <c r="CY20" s="34"/>
      <c r="CZ20" s="34"/>
      <c r="DA20" s="34"/>
      <c r="DB20" s="34"/>
      <c r="DC20" s="34"/>
      <c r="DD20" s="34"/>
      <c r="DE20" s="34"/>
      <c r="DF20" s="34"/>
      <c r="DG20" s="34"/>
      <c r="DH20" s="34"/>
      <c r="DI20" s="34"/>
      <c r="DJ20" s="34"/>
      <c r="DK20" s="34"/>
      <c r="DL20" s="34"/>
      <c r="DM20" s="34"/>
      <c r="DN20" s="34"/>
      <c r="DO20" s="34"/>
      <c r="DP20" s="34"/>
      <c r="DQ20" s="34"/>
      <c r="DR20" s="34"/>
      <c r="DS20" s="34"/>
      <c r="DT20" s="34"/>
      <c r="DU20" s="34"/>
      <c r="DV20" s="34"/>
      <c r="DW20" s="34"/>
      <c r="DX20" s="34"/>
      <c r="DY20" s="34"/>
      <c r="DZ20" s="34"/>
      <c r="EA20" s="34"/>
      <c r="EB20" s="34"/>
      <c r="EC20" s="34"/>
      <c r="ED20" s="34"/>
      <c r="EE20" s="34"/>
      <c r="EF20" s="34"/>
      <c r="EG20" s="34"/>
      <c r="EH20" s="34"/>
      <c r="EI20" s="34"/>
      <c r="EJ20" s="34"/>
      <c r="EK20" s="34"/>
      <c r="EL20" s="34"/>
      <c r="EM20" s="34"/>
      <c r="EN20" s="34"/>
      <c r="EO20" s="34"/>
      <c r="EP20" s="34"/>
      <c r="EQ20" s="34"/>
      <c r="ER20" s="34"/>
      <c r="ES20" s="34"/>
      <c r="ET20" s="34"/>
      <c r="EU20" s="34"/>
      <c r="EV20" s="34"/>
      <c r="EW20" s="34"/>
      <c r="EX20" s="34"/>
      <c r="EY20" s="34"/>
      <c r="EZ20" s="34"/>
      <c r="FA20" s="34"/>
      <c r="FB20" s="34"/>
      <c r="FC20" s="34"/>
      <c r="FD20" s="34"/>
      <c r="FE20" s="34"/>
      <c r="FF20" s="34"/>
      <c r="FG20" s="34"/>
      <c r="FH20" s="34"/>
      <c r="FI20" s="34"/>
      <c r="FJ20" s="34"/>
      <c r="FK20" s="34"/>
      <c r="FL20" s="34"/>
      <c r="FM20" s="34"/>
      <c r="FN20" s="34"/>
      <c r="FO20" s="34"/>
      <c r="FP20" s="34"/>
      <c r="FQ20" s="34"/>
      <c r="FR20" s="34"/>
      <c r="FS20" s="34"/>
      <c r="FT20" s="34"/>
      <c r="FU20" s="34"/>
      <c r="FV20" s="34"/>
      <c r="FW20" s="34"/>
      <c r="FX20" s="34"/>
      <c r="FY20" s="34"/>
      <c r="FZ20" s="34"/>
      <c r="GA20" s="34"/>
      <c r="GB20" s="34"/>
      <c r="GC20" s="34"/>
      <c r="GD20" s="34"/>
      <c r="GE20" s="34"/>
      <c r="GF20" s="34"/>
      <c r="GG20" s="34"/>
      <c r="GH20" s="34"/>
      <c r="GI20" s="34"/>
      <c r="GJ20" s="34"/>
      <c r="GK20" s="34"/>
      <c r="GL20" s="34"/>
      <c r="GM20" s="34"/>
      <c r="GN20" s="34"/>
      <c r="GO20" s="34"/>
      <c r="GP20" s="34"/>
      <c r="GQ20" s="34"/>
      <c r="GR20" s="34"/>
      <c r="GS20" s="34"/>
      <c r="GT20" s="34"/>
      <c r="GU20" s="34"/>
      <c r="GV20" s="34"/>
      <c r="GW20" s="34"/>
      <c r="GX20" s="34"/>
      <c r="GY20" s="34"/>
      <c r="GZ20" s="34"/>
      <c r="HA20" s="34"/>
      <c r="HB20" s="34"/>
      <c r="HC20" s="34"/>
      <c r="HD20" s="34"/>
      <c r="HE20" s="34"/>
      <c r="HF20" s="34"/>
      <c r="HG20" s="34"/>
      <c r="HH20" s="34"/>
    </row>
    <row r="21" spans="1:216" s="38" customFormat="1" ht="15" customHeight="1" x14ac:dyDescent="0.3">
      <c r="A21" s="240" t="s">
        <v>239</v>
      </c>
      <c r="B21" s="240">
        <v>3</v>
      </c>
      <c r="C21" s="241">
        <v>10</v>
      </c>
      <c r="D21" s="240">
        <v>15</v>
      </c>
      <c r="E21" s="241">
        <v>22</v>
      </c>
      <c r="F21" s="240">
        <v>26</v>
      </c>
      <c r="G21" s="241">
        <v>44</v>
      </c>
      <c r="H21" s="240">
        <v>5</v>
      </c>
      <c r="I21" s="241">
        <v>4</v>
      </c>
      <c r="J21" s="240">
        <v>5</v>
      </c>
      <c r="K21" s="241">
        <v>4</v>
      </c>
      <c r="L21" s="240">
        <v>4</v>
      </c>
      <c r="M21" s="241">
        <v>8</v>
      </c>
      <c r="N21" s="240">
        <v>1</v>
      </c>
      <c r="O21" s="241">
        <v>5</v>
      </c>
      <c r="P21" s="246">
        <v>17</v>
      </c>
      <c r="Q21" s="241">
        <v>52</v>
      </c>
      <c r="R21" s="246">
        <v>7</v>
      </c>
      <c r="S21" s="241">
        <v>10</v>
      </c>
      <c r="T21" s="246">
        <v>4</v>
      </c>
      <c r="U21" s="241">
        <v>9</v>
      </c>
      <c r="V21" s="246">
        <v>255</v>
      </c>
      <c r="W21" s="39"/>
      <c r="X21" s="50">
        <f t="shared" si="0"/>
        <v>87</v>
      </c>
      <c r="Y21" s="50">
        <f t="shared" si="1"/>
        <v>168</v>
      </c>
      <c r="Z21" s="34"/>
      <c r="AA21" s="34"/>
      <c r="AB21" s="34"/>
      <c r="AC21" s="34"/>
      <c r="AD21" s="34"/>
      <c r="AE21" s="34"/>
      <c r="AF21" s="34"/>
      <c r="AG21" s="34"/>
      <c r="AH21" s="34"/>
      <c r="AI21" s="34"/>
      <c r="AJ21" s="34"/>
      <c r="AK21" s="34"/>
      <c r="AL21" s="58"/>
      <c r="AM21" s="58"/>
      <c r="AN21" s="58"/>
      <c r="AO21" s="58"/>
      <c r="AP21" s="58"/>
      <c r="AQ21" s="58"/>
      <c r="AR21" s="58"/>
      <c r="AS21" s="58"/>
      <c r="AT21" s="58"/>
      <c r="AU21" s="58"/>
      <c r="AV21" s="58"/>
      <c r="AW21" s="58"/>
      <c r="AX21" s="58"/>
      <c r="AY21" s="34"/>
      <c r="AZ21" s="34"/>
      <c r="BA21" s="34"/>
      <c r="BB21" s="34"/>
      <c r="BC21" s="34"/>
      <c r="BD21" s="34"/>
      <c r="BE21" s="34"/>
      <c r="BF21" s="34"/>
      <c r="BG21" s="34"/>
      <c r="BH21" s="34"/>
      <c r="BI21" s="34"/>
      <c r="BJ21" s="34"/>
      <c r="BK21" s="34"/>
      <c r="BL21" s="34"/>
      <c r="BM21" s="34"/>
      <c r="BN21" s="34"/>
      <c r="BO21" s="34"/>
      <c r="BP21" s="34"/>
      <c r="BQ21" s="34"/>
      <c r="BR21" s="34"/>
      <c r="BS21" s="34"/>
      <c r="BT21" s="34"/>
      <c r="BU21" s="34"/>
      <c r="BV21" s="34"/>
      <c r="BW21" s="34"/>
      <c r="BX21" s="34"/>
      <c r="BY21" s="34"/>
      <c r="BZ21" s="34"/>
      <c r="CA21" s="34"/>
      <c r="CB21" s="34"/>
      <c r="CC21" s="34"/>
      <c r="CD21" s="34"/>
      <c r="CE21" s="34"/>
      <c r="CF21" s="34"/>
      <c r="CG21" s="34"/>
      <c r="CH21" s="34"/>
      <c r="CI21" s="34"/>
      <c r="CJ21" s="34"/>
      <c r="CK21" s="34"/>
      <c r="CL21" s="34"/>
      <c r="CM21" s="34"/>
      <c r="CN21" s="34"/>
      <c r="CO21" s="34"/>
      <c r="CP21" s="34"/>
      <c r="CQ21" s="34"/>
      <c r="CR21" s="34"/>
      <c r="CS21" s="34"/>
      <c r="CT21" s="34"/>
      <c r="CU21" s="34"/>
      <c r="CV21" s="34"/>
      <c r="CW21" s="34"/>
      <c r="CX21" s="34"/>
      <c r="CY21" s="34"/>
      <c r="CZ21" s="34"/>
      <c r="DA21" s="34"/>
      <c r="DB21" s="34"/>
      <c r="DC21" s="34"/>
      <c r="DD21" s="34"/>
      <c r="DE21" s="34"/>
      <c r="DF21" s="34"/>
      <c r="DG21" s="34"/>
      <c r="DH21" s="34"/>
      <c r="DI21" s="34"/>
      <c r="DJ21" s="34"/>
      <c r="DK21" s="34"/>
      <c r="DL21" s="34"/>
      <c r="DM21" s="34"/>
      <c r="DN21" s="34"/>
      <c r="DO21" s="34"/>
      <c r="DP21" s="34"/>
      <c r="DQ21" s="34"/>
      <c r="DR21" s="34"/>
      <c r="DS21" s="34"/>
      <c r="DT21" s="34"/>
      <c r="DU21" s="34"/>
      <c r="DV21" s="34"/>
      <c r="DW21" s="34"/>
      <c r="DX21" s="34"/>
      <c r="DY21" s="34"/>
      <c r="DZ21" s="34"/>
      <c r="EA21" s="34"/>
      <c r="EB21" s="34"/>
      <c r="EC21" s="34"/>
      <c r="ED21" s="34"/>
      <c r="EE21" s="34"/>
      <c r="EF21" s="34"/>
      <c r="EG21" s="34"/>
      <c r="EH21" s="34"/>
      <c r="EI21" s="34"/>
      <c r="EJ21" s="34"/>
      <c r="EK21" s="34"/>
      <c r="EL21" s="34"/>
      <c r="EM21" s="34"/>
      <c r="EN21" s="34"/>
      <c r="EO21" s="34"/>
      <c r="EP21" s="34"/>
      <c r="EQ21" s="34"/>
      <c r="ER21" s="34"/>
      <c r="ES21" s="34"/>
      <c r="ET21" s="34"/>
      <c r="EU21" s="34"/>
      <c r="EV21" s="34"/>
      <c r="EW21" s="34"/>
      <c r="EX21" s="34"/>
      <c r="EY21" s="34"/>
      <c r="EZ21" s="34"/>
      <c r="FA21" s="34"/>
      <c r="FB21" s="34"/>
      <c r="FC21" s="34"/>
      <c r="FD21" s="34"/>
      <c r="FE21" s="34"/>
      <c r="FF21" s="34"/>
      <c r="FG21" s="34"/>
      <c r="FH21" s="34"/>
      <c r="FI21" s="34"/>
      <c r="FJ21" s="34"/>
      <c r="FK21" s="34"/>
      <c r="FL21" s="34"/>
      <c r="FM21" s="34"/>
      <c r="FN21" s="34"/>
      <c r="FO21" s="34"/>
      <c r="FP21" s="34"/>
      <c r="FQ21" s="34"/>
      <c r="FR21" s="34"/>
      <c r="FS21" s="34"/>
      <c r="FT21" s="34"/>
      <c r="FU21" s="34"/>
      <c r="FV21" s="34"/>
      <c r="FW21" s="34"/>
      <c r="FX21" s="34"/>
      <c r="FY21" s="34"/>
      <c r="FZ21" s="34"/>
      <c r="GA21" s="34"/>
      <c r="GB21" s="34"/>
      <c r="GC21" s="34"/>
      <c r="GD21" s="34"/>
      <c r="GE21" s="34"/>
      <c r="GF21" s="34"/>
      <c r="GG21" s="34"/>
      <c r="GH21" s="34"/>
      <c r="GI21" s="34"/>
      <c r="GJ21" s="34"/>
      <c r="GK21" s="34"/>
      <c r="GL21" s="34"/>
      <c r="GM21" s="34"/>
      <c r="GN21" s="34"/>
      <c r="GO21" s="34"/>
      <c r="GP21" s="34"/>
      <c r="GQ21" s="34"/>
      <c r="GR21" s="34"/>
      <c r="GS21" s="34"/>
      <c r="GT21" s="34"/>
      <c r="GU21" s="34"/>
      <c r="GV21" s="34"/>
      <c r="GW21" s="34"/>
      <c r="GX21" s="34"/>
      <c r="GY21" s="34"/>
      <c r="GZ21" s="34"/>
      <c r="HA21" s="34"/>
      <c r="HB21" s="34"/>
      <c r="HC21" s="34"/>
      <c r="HD21" s="34"/>
      <c r="HE21" s="34"/>
      <c r="HF21" s="34"/>
      <c r="HG21" s="34"/>
      <c r="HH21" s="34"/>
    </row>
    <row r="22" spans="1:216" s="38" customFormat="1" ht="15" customHeight="1" x14ac:dyDescent="0.3">
      <c r="A22" s="240" t="s">
        <v>253</v>
      </c>
      <c r="B22" s="240">
        <v>9</v>
      </c>
      <c r="C22" s="241">
        <v>19</v>
      </c>
      <c r="D22" s="240">
        <v>16</v>
      </c>
      <c r="E22" s="241">
        <v>29</v>
      </c>
      <c r="F22" s="240">
        <v>23</v>
      </c>
      <c r="G22" s="241">
        <v>65</v>
      </c>
      <c r="H22" s="240">
        <v>3</v>
      </c>
      <c r="I22" s="241">
        <v>8</v>
      </c>
      <c r="J22" s="240">
        <v>4</v>
      </c>
      <c r="K22" s="241">
        <v>13</v>
      </c>
      <c r="L22" s="240">
        <v>9</v>
      </c>
      <c r="M22" s="241">
        <v>23</v>
      </c>
      <c r="N22" s="240">
        <v>3</v>
      </c>
      <c r="O22" s="241">
        <v>4</v>
      </c>
      <c r="P22" s="246">
        <v>17</v>
      </c>
      <c r="Q22" s="241">
        <v>61</v>
      </c>
      <c r="R22" s="246">
        <v>10</v>
      </c>
      <c r="S22" s="241">
        <v>21</v>
      </c>
      <c r="T22" s="246">
        <v>8</v>
      </c>
      <c r="U22" s="241">
        <v>23</v>
      </c>
      <c r="V22" s="246">
        <v>368</v>
      </c>
      <c r="W22" s="39"/>
      <c r="X22" s="50">
        <f t="shared" si="0"/>
        <v>102</v>
      </c>
      <c r="Y22" s="50">
        <f t="shared" si="1"/>
        <v>266</v>
      </c>
      <c r="Z22" s="34"/>
      <c r="AA22" s="34"/>
      <c r="AB22" s="34"/>
      <c r="AC22" s="34"/>
      <c r="AD22" s="34"/>
      <c r="AE22" s="34"/>
      <c r="AF22" s="34"/>
      <c r="AG22" s="34"/>
      <c r="AH22" s="34"/>
      <c r="AI22" s="34"/>
      <c r="AJ22" s="34"/>
      <c r="AK22" s="34"/>
      <c r="AL22" s="58"/>
      <c r="AM22" s="58"/>
      <c r="AN22" s="58"/>
      <c r="AO22" s="58"/>
      <c r="AP22" s="58"/>
      <c r="AQ22" s="58"/>
      <c r="AR22" s="58"/>
      <c r="AS22" s="58"/>
      <c r="AT22" s="58"/>
      <c r="AU22" s="58"/>
      <c r="AV22" s="58"/>
      <c r="AW22" s="58"/>
      <c r="AX22" s="58"/>
      <c r="AY22" s="34"/>
      <c r="AZ22" s="34"/>
      <c r="BA22" s="34"/>
      <c r="BB22" s="34"/>
      <c r="BC22" s="34"/>
      <c r="BD22" s="34"/>
      <c r="BE22" s="34"/>
      <c r="BF22" s="34"/>
      <c r="BG22" s="34"/>
      <c r="BH22" s="34"/>
      <c r="BI22" s="34"/>
      <c r="BJ22" s="34"/>
      <c r="BK22" s="34"/>
      <c r="BL22" s="34"/>
      <c r="BM22" s="34"/>
      <c r="BN22" s="34"/>
      <c r="BO22" s="34"/>
      <c r="BP22" s="34"/>
      <c r="BQ22" s="34"/>
      <c r="BR22" s="34"/>
      <c r="BS22" s="34"/>
      <c r="BT22" s="34"/>
      <c r="BU22" s="34"/>
      <c r="BV22" s="34"/>
      <c r="BW22" s="34"/>
      <c r="BX22" s="34"/>
      <c r="BY22" s="34"/>
      <c r="BZ22" s="34"/>
      <c r="CA22" s="34"/>
      <c r="CB22" s="34"/>
      <c r="CC22" s="34"/>
      <c r="CD22" s="34"/>
      <c r="CE22" s="34"/>
      <c r="CF22" s="34"/>
      <c r="CG22" s="34"/>
      <c r="CH22" s="34"/>
      <c r="CI22" s="34"/>
      <c r="CJ22" s="34"/>
      <c r="CK22" s="34"/>
      <c r="CL22" s="34"/>
      <c r="CM22" s="34"/>
      <c r="CN22" s="34"/>
      <c r="CO22" s="34"/>
      <c r="CP22" s="34"/>
      <c r="CQ22" s="34"/>
      <c r="CR22" s="34"/>
      <c r="CS22" s="34"/>
      <c r="CT22" s="34"/>
      <c r="CU22" s="34"/>
      <c r="CV22" s="34"/>
      <c r="CW22" s="34"/>
      <c r="CX22" s="34"/>
      <c r="CY22" s="34"/>
      <c r="CZ22" s="34"/>
      <c r="DA22" s="34"/>
      <c r="DB22" s="34"/>
      <c r="DC22" s="34"/>
      <c r="DD22" s="34"/>
      <c r="DE22" s="34"/>
      <c r="DF22" s="34"/>
      <c r="DG22" s="34"/>
      <c r="DH22" s="34"/>
      <c r="DI22" s="34"/>
      <c r="DJ22" s="34"/>
      <c r="DK22" s="34"/>
      <c r="DL22" s="34"/>
      <c r="DM22" s="34"/>
      <c r="DN22" s="34"/>
      <c r="DO22" s="34"/>
      <c r="DP22" s="34"/>
      <c r="DQ22" s="34"/>
      <c r="DR22" s="34"/>
      <c r="DS22" s="34"/>
      <c r="DT22" s="34"/>
      <c r="DU22" s="34"/>
      <c r="DV22" s="34"/>
      <c r="DW22" s="34"/>
      <c r="DX22" s="34"/>
      <c r="DY22" s="34"/>
      <c r="DZ22" s="34"/>
      <c r="EA22" s="34"/>
      <c r="EB22" s="34"/>
      <c r="EC22" s="34"/>
      <c r="ED22" s="34"/>
      <c r="EE22" s="34"/>
      <c r="EF22" s="34"/>
      <c r="EG22" s="34"/>
      <c r="EH22" s="34"/>
      <c r="EI22" s="34"/>
      <c r="EJ22" s="34"/>
      <c r="EK22" s="34"/>
      <c r="EL22" s="34"/>
      <c r="EM22" s="34"/>
      <c r="EN22" s="34"/>
      <c r="EO22" s="34"/>
      <c r="EP22" s="34"/>
      <c r="EQ22" s="34"/>
      <c r="ER22" s="34"/>
      <c r="ES22" s="34"/>
      <c r="ET22" s="34"/>
      <c r="EU22" s="34"/>
      <c r="EV22" s="34"/>
      <c r="EW22" s="34"/>
      <c r="EX22" s="34"/>
      <c r="EY22" s="34"/>
      <c r="EZ22" s="34"/>
      <c r="FA22" s="34"/>
      <c r="FB22" s="34"/>
      <c r="FC22" s="34"/>
      <c r="FD22" s="34"/>
      <c r="FE22" s="34"/>
      <c r="FF22" s="34"/>
      <c r="FG22" s="34"/>
      <c r="FH22" s="34"/>
      <c r="FI22" s="34"/>
      <c r="FJ22" s="34"/>
      <c r="FK22" s="34"/>
      <c r="FL22" s="34"/>
      <c r="FM22" s="34"/>
      <c r="FN22" s="34"/>
      <c r="FO22" s="34"/>
      <c r="FP22" s="34"/>
      <c r="FQ22" s="34"/>
      <c r="FR22" s="34"/>
      <c r="FS22" s="34"/>
      <c r="FT22" s="34"/>
      <c r="FU22" s="34"/>
      <c r="FV22" s="34"/>
      <c r="FW22" s="34"/>
      <c r="FX22" s="34"/>
      <c r="FY22" s="34"/>
      <c r="FZ22" s="34"/>
      <c r="GA22" s="34"/>
      <c r="GB22" s="34"/>
      <c r="GC22" s="34"/>
      <c r="GD22" s="34"/>
      <c r="GE22" s="34"/>
      <c r="GF22" s="34"/>
      <c r="GG22" s="34"/>
      <c r="GH22" s="34"/>
      <c r="GI22" s="34"/>
      <c r="GJ22" s="34"/>
      <c r="GK22" s="34"/>
      <c r="GL22" s="34"/>
      <c r="GM22" s="34"/>
      <c r="GN22" s="34"/>
      <c r="GO22" s="34"/>
      <c r="GP22" s="34"/>
      <c r="GQ22" s="34"/>
      <c r="GR22" s="34"/>
      <c r="GS22" s="34"/>
      <c r="GT22" s="34"/>
      <c r="GU22" s="34"/>
      <c r="GV22" s="34"/>
      <c r="GW22" s="34"/>
      <c r="GX22" s="34"/>
      <c r="GY22" s="34"/>
      <c r="GZ22" s="34"/>
      <c r="HA22" s="34"/>
      <c r="HB22" s="34"/>
      <c r="HC22" s="34"/>
      <c r="HD22" s="34"/>
      <c r="HE22" s="34"/>
      <c r="HF22" s="34"/>
      <c r="HG22" s="34"/>
      <c r="HH22" s="34"/>
    </row>
    <row r="23" spans="1:216" s="38" customFormat="1" ht="15" customHeight="1" x14ac:dyDescent="0.3">
      <c r="A23" s="240" t="s">
        <v>238</v>
      </c>
      <c r="B23" s="240">
        <v>1</v>
      </c>
      <c r="C23" s="241">
        <v>9</v>
      </c>
      <c r="D23" s="240">
        <v>7</v>
      </c>
      <c r="E23" s="241">
        <v>16</v>
      </c>
      <c r="F23" s="240">
        <v>15</v>
      </c>
      <c r="G23" s="241">
        <v>28</v>
      </c>
      <c r="H23" s="240">
        <v>2</v>
      </c>
      <c r="I23" s="241">
        <v>5</v>
      </c>
      <c r="J23" s="240"/>
      <c r="K23" s="241">
        <v>9</v>
      </c>
      <c r="L23" s="240"/>
      <c r="M23" s="241">
        <v>1</v>
      </c>
      <c r="N23" s="240">
        <v>1</v>
      </c>
      <c r="O23" s="241">
        <v>5</v>
      </c>
      <c r="P23" s="246">
        <v>10</v>
      </c>
      <c r="Q23" s="241">
        <v>28</v>
      </c>
      <c r="R23" s="246">
        <v>4</v>
      </c>
      <c r="S23" s="241">
        <v>9</v>
      </c>
      <c r="T23" s="246">
        <v>20</v>
      </c>
      <c r="U23" s="241">
        <v>19</v>
      </c>
      <c r="V23" s="246">
        <v>189</v>
      </c>
      <c r="W23" s="39"/>
      <c r="X23" s="50">
        <f t="shared" si="0"/>
        <v>60</v>
      </c>
      <c r="Y23" s="50">
        <f t="shared" si="1"/>
        <v>129</v>
      </c>
      <c r="Z23" s="34"/>
      <c r="AA23" s="34"/>
      <c r="AB23" s="34"/>
      <c r="AC23" s="34"/>
      <c r="AD23" s="34"/>
      <c r="AE23" s="34"/>
      <c r="AF23" s="34"/>
      <c r="AG23" s="34"/>
      <c r="AH23" s="34"/>
      <c r="AI23" s="34"/>
      <c r="AJ23" s="34"/>
      <c r="AK23" s="34"/>
      <c r="AL23" s="58"/>
      <c r="AM23" s="58"/>
      <c r="AN23" s="58"/>
      <c r="AO23" s="58"/>
      <c r="AP23" s="58"/>
      <c r="AQ23" s="58"/>
      <c r="AR23" s="58"/>
      <c r="AS23" s="58"/>
      <c r="AT23" s="58"/>
      <c r="AU23" s="58"/>
      <c r="AV23" s="58"/>
      <c r="AW23" s="58"/>
      <c r="AX23" s="58"/>
      <c r="AY23" s="34"/>
      <c r="AZ23" s="34"/>
      <c r="BA23" s="34"/>
      <c r="BB23" s="34"/>
      <c r="BC23" s="34"/>
      <c r="BD23" s="34"/>
      <c r="BE23" s="34"/>
      <c r="BF23" s="34"/>
      <c r="BG23" s="34"/>
      <c r="BH23" s="34"/>
      <c r="BI23" s="34"/>
      <c r="BJ23" s="34"/>
      <c r="BK23" s="34"/>
      <c r="BL23" s="34"/>
      <c r="BM23" s="34"/>
      <c r="BN23" s="34"/>
      <c r="BO23" s="34"/>
      <c r="BP23" s="34"/>
      <c r="BQ23" s="34"/>
      <c r="BR23" s="34"/>
      <c r="BS23" s="34"/>
      <c r="BT23" s="34"/>
      <c r="BU23" s="34"/>
      <c r="BV23" s="34"/>
      <c r="BW23" s="34"/>
      <c r="BX23" s="34"/>
      <c r="BY23" s="34"/>
      <c r="BZ23" s="34"/>
      <c r="CA23" s="34"/>
      <c r="CB23" s="34"/>
      <c r="CC23" s="34"/>
      <c r="CD23" s="34"/>
      <c r="CE23" s="34"/>
      <c r="CF23" s="34"/>
      <c r="CG23" s="34"/>
      <c r="CH23" s="34"/>
      <c r="CI23" s="34"/>
      <c r="CJ23" s="34"/>
      <c r="CK23" s="34"/>
      <c r="CL23" s="34"/>
      <c r="CM23" s="34"/>
      <c r="CN23" s="34"/>
      <c r="CO23" s="34"/>
      <c r="CP23" s="34"/>
      <c r="CQ23" s="34"/>
      <c r="CR23" s="34"/>
      <c r="CS23" s="34"/>
      <c r="CT23" s="34"/>
      <c r="CU23" s="34"/>
      <c r="CV23" s="34"/>
      <c r="CW23" s="34"/>
      <c r="CX23" s="34"/>
      <c r="CY23" s="34"/>
      <c r="CZ23" s="34"/>
      <c r="DA23" s="34"/>
      <c r="DB23" s="34"/>
      <c r="DC23" s="34"/>
      <c r="DD23" s="34"/>
      <c r="DE23" s="34"/>
      <c r="DF23" s="34"/>
      <c r="DG23" s="34"/>
      <c r="DH23" s="34"/>
      <c r="DI23" s="34"/>
      <c r="DJ23" s="34"/>
      <c r="DK23" s="34"/>
      <c r="DL23" s="34"/>
      <c r="DM23" s="34"/>
      <c r="DN23" s="34"/>
      <c r="DO23" s="34"/>
      <c r="DP23" s="34"/>
      <c r="DQ23" s="34"/>
      <c r="DR23" s="34"/>
      <c r="DS23" s="34"/>
      <c r="DT23" s="34"/>
      <c r="DU23" s="34"/>
      <c r="DV23" s="34"/>
      <c r="DW23" s="34"/>
      <c r="DX23" s="34"/>
      <c r="DY23" s="34"/>
      <c r="DZ23" s="34"/>
      <c r="EA23" s="34"/>
      <c r="EB23" s="34"/>
      <c r="EC23" s="34"/>
      <c r="ED23" s="34"/>
      <c r="EE23" s="34"/>
      <c r="EF23" s="34"/>
      <c r="EG23" s="34"/>
      <c r="EH23" s="34"/>
      <c r="EI23" s="34"/>
      <c r="EJ23" s="34"/>
      <c r="EK23" s="34"/>
      <c r="EL23" s="34"/>
      <c r="EM23" s="34"/>
      <c r="EN23" s="34"/>
      <c r="EO23" s="34"/>
      <c r="EP23" s="34"/>
      <c r="EQ23" s="34"/>
      <c r="ER23" s="34"/>
      <c r="ES23" s="34"/>
      <c r="ET23" s="34"/>
      <c r="EU23" s="34"/>
      <c r="EV23" s="34"/>
      <c r="EW23" s="34"/>
      <c r="EX23" s="34"/>
      <c r="EY23" s="34"/>
      <c r="EZ23" s="34"/>
      <c r="FA23" s="34"/>
      <c r="FB23" s="34"/>
      <c r="FC23" s="34"/>
      <c r="FD23" s="34"/>
      <c r="FE23" s="34"/>
      <c r="FF23" s="34"/>
      <c r="FG23" s="34"/>
      <c r="FH23" s="34"/>
      <c r="FI23" s="34"/>
      <c r="FJ23" s="34"/>
      <c r="FK23" s="34"/>
      <c r="FL23" s="34"/>
      <c r="FM23" s="34"/>
      <c r="FN23" s="34"/>
      <c r="FO23" s="34"/>
      <c r="FP23" s="34"/>
      <c r="FQ23" s="34"/>
      <c r="FR23" s="34"/>
      <c r="FS23" s="34"/>
      <c r="FT23" s="34"/>
      <c r="FU23" s="34"/>
      <c r="FV23" s="34"/>
      <c r="FW23" s="34"/>
      <c r="FX23" s="34"/>
      <c r="FY23" s="34"/>
      <c r="FZ23" s="34"/>
      <c r="GA23" s="34"/>
      <c r="GB23" s="34"/>
      <c r="GC23" s="34"/>
      <c r="GD23" s="34"/>
      <c r="GE23" s="34"/>
      <c r="GF23" s="34"/>
      <c r="GG23" s="34"/>
      <c r="GH23" s="34"/>
      <c r="GI23" s="34"/>
      <c r="GJ23" s="34"/>
      <c r="GK23" s="34"/>
      <c r="GL23" s="34"/>
      <c r="GM23" s="34"/>
      <c r="GN23" s="34"/>
      <c r="GO23" s="34"/>
      <c r="GP23" s="34"/>
      <c r="GQ23" s="34"/>
      <c r="GR23" s="34"/>
      <c r="GS23" s="34"/>
      <c r="GT23" s="34"/>
      <c r="GU23" s="34"/>
      <c r="GV23" s="34"/>
      <c r="GW23" s="34"/>
      <c r="GX23" s="34"/>
      <c r="GY23" s="34"/>
      <c r="GZ23" s="34"/>
      <c r="HA23" s="34"/>
      <c r="HB23" s="34"/>
      <c r="HC23" s="34"/>
      <c r="HD23" s="34"/>
      <c r="HE23" s="34"/>
      <c r="HF23" s="34"/>
      <c r="HG23" s="34"/>
      <c r="HH23" s="34"/>
    </row>
    <row r="24" spans="1:216" s="38" customFormat="1" ht="15" customHeight="1" x14ac:dyDescent="0.3">
      <c r="A24" s="240" t="s">
        <v>252</v>
      </c>
      <c r="B24" s="240">
        <v>6</v>
      </c>
      <c r="C24" s="241">
        <v>20</v>
      </c>
      <c r="D24" s="240">
        <v>19</v>
      </c>
      <c r="E24" s="241">
        <v>40</v>
      </c>
      <c r="F24" s="240">
        <v>59</v>
      </c>
      <c r="G24" s="241">
        <v>84</v>
      </c>
      <c r="H24" s="240">
        <v>5</v>
      </c>
      <c r="I24" s="241">
        <v>7</v>
      </c>
      <c r="J24" s="240">
        <v>4</v>
      </c>
      <c r="K24" s="241">
        <v>18</v>
      </c>
      <c r="L24" s="240">
        <v>5</v>
      </c>
      <c r="M24" s="241">
        <v>23</v>
      </c>
      <c r="N24" s="240">
        <v>2</v>
      </c>
      <c r="O24" s="241">
        <v>10</v>
      </c>
      <c r="P24" s="246">
        <v>55</v>
      </c>
      <c r="Q24" s="241">
        <v>56</v>
      </c>
      <c r="R24" s="246">
        <v>4</v>
      </c>
      <c r="S24" s="241">
        <v>20</v>
      </c>
      <c r="T24" s="246">
        <v>17</v>
      </c>
      <c r="U24" s="241">
        <v>24</v>
      </c>
      <c r="V24" s="246">
        <v>478</v>
      </c>
      <c r="W24" s="39"/>
      <c r="X24" s="50">
        <f t="shared" si="0"/>
        <v>176</v>
      </c>
      <c r="Y24" s="50">
        <f t="shared" si="1"/>
        <v>302</v>
      </c>
      <c r="Z24" s="34"/>
      <c r="AA24" s="34"/>
      <c r="AB24" s="34"/>
      <c r="AC24" s="34"/>
      <c r="AD24" s="34"/>
      <c r="AE24" s="34"/>
      <c r="AF24" s="34"/>
      <c r="AG24" s="34"/>
      <c r="AH24" s="34"/>
      <c r="AI24" s="34"/>
      <c r="AJ24" s="34"/>
      <c r="AK24" s="34"/>
      <c r="AL24" s="58"/>
      <c r="AM24" s="58"/>
      <c r="AN24" s="58"/>
      <c r="AO24" s="58"/>
      <c r="AP24" s="58"/>
      <c r="AQ24" s="58"/>
      <c r="AR24" s="58"/>
      <c r="AS24" s="58"/>
      <c r="AT24" s="58"/>
      <c r="AU24" s="58"/>
      <c r="AV24" s="58"/>
      <c r="AW24" s="58"/>
      <c r="AX24" s="58"/>
      <c r="AY24" s="34"/>
      <c r="AZ24" s="34"/>
      <c r="BA24" s="34"/>
      <c r="BB24" s="34"/>
      <c r="BC24" s="34"/>
      <c r="BD24" s="34"/>
      <c r="BE24" s="34"/>
      <c r="BF24" s="34"/>
      <c r="BG24" s="34"/>
      <c r="BH24" s="34"/>
      <c r="BI24" s="34"/>
      <c r="BJ24" s="34"/>
      <c r="BK24" s="34"/>
      <c r="BL24" s="34"/>
      <c r="BM24" s="34"/>
      <c r="BN24" s="34"/>
      <c r="BO24" s="34"/>
      <c r="BP24" s="34"/>
      <c r="BQ24" s="34"/>
      <c r="BR24" s="34"/>
      <c r="BS24" s="34"/>
      <c r="BT24" s="34"/>
      <c r="BU24" s="34"/>
      <c r="BV24" s="34"/>
      <c r="BW24" s="34"/>
      <c r="BX24" s="34"/>
      <c r="BY24" s="34"/>
      <c r="BZ24" s="34"/>
      <c r="CA24" s="34"/>
      <c r="CB24" s="34"/>
      <c r="CC24" s="34"/>
      <c r="CD24" s="34"/>
      <c r="CE24" s="34"/>
      <c r="CF24" s="34"/>
      <c r="CG24" s="34"/>
      <c r="CH24" s="34"/>
      <c r="CI24" s="34"/>
      <c r="CJ24" s="34"/>
      <c r="CK24" s="34"/>
      <c r="CL24" s="34"/>
      <c r="CM24" s="34"/>
      <c r="CN24" s="34"/>
      <c r="CO24" s="34"/>
      <c r="CP24" s="34"/>
      <c r="CQ24" s="34"/>
      <c r="CR24" s="34"/>
      <c r="CS24" s="34"/>
      <c r="CT24" s="34"/>
      <c r="CU24" s="34"/>
      <c r="CV24" s="34"/>
      <c r="CW24" s="34"/>
      <c r="CX24" s="34"/>
      <c r="CY24" s="34"/>
      <c r="CZ24" s="34"/>
      <c r="DA24" s="34"/>
      <c r="DB24" s="34"/>
      <c r="DC24" s="34"/>
      <c r="DD24" s="34"/>
      <c r="DE24" s="34"/>
      <c r="DF24" s="34"/>
      <c r="DG24" s="34"/>
      <c r="DH24" s="34"/>
      <c r="DI24" s="34"/>
      <c r="DJ24" s="34"/>
      <c r="DK24" s="34"/>
      <c r="DL24" s="34"/>
      <c r="DM24" s="34"/>
      <c r="DN24" s="34"/>
      <c r="DO24" s="34"/>
      <c r="DP24" s="34"/>
      <c r="DQ24" s="34"/>
      <c r="DR24" s="34"/>
      <c r="DS24" s="34"/>
      <c r="DT24" s="34"/>
      <c r="DU24" s="34"/>
      <c r="DV24" s="34"/>
      <c r="DW24" s="34"/>
      <c r="DX24" s="34"/>
      <c r="DY24" s="34"/>
      <c r="DZ24" s="34"/>
      <c r="EA24" s="34"/>
      <c r="EB24" s="34"/>
      <c r="EC24" s="34"/>
      <c r="ED24" s="34"/>
      <c r="EE24" s="34"/>
      <c r="EF24" s="34"/>
      <c r="EG24" s="34"/>
      <c r="EH24" s="34"/>
      <c r="EI24" s="34"/>
      <c r="EJ24" s="34"/>
      <c r="EK24" s="34"/>
      <c r="EL24" s="34"/>
      <c r="EM24" s="34"/>
      <c r="EN24" s="34"/>
      <c r="EO24" s="34"/>
      <c r="EP24" s="34"/>
      <c r="EQ24" s="34"/>
      <c r="ER24" s="34"/>
      <c r="ES24" s="34"/>
      <c r="ET24" s="34"/>
      <c r="EU24" s="34"/>
      <c r="EV24" s="34"/>
      <c r="EW24" s="34"/>
      <c r="EX24" s="34"/>
      <c r="EY24" s="34"/>
      <c r="EZ24" s="34"/>
      <c r="FA24" s="34"/>
      <c r="FB24" s="34"/>
      <c r="FC24" s="34"/>
      <c r="FD24" s="34"/>
      <c r="FE24" s="34"/>
      <c r="FF24" s="34"/>
      <c r="FG24" s="34"/>
      <c r="FH24" s="34"/>
      <c r="FI24" s="34"/>
      <c r="FJ24" s="34"/>
      <c r="FK24" s="34"/>
      <c r="FL24" s="34"/>
      <c r="FM24" s="34"/>
      <c r="FN24" s="34"/>
      <c r="FO24" s="34"/>
      <c r="FP24" s="34"/>
      <c r="FQ24" s="34"/>
      <c r="FR24" s="34"/>
      <c r="FS24" s="34"/>
      <c r="FT24" s="34"/>
      <c r="FU24" s="34"/>
      <c r="FV24" s="34"/>
      <c r="FW24" s="34"/>
      <c r="FX24" s="34"/>
      <c r="FY24" s="34"/>
      <c r="FZ24" s="34"/>
      <c r="GA24" s="34"/>
      <c r="GB24" s="34"/>
      <c r="GC24" s="34"/>
      <c r="GD24" s="34"/>
      <c r="GE24" s="34"/>
      <c r="GF24" s="34"/>
      <c r="GG24" s="34"/>
      <c r="GH24" s="34"/>
      <c r="GI24" s="34"/>
      <c r="GJ24" s="34"/>
      <c r="GK24" s="34"/>
      <c r="GL24" s="34"/>
      <c r="GM24" s="34"/>
      <c r="GN24" s="34"/>
      <c r="GO24" s="34"/>
      <c r="GP24" s="34"/>
      <c r="GQ24" s="34"/>
      <c r="GR24" s="34"/>
      <c r="GS24" s="34"/>
      <c r="GT24" s="34"/>
      <c r="GU24" s="34"/>
      <c r="GV24" s="34"/>
      <c r="GW24" s="34"/>
      <c r="GX24" s="34"/>
      <c r="GY24" s="34"/>
      <c r="GZ24" s="34"/>
      <c r="HA24" s="34"/>
      <c r="HB24" s="34"/>
      <c r="HC24" s="34"/>
      <c r="HD24" s="34"/>
      <c r="HE24" s="34"/>
      <c r="HF24" s="34"/>
      <c r="HG24" s="34"/>
      <c r="HH24" s="34"/>
    </row>
    <row r="25" spans="1:216" s="38" customFormat="1" ht="15" customHeight="1" x14ac:dyDescent="0.3">
      <c r="A25" s="240" t="s">
        <v>251</v>
      </c>
      <c r="B25" s="240">
        <v>5</v>
      </c>
      <c r="C25" s="241">
        <v>10</v>
      </c>
      <c r="D25" s="240">
        <v>6</v>
      </c>
      <c r="E25" s="241">
        <v>20</v>
      </c>
      <c r="F25" s="240">
        <v>12</v>
      </c>
      <c r="G25" s="241">
        <v>64</v>
      </c>
      <c r="H25" s="240">
        <v>3</v>
      </c>
      <c r="I25" s="241">
        <v>10</v>
      </c>
      <c r="J25" s="240">
        <v>2</v>
      </c>
      <c r="K25" s="241">
        <v>9</v>
      </c>
      <c r="L25" s="240">
        <v>2</v>
      </c>
      <c r="M25" s="241">
        <v>14</v>
      </c>
      <c r="N25" s="240">
        <v>1</v>
      </c>
      <c r="O25" s="241">
        <v>9</v>
      </c>
      <c r="P25" s="246">
        <v>15</v>
      </c>
      <c r="Q25" s="241">
        <v>68</v>
      </c>
      <c r="R25" s="246">
        <v>4</v>
      </c>
      <c r="S25" s="241">
        <v>24</v>
      </c>
      <c r="T25" s="246">
        <v>9</v>
      </c>
      <c r="U25" s="241">
        <v>14</v>
      </c>
      <c r="V25" s="246">
        <v>301</v>
      </c>
      <c r="W25" s="39"/>
      <c r="X25" s="50">
        <f t="shared" si="0"/>
        <v>59</v>
      </c>
      <c r="Y25" s="50">
        <f t="shared" si="1"/>
        <v>242</v>
      </c>
      <c r="Z25" s="34"/>
      <c r="AA25" s="34"/>
      <c r="AB25" s="34"/>
      <c r="AC25" s="34"/>
      <c r="AD25" s="34"/>
      <c r="AE25" s="34"/>
      <c r="AF25" s="34"/>
      <c r="AG25" s="34"/>
      <c r="AH25" s="34"/>
      <c r="AI25" s="34"/>
      <c r="AJ25" s="34"/>
      <c r="AK25" s="34"/>
      <c r="AL25" s="58"/>
      <c r="AM25" s="58"/>
      <c r="AN25" s="58"/>
      <c r="AO25" s="58"/>
      <c r="AP25" s="58"/>
      <c r="AQ25" s="58"/>
      <c r="AR25" s="58"/>
      <c r="AS25" s="58"/>
      <c r="AT25" s="58"/>
      <c r="AU25" s="58"/>
      <c r="AV25" s="58"/>
      <c r="AW25" s="58"/>
      <c r="AX25" s="58"/>
      <c r="AY25" s="34"/>
      <c r="AZ25" s="34"/>
      <c r="BA25" s="34"/>
      <c r="BB25" s="34"/>
      <c r="BC25" s="34"/>
      <c r="BD25" s="34"/>
      <c r="BE25" s="34"/>
      <c r="BF25" s="34"/>
      <c r="BG25" s="34"/>
      <c r="BH25" s="34"/>
      <c r="BI25" s="34"/>
      <c r="BJ25" s="34"/>
      <c r="BK25" s="34"/>
      <c r="BL25" s="34"/>
      <c r="BM25" s="34"/>
      <c r="BN25" s="34"/>
      <c r="BO25" s="34"/>
      <c r="BP25" s="34"/>
      <c r="BQ25" s="34"/>
      <c r="BR25" s="34"/>
      <c r="BS25" s="34"/>
      <c r="BT25" s="34"/>
      <c r="BU25" s="34"/>
      <c r="BV25" s="34"/>
      <c r="BW25" s="34"/>
      <c r="BX25" s="34"/>
      <c r="BY25" s="34"/>
      <c r="BZ25" s="34"/>
      <c r="CA25" s="34"/>
      <c r="CB25" s="34"/>
      <c r="CC25" s="34"/>
      <c r="CD25" s="34"/>
      <c r="CE25" s="34"/>
      <c r="CF25" s="34"/>
      <c r="CG25" s="34"/>
      <c r="CH25" s="34"/>
      <c r="CI25" s="34"/>
      <c r="CJ25" s="34"/>
      <c r="CK25" s="34"/>
      <c r="CL25" s="34"/>
      <c r="CM25" s="34"/>
      <c r="CN25" s="34"/>
      <c r="CO25" s="34"/>
      <c r="CP25" s="34"/>
      <c r="CQ25" s="34"/>
      <c r="CR25" s="34"/>
      <c r="CS25" s="34"/>
      <c r="CT25" s="34"/>
      <c r="CU25" s="34"/>
      <c r="CV25" s="34"/>
      <c r="CW25" s="34"/>
      <c r="CX25" s="34"/>
      <c r="CY25" s="34"/>
      <c r="CZ25" s="34"/>
      <c r="DA25" s="34"/>
      <c r="DB25" s="34"/>
      <c r="DC25" s="34"/>
      <c r="DD25" s="34"/>
      <c r="DE25" s="34"/>
      <c r="DF25" s="34"/>
      <c r="DG25" s="34"/>
      <c r="DH25" s="34"/>
      <c r="DI25" s="34"/>
      <c r="DJ25" s="34"/>
      <c r="DK25" s="34"/>
      <c r="DL25" s="34"/>
      <c r="DM25" s="34"/>
      <c r="DN25" s="34"/>
      <c r="DO25" s="34"/>
      <c r="DP25" s="34"/>
      <c r="DQ25" s="34"/>
      <c r="DR25" s="34"/>
      <c r="DS25" s="34"/>
      <c r="DT25" s="34"/>
      <c r="DU25" s="34"/>
      <c r="DV25" s="34"/>
      <c r="DW25" s="34"/>
      <c r="DX25" s="34"/>
      <c r="DY25" s="34"/>
      <c r="DZ25" s="34"/>
      <c r="EA25" s="34"/>
      <c r="EB25" s="34"/>
      <c r="EC25" s="34"/>
      <c r="ED25" s="34"/>
      <c r="EE25" s="34"/>
      <c r="EF25" s="34"/>
      <c r="EG25" s="34"/>
      <c r="EH25" s="34"/>
      <c r="EI25" s="34"/>
      <c r="EJ25" s="34"/>
      <c r="EK25" s="34"/>
      <c r="EL25" s="34"/>
      <c r="EM25" s="34"/>
      <c r="EN25" s="34"/>
      <c r="EO25" s="34"/>
      <c r="EP25" s="34"/>
      <c r="EQ25" s="34"/>
      <c r="ER25" s="34"/>
      <c r="ES25" s="34"/>
      <c r="ET25" s="34"/>
      <c r="EU25" s="34"/>
      <c r="EV25" s="34"/>
      <c r="EW25" s="34"/>
      <c r="EX25" s="34"/>
      <c r="EY25" s="34"/>
      <c r="EZ25" s="34"/>
      <c r="FA25" s="34"/>
      <c r="FB25" s="34"/>
      <c r="FC25" s="34"/>
      <c r="FD25" s="34"/>
      <c r="FE25" s="34"/>
      <c r="FF25" s="34"/>
      <c r="FG25" s="34"/>
      <c r="FH25" s="34"/>
      <c r="FI25" s="34"/>
      <c r="FJ25" s="34"/>
      <c r="FK25" s="34"/>
      <c r="FL25" s="34"/>
      <c r="FM25" s="34"/>
      <c r="FN25" s="34"/>
      <c r="FO25" s="34"/>
      <c r="FP25" s="34"/>
      <c r="FQ25" s="34"/>
      <c r="FR25" s="34"/>
      <c r="FS25" s="34"/>
      <c r="FT25" s="34"/>
      <c r="FU25" s="34"/>
      <c r="FV25" s="34"/>
      <c r="FW25" s="34"/>
      <c r="FX25" s="34"/>
      <c r="FY25" s="34"/>
      <c r="FZ25" s="34"/>
      <c r="GA25" s="34"/>
      <c r="GB25" s="34"/>
      <c r="GC25" s="34"/>
      <c r="GD25" s="34"/>
      <c r="GE25" s="34"/>
      <c r="GF25" s="34"/>
      <c r="GG25" s="34"/>
      <c r="GH25" s="34"/>
      <c r="GI25" s="34"/>
      <c r="GJ25" s="34"/>
      <c r="GK25" s="34"/>
      <c r="GL25" s="34"/>
      <c r="GM25" s="34"/>
      <c r="GN25" s="34"/>
      <c r="GO25" s="34"/>
      <c r="GP25" s="34"/>
      <c r="GQ25" s="34"/>
      <c r="GR25" s="34"/>
      <c r="GS25" s="34"/>
      <c r="GT25" s="34"/>
      <c r="GU25" s="34"/>
      <c r="GV25" s="34"/>
      <c r="GW25" s="34"/>
      <c r="GX25" s="34"/>
      <c r="GY25" s="34"/>
      <c r="GZ25" s="34"/>
      <c r="HA25" s="34"/>
      <c r="HB25" s="34"/>
      <c r="HC25" s="34"/>
      <c r="HD25" s="34"/>
      <c r="HE25" s="34"/>
      <c r="HF25" s="34"/>
      <c r="HG25" s="34"/>
      <c r="HH25" s="34"/>
    </row>
    <row r="26" spans="1:216" s="38" customFormat="1" ht="15" customHeight="1" x14ac:dyDescent="0.3">
      <c r="A26" s="240" t="s">
        <v>241</v>
      </c>
      <c r="B26" s="240">
        <v>2</v>
      </c>
      <c r="C26" s="241">
        <v>6</v>
      </c>
      <c r="D26" s="240">
        <v>15</v>
      </c>
      <c r="E26" s="241">
        <v>16</v>
      </c>
      <c r="F26" s="240">
        <v>29</v>
      </c>
      <c r="G26" s="241">
        <v>43</v>
      </c>
      <c r="H26" s="240">
        <v>4</v>
      </c>
      <c r="I26" s="241">
        <v>3</v>
      </c>
      <c r="J26" s="240">
        <v>6</v>
      </c>
      <c r="K26" s="241">
        <v>4</v>
      </c>
      <c r="L26" s="240">
        <v>1</v>
      </c>
      <c r="M26" s="241">
        <v>17</v>
      </c>
      <c r="N26" s="240">
        <v>5</v>
      </c>
      <c r="O26" s="241">
        <v>3</v>
      </c>
      <c r="P26" s="246">
        <v>30</v>
      </c>
      <c r="Q26" s="241">
        <v>41</v>
      </c>
      <c r="R26" s="246">
        <v>8</v>
      </c>
      <c r="S26" s="241">
        <v>8</v>
      </c>
      <c r="T26" s="246">
        <v>6</v>
      </c>
      <c r="U26" s="241">
        <v>5</v>
      </c>
      <c r="V26" s="246">
        <v>252</v>
      </c>
      <c r="W26" s="39"/>
      <c r="X26" s="50">
        <f t="shared" si="0"/>
        <v>106</v>
      </c>
      <c r="Y26" s="50">
        <f t="shared" si="1"/>
        <v>146</v>
      </c>
      <c r="Z26" s="34"/>
      <c r="AA26" s="34"/>
      <c r="AB26" s="34"/>
      <c r="AC26" s="34"/>
      <c r="AD26" s="34"/>
      <c r="AE26" s="34"/>
      <c r="AF26" s="34"/>
      <c r="AG26" s="34"/>
      <c r="AH26" s="34"/>
      <c r="AI26" s="34"/>
      <c r="AJ26" s="34"/>
      <c r="AK26" s="34"/>
      <c r="AL26" s="58"/>
      <c r="AM26" s="58"/>
      <c r="AN26" s="58"/>
      <c r="AO26" s="58"/>
      <c r="AP26" s="58"/>
      <c r="AQ26" s="58"/>
      <c r="AR26" s="58"/>
      <c r="AS26" s="58"/>
      <c r="AT26" s="58"/>
      <c r="AU26" s="58"/>
      <c r="AV26" s="58"/>
      <c r="AW26" s="58"/>
      <c r="AX26" s="58"/>
      <c r="AY26" s="34"/>
      <c r="AZ26" s="34"/>
      <c r="BA26" s="34"/>
      <c r="BB26" s="34"/>
      <c r="BC26" s="34"/>
      <c r="BD26" s="34"/>
      <c r="BE26" s="34"/>
      <c r="BF26" s="34"/>
      <c r="BG26" s="34"/>
      <c r="BH26" s="34"/>
      <c r="BI26" s="34"/>
      <c r="BJ26" s="34"/>
      <c r="BK26" s="34"/>
      <c r="BL26" s="34"/>
      <c r="BM26" s="34"/>
      <c r="BN26" s="34"/>
      <c r="BO26" s="34"/>
      <c r="BP26" s="34"/>
      <c r="BQ26" s="34"/>
      <c r="BR26" s="34"/>
      <c r="BS26" s="34"/>
      <c r="BT26" s="34"/>
      <c r="BU26" s="34"/>
      <c r="BV26" s="34"/>
      <c r="BW26" s="34"/>
      <c r="BX26" s="34"/>
      <c r="BY26" s="34"/>
      <c r="BZ26" s="34"/>
      <c r="CA26" s="34"/>
      <c r="CB26" s="34"/>
      <c r="CC26" s="34"/>
      <c r="CD26" s="34"/>
      <c r="CE26" s="34"/>
      <c r="CF26" s="34"/>
      <c r="CG26" s="34"/>
      <c r="CH26" s="34"/>
      <c r="CI26" s="34"/>
      <c r="CJ26" s="34"/>
      <c r="CK26" s="34"/>
      <c r="CL26" s="34"/>
      <c r="CM26" s="34"/>
      <c r="CN26" s="34"/>
      <c r="CO26" s="34"/>
      <c r="CP26" s="34"/>
      <c r="CQ26" s="34"/>
      <c r="CR26" s="34"/>
      <c r="CS26" s="34"/>
      <c r="CT26" s="34"/>
      <c r="CU26" s="34"/>
      <c r="CV26" s="34"/>
      <c r="CW26" s="34"/>
      <c r="CX26" s="34"/>
      <c r="CY26" s="34"/>
      <c r="CZ26" s="34"/>
      <c r="DA26" s="34"/>
      <c r="DB26" s="34"/>
      <c r="DC26" s="34"/>
      <c r="DD26" s="34"/>
      <c r="DE26" s="34"/>
      <c r="DF26" s="34"/>
      <c r="DG26" s="34"/>
      <c r="DH26" s="34"/>
      <c r="DI26" s="34"/>
      <c r="DJ26" s="34"/>
      <c r="DK26" s="34"/>
      <c r="DL26" s="34"/>
      <c r="DM26" s="34"/>
      <c r="DN26" s="34"/>
      <c r="DO26" s="34"/>
      <c r="DP26" s="34"/>
      <c r="DQ26" s="34"/>
      <c r="DR26" s="34"/>
      <c r="DS26" s="34"/>
      <c r="DT26" s="34"/>
      <c r="DU26" s="34"/>
      <c r="DV26" s="34"/>
      <c r="DW26" s="34"/>
      <c r="DX26" s="34"/>
      <c r="DY26" s="34"/>
      <c r="DZ26" s="34"/>
      <c r="EA26" s="34"/>
      <c r="EB26" s="34"/>
      <c r="EC26" s="34"/>
      <c r="ED26" s="34"/>
      <c r="EE26" s="34"/>
      <c r="EF26" s="34"/>
      <c r="EG26" s="34"/>
      <c r="EH26" s="34"/>
      <c r="EI26" s="34"/>
      <c r="EJ26" s="34"/>
      <c r="EK26" s="34"/>
      <c r="EL26" s="34"/>
      <c r="EM26" s="34"/>
      <c r="EN26" s="34"/>
      <c r="EO26" s="34"/>
      <c r="EP26" s="34"/>
      <c r="EQ26" s="34"/>
      <c r="ER26" s="34"/>
      <c r="ES26" s="34"/>
      <c r="ET26" s="34"/>
      <c r="EU26" s="34"/>
      <c r="EV26" s="34"/>
      <c r="EW26" s="34"/>
      <c r="EX26" s="34"/>
      <c r="EY26" s="34"/>
      <c r="EZ26" s="34"/>
      <c r="FA26" s="34"/>
      <c r="FB26" s="34"/>
      <c r="FC26" s="34"/>
      <c r="FD26" s="34"/>
      <c r="FE26" s="34"/>
      <c r="FF26" s="34"/>
      <c r="FG26" s="34"/>
      <c r="FH26" s="34"/>
      <c r="FI26" s="34"/>
      <c r="FJ26" s="34"/>
      <c r="FK26" s="34"/>
      <c r="FL26" s="34"/>
      <c r="FM26" s="34"/>
      <c r="FN26" s="34"/>
      <c r="FO26" s="34"/>
      <c r="FP26" s="34"/>
      <c r="FQ26" s="34"/>
      <c r="FR26" s="34"/>
      <c r="FS26" s="34"/>
      <c r="FT26" s="34"/>
      <c r="FU26" s="34"/>
      <c r="FV26" s="34"/>
      <c r="FW26" s="34"/>
      <c r="FX26" s="34"/>
      <c r="FY26" s="34"/>
      <c r="FZ26" s="34"/>
      <c r="GA26" s="34"/>
      <c r="GB26" s="34"/>
      <c r="GC26" s="34"/>
      <c r="GD26" s="34"/>
      <c r="GE26" s="34"/>
      <c r="GF26" s="34"/>
      <c r="GG26" s="34"/>
      <c r="GH26" s="34"/>
      <c r="GI26" s="34"/>
      <c r="GJ26" s="34"/>
      <c r="GK26" s="34"/>
      <c r="GL26" s="34"/>
      <c r="GM26" s="34"/>
      <c r="GN26" s="34"/>
      <c r="GO26" s="34"/>
      <c r="GP26" s="34"/>
      <c r="GQ26" s="34"/>
      <c r="GR26" s="34"/>
      <c r="GS26" s="34"/>
      <c r="GT26" s="34"/>
      <c r="GU26" s="34"/>
      <c r="GV26" s="34"/>
      <c r="GW26" s="34"/>
      <c r="GX26" s="34"/>
      <c r="GY26" s="34"/>
      <c r="GZ26" s="34"/>
      <c r="HA26" s="34"/>
      <c r="HB26" s="34"/>
      <c r="HC26" s="34"/>
      <c r="HD26" s="34"/>
      <c r="HE26" s="34"/>
      <c r="HF26" s="34"/>
      <c r="HG26" s="34"/>
      <c r="HH26" s="34"/>
    </row>
    <row r="27" spans="1:216" s="38" customFormat="1" ht="15" customHeight="1" x14ac:dyDescent="0.3">
      <c r="A27" s="240" t="s">
        <v>237</v>
      </c>
      <c r="B27" s="240">
        <v>3</v>
      </c>
      <c r="C27" s="241">
        <v>4</v>
      </c>
      <c r="D27" s="240">
        <v>7</v>
      </c>
      <c r="E27" s="241">
        <v>14</v>
      </c>
      <c r="F27" s="240">
        <v>11</v>
      </c>
      <c r="G27" s="241">
        <v>31</v>
      </c>
      <c r="H27" s="240">
        <v>2</v>
      </c>
      <c r="I27" s="241">
        <v>7</v>
      </c>
      <c r="J27" s="240">
        <v>2</v>
      </c>
      <c r="K27" s="241">
        <v>5</v>
      </c>
      <c r="L27" s="240">
        <v>1</v>
      </c>
      <c r="M27" s="241">
        <v>5</v>
      </c>
      <c r="N27" s="240">
        <v>1</v>
      </c>
      <c r="O27" s="241">
        <v>2</v>
      </c>
      <c r="P27" s="246">
        <v>12</v>
      </c>
      <c r="Q27" s="241">
        <v>42</v>
      </c>
      <c r="R27" s="246">
        <v>3</v>
      </c>
      <c r="S27" s="241">
        <v>8</v>
      </c>
      <c r="T27" s="246">
        <v>7</v>
      </c>
      <c r="U27" s="241">
        <v>6</v>
      </c>
      <c r="V27" s="246">
        <v>173</v>
      </c>
      <c r="W27" s="39"/>
      <c r="X27" s="50">
        <f t="shared" si="0"/>
        <v>49</v>
      </c>
      <c r="Y27" s="50">
        <f t="shared" si="1"/>
        <v>124</v>
      </c>
      <c r="Z27" s="34"/>
      <c r="AA27" s="34"/>
      <c r="AB27" s="34"/>
      <c r="AC27" s="34"/>
      <c r="AD27" s="34"/>
      <c r="AE27" s="34"/>
      <c r="AF27" s="34"/>
      <c r="AG27" s="34"/>
      <c r="AH27" s="34"/>
      <c r="AI27" s="34"/>
      <c r="AJ27" s="34"/>
      <c r="AK27" s="34"/>
      <c r="AL27" s="58"/>
      <c r="AM27" s="58"/>
      <c r="AN27" s="58"/>
      <c r="AO27" s="58"/>
      <c r="AP27" s="58"/>
      <c r="AQ27" s="58"/>
      <c r="AR27" s="58"/>
      <c r="AS27" s="58"/>
      <c r="AT27" s="58"/>
      <c r="AU27" s="58"/>
      <c r="AV27" s="58"/>
      <c r="AW27" s="58"/>
      <c r="AX27" s="58"/>
      <c r="AY27" s="34"/>
      <c r="AZ27" s="34"/>
      <c r="BA27" s="34"/>
      <c r="BB27" s="34"/>
      <c r="BC27" s="34"/>
      <c r="BD27" s="34"/>
      <c r="BE27" s="34"/>
      <c r="BF27" s="34"/>
      <c r="BG27" s="34"/>
      <c r="BH27" s="34"/>
      <c r="BI27" s="34"/>
      <c r="BJ27" s="34"/>
      <c r="BK27" s="34"/>
      <c r="BL27" s="34"/>
      <c r="BM27" s="34"/>
      <c r="BN27" s="34"/>
      <c r="BO27" s="34"/>
      <c r="BP27" s="34"/>
      <c r="BQ27" s="34"/>
      <c r="BR27" s="34"/>
      <c r="BS27" s="34"/>
      <c r="BT27" s="34"/>
      <c r="BU27" s="34"/>
      <c r="BV27" s="34"/>
      <c r="BW27" s="34"/>
      <c r="BX27" s="34"/>
      <c r="BY27" s="34"/>
      <c r="BZ27" s="34"/>
      <c r="CA27" s="34"/>
      <c r="CB27" s="34"/>
      <c r="CC27" s="34"/>
      <c r="CD27" s="34"/>
      <c r="CE27" s="34"/>
      <c r="CF27" s="34"/>
      <c r="CG27" s="34"/>
      <c r="CH27" s="34"/>
      <c r="CI27" s="34"/>
      <c r="CJ27" s="34"/>
      <c r="CK27" s="34"/>
      <c r="CL27" s="34"/>
      <c r="CM27" s="34"/>
      <c r="CN27" s="34"/>
      <c r="CO27" s="34"/>
      <c r="CP27" s="34"/>
      <c r="CQ27" s="34"/>
      <c r="CR27" s="34"/>
      <c r="CS27" s="34"/>
      <c r="CT27" s="34"/>
      <c r="CU27" s="34"/>
      <c r="CV27" s="34"/>
      <c r="CW27" s="34"/>
      <c r="CX27" s="34"/>
      <c r="CY27" s="34"/>
      <c r="CZ27" s="34"/>
      <c r="DA27" s="34"/>
      <c r="DB27" s="34"/>
      <c r="DC27" s="34"/>
      <c r="DD27" s="34"/>
      <c r="DE27" s="34"/>
      <c r="DF27" s="34"/>
      <c r="DG27" s="34"/>
      <c r="DH27" s="34"/>
      <c r="DI27" s="34"/>
      <c r="DJ27" s="34"/>
      <c r="DK27" s="34"/>
      <c r="DL27" s="34"/>
      <c r="DM27" s="34"/>
      <c r="DN27" s="34"/>
      <c r="DO27" s="34"/>
      <c r="DP27" s="34"/>
      <c r="DQ27" s="34"/>
      <c r="DR27" s="34"/>
      <c r="DS27" s="34"/>
      <c r="DT27" s="34"/>
      <c r="DU27" s="34"/>
      <c r="DV27" s="34"/>
      <c r="DW27" s="34"/>
      <c r="DX27" s="34"/>
      <c r="DY27" s="34"/>
      <c r="DZ27" s="34"/>
      <c r="EA27" s="34"/>
      <c r="EB27" s="34"/>
      <c r="EC27" s="34"/>
      <c r="ED27" s="34"/>
      <c r="EE27" s="34"/>
      <c r="EF27" s="34"/>
      <c r="EG27" s="34"/>
      <c r="EH27" s="34"/>
      <c r="EI27" s="34"/>
      <c r="EJ27" s="34"/>
      <c r="EK27" s="34"/>
      <c r="EL27" s="34"/>
      <c r="EM27" s="34"/>
      <c r="EN27" s="34"/>
      <c r="EO27" s="34"/>
      <c r="EP27" s="34"/>
      <c r="EQ27" s="34"/>
      <c r="ER27" s="34"/>
      <c r="ES27" s="34"/>
      <c r="ET27" s="34"/>
      <c r="EU27" s="34"/>
      <c r="EV27" s="34"/>
      <c r="EW27" s="34"/>
      <c r="EX27" s="34"/>
      <c r="EY27" s="34"/>
      <c r="EZ27" s="34"/>
      <c r="FA27" s="34"/>
      <c r="FB27" s="34"/>
      <c r="FC27" s="34"/>
      <c r="FD27" s="34"/>
      <c r="FE27" s="34"/>
      <c r="FF27" s="34"/>
      <c r="FG27" s="34"/>
      <c r="FH27" s="34"/>
      <c r="FI27" s="34"/>
      <c r="FJ27" s="34"/>
      <c r="FK27" s="34"/>
      <c r="FL27" s="34"/>
      <c r="FM27" s="34"/>
      <c r="FN27" s="34"/>
      <c r="FO27" s="34"/>
      <c r="FP27" s="34"/>
      <c r="FQ27" s="34"/>
      <c r="FR27" s="34"/>
      <c r="FS27" s="34"/>
      <c r="FT27" s="34"/>
      <c r="FU27" s="34"/>
      <c r="FV27" s="34"/>
      <c r="FW27" s="34"/>
      <c r="FX27" s="34"/>
      <c r="FY27" s="34"/>
      <c r="FZ27" s="34"/>
      <c r="GA27" s="34"/>
      <c r="GB27" s="34"/>
      <c r="GC27" s="34"/>
      <c r="GD27" s="34"/>
      <c r="GE27" s="34"/>
      <c r="GF27" s="34"/>
      <c r="GG27" s="34"/>
      <c r="GH27" s="34"/>
      <c r="GI27" s="34"/>
      <c r="GJ27" s="34"/>
      <c r="GK27" s="34"/>
      <c r="GL27" s="34"/>
      <c r="GM27" s="34"/>
      <c r="GN27" s="34"/>
      <c r="GO27" s="34"/>
      <c r="GP27" s="34"/>
      <c r="GQ27" s="34"/>
      <c r="GR27" s="34"/>
      <c r="GS27" s="34"/>
      <c r="GT27" s="34"/>
      <c r="GU27" s="34"/>
      <c r="GV27" s="34"/>
      <c r="GW27" s="34"/>
      <c r="GX27" s="34"/>
      <c r="GY27" s="34"/>
      <c r="GZ27" s="34"/>
      <c r="HA27" s="34"/>
      <c r="HB27" s="34"/>
      <c r="HC27" s="34"/>
      <c r="HD27" s="34"/>
      <c r="HE27" s="34"/>
      <c r="HF27" s="34"/>
      <c r="HG27" s="34"/>
      <c r="HH27" s="34"/>
    </row>
    <row r="28" spans="1:216" s="38" customFormat="1" ht="15" customHeight="1" x14ac:dyDescent="0.3">
      <c r="A28" s="240" t="s">
        <v>247</v>
      </c>
      <c r="B28" s="240">
        <v>3</v>
      </c>
      <c r="C28" s="241">
        <v>9</v>
      </c>
      <c r="D28" s="240">
        <v>11</v>
      </c>
      <c r="E28" s="241">
        <v>16</v>
      </c>
      <c r="F28" s="240">
        <v>9</v>
      </c>
      <c r="G28" s="241">
        <v>24</v>
      </c>
      <c r="H28" s="240">
        <v>4</v>
      </c>
      <c r="I28" s="241">
        <v>3</v>
      </c>
      <c r="J28" s="240">
        <v>2</v>
      </c>
      <c r="K28" s="241">
        <v>5</v>
      </c>
      <c r="L28" s="240">
        <v>5</v>
      </c>
      <c r="M28" s="241">
        <v>7</v>
      </c>
      <c r="N28" s="240">
        <v>2</v>
      </c>
      <c r="O28" s="241">
        <v>6</v>
      </c>
      <c r="P28" s="246">
        <v>6</v>
      </c>
      <c r="Q28" s="241">
        <v>31</v>
      </c>
      <c r="R28" s="246">
        <v>5</v>
      </c>
      <c r="S28" s="241">
        <v>8</v>
      </c>
      <c r="T28" s="246">
        <v>8</v>
      </c>
      <c r="U28" s="241">
        <v>6</v>
      </c>
      <c r="V28" s="246">
        <v>170</v>
      </c>
      <c r="W28" s="39"/>
      <c r="X28" s="50">
        <f>SUM(B28,D28,F28,H28,J28,L28,N28,P28,R28,T28)</f>
        <v>55</v>
      </c>
      <c r="Y28" s="50">
        <f t="shared" si="1"/>
        <v>115</v>
      </c>
      <c r="Z28" s="34"/>
      <c r="AA28" s="34"/>
      <c r="AB28" s="34"/>
      <c r="AC28" s="34"/>
      <c r="AD28" s="34"/>
      <c r="AE28" s="34"/>
      <c r="AF28" s="34"/>
      <c r="AG28" s="34"/>
      <c r="AH28" s="34"/>
      <c r="AI28" s="34"/>
      <c r="AJ28" s="34"/>
      <c r="AK28" s="34"/>
      <c r="AL28" s="58"/>
      <c r="AM28" s="58"/>
      <c r="AN28" s="58"/>
      <c r="AO28" s="58"/>
      <c r="AP28" s="58"/>
      <c r="AQ28" s="58"/>
      <c r="AR28" s="58"/>
      <c r="AS28" s="58"/>
      <c r="AT28" s="58"/>
      <c r="AU28" s="58"/>
      <c r="AV28" s="58"/>
      <c r="AW28" s="58"/>
      <c r="AX28" s="58"/>
      <c r="AY28" s="34"/>
      <c r="AZ28" s="34"/>
      <c r="BA28" s="34"/>
      <c r="BB28" s="34"/>
      <c r="BC28" s="34"/>
      <c r="BD28" s="34"/>
      <c r="BE28" s="34"/>
      <c r="BF28" s="34"/>
      <c r="BG28" s="34"/>
      <c r="BH28" s="34"/>
      <c r="BI28" s="34"/>
      <c r="BJ28" s="34"/>
      <c r="BK28" s="34"/>
      <c r="BL28" s="34"/>
      <c r="BM28" s="34"/>
      <c r="BN28" s="34"/>
      <c r="BO28" s="34"/>
      <c r="BP28" s="34"/>
      <c r="BQ28" s="34"/>
      <c r="BR28" s="34"/>
      <c r="BS28" s="34"/>
      <c r="BT28" s="34"/>
      <c r="BU28" s="34"/>
      <c r="BV28" s="34"/>
      <c r="BW28" s="34"/>
      <c r="BX28" s="34"/>
      <c r="BY28" s="34"/>
      <c r="BZ28" s="34"/>
      <c r="CA28" s="34"/>
      <c r="CB28" s="34"/>
      <c r="CC28" s="34"/>
      <c r="CD28" s="34"/>
      <c r="CE28" s="34"/>
      <c r="CF28" s="34"/>
      <c r="CG28" s="34"/>
      <c r="CH28" s="34"/>
      <c r="CI28" s="34"/>
      <c r="CJ28" s="34"/>
      <c r="CK28" s="34"/>
      <c r="CL28" s="34"/>
      <c r="CM28" s="34"/>
      <c r="CN28" s="34"/>
      <c r="CO28" s="34"/>
      <c r="CP28" s="34"/>
      <c r="CQ28" s="34"/>
      <c r="CR28" s="34"/>
      <c r="CS28" s="34"/>
      <c r="CT28" s="34"/>
      <c r="CU28" s="34"/>
      <c r="CV28" s="34"/>
      <c r="CW28" s="34"/>
      <c r="CX28" s="34"/>
      <c r="CY28" s="34"/>
      <c r="CZ28" s="34"/>
      <c r="DA28" s="34"/>
      <c r="DB28" s="34"/>
      <c r="DC28" s="34"/>
      <c r="DD28" s="34"/>
      <c r="DE28" s="34"/>
      <c r="DF28" s="34"/>
      <c r="DG28" s="34"/>
      <c r="DH28" s="34"/>
      <c r="DI28" s="34"/>
      <c r="DJ28" s="34"/>
      <c r="DK28" s="34"/>
      <c r="DL28" s="34"/>
      <c r="DM28" s="34"/>
      <c r="DN28" s="34"/>
      <c r="DO28" s="34"/>
      <c r="DP28" s="34"/>
      <c r="DQ28" s="34"/>
      <c r="DR28" s="34"/>
      <c r="DS28" s="34"/>
      <c r="DT28" s="34"/>
      <c r="DU28" s="34"/>
      <c r="DV28" s="34"/>
      <c r="DW28" s="34"/>
      <c r="DX28" s="34"/>
      <c r="DY28" s="34"/>
      <c r="DZ28" s="34"/>
      <c r="EA28" s="34"/>
      <c r="EB28" s="34"/>
      <c r="EC28" s="34"/>
      <c r="ED28" s="34"/>
      <c r="EE28" s="34"/>
      <c r="EF28" s="34"/>
      <c r="EG28" s="34"/>
      <c r="EH28" s="34"/>
      <c r="EI28" s="34"/>
      <c r="EJ28" s="34"/>
      <c r="EK28" s="34"/>
      <c r="EL28" s="34"/>
      <c r="EM28" s="34"/>
      <c r="EN28" s="34"/>
      <c r="EO28" s="34"/>
      <c r="EP28" s="34"/>
      <c r="EQ28" s="34"/>
      <c r="ER28" s="34"/>
      <c r="ES28" s="34"/>
      <c r="ET28" s="34"/>
      <c r="EU28" s="34"/>
      <c r="EV28" s="34"/>
      <c r="EW28" s="34"/>
      <c r="EX28" s="34"/>
      <c r="EY28" s="34"/>
      <c r="EZ28" s="34"/>
      <c r="FA28" s="34"/>
      <c r="FB28" s="34"/>
      <c r="FC28" s="34"/>
      <c r="FD28" s="34"/>
      <c r="FE28" s="34"/>
      <c r="FF28" s="34"/>
      <c r="FG28" s="34"/>
      <c r="FH28" s="34"/>
      <c r="FI28" s="34"/>
      <c r="FJ28" s="34"/>
      <c r="FK28" s="34"/>
      <c r="FL28" s="34"/>
      <c r="FM28" s="34"/>
      <c r="FN28" s="34"/>
      <c r="FO28" s="34"/>
      <c r="FP28" s="34"/>
      <c r="FQ28" s="34"/>
      <c r="FR28" s="34"/>
      <c r="FS28" s="34"/>
      <c r="FT28" s="34"/>
      <c r="FU28" s="34"/>
      <c r="FV28" s="34"/>
      <c r="FW28" s="34"/>
      <c r="FX28" s="34"/>
      <c r="FY28" s="34"/>
      <c r="FZ28" s="34"/>
      <c r="GA28" s="34"/>
      <c r="GB28" s="34"/>
      <c r="GC28" s="34"/>
      <c r="GD28" s="34"/>
      <c r="GE28" s="34"/>
      <c r="GF28" s="34"/>
      <c r="GG28" s="34"/>
      <c r="GH28" s="34"/>
      <c r="GI28" s="34"/>
      <c r="GJ28" s="34"/>
      <c r="GK28" s="34"/>
      <c r="GL28" s="34"/>
      <c r="GM28" s="34"/>
      <c r="GN28" s="34"/>
      <c r="GO28" s="34"/>
      <c r="GP28" s="34"/>
      <c r="GQ28" s="34"/>
      <c r="GR28" s="34"/>
      <c r="GS28" s="34"/>
      <c r="GT28" s="34"/>
      <c r="GU28" s="34"/>
      <c r="GV28" s="34"/>
      <c r="GW28" s="34"/>
      <c r="GX28" s="34"/>
      <c r="GY28" s="34"/>
      <c r="GZ28" s="34"/>
      <c r="HA28" s="34"/>
      <c r="HB28" s="34"/>
      <c r="HC28" s="34"/>
      <c r="HD28" s="34"/>
      <c r="HE28" s="34"/>
      <c r="HF28" s="34"/>
      <c r="HG28" s="34"/>
      <c r="HH28" s="34"/>
    </row>
    <row r="29" spans="1:216" ht="15" customHeight="1" x14ac:dyDescent="0.3">
      <c r="A29" s="240" t="s">
        <v>3</v>
      </c>
      <c r="B29" s="240">
        <v>96</v>
      </c>
      <c r="C29" s="241">
        <v>257</v>
      </c>
      <c r="D29" s="240">
        <v>331</v>
      </c>
      <c r="E29" s="241">
        <v>478</v>
      </c>
      <c r="F29" s="240">
        <v>515</v>
      </c>
      <c r="G29" s="241">
        <v>1106</v>
      </c>
      <c r="H29" s="240">
        <v>78</v>
      </c>
      <c r="I29" s="241">
        <v>152</v>
      </c>
      <c r="J29" s="240">
        <v>82</v>
      </c>
      <c r="K29" s="241">
        <v>198</v>
      </c>
      <c r="L29" s="240">
        <v>89</v>
      </c>
      <c r="M29" s="241">
        <v>257</v>
      </c>
      <c r="N29" s="240">
        <v>47</v>
      </c>
      <c r="O29" s="241">
        <v>138</v>
      </c>
      <c r="P29" s="246">
        <v>470</v>
      </c>
      <c r="Q29" s="241">
        <v>1111</v>
      </c>
      <c r="R29" s="246">
        <v>162</v>
      </c>
      <c r="S29" s="241">
        <v>354</v>
      </c>
      <c r="T29" s="246">
        <v>243</v>
      </c>
      <c r="U29" s="241">
        <v>306</v>
      </c>
      <c r="V29" s="246">
        <v>6470</v>
      </c>
      <c r="W29" s="39"/>
      <c r="X29" s="50">
        <f>SUM(X3:X28)</f>
        <v>2113</v>
      </c>
      <c r="Y29" s="50">
        <f>SUM(C29,E29,G29,I29,K29,M29,O29,Q29,S29,U29)</f>
        <v>4357</v>
      </c>
      <c r="AL29" s="58"/>
      <c r="AM29" s="58"/>
      <c r="AN29" s="58"/>
      <c r="AO29" s="58"/>
      <c r="AP29" s="58"/>
      <c r="AQ29" s="58"/>
      <c r="AR29" s="58"/>
      <c r="AS29" s="58"/>
      <c r="AT29" s="58"/>
      <c r="AU29" s="58"/>
      <c r="AV29" s="58"/>
      <c r="AW29" s="58"/>
      <c r="AX29" s="58"/>
    </row>
    <row r="30" spans="1:216" ht="15" customHeight="1" x14ac:dyDescent="0.3">
      <c r="AL30" s="58"/>
      <c r="AM30" s="58"/>
      <c r="AN30" s="58"/>
      <c r="AO30" s="58"/>
      <c r="AP30" s="58"/>
      <c r="AQ30" s="58"/>
      <c r="AR30" s="58"/>
      <c r="AS30" s="58"/>
      <c r="AT30" s="58"/>
      <c r="AU30" s="58"/>
      <c r="AV30" s="58"/>
      <c r="AW30" s="58"/>
    </row>
    <row r="31" spans="1:216" ht="15" customHeight="1" x14ac:dyDescent="0.3">
      <c r="AL31" s="58"/>
      <c r="AM31" s="58"/>
      <c r="AN31" s="58"/>
      <c r="AO31" s="58"/>
      <c r="AP31" s="58"/>
      <c r="AQ31" s="58"/>
      <c r="AR31" s="58"/>
      <c r="AS31" s="58"/>
      <c r="AT31" s="58"/>
      <c r="AU31" s="58"/>
      <c r="AV31" s="58"/>
      <c r="AW31" s="58"/>
      <c r="AX31" s="58"/>
    </row>
  </sheetData>
  <phoneticPr fontId="13" type="noConversion"/>
  <printOptions horizontalCentered="1" verticalCentered="1"/>
  <pageMargins left="0" right="0" top="0" bottom="0" header="0" footer="0"/>
  <pageSetup paperSize="9" scale="75" orientation="landscape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035550-09B9-4E4F-862D-BCD281B53474}">
  <sheetPr>
    <tabColor rgb="FF7030A0"/>
    <pageSetUpPr fitToPage="1"/>
  </sheetPr>
  <dimension ref="A1:K49"/>
  <sheetViews>
    <sheetView zoomScale="40" zoomScaleNormal="40" zoomScaleSheetLayoutView="75" workbookViewId="0">
      <selection activeCell="A2" sqref="A2:F47"/>
    </sheetView>
  </sheetViews>
  <sheetFormatPr defaultColWidth="9" defaultRowHeight="16.5" x14ac:dyDescent="0.3"/>
  <cols>
    <col min="1" max="1" width="24.75" style="34" customWidth="1"/>
    <col min="2" max="2" width="7.625" style="38" customWidth="1"/>
    <col min="3" max="3" width="30.625" style="34" customWidth="1"/>
    <col min="4" max="4" width="9.875" style="2" customWidth="1"/>
    <col min="5" max="5" width="11.375" style="34" customWidth="1"/>
    <col min="6" max="6" width="11.125" style="2" customWidth="1"/>
    <col min="7" max="7" width="8.375" style="34" customWidth="1"/>
    <col min="8" max="8" width="9" style="34" customWidth="1"/>
    <col min="9" max="13" width="9" style="34"/>
    <col min="14" max="14" width="10.625" style="34" customWidth="1"/>
    <col min="15" max="17" width="9" style="34"/>
    <col min="18" max="18" width="36.5" style="34" bestFit="1" customWidth="1"/>
    <col min="19" max="16384" width="9" style="34"/>
  </cols>
  <sheetData>
    <row r="1" spans="1:11" ht="25.9" customHeight="1" thickBot="1" x14ac:dyDescent="0.35">
      <c r="A1" s="270"/>
      <c r="B1" s="270"/>
      <c r="C1" s="270"/>
      <c r="D1" s="270"/>
      <c r="E1" s="270"/>
      <c r="F1" s="270"/>
    </row>
    <row r="2" spans="1:11" ht="25.9" customHeight="1" x14ac:dyDescent="0.3">
      <c r="A2" s="215">
        <f ca="1">TODAY()</f>
        <v>46314</v>
      </c>
      <c r="B2" s="256" t="s">
        <v>345</v>
      </c>
      <c r="C2" s="256"/>
      <c r="D2" s="256"/>
      <c r="E2" s="256"/>
      <c r="F2" s="257"/>
      <c r="G2" s="67"/>
      <c r="H2" s="67"/>
    </row>
    <row r="3" spans="1:11" ht="40.5" customHeight="1" x14ac:dyDescent="0.3">
      <c r="A3" s="222" t="s">
        <v>67</v>
      </c>
      <c r="B3" s="223" t="s">
        <v>13</v>
      </c>
      <c r="C3" s="229" t="s">
        <v>312</v>
      </c>
      <c r="D3" s="230" t="s">
        <v>2</v>
      </c>
      <c r="E3" s="229" t="s">
        <v>23</v>
      </c>
      <c r="F3" s="231" t="s">
        <v>14</v>
      </c>
      <c r="G3" s="67"/>
      <c r="H3" s="67"/>
    </row>
    <row r="4" spans="1:11" ht="25.35" customHeight="1" x14ac:dyDescent="0.3">
      <c r="A4" s="220" t="s">
        <v>260</v>
      </c>
      <c r="B4" s="224">
        <v>36</v>
      </c>
      <c r="C4" s="227">
        <f>IFERROR(VLOOKUP(A4,'대신 피벗'!A:ST,2,FALSE),0)</f>
        <v>0</v>
      </c>
      <c r="D4" s="227">
        <f t="shared" ref="D4:D18" si="0">IFERROR(ROUNDDOWN(C4/B4,0),"")</f>
        <v>0</v>
      </c>
      <c r="E4" s="51" t="s">
        <v>109</v>
      </c>
      <c r="F4" s="228">
        <f t="shared" ref="F4:F18" si="1">IFERROR(C4-(D4*B4),"")</f>
        <v>0</v>
      </c>
      <c r="G4" s="67"/>
      <c r="H4" s="67"/>
      <c r="J4" s="73"/>
      <c r="K4" s="73"/>
    </row>
    <row r="5" spans="1:11" ht="25.35" customHeight="1" x14ac:dyDescent="0.3">
      <c r="A5" s="221" t="s">
        <v>255</v>
      </c>
      <c r="B5" s="224">
        <f t="shared" ref="B5:B18" si="2">$B$4</f>
        <v>36</v>
      </c>
      <c r="C5" s="227">
        <f>IFERROR(VLOOKUP(A5,'대신 피벗'!A:ST,2,FALSE),0)</f>
        <v>19</v>
      </c>
      <c r="D5" s="227">
        <f t="shared" ref="D5" si="3">IFERROR(ROUNDDOWN(C5/B5,0),"")</f>
        <v>0</v>
      </c>
      <c r="E5" s="51" t="s">
        <v>335</v>
      </c>
      <c r="F5" s="228">
        <f t="shared" ref="F5" si="4">IFERROR(C5-(D5*B5),"")</f>
        <v>19</v>
      </c>
      <c r="G5" s="67"/>
      <c r="H5" s="67"/>
      <c r="J5" s="73"/>
      <c r="K5" s="73"/>
    </row>
    <row r="6" spans="1:11" ht="25.35" customHeight="1" x14ac:dyDescent="0.3">
      <c r="A6" s="221" t="s">
        <v>249</v>
      </c>
      <c r="B6" s="224">
        <f t="shared" si="2"/>
        <v>36</v>
      </c>
      <c r="C6" s="227">
        <f>IFERROR(VLOOKUP(A6,'대신 피벗'!A:ST,2,FALSE),0)</f>
        <v>3</v>
      </c>
      <c r="D6" s="227">
        <f>IFERROR(ROUNDDOWN(C6/B6,0),"")</f>
        <v>0</v>
      </c>
      <c r="E6" s="51" t="s">
        <v>272</v>
      </c>
      <c r="F6" s="228">
        <f>IFERROR(C6-(D6*B6),"")</f>
        <v>3</v>
      </c>
      <c r="G6" s="67"/>
      <c r="H6" s="67"/>
      <c r="J6" s="73"/>
      <c r="K6" s="73"/>
    </row>
    <row r="7" spans="1:11" ht="25.35" customHeight="1" x14ac:dyDescent="0.3">
      <c r="A7" s="221" t="s">
        <v>250</v>
      </c>
      <c r="B7" s="224">
        <f t="shared" si="2"/>
        <v>36</v>
      </c>
      <c r="C7" s="227">
        <f>IFERROR(VLOOKUP(A7,'대신 피벗'!A:ST,2,FALSE),0)</f>
        <v>7</v>
      </c>
      <c r="D7" s="227">
        <f>IFERROR(ROUNDDOWN(C7/B7,0),"")</f>
        <v>0</v>
      </c>
      <c r="E7" s="51" t="s">
        <v>273</v>
      </c>
      <c r="F7" s="228">
        <f>IFERROR(C7-(D7*B7),"")</f>
        <v>7</v>
      </c>
      <c r="G7" s="67"/>
      <c r="H7" s="67"/>
      <c r="J7" s="73"/>
      <c r="K7" s="73"/>
    </row>
    <row r="8" spans="1:11" ht="25.35" customHeight="1" x14ac:dyDescent="0.3">
      <c r="A8" s="221" t="s">
        <v>248</v>
      </c>
      <c r="B8" s="224">
        <f t="shared" si="2"/>
        <v>36</v>
      </c>
      <c r="C8" s="227">
        <f>IFERROR(VLOOKUP(A8,'대신 피벗'!A:ST,2,FALSE),0)</f>
        <v>1</v>
      </c>
      <c r="D8" s="227">
        <f>IFERROR(ROUNDDOWN(C8/B8,0),"")</f>
        <v>0</v>
      </c>
      <c r="E8" s="51" t="s">
        <v>271</v>
      </c>
      <c r="F8" s="228">
        <f>IFERROR(C8-(D8*B8),"")</f>
        <v>1</v>
      </c>
      <c r="G8" s="67"/>
      <c r="H8" s="67"/>
      <c r="J8" s="73"/>
      <c r="K8" s="73"/>
    </row>
    <row r="9" spans="1:11" ht="25.35" customHeight="1" x14ac:dyDescent="0.3">
      <c r="A9" s="221" t="s">
        <v>246</v>
      </c>
      <c r="B9" s="224">
        <f t="shared" si="2"/>
        <v>36</v>
      </c>
      <c r="C9" s="227">
        <f>IFERROR(VLOOKUP(A9,'대신 피벗'!A:ST,2,FALSE),0)</f>
        <v>1</v>
      </c>
      <c r="D9" s="227">
        <f t="shared" si="0"/>
        <v>0</v>
      </c>
      <c r="E9" s="51" t="s">
        <v>270</v>
      </c>
      <c r="F9" s="228">
        <f t="shared" si="1"/>
        <v>1</v>
      </c>
      <c r="G9" s="67"/>
      <c r="H9" s="67"/>
      <c r="J9" s="73"/>
      <c r="K9" s="73"/>
    </row>
    <row r="10" spans="1:11" ht="25.35" customHeight="1" x14ac:dyDescent="0.3">
      <c r="A10" s="221" t="s">
        <v>256</v>
      </c>
      <c r="B10" s="224">
        <f t="shared" si="2"/>
        <v>36</v>
      </c>
      <c r="C10" s="227">
        <f>IFERROR(VLOOKUP(A10,'대신 피벗'!A:ST,2,FALSE),0)</f>
        <v>3</v>
      </c>
      <c r="D10" s="227">
        <f>IFERROR(ROUNDDOWN(C10/B10,0),"")</f>
        <v>0</v>
      </c>
      <c r="E10" s="51" t="s">
        <v>278</v>
      </c>
      <c r="F10" s="228">
        <f>IFERROR(C10-(D10*B10),"")</f>
        <v>3</v>
      </c>
      <c r="G10" s="67"/>
      <c r="H10" s="67"/>
      <c r="J10" s="73"/>
      <c r="K10" s="73"/>
    </row>
    <row r="11" spans="1:11" ht="25.35" customHeight="1" x14ac:dyDescent="0.3">
      <c r="A11" s="221" t="s">
        <v>247</v>
      </c>
      <c r="B11" s="224">
        <f t="shared" si="2"/>
        <v>36</v>
      </c>
      <c r="C11" s="227">
        <f>IFERROR(VLOOKUP(A11,'대신 피벗'!A:ST,2,FALSE),0)</f>
        <v>3</v>
      </c>
      <c r="D11" s="227">
        <f t="shared" si="0"/>
        <v>0</v>
      </c>
      <c r="E11" s="51" t="s">
        <v>334</v>
      </c>
      <c r="F11" s="228">
        <f t="shared" si="1"/>
        <v>3</v>
      </c>
      <c r="G11" s="67"/>
      <c r="H11" s="67"/>
      <c r="J11" s="73"/>
      <c r="K11" s="73"/>
    </row>
    <row r="12" spans="1:11" ht="25.35" customHeight="1" x14ac:dyDescent="0.3">
      <c r="A12" s="221" t="s">
        <v>251</v>
      </c>
      <c r="B12" s="224">
        <f t="shared" si="2"/>
        <v>36</v>
      </c>
      <c r="C12" s="227">
        <f>IFERROR(VLOOKUP(A12,'대신 피벗'!A:ST,2,FALSE),0)</f>
        <v>5</v>
      </c>
      <c r="D12" s="227">
        <f t="shared" si="0"/>
        <v>0</v>
      </c>
      <c r="E12" s="51" t="s">
        <v>274</v>
      </c>
      <c r="F12" s="228">
        <f t="shared" si="1"/>
        <v>5</v>
      </c>
      <c r="G12" s="67"/>
      <c r="H12" s="67"/>
      <c r="J12" s="73"/>
      <c r="K12" s="73"/>
    </row>
    <row r="13" spans="1:11" ht="25.35" customHeight="1" x14ac:dyDescent="0.3">
      <c r="A13" s="220" t="s">
        <v>252</v>
      </c>
      <c r="B13" s="224">
        <f t="shared" si="2"/>
        <v>36</v>
      </c>
      <c r="C13" s="227">
        <f>IFERROR(VLOOKUP(A13,'대신 피벗'!A:ST,2,FALSE),0)</f>
        <v>6</v>
      </c>
      <c r="D13" s="227">
        <f t="shared" si="0"/>
        <v>0</v>
      </c>
      <c r="E13" s="51" t="s">
        <v>275</v>
      </c>
      <c r="F13" s="228">
        <f t="shared" si="1"/>
        <v>6</v>
      </c>
      <c r="G13" s="67"/>
      <c r="H13" s="67"/>
      <c r="J13" s="73"/>
      <c r="K13" s="73"/>
    </row>
    <row r="14" spans="1:11" ht="25.35" customHeight="1" x14ac:dyDescent="0.3">
      <c r="A14" s="221" t="s">
        <v>253</v>
      </c>
      <c r="B14" s="224">
        <f t="shared" si="2"/>
        <v>36</v>
      </c>
      <c r="C14" s="227">
        <f>IFERROR(VLOOKUP(A14,'대신 피벗'!A:ST,2,FALSE),0)</f>
        <v>9</v>
      </c>
      <c r="D14" s="227">
        <f t="shared" si="0"/>
        <v>0</v>
      </c>
      <c r="E14" s="51" t="s">
        <v>276</v>
      </c>
      <c r="F14" s="228">
        <f t="shared" si="1"/>
        <v>9</v>
      </c>
      <c r="G14" s="67"/>
      <c r="H14" s="67"/>
      <c r="J14" s="73"/>
      <c r="K14" s="73"/>
    </row>
    <row r="15" spans="1:11" ht="25.35" customHeight="1" x14ac:dyDescent="0.3">
      <c r="A15" s="221" t="s">
        <v>254</v>
      </c>
      <c r="B15" s="224">
        <f t="shared" si="2"/>
        <v>36</v>
      </c>
      <c r="C15" s="227">
        <f>IFERROR(VLOOKUP(A15,'대신 피벗'!A:ST,2,FALSE),0)</f>
        <v>2</v>
      </c>
      <c r="D15" s="227">
        <f t="shared" si="0"/>
        <v>0</v>
      </c>
      <c r="E15" s="51" t="s">
        <v>277</v>
      </c>
      <c r="F15" s="228">
        <f t="shared" si="1"/>
        <v>2</v>
      </c>
      <c r="G15" s="67"/>
      <c r="H15" s="67"/>
      <c r="J15" s="73"/>
      <c r="K15" s="73"/>
    </row>
    <row r="16" spans="1:11" ht="25.35" customHeight="1" x14ac:dyDescent="0.3">
      <c r="A16" s="221" t="s">
        <v>257</v>
      </c>
      <c r="B16" s="224">
        <f t="shared" si="2"/>
        <v>36</v>
      </c>
      <c r="C16" s="227">
        <f>IFERROR(VLOOKUP(A16,'대신 피벗'!A:ST,2,FALSE),0)</f>
        <v>1</v>
      </c>
      <c r="D16" s="227">
        <f t="shared" si="0"/>
        <v>0</v>
      </c>
      <c r="E16" s="51" t="s">
        <v>279</v>
      </c>
      <c r="F16" s="228">
        <f t="shared" si="1"/>
        <v>1</v>
      </c>
      <c r="G16" s="67"/>
      <c r="H16" s="67"/>
      <c r="J16" s="73"/>
      <c r="K16" s="73"/>
    </row>
    <row r="17" spans="1:11" ht="25.35" customHeight="1" x14ac:dyDescent="0.3">
      <c r="A17" s="221" t="s">
        <v>258</v>
      </c>
      <c r="B17" s="224">
        <f t="shared" si="2"/>
        <v>36</v>
      </c>
      <c r="C17" s="227">
        <f>IFERROR(VLOOKUP(A17,'대신 피벗'!A:ST,2,FALSE),0)</f>
        <v>2</v>
      </c>
      <c r="D17" s="227">
        <f t="shared" si="0"/>
        <v>0</v>
      </c>
      <c r="E17" s="51" t="s">
        <v>280</v>
      </c>
      <c r="F17" s="228">
        <f t="shared" si="1"/>
        <v>2</v>
      </c>
      <c r="G17" s="67"/>
      <c r="H17" s="67"/>
      <c r="J17" s="73"/>
      <c r="K17" s="73"/>
    </row>
    <row r="18" spans="1:11" ht="25.35" customHeight="1" x14ac:dyDescent="0.3">
      <c r="A18" s="221" t="s">
        <v>259</v>
      </c>
      <c r="B18" s="224">
        <f t="shared" si="2"/>
        <v>36</v>
      </c>
      <c r="C18" s="227">
        <f>IFERROR(VLOOKUP(A18,'대신 피벗'!A:ST,2,FALSE),0)</f>
        <v>4</v>
      </c>
      <c r="D18" s="227">
        <f t="shared" si="0"/>
        <v>0</v>
      </c>
      <c r="E18" s="51" t="s">
        <v>336</v>
      </c>
      <c r="F18" s="228">
        <f t="shared" si="1"/>
        <v>4</v>
      </c>
      <c r="G18" s="67"/>
      <c r="H18" s="67"/>
      <c r="J18" s="73"/>
      <c r="K18" s="73"/>
    </row>
    <row r="19" spans="1:11" ht="4.5" customHeight="1" x14ac:dyDescent="0.3">
      <c r="A19" s="183"/>
      <c r="B19" s="50"/>
      <c r="C19" s="50"/>
      <c r="D19" s="50"/>
      <c r="E19" s="50"/>
      <c r="F19" s="184"/>
      <c r="J19" s="73"/>
      <c r="K19" s="73"/>
    </row>
    <row r="20" spans="1:11" ht="32.450000000000003" customHeight="1" x14ac:dyDescent="0.3">
      <c r="A20" s="211" t="s">
        <v>122</v>
      </c>
      <c r="B20" s="225">
        <f>$B$4</f>
        <v>36</v>
      </c>
      <c r="C20" s="212">
        <f>SUM(C4:C18)</f>
        <v>66</v>
      </c>
      <c r="D20" s="55">
        <f>IFERROR(ROUNDDOWN(C20/B20,0),"")</f>
        <v>1</v>
      </c>
      <c r="E20" s="213"/>
      <c r="F20" s="214">
        <f>IFERROR(C20-(D20*B20),"")</f>
        <v>30</v>
      </c>
      <c r="J20" s="73"/>
      <c r="K20" s="73"/>
    </row>
    <row r="21" spans="1:11" ht="4.5" customHeight="1" x14ac:dyDescent="0.3">
      <c r="A21" s="183"/>
      <c r="B21" s="224"/>
      <c r="C21" s="50"/>
      <c r="D21" s="50"/>
      <c r="E21" s="50"/>
      <c r="F21" s="184"/>
      <c r="J21" s="73"/>
      <c r="K21" s="73"/>
    </row>
    <row r="22" spans="1:11" ht="25.35" customHeight="1" x14ac:dyDescent="0.3">
      <c r="A22" s="221" t="s">
        <v>241</v>
      </c>
      <c r="B22" s="224">
        <f t="shared" ref="B22:B26" si="5">$B$4</f>
        <v>36</v>
      </c>
      <c r="C22" s="227">
        <f>IFERROR(VLOOKUP(A22,'대신 피벗'!A:ST,2,FALSE),0)</f>
        <v>2</v>
      </c>
      <c r="D22" s="227">
        <f>IFERROR(ROUNDDOWN(C22/B22,0),"")</f>
        <v>0</v>
      </c>
      <c r="E22" s="51" t="s">
        <v>268</v>
      </c>
      <c r="F22" s="228">
        <f>IFERROR(C22-(D22*B22),"")</f>
        <v>2</v>
      </c>
      <c r="G22" s="67"/>
      <c r="H22" s="67"/>
      <c r="J22" s="73"/>
      <c r="K22" s="73"/>
    </row>
    <row r="23" spans="1:11" ht="25.35" customHeight="1" x14ac:dyDescent="0.3">
      <c r="A23" s="221" t="s">
        <v>242</v>
      </c>
      <c r="B23" s="224">
        <f t="shared" si="5"/>
        <v>36</v>
      </c>
      <c r="C23" s="227">
        <f>IFERROR(VLOOKUP(A23,'대신 피벗'!A:ST,2,FALSE),0)</f>
        <v>5</v>
      </c>
      <c r="D23" s="227">
        <f>IFERROR(ROUNDDOWN(C23/B23,0),"")</f>
        <v>0</v>
      </c>
      <c r="E23" s="51" t="s">
        <v>337</v>
      </c>
      <c r="F23" s="228">
        <f>IFERROR(C23-(D23*B23),"")</f>
        <v>5</v>
      </c>
      <c r="G23" s="67"/>
      <c r="H23" s="67"/>
      <c r="J23" s="73"/>
      <c r="K23" s="73"/>
    </row>
    <row r="24" spans="1:11" ht="25.35" customHeight="1" x14ac:dyDescent="0.3">
      <c r="A24" s="221" t="s">
        <v>243</v>
      </c>
      <c r="B24" s="224">
        <f t="shared" si="5"/>
        <v>36</v>
      </c>
      <c r="C24" s="227">
        <f>IFERROR(VLOOKUP(A24,'대신 피벗'!A:ST,2,FALSE),0)</f>
        <v>0</v>
      </c>
      <c r="D24" s="227">
        <f>IFERROR(ROUNDDOWN(C24/B24,0),"")</f>
        <v>0</v>
      </c>
      <c r="E24" s="51" t="s">
        <v>106</v>
      </c>
      <c r="F24" s="228">
        <f>IFERROR(C24-(D24*B24),"")</f>
        <v>0</v>
      </c>
      <c r="G24" s="67"/>
      <c r="H24" s="67"/>
      <c r="J24" s="73"/>
      <c r="K24" s="73"/>
    </row>
    <row r="25" spans="1:11" ht="25.35" customHeight="1" x14ac:dyDescent="0.3">
      <c r="A25" s="221" t="s">
        <v>244</v>
      </c>
      <c r="B25" s="224">
        <f t="shared" si="5"/>
        <v>36</v>
      </c>
      <c r="C25" s="227">
        <f>IFERROR(VLOOKUP(A25,'대신 피벗'!A:ST,2,FALSE),0)</f>
        <v>5</v>
      </c>
      <c r="D25" s="227">
        <f>IFERROR(ROUNDDOWN(C25/B25,0),"")</f>
        <v>0</v>
      </c>
      <c r="E25" s="51" t="s">
        <v>269</v>
      </c>
      <c r="F25" s="228">
        <f>IFERROR(C25-(D25*B25),"")</f>
        <v>5</v>
      </c>
      <c r="G25" s="67"/>
      <c r="H25" s="67"/>
      <c r="J25" s="73"/>
      <c r="K25" s="73"/>
    </row>
    <row r="26" spans="1:11" ht="25.35" customHeight="1" x14ac:dyDescent="0.3">
      <c r="A26" s="221" t="s">
        <v>245</v>
      </c>
      <c r="B26" s="224">
        <f t="shared" si="5"/>
        <v>36</v>
      </c>
      <c r="C26" s="227">
        <f>IFERROR(VLOOKUP(A26,'대신 피벗'!A:ST,2,FALSE),0)</f>
        <v>1</v>
      </c>
      <c r="D26" s="227">
        <f>IFERROR(ROUNDDOWN(C26/B26,0),"")</f>
        <v>0</v>
      </c>
      <c r="E26" s="51" t="s">
        <v>118</v>
      </c>
      <c r="F26" s="228">
        <f>IFERROR(C26-(D26*B26),"")</f>
        <v>1</v>
      </c>
      <c r="G26" s="67"/>
      <c r="H26" s="67"/>
      <c r="J26" s="73"/>
      <c r="K26" s="73"/>
    </row>
    <row r="27" spans="1:11" ht="4.5" customHeight="1" x14ac:dyDescent="0.3">
      <c r="A27" s="183"/>
      <c r="B27" s="50"/>
      <c r="C27" s="50"/>
      <c r="D27" s="50"/>
      <c r="E27" s="50"/>
      <c r="F27" s="184"/>
      <c r="G27" s="67"/>
      <c r="H27" s="67"/>
      <c r="J27" s="73"/>
      <c r="K27" s="73"/>
    </row>
    <row r="28" spans="1:11" ht="32.450000000000003" customHeight="1" x14ac:dyDescent="0.3">
      <c r="A28" s="211" t="s">
        <v>285</v>
      </c>
      <c r="B28" s="225">
        <f>$B$4</f>
        <v>36</v>
      </c>
      <c r="C28" s="212">
        <f>SUM(C22:C26)</f>
        <v>13</v>
      </c>
      <c r="D28" s="55">
        <f>IFERROR(ROUNDDOWN(C28/B28,0),"")</f>
        <v>0</v>
      </c>
      <c r="E28" s="213"/>
      <c r="F28" s="214">
        <f>IFERROR(C28-(D28*B28),"")</f>
        <v>13</v>
      </c>
      <c r="G28" s="67"/>
      <c r="H28" s="67"/>
      <c r="J28" s="73"/>
      <c r="K28" s="73"/>
    </row>
    <row r="29" spans="1:11" ht="4.5" customHeight="1" x14ac:dyDescent="0.3">
      <c r="A29" s="183"/>
      <c r="B29" s="50"/>
      <c r="C29" s="50"/>
      <c r="D29" s="50"/>
      <c r="E29" s="50"/>
      <c r="F29" s="184"/>
      <c r="G29" s="67"/>
      <c r="H29" s="67"/>
      <c r="J29" s="73"/>
      <c r="K29" s="73"/>
    </row>
    <row r="30" spans="1:11" ht="25.35" customHeight="1" x14ac:dyDescent="0.3">
      <c r="A30" s="221" t="s">
        <v>239</v>
      </c>
      <c r="B30" s="224">
        <f t="shared" ref="B30:B31" si="6">$B$4</f>
        <v>36</v>
      </c>
      <c r="C30" s="227">
        <f>IFERROR(VLOOKUP(A30,'대신 피벗'!A:ST,2,FALSE),0)</f>
        <v>3</v>
      </c>
      <c r="D30" s="227">
        <f t="shared" ref="D30:D31" si="7">IFERROR(ROUNDDOWN(C30/B30,0),"")</f>
        <v>0</v>
      </c>
      <c r="E30" s="51" t="s">
        <v>266</v>
      </c>
      <c r="F30" s="228">
        <f t="shared" ref="F30:F31" si="8">IFERROR(C30-(D30*B30),"")</f>
        <v>3</v>
      </c>
      <c r="G30" s="67"/>
      <c r="H30" s="67"/>
      <c r="J30" s="73"/>
      <c r="K30" s="73"/>
    </row>
    <row r="31" spans="1:11" ht="25.35" customHeight="1" x14ac:dyDescent="0.3">
      <c r="A31" s="221" t="s">
        <v>240</v>
      </c>
      <c r="B31" s="224">
        <f t="shared" si="6"/>
        <v>36</v>
      </c>
      <c r="C31" s="227">
        <f>IFERROR(VLOOKUP(A31,'대신 피벗'!A:ST,2,FALSE),0)</f>
        <v>2</v>
      </c>
      <c r="D31" s="227">
        <f t="shared" si="7"/>
        <v>0</v>
      </c>
      <c r="E31" s="51" t="s">
        <v>267</v>
      </c>
      <c r="F31" s="228">
        <f t="shared" si="8"/>
        <v>2</v>
      </c>
      <c r="G31" s="67"/>
      <c r="H31" s="67"/>
      <c r="J31" s="73"/>
      <c r="K31" s="73"/>
    </row>
    <row r="32" spans="1:11" ht="4.5" customHeight="1" x14ac:dyDescent="0.3">
      <c r="A32" s="183"/>
      <c r="B32" s="50"/>
      <c r="C32" s="50"/>
      <c r="D32" s="50"/>
      <c r="E32" s="50"/>
      <c r="F32" s="184"/>
      <c r="G32" s="67"/>
      <c r="H32" s="67"/>
      <c r="J32" s="73"/>
      <c r="K32" s="73"/>
    </row>
    <row r="33" spans="1:11" ht="32.450000000000003" customHeight="1" x14ac:dyDescent="0.3">
      <c r="A33" s="211" t="s">
        <v>284</v>
      </c>
      <c r="B33" s="225">
        <f>$B$4</f>
        <v>36</v>
      </c>
      <c r="C33" s="212">
        <f>SUM(C30:C31)</f>
        <v>5</v>
      </c>
      <c r="D33" s="55">
        <f>IFERROR(ROUNDDOWN(C33/B33,0),"")</f>
        <v>0</v>
      </c>
      <c r="E33" s="213"/>
      <c r="F33" s="214">
        <f>IFERROR(C33-(D33*B33),"")</f>
        <v>5</v>
      </c>
      <c r="G33" s="67"/>
      <c r="H33" s="67"/>
      <c r="J33" s="73"/>
      <c r="K33" s="73"/>
    </row>
    <row r="34" spans="1:11" ht="4.5" customHeight="1" x14ac:dyDescent="0.3">
      <c r="A34" s="183"/>
      <c r="B34" s="224"/>
      <c r="C34" s="50"/>
      <c r="D34" s="50"/>
      <c r="E34" s="50"/>
      <c r="F34" s="184"/>
      <c r="G34" s="67"/>
      <c r="H34" s="67"/>
      <c r="J34" s="73"/>
      <c r="K34" s="73"/>
    </row>
    <row r="35" spans="1:11" ht="25.35" customHeight="1" x14ac:dyDescent="0.3">
      <c r="A35" s="221" t="s">
        <v>236</v>
      </c>
      <c r="B35" s="224">
        <f t="shared" ref="B35:B37" si="9">$B$4</f>
        <v>36</v>
      </c>
      <c r="C35" s="227">
        <f>IFERROR(VLOOKUP(A35,'대신 피벗'!A:ST,2,FALSE),0)</f>
        <v>4</v>
      </c>
      <c r="D35" s="227">
        <f>IFERROR(ROUNDDOWN(C35/B35,0),"")</f>
        <v>0</v>
      </c>
      <c r="E35" s="51" t="s">
        <v>264</v>
      </c>
      <c r="F35" s="228">
        <f>IFERROR(C35-(D35*B35),"")</f>
        <v>4</v>
      </c>
      <c r="G35" s="67"/>
      <c r="H35" s="67"/>
      <c r="J35" s="73"/>
      <c r="K35" s="73"/>
    </row>
    <row r="36" spans="1:11" ht="25.35" customHeight="1" x14ac:dyDescent="0.3">
      <c r="A36" s="221" t="s">
        <v>237</v>
      </c>
      <c r="B36" s="224">
        <f t="shared" si="9"/>
        <v>36</v>
      </c>
      <c r="C36" s="227">
        <f>IFERROR(VLOOKUP(A36,'대신 피벗'!A:ST,2,FALSE),0)</f>
        <v>3</v>
      </c>
      <c r="D36" s="227">
        <f t="shared" ref="D36:D37" si="10">IFERROR(ROUNDDOWN(C36/B36,0),"")</f>
        <v>0</v>
      </c>
      <c r="E36" s="51" t="s">
        <v>338</v>
      </c>
      <c r="F36" s="228">
        <f t="shared" ref="F36:F37" si="11">IFERROR(C36-(D36*B36),"")</f>
        <v>3</v>
      </c>
      <c r="G36" s="67"/>
      <c r="H36" s="67"/>
      <c r="J36" s="73"/>
      <c r="K36" s="73"/>
    </row>
    <row r="37" spans="1:11" ht="25.35" customHeight="1" x14ac:dyDescent="0.3">
      <c r="A37" s="221" t="s">
        <v>238</v>
      </c>
      <c r="B37" s="224">
        <f t="shared" si="9"/>
        <v>36</v>
      </c>
      <c r="C37" s="227">
        <f>IFERROR(VLOOKUP(A37,'대신 피벗'!A:ST,2,FALSE),0)</f>
        <v>1</v>
      </c>
      <c r="D37" s="227">
        <f t="shared" si="10"/>
        <v>0</v>
      </c>
      <c r="E37" s="51" t="s">
        <v>265</v>
      </c>
      <c r="F37" s="228">
        <f t="shared" si="11"/>
        <v>1</v>
      </c>
      <c r="G37" s="67"/>
      <c r="H37" s="67"/>
      <c r="J37" s="73"/>
      <c r="K37" s="73"/>
    </row>
    <row r="38" spans="1:11" ht="4.5" customHeight="1" x14ac:dyDescent="0.3">
      <c r="A38" s="183"/>
      <c r="B38" s="50"/>
      <c r="C38" s="50"/>
      <c r="D38" s="50"/>
      <c r="E38" s="50"/>
      <c r="F38" s="184"/>
      <c r="G38" s="67"/>
      <c r="H38" s="67"/>
      <c r="J38" s="73"/>
      <c r="K38" s="73"/>
    </row>
    <row r="39" spans="1:11" ht="32.450000000000003" customHeight="1" x14ac:dyDescent="0.3">
      <c r="A39" s="211" t="s">
        <v>283</v>
      </c>
      <c r="B39" s="225">
        <f>$B$4</f>
        <v>36</v>
      </c>
      <c r="C39" s="212">
        <f>SUM(C35:C37)</f>
        <v>8</v>
      </c>
      <c r="D39" s="55">
        <f>IFERROR(ROUNDDOWN(C39/B39,0),"")</f>
        <v>0</v>
      </c>
      <c r="E39" s="213"/>
      <c r="F39" s="214">
        <f>IFERROR(C39-(D39*B39),"")</f>
        <v>8</v>
      </c>
      <c r="G39" s="67"/>
      <c r="H39" s="67"/>
      <c r="J39" s="73"/>
      <c r="K39" s="73"/>
    </row>
    <row r="40" spans="1:11" ht="4.5" customHeight="1" x14ac:dyDescent="0.3">
      <c r="A40" s="183"/>
      <c r="B40" s="224"/>
      <c r="C40" s="50"/>
      <c r="D40" s="50"/>
      <c r="E40" s="50"/>
      <c r="F40" s="184"/>
      <c r="G40" s="67"/>
      <c r="H40" s="67"/>
      <c r="J40" s="73"/>
      <c r="K40" s="73"/>
    </row>
    <row r="41" spans="1:11" ht="25.35" customHeight="1" x14ac:dyDescent="0.3">
      <c r="A41" s="221" t="s">
        <v>261</v>
      </c>
      <c r="B41" s="224">
        <f t="shared" ref="B41:B42" si="12">$B$4</f>
        <v>36</v>
      </c>
      <c r="C41" s="227">
        <f>IFERROR(VLOOKUP(A41,'대신 피벗'!A:ST,2,FALSE),0)</f>
        <v>3</v>
      </c>
      <c r="D41" s="227">
        <f t="shared" ref="D41:D42" si="13">IFERROR(ROUNDDOWN(C41/B41,0),"")</f>
        <v>0</v>
      </c>
      <c r="E41" s="51" t="s">
        <v>281</v>
      </c>
      <c r="F41" s="228">
        <f t="shared" ref="F41:F42" si="14">IFERROR(C41-(D41*B41),"")</f>
        <v>3</v>
      </c>
      <c r="G41" s="67"/>
      <c r="H41" s="67"/>
      <c r="J41" s="73"/>
      <c r="K41" s="73"/>
    </row>
    <row r="42" spans="1:11" ht="25.35" customHeight="1" x14ac:dyDescent="0.3">
      <c r="A42" s="221" t="s">
        <v>262</v>
      </c>
      <c r="B42" s="224">
        <f t="shared" si="12"/>
        <v>36</v>
      </c>
      <c r="C42" s="227">
        <f>IFERROR(VLOOKUP(A42,'대신 피벗'!A:ST,2,FALSE),0)</f>
        <v>1</v>
      </c>
      <c r="D42" s="227">
        <f t="shared" si="13"/>
        <v>0</v>
      </c>
      <c r="E42" s="51" t="s">
        <v>282</v>
      </c>
      <c r="F42" s="228">
        <f t="shared" si="14"/>
        <v>1</v>
      </c>
      <c r="G42" s="67"/>
      <c r="H42" s="67"/>
      <c r="J42" s="73"/>
      <c r="K42" s="73"/>
    </row>
    <row r="43" spans="1:11" ht="4.5" customHeight="1" x14ac:dyDescent="0.3">
      <c r="A43" s="183"/>
      <c r="B43" s="50"/>
      <c r="C43" s="50"/>
      <c r="D43" s="50"/>
      <c r="E43" s="50"/>
      <c r="F43" s="184"/>
      <c r="G43" s="67"/>
      <c r="H43" s="67"/>
      <c r="J43" s="73"/>
      <c r="K43" s="73"/>
    </row>
    <row r="44" spans="1:11" ht="32.450000000000003" customHeight="1" x14ac:dyDescent="0.3">
      <c r="A44" s="211" t="s">
        <v>339</v>
      </c>
      <c r="B44" s="225">
        <f>$B$4</f>
        <v>36</v>
      </c>
      <c r="C44" s="212">
        <f>SUM(C41:C42)</f>
        <v>4</v>
      </c>
      <c r="D44" s="55">
        <f>IFERROR(ROUNDDOWN(C44/B44,0),"")</f>
        <v>0</v>
      </c>
      <c r="E44" s="213"/>
      <c r="F44" s="214">
        <f>IFERROR(C44-(D44*B44),"")</f>
        <v>4</v>
      </c>
      <c r="G44" s="67"/>
      <c r="H44" s="67"/>
      <c r="J44" s="73"/>
      <c r="K44" s="73"/>
    </row>
    <row r="45" spans="1:11" ht="4.5" customHeight="1" thickBot="1" x14ac:dyDescent="0.35">
      <c r="A45" s="183"/>
      <c r="B45" s="50"/>
      <c r="C45" s="50"/>
      <c r="D45" s="50"/>
      <c r="E45" s="50"/>
      <c r="F45" s="184"/>
      <c r="G45" s="67"/>
      <c r="H45" s="67"/>
      <c r="J45" s="73"/>
      <c r="K45" s="73"/>
    </row>
    <row r="46" spans="1:11" ht="26.25" x14ac:dyDescent="0.3">
      <c r="A46" s="87" t="s">
        <v>3</v>
      </c>
      <c r="B46" s="226">
        <f>$B$4</f>
        <v>36</v>
      </c>
      <c r="C46" s="55">
        <f>SUM(C4:C18,C35:C37,C30:C31,C22:C26,C41:C42)</f>
        <v>96</v>
      </c>
      <c r="D46" s="54">
        <f>IFERROR(ROUNDDOWN(C46/B46,0),"")</f>
        <v>2</v>
      </c>
      <c r="E46" s="56"/>
      <c r="F46" s="121">
        <f>IFERROR(C46-(D46*B46),"")</f>
        <v>24</v>
      </c>
      <c r="G46" s="232" t="s">
        <v>110</v>
      </c>
      <c r="H46" s="233" t="s">
        <v>111</v>
      </c>
      <c r="J46" s="73"/>
      <c r="K46" s="73"/>
    </row>
    <row r="47" spans="1:11" ht="27" thickBot="1" x14ac:dyDescent="0.35">
      <c r="A47" s="42" t="s">
        <v>286</v>
      </c>
      <c r="B47" s="43" t="s">
        <v>173</v>
      </c>
      <c r="C47" s="40"/>
      <c r="D47" s="41">
        <f>SUM(D4:D18,D35:D37,D30:D31,D22:D26,D41:D42)</f>
        <v>0</v>
      </c>
      <c r="E47" s="48"/>
      <c r="F47" s="93">
        <f>SUM(F4:F18,F35:F37,F30:F31,F22:F26,F41:F42)</f>
        <v>96</v>
      </c>
      <c r="G47" s="216">
        <f>IFERROR(ROUNDDOWN(F47/B35,0),"")</f>
        <v>2</v>
      </c>
      <c r="H47" s="217">
        <f>IFERROR(F47-(G47*B35),"")</f>
        <v>24</v>
      </c>
    </row>
    <row r="48" spans="1:11" ht="22.5" customHeight="1" x14ac:dyDescent="0.3">
      <c r="C48" s="77">
        <f>C20+C28+C33+C39+C44</f>
        <v>96</v>
      </c>
      <c r="G48" s="199"/>
      <c r="H48" s="34" t="s">
        <v>174</v>
      </c>
    </row>
    <row r="49" spans="3:3" x14ac:dyDescent="0.3">
      <c r="C49" s="34" t="b">
        <f>C48=C46</f>
        <v>1</v>
      </c>
    </row>
  </sheetData>
  <mergeCells count="1">
    <mergeCell ref="A1:F1"/>
  </mergeCells>
  <phoneticPr fontId="13" type="noConversion"/>
  <printOptions horizontalCentered="1" verticalCentered="1"/>
  <pageMargins left="0" right="0" top="0" bottom="0" header="0" footer="0"/>
  <pageSetup paperSize="9" scale="77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9EB28E-4428-4C79-9F7A-6AC32FB737F2}">
  <sheetPr>
    <tabColor rgb="FF7030A0"/>
    <pageSetUpPr fitToPage="1"/>
  </sheetPr>
  <dimension ref="A1:H49"/>
  <sheetViews>
    <sheetView zoomScale="40" zoomScaleNormal="40" zoomScaleSheetLayoutView="75" workbookViewId="0">
      <selection activeCell="A2" sqref="A2:F47"/>
    </sheetView>
  </sheetViews>
  <sheetFormatPr defaultColWidth="9" defaultRowHeight="16.5" x14ac:dyDescent="0.3"/>
  <cols>
    <col min="1" max="1" width="24.75" style="34" customWidth="1"/>
    <col min="2" max="2" width="7.625" style="38" customWidth="1"/>
    <col min="3" max="3" width="30.625" style="34" customWidth="1"/>
    <col min="4" max="4" width="9.875" style="2" customWidth="1"/>
    <col min="5" max="5" width="11.375" style="34" customWidth="1"/>
    <col min="6" max="6" width="11.125" style="2" customWidth="1"/>
    <col min="7" max="7" width="8.375" style="34" customWidth="1"/>
    <col min="8" max="8" width="9" style="34" customWidth="1"/>
    <col min="9" max="13" width="9" style="34"/>
    <col min="14" max="14" width="10.625" style="34" customWidth="1"/>
    <col min="15" max="17" width="9" style="34"/>
    <col min="18" max="18" width="36.5" style="34" bestFit="1" customWidth="1"/>
    <col min="19" max="16384" width="9" style="34"/>
  </cols>
  <sheetData>
    <row r="1" spans="1:8" ht="25.9" customHeight="1" thickBot="1" x14ac:dyDescent="0.35">
      <c r="A1" s="270"/>
      <c r="B1" s="270"/>
      <c r="C1" s="270"/>
      <c r="D1" s="270"/>
      <c r="E1" s="270"/>
      <c r="F1" s="270"/>
    </row>
    <row r="2" spans="1:8" ht="25.9" customHeight="1" x14ac:dyDescent="0.3">
      <c r="A2" s="215">
        <f ca="1">TODAY()</f>
        <v>46314</v>
      </c>
      <c r="B2" s="256" t="s">
        <v>346</v>
      </c>
      <c r="C2" s="256"/>
      <c r="D2" s="256"/>
      <c r="E2" s="256"/>
      <c r="F2" s="257"/>
      <c r="G2" s="67"/>
      <c r="H2" s="67"/>
    </row>
    <row r="3" spans="1:8" ht="40.5" customHeight="1" x14ac:dyDescent="0.3">
      <c r="A3" s="222" t="s">
        <v>67</v>
      </c>
      <c r="B3" s="223" t="s">
        <v>13</v>
      </c>
      <c r="C3" s="229" t="s">
        <v>322</v>
      </c>
      <c r="D3" s="230" t="s">
        <v>2</v>
      </c>
      <c r="E3" s="229" t="s">
        <v>23</v>
      </c>
      <c r="F3" s="231" t="s">
        <v>14</v>
      </c>
      <c r="G3" s="67"/>
      <c r="H3" s="67"/>
    </row>
    <row r="4" spans="1:8" ht="25.35" customHeight="1" x14ac:dyDescent="0.3">
      <c r="A4" s="220" t="s">
        <v>260</v>
      </c>
      <c r="B4" s="224">
        <v>36</v>
      </c>
      <c r="C4" s="227">
        <f>IFERROR(VLOOKUP(A4,'대신 피벗'!A:ST,3,FALSE),0)</f>
        <v>2</v>
      </c>
      <c r="D4" s="227">
        <f t="shared" ref="D4:D18" si="0">IFERROR(ROUNDDOWN(C4/B4,0),"")</f>
        <v>0</v>
      </c>
      <c r="E4" s="51" t="s">
        <v>109</v>
      </c>
      <c r="F4" s="228">
        <f t="shared" ref="F4:F18" si="1">IFERROR(C4-(D4*B4),"")</f>
        <v>2</v>
      </c>
      <c r="G4" s="67"/>
      <c r="H4" s="67"/>
    </row>
    <row r="5" spans="1:8" ht="25.35" customHeight="1" x14ac:dyDescent="0.3">
      <c r="A5" s="221" t="s">
        <v>255</v>
      </c>
      <c r="B5" s="224">
        <f t="shared" ref="B5:B18" si="2">$B$4</f>
        <v>36</v>
      </c>
      <c r="C5" s="227">
        <f>IFERROR(VLOOKUP(A5,'대신 피벗'!A:ST,3,FALSE),0)</f>
        <v>28</v>
      </c>
      <c r="D5" s="227">
        <f t="shared" ref="D5" si="3">IFERROR(ROUNDDOWN(C5/B5,0),"")</f>
        <v>0</v>
      </c>
      <c r="E5" s="51" t="s">
        <v>335</v>
      </c>
      <c r="F5" s="228">
        <f t="shared" ref="F5" si="4">IFERROR(C5-(D5*B5),"")</f>
        <v>28</v>
      </c>
      <c r="G5" s="67"/>
      <c r="H5" s="67"/>
    </row>
    <row r="6" spans="1:8" ht="25.35" customHeight="1" x14ac:dyDescent="0.3">
      <c r="A6" s="221" t="s">
        <v>249</v>
      </c>
      <c r="B6" s="224">
        <f t="shared" si="2"/>
        <v>36</v>
      </c>
      <c r="C6" s="227">
        <f>IFERROR(VLOOKUP(A6,'대신 피벗'!A:ST,3,FALSE),0)</f>
        <v>21</v>
      </c>
      <c r="D6" s="227">
        <f>IFERROR(ROUNDDOWN(C6/B6,0),"")</f>
        <v>0</v>
      </c>
      <c r="E6" s="51" t="s">
        <v>272</v>
      </c>
      <c r="F6" s="228">
        <f>IFERROR(C6-(D6*B6),"")</f>
        <v>21</v>
      </c>
      <c r="G6" s="67"/>
      <c r="H6" s="67"/>
    </row>
    <row r="7" spans="1:8" ht="25.35" customHeight="1" x14ac:dyDescent="0.3">
      <c r="A7" s="221" t="s">
        <v>250</v>
      </c>
      <c r="B7" s="224">
        <f t="shared" si="2"/>
        <v>36</v>
      </c>
      <c r="C7" s="227">
        <f>IFERROR(VLOOKUP(A7,'대신 피벗'!A:ST,3,FALSE),0)</f>
        <v>21</v>
      </c>
      <c r="D7" s="227">
        <f>IFERROR(ROUNDDOWN(C7/B7,0),"")</f>
        <v>0</v>
      </c>
      <c r="E7" s="51" t="s">
        <v>273</v>
      </c>
      <c r="F7" s="228">
        <f>IFERROR(C7-(D7*B7),"")</f>
        <v>21</v>
      </c>
      <c r="G7" s="67"/>
      <c r="H7" s="67"/>
    </row>
    <row r="8" spans="1:8" ht="25.35" customHeight="1" x14ac:dyDescent="0.3">
      <c r="A8" s="221" t="s">
        <v>248</v>
      </c>
      <c r="B8" s="224">
        <f t="shared" si="2"/>
        <v>36</v>
      </c>
      <c r="C8" s="227">
        <f>IFERROR(VLOOKUP(A8,'대신 피벗'!A:ST,3,FALSE),0)</f>
        <v>6</v>
      </c>
      <c r="D8" s="227">
        <f>IFERROR(ROUNDDOWN(C8/B8,0),"")</f>
        <v>0</v>
      </c>
      <c r="E8" s="51" t="s">
        <v>271</v>
      </c>
      <c r="F8" s="228">
        <f>IFERROR(C8-(D8*B8),"")</f>
        <v>6</v>
      </c>
      <c r="G8" s="67"/>
      <c r="H8" s="67"/>
    </row>
    <row r="9" spans="1:8" ht="25.35" customHeight="1" x14ac:dyDescent="0.3">
      <c r="A9" s="221" t="s">
        <v>246</v>
      </c>
      <c r="B9" s="224">
        <f t="shared" si="2"/>
        <v>36</v>
      </c>
      <c r="C9" s="227">
        <f>IFERROR(VLOOKUP(A9,'대신 피벗'!A:ST,3,FALSE),0)</f>
        <v>9</v>
      </c>
      <c r="D9" s="227">
        <f t="shared" si="0"/>
        <v>0</v>
      </c>
      <c r="E9" s="51" t="s">
        <v>270</v>
      </c>
      <c r="F9" s="228">
        <f t="shared" si="1"/>
        <v>9</v>
      </c>
      <c r="G9" s="67"/>
      <c r="H9" s="67"/>
    </row>
    <row r="10" spans="1:8" ht="25.35" customHeight="1" x14ac:dyDescent="0.3">
      <c r="A10" s="221" t="s">
        <v>256</v>
      </c>
      <c r="B10" s="224">
        <f t="shared" si="2"/>
        <v>36</v>
      </c>
      <c r="C10" s="227">
        <f>IFERROR(VLOOKUP(A10,'대신 피벗'!A:ST,3,FALSE),0)</f>
        <v>7</v>
      </c>
      <c r="D10" s="227">
        <f>IFERROR(ROUNDDOWN(C10/B10,0),"")</f>
        <v>0</v>
      </c>
      <c r="E10" s="51" t="s">
        <v>278</v>
      </c>
      <c r="F10" s="228">
        <f>IFERROR(C10-(D10*B10),"")</f>
        <v>7</v>
      </c>
      <c r="G10" s="67"/>
      <c r="H10" s="67"/>
    </row>
    <row r="11" spans="1:8" ht="25.35" customHeight="1" x14ac:dyDescent="0.3">
      <c r="A11" s="221" t="s">
        <v>247</v>
      </c>
      <c r="B11" s="224">
        <f t="shared" si="2"/>
        <v>36</v>
      </c>
      <c r="C11" s="227">
        <f>IFERROR(VLOOKUP(A11,'대신 피벗'!A:ST,3,FALSE),0)</f>
        <v>9</v>
      </c>
      <c r="D11" s="227">
        <f t="shared" si="0"/>
        <v>0</v>
      </c>
      <c r="E11" s="51" t="s">
        <v>334</v>
      </c>
      <c r="F11" s="228">
        <f t="shared" si="1"/>
        <v>9</v>
      </c>
      <c r="G11" s="67"/>
      <c r="H11" s="67"/>
    </row>
    <row r="12" spans="1:8" ht="25.35" customHeight="1" x14ac:dyDescent="0.3">
      <c r="A12" s="221" t="s">
        <v>251</v>
      </c>
      <c r="B12" s="224">
        <f t="shared" si="2"/>
        <v>36</v>
      </c>
      <c r="C12" s="227">
        <f>IFERROR(VLOOKUP(A12,'대신 피벗'!A:ST,3,FALSE),0)</f>
        <v>10</v>
      </c>
      <c r="D12" s="227">
        <f t="shared" si="0"/>
        <v>0</v>
      </c>
      <c r="E12" s="51" t="s">
        <v>274</v>
      </c>
      <c r="F12" s="228">
        <f t="shared" si="1"/>
        <v>10</v>
      </c>
      <c r="G12" s="67"/>
      <c r="H12" s="67"/>
    </row>
    <row r="13" spans="1:8" ht="25.35" customHeight="1" x14ac:dyDescent="0.3">
      <c r="A13" s="220" t="s">
        <v>252</v>
      </c>
      <c r="B13" s="224">
        <f t="shared" si="2"/>
        <v>36</v>
      </c>
      <c r="C13" s="227">
        <f>IFERROR(VLOOKUP(A13,'대신 피벗'!A:ST,3,FALSE),0)</f>
        <v>20</v>
      </c>
      <c r="D13" s="227">
        <f t="shared" si="0"/>
        <v>0</v>
      </c>
      <c r="E13" s="51" t="s">
        <v>275</v>
      </c>
      <c r="F13" s="228">
        <f t="shared" si="1"/>
        <v>20</v>
      </c>
      <c r="G13" s="67"/>
      <c r="H13" s="67"/>
    </row>
    <row r="14" spans="1:8" ht="25.35" customHeight="1" x14ac:dyDescent="0.3">
      <c r="A14" s="221" t="s">
        <v>253</v>
      </c>
      <c r="B14" s="224">
        <f t="shared" si="2"/>
        <v>36</v>
      </c>
      <c r="C14" s="227">
        <f>IFERROR(VLOOKUP(A14,'대신 피벗'!A:ST,3,FALSE),0)</f>
        <v>19</v>
      </c>
      <c r="D14" s="227">
        <f t="shared" si="0"/>
        <v>0</v>
      </c>
      <c r="E14" s="51" t="s">
        <v>276</v>
      </c>
      <c r="F14" s="228">
        <f t="shared" si="1"/>
        <v>19</v>
      </c>
      <c r="G14" s="67"/>
      <c r="H14" s="67"/>
    </row>
    <row r="15" spans="1:8" ht="25.35" customHeight="1" x14ac:dyDescent="0.3">
      <c r="A15" s="221" t="s">
        <v>254</v>
      </c>
      <c r="B15" s="224">
        <f t="shared" si="2"/>
        <v>36</v>
      </c>
      <c r="C15" s="227">
        <f>IFERROR(VLOOKUP(A15,'대신 피벗'!A:ST,3,FALSE),0)</f>
        <v>22</v>
      </c>
      <c r="D15" s="227">
        <f t="shared" si="0"/>
        <v>0</v>
      </c>
      <c r="E15" s="51" t="s">
        <v>277</v>
      </c>
      <c r="F15" s="228">
        <f t="shared" si="1"/>
        <v>22</v>
      </c>
      <c r="G15" s="67"/>
      <c r="H15" s="67"/>
    </row>
    <row r="16" spans="1:8" ht="25.35" customHeight="1" x14ac:dyDescent="0.3">
      <c r="A16" s="221" t="s">
        <v>257</v>
      </c>
      <c r="B16" s="224">
        <f t="shared" si="2"/>
        <v>36</v>
      </c>
      <c r="C16" s="227">
        <f>IFERROR(VLOOKUP(A16,'대신 피벗'!A:ST,3,FALSE),0)</f>
        <v>7</v>
      </c>
      <c r="D16" s="227">
        <f t="shared" si="0"/>
        <v>0</v>
      </c>
      <c r="E16" s="51" t="s">
        <v>279</v>
      </c>
      <c r="F16" s="228">
        <f t="shared" si="1"/>
        <v>7</v>
      </c>
      <c r="G16" s="67"/>
      <c r="H16" s="67"/>
    </row>
    <row r="17" spans="1:8" ht="25.35" customHeight="1" x14ac:dyDescent="0.3">
      <c r="A17" s="221" t="s">
        <v>258</v>
      </c>
      <c r="B17" s="224">
        <f t="shared" si="2"/>
        <v>36</v>
      </c>
      <c r="C17" s="227">
        <f>IFERROR(VLOOKUP(A17,'대신 피벗'!A:ST,3,FALSE),0)</f>
        <v>5</v>
      </c>
      <c r="D17" s="227">
        <f t="shared" si="0"/>
        <v>0</v>
      </c>
      <c r="E17" s="51" t="s">
        <v>280</v>
      </c>
      <c r="F17" s="228">
        <f t="shared" si="1"/>
        <v>5</v>
      </c>
      <c r="G17" s="67"/>
      <c r="H17" s="67"/>
    </row>
    <row r="18" spans="1:8" ht="25.35" customHeight="1" x14ac:dyDescent="0.3">
      <c r="A18" s="221" t="s">
        <v>259</v>
      </c>
      <c r="B18" s="224">
        <f t="shared" si="2"/>
        <v>36</v>
      </c>
      <c r="C18" s="227">
        <f>IFERROR(VLOOKUP(A18,'대신 피벗'!A:ST,3,FALSE),0)</f>
        <v>8</v>
      </c>
      <c r="D18" s="227">
        <f t="shared" si="0"/>
        <v>0</v>
      </c>
      <c r="E18" s="51" t="s">
        <v>336</v>
      </c>
      <c r="F18" s="228">
        <f t="shared" si="1"/>
        <v>8</v>
      </c>
      <c r="G18" s="67"/>
      <c r="H18" s="67"/>
    </row>
    <row r="19" spans="1:8" ht="4.5" customHeight="1" x14ac:dyDescent="0.3">
      <c r="A19" s="183"/>
      <c r="B19" s="50"/>
      <c r="C19" s="50"/>
      <c r="D19" s="50"/>
      <c r="E19" s="50"/>
      <c r="F19" s="184"/>
    </row>
    <row r="20" spans="1:8" ht="32.450000000000003" customHeight="1" x14ac:dyDescent="0.3">
      <c r="A20" s="211" t="s">
        <v>122</v>
      </c>
      <c r="B20" s="225">
        <f>$B$4</f>
        <v>36</v>
      </c>
      <c r="C20" s="212">
        <f>SUM(C4:C18)</f>
        <v>194</v>
      </c>
      <c r="D20" s="55">
        <f>IFERROR(ROUNDDOWN(C20/B20,0),"")</f>
        <v>5</v>
      </c>
      <c r="E20" s="213"/>
      <c r="F20" s="214">
        <f>IFERROR(C20-(D20*B20),"")</f>
        <v>14</v>
      </c>
    </row>
    <row r="21" spans="1:8" ht="4.5" customHeight="1" x14ac:dyDescent="0.3">
      <c r="A21" s="183"/>
      <c r="B21" s="224"/>
      <c r="C21" s="50"/>
      <c r="D21" s="50"/>
      <c r="E21" s="50"/>
      <c r="F21" s="184"/>
    </row>
    <row r="22" spans="1:8" ht="25.35" customHeight="1" x14ac:dyDescent="0.3">
      <c r="A22" s="221" t="s">
        <v>241</v>
      </c>
      <c r="B22" s="224">
        <f t="shared" ref="B22:B26" si="5">$B$4</f>
        <v>36</v>
      </c>
      <c r="C22" s="227">
        <f>IFERROR(VLOOKUP(A22,'대신 피벗'!A:ST,3,FALSE),0)</f>
        <v>6</v>
      </c>
      <c r="D22" s="227">
        <f>IFERROR(ROUNDDOWN(C22/B22,0),"")</f>
        <v>0</v>
      </c>
      <c r="E22" s="51" t="s">
        <v>268</v>
      </c>
      <c r="F22" s="228">
        <f>IFERROR(C22-(D22*B22),"")</f>
        <v>6</v>
      </c>
      <c r="G22" s="67"/>
      <c r="H22" s="67"/>
    </row>
    <row r="23" spans="1:8" ht="25.35" customHeight="1" x14ac:dyDescent="0.3">
      <c r="A23" s="221" t="s">
        <v>242</v>
      </c>
      <c r="B23" s="224">
        <f t="shared" si="5"/>
        <v>36</v>
      </c>
      <c r="C23" s="227">
        <f>IFERROR(VLOOKUP(A23,'대신 피벗'!A:ST,3,FALSE),0)</f>
        <v>5</v>
      </c>
      <c r="D23" s="227">
        <f>IFERROR(ROUNDDOWN(C23/B23,0),"")</f>
        <v>0</v>
      </c>
      <c r="E23" s="51" t="s">
        <v>337</v>
      </c>
      <c r="F23" s="228">
        <f>IFERROR(C23-(D23*B23),"")</f>
        <v>5</v>
      </c>
      <c r="G23" s="67"/>
      <c r="H23" s="67"/>
    </row>
    <row r="24" spans="1:8" ht="25.35" customHeight="1" x14ac:dyDescent="0.3">
      <c r="A24" s="221" t="s">
        <v>243</v>
      </c>
      <c r="B24" s="224">
        <f t="shared" si="5"/>
        <v>36</v>
      </c>
      <c r="C24" s="227">
        <f>IFERROR(VLOOKUP(A24,'대신 피벗'!A:ST,3,FALSE),0)</f>
        <v>0</v>
      </c>
      <c r="D24" s="227">
        <f>IFERROR(ROUNDDOWN(C24/B24,0),"")</f>
        <v>0</v>
      </c>
      <c r="E24" s="51" t="s">
        <v>106</v>
      </c>
      <c r="F24" s="228">
        <f>IFERROR(C24-(D24*B24),"")</f>
        <v>0</v>
      </c>
      <c r="G24" s="67"/>
      <c r="H24" s="67"/>
    </row>
    <row r="25" spans="1:8" ht="25.35" customHeight="1" x14ac:dyDescent="0.3">
      <c r="A25" s="221" t="s">
        <v>244</v>
      </c>
      <c r="B25" s="224">
        <f t="shared" si="5"/>
        <v>36</v>
      </c>
      <c r="C25" s="227">
        <f>IFERROR(VLOOKUP(A25,'대신 피벗'!A:ST,3,FALSE),0)</f>
        <v>6</v>
      </c>
      <c r="D25" s="227">
        <f>IFERROR(ROUNDDOWN(C25/B25,0),"")</f>
        <v>0</v>
      </c>
      <c r="E25" s="51" t="s">
        <v>269</v>
      </c>
      <c r="F25" s="228">
        <f>IFERROR(C25-(D25*B25),"")</f>
        <v>6</v>
      </c>
      <c r="G25" s="67"/>
      <c r="H25" s="67"/>
    </row>
    <row r="26" spans="1:8" ht="25.35" customHeight="1" x14ac:dyDescent="0.3">
      <c r="A26" s="221" t="s">
        <v>245</v>
      </c>
      <c r="B26" s="224">
        <f t="shared" si="5"/>
        <v>36</v>
      </c>
      <c r="C26" s="227">
        <f>IFERROR(VLOOKUP(A26,'대신 피벗'!A:ST,3,FALSE),0)</f>
        <v>3</v>
      </c>
      <c r="D26" s="227">
        <f>IFERROR(ROUNDDOWN(C26/B26,0),"")</f>
        <v>0</v>
      </c>
      <c r="E26" s="51" t="s">
        <v>118</v>
      </c>
      <c r="F26" s="228">
        <f>IFERROR(C26-(D26*B26),"")</f>
        <v>3</v>
      </c>
      <c r="G26" s="67"/>
      <c r="H26" s="67"/>
    </row>
    <row r="27" spans="1:8" ht="4.5" customHeight="1" x14ac:dyDescent="0.3">
      <c r="A27" s="183"/>
      <c r="B27" s="50"/>
      <c r="C27" s="50"/>
      <c r="D27" s="50"/>
      <c r="E27" s="50"/>
      <c r="F27" s="184"/>
      <c r="G27" s="67"/>
      <c r="H27" s="67"/>
    </row>
    <row r="28" spans="1:8" ht="32.450000000000003" customHeight="1" x14ac:dyDescent="0.3">
      <c r="A28" s="211" t="s">
        <v>285</v>
      </c>
      <c r="B28" s="225">
        <f>$B$4</f>
        <v>36</v>
      </c>
      <c r="C28" s="212">
        <f>SUM(C22:C26)</f>
        <v>20</v>
      </c>
      <c r="D28" s="55">
        <f>IFERROR(ROUNDDOWN(C28/B28,0),"")</f>
        <v>0</v>
      </c>
      <c r="E28" s="213"/>
      <c r="F28" s="214">
        <f>IFERROR(C28-(D28*B28),"")</f>
        <v>20</v>
      </c>
      <c r="G28" s="67"/>
      <c r="H28" s="67"/>
    </row>
    <row r="29" spans="1:8" ht="4.5" customHeight="1" x14ac:dyDescent="0.3">
      <c r="A29" s="183"/>
      <c r="B29" s="50"/>
      <c r="C29" s="50"/>
      <c r="D29" s="50"/>
      <c r="E29" s="50"/>
      <c r="F29" s="184"/>
      <c r="G29" s="67"/>
      <c r="H29" s="67"/>
    </row>
    <row r="30" spans="1:8" ht="25.35" customHeight="1" x14ac:dyDescent="0.3">
      <c r="A30" s="221" t="s">
        <v>239</v>
      </c>
      <c r="B30" s="224">
        <f t="shared" ref="B30:B31" si="6">$B$4</f>
        <v>36</v>
      </c>
      <c r="C30" s="227">
        <f>IFERROR(VLOOKUP(A30,'대신 피벗'!A:ST,3,FALSE),0)</f>
        <v>10</v>
      </c>
      <c r="D30" s="227">
        <f t="shared" ref="D30:D31" si="7">IFERROR(ROUNDDOWN(C30/B30,0),"")</f>
        <v>0</v>
      </c>
      <c r="E30" s="51" t="s">
        <v>266</v>
      </c>
      <c r="F30" s="228">
        <f t="shared" ref="F30:F31" si="8">IFERROR(C30-(D30*B30),"")</f>
        <v>10</v>
      </c>
      <c r="G30" s="67"/>
      <c r="H30" s="67"/>
    </row>
    <row r="31" spans="1:8" ht="25.35" customHeight="1" x14ac:dyDescent="0.3">
      <c r="A31" s="221" t="s">
        <v>240</v>
      </c>
      <c r="B31" s="224">
        <f t="shared" si="6"/>
        <v>36</v>
      </c>
      <c r="C31" s="227">
        <f>IFERROR(VLOOKUP(A31,'대신 피벗'!A:ST,3,FALSE),0)</f>
        <v>9</v>
      </c>
      <c r="D31" s="227">
        <f t="shared" si="7"/>
        <v>0</v>
      </c>
      <c r="E31" s="51" t="s">
        <v>267</v>
      </c>
      <c r="F31" s="228">
        <f t="shared" si="8"/>
        <v>9</v>
      </c>
      <c r="G31" s="67"/>
      <c r="H31" s="67"/>
    </row>
    <row r="32" spans="1:8" ht="4.5" customHeight="1" x14ac:dyDescent="0.3">
      <c r="A32" s="183"/>
      <c r="B32" s="50"/>
      <c r="C32" s="50"/>
      <c r="D32" s="50"/>
      <c r="E32" s="50"/>
      <c r="F32" s="184"/>
      <c r="G32" s="67"/>
      <c r="H32" s="67"/>
    </row>
    <row r="33" spans="1:8" ht="32.450000000000003" customHeight="1" x14ac:dyDescent="0.3">
      <c r="A33" s="211" t="s">
        <v>284</v>
      </c>
      <c r="B33" s="225">
        <f>$B$4</f>
        <v>36</v>
      </c>
      <c r="C33" s="212">
        <f>SUM(C30:C31)</f>
        <v>19</v>
      </c>
      <c r="D33" s="55">
        <f>IFERROR(ROUNDDOWN(C33/B33,0),"")</f>
        <v>0</v>
      </c>
      <c r="E33" s="213"/>
      <c r="F33" s="214">
        <f>IFERROR(C33-(D33*B33),"")</f>
        <v>19</v>
      </c>
      <c r="G33" s="67"/>
      <c r="H33" s="67"/>
    </row>
    <row r="34" spans="1:8" ht="4.5" customHeight="1" x14ac:dyDescent="0.3">
      <c r="A34" s="183"/>
      <c r="B34" s="224"/>
      <c r="C34" s="50"/>
      <c r="D34" s="50"/>
      <c r="E34" s="50"/>
      <c r="F34" s="184"/>
      <c r="G34" s="67"/>
      <c r="H34" s="67"/>
    </row>
    <row r="35" spans="1:8" ht="25.35" customHeight="1" x14ac:dyDescent="0.3">
      <c r="A35" s="221" t="s">
        <v>236</v>
      </c>
      <c r="B35" s="224">
        <f t="shared" ref="B35:B37" si="9">$B$4</f>
        <v>36</v>
      </c>
      <c r="C35" s="227">
        <f>IFERROR(VLOOKUP(A35,'대신 피벗'!A:ST,3,FALSE),0)</f>
        <v>11</v>
      </c>
      <c r="D35" s="227">
        <f t="shared" ref="D35:D37" si="10">IFERROR(ROUNDDOWN(C35/B35,0),"")</f>
        <v>0</v>
      </c>
      <c r="E35" s="51" t="s">
        <v>264</v>
      </c>
      <c r="F35" s="228">
        <f t="shared" ref="F35:F37" si="11">IFERROR(C35-(D35*B35),"")</f>
        <v>11</v>
      </c>
      <c r="G35" s="67"/>
      <c r="H35" s="67"/>
    </row>
    <row r="36" spans="1:8" ht="25.35" customHeight="1" x14ac:dyDescent="0.3">
      <c r="A36" s="221" t="s">
        <v>237</v>
      </c>
      <c r="B36" s="224">
        <f t="shared" si="9"/>
        <v>36</v>
      </c>
      <c r="C36" s="227">
        <f>IFERROR(VLOOKUP(A36,'대신 피벗'!A:ST,3,FALSE),0)</f>
        <v>4</v>
      </c>
      <c r="D36" s="227">
        <f t="shared" si="10"/>
        <v>0</v>
      </c>
      <c r="E36" s="51" t="s">
        <v>338</v>
      </c>
      <c r="F36" s="228">
        <f t="shared" si="11"/>
        <v>4</v>
      </c>
      <c r="G36" s="67"/>
      <c r="H36" s="67"/>
    </row>
    <row r="37" spans="1:8" ht="25.35" customHeight="1" x14ac:dyDescent="0.3">
      <c r="A37" s="221" t="s">
        <v>238</v>
      </c>
      <c r="B37" s="224">
        <f t="shared" si="9"/>
        <v>36</v>
      </c>
      <c r="C37" s="227">
        <f>IFERROR(VLOOKUP(A37,'대신 피벗'!A:ST,3,FALSE),0)</f>
        <v>9</v>
      </c>
      <c r="D37" s="227">
        <f t="shared" si="10"/>
        <v>0</v>
      </c>
      <c r="E37" s="51" t="s">
        <v>265</v>
      </c>
      <c r="F37" s="228">
        <f t="shared" si="11"/>
        <v>9</v>
      </c>
      <c r="G37" s="67"/>
      <c r="H37" s="67"/>
    </row>
    <row r="38" spans="1:8" ht="4.5" customHeight="1" x14ac:dyDescent="0.3">
      <c r="A38" s="183"/>
      <c r="B38" s="50"/>
      <c r="C38" s="50"/>
      <c r="D38" s="50"/>
      <c r="E38" s="50"/>
      <c r="F38" s="184"/>
      <c r="G38" s="67"/>
      <c r="H38" s="67"/>
    </row>
    <row r="39" spans="1:8" ht="32.450000000000003" customHeight="1" x14ac:dyDescent="0.3">
      <c r="A39" s="211" t="s">
        <v>283</v>
      </c>
      <c r="B39" s="225">
        <f>$B$4</f>
        <v>36</v>
      </c>
      <c r="C39" s="212">
        <f>SUM(C35:C37)</f>
        <v>24</v>
      </c>
      <c r="D39" s="55">
        <f>IFERROR(ROUNDDOWN(C39/B39,0),"")</f>
        <v>0</v>
      </c>
      <c r="E39" s="213"/>
      <c r="F39" s="214">
        <f>IFERROR(C39-(D39*B39),"")</f>
        <v>24</v>
      </c>
      <c r="G39" s="67"/>
      <c r="H39" s="67"/>
    </row>
    <row r="40" spans="1:8" ht="4.5" customHeight="1" x14ac:dyDescent="0.3">
      <c r="A40" s="183"/>
      <c r="B40" s="224"/>
      <c r="C40" s="50"/>
      <c r="D40" s="50"/>
      <c r="E40" s="50"/>
      <c r="F40" s="184"/>
      <c r="G40" s="67"/>
      <c r="H40" s="67"/>
    </row>
    <row r="41" spans="1:8" ht="25.35" customHeight="1" x14ac:dyDescent="0.3">
      <c r="A41" s="221" t="s">
        <v>261</v>
      </c>
      <c r="B41" s="224">
        <f t="shared" ref="B41:B42" si="12">$B$4</f>
        <v>36</v>
      </c>
      <c r="C41" s="227">
        <f>IFERROR(VLOOKUP(A41,'대신 피벗'!A:ST,3,FALSE),0)</f>
        <v>0</v>
      </c>
      <c r="D41" s="227">
        <f t="shared" ref="D41:D42" si="13">IFERROR(ROUNDDOWN(C41/B41,0),"")</f>
        <v>0</v>
      </c>
      <c r="E41" s="51" t="s">
        <v>281</v>
      </c>
      <c r="F41" s="228">
        <f t="shared" ref="F41:F42" si="14">IFERROR(C41-(D41*B41),"")</f>
        <v>0</v>
      </c>
      <c r="G41" s="67"/>
      <c r="H41" s="67"/>
    </row>
    <row r="42" spans="1:8" ht="25.35" customHeight="1" x14ac:dyDescent="0.3">
      <c r="A42" s="221" t="s">
        <v>262</v>
      </c>
      <c r="B42" s="224">
        <f t="shared" si="12"/>
        <v>36</v>
      </c>
      <c r="C42" s="227">
        <f>IFERROR(VLOOKUP(A42,'대신 피벗'!A:ST,3,FALSE),0)</f>
        <v>0</v>
      </c>
      <c r="D42" s="227">
        <f t="shared" si="13"/>
        <v>0</v>
      </c>
      <c r="E42" s="51" t="s">
        <v>282</v>
      </c>
      <c r="F42" s="228">
        <f t="shared" si="14"/>
        <v>0</v>
      </c>
      <c r="G42" s="67"/>
      <c r="H42" s="67"/>
    </row>
    <row r="43" spans="1:8" ht="4.5" customHeight="1" x14ac:dyDescent="0.3">
      <c r="A43" s="183"/>
      <c r="B43" s="50"/>
      <c r="C43" s="50"/>
      <c r="D43" s="50"/>
      <c r="E43" s="50"/>
      <c r="F43" s="184"/>
      <c r="G43" s="67"/>
      <c r="H43" s="67"/>
    </row>
    <row r="44" spans="1:8" ht="32.450000000000003" customHeight="1" x14ac:dyDescent="0.3">
      <c r="A44" s="211" t="s">
        <v>339</v>
      </c>
      <c r="B44" s="225">
        <f>$B$4</f>
        <v>36</v>
      </c>
      <c r="C44" s="212">
        <f>SUM(C41:C42)</f>
        <v>0</v>
      </c>
      <c r="D44" s="55">
        <f>IFERROR(ROUNDDOWN(C44/B44,0),"")</f>
        <v>0</v>
      </c>
      <c r="E44" s="213"/>
      <c r="F44" s="214">
        <f>IFERROR(C44-(D44*B44),"")</f>
        <v>0</v>
      </c>
      <c r="G44" s="67"/>
      <c r="H44" s="67"/>
    </row>
    <row r="45" spans="1:8" ht="4.5" customHeight="1" thickBot="1" x14ac:dyDescent="0.35">
      <c r="A45" s="183"/>
      <c r="B45" s="50"/>
      <c r="C45" s="50"/>
      <c r="D45" s="50"/>
      <c r="E45" s="50"/>
      <c r="F45" s="184"/>
      <c r="G45" s="67"/>
      <c r="H45" s="67"/>
    </row>
    <row r="46" spans="1:8" ht="26.25" x14ac:dyDescent="0.3">
      <c r="A46" s="87" t="s">
        <v>3</v>
      </c>
      <c r="B46" s="226">
        <f>$B$4</f>
        <v>36</v>
      </c>
      <c r="C46" s="55">
        <f>SUM(C4:C18,C35:C37,C30:C31,C22:C26,C41:C42)</f>
        <v>257</v>
      </c>
      <c r="D46" s="54">
        <f>IFERROR(ROUNDDOWN(C46/B46,0),"")</f>
        <v>7</v>
      </c>
      <c r="E46" s="56"/>
      <c r="F46" s="121">
        <f>IFERROR(C46-(D46*B46),"")</f>
        <v>5</v>
      </c>
      <c r="G46" s="232" t="s">
        <v>110</v>
      </c>
      <c r="H46" s="233" t="s">
        <v>111</v>
      </c>
    </row>
    <row r="47" spans="1:8" ht="27" thickBot="1" x14ac:dyDescent="0.35">
      <c r="A47" s="42" t="s">
        <v>286</v>
      </c>
      <c r="B47" s="43" t="s">
        <v>173</v>
      </c>
      <c r="C47" s="40"/>
      <c r="D47" s="41">
        <f>SUM(D4:D18,D35:D37,D30:D31,D22:D26,D41:D42)</f>
        <v>0</v>
      </c>
      <c r="E47" s="48"/>
      <c r="F47" s="93">
        <f>SUM(F4:F18,F35:F37,F30:F31,F22:F26,F41:F42)</f>
        <v>257</v>
      </c>
      <c r="G47" s="216">
        <f>IFERROR(ROUNDDOWN(F47/B35,0),"")</f>
        <v>7</v>
      </c>
      <c r="H47" s="217">
        <f>IFERROR(F47-(G47*B35),"")</f>
        <v>5</v>
      </c>
    </row>
    <row r="48" spans="1:8" ht="22.5" customHeight="1" x14ac:dyDescent="0.3">
      <c r="C48" s="77">
        <f>C20+C28+C33+C39+C44</f>
        <v>257</v>
      </c>
      <c r="G48" s="199"/>
      <c r="H48" s="34" t="s">
        <v>174</v>
      </c>
    </row>
    <row r="49" spans="3:3" x14ac:dyDescent="0.3">
      <c r="C49" s="34" t="b">
        <f>C48=C46</f>
        <v>1</v>
      </c>
    </row>
  </sheetData>
  <mergeCells count="1">
    <mergeCell ref="A1:F1"/>
  </mergeCells>
  <phoneticPr fontId="13" type="noConversion"/>
  <printOptions horizontalCentered="1" verticalCentered="1"/>
  <pageMargins left="0" right="0" top="0" bottom="0" header="0" footer="0"/>
  <pageSetup paperSize="9" scale="77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748B4E-2DDD-4D47-AF21-A658C5550EA0}">
  <sheetPr>
    <tabColor rgb="FF7030A0"/>
    <pageSetUpPr fitToPage="1"/>
  </sheetPr>
  <dimension ref="A1:K49"/>
  <sheetViews>
    <sheetView zoomScale="40" zoomScaleNormal="40" zoomScaleSheetLayoutView="75" workbookViewId="0">
      <selection activeCell="A2" sqref="A2:F47"/>
    </sheetView>
  </sheetViews>
  <sheetFormatPr defaultColWidth="9" defaultRowHeight="16.5" x14ac:dyDescent="0.3"/>
  <cols>
    <col min="1" max="1" width="24.75" style="34" customWidth="1"/>
    <col min="2" max="2" width="7.625" style="38" customWidth="1"/>
    <col min="3" max="3" width="30.625" style="34" customWidth="1"/>
    <col min="4" max="4" width="9.875" style="2" customWidth="1"/>
    <col min="5" max="5" width="11.375" style="34" customWidth="1"/>
    <col min="6" max="6" width="11.125" style="2" customWidth="1"/>
    <col min="7" max="7" width="8.375" style="34" customWidth="1"/>
    <col min="8" max="8" width="9" style="34" customWidth="1"/>
    <col min="9" max="13" width="9" style="34"/>
    <col min="14" max="14" width="10.625" style="34" customWidth="1"/>
    <col min="15" max="17" width="9" style="34"/>
    <col min="18" max="18" width="36.5" style="34" bestFit="1" customWidth="1"/>
    <col min="19" max="16384" width="9" style="34"/>
  </cols>
  <sheetData>
    <row r="1" spans="1:11" ht="25.9" customHeight="1" thickBot="1" x14ac:dyDescent="0.35">
      <c r="A1" s="270"/>
      <c r="B1" s="270"/>
      <c r="C1" s="270"/>
      <c r="D1" s="270"/>
      <c r="E1" s="270"/>
      <c r="F1" s="270"/>
    </row>
    <row r="2" spans="1:11" ht="25.9" customHeight="1" x14ac:dyDescent="0.3">
      <c r="A2" s="215">
        <f ca="1">TODAY()</f>
        <v>46314</v>
      </c>
      <c r="B2" s="256" t="s">
        <v>345</v>
      </c>
      <c r="C2" s="256"/>
      <c r="D2" s="256"/>
      <c r="E2" s="256"/>
      <c r="F2" s="257"/>
      <c r="G2" s="67"/>
      <c r="H2" s="67"/>
    </row>
    <row r="3" spans="1:11" ht="40.5" customHeight="1" x14ac:dyDescent="0.3">
      <c r="A3" s="222" t="s">
        <v>67</v>
      </c>
      <c r="B3" s="223" t="s">
        <v>13</v>
      </c>
      <c r="C3" s="229" t="s">
        <v>323</v>
      </c>
      <c r="D3" s="230" t="s">
        <v>2</v>
      </c>
      <c r="E3" s="229" t="s">
        <v>23</v>
      </c>
      <c r="F3" s="231" t="s">
        <v>14</v>
      </c>
      <c r="G3" s="67"/>
      <c r="H3" s="67"/>
    </row>
    <row r="4" spans="1:11" ht="25.35" customHeight="1" x14ac:dyDescent="0.3">
      <c r="A4" s="220" t="s">
        <v>260</v>
      </c>
      <c r="B4" s="224">
        <v>30</v>
      </c>
      <c r="C4" s="227">
        <f>IFERROR(VLOOKUP(A4,'대신 피벗'!A:ST,4,FALSE),0)</f>
        <v>4</v>
      </c>
      <c r="D4" s="227">
        <f t="shared" ref="D4:D18" si="0">IFERROR(ROUNDDOWN(C4/B4,0),"")</f>
        <v>0</v>
      </c>
      <c r="E4" s="51" t="s">
        <v>109</v>
      </c>
      <c r="F4" s="228">
        <f t="shared" ref="F4:F18" si="1">IFERROR(C4-(D4*B4),"")</f>
        <v>4</v>
      </c>
      <c r="G4" s="67"/>
      <c r="H4" s="67"/>
      <c r="J4" s="73"/>
      <c r="K4" s="73"/>
    </row>
    <row r="5" spans="1:11" ht="25.35" customHeight="1" x14ac:dyDescent="0.3">
      <c r="A5" s="221" t="s">
        <v>255</v>
      </c>
      <c r="B5" s="224">
        <f t="shared" ref="B5:B18" si="2">$B$4</f>
        <v>30</v>
      </c>
      <c r="C5" s="227">
        <f>IFERROR(VLOOKUP(A5,'대신 피벗'!A:ST,4,FALSE),0)</f>
        <v>22</v>
      </c>
      <c r="D5" s="227">
        <f t="shared" ref="D5" si="3">IFERROR(ROUNDDOWN(C5/B5,0),"")</f>
        <v>0</v>
      </c>
      <c r="E5" s="51" t="s">
        <v>335</v>
      </c>
      <c r="F5" s="228">
        <f t="shared" ref="F5" si="4">IFERROR(C5-(D5*B5),"")</f>
        <v>22</v>
      </c>
      <c r="G5" s="67"/>
      <c r="H5" s="67"/>
      <c r="J5" s="73"/>
      <c r="K5" s="73"/>
    </row>
    <row r="6" spans="1:11" ht="25.35" customHeight="1" x14ac:dyDescent="0.3">
      <c r="A6" s="221" t="s">
        <v>249</v>
      </c>
      <c r="B6" s="224">
        <f t="shared" si="2"/>
        <v>30</v>
      </c>
      <c r="C6" s="227">
        <f>IFERROR(VLOOKUP(A6,'대신 피벗'!A:ST,4,FALSE),0)</f>
        <v>16</v>
      </c>
      <c r="D6" s="227">
        <f>IFERROR(ROUNDDOWN(C6/B6,0),"")</f>
        <v>0</v>
      </c>
      <c r="E6" s="51" t="s">
        <v>272</v>
      </c>
      <c r="F6" s="228">
        <f>IFERROR(C6-(D6*B6),"")</f>
        <v>16</v>
      </c>
      <c r="G6" s="67"/>
      <c r="H6" s="67"/>
      <c r="J6" s="73"/>
      <c r="K6" s="73"/>
    </row>
    <row r="7" spans="1:11" ht="25.35" customHeight="1" x14ac:dyDescent="0.3">
      <c r="A7" s="221" t="s">
        <v>250</v>
      </c>
      <c r="B7" s="224">
        <f t="shared" si="2"/>
        <v>30</v>
      </c>
      <c r="C7" s="227">
        <f>IFERROR(VLOOKUP(A7,'대신 피벗'!A:ST,4,FALSE),0)</f>
        <v>17</v>
      </c>
      <c r="D7" s="227">
        <f>IFERROR(ROUNDDOWN(C7/B7,0),"")</f>
        <v>0</v>
      </c>
      <c r="E7" s="51" t="s">
        <v>273</v>
      </c>
      <c r="F7" s="228">
        <f>IFERROR(C7-(D7*B7),"")</f>
        <v>17</v>
      </c>
      <c r="G7" s="67"/>
      <c r="H7" s="67"/>
      <c r="J7" s="73"/>
      <c r="K7" s="73"/>
    </row>
    <row r="8" spans="1:11" ht="25.35" customHeight="1" x14ac:dyDescent="0.3">
      <c r="A8" s="221" t="s">
        <v>248</v>
      </c>
      <c r="B8" s="224">
        <f t="shared" si="2"/>
        <v>30</v>
      </c>
      <c r="C8" s="227">
        <f>IFERROR(VLOOKUP(A8,'대신 피벗'!A:ST,4,FALSE),0)</f>
        <v>9</v>
      </c>
      <c r="D8" s="227">
        <f>IFERROR(ROUNDDOWN(C8/B8,0),"")</f>
        <v>0</v>
      </c>
      <c r="E8" s="51" t="s">
        <v>271</v>
      </c>
      <c r="F8" s="228">
        <f>IFERROR(C8-(D8*B8),"")</f>
        <v>9</v>
      </c>
      <c r="G8" s="67"/>
      <c r="H8" s="67"/>
      <c r="J8" s="73"/>
      <c r="K8" s="73"/>
    </row>
    <row r="9" spans="1:11" ht="25.35" customHeight="1" x14ac:dyDescent="0.3">
      <c r="A9" s="221" t="s">
        <v>246</v>
      </c>
      <c r="B9" s="224">
        <f t="shared" si="2"/>
        <v>30</v>
      </c>
      <c r="C9" s="227">
        <f>IFERROR(VLOOKUP(A9,'대신 피벗'!A:ST,4,FALSE),0)</f>
        <v>11</v>
      </c>
      <c r="D9" s="227">
        <f t="shared" si="0"/>
        <v>0</v>
      </c>
      <c r="E9" s="51" t="s">
        <v>270</v>
      </c>
      <c r="F9" s="228">
        <f t="shared" si="1"/>
        <v>11</v>
      </c>
      <c r="G9" s="67"/>
      <c r="H9" s="67"/>
      <c r="J9" s="73"/>
      <c r="K9" s="73"/>
    </row>
    <row r="10" spans="1:11" ht="25.35" customHeight="1" x14ac:dyDescent="0.3">
      <c r="A10" s="221" t="s">
        <v>256</v>
      </c>
      <c r="B10" s="224">
        <f t="shared" si="2"/>
        <v>30</v>
      </c>
      <c r="C10" s="227">
        <f>IFERROR(VLOOKUP(A10,'대신 피벗'!A:ST,4,FALSE),0)</f>
        <v>13</v>
      </c>
      <c r="D10" s="227">
        <f>IFERROR(ROUNDDOWN(C10/B10,0),"")</f>
        <v>0</v>
      </c>
      <c r="E10" s="51" t="s">
        <v>278</v>
      </c>
      <c r="F10" s="228">
        <f>IFERROR(C10-(D10*B10),"")</f>
        <v>13</v>
      </c>
      <c r="G10" s="67"/>
      <c r="H10" s="67"/>
      <c r="J10" s="73"/>
      <c r="K10" s="73"/>
    </row>
    <row r="11" spans="1:11" ht="25.35" customHeight="1" x14ac:dyDescent="0.3">
      <c r="A11" s="221" t="s">
        <v>247</v>
      </c>
      <c r="B11" s="224">
        <f t="shared" si="2"/>
        <v>30</v>
      </c>
      <c r="C11" s="227">
        <f>IFERROR(VLOOKUP(A11,'대신 피벗'!A:ST,4,FALSE),0)</f>
        <v>11</v>
      </c>
      <c r="D11" s="227">
        <f t="shared" si="0"/>
        <v>0</v>
      </c>
      <c r="E11" s="51" t="s">
        <v>334</v>
      </c>
      <c r="F11" s="228">
        <f t="shared" si="1"/>
        <v>11</v>
      </c>
      <c r="G11" s="67"/>
      <c r="H11" s="67"/>
      <c r="J11" s="73"/>
      <c r="K11" s="73"/>
    </row>
    <row r="12" spans="1:11" ht="25.35" customHeight="1" x14ac:dyDescent="0.3">
      <c r="A12" s="221" t="s">
        <v>251</v>
      </c>
      <c r="B12" s="224">
        <f t="shared" si="2"/>
        <v>30</v>
      </c>
      <c r="C12" s="227">
        <f>IFERROR(VLOOKUP(A12,'대신 피벗'!A:ST,4,FALSE),0)</f>
        <v>6</v>
      </c>
      <c r="D12" s="227">
        <f t="shared" si="0"/>
        <v>0</v>
      </c>
      <c r="E12" s="51" t="s">
        <v>274</v>
      </c>
      <c r="F12" s="228">
        <f t="shared" si="1"/>
        <v>6</v>
      </c>
      <c r="G12" s="67"/>
      <c r="H12" s="67"/>
      <c r="J12" s="73"/>
      <c r="K12" s="73"/>
    </row>
    <row r="13" spans="1:11" ht="25.35" customHeight="1" x14ac:dyDescent="0.3">
      <c r="A13" s="220" t="s">
        <v>252</v>
      </c>
      <c r="B13" s="224">
        <f t="shared" si="2"/>
        <v>30</v>
      </c>
      <c r="C13" s="227">
        <f>IFERROR(VLOOKUP(A13,'대신 피벗'!A:ST,4,FALSE),0)</f>
        <v>19</v>
      </c>
      <c r="D13" s="227">
        <f t="shared" si="0"/>
        <v>0</v>
      </c>
      <c r="E13" s="51" t="s">
        <v>275</v>
      </c>
      <c r="F13" s="228">
        <f t="shared" si="1"/>
        <v>19</v>
      </c>
      <c r="G13" s="67"/>
      <c r="H13" s="67"/>
      <c r="J13" s="73"/>
      <c r="K13" s="73"/>
    </row>
    <row r="14" spans="1:11" ht="25.35" customHeight="1" x14ac:dyDescent="0.3">
      <c r="A14" s="221" t="s">
        <v>253</v>
      </c>
      <c r="B14" s="224">
        <f t="shared" si="2"/>
        <v>30</v>
      </c>
      <c r="C14" s="227">
        <f>IFERROR(VLOOKUP(A14,'대신 피벗'!A:ST,4,FALSE),0)</f>
        <v>16</v>
      </c>
      <c r="D14" s="227">
        <f t="shared" si="0"/>
        <v>0</v>
      </c>
      <c r="E14" s="51" t="s">
        <v>276</v>
      </c>
      <c r="F14" s="228">
        <f t="shared" si="1"/>
        <v>16</v>
      </c>
      <c r="G14" s="67"/>
      <c r="H14" s="67"/>
      <c r="J14" s="73"/>
      <c r="K14" s="73"/>
    </row>
    <row r="15" spans="1:11" ht="25.35" customHeight="1" x14ac:dyDescent="0.3">
      <c r="A15" s="221" t="s">
        <v>254</v>
      </c>
      <c r="B15" s="224">
        <f t="shared" si="2"/>
        <v>30</v>
      </c>
      <c r="C15" s="227">
        <f>IFERROR(VLOOKUP(A15,'대신 피벗'!A:ST,4,FALSE),0)</f>
        <v>17</v>
      </c>
      <c r="D15" s="227">
        <f t="shared" si="0"/>
        <v>0</v>
      </c>
      <c r="E15" s="51" t="s">
        <v>277</v>
      </c>
      <c r="F15" s="228">
        <f t="shared" si="1"/>
        <v>17</v>
      </c>
      <c r="G15" s="67"/>
      <c r="H15" s="67"/>
      <c r="J15" s="73"/>
      <c r="K15" s="73"/>
    </row>
    <row r="16" spans="1:11" ht="25.35" customHeight="1" x14ac:dyDescent="0.3">
      <c r="A16" s="221" t="s">
        <v>257</v>
      </c>
      <c r="B16" s="224">
        <f t="shared" si="2"/>
        <v>30</v>
      </c>
      <c r="C16" s="227">
        <f>IFERROR(VLOOKUP(A16,'대신 피벗'!A:ST,4,FALSE),0)</f>
        <v>11</v>
      </c>
      <c r="D16" s="227">
        <f t="shared" si="0"/>
        <v>0</v>
      </c>
      <c r="E16" s="51" t="s">
        <v>279</v>
      </c>
      <c r="F16" s="228">
        <f t="shared" si="1"/>
        <v>11</v>
      </c>
      <c r="G16" s="67"/>
      <c r="H16" s="67"/>
      <c r="J16" s="73"/>
      <c r="K16" s="73"/>
    </row>
    <row r="17" spans="1:11" ht="25.35" customHeight="1" x14ac:dyDescent="0.3">
      <c r="A17" s="221" t="s">
        <v>258</v>
      </c>
      <c r="B17" s="224">
        <f t="shared" si="2"/>
        <v>30</v>
      </c>
      <c r="C17" s="227">
        <f>IFERROR(VLOOKUP(A17,'대신 피벗'!A:ST,4,FALSE),0)</f>
        <v>11</v>
      </c>
      <c r="D17" s="227">
        <f t="shared" si="0"/>
        <v>0</v>
      </c>
      <c r="E17" s="51" t="s">
        <v>280</v>
      </c>
      <c r="F17" s="228">
        <f t="shared" si="1"/>
        <v>11</v>
      </c>
      <c r="G17" s="67"/>
      <c r="H17" s="67"/>
      <c r="J17" s="73"/>
      <c r="K17" s="73"/>
    </row>
    <row r="18" spans="1:11" ht="25.35" customHeight="1" x14ac:dyDescent="0.3">
      <c r="A18" s="221" t="s">
        <v>259</v>
      </c>
      <c r="B18" s="224">
        <f t="shared" si="2"/>
        <v>30</v>
      </c>
      <c r="C18" s="227">
        <f>IFERROR(VLOOKUP(A18,'대신 피벗'!A:ST,4,FALSE),0)</f>
        <v>9</v>
      </c>
      <c r="D18" s="227">
        <f t="shared" si="0"/>
        <v>0</v>
      </c>
      <c r="E18" s="51" t="s">
        <v>336</v>
      </c>
      <c r="F18" s="228">
        <f t="shared" si="1"/>
        <v>9</v>
      </c>
      <c r="G18" s="67"/>
      <c r="H18" s="67"/>
      <c r="J18" s="73"/>
      <c r="K18" s="73"/>
    </row>
    <row r="19" spans="1:11" ht="4.5" customHeight="1" x14ac:dyDescent="0.3">
      <c r="A19" s="183"/>
      <c r="B19" s="50"/>
      <c r="C19" s="50"/>
      <c r="D19" s="50"/>
      <c r="E19" s="50"/>
      <c r="F19" s="184"/>
      <c r="J19" s="73"/>
      <c r="K19" s="73"/>
    </row>
    <row r="20" spans="1:11" ht="32.450000000000003" customHeight="1" x14ac:dyDescent="0.3">
      <c r="A20" s="211" t="s">
        <v>122</v>
      </c>
      <c r="B20" s="225">
        <f>$B$4</f>
        <v>30</v>
      </c>
      <c r="C20" s="212">
        <f>SUM(C4:C18)</f>
        <v>192</v>
      </c>
      <c r="D20" s="55">
        <f>IFERROR(ROUNDDOWN(C20/B20,0),"")</f>
        <v>6</v>
      </c>
      <c r="E20" s="213"/>
      <c r="F20" s="214">
        <f>IFERROR(C20-(D20*B20),"")</f>
        <v>12</v>
      </c>
      <c r="J20" s="73"/>
      <c r="K20" s="73"/>
    </row>
    <row r="21" spans="1:11" ht="4.5" customHeight="1" x14ac:dyDescent="0.3">
      <c r="A21" s="183"/>
      <c r="B21" s="224"/>
      <c r="C21" s="50"/>
      <c r="D21" s="50"/>
      <c r="E21" s="50"/>
      <c r="F21" s="184"/>
      <c r="J21" s="73"/>
      <c r="K21" s="73"/>
    </row>
    <row r="22" spans="1:11" ht="25.35" customHeight="1" x14ac:dyDescent="0.3">
      <c r="A22" s="221" t="s">
        <v>241</v>
      </c>
      <c r="B22" s="224">
        <f t="shared" ref="B22:B26" si="5">$B$4</f>
        <v>30</v>
      </c>
      <c r="C22" s="227">
        <f>IFERROR(VLOOKUP(A22,'대신 피벗'!A:ST,4,FALSE),0)</f>
        <v>15</v>
      </c>
      <c r="D22" s="227">
        <f>IFERROR(ROUNDDOWN(C22/B22,0),"")</f>
        <v>0</v>
      </c>
      <c r="E22" s="51" t="s">
        <v>268</v>
      </c>
      <c r="F22" s="228">
        <f>IFERROR(C22-(D22*B22),"")</f>
        <v>15</v>
      </c>
      <c r="G22" s="67"/>
      <c r="H22" s="67"/>
      <c r="J22" s="73"/>
      <c r="K22" s="73"/>
    </row>
    <row r="23" spans="1:11" ht="25.35" customHeight="1" x14ac:dyDescent="0.3">
      <c r="A23" s="221" t="s">
        <v>242</v>
      </c>
      <c r="B23" s="224">
        <f t="shared" si="5"/>
        <v>30</v>
      </c>
      <c r="C23" s="227">
        <f>IFERROR(VLOOKUP(A23,'대신 피벗'!A:ST,4,FALSE),0)</f>
        <v>9</v>
      </c>
      <c r="D23" s="227">
        <f>IFERROR(ROUNDDOWN(C23/B23,0),"")</f>
        <v>0</v>
      </c>
      <c r="E23" s="51" t="s">
        <v>337</v>
      </c>
      <c r="F23" s="228">
        <f>IFERROR(C23-(D23*B23),"")</f>
        <v>9</v>
      </c>
      <c r="G23" s="67"/>
      <c r="H23" s="67"/>
      <c r="J23" s="73"/>
      <c r="K23" s="73"/>
    </row>
    <row r="24" spans="1:11" ht="25.35" customHeight="1" x14ac:dyDescent="0.3">
      <c r="A24" s="221" t="s">
        <v>243</v>
      </c>
      <c r="B24" s="224">
        <f t="shared" si="5"/>
        <v>30</v>
      </c>
      <c r="C24" s="227">
        <f>IFERROR(VLOOKUP(A24,'대신 피벗'!A:ST,4,FALSE),0)</f>
        <v>0</v>
      </c>
      <c r="D24" s="227">
        <f>IFERROR(ROUNDDOWN(C24/B24,0),"")</f>
        <v>0</v>
      </c>
      <c r="E24" s="51" t="s">
        <v>106</v>
      </c>
      <c r="F24" s="228">
        <f>IFERROR(C24-(D24*B24),"")</f>
        <v>0</v>
      </c>
      <c r="G24" s="67"/>
      <c r="H24" s="67"/>
      <c r="J24" s="73"/>
      <c r="K24" s="73"/>
    </row>
    <row r="25" spans="1:11" ht="25.35" customHeight="1" x14ac:dyDescent="0.3">
      <c r="A25" s="221" t="s">
        <v>244</v>
      </c>
      <c r="B25" s="224">
        <f t="shared" si="5"/>
        <v>30</v>
      </c>
      <c r="C25" s="227">
        <f>IFERROR(VLOOKUP(A25,'대신 피벗'!A:ST,4,FALSE),0)</f>
        <v>9</v>
      </c>
      <c r="D25" s="227">
        <f>IFERROR(ROUNDDOWN(C25/B25,0),"")</f>
        <v>0</v>
      </c>
      <c r="E25" s="51" t="s">
        <v>269</v>
      </c>
      <c r="F25" s="228">
        <f>IFERROR(C25-(D25*B25),"")</f>
        <v>9</v>
      </c>
      <c r="G25" s="67"/>
      <c r="H25" s="67"/>
      <c r="J25" s="73"/>
      <c r="K25" s="73"/>
    </row>
    <row r="26" spans="1:11" ht="25.35" customHeight="1" x14ac:dyDescent="0.3">
      <c r="A26" s="221" t="s">
        <v>245</v>
      </c>
      <c r="B26" s="224">
        <f t="shared" si="5"/>
        <v>30</v>
      </c>
      <c r="C26" s="227">
        <f>IFERROR(VLOOKUP(A26,'대신 피벗'!A:ST,4,FALSE),0)</f>
        <v>6</v>
      </c>
      <c r="D26" s="227">
        <f>IFERROR(ROUNDDOWN(C26/B26,0),"")</f>
        <v>0</v>
      </c>
      <c r="E26" s="51" t="s">
        <v>118</v>
      </c>
      <c r="F26" s="228">
        <f>IFERROR(C26-(D26*B26),"")</f>
        <v>6</v>
      </c>
      <c r="G26" s="67"/>
      <c r="H26" s="67"/>
      <c r="J26" s="73"/>
      <c r="K26" s="73"/>
    </row>
    <row r="27" spans="1:11" ht="4.5" customHeight="1" x14ac:dyDescent="0.3">
      <c r="A27" s="183"/>
      <c r="B27" s="50"/>
      <c r="C27" s="50"/>
      <c r="D27" s="50"/>
      <c r="E27" s="50"/>
      <c r="F27" s="184"/>
      <c r="G27" s="67"/>
      <c r="H27" s="67"/>
      <c r="J27" s="73"/>
      <c r="K27" s="73"/>
    </row>
    <row r="28" spans="1:11" ht="32.450000000000003" customHeight="1" x14ac:dyDescent="0.3">
      <c r="A28" s="211" t="s">
        <v>285</v>
      </c>
      <c r="B28" s="225">
        <f>$B$4</f>
        <v>30</v>
      </c>
      <c r="C28" s="212">
        <f>SUM(C22:C26)</f>
        <v>39</v>
      </c>
      <c r="D28" s="55">
        <f>IFERROR(ROUNDDOWN(C28/B28,0),"")</f>
        <v>1</v>
      </c>
      <c r="E28" s="213"/>
      <c r="F28" s="214">
        <f>IFERROR(C28-(D28*B28),"")</f>
        <v>9</v>
      </c>
      <c r="G28" s="67"/>
      <c r="H28" s="67"/>
      <c r="J28" s="73"/>
      <c r="K28" s="73"/>
    </row>
    <row r="29" spans="1:11" ht="4.5" customHeight="1" x14ac:dyDescent="0.3">
      <c r="A29" s="183"/>
      <c r="B29" s="50"/>
      <c r="C29" s="50"/>
      <c r="D29" s="50"/>
      <c r="E29" s="50"/>
      <c r="F29" s="184"/>
      <c r="G29" s="67"/>
      <c r="H29" s="67"/>
      <c r="J29" s="73"/>
      <c r="K29" s="73"/>
    </row>
    <row r="30" spans="1:11" ht="25.35" customHeight="1" x14ac:dyDescent="0.3">
      <c r="A30" s="221" t="s">
        <v>239</v>
      </c>
      <c r="B30" s="224">
        <f t="shared" ref="B30:B31" si="6">$B$4</f>
        <v>30</v>
      </c>
      <c r="C30" s="227">
        <f>IFERROR(VLOOKUP(A30,'대신 피벗'!A:ST,4,FALSE),0)</f>
        <v>15</v>
      </c>
      <c r="D30" s="227">
        <f t="shared" ref="D30:D31" si="7">IFERROR(ROUNDDOWN(C30/B30,0),"")</f>
        <v>0</v>
      </c>
      <c r="E30" s="51" t="s">
        <v>266</v>
      </c>
      <c r="F30" s="228">
        <f t="shared" ref="F30:F31" si="8">IFERROR(C30-(D30*B30),"")</f>
        <v>15</v>
      </c>
      <c r="G30" s="67"/>
      <c r="H30" s="67"/>
      <c r="J30" s="73"/>
      <c r="K30" s="73"/>
    </row>
    <row r="31" spans="1:11" ht="25.35" customHeight="1" x14ac:dyDescent="0.3">
      <c r="A31" s="221" t="s">
        <v>240</v>
      </c>
      <c r="B31" s="224">
        <f t="shared" si="6"/>
        <v>30</v>
      </c>
      <c r="C31" s="227">
        <f>IFERROR(VLOOKUP(A31,'대신 피벗'!A:ST,4,FALSE),0)</f>
        <v>20</v>
      </c>
      <c r="D31" s="227">
        <f t="shared" si="7"/>
        <v>0</v>
      </c>
      <c r="E31" s="51" t="s">
        <v>267</v>
      </c>
      <c r="F31" s="228">
        <f t="shared" si="8"/>
        <v>20</v>
      </c>
      <c r="G31" s="67"/>
      <c r="H31" s="67"/>
      <c r="J31" s="73"/>
      <c r="K31" s="73"/>
    </row>
    <row r="32" spans="1:11" ht="4.5" customHeight="1" x14ac:dyDescent="0.3">
      <c r="A32" s="183"/>
      <c r="B32" s="50"/>
      <c r="C32" s="50"/>
      <c r="D32" s="50"/>
      <c r="E32" s="50"/>
      <c r="F32" s="184"/>
      <c r="G32" s="67"/>
      <c r="H32" s="67"/>
      <c r="J32" s="73"/>
      <c r="K32" s="73"/>
    </row>
    <row r="33" spans="1:11" ht="32.450000000000003" customHeight="1" x14ac:dyDescent="0.3">
      <c r="A33" s="211" t="s">
        <v>284</v>
      </c>
      <c r="B33" s="225">
        <f>$B$4</f>
        <v>30</v>
      </c>
      <c r="C33" s="212">
        <f>SUM(C30:C31)</f>
        <v>35</v>
      </c>
      <c r="D33" s="55">
        <f>IFERROR(ROUNDDOWN(C33/B33,0),"")</f>
        <v>1</v>
      </c>
      <c r="E33" s="213"/>
      <c r="F33" s="214">
        <f>IFERROR(C33-(D33*B33),"")</f>
        <v>5</v>
      </c>
      <c r="G33" s="67"/>
      <c r="H33" s="67"/>
      <c r="J33" s="73"/>
      <c r="K33" s="73"/>
    </row>
    <row r="34" spans="1:11" ht="4.5" customHeight="1" x14ac:dyDescent="0.3">
      <c r="A34" s="183"/>
      <c r="B34" s="224"/>
      <c r="C34" s="50"/>
      <c r="D34" s="50"/>
      <c r="E34" s="50"/>
      <c r="F34" s="184"/>
      <c r="G34" s="67"/>
      <c r="H34" s="67"/>
      <c r="J34" s="73"/>
      <c r="K34" s="73"/>
    </row>
    <row r="35" spans="1:11" ht="25.35" customHeight="1" x14ac:dyDescent="0.3">
      <c r="A35" s="221" t="s">
        <v>236</v>
      </c>
      <c r="B35" s="224">
        <f t="shared" ref="B35:B37" si="9">$B$4</f>
        <v>30</v>
      </c>
      <c r="C35" s="227">
        <f>IFERROR(VLOOKUP(A35,'대신 피벗'!A:ST,4,FALSE),0)</f>
        <v>19</v>
      </c>
      <c r="D35" s="227">
        <f>IFERROR(ROUNDDOWN(C35/B35,0),"")</f>
        <v>0</v>
      </c>
      <c r="E35" s="51" t="s">
        <v>264</v>
      </c>
      <c r="F35" s="228">
        <f>IFERROR(C35-(D35*B35),"")</f>
        <v>19</v>
      </c>
      <c r="G35" s="67"/>
      <c r="H35" s="67"/>
      <c r="J35" s="73"/>
      <c r="K35" s="73"/>
    </row>
    <row r="36" spans="1:11" ht="25.35" customHeight="1" x14ac:dyDescent="0.3">
      <c r="A36" s="221" t="s">
        <v>237</v>
      </c>
      <c r="B36" s="224">
        <f t="shared" si="9"/>
        <v>30</v>
      </c>
      <c r="C36" s="227">
        <f>IFERROR(VLOOKUP(A36,'대신 피벗'!A:ST,4,FALSE),0)</f>
        <v>7</v>
      </c>
      <c r="D36" s="227">
        <f t="shared" ref="D36:D37" si="10">IFERROR(ROUNDDOWN(C36/B36,0),"")</f>
        <v>0</v>
      </c>
      <c r="E36" s="51" t="s">
        <v>338</v>
      </c>
      <c r="F36" s="228">
        <f t="shared" ref="F36:F37" si="11">IFERROR(C36-(D36*B36),"")</f>
        <v>7</v>
      </c>
      <c r="G36" s="67"/>
      <c r="H36" s="67"/>
      <c r="J36" s="73"/>
      <c r="K36" s="73"/>
    </row>
    <row r="37" spans="1:11" ht="25.35" customHeight="1" x14ac:dyDescent="0.3">
      <c r="A37" s="221" t="s">
        <v>238</v>
      </c>
      <c r="B37" s="224">
        <f t="shared" si="9"/>
        <v>30</v>
      </c>
      <c r="C37" s="227">
        <f>IFERROR(VLOOKUP(A37,'대신 피벗'!A:ST,4,FALSE),0)</f>
        <v>7</v>
      </c>
      <c r="D37" s="227">
        <f t="shared" si="10"/>
        <v>0</v>
      </c>
      <c r="E37" s="51" t="s">
        <v>265</v>
      </c>
      <c r="F37" s="228">
        <f t="shared" si="11"/>
        <v>7</v>
      </c>
      <c r="G37" s="67"/>
      <c r="H37" s="67"/>
      <c r="J37" s="73"/>
      <c r="K37" s="73"/>
    </row>
    <row r="38" spans="1:11" ht="4.5" customHeight="1" x14ac:dyDescent="0.3">
      <c r="A38" s="183"/>
      <c r="B38" s="50"/>
      <c r="C38" s="50"/>
      <c r="D38" s="50"/>
      <c r="E38" s="50"/>
      <c r="F38" s="184"/>
      <c r="G38" s="67"/>
      <c r="H38" s="67"/>
      <c r="J38" s="73"/>
      <c r="K38" s="73"/>
    </row>
    <row r="39" spans="1:11" ht="32.450000000000003" customHeight="1" x14ac:dyDescent="0.3">
      <c r="A39" s="211" t="s">
        <v>283</v>
      </c>
      <c r="B39" s="225">
        <f>$B$4</f>
        <v>30</v>
      </c>
      <c r="C39" s="212">
        <f>SUM(C35:C37)</f>
        <v>33</v>
      </c>
      <c r="D39" s="55">
        <f>IFERROR(ROUNDDOWN(C39/B39,0),"")</f>
        <v>1</v>
      </c>
      <c r="E39" s="213"/>
      <c r="F39" s="214">
        <f>IFERROR(C39-(D39*B39),"")</f>
        <v>3</v>
      </c>
      <c r="G39" s="67"/>
      <c r="H39" s="67"/>
      <c r="J39" s="73"/>
      <c r="K39" s="73"/>
    </row>
    <row r="40" spans="1:11" ht="4.5" customHeight="1" x14ac:dyDescent="0.3">
      <c r="A40" s="183"/>
      <c r="B40" s="224"/>
      <c r="C40" s="50"/>
      <c r="D40" s="50"/>
      <c r="E40" s="50"/>
      <c r="F40" s="184"/>
      <c r="G40" s="67"/>
      <c r="H40" s="67"/>
      <c r="J40" s="73"/>
      <c r="K40" s="73"/>
    </row>
    <row r="41" spans="1:11" ht="25.35" customHeight="1" x14ac:dyDescent="0.3">
      <c r="A41" s="221" t="s">
        <v>261</v>
      </c>
      <c r="B41" s="224">
        <f t="shared" ref="B41:B42" si="12">$B$4</f>
        <v>30</v>
      </c>
      <c r="C41" s="227">
        <f>IFERROR(VLOOKUP(A41,'대신 피벗'!A:ST,4,FALSE),0)</f>
        <v>19</v>
      </c>
      <c r="D41" s="227">
        <f t="shared" ref="D41:D42" si="13">IFERROR(ROUNDDOWN(C41/B41,0),"")</f>
        <v>0</v>
      </c>
      <c r="E41" s="51" t="s">
        <v>281</v>
      </c>
      <c r="F41" s="228">
        <f t="shared" ref="F41:F42" si="14">IFERROR(C41-(D41*B41),"")</f>
        <v>19</v>
      </c>
      <c r="G41" s="67"/>
      <c r="H41" s="67"/>
      <c r="J41" s="73"/>
      <c r="K41" s="73"/>
    </row>
    <row r="42" spans="1:11" ht="25.35" customHeight="1" x14ac:dyDescent="0.3">
      <c r="A42" s="221" t="s">
        <v>262</v>
      </c>
      <c r="B42" s="224">
        <f t="shared" si="12"/>
        <v>30</v>
      </c>
      <c r="C42" s="227">
        <f>IFERROR(VLOOKUP(A42,'대신 피벗'!A:ST,4,FALSE),0)</f>
        <v>13</v>
      </c>
      <c r="D42" s="227">
        <f t="shared" si="13"/>
        <v>0</v>
      </c>
      <c r="E42" s="51" t="s">
        <v>282</v>
      </c>
      <c r="F42" s="228">
        <f t="shared" si="14"/>
        <v>13</v>
      </c>
      <c r="G42" s="67"/>
      <c r="H42" s="67"/>
      <c r="J42" s="73"/>
      <c r="K42" s="73"/>
    </row>
    <row r="43" spans="1:11" ht="4.5" customHeight="1" x14ac:dyDescent="0.3">
      <c r="A43" s="183"/>
      <c r="B43" s="50"/>
      <c r="C43" s="50"/>
      <c r="D43" s="50"/>
      <c r="E43" s="50"/>
      <c r="F43" s="184"/>
      <c r="G43" s="67"/>
      <c r="H43" s="67"/>
      <c r="J43" s="73"/>
      <c r="K43" s="73"/>
    </row>
    <row r="44" spans="1:11" ht="32.450000000000003" customHeight="1" x14ac:dyDescent="0.3">
      <c r="A44" s="211" t="s">
        <v>339</v>
      </c>
      <c r="B44" s="225">
        <f>$B$4</f>
        <v>30</v>
      </c>
      <c r="C44" s="212">
        <f>SUM(C41:C42)</f>
        <v>32</v>
      </c>
      <c r="D44" s="55">
        <f>IFERROR(ROUNDDOWN(C44/B44,0),"")</f>
        <v>1</v>
      </c>
      <c r="E44" s="213"/>
      <c r="F44" s="214">
        <f>IFERROR(C44-(D44*B44),"")</f>
        <v>2</v>
      </c>
      <c r="G44" s="67"/>
      <c r="H44" s="67"/>
      <c r="J44" s="73"/>
      <c r="K44" s="73"/>
    </row>
    <row r="45" spans="1:11" ht="4.5" customHeight="1" thickBot="1" x14ac:dyDescent="0.35">
      <c r="A45" s="183"/>
      <c r="B45" s="50"/>
      <c r="C45" s="50"/>
      <c r="D45" s="50"/>
      <c r="E45" s="50"/>
      <c r="F45" s="184"/>
      <c r="G45" s="67"/>
      <c r="H45" s="67"/>
      <c r="J45" s="73"/>
      <c r="K45" s="73"/>
    </row>
    <row r="46" spans="1:11" ht="26.25" x14ac:dyDescent="0.3">
      <c r="A46" s="87" t="s">
        <v>3</v>
      </c>
      <c r="B46" s="226">
        <f>$B$4</f>
        <v>30</v>
      </c>
      <c r="C46" s="55">
        <f>SUM(C4:C18,C35:C37,C30:C31,C22:C26,C41:C42)</f>
        <v>331</v>
      </c>
      <c r="D46" s="54">
        <f>IFERROR(ROUNDDOWN(C46/B46,0),"")</f>
        <v>11</v>
      </c>
      <c r="E46" s="56"/>
      <c r="F46" s="121">
        <f>IFERROR(C46-(D46*B46),"")</f>
        <v>1</v>
      </c>
      <c r="G46" s="232" t="s">
        <v>110</v>
      </c>
      <c r="H46" s="233" t="s">
        <v>111</v>
      </c>
      <c r="J46" s="73"/>
      <c r="K46" s="73"/>
    </row>
    <row r="47" spans="1:11" ht="27" thickBot="1" x14ac:dyDescent="0.35">
      <c r="A47" s="42" t="s">
        <v>286</v>
      </c>
      <c r="B47" s="43" t="s">
        <v>173</v>
      </c>
      <c r="C47" s="40"/>
      <c r="D47" s="41">
        <f>SUM(D4:D18,D35:D37,D30:D31,D22:D26,D41:D42)</f>
        <v>0</v>
      </c>
      <c r="E47" s="48"/>
      <c r="F47" s="93">
        <f>SUM(F4:F18,F35:F37,F30:F31,F22:F26,F41:F42)</f>
        <v>331</v>
      </c>
      <c r="G47" s="216">
        <f>IFERROR(ROUNDDOWN(F47/B35,0),"")</f>
        <v>11</v>
      </c>
      <c r="H47" s="217">
        <f>IFERROR(F47-(G47*B35),"")</f>
        <v>1</v>
      </c>
    </row>
    <row r="48" spans="1:11" ht="22.5" customHeight="1" x14ac:dyDescent="0.3">
      <c r="C48" s="77">
        <f>C20+C28+C33+C39+C44</f>
        <v>331</v>
      </c>
      <c r="G48" s="199"/>
      <c r="H48" s="34" t="s">
        <v>174</v>
      </c>
    </row>
    <row r="49" spans="3:3" x14ac:dyDescent="0.3">
      <c r="C49" s="34" t="b">
        <f>C48=C46</f>
        <v>1</v>
      </c>
    </row>
  </sheetData>
  <mergeCells count="1">
    <mergeCell ref="A1:F1"/>
  </mergeCells>
  <phoneticPr fontId="13" type="noConversion"/>
  <printOptions horizontalCentered="1" verticalCentered="1"/>
  <pageMargins left="0" right="0" top="0" bottom="0" header="0" footer="0"/>
  <pageSetup paperSize="9" scale="77"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2D7B99-D665-41A7-85BE-8BCF1E2BB647}">
  <sheetPr>
    <tabColor rgb="FF7030A0"/>
    <pageSetUpPr fitToPage="1"/>
  </sheetPr>
  <dimension ref="A1:L49"/>
  <sheetViews>
    <sheetView zoomScale="40" zoomScaleNormal="40" zoomScaleSheetLayoutView="75" workbookViewId="0">
      <selection activeCell="A2" sqref="A2:F47"/>
    </sheetView>
  </sheetViews>
  <sheetFormatPr defaultColWidth="9" defaultRowHeight="16.5" x14ac:dyDescent="0.3"/>
  <cols>
    <col min="1" max="1" width="24.75" style="34" customWidth="1"/>
    <col min="2" max="2" width="7.625" style="38" customWidth="1"/>
    <col min="3" max="3" width="30.625" style="34" customWidth="1"/>
    <col min="4" max="4" width="9.875" style="2" customWidth="1"/>
    <col min="5" max="5" width="11.375" style="34" customWidth="1"/>
    <col min="6" max="6" width="11.125" style="2" customWidth="1"/>
    <col min="7" max="7" width="8.375" style="34" customWidth="1"/>
    <col min="8" max="8" width="9" style="34" customWidth="1"/>
    <col min="9" max="13" width="9" style="34"/>
    <col min="14" max="14" width="10.625" style="34" customWidth="1"/>
    <col min="15" max="17" width="9" style="34"/>
    <col min="18" max="18" width="36.5" style="34" bestFit="1" customWidth="1"/>
    <col min="19" max="16384" width="9" style="34"/>
  </cols>
  <sheetData>
    <row r="1" spans="1:12" ht="25.9" customHeight="1" thickBot="1" x14ac:dyDescent="0.35">
      <c r="A1" s="270"/>
      <c r="B1" s="270"/>
      <c r="C1" s="270"/>
      <c r="D1" s="270"/>
      <c r="E1" s="270"/>
      <c r="F1" s="270"/>
    </row>
    <row r="2" spans="1:12" ht="25.9" customHeight="1" x14ac:dyDescent="0.3">
      <c r="A2" s="215">
        <f ca="1">TODAY()</f>
        <v>46314</v>
      </c>
      <c r="B2" s="256" t="s">
        <v>346</v>
      </c>
      <c r="C2" s="256"/>
      <c r="D2" s="256"/>
      <c r="E2" s="256"/>
      <c r="F2" s="257"/>
      <c r="G2" s="67"/>
      <c r="H2" s="67"/>
    </row>
    <row r="3" spans="1:12" ht="40.5" customHeight="1" x14ac:dyDescent="0.3">
      <c r="A3" s="222" t="s">
        <v>67</v>
      </c>
      <c r="B3" s="223" t="s">
        <v>13</v>
      </c>
      <c r="C3" s="229" t="s">
        <v>324</v>
      </c>
      <c r="D3" s="230" t="s">
        <v>2</v>
      </c>
      <c r="E3" s="229" t="s">
        <v>23</v>
      </c>
      <c r="F3" s="231" t="s">
        <v>14</v>
      </c>
      <c r="G3" s="67"/>
      <c r="H3" s="67"/>
      <c r="K3" s="73"/>
      <c r="L3" s="73"/>
    </row>
    <row r="4" spans="1:12" ht="25.35" customHeight="1" x14ac:dyDescent="0.3">
      <c r="A4" s="220" t="s">
        <v>260</v>
      </c>
      <c r="B4" s="224">
        <v>30</v>
      </c>
      <c r="C4" s="227">
        <f>IFERROR(VLOOKUP(A4,'대신 피벗'!A:ST,5,FALSE),0)</f>
        <v>10</v>
      </c>
      <c r="D4" s="227">
        <f t="shared" ref="D4:D18" si="0">IFERROR(ROUNDDOWN(C4/B4,0),"")</f>
        <v>0</v>
      </c>
      <c r="E4" s="51" t="s">
        <v>109</v>
      </c>
      <c r="F4" s="228">
        <f t="shared" ref="F4:F18" si="1">IFERROR(C4-(D4*B4),"")</f>
        <v>10</v>
      </c>
      <c r="G4" s="67"/>
      <c r="H4" s="67"/>
      <c r="K4" s="73"/>
      <c r="L4" s="73"/>
    </row>
    <row r="5" spans="1:12" ht="25.35" customHeight="1" x14ac:dyDescent="0.3">
      <c r="A5" s="221" t="s">
        <v>255</v>
      </c>
      <c r="B5" s="224">
        <f t="shared" ref="B5:B18" si="2">$B$4</f>
        <v>30</v>
      </c>
      <c r="C5" s="227">
        <f>IFERROR(VLOOKUP(A5,'대신 피벗'!A:ST,5,FALSE),0)</f>
        <v>30</v>
      </c>
      <c r="D5" s="227">
        <f t="shared" ref="D5" si="3">IFERROR(ROUNDDOWN(C5/B5,0),"")</f>
        <v>1</v>
      </c>
      <c r="E5" s="51" t="s">
        <v>335</v>
      </c>
      <c r="F5" s="228">
        <f t="shared" ref="F5" si="4">IFERROR(C5-(D5*B5),"")</f>
        <v>0</v>
      </c>
      <c r="G5" s="67"/>
      <c r="H5" s="67"/>
      <c r="K5" s="73"/>
      <c r="L5" s="73"/>
    </row>
    <row r="6" spans="1:12" ht="25.35" customHeight="1" x14ac:dyDescent="0.3">
      <c r="A6" s="221" t="s">
        <v>249</v>
      </c>
      <c r="B6" s="224">
        <f t="shared" si="2"/>
        <v>30</v>
      </c>
      <c r="C6" s="227">
        <f>IFERROR(VLOOKUP(A6,'대신 피벗'!A:ST,5,FALSE),0)</f>
        <v>12</v>
      </c>
      <c r="D6" s="227">
        <f>IFERROR(ROUNDDOWN(C6/B6,0),"")</f>
        <v>0</v>
      </c>
      <c r="E6" s="51" t="s">
        <v>272</v>
      </c>
      <c r="F6" s="228">
        <f>IFERROR(C6-(D6*B6),"")</f>
        <v>12</v>
      </c>
      <c r="G6" s="67"/>
      <c r="H6" s="67"/>
      <c r="K6" s="73"/>
      <c r="L6" s="73"/>
    </row>
    <row r="7" spans="1:12" ht="25.35" customHeight="1" x14ac:dyDescent="0.3">
      <c r="A7" s="221" t="s">
        <v>250</v>
      </c>
      <c r="B7" s="224">
        <f t="shared" si="2"/>
        <v>30</v>
      </c>
      <c r="C7" s="227">
        <f>IFERROR(VLOOKUP(A7,'대신 피벗'!A:ST,5,FALSE),0)</f>
        <v>19</v>
      </c>
      <c r="D7" s="227">
        <f>IFERROR(ROUNDDOWN(C7/B7,0),"")</f>
        <v>0</v>
      </c>
      <c r="E7" s="51" t="s">
        <v>273</v>
      </c>
      <c r="F7" s="228">
        <f>IFERROR(C7-(D7*B7),"")</f>
        <v>19</v>
      </c>
      <c r="G7" s="67"/>
      <c r="H7" s="67"/>
      <c r="K7" s="73"/>
      <c r="L7" s="73"/>
    </row>
    <row r="8" spans="1:12" ht="25.35" customHeight="1" x14ac:dyDescent="0.3">
      <c r="A8" s="221" t="s">
        <v>248</v>
      </c>
      <c r="B8" s="224">
        <f t="shared" si="2"/>
        <v>30</v>
      </c>
      <c r="C8" s="227">
        <f>IFERROR(VLOOKUP(A8,'대신 피벗'!A:ST,5,FALSE),0)</f>
        <v>18</v>
      </c>
      <c r="D8" s="227">
        <f>IFERROR(ROUNDDOWN(C8/B8,0),"")</f>
        <v>0</v>
      </c>
      <c r="E8" s="51" t="s">
        <v>271</v>
      </c>
      <c r="F8" s="228">
        <f>IFERROR(C8-(D8*B8),"")</f>
        <v>18</v>
      </c>
      <c r="G8" s="67"/>
      <c r="H8" s="67"/>
      <c r="K8" s="73"/>
      <c r="L8" s="73"/>
    </row>
    <row r="9" spans="1:12" ht="25.35" customHeight="1" x14ac:dyDescent="0.3">
      <c r="A9" s="221" t="s">
        <v>246</v>
      </c>
      <c r="B9" s="224">
        <f t="shared" si="2"/>
        <v>30</v>
      </c>
      <c r="C9" s="227">
        <f>IFERROR(VLOOKUP(A9,'대신 피벗'!A:ST,5,FALSE),0)</f>
        <v>11</v>
      </c>
      <c r="D9" s="227">
        <f t="shared" si="0"/>
        <v>0</v>
      </c>
      <c r="E9" s="51" t="s">
        <v>270</v>
      </c>
      <c r="F9" s="228">
        <f t="shared" si="1"/>
        <v>11</v>
      </c>
      <c r="G9" s="67"/>
      <c r="H9" s="67"/>
      <c r="K9" s="73"/>
      <c r="L9" s="73"/>
    </row>
    <row r="10" spans="1:12" ht="25.35" customHeight="1" x14ac:dyDescent="0.3">
      <c r="A10" s="221" t="s">
        <v>256</v>
      </c>
      <c r="B10" s="224">
        <f t="shared" si="2"/>
        <v>30</v>
      </c>
      <c r="C10" s="227">
        <f>IFERROR(VLOOKUP(A10,'대신 피벗'!A:ST,5,FALSE),0)</f>
        <v>16</v>
      </c>
      <c r="D10" s="227">
        <f>IFERROR(ROUNDDOWN(C10/B10,0),"")</f>
        <v>0</v>
      </c>
      <c r="E10" s="51" t="s">
        <v>278</v>
      </c>
      <c r="F10" s="228">
        <f>IFERROR(C10-(D10*B10),"")</f>
        <v>16</v>
      </c>
      <c r="G10" s="67"/>
      <c r="H10" s="67"/>
      <c r="K10" s="73"/>
      <c r="L10" s="73"/>
    </row>
    <row r="11" spans="1:12" ht="25.35" customHeight="1" x14ac:dyDescent="0.3">
      <c r="A11" s="221" t="s">
        <v>247</v>
      </c>
      <c r="B11" s="224">
        <f t="shared" si="2"/>
        <v>30</v>
      </c>
      <c r="C11" s="227">
        <f>IFERROR(VLOOKUP(A11,'대신 피벗'!A:ST,5,FALSE),0)</f>
        <v>16</v>
      </c>
      <c r="D11" s="227">
        <f t="shared" si="0"/>
        <v>0</v>
      </c>
      <c r="E11" s="51" t="s">
        <v>334</v>
      </c>
      <c r="F11" s="228">
        <f t="shared" si="1"/>
        <v>16</v>
      </c>
      <c r="G11" s="67"/>
      <c r="H11" s="67"/>
      <c r="K11" s="73"/>
      <c r="L11" s="73"/>
    </row>
    <row r="12" spans="1:12" ht="25.35" customHeight="1" x14ac:dyDescent="0.3">
      <c r="A12" s="221" t="s">
        <v>251</v>
      </c>
      <c r="B12" s="224">
        <f t="shared" si="2"/>
        <v>30</v>
      </c>
      <c r="C12" s="227">
        <f>IFERROR(VLOOKUP(A12,'대신 피벗'!A:ST,5,FALSE),0)</f>
        <v>20</v>
      </c>
      <c r="D12" s="227">
        <f t="shared" si="0"/>
        <v>0</v>
      </c>
      <c r="E12" s="51" t="s">
        <v>274</v>
      </c>
      <c r="F12" s="228">
        <f t="shared" si="1"/>
        <v>20</v>
      </c>
      <c r="G12" s="67"/>
      <c r="H12" s="67"/>
      <c r="K12" s="73"/>
      <c r="L12" s="73"/>
    </row>
    <row r="13" spans="1:12" ht="25.35" customHeight="1" x14ac:dyDescent="0.3">
      <c r="A13" s="220" t="s">
        <v>252</v>
      </c>
      <c r="B13" s="224">
        <f t="shared" si="2"/>
        <v>30</v>
      </c>
      <c r="C13" s="227">
        <f>IFERROR(VLOOKUP(A13,'대신 피벗'!A:ST,5,FALSE),0)</f>
        <v>40</v>
      </c>
      <c r="D13" s="227">
        <f t="shared" si="0"/>
        <v>1</v>
      </c>
      <c r="E13" s="51" t="s">
        <v>275</v>
      </c>
      <c r="F13" s="228">
        <f t="shared" si="1"/>
        <v>10</v>
      </c>
      <c r="G13" s="67"/>
      <c r="H13" s="67"/>
      <c r="K13" s="73"/>
      <c r="L13" s="73"/>
    </row>
    <row r="14" spans="1:12" ht="25.35" customHeight="1" x14ac:dyDescent="0.3">
      <c r="A14" s="221" t="s">
        <v>253</v>
      </c>
      <c r="B14" s="224">
        <f t="shared" si="2"/>
        <v>30</v>
      </c>
      <c r="C14" s="227">
        <f>IFERROR(VLOOKUP(A14,'대신 피벗'!A:ST,5,FALSE),0)</f>
        <v>29</v>
      </c>
      <c r="D14" s="227">
        <f t="shared" si="0"/>
        <v>0</v>
      </c>
      <c r="E14" s="51" t="s">
        <v>276</v>
      </c>
      <c r="F14" s="228">
        <f t="shared" si="1"/>
        <v>29</v>
      </c>
      <c r="G14" s="67"/>
      <c r="H14" s="67"/>
      <c r="K14" s="73"/>
      <c r="L14" s="73"/>
    </row>
    <row r="15" spans="1:12" ht="25.35" customHeight="1" x14ac:dyDescent="0.3">
      <c r="A15" s="221" t="s">
        <v>254</v>
      </c>
      <c r="B15" s="224">
        <f t="shared" si="2"/>
        <v>30</v>
      </c>
      <c r="C15" s="227">
        <f>IFERROR(VLOOKUP(A15,'대신 피벗'!A:ST,5,FALSE),0)</f>
        <v>36</v>
      </c>
      <c r="D15" s="227">
        <f t="shared" si="0"/>
        <v>1</v>
      </c>
      <c r="E15" s="51" t="s">
        <v>277</v>
      </c>
      <c r="F15" s="228">
        <f t="shared" si="1"/>
        <v>6</v>
      </c>
      <c r="G15" s="67"/>
      <c r="H15" s="67"/>
      <c r="K15" s="73"/>
      <c r="L15" s="73"/>
    </row>
    <row r="16" spans="1:12" ht="25.35" customHeight="1" x14ac:dyDescent="0.3">
      <c r="A16" s="221" t="s">
        <v>257</v>
      </c>
      <c r="B16" s="224">
        <f t="shared" si="2"/>
        <v>30</v>
      </c>
      <c r="C16" s="227">
        <f>IFERROR(VLOOKUP(A16,'대신 피벗'!A:ST,5,FALSE),0)</f>
        <v>15</v>
      </c>
      <c r="D16" s="227">
        <f t="shared" si="0"/>
        <v>0</v>
      </c>
      <c r="E16" s="51" t="s">
        <v>279</v>
      </c>
      <c r="F16" s="228">
        <f t="shared" si="1"/>
        <v>15</v>
      </c>
      <c r="G16" s="67"/>
      <c r="H16" s="67"/>
      <c r="K16" s="73"/>
      <c r="L16" s="73"/>
    </row>
    <row r="17" spans="1:12" ht="25.35" customHeight="1" x14ac:dyDescent="0.3">
      <c r="A17" s="221" t="s">
        <v>258</v>
      </c>
      <c r="B17" s="224">
        <f t="shared" si="2"/>
        <v>30</v>
      </c>
      <c r="C17" s="227">
        <f>IFERROR(VLOOKUP(A17,'대신 피벗'!A:ST,5,FALSE),0)</f>
        <v>17</v>
      </c>
      <c r="D17" s="227">
        <f t="shared" si="0"/>
        <v>0</v>
      </c>
      <c r="E17" s="51" t="s">
        <v>280</v>
      </c>
      <c r="F17" s="228">
        <f t="shared" si="1"/>
        <v>17</v>
      </c>
      <c r="G17" s="67"/>
      <c r="H17" s="67"/>
      <c r="K17" s="73"/>
      <c r="L17" s="73"/>
    </row>
    <row r="18" spans="1:12" ht="25.35" customHeight="1" x14ac:dyDescent="0.3">
      <c r="A18" s="221" t="s">
        <v>259</v>
      </c>
      <c r="B18" s="224">
        <f t="shared" si="2"/>
        <v>30</v>
      </c>
      <c r="C18" s="227">
        <f>IFERROR(VLOOKUP(A18,'대신 피벗'!A:ST,5,FALSE),0)</f>
        <v>14</v>
      </c>
      <c r="D18" s="227">
        <f t="shared" si="0"/>
        <v>0</v>
      </c>
      <c r="E18" s="51" t="s">
        <v>336</v>
      </c>
      <c r="F18" s="228">
        <f t="shared" si="1"/>
        <v>14</v>
      </c>
      <c r="G18" s="67"/>
      <c r="H18" s="67"/>
      <c r="K18" s="73"/>
      <c r="L18" s="73"/>
    </row>
    <row r="19" spans="1:12" ht="4.5" customHeight="1" x14ac:dyDescent="0.3">
      <c r="A19" s="183"/>
      <c r="B19" s="50"/>
      <c r="C19" s="50"/>
      <c r="D19" s="50"/>
      <c r="E19" s="50"/>
      <c r="F19" s="184"/>
      <c r="K19" s="73"/>
      <c r="L19" s="73"/>
    </row>
    <row r="20" spans="1:12" ht="32.450000000000003" customHeight="1" x14ac:dyDescent="0.3">
      <c r="A20" s="211" t="s">
        <v>122</v>
      </c>
      <c r="B20" s="225">
        <f>$B$4</f>
        <v>30</v>
      </c>
      <c r="C20" s="212">
        <f>SUM(C4:C18)</f>
        <v>303</v>
      </c>
      <c r="D20" s="55">
        <f>IFERROR(ROUNDDOWN(C20/B20,0),"")</f>
        <v>10</v>
      </c>
      <c r="E20" s="213"/>
      <c r="F20" s="214">
        <f>IFERROR(C20-(D20*B20),"")</f>
        <v>3</v>
      </c>
      <c r="K20" s="73"/>
      <c r="L20" s="73"/>
    </row>
    <row r="21" spans="1:12" ht="4.5" customHeight="1" x14ac:dyDescent="0.3">
      <c r="A21" s="183"/>
      <c r="B21" s="224"/>
      <c r="C21" s="50"/>
      <c r="D21" s="50"/>
      <c r="E21" s="50"/>
      <c r="F21" s="184"/>
      <c r="K21" s="73"/>
      <c r="L21" s="73"/>
    </row>
    <row r="22" spans="1:12" ht="25.35" customHeight="1" x14ac:dyDescent="0.3">
      <c r="A22" s="221" t="s">
        <v>241</v>
      </c>
      <c r="B22" s="224">
        <f t="shared" ref="B22:B26" si="5">$B$4</f>
        <v>30</v>
      </c>
      <c r="C22" s="227">
        <f>IFERROR(VLOOKUP(A22,'대신 피벗'!A:ST,5,FALSE),0)</f>
        <v>16</v>
      </c>
      <c r="D22" s="227">
        <f>IFERROR(ROUNDDOWN(C22/B22,0),"")</f>
        <v>0</v>
      </c>
      <c r="E22" s="51" t="s">
        <v>268</v>
      </c>
      <c r="F22" s="228">
        <f>IFERROR(C22-(D22*B22),"")</f>
        <v>16</v>
      </c>
      <c r="G22" s="67"/>
      <c r="H22" s="67"/>
      <c r="K22" s="73"/>
      <c r="L22" s="73"/>
    </row>
    <row r="23" spans="1:12" ht="25.35" customHeight="1" x14ac:dyDescent="0.3">
      <c r="A23" s="221" t="s">
        <v>242</v>
      </c>
      <c r="B23" s="224">
        <f t="shared" si="5"/>
        <v>30</v>
      </c>
      <c r="C23" s="227">
        <f>IFERROR(VLOOKUP(A23,'대신 피벗'!A:ST,5,FALSE),0)</f>
        <v>5</v>
      </c>
      <c r="D23" s="227">
        <f>IFERROR(ROUNDDOWN(C23/B23,0),"")</f>
        <v>0</v>
      </c>
      <c r="E23" s="51" t="s">
        <v>337</v>
      </c>
      <c r="F23" s="228">
        <f>IFERROR(C23-(D23*B23),"")</f>
        <v>5</v>
      </c>
      <c r="G23" s="67"/>
      <c r="H23" s="67"/>
      <c r="K23" s="73"/>
      <c r="L23" s="73"/>
    </row>
    <row r="24" spans="1:12" ht="25.35" customHeight="1" x14ac:dyDescent="0.3">
      <c r="A24" s="221" t="s">
        <v>243</v>
      </c>
      <c r="B24" s="224">
        <f t="shared" si="5"/>
        <v>30</v>
      </c>
      <c r="C24" s="227">
        <f>IFERROR(VLOOKUP(A24,'대신 피벗'!A:ST,5,FALSE),0)</f>
        <v>0</v>
      </c>
      <c r="D24" s="227">
        <f>IFERROR(ROUNDDOWN(C24/B24,0),"")</f>
        <v>0</v>
      </c>
      <c r="E24" s="51" t="s">
        <v>106</v>
      </c>
      <c r="F24" s="228">
        <f>IFERROR(C24-(D24*B24),"")</f>
        <v>0</v>
      </c>
      <c r="G24" s="67"/>
      <c r="H24" s="67"/>
      <c r="K24" s="73"/>
      <c r="L24" s="73"/>
    </row>
    <row r="25" spans="1:12" ht="25.35" customHeight="1" x14ac:dyDescent="0.3">
      <c r="A25" s="221" t="s">
        <v>244</v>
      </c>
      <c r="B25" s="224">
        <f t="shared" si="5"/>
        <v>30</v>
      </c>
      <c r="C25" s="227">
        <f>IFERROR(VLOOKUP(A25,'대신 피벗'!A:ST,5,FALSE),0)</f>
        <v>12</v>
      </c>
      <c r="D25" s="227">
        <f>IFERROR(ROUNDDOWN(C25/B25,0),"")</f>
        <v>0</v>
      </c>
      <c r="E25" s="51" t="s">
        <v>269</v>
      </c>
      <c r="F25" s="228">
        <f>IFERROR(C25-(D25*B25),"")</f>
        <v>12</v>
      </c>
      <c r="G25" s="67"/>
      <c r="H25" s="67"/>
      <c r="K25" s="73"/>
      <c r="L25" s="73"/>
    </row>
    <row r="26" spans="1:12" ht="25.35" customHeight="1" x14ac:dyDescent="0.3">
      <c r="A26" s="221" t="s">
        <v>245</v>
      </c>
      <c r="B26" s="224">
        <f t="shared" si="5"/>
        <v>30</v>
      </c>
      <c r="C26" s="227">
        <f>IFERROR(VLOOKUP(A26,'대신 피벗'!A:ST,5,FALSE),0)</f>
        <v>14</v>
      </c>
      <c r="D26" s="227">
        <f>IFERROR(ROUNDDOWN(C26/B26,0),"")</f>
        <v>0</v>
      </c>
      <c r="E26" s="51" t="s">
        <v>118</v>
      </c>
      <c r="F26" s="228">
        <f>IFERROR(C26-(D26*B26),"")</f>
        <v>14</v>
      </c>
      <c r="G26" s="67"/>
      <c r="H26" s="67"/>
      <c r="K26" s="73"/>
      <c r="L26" s="73"/>
    </row>
    <row r="27" spans="1:12" ht="4.5" customHeight="1" x14ac:dyDescent="0.3">
      <c r="A27" s="183"/>
      <c r="B27" s="50"/>
      <c r="C27" s="50"/>
      <c r="D27" s="50"/>
      <c r="E27" s="50"/>
      <c r="F27" s="184"/>
      <c r="G27" s="67"/>
      <c r="H27" s="67"/>
      <c r="K27" s="73"/>
      <c r="L27" s="73"/>
    </row>
    <row r="28" spans="1:12" ht="32.450000000000003" customHeight="1" x14ac:dyDescent="0.3">
      <c r="A28" s="211" t="s">
        <v>285</v>
      </c>
      <c r="B28" s="225">
        <f>$B$4</f>
        <v>30</v>
      </c>
      <c r="C28" s="212">
        <f>SUM(C22:C26)</f>
        <v>47</v>
      </c>
      <c r="D28" s="55">
        <f>IFERROR(ROUNDDOWN(C28/B28,0),"")</f>
        <v>1</v>
      </c>
      <c r="E28" s="213"/>
      <c r="F28" s="214">
        <f>IFERROR(C28-(D28*B28),"")</f>
        <v>17</v>
      </c>
      <c r="G28" s="67"/>
      <c r="H28" s="67"/>
      <c r="K28" s="73"/>
      <c r="L28" s="73"/>
    </row>
    <row r="29" spans="1:12" ht="4.5" customHeight="1" x14ac:dyDescent="0.3">
      <c r="A29" s="183"/>
      <c r="B29" s="50"/>
      <c r="C29" s="50"/>
      <c r="D29" s="50"/>
      <c r="E29" s="50"/>
      <c r="F29" s="184"/>
      <c r="G29" s="67"/>
      <c r="H29" s="67"/>
      <c r="K29" s="73"/>
      <c r="L29" s="73"/>
    </row>
    <row r="30" spans="1:12" ht="25.35" customHeight="1" x14ac:dyDescent="0.3">
      <c r="A30" s="221" t="s">
        <v>239</v>
      </c>
      <c r="B30" s="224">
        <f t="shared" ref="B30:B31" si="6">$B$4</f>
        <v>30</v>
      </c>
      <c r="C30" s="227">
        <f>IFERROR(VLOOKUP(A30,'대신 피벗'!A:ST,5,FALSE),0)</f>
        <v>22</v>
      </c>
      <c r="D30" s="227">
        <f t="shared" ref="D30:D31" si="7">IFERROR(ROUNDDOWN(C30/B30,0),"")</f>
        <v>0</v>
      </c>
      <c r="E30" s="51" t="s">
        <v>266</v>
      </c>
      <c r="F30" s="228">
        <f t="shared" ref="F30:F31" si="8">IFERROR(C30-(D30*B30),"")</f>
        <v>22</v>
      </c>
      <c r="G30" s="67"/>
      <c r="H30" s="67"/>
      <c r="K30" s="73"/>
      <c r="L30" s="73"/>
    </row>
    <row r="31" spans="1:12" ht="25.35" customHeight="1" x14ac:dyDescent="0.3">
      <c r="A31" s="221" t="s">
        <v>240</v>
      </c>
      <c r="B31" s="224">
        <f t="shared" si="6"/>
        <v>30</v>
      </c>
      <c r="C31" s="227">
        <f>IFERROR(VLOOKUP(A31,'대신 피벗'!A:ST,5,FALSE),0)</f>
        <v>22</v>
      </c>
      <c r="D31" s="227">
        <f t="shared" si="7"/>
        <v>0</v>
      </c>
      <c r="E31" s="51" t="s">
        <v>267</v>
      </c>
      <c r="F31" s="228">
        <f t="shared" si="8"/>
        <v>22</v>
      </c>
      <c r="G31" s="67"/>
      <c r="H31" s="67"/>
      <c r="K31" s="73"/>
      <c r="L31" s="73"/>
    </row>
    <row r="32" spans="1:12" ht="4.5" customHeight="1" x14ac:dyDescent="0.3">
      <c r="A32" s="183"/>
      <c r="B32" s="50"/>
      <c r="C32" s="50"/>
      <c r="D32" s="50"/>
      <c r="E32" s="50"/>
      <c r="F32" s="184"/>
      <c r="G32" s="67"/>
      <c r="H32" s="67"/>
      <c r="K32" s="73"/>
      <c r="L32" s="73"/>
    </row>
    <row r="33" spans="1:12" ht="32.450000000000003" customHeight="1" x14ac:dyDescent="0.3">
      <c r="A33" s="211" t="s">
        <v>284</v>
      </c>
      <c r="B33" s="225">
        <f>$B$4</f>
        <v>30</v>
      </c>
      <c r="C33" s="212">
        <f>SUM(C30:C31)</f>
        <v>44</v>
      </c>
      <c r="D33" s="55">
        <f>IFERROR(ROUNDDOWN(C33/B33,0),"")</f>
        <v>1</v>
      </c>
      <c r="E33" s="213"/>
      <c r="F33" s="214">
        <f>IFERROR(C33-(D33*B33),"")</f>
        <v>14</v>
      </c>
      <c r="G33" s="67"/>
      <c r="H33" s="67"/>
      <c r="K33" s="73"/>
      <c r="L33" s="73"/>
    </row>
    <row r="34" spans="1:12" ht="4.5" customHeight="1" x14ac:dyDescent="0.3">
      <c r="A34" s="183"/>
      <c r="B34" s="224"/>
      <c r="C34" s="50"/>
      <c r="D34" s="50"/>
      <c r="E34" s="50"/>
      <c r="F34" s="184"/>
      <c r="G34" s="67"/>
      <c r="H34" s="67"/>
      <c r="K34" s="73"/>
      <c r="L34" s="73"/>
    </row>
    <row r="35" spans="1:12" ht="25.35" customHeight="1" x14ac:dyDescent="0.3">
      <c r="A35" s="221" t="s">
        <v>236</v>
      </c>
      <c r="B35" s="224">
        <f t="shared" ref="B35:B37" si="9">$B$4</f>
        <v>30</v>
      </c>
      <c r="C35" s="227">
        <f>IFERROR(VLOOKUP(A35,'대신 피벗'!A:ST,5,FALSE),0)</f>
        <v>20</v>
      </c>
      <c r="D35" s="227">
        <f>IFERROR(ROUNDDOWN(C35/B35,0),"")</f>
        <v>0</v>
      </c>
      <c r="E35" s="51" t="s">
        <v>264</v>
      </c>
      <c r="F35" s="228">
        <f>IFERROR(C35-(D35*B35),"")</f>
        <v>20</v>
      </c>
      <c r="G35" s="67"/>
      <c r="H35" s="67"/>
      <c r="K35" s="73"/>
      <c r="L35" s="73"/>
    </row>
    <row r="36" spans="1:12" ht="25.35" customHeight="1" x14ac:dyDescent="0.3">
      <c r="A36" s="221" t="s">
        <v>237</v>
      </c>
      <c r="B36" s="224">
        <f t="shared" si="9"/>
        <v>30</v>
      </c>
      <c r="C36" s="227">
        <f>IFERROR(VLOOKUP(A36,'대신 피벗'!A:ST,5,FALSE),0)</f>
        <v>14</v>
      </c>
      <c r="D36" s="227">
        <f t="shared" ref="D36:D37" si="10">IFERROR(ROUNDDOWN(C36/B36,0),"")</f>
        <v>0</v>
      </c>
      <c r="E36" s="51" t="s">
        <v>338</v>
      </c>
      <c r="F36" s="228">
        <f t="shared" ref="F36:F37" si="11">IFERROR(C36-(D36*B36),"")</f>
        <v>14</v>
      </c>
      <c r="G36" s="67"/>
      <c r="H36" s="67"/>
      <c r="K36" s="73"/>
      <c r="L36" s="73"/>
    </row>
    <row r="37" spans="1:12" ht="25.35" customHeight="1" x14ac:dyDescent="0.3">
      <c r="A37" s="221" t="s">
        <v>238</v>
      </c>
      <c r="B37" s="224">
        <f t="shared" si="9"/>
        <v>30</v>
      </c>
      <c r="C37" s="227">
        <f>IFERROR(VLOOKUP(A37,'대신 피벗'!A:ST,5,FALSE),0)</f>
        <v>16</v>
      </c>
      <c r="D37" s="227">
        <f t="shared" si="10"/>
        <v>0</v>
      </c>
      <c r="E37" s="51" t="s">
        <v>265</v>
      </c>
      <c r="F37" s="228">
        <f t="shared" si="11"/>
        <v>16</v>
      </c>
      <c r="G37" s="67"/>
      <c r="H37" s="67"/>
      <c r="K37" s="73"/>
      <c r="L37" s="73"/>
    </row>
    <row r="38" spans="1:12" ht="4.5" customHeight="1" x14ac:dyDescent="0.3">
      <c r="A38" s="183"/>
      <c r="B38" s="50"/>
      <c r="C38" s="50"/>
      <c r="D38" s="50"/>
      <c r="E38" s="50"/>
      <c r="F38" s="184"/>
      <c r="G38" s="67"/>
      <c r="H38" s="67"/>
      <c r="K38" s="73"/>
      <c r="L38" s="73"/>
    </row>
    <row r="39" spans="1:12" ht="32.450000000000003" customHeight="1" x14ac:dyDescent="0.3">
      <c r="A39" s="211" t="s">
        <v>283</v>
      </c>
      <c r="B39" s="225">
        <f>$B$4</f>
        <v>30</v>
      </c>
      <c r="C39" s="212">
        <f>SUM(C35:C37)</f>
        <v>50</v>
      </c>
      <c r="D39" s="55">
        <f>IFERROR(ROUNDDOWN(C39/B39,0),"")</f>
        <v>1</v>
      </c>
      <c r="E39" s="213"/>
      <c r="F39" s="214">
        <f>IFERROR(C39-(D39*B39),"")</f>
        <v>20</v>
      </c>
      <c r="G39" s="67"/>
      <c r="H39" s="67"/>
      <c r="K39" s="73"/>
      <c r="L39" s="73"/>
    </row>
    <row r="40" spans="1:12" ht="4.5" customHeight="1" x14ac:dyDescent="0.3">
      <c r="A40" s="183"/>
      <c r="B40" s="224"/>
      <c r="C40" s="50"/>
      <c r="D40" s="50"/>
      <c r="E40" s="50"/>
      <c r="F40" s="184"/>
      <c r="G40" s="67"/>
      <c r="H40" s="67"/>
      <c r="K40" s="73"/>
      <c r="L40" s="73"/>
    </row>
    <row r="41" spans="1:12" ht="25.35" customHeight="1" x14ac:dyDescent="0.3">
      <c r="A41" s="221" t="s">
        <v>261</v>
      </c>
      <c r="B41" s="224">
        <f t="shared" ref="B41:B42" si="12">$B$4</f>
        <v>30</v>
      </c>
      <c r="C41" s="227">
        <f>IFERROR(VLOOKUP(A41,'대신 피벗'!A:ST,5,FALSE),0)</f>
        <v>14</v>
      </c>
      <c r="D41" s="227">
        <f t="shared" ref="D41:D42" si="13">IFERROR(ROUNDDOWN(C41/B41,0),"")</f>
        <v>0</v>
      </c>
      <c r="E41" s="51" t="s">
        <v>281</v>
      </c>
      <c r="F41" s="228">
        <f t="shared" ref="F41:F42" si="14">IFERROR(C41-(D41*B41),"")</f>
        <v>14</v>
      </c>
      <c r="G41" s="67"/>
      <c r="H41" s="67"/>
      <c r="K41" s="73"/>
      <c r="L41" s="73"/>
    </row>
    <row r="42" spans="1:12" ht="25.35" customHeight="1" x14ac:dyDescent="0.3">
      <c r="A42" s="221" t="s">
        <v>262</v>
      </c>
      <c r="B42" s="224">
        <f t="shared" si="12"/>
        <v>30</v>
      </c>
      <c r="C42" s="227">
        <f>IFERROR(VLOOKUP(A42,'대신 피벗'!A:ST,5,FALSE),0)</f>
        <v>20</v>
      </c>
      <c r="D42" s="227">
        <f t="shared" si="13"/>
        <v>0</v>
      </c>
      <c r="E42" s="51" t="s">
        <v>282</v>
      </c>
      <c r="F42" s="228">
        <f t="shared" si="14"/>
        <v>20</v>
      </c>
      <c r="G42" s="67"/>
      <c r="H42" s="67"/>
      <c r="K42" s="73"/>
      <c r="L42" s="73"/>
    </row>
    <row r="43" spans="1:12" ht="4.5" customHeight="1" x14ac:dyDescent="0.3">
      <c r="A43" s="183"/>
      <c r="B43" s="50"/>
      <c r="C43" s="50"/>
      <c r="D43" s="50"/>
      <c r="E43" s="50"/>
      <c r="F43" s="184"/>
      <c r="G43" s="67"/>
      <c r="H43" s="67"/>
      <c r="K43" s="73"/>
      <c r="L43" s="73"/>
    </row>
    <row r="44" spans="1:12" ht="32.450000000000003" customHeight="1" x14ac:dyDescent="0.3">
      <c r="A44" s="211" t="s">
        <v>339</v>
      </c>
      <c r="B44" s="225">
        <f>$B$4</f>
        <v>30</v>
      </c>
      <c r="C44" s="212">
        <f>SUM(C41:C42)</f>
        <v>34</v>
      </c>
      <c r="D44" s="55">
        <f>IFERROR(ROUNDDOWN(C44/B44,0),"")</f>
        <v>1</v>
      </c>
      <c r="E44" s="213"/>
      <c r="F44" s="214">
        <f>IFERROR(C44-(D44*B44),"")</f>
        <v>4</v>
      </c>
      <c r="G44" s="67"/>
      <c r="H44" s="67"/>
      <c r="K44" s="73"/>
      <c r="L44" s="73"/>
    </row>
    <row r="45" spans="1:12" ht="4.5" customHeight="1" thickBot="1" x14ac:dyDescent="0.35">
      <c r="A45" s="183"/>
      <c r="B45" s="50"/>
      <c r="C45" s="50"/>
      <c r="D45" s="50"/>
      <c r="E45" s="50"/>
      <c r="F45" s="184"/>
      <c r="G45" s="67"/>
      <c r="H45" s="67"/>
      <c r="K45" s="73"/>
      <c r="L45" s="73"/>
    </row>
    <row r="46" spans="1:12" ht="26.25" x14ac:dyDescent="0.3">
      <c r="A46" s="87" t="s">
        <v>3</v>
      </c>
      <c r="B46" s="226">
        <f>$B$4</f>
        <v>30</v>
      </c>
      <c r="C46" s="55">
        <f>SUM(C4:C18,C35:C37,C30:C31,C22:C26,C41:C42)</f>
        <v>478</v>
      </c>
      <c r="D46" s="54">
        <f>IFERROR(ROUNDDOWN(C46/B46,0),"")</f>
        <v>15</v>
      </c>
      <c r="E46" s="56"/>
      <c r="F46" s="121">
        <f>IFERROR(C46-(D46*B46),"")</f>
        <v>28</v>
      </c>
      <c r="G46" s="232" t="s">
        <v>110</v>
      </c>
      <c r="H46" s="233" t="s">
        <v>111</v>
      </c>
      <c r="K46" s="73"/>
      <c r="L46" s="73"/>
    </row>
    <row r="47" spans="1:12" ht="27" thickBot="1" x14ac:dyDescent="0.35">
      <c r="A47" s="42" t="s">
        <v>286</v>
      </c>
      <c r="B47" s="43" t="s">
        <v>173</v>
      </c>
      <c r="C47" s="40"/>
      <c r="D47" s="41">
        <f>SUM(D4:D18,D35:D37,D30:D31,D22:D26,D41:D42)</f>
        <v>3</v>
      </c>
      <c r="E47" s="48"/>
      <c r="F47" s="93">
        <f>SUM(F4:F18,F35:F37,F30:F31,F22:F26,F41:F42)</f>
        <v>388</v>
      </c>
      <c r="G47" s="216">
        <f>IFERROR(ROUNDDOWN(F47/B35,0),"")</f>
        <v>12</v>
      </c>
      <c r="H47" s="217">
        <f>IFERROR(F47-(G47*B35),"")</f>
        <v>28</v>
      </c>
    </row>
    <row r="48" spans="1:12" ht="22.5" customHeight="1" x14ac:dyDescent="0.3">
      <c r="C48" s="77">
        <f>C20+C28+C33+C39+C44</f>
        <v>478</v>
      </c>
      <c r="G48" s="199"/>
      <c r="H48" s="34" t="s">
        <v>174</v>
      </c>
    </row>
    <row r="49" spans="3:3" x14ac:dyDescent="0.3">
      <c r="C49" s="34" t="b">
        <f>C48=C46</f>
        <v>1</v>
      </c>
    </row>
  </sheetData>
  <mergeCells count="1">
    <mergeCell ref="A1:F1"/>
  </mergeCells>
  <phoneticPr fontId="13" type="noConversion"/>
  <printOptions horizontalCentered="1" verticalCentered="1"/>
  <pageMargins left="0" right="0" top="0" bottom="0" header="0" footer="0"/>
  <pageSetup paperSize="9" scale="77"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E5C748-625B-4C00-BE0C-5A626CCF5DD6}">
  <sheetPr>
    <tabColor rgb="FF7030A0"/>
    <pageSetUpPr fitToPage="1"/>
  </sheetPr>
  <dimension ref="A1:K49"/>
  <sheetViews>
    <sheetView zoomScale="40" zoomScaleNormal="40" zoomScaleSheetLayoutView="75" workbookViewId="0">
      <selection activeCell="A2" sqref="A2:F47"/>
    </sheetView>
  </sheetViews>
  <sheetFormatPr defaultColWidth="9" defaultRowHeight="16.5" x14ac:dyDescent="0.3"/>
  <cols>
    <col min="1" max="1" width="24.75" style="34" customWidth="1"/>
    <col min="2" max="2" width="7.625" style="38" customWidth="1"/>
    <col min="3" max="3" width="30.625" style="34" customWidth="1"/>
    <col min="4" max="4" width="9.875" style="2" customWidth="1"/>
    <col min="5" max="5" width="11.375" style="34" customWidth="1"/>
    <col min="6" max="6" width="11.125" style="2" customWidth="1"/>
    <col min="7" max="7" width="8.375" style="34" customWidth="1"/>
    <col min="8" max="8" width="9" style="34" customWidth="1"/>
    <col min="9" max="13" width="9" style="34"/>
    <col min="14" max="14" width="10.625" style="34" customWidth="1"/>
    <col min="15" max="17" width="9" style="34"/>
    <col min="18" max="18" width="36.5" style="34" bestFit="1" customWidth="1"/>
    <col min="19" max="16384" width="9" style="34"/>
  </cols>
  <sheetData>
    <row r="1" spans="1:11" ht="25.9" customHeight="1" thickBot="1" x14ac:dyDescent="0.35">
      <c r="A1" s="270"/>
      <c r="B1" s="270"/>
      <c r="C1" s="270"/>
      <c r="D1" s="270"/>
      <c r="E1" s="270"/>
      <c r="F1" s="270"/>
    </row>
    <row r="2" spans="1:11" ht="25.9" customHeight="1" x14ac:dyDescent="0.3">
      <c r="A2" s="215">
        <f ca="1">TODAY()</f>
        <v>46314</v>
      </c>
      <c r="B2" s="256" t="s">
        <v>345</v>
      </c>
      <c r="C2" s="256"/>
      <c r="D2" s="256"/>
      <c r="E2" s="256"/>
      <c r="F2" s="257"/>
      <c r="G2" s="67"/>
      <c r="H2" s="67"/>
    </row>
    <row r="3" spans="1:11" ht="57.75" customHeight="1" x14ac:dyDescent="0.3">
      <c r="A3" s="222" t="s">
        <v>67</v>
      </c>
      <c r="B3" s="223" t="s">
        <v>13</v>
      </c>
      <c r="C3" s="249" t="s">
        <v>375</v>
      </c>
      <c r="D3" s="230" t="s">
        <v>2</v>
      </c>
      <c r="E3" s="229" t="s">
        <v>23</v>
      </c>
      <c r="F3" s="231" t="s">
        <v>14</v>
      </c>
      <c r="G3" s="67"/>
      <c r="H3" s="67"/>
    </row>
    <row r="4" spans="1:11" ht="25.35" customHeight="1" x14ac:dyDescent="0.3">
      <c r="A4" s="220" t="s">
        <v>260</v>
      </c>
      <c r="B4" s="224">
        <v>30</v>
      </c>
      <c r="C4" s="227">
        <f>IFERROR(VLOOKUP(A4,'대신 피벗'!A:ST,6,FALSE),0)</f>
        <v>6</v>
      </c>
      <c r="D4" s="227">
        <f t="shared" ref="D4:D18" si="0">IFERROR(ROUNDDOWN(C4/B4,0),"")</f>
        <v>0</v>
      </c>
      <c r="E4" s="51" t="s">
        <v>109</v>
      </c>
      <c r="F4" s="228">
        <f t="shared" ref="F4:F18" si="1">IFERROR(C4-(D4*B4),"")</f>
        <v>6</v>
      </c>
      <c r="G4" s="67"/>
      <c r="H4" s="67"/>
      <c r="J4" s="73"/>
      <c r="K4" s="73"/>
    </row>
    <row r="5" spans="1:11" ht="25.35" customHeight="1" x14ac:dyDescent="0.3">
      <c r="A5" s="221" t="s">
        <v>255</v>
      </c>
      <c r="B5" s="224">
        <f t="shared" ref="B5:B18" si="2">$B$4</f>
        <v>30</v>
      </c>
      <c r="C5" s="227">
        <f>IFERROR(VLOOKUP(A5,'대신 피벗'!A:ST,6,FALSE),0)</f>
        <v>38</v>
      </c>
      <c r="D5" s="227">
        <f t="shared" si="0"/>
        <v>1</v>
      </c>
      <c r="E5" s="51" t="s">
        <v>335</v>
      </c>
      <c r="F5" s="228">
        <f t="shared" si="1"/>
        <v>8</v>
      </c>
      <c r="G5" s="67"/>
      <c r="H5" s="67"/>
      <c r="J5" s="73"/>
      <c r="K5" s="73"/>
    </row>
    <row r="6" spans="1:11" ht="25.35" customHeight="1" x14ac:dyDescent="0.3">
      <c r="A6" s="221" t="s">
        <v>249</v>
      </c>
      <c r="B6" s="224">
        <f t="shared" si="2"/>
        <v>30</v>
      </c>
      <c r="C6" s="227">
        <f>IFERROR(VLOOKUP(A6,'대신 피벗'!A:ST,6,FALSE),0)</f>
        <v>15</v>
      </c>
      <c r="D6" s="227">
        <f>IFERROR(ROUNDDOWN(C6/B6,0),"")</f>
        <v>0</v>
      </c>
      <c r="E6" s="51" t="s">
        <v>272</v>
      </c>
      <c r="F6" s="228">
        <f>IFERROR(C6-(D6*B6),"")</f>
        <v>15</v>
      </c>
      <c r="G6" s="67"/>
      <c r="H6" s="67"/>
      <c r="J6" s="73"/>
      <c r="K6" s="73"/>
    </row>
    <row r="7" spans="1:11" ht="25.35" customHeight="1" x14ac:dyDescent="0.3">
      <c r="A7" s="221" t="s">
        <v>250</v>
      </c>
      <c r="B7" s="224">
        <f t="shared" si="2"/>
        <v>30</v>
      </c>
      <c r="C7" s="227">
        <f>IFERROR(VLOOKUP(A7,'대신 피벗'!A:ST,6,FALSE),0)</f>
        <v>27</v>
      </c>
      <c r="D7" s="227">
        <f>IFERROR(ROUNDDOWN(C7/B7,0),"")</f>
        <v>0</v>
      </c>
      <c r="E7" s="51" t="s">
        <v>273</v>
      </c>
      <c r="F7" s="228">
        <f>IFERROR(C7-(D7*B7),"")</f>
        <v>27</v>
      </c>
      <c r="G7" s="67"/>
      <c r="H7" s="67"/>
      <c r="J7" s="73"/>
      <c r="K7" s="73"/>
    </row>
    <row r="8" spans="1:11" ht="25.35" customHeight="1" x14ac:dyDescent="0.3">
      <c r="A8" s="221" t="s">
        <v>248</v>
      </c>
      <c r="B8" s="224">
        <f t="shared" si="2"/>
        <v>30</v>
      </c>
      <c r="C8" s="227">
        <f>IFERROR(VLOOKUP(A8,'대신 피벗'!A:ST,6,FALSE),0)</f>
        <v>13</v>
      </c>
      <c r="D8" s="227">
        <f>IFERROR(ROUNDDOWN(C8/B8,0),"")</f>
        <v>0</v>
      </c>
      <c r="E8" s="51" t="s">
        <v>271</v>
      </c>
      <c r="F8" s="228">
        <f>IFERROR(C8-(D8*B8),"")</f>
        <v>13</v>
      </c>
      <c r="G8" s="67"/>
      <c r="H8" s="67"/>
      <c r="J8" s="73"/>
      <c r="K8" s="73"/>
    </row>
    <row r="9" spans="1:11" ht="25.35" customHeight="1" x14ac:dyDescent="0.3">
      <c r="A9" s="221" t="s">
        <v>246</v>
      </c>
      <c r="B9" s="224">
        <f t="shared" si="2"/>
        <v>30</v>
      </c>
      <c r="C9" s="227">
        <f>IFERROR(VLOOKUP(A9,'대신 피벗'!A:ST,6,FALSE),0)</f>
        <v>13</v>
      </c>
      <c r="D9" s="227">
        <f t="shared" si="0"/>
        <v>0</v>
      </c>
      <c r="E9" s="51" t="s">
        <v>270</v>
      </c>
      <c r="F9" s="228">
        <f t="shared" si="1"/>
        <v>13</v>
      </c>
      <c r="G9" s="67"/>
      <c r="H9" s="67"/>
      <c r="J9" s="73"/>
      <c r="K9" s="73"/>
    </row>
    <row r="10" spans="1:11" ht="25.35" customHeight="1" x14ac:dyDescent="0.3">
      <c r="A10" s="221" t="s">
        <v>256</v>
      </c>
      <c r="B10" s="224">
        <f t="shared" si="2"/>
        <v>30</v>
      </c>
      <c r="C10" s="227">
        <f>IFERROR(VLOOKUP(A10,'대신 피벗'!A:ST,6,FALSE),0)</f>
        <v>12</v>
      </c>
      <c r="D10" s="227">
        <f>IFERROR(ROUNDDOWN(C10/B10,0),"")</f>
        <v>0</v>
      </c>
      <c r="E10" s="51" t="s">
        <v>278</v>
      </c>
      <c r="F10" s="228">
        <f>IFERROR(C10-(D10*B10),"")</f>
        <v>12</v>
      </c>
      <c r="G10" s="67"/>
      <c r="H10" s="67"/>
      <c r="J10" s="73"/>
      <c r="K10" s="73"/>
    </row>
    <row r="11" spans="1:11" ht="25.35" customHeight="1" x14ac:dyDescent="0.3">
      <c r="A11" s="221" t="s">
        <v>247</v>
      </c>
      <c r="B11" s="224">
        <f t="shared" si="2"/>
        <v>30</v>
      </c>
      <c r="C11" s="227">
        <f>IFERROR(VLOOKUP(A11,'대신 피벗'!A:ST,6,FALSE),0)</f>
        <v>9</v>
      </c>
      <c r="D11" s="227">
        <f t="shared" si="0"/>
        <v>0</v>
      </c>
      <c r="E11" s="51" t="s">
        <v>334</v>
      </c>
      <c r="F11" s="228">
        <f t="shared" si="1"/>
        <v>9</v>
      </c>
      <c r="G11" s="67"/>
      <c r="H11" s="67"/>
      <c r="J11" s="73"/>
      <c r="K11" s="73"/>
    </row>
    <row r="12" spans="1:11" ht="25.35" customHeight="1" x14ac:dyDescent="0.3">
      <c r="A12" s="221" t="s">
        <v>251</v>
      </c>
      <c r="B12" s="224">
        <f t="shared" si="2"/>
        <v>30</v>
      </c>
      <c r="C12" s="227">
        <f>IFERROR(VLOOKUP(A12,'대신 피벗'!A:ST,6,FALSE),0)</f>
        <v>12</v>
      </c>
      <c r="D12" s="227">
        <f t="shared" si="0"/>
        <v>0</v>
      </c>
      <c r="E12" s="51" t="s">
        <v>274</v>
      </c>
      <c r="F12" s="228">
        <f t="shared" si="1"/>
        <v>12</v>
      </c>
      <c r="G12" s="67"/>
      <c r="H12" s="67"/>
      <c r="J12" s="73"/>
      <c r="K12" s="73"/>
    </row>
    <row r="13" spans="1:11" ht="25.35" customHeight="1" x14ac:dyDescent="0.3">
      <c r="A13" s="220" t="s">
        <v>252</v>
      </c>
      <c r="B13" s="224">
        <f t="shared" si="2"/>
        <v>30</v>
      </c>
      <c r="C13" s="227">
        <f>IFERROR(VLOOKUP(A13,'대신 피벗'!A:ST,6,FALSE),0)</f>
        <v>59</v>
      </c>
      <c r="D13" s="227">
        <f t="shared" si="0"/>
        <v>1</v>
      </c>
      <c r="E13" s="51" t="s">
        <v>275</v>
      </c>
      <c r="F13" s="228">
        <f t="shared" si="1"/>
        <v>29</v>
      </c>
      <c r="G13" s="67"/>
      <c r="H13" s="67"/>
      <c r="J13" s="73"/>
      <c r="K13" s="73"/>
    </row>
    <row r="14" spans="1:11" ht="25.35" customHeight="1" x14ac:dyDescent="0.3">
      <c r="A14" s="221" t="s">
        <v>253</v>
      </c>
      <c r="B14" s="224">
        <f t="shared" si="2"/>
        <v>30</v>
      </c>
      <c r="C14" s="227">
        <f>IFERROR(VLOOKUP(A14,'대신 피벗'!A:ST,6,FALSE),0)</f>
        <v>23</v>
      </c>
      <c r="D14" s="227">
        <f t="shared" si="0"/>
        <v>0</v>
      </c>
      <c r="E14" s="51" t="s">
        <v>276</v>
      </c>
      <c r="F14" s="228">
        <f t="shared" si="1"/>
        <v>23</v>
      </c>
      <c r="G14" s="67"/>
      <c r="H14" s="67"/>
      <c r="J14" s="73"/>
      <c r="K14" s="73"/>
    </row>
    <row r="15" spans="1:11" ht="25.35" customHeight="1" x14ac:dyDescent="0.3">
      <c r="A15" s="221" t="s">
        <v>254</v>
      </c>
      <c r="B15" s="224">
        <f t="shared" si="2"/>
        <v>30</v>
      </c>
      <c r="C15" s="227">
        <f>IFERROR(VLOOKUP(A15,'대신 피벗'!A:ST,6,FALSE),0)</f>
        <v>27</v>
      </c>
      <c r="D15" s="227">
        <f t="shared" si="0"/>
        <v>0</v>
      </c>
      <c r="E15" s="51" t="s">
        <v>277</v>
      </c>
      <c r="F15" s="228">
        <f t="shared" si="1"/>
        <v>27</v>
      </c>
      <c r="G15" s="67"/>
      <c r="H15" s="67"/>
      <c r="J15" s="73"/>
      <c r="K15" s="73"/>
    </row>
    <row r="16" spans="1:11" ht="25.35" customHeight="1" x14ac:dyDescent="0.3">
      <c r="A16" s="221" t="s">
        <v>257</v>
      </c>
      <c r="B16" s="224">
        <f t="shared" si="2"/>
        <v>30</v>
      </c>
      <c r="C16" s="227">
        <f>IFERROR(VLOOKUP(A16,'대신 피벗'!A:ST,6,FALSE),0)</f>
        <v>21</v>
      </c>
      <c r="D16" s="227">
        <f t="shared" si="0"/>
        <v>0</v>
      </c>
      <c r="E16" s="51" t="s">
        <v>279</v>
      </c>
      <c r="F16" s="228">
        <f t="shared" si="1"/>
        <v>21</v>
      </c>
      <c r="G16" s="67"/>
      <c r="H16" s="67"/>
      <c r="J16" s="73"/>
      <c r="K16" s="73"/>
    </row>
    <row r="17" spans="1:11" ht="25.35" customHeight="1" x14ac:dyDescent="0.3">
      <c r="A17" s="221" t="s">
        <v>258</v>
      </c>
      <c r="B17" s="224">
        <f t="shared" si="2"/>
        <v>30</v>
      </c>
      <c r="C17" s="227">
        <f>IFERROR(VLOOKUP(A17,'대신 피벗'!A:ST,6,FALSE),0)</f>
        <v>14</v>
      </c>
      <c r="D17" s="227">
        <f t="shared" si="0"/>
        <v>0</v>
      </c>
      <c r="E17" s="51" t="s">
        <v>280</v>
      </c>
      <c r="F17" s="228">
        <f t="shared" si="1"/>
        <v>14</v>
      </c>
      <c r="G17" s="67"/>
      <c r="H17" s="67"/>
      <c r="J17" s="73"/>
      <c r="K17" s="73"/>
    </row>
    <row r="18" spans="1:11" ht="25.35" customHeight="1" x14ac:dyDescent="0.3">
      <c r="A18" s="221" t="s">
        <v>259</v>
      </c>
      <c r="B18" s="224">
        <f t="shared" si="2"/>
        <v>30</v>
      </c>
      <c r="C18" s="227">
        <f>IFERROR(VLOOKUP(A18,'대신 피벗'!A:ST,6,FALSE),0)</f>
        <v>11</v>
      </c>
      <c r="D18" s="227">
        <f t="shared" si="0"/>
        <v>0</v>
      </c>
      <c r="E18" s="51" t="s">
        <v>336</v>
      </c>
      <c r="F18" s="228">
        <f t="shared" si="1"/>
        <v>11</v>
      </c>
      <c r="G18" s="67"/>
      <c r="H18" s="67"/>
      <c r="J18" s="73"/>
      <c r="K18" s="73"/>
    </row>
    <row r="19" spans="1:11" ht="4.5" customHeight="1" x14ac:dyDescent="0.3">
      <c r="A19" s="183"/>
      <c r="B19" s="50"/>
      <c r="C19" s="50"/>
      <c r="D19" s="50"/>
      <c r="E19" s="50"/>
      <c r="F19" s="184"/>
      <c r="J19" s="73"/>
      <c r="K19" s="73"/>
    </row>
    <row r="20" spans="1:11" ht="32.450000000000003" customHeight="1" x14ac:dyDescent="0.3">
      <c r="A20" s="211" t="s">
        <v>122</v>
      </c>
      <c r="B20" s="225">
        <f>$B$4</f>
        <v>30</v>
      </c>
      <c r="C20" s="212">
        <f>SUM(C4:C18)</f>
        <v>300</v>
      </c>
      <c r="D20" s="55">
        <f>IFERROR(ROUNDDOWN(C20/B20,0),"")</f>
        <v>10</v>
      </c>
      <c r="E20" s="213"/>
      <c r="F20" s="214">
        <f>IFERROR(C20-(D20*B20),"")</f>
        <v>0</v>
      </c>
      <c r="J20" s="73"/>
      <c r="K20" s="73"/>
    </row>
    <row r="21" spans="1:11" ht="4.5" customHeight="1" x14ac:dyDescent="0.3">
      <c r="A21" s="183"/>
      <c r="B21" s="224"/>
      <c r="C21" s="50"/>
      <c r="D21" s="50"/>
      <c r="E21" s="50"/>
      <c r="F21" s="184"/>
      <c r="J21" s="73"/>
      <c r="K21" s="73"/>
    </row>
    <row r="22" spans="1:11" ht="25.35" customHeight="1" x14ac:dyDescent="0.3">
      <c r="A22" s="221" t="s">
        <v>241</v>
      </c>
      <c r="B22" s="224">
        <f t="shared" ref="B22:B26" si="3">$B$4</f>
        <v>30</v>
      </c>
      <c r="C22" s="227">
        <f>IFERROR(VLOOKUP(A22,'대신 피벗'!A:ST,6,FALSE),0)</f>
        <v>29</v>
      </c>
      <c r="D22" s="227">
        <f>IFERROR(ROUNDDOWN(C22/B22,0),"")</f>
        <v>0</v>
      </c>
      <c r="E22" s="51" t="s">
        <v>268</v>
      </c>
      <c r="F22" s="228">
        <f>IFERROR(C22-(D22*B22),"")</f>
        <v>29</v>
      </c>
      <c r="G22" s="67"/>
      <c r="H22" s="67"/>
      <c r="J22" s="73"/>
      <c r="K22" s="73"/>
    </row>
    <row r="23" spans="1:11" ht="25.35" customHeight="1" x14ac:dyDescent="0.3">
      <c r="A23" s="221" t="s">
        <v>242</v>
      </c>
      <c r="B23" s="224">
        <f t="shared" si="3"/>
        <v>30</v>
      </c>
      <c r="C23" s="227">
        <f>IFERROR(VLOOKUP(A23,'대신 피벗'!A:ST,6,FALSE),0)</f>
        <v>16</v>
      </c>
      <c r="D23" s="227">
        <f>IFERROR(ROUNDDOWN(C23/B23,0),"")</f>
        <v>0</v>
      </c>
      <c r="E23" s="51" t="s">
        <v>337</v>
      </c>
      <c r="F23" s="228">
        <f>IFERROR(C23-(D23*B23),"")</f>
        <v>16</v>
      </c>
      <c r="G23" s="67"/>
      <c r="H23" s="67"/>
      <c r="J23" s="73"/>
      <c r="K23" s="73"/>
    </row>
    <row r="24" spans="1:11" ht="25.35" customHeight="1" x14ac:dyDescent="0.3">
      <c r="A24" s="221" t="s">
        <v>243</v>
      </c>
      <c r="B24" s="224">
        <f t="shared" si="3"/>
        <v>30</v>
      </c>
      <c r="C24" s="227">
        <f>IFERROR(VLOOKUP(A24,'대신 피벗'!A:ST,6,FALSE),0)</f>
        <v>0</v>
      </c>
      <c r="D24" s="227">
        <f>IFERROR(ROUNDDOWN(C24/B24,0),"")</f>
        <v>0</v>
      </c>
      <c r="E24" s="51" t="s">
        <v>106</v>
      </c>
      <c r="F24" s="228">
        <f>IFERROR(C24-(D24*B24),"")</f>
        <v>0</v>
      </c>
      <c r="G24" s="67"/>
      <c r="H24" s="67"/>
      <c r="J24" s="73"/>
      <c r="K24" s="73"/>
    </row>
    <row r="25" spans="1:11" ht="25.35" customHeight="1" x14ac:dyDescent="0.3">
      <c r="A25" s="221" t="s">
        <v>244</v>
      </c>
      <c r="B25" s="224">
        <f t="shared" si="3"/>
        <v>30</v>
      </c>
      <c r="C25" s="227">
        <f>IFERROR(VLOOKUP(A25,'대신 피벗'!A:ST,6,FALSE),0)</f>
        <v>17</v>
      </c>
      <c r="D25" s="227">
        <f>IFERROR(ROUNDDOWN(C25/B25,0),"")</f>
        <v>0</v>
      </c>
      <c r="E25" s="51" t="s">
        <v>269</v>
      </c>
      <c r="F25" s="228">
        <f>IFERROR(C25-(D25*B25),"")</f>
        <v>17</v>
      </c>
      <c r="G25" s="67"/>
      <c r="H25" s="67"/>
      <c r="J25" s="73"/>
      <c r="K25" s="73"/>
    </row>
    <row r="26" spans="1:11" ht="25.35" customHeight="1" x14ac:dyDescent="0.3">
      <c r="A26" s="221" t="s">
        <v>245</v>
      </c>
      <c r="B26" s="224">
        <f t="shared" si="3"/>
        <v>30</v>
      </c>
      <c r="C26" s="227">
        <f>IFERROR(VLOOKUP(A26,'대신 피벗'!A:ST,6,FALSE),0)</f>
        <v>21</v>
      </c>
      <c r="D26" s="227">
        <f>IFERROR(ROUNDDOWN(C26/B26,0),"")</f>
        <v>0</v>
      </c>
      <c r="E26" s="51" t="s">
        <v>118</v>
      </c>
      <c r="F26" s="228">
        <f>IFERROR(C26-(D26*B26),"")</f>
        <v>21</v>
      </c>
      <c r="G26" s="67"/>
      <c r="H26" s="67"/>
      <c r="J26" s="73"/>
      <c r="K26" s="73"/>
    </row>
    <row r="27" spans="1:11" ht="4.5" customHeight="1" x14ac:dyDescent="0.3">
      <c r="A27" s="183"/>
      <c r="B27" s="50"/>
      <c r="C27" s="50"/>
      <c r="D27" s="50"/>
      <c r="E27" s="50"/>
      <c r="F27" s="184"/>
      <c r="G27" s="67"/>
      <c r="H27" s="67"/>
      <c r="J27" s="73"/>
      <c r="K27" s="73"/>
    </row>
    <row r="28" spans="1:11" ht="32.450000000000003" customHeight="1" x14ac:dyDescent="0.3">
      <c r="A28" s="211" t="s">
        <v>285</v>
      </c>
      <c r="B28" s="225">
        <f>$B$4</f>
        <v>30</v>
      </c>
      <c r="C28" s="212">
        <f>SUM(C22:C26)</f>
        <v>83</v>
      </c>
      <c r="D28" s="55">
        <f>IFERROR(ROUNDDOWN(C28/B28,0),"")</f>
        <v>2</v>
      </c>
      <c r="E28" s="213"/>
      <c r="F28" s="214">
        <f>IFERROR(C28-(D28*B28),"")</f>
        <v>23</v>
      </c>
      <c r="G28" s="67"/>
      <c r="H28" s="67"/>
      <c r="J28" s="73"/>
      <c r="K28" s="73"/>
    </row>
    <row r="29" spans="1:11" ht="4.5" customHeight="1" x14ac:dyDescent="0.3">
      <c r="A29" s="183"/>
      <c r="B29" s="50"/>
      <c r="C29" s="50"/>
      <c r="D29" s="50"/>
      <c r="E29" s="50"/>
      <c r="F29" s="184"/>
      <c r="G29" s="67"/>
      <c r="H29" s="67"/>
      <c r="J29" s="73"/>
      <c r="K29" s="73"/>
    </row>
    <row r="30" spans="1:11" ht="25.35" customHeight="1" x14ac:dyDescent="0.3">
      <c r="A30" s="221" t="s">
        <v>239</v>
      </c>
      <c r="B30" s="224">
        <f t="shared" ref="B30:B31" si="4">$B$4</f>
        <v>30</v>
      </c>
      <c r="C30" s="227">
        <f>IFERROR(VLOOKUP(A30,'대신 피벗'!A:ST,6,FALSE),0)</f>
        <v>26</v>
      </c>
      <c r="D30" s="227">
        <f t="shared" ref="D30:D31" si="5">IFERROR(ROUNDDOWN(C30/B30,0),"")</f>
        <v>0</v>
      </c>
      <c r="E30" s="51" t="s">
        <v>266</v>
      </c>
      <c r="F30" s="228">
        <f t="shared" ref="F30:F31" si="6">IFERROR(C30-(D30*B30),"")</f>
        <v>26</v>
      </c>
      <c r="G30" s="67"/>
      <c r="H30" s="67"/>
      <c r="J30" s="73"/>
      <c r="K30" s="73"/>
    </row>
    <row r="31" spans="1:11" ht="25.35" customHeight="1" x14ac:dyDescent="0.3">
      <c r="A31" s="221" t="s">
        <v>240</v>
      </c>
      <c r="B31" s="224">
        <f t="shared" si="4"/>
        <v>30</v>
      </c>
      <c r="C31" s="227">
        <f>IFERROR(VLOOKUP(A31,'대신 피벗'!A:ST,6,FALSE),0)</f>
        <v>22</v>
      </c>
      <c r="D31" s="227">
        <f t="shared" si="5"/>
        <v>0</v>
      </c>
      <c r="E31" s="51" t="s">
        <v>267</v>
      </c>
      <c r="F31" s="228">
        <f t="shared" si="6"/>
        <v>22</v>
      </c>
      <c r="G31" s="67"/>
      <c r="H31" s="67"/>
      <c r="J31" s="73"/>
      <c r="K31" s="73"/>
    </row>
    <row r="32" spans="1:11" ht="4.5" customHeight="1" x14ac:dyDescent="0.3">
      <c r="A32" s="183"/>
      <c r="B32" s="50"/>
      <c r="C32" s="50"/>
      <c r="D32" s="50"/>
      <c r="E32" s="50"/>
      <c r="F32" s="184"/>
      <c r="G32" s="67"/>
      <c r="H32" s="67"/>
      <c r="J32" s="73"/>
      <c r="K32" s="73"/>
    </row>
    <row r="33" spans="1:11" ht="32.450000000000003" customHeight="1" x14ac:dyDescent="0.3">
      <c r="A33" s="211" t="s">
        <v>284</v>
      </c>
      <c r="B33" s="225">
        <f>$B$4</f>
        <v>30</v>
      </c>
      <c r="C33" s="212">
        <f>SUM(C30:C31)</f>
        <v>48</v>
      </c>
      <c r="D33" s="55">
        <f>IFERROR(ROUNDDOWN(C33/B33,0),"")</f>
        <v>1</v>
      </c>
      <c r="E33" s="213"/>
      <c r="F33" s="214">
        <f>IFERROR(C33-(D33*B33),"")</f>
        <v>18</v>
      </c>
      <c r="G33" s="67"/>
      <c r="H33" s="67"/>
      <c r="J33" s="73"/>
      <c r="K33" s="73"/>
    </row>
    <row r="34" spans="1:11" ht="4.5" customHeight="1" x14ac:dyDescent="0.3">
      <c r="A34" s="183"/>
      <c r="B34" s="224"/>
      <c r="C34" s="50"/>
      <c r="D34" s="50"/>
      <c r="E34" s="50"/>
      <c r="F34" s="184"/>
      <c r="G34" s="67"/>
      <c r="H34" s="67"/>
      <c r="J34" s="73"/>
      <c r="K34" s="73"/>
    </row>
    <row r="35" spans="1:11" ht="25.35" customHeight="1" x14ac:dyDescent="0.3">
      <c r="A35" s="221" t="s">
        <v>236</v>
      </c>
      <c r="B35" s="224">
        <f t="shared" ref="B35:B37" si="7">$B$4</f>
        <v>30</v>
      </c>
      <c r="C35" s="227">
        <f>IFERROR(VLOOKUP(A35,'대신 피벗'!A:ST,6,FALSE),0)</f>
        <v>19</v>
      </c>
      <c r="D35" s="227">
        <f>IFERROR(ROUNDDOWN(C35/B35,0),"")</f>
        <v>0</v>
      </c>
      <c r="E35" s="51" t="s">
        <v>264</v>
      </c>
      <c r="F35" s="228">
        <f>IFERROR(C35-(D35*B35),"")</f>
        <v>19</v>
      </c>
      <c r="G35" s="67"/>
      <c r="H35" s="67"/>
      <c r="J35" s="73"/>
      <c r="K35" s="73"/>
    </row>
    <row r="36" spans="1:11" ht="25.35" customHeight="1" x14ac:dyDescent="0.3">
      <c r="A36" s="221" t="s">
        <v>237</v>
      </c>
      <c r="B36" s="224">
        <f t="shared" si="7"/>
        <v>30</v>
      </c>
      <c r="C36" s="227">
        <f>IFERROR(VLOOKUP(A36,'대신 피벗'!A:ST,6,FALSE),0)</f>
        <v>11</v>
      </c>
      <c r="D36" s="227">
        <f t="shared" ref="D36:D37" si="8">IFERROR(ROUNDDOWN(C36/B36,0),"")</f>
        <v>0</v>
      </c>
      <c r="E36" s="51" t="s">
        <v>338</v>
      </c>
      <c r="F36" s="228">
        <f t="shared" ref="F36:F37" si="9">IFERROR(C36-(D36*B36),"")</f>
        <v>11</v>
      </c>
      <c r="G36" s="67"/>
      <c r="H36" s="67"/>
      <c r="J36" s="73"/>
      <c r="K36" s="73"/>
    </row>
    <row r="37" spans="1:11" ht="25.35" customHeight="1" x14ac:dyDescent="0.3">
      <c r="A37" s="221" t="s">
        <v>238</v>
      </c>
      <c r="B37" s="224">
        <f t="shared" si="7"/>
        <v>30</v>
      </c>
      <c r="C37" s="227">
        <f>IFERROR(VLOOKUP(A37,'대신 피벗'!A:ST,6,FALSE),0)</f>
        <v>15</v>
      </c>
      <c r="D37" s="227">
        <f t="shared" si="8"/>
        <v>0</v>
      </c>
      <c r="E37" s="51" t="s">
        <v>265</v>
      </c>
      <c r="F37" s="228">
        <f t="shared" si="9"/>
        <v>15</v>
      </c>
      <c r="G37" s="67"/>
      <c r="H37" s="67"/>
      <c r="J37" s="73"/>
      <c r="K37" s="73"/>
    </row>
    <row r="38" spans="1:11" ht="4.5" customHeight="1" x14ac:dyDescent="0.3">
      <c r="A38" s="183"/>
      <c r="B38" s="50"/>
      <c r="C38" s="50"/>
      <c r="D38" s="50"/>
      <c r="E38" s="50"/>
      <c r="F38" s="184"/>
      <c r="G38" s="67"/>
      <c r="H38" s="67"/>
      <c r="J38" s="73"/>
      <c r="K38" s="73"/>
    </row>
    <row r="39" spans="1:11" ht="32.450000000000003" customHeight="1" x14ac:dyDescent="0.3">
      <c r="A39" s="211" t="s">
        <v>283</v>
      </c>
      <c r="B39" s="225">
        <f>$B$4</f>
        <v>30</v>
      </c>
      <c r="C39" s="212">
        <f>SUM(C35:C37)</f>
        <v>45</v>
      </c>
      <c r="D39" s="55">
        <f>IFERROR(ROUNDDOWN(C39/B39,0),"")</f>
        <v>1</v>
      </c>
      <c r="E39" s="213"/>
      <c r="F39" s="214">
        <f>IFERROR(C39-(D39*B39),"")</f>
        <v>15</v>
      </c>
      <c r="G39" s="67"/>
      <c r="H39" s="67"/>
      <c r="J39" s="73"/>
      <c r="K39" s="73"/>
    </row>
    <row r="40" spans="1:11" ht="4.5" customHeight="1" x14ac:dyDescent="0.3">
      <c r="A40" s="183"/>
      <c r="B40" s="224"/>
      <c r="C40" s="50"/>
      <c r="D40" s="50"/>
      <c r="E40" s="50"/>
      <c r="F40" s="184"/>
      <c r="G40" s="67"/>
      <c r="H40" s="67"/>
      <c r="J40" s="73"/>
      <c r="K40" s="73"/>
    </row>
    <row r="41" spans="1:11" ht="25.35" customHeight="1" x14ac:dyDescent="0.3">
      <c r="A41" s="221" t="s">
        <v>261</v>
      </c>
      <c r="B41" s="224">
        <f t="shared" ref="B41:B42" si="10">$B$4</f>
        <v>30</v>
      </c>
      <c r="C41" s="227">
        <f>IFERROR(VLOOKUP(A41,'대신 피벗'!A:ST,6,FALSE),0)</f>
        <v>17</v>
      </c>
      <c r="D41" s="227">
        <f t="shared" ref="D41:D42" si="11">IFERROR(ROUNDDOWN(C41/B41,0),"")</f>
        <v>0</v>
      </c>
      <c r="E41" s="51" t="s">
        <v>281</v>
      </c>
      <c r="F41" s="228">
        <f t="shared" ref="F41:F42" si="12">IFERROR(C41-(D41*B41),"")</f>
        <v>17</v>
      </c>
      <c r="G41" s="67"/>
      <c r="H41" s="67"/>
      <c r="J41" s="73"/>
      <c r="K41" s="73"/>
    </row>
    <row r="42" spans="1:11" ht="25.35" customHeight="1" x14ac:dyDescent="0.3">
      <c r="A42" s="221" t="s">
        <v>262</v>
      </c>
      <c r="B42" s="224">
        <f t="shared" si="10"/>
        <v>30</v>
      </c>
      <c r="C42" s="227">
        <f>IFERROR(VLOOKUP(A42,'대신 피벗'!A:ST,6,FALSE),0)</f>
        <v>22</v>
      </c>
      <c r="D42" s="227">
        <f t="shared" si="11"/>
        <v>0</v>
      </c>
      <c r="E42" s="51" t="s">
        <v>282</v>
      </c>
      <c r="F42" s="228">
        <f t="shared" si="12"/>
        <v>22</v>
      </c>
      <c r="G42" s="67"/>
      <c r="H42" s="67"/>
      <c r="J42" s="73"/>
      <c r="K42" s="73"/>
    </row>
    <row r="43" spans="1:11" ht="4.5" customHeight="1" x14ac:dyDescent="0.3">
      <c r="A43" s="183"/>
      <c r="B43" s="50"/>
      <c r="C43" s="50"/>
      <c r="D43" s="50"/>
      <c r="E43" s="50"/>
      <c r="F43" s="184"/>
      <c r="G43" s="67"/>
      <c r="H43" s="67"/>
      <c r="J43" s="73"/>
      <c r="K43" s="73"/>
    </row>
    <row r="44" spans="1:11" ht="32.450000000000003" customHeight="1" x14ac:dyDescent="0.3">
      <c r="A44" s="211" t="s">
        <v>339</v>
      </c>
      <c r="B44" s="225">
        <f>$B$4</f>
        <v>30</v>
      </c>
      <c r="C44" s="212">
        <f>SUM(C41:C42)</f>
        <v>39</v>
      </c>
      <c r="D44" s="55">
        <f>IFERROR(ROUNDDOWN(C44/B44,0),"")</f>
        <v>1</v>
      </c>
      <c r="E44" s="213"/>
      <c r="F44" s="214">
        <f>IFERROR(C44-(D44*B44),"")</f>
        <v>9</v>
      </c>
      <c r="G44" s="67"/>
      <c r="H44" s="67"/>
      <c r="J44" s="73"/>
      <c r="K44" s="73"/>
    </row>
    <row r="45" spans="1:11" ht="4.5" customHeight="1" thickBot="1" x14ac:dyDescent="0.35">
      <c r="A45" s="183"/>
      <c r="B45" s="50"/>
      <c r="C45" s="50"/>
      <c r="D45" s="50"/>
      <c r="E45" s="50"/>
      <c r="F45" s="184"/>
      <c r="G45" s="67"/>
      <c r="H45" s="67"/>
      <c r="J45" s="73"/>
      <c r="K45" s="73"/>
    </row>
    <row r="46" spans="1:11" ht="26.25" x14ac:dyDescent="0.3">
      <c r="A46" s="87" t="s">
        <v>3</v>
      </c>
      <c r="B46" s="226">
        <f>$B$4</f>
        <v>30</v>
      </c>
      <c r="C46" s="55">
        <f>SUM(C4:C18,C35:C37,C30:C31,C22:C26,C41:C42)</f>
        <v>515</v>
      </c>
      <c r="D46" s="54">
        <f>IFERROR(ROUNDDOWN(C46/B46,0),"")</f>
        <v>17</v>
      </c>
      <c r="E46" s="56"/>
      <c r="F46" s="121">
        <f>IFERROR(C46-(D46*B46),"")</f>
        <v>5</v>
      </c>
      <c r="G46" s="232" t="s">
        <v>110</v>
      </c>
      <c r="H46" s="233" t="s">
        <v>111</v>
      </c>
      <c r="J46" s="73"/>
      <c r="K46" s="73"/>
    </row>
    <row r="47" spans="1:11" ht="27" thickBot="1" x14ac:dyDescent="0.35">
      <c r="A47" s="42" t="s">
        <v>286</v>
      </c>
      <c r="B47" s="43" t="s">
        <v>173</v>
      </c>
      <c r="C47" s="40"/>
      <c r="D47" s="41">
        <f>SUM(D4:D18,D35:D37,D30:D31,D22:D26,D41:D42)</f>
        <v>2</v>
      </c>
      <c r="E47" s="48"/>
      <c r="F47" s="93">
        <f>SUM(F4:F18,F35:F37,F30:F31,F22:F26,F41:F42)</f>
        <v>455</v>
      </c>
      <c r="G47" s="216">
        <f>IFERROR(ROUNDDOWN(F47/B35,0),"")</f>
        <v>15</v>
      </c>
      <c r="H47" s="217">
        <f>IFERROR(F47-(G47*B35),"")</f>
        <v>5</v>
      </c>
    </row>
    <row r="48" spans="1:11" ht="22.5" customHeight="1" x14ac:dyDescent="0.3">
      <c r="C48" s="77">
        <f>C20+C28+C33+C39+C44</f>
        <v>515</v>
      </c>
      <c r="G48" s="199"/>
      <c r="H48" s="34" t="s">
        <v>174</v>
      </c>
    </row>
    <row r="49" spans="3:3" x14ac:dyDescent="0.3">
      <c r="C49" s="34" t="b">
        <f>C48=C46</f>
        <v>1</v>
      </c>
    </row>
  </sheetData>
  <mergeCells count="1">
    <mergeCell ref="A1:F1"/>
  </mergeCells>
  <phoneticPr fontId="13" type="noConversion"/>
  <printOptions horizontalCentered="1" verticalCentered="1"/>
  <pageMargins left="0" right="0" top="0" bottom="0" header="0" footer="0"/>
  <pageSetup paperSize="9" scale="76"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CE16FE-FBBB-4773-99D3-3FD552FA2813}">
  <sheetPr>
    <tabColor rgb="FF7030A0"/>
    <pageSetUpPr fitToPage="1"/>
  </sheetPr>
  <dimension ref="A1:L49"/>
  <sheetViews>
    <sheetView zoomScale="40" zoomScaleNormal="40" zoomScaleSheetLayoutView="75" workbookViewId="0">
      <selection activeCell="A2" sqref="A2:F47"/>
    </sheetView>
  </sheetViews>
  <sheetFormatPr defaultColWidth="9" defaultRowHeight="16.5" x14ac:dyDescent="0.3"/>
  <cols>
    <col min="1" max="1" width="24.75" style="34" customWidth="1"/>
    <col min="2" max="2" width="7.625" style="38" customWidth="1"/>
    <col min="3" max="3" width="30.625" style="34" customWidth="1"/>
    <col min="4" max="4" width="9.875" style="2" customWidth="1"/>
    <col min="5" max="5" width="11.375" style="34" customWidth="1"/>
    <col min="6" max="6" width="11.125" style="2" customWidth="1"/>
    <col min="7" max="7" width="8.375" style="34" customWidth="1"/>
    <col min="8" max="8" width="9" style="34" customWidth="1"/>
    <col min="9" max="13" width="9" style="34"/>
    <col min="14" max="14" width="10.625" style="34" customWidth="1"/>
    <col min="15" max="17" width="9" style="34"/>
    <col min="18" max="18" width="36.5" style="34" bestFit="1" customWidth="1"/>
    <col min="19" max="16384" width="9" style="34"/>
  </cols>
  <sheetData>
    <row r="1" spans="1:12" ht="25.9" customHeight="1" thickBot="1" x14ac:dyDescent="0.35">
      <c r="A1" s="270"/>
      <c r="B1" s="270"/>
      <c r="C1" s="270"/>
      <c r="D1" s="270"/>
      <c r="E1" s="270"/>
      <c r="F1" s="270"/>
    </row>
    <row r="2" spans="1:12" ht="25.9" customHeight="1" x14ac:dyDescent="0.3">
      <c r="A2" s="215">
        <f ca="1">TODAY()</f>
        <v>46314</v>
      </c>
      <c r="B2" s="256" t="s">
        <v>346</v>
      </c>
      <c r="C2" s="256"/>
      <c r="D2" s="256"/>
      <c r="E2" s="256"/>
      <c r="F2" s="257"/>
      <c r="G2" s="67"/>
      <c r="H2" s="67"/>
    </row>
    <row r="3" spans="1:12" ht="48" customHeight="1" x14ac:dyDescent="0.3">
      <c r="A3" s="222" t="s">
        <v>67</v>
      </c>
      <c r="B3" s="223" t="s">
        <v>13</v>
      </c>
      <c r="C3" s="249" t="s">
        <v>374</v>
      </c>
      <c r="D3" s="230" t="s">
        <v>2</v>
      </c>
      <c r="E3" s="229" t="s">
        <v>23</v>
      </c>
      <c r="F3" s="231" t="s">
        <v>14</v>
      </c>
      <c r="G3" s="67"/>
      <c r="H3" s="67"/>
      <c r="K3" s="73"/>
      <c r="L3" s="73"/>
    </row>
    <row r="4" spans="1:12" ht="25.35" customHeight="1" x14ac:dyDescent="0.3">
      <c r="A4" s="220" t="s">
        <v>260</v>
      </c>
      <c r="B4" s="224">
        <v>30</v>
      </c>
      <c r="C4" s="227">
        <f>IFERROR(VLOOKUP(A4,'대신 피벗'!A:ST,7,FALSE),0)</f>
        <v>23</v>
      </c>
      <c r="D4" s="227">
        <f t="shared" ref="D4:D18" si="0">IFERROR(ROUNDDOWN(C4/B4,0),"")</f>
        <v>0</v>
      </c>
      <c r="E4" s="51" t="s">
        <v>109</v>
      </c>
      <c r="F4" s="228">
        <f t="shared" ref="F4:F18" si="1">IFERROR(C4-(D4*B4),"")</f>
        <v>23</v>
      </c>
      <c r="G4" s="67"/>
      <c r="H4" s="67"/>
      <c r="K4" s="73"/>
      <c r="L4" s="73"/>
    </row>
    <row r="5" spans="1:12" ht="25.35" customHeight="1" x14ac:dyDescent="0.3">
      <c r="A5" s="221" t="s">
        <v>255</v>
      </c>
      <c r="B5" s="224">
        <f t="shared" ref="B5:B18" si="2">$B$4</f>
        <v>30</v>
      </c>
      <c r="C5" s="227">
        <f>IFERROR(VLOOKUP(A5,'대신 피벗'!A:ST,7,FALSE),0)</f>
        <v>84</v>
      </c>
      <c r="D5" s="227">
        <f t="shared" si="0"/>
        <v>2</v>
      </c>
      <c r="E5" s="51" t="s">
        <v>335</v>
      </c>
      <c r="F5" s="228">
        <f t="shared" si="1"/>
        <v>24</v>
      </c>
      <c r="G5" s="67"/>
      <c r="H5" s="67"/>
      <c r="K5" s="73"/>
      <c r="L5" s="73"/>
    </row>
    <row r="6" spans="1:12" ht="25.35" customHeight="1" x14ac:dyDescent="0.3">
      <c r="A6" s="221" t="s">
        <v>249</v>
      </c>
      <c r="B6" s="224">
        <f t="shared" si="2"/>
        <v>30</v>
      </c>
      <c r="C6" s="227">
        <f>IFERROR(VLOOKUP(A6,'대신 피벗'!A:ST,7,FALSE),0)</f>
        <v>57</v>
      </c>
      <c r="D6" s="227">
        <f>IFERROR(ROUNDDOWN(C6/B6,0),"")</f>
        <v>1</v>
      </c>
      <c r="E6" s="51" t="s">
        <v>272</v>
      </c>
      <c r="F6" s="228">
        <f>IFERROR(C6-(D6*B6),"")</f>
        <v>27</v>
      </c>
      <c r="G6" s="67"/>
      <c r="H6" s="67"/>
      <c r="K6" s="73"/>
      <c r="L6" s="73"/>
    </row>
    <row r="7" spans="1:12" ht="25.35" customHeight="1" x14ac:dyDescent="0.3">
      <c r="A7" s="221" t="s">
        <v>250</v>
      </c>
      <c r="B7" s="224">
        <f t="shared" si="2"/>
        <v>30</v>
      </c>
      <c r="C7" s="227">
        <f>IFERROR(VLOOKUP(A7,'대신 피벗'!A:ST,7,FALSE),0)</f>
        <v>56</v>
      </c>
      <c r="D7" s="227">
        <f>IFERROR(ROUNDDOWN(C7/B7,0),"")</f>
        <v>1</v>
      </c>
      <c r="E7" s="51" t="s">
        <v>273</v>
      </c>
      <c r="F7" s="228">
        <f>IFERROR(C7-(D7*B7),"")</f>
        <v>26</v>
      </c>
      <c r="G7" s="67"/>
      <c r="H7" s="67"/>
      <c r="K7" s="73"/>
      <c r="L7" s="73"/>
    </row>
    <row r="8" spans="1:12" ht="25.35" customHeight="1" x14ac:dyDescent="0.3">
      <c r="A8" s="221" t="s">
        <v>248</v>
      </c>
      <c r="B8" s="224">
        <f t="shared" si="2"/>
        <v>30</v>
      </c>
      <c r="C8" s="227">
        <f>IFERROR(VLOOKUP(A8,'대신 피벗'!A:ST,7,FALSE),0)</f>
        <v>34</v>
      </c>
      <c r="D8" s="227">
        <f>IFERROR(ROUNDDOWN(C8/B8,0),"")</f>
        <v>1</v>
      </c>
      <c r="E8" s="51" t="s">
        <v>271</v>
      </c>
      <c r="F8" s="228">
        <f>IFERROR(C8-(D8*B8),"")</f>
        <v>4</v>
      </c>
      <c r="G8" s="67"/>
      <c r="H8" s="67"/>
      <c r="K8" s="73"/>
      <c r="L8" s="73"/>
    </row>
    <row r="9" spans="1:12" ht="25.35" customHeight="1" x14ac:dyDescent="0.3">
      <c r="A9" s="221" t="s">
        <v>246</v>
      </c>
      <c r="B9" s="224">
        <f t="shared" si="2"/>
        <v>30</v>
      </c>
      <c r="C9" s="227">
        <f>IFERROR(VLOOKUP(A9,'대신 피벗'!A:ST,7,FALSE),0)</f>
        <v>25</v>
      </c>
      <c r="D9" s="227">
        <f t="shared" si="0"/>
        <v>0</v>
      </c>
      <c r="E9" s="51" t="s">
        <v>270</v>
      </c>
      <c r="F9" s="228">
        <f t="shared" si="1"/>
        <v>25</v>
      </c>
      <c r="G9" s="67"/>
      <c r="H9" s="67"/>
      <c r="K9" s="73"/>
      <c r="L9" s="73"/>
    </row>
    <row r="10" spans="1:12" ht="25.35" customHeight="1" x14ac:dyDescent="0.3">
      <c r="A10" s="221" t="s">
        <v>256</v>
      </c>
      <c r="B10" s="224">
        <f t="shared" si="2"/>
        <v>30</v>
      </c>
      <c r="C10" s="227">
        <f>IFERROR(VLOOKUP(A10,'대신 피벗'!A:ST,7,FALSE),0)</f>
        <v>33</v>
      </c>
      <c r="D10" s="227">
        <f>IFERROR(ROUNDDOWN(C10/B10,0),"")</f>
        <v>1</v>
      </c>
      <c r="E10" s="51" t="s">
        <v>278</v>
      </c>
      <c r="F10" s="228">
        <f>IFERROR(C10-(D10*B10),"")</f>
        <v>3</v>
      </c>
      <c r="G10" s="67"/>
      <c r="H10" s="67"/>
      <c r="K10" s="73"/>
      <c r="L10" s="73"/>
    </row>
    <row r="11" spans="1:12" ht="25.35" customHeight="1" x14ac:dyDescent="0.3">
      <c r="A11" s="221" t="s">
        <v>247</v>
      </c>
      <c r="B11" s="224">
        <f t="shared" si="2"/>
        <v>30</v>
      </c>
      <c r="C11" s="227">
        <f>IFERROR(VLOOKUP(A11,'대신 피벗'!A:ST,7,FALSE),0)</f>
        <v>24</v>
      </c>
      <c r="D11" s="227">
        <f t="shared" si="0"/>
        <v>0</v>
      </c>
      <c r="E11" s="51" t="s">
        <v>334</v>
      </c>
      <c r="F11" s="228">
        <f t="shared" si="1"/>
        <v>24</v>
      </c>
      <c r="G11" s="67"/>
      <c r="H11" s="67"/>
      <c r="K11" s="73"/>
      <c r="L11" s="73"/>
    </row>
    <row r="12" spans="1:12" ht="25.35" customHeight="1" x14ac:dyDescent="0.3">
      <c r="A12" s="221" t="s">
        <v>251</v>
      </c>
      <c r="B12" s="224">
        <f t="shared" si="2"/>
        <v>30</v>
      </c>
      <c r="C12" s="227">
        <f>IFERROR(VLOOKUP(A12,'대신 피벗'!A:ST,7,FALSE),0)</f>
        <v>64</v>
      </c>
      <c r="D12" s="227">
        <f t="shared" si="0"/>
        <v>2</v>
      </c>
      <c r="E12" s="51" t="s">
        <v>274</v>
      </c>
      <c r="F12" s="228">
        <f t="shared" si="1"/>
        <v>4</v>
      </c>
      <c r="G12" s="67"/>
      <c r="H12" s="67"/>
      <c r="K12" s="73"/>
      <c r="L12" s="73"/>
    </row>
    <row r="13" spans="1:12" ht="25.35" customHeight="1" x14ac:dyDescent="0.3">
      <c r="A13" s="220" t="s">
        <v>252</v>
      </c>
      <c r="B13" s="224">
        <f t="shared" si="2"/>
        <v>30</v>
      </c>
      <c r="C13" s="227">
        <f>IFERROR(VLOOKUP(A13,'대신 피벗'!A:ST,7,FALSE),0)</f>
        <v>84</v>
      </c>
      <c r="D13" s="227">
        <f t="shared" si="0"/>
        <v>2</v>
      </c>
      <c r="E13" s="51" t="s">
        <v>275</v>
      </c>
      <c r="F13" s="228">
        <f t="shared" si="1"/>
        <v>24</v>
      </c>
      <c r="G13" s="67"/>
      <c r="H13" s="67"/>
      <c r="K13" s="73"/>
      <c r="L13" s="73"/>
    </row>
    <row r="14" spans="1:12" ht="25.35" customHeight="1" x14ac:dyDescent="0.3">
      <c r="A14" s="221" t="s">
        <v>253</v>
      </c>
      <c r="B14" s="224">
        <f t="shared" si="2"/>
        <v>30</v>
      </c>
      <c r="C14" s="227">
        <f>IFERROR(VLOOKUP(A14,'대신 피벗'!A:ST,7,FALSE),0)</f>
        <v>65</v>
      </c>
      <c r="D14" s="227">
        <f t="shared" si="0"/>
        <v>2</v>
      </c>
      <c r="E14" s="51" t="s">
        <v>276</v>
      </c>
      <c r="F14" s="228">
        <f t="shared" si="1"/>
        <v>5</v>
      </c>
      <c r="G14" s="67"/>
      <c r="H14" s="67"/>
      <c r="K14" s="73"/>
      <c r="L14" s="73"/>
    </row>
    <row r="15" spans="1:12" ht="25.35" customHeight="1" x14ac:dyDescent="0.3">
      <c r="A15" s="221" t="s">
        <v>254</v>
      </c>
      <c r="B15" s="224">
        <f t="shared" si="2"/>
        <v>30</v>
      </c>
      <c r="C15" s="227">
        <f>IFERROR(VLOOKUP(A15,'대신 피벗'!A:ST,7,FALSE),0)</f>
        <v>65</v>
      </c>
      <c r="D15" s="227">
        <f t="shared" si="0"/>
        <v>2</v>
      </c>
      <c r="E15" s="51" t="s">
        <v>277</v>
      </c>
      <c r="F15" s="228">
        <f t="shared" si="1"/>
        <v>5</v>
      </c>
      <c r="G15" s="67"/>
      <c r="H15" s="67"/>
      <c r="K15" s="73"/>
      <c r="L15" s="73"/>
    </row>
    <row r="16" spans="1:12" ht="25.35" customHeight="1" x14ac:dyDescent="0.3">
      <c r="A16" s="221" t="s">
        <v>257</v>
      </c>
      <c r="B16" s="224">
        <f t="shared" si="2"/>
        <v>30</v>
      </c>
      <c r="C16" s="227">
        <f>IFERROR(VLOOKUP(A16,'대신 피벗'!A:ST,7,FALSE),0)</f>
        <v>41</v>
      </c>
      <c r="D16" s="227">
        <f t="shared" si="0"/>
        <v>1</v>
      </c>
      <c r="E16" s="51" t="s">
        <v>279</v>
      </c>
      <c r="F16" s="228">
        <f t="shared" si="1"/>
        <v>11</v>
      </c>
      <c r="G16" s="67"/>
      <c r="H16" s="67"/>
      <c r="K16" s="73"/>
      <c r="L16" s="73"/>
    </row>
    <row r="17" spans="1:12" ht="25.35" customHeight="1" x14ac:dyDescent="0.3">
      <c r="A17" s="221" t="s">
        <v>258</v>
      </c>
      <c r="B17" s="224">
        <f t="shared" si="2"/>
        <v>30</v>
      </c>
      <c r="C17" s="227">
        <f>IFERROR(VLOOKUP(A17,'대신 피벗'!A:ST,7,FALSE),0)</f>
        <v>21</v>
      </c>
      <c r="D17" s="227">
        <f t="shared" si="0"/>
        <v>0</v>
      </c>
      <c r="E17" s="51" t="s">
        <v>280</v>
      </c>
      <c r="F17" s="228">
        <f t="shared" si="1"/>
        <v>21</v>
      </c>
      <c r="G17" s="67"/>
      <c r="H17" s="67"/>
      <c r="K17" s="73"/>
      <c r="L17" s="73"/>
    </row>
    <row r="18" spans="1:12" ht="25.35" customHeight="1" x14ac:dyDescent="0.3">
      <c r="A18" s="221" t="s">
        <v>259</v>
      </c>
      <c r="B18" s="224">
        <f t="shared" si="2"/>
        <v>30</v>
      </c>
      <c r="C18" s="227">
        <f>IFERROR(VLOOKUP(A18,'대신 피벗'!A:ST,7,FALSE),0)</f>
        <v>36</v>
      </c>
      <c r="D18" s="227">
        <f t="shared" si="0"/>
        <v>1</v>
      </c>
      <c r="E18" s="51" t="s">
        <v>336</v>
      </c>
      <c r="F18" s="228">
        <f t="shared" si="1"/>
        <v>6</v>
      </c>
      <c r="G18" s="67"/>
      <c r="H18" s="67"/>
      <c r="K18" s="73"/>
      <c r="L18" s="73"/>
    </row>
    <row r="19" spans="1:12" ht="4.5" customHeight="1" x14ac:dyDescent="0.3">
      <c r="A19" s="183"/>
      <c r="B19" s="50"/>
      <c r="C19" s="50"/>
      <c r="D19" s="50"/>
      <c r="E19" s="50"/>
      <c r="F19" s="184"/>
      <c r="K19" s="73"/>
      <c r="L19" s="73"/>
    </row>
    <row r="20" spans="1:12" ht="32.450000000000003" customHeight="1" x14ac:dyDescent="0.3">
      <c r="A20" s="211" t="s">
        <v>122</v>
      </c>
      <c r="B20" s="225">
        <f>$B$4</f>
        <v>30</v>
      </c>
      <c r="C20" s="212">
        <f>SUM(C4:C18)</f>
        <v>712</v>
      </c>
      <c r="D20" s="55">
        <f>IFERROR(ROUNDDOWN(C20/B20,0),"")</f>
        <v>23</v>
      </c>
      <c r="E20" s="213"/>
      <c r="F20" s="214">
        <f>IFERROR(C20-(D20*B20),"")</f>
        <v>22</v>
      </c>
      <c r="K20" s="73"/>
      <c r="L20" s="73"/>
    </row>
    <row r="21" spans="1:12" ht="4.5" customHeight="1" x14ac:dyDescent="0.3">
      <c r="A21" s="183"/>
      <c r="B21" s="224"/>
      <c r="C21" s="50"/>
      <c r="D21" s="50"/>
      <c r="E21" s="50"/>
      <c r="F21" s="184"/>
      <c r="K21" s="73"/>
      <c r="L21" s="73"/>
    </row>
    <row r="22" spans="1:12" ht="25.35" customHeight="1" x14ac:dyDescent="0.3">
      <c r="A22" s="221" t="s">
        <v>241</v>
      </c>
      <c r="B22" s="224">
        <f t="shared" ref="B22:B26" si="3">$B$4</f>
        <v>30</v>
      </c>
      <c r="C22" s="227">
        <f>IFERROR(VLOOKUP(A22,'대신 피벗'!A:ST,7,FALSE),0)</f>
        <v>43</v>
      </c>
      <c r="D22" s="227">
        <f>IFERROR(ROUNDDOWN(C22/B22,0),"")</f>
        <v>1</v>
      </c>
      <c r="E22" s="51" t="s">
        <v>268</v>
      </c>
      <c r="F22" s="228">
        <f>IFERROR(C22-(D22*B22),"")</f>
        <v>13</v>
      </c>
      <c r="G22" s="67"/>
      <c r="H22" s="67"/>
      <c r="K22" s="73"/>
      <c r="L22" s="73"/>
    </row>
    <row r="23" spans="1:12" ht="25.35" customHeight="1" x14ac:dyDescent="0.3">
      <c r="A23" s="221" t="s">
        <v>242</v>
      </c>
      <c r="B23" s="224">
        <f t="shared" si="3"/>
        <v>30</v>
      </c>
      <c r="C23" s="227">
        <f>IFERROR(VLOOKUP(A23,'대신 피벗'!A:ST,7,FALSE),0)</f>
        <v>31</v>
      </c>
      <c r="D23" s="227">
        <f>IFERROR(ROUNDDOWN(C23/B23,0),"")</f>
        <v>1</v>
      </c>
      <c r="E23" s="51" t="s">
        <v>337</v>
      </c>
      <c r="F23" s="228">
        <f>IFERROR(C23-(D23*B23),"")</f>
        <v>1</v>
      </c>
      <c r="G23" s="67"/>
      <c r="H23" s="67"/>
      <c r="K23" s="73"/>
      <c r="L23" s="73"/>
    </row>
    <row r="24" spans="1:12" ht="25.35" customHeight="1" x14ac:dyDescent="0.3">
      <c r="A24" s="221" t="s">
        <v>243</v>
      </c>
      <c r="B24" s="224">
        <f t="shared" si="3"/>
        <v>30</v>
      </c>
      <c r="C24" s="227">
        <f>IFERROR(VLOOKUP(A24,'대신 피벗'!A:ST,7,FALSE),0)</f>
        <v>0</v>
      </c>
      <c r="D24" s="227">
        <f>IFERROR(ROUNDDOWN(C24/B24,0),"")</f>
        <v>0</v>
      </c>
      <c r="E24" s="51" t="s">
        <v>106</v>
      </c>
      <c r="F24" s="228">
        <f>IFERROR(C24-(D24*B24),"")</f>
        <v>0</v>
      </c>
      <c r="G24" s="67"/>
      <c r="H24" s="67"/>
      <c r="K24" s="73"/>
      <c r="L24" s="73"/>
    </row>
    <row r="25" spans="1:12" ht="25.35" customHeight="1" x14ac:dyDescent="0.3">
      <c r="A25" s="221" t="s">
        <v>244</v>
      </c>
      <c r="B25" s="224">
        <f t="shared" si="3"/>
        <v>30</v>
      </c>
      <c r="C25" s="227">
        <f>IFERROR(VLOOKUP(A25,'대신 피벗'!A:ST,7,FALSE),0)</f>
        <v>35</v>
      </c>
      <c r="D25" s="227">
        <f>IFERROR(ROUNDDOWN(C25/B25,0),"")</f>
        <v>1</v>
      </c>
      <c r="E25" s="51" t="s">
        <v>269</v>
      </c>
      <c r="F25" s="228">
        <f>IFERROR(C25-(D25*B25),"")</f>
        <v>5</v>
      </c>
      <c r="G25" s="67"/>
      <c r="H25" s="67"/>
      <c r="K25" s="73"/>
      <c r="L25" s="73"/>
    </row>
    <row r="26" spans="1:12" ht="25.35" customHeight="1" x14ac:dyDescent="0.3">
      <c r="A26" s="221" t="s">
        <v>245</v>
      </c>
      <c r="B26" s="224">
        <f t="shared" si="3"/>
        <v>30</v>
      </c>
      <c r="C26" s="227">
        <f>IFERROR(VLOOKUP(A26,'대신 피벗'!A:ST,7,FALSE),0)</f>
        <v>49</v>
      </c>
      <c r="D26" s="227">
        <f>IFERROR(ROUNDDOWN(C26/B26,0),"")</f>
        <v>1</v>
      </c>
      <c r="E26" s="51" t="s">
        <v>118</v>
      </c>
      <c r="F26" s="228">
        <f>IFERROR(C26-(D26*B26),"")</f>
        <v>19</v>
      </c>
      <c r="G26" s="67"/>
      <c r="H26" s="67"/>
      <c r="K26" s="73"/>
      <c r="L26" s="73"/>
    </row>
    <row r="27" spans="1:12" ht="4.5" customHeight="1" x14ac:dyDescent="0.3">
      <c r="A27" s="183"/>
      <c r="B27" s="50"/>
      <c r="C27" s="50"/>
      <c r="D27" s="50"/>
      <c r="E27" s="50"/>
      <c r="F27" s="184"/>
      <c r="G27" s="67"/>
      <c r="H27" s="67"/>
      <c r="K27" s="73"/>
      <c r="L27" s="73"/>
    </row>
    <row r="28" spans="1:12" ht="32.450000000000003" customHeight="1" x14ac:dyDescent="0.3">
      <c r="A28" s="211" t="s">
        <v>285</v>
      </c>
      <c r="B28" s="225">
        <f>$B$4</f>
        <v>30</v>
      </c>
      <c r="C28" s="212">
        <f>SUM(C22:C26)</f>
        <v>158</v>
      </c>
      <c r="D28" s="55">
        <f>IFERROR(ROUNDDOWN(C28/B28,0),"")</f>
        <v>5</v>
      </c>
      <c r="E28" s="213"/>
      <c r="F28" s="214">
        <f>IFERROR(C28-(D28*B28),"")</f>
        <v>8</v>
      </c>
      <c r="G28" s="67"/>
      <c r="H28" s="67"/>
      <c r="K28" s="73"/>
      <c r="L28" s="73"/>
    </row>
    <row r="29" spans="1:12" ht="4.5" customHeight="1" x14ac:dyDescent="0.3">
      <c r="A29" s="183"/>
      <c r="B29" s="50"/>
      <c r="C29" s="50"/>
      <c r="D29" s="50"/>
      <c r="E29" s="50"/>
      <c r="F29" s="184"/>
      <c r="G29" s="67"/>
      <c r="H29" s="67"/>
      <c r="K29" s="73"/>
      <c r="L29" s="73"/>
    </row>
    <row r="30" spans="1:12" ht="25.35" customHeight="1" x14ac:dyDescent="0.3">
      <c r="A30" s="221" t="s">
        <v>239</v>
      </c>
      <c r="B30" s="224">
        <f t="shared" ref="B30:B31" si="4">$B$4</f>
        <v>30</v>
      </c>
      <c r="C30" s="227">
        <f>IFERROR(VLOOKUP(A30,'대신 피벗'!A:ST,7,FALSE),0)</f>
        <v>44</v>
      </c>
      <c r="D30" s="227">
        <f t="shared" ref="D30:D31" si="5">IFERROR(ROUNDDOWN(C30/B30,0),"")</f>
        <v>1</v>
      </c>
      <c r="E30" s="51" t="s">
        <v>266</v>
      </c>
      <c r="F30" s="228">
        <f t="shared" ref="F30:F31" si="6">IFERROR(C30-(D30*B30),"")</f>
        <v>14</v>
      </c>
      <c r="G30" s="67"/>
      <c r="H30" s="67"/>
      <c r="K30" s="73"/>
      <c r="L30" s="73"/>
    </row>
    <row r="31" spans="1:12" ht="25.35" customHeight="1" x14ac:dyDescent="0.3">
      <c r="A31" s="221" t="s">
        <v>240</v>
      </c>
      <c r="B31" s="224">
        <f t="shared" si="4"/>
        <v>30</v>
      </c>
      <c r="C31" s="227">
        <f>IFERROR(VLOOKUP(A31,'대신 피벗'!A:ST,7,FALSE),0)</f>
        <v>32</v>
      </c>
      <c r="D31" s="227">
        <f t="shared" si="5"/>
        <v>1</v>
      </c>
      <c r="E31" s="51" t="s">
        <v>267</v>
      </c>
      <c r="F31" s="228">
        <f t="shared" si="6"/>
        <v>2</v>
      </c>
      <c r="G31" s="67"/>
      <c r="H31" s="67"/>
      <c r="K31" s="73"/>
      <c r="L31" s="73"/>
    </row>
    <row r="32" spans="1:12" ht="4.5" customHeight="1" x14ac:dyDescent="0.3">
      <c r="A32" s="183"/>
      <c r="B32" s="50"/>
      <c r="C32" s="50"/>
      <c r="D32" s="50"/>
      <c r="E32" s="50"/>
      <c r="F32" s="184"/>
      <c r="G32" s="67"/>
      <c r="H32" s="67"/>
      <c r="K32" s="73"/>
      <c r="L32" s="73"/>
    </row>
    <row r="33" spans="1:12" ht="32.450000000000003" customHeight="1" x14ac:dyDescent="0.3">
      <c r="A33" s="211" t="s">
        <v>284</v>
      </c>
      <c r="B33" s="225">
        <f>$B$4</f>
        <v>30</v>
      </c>
      <c r="C33" s="212">
        <f>SUM(C30:C31)</f>
        <v>76</v>
      </c>
      <c r="D33" s="55">
        <f>IFERROR(ROUNDDOWN(C33/B33,0),"")</f>
        <v>2</v>
      </c>
      <c r="E33" s="213"/>
      <c r="F33" s="214">
        <f>IFERROR(C33-(D33*B33),"")</f>
        <v>16</v>
      </c>
      <c r="G33" s="67"/>
      <c r="H33" s="67"/>
      <c r="K33" s="73"/>
      <c r="L33" s="73"/>
    </row>
    <row r="34" spans="1:12" ht="4.5" customHeight="1" x14ac:dyDescent="0.3">
      <c r="A34" s="183"/>
      <c r="B34" s="224"/>
      <c r="C34" s="50"/>
      <c r="D34" s="50"/>
      <c r="E34" s="50"/>
      <c r="F34" s="184"/>
      <c r="G34" s="67"/>
      <c r="H34" s="67"/>
      <c r="K34" s="73"/>
      <c r="L34" s="73"/>
    </row>
    <row r="35" spans="1:12" ht="25.35" customHeight="1" x14ac:dyDescent="0.3">
      <c r="A35" s="221" t="s">
        <v>236</v>
      </c>
      <c r="B35" s="224">
        <f t="shared" ref="B35:B37" si="7">$B$4</f>
        <v>30</v>
      </c>
      <c r="C35" s="227">
        <f>IFERROR(VLOOKUP(A35,'대신 피벗'!A:ST,7,FALSE),0)</f>
        <v>61</v>
      </c>
      <c r="D35" s="227">
        <f>IFERROR(ROUNDDOWN(C35/B35,0),"")</f>
        <v>2</v>
      </c>
      <c r="E35" s="51" t="s">
        <v>264</v>
      </c>
      <c r="F35" s="228">
        <f>IFERROR(C35-(D35*B35),"")</f>
        <v>1</v>
      </c>
      <c r="G35" s="67"/>
      <c r="H35" s="67"/>
      <c r="K35" s="73"/>
      <c r="L35" s="73"/>
    </row>
    <row r="36" spans="1:12" ht="25.35" customHeight="1" x14ac:dyDescent="0.3">
      <c r="A36" s="221" t="s">
        <v>237</v>
      </c>
      <c r="B36" s="224">
        <f t="shared" si="7"/>
        <v>30</v>
      </c>
      <c r="C36" s="227">
        <f>IFERROR(VLOOKUP(A36,'대신 피벗'!A:ST,7,FALSE),0)</f>
        <v>31</v>
      </c>
      <c r="D36" s="227">
        <f t="shared" ref="D36:D37" si="8">IFERROR(ROUNDDOWN(C36/B36,0),"")</f>
        <v>1</v>
      </c>
      <c r="E36" s="51" t="s">
        <v>338</v>
      </c>
      <c r="F36" s="228">
        <f t="shared" ref="F36:F37" si="9">IFERROR(C36-(D36*B36),"")</f>
        <v>1</v>
      </c>
      <c r="G36" s="67"/>
      <c r="H36" s="67"/>
      <c r="K36" s="73"/>
      <c r="L36" s="73"/>
    </row>
    <row r="37" spans="1:12" ht="25.35" customHeight="1" x14ac:dyDescent="0.3">
      <c r="A37" s="221" t="s">
        <v>238</v>
      </c>
      <c r="B37" s="224">
        <f t="shared" si="7"/>
        <v>30</v>
      </c>
      <c r="C37" s="227">
        <f>IFERROR(VLOOKUP(A37,'대신 피벗'!A:ST,7,FALSE),0)</f>
        <v>28</v>
      </c>
      <c r="D37" s="227">
        <f t="shared" si="8"/>
        <v>0</v>
      </c>
      <c r="E37" s="51" t="s">
        <v>265</v>
      </c>
      <c r="F37" s="228">
        <f t="shared" si="9"/>
        <v>28</v>
      </c>
      <c r="G37" s="67"/>
      <c r="H37" s="67"/>
      <c r="K37" s="73"/>
      <c r="L37" s="73"/>
    </row>
    <row r="38" spans="1:12" ht="4.5" customHeight="1" x14ac:dyDescent="0.3">
      <c r="A38" s="183"/>
      <c r="B38" s="50"/>
      <c r="C38" s="50"/>
      <c r="D38" s="50"/>
      <c r="E38" s="50"/>
      <c r="F38" s="184"/>
      <c r="G38" s="67"/>
      <c r="H38" s="67"/>
      <c r="K38" s="73"/>
      <c r="L38" s="73"/>
    </row>
    <row r="39" spans="1:12" ht="32.450000000000003" customHeight="1" x14ac:dyDescent="0.3">
      <c r="A39" s="211" t="s">
        <v>283</v>
      </c>
      <c r="B39" s="225">
        <f>$B$4</f>
        <v>30</v>
      </c>
      <c r="C39" s="212">
        <f>SUM(C35:C37)</f>
        <v>120</v>
      </c>
      <c r="D39" s="55">
        <f>IFERROR(ROUNDDOWN(C39/B39,0),"")</f>
        <v>4</v>
      </c>
      <c r="E39" s="213"/>
      <c r="F39" s="214">
        <f>IFERROR(C39-(D39*B39),"")</f>
        <v>0</v>
      </c>
      <c r="G39" s="67"/>
      <c r="H39" s="67"/>
      <c r="K39" s="73"/>
      <c r="L39" s="73"/>
    </row>
    <row r="40" spans="1:12" ht="4.5" customHeight="1" x14ac:dyDescent="0.3">
      <c r="A40" s="183"/>
      <c r="B40" s="224"/>
      <c r="C40" s="50"/>
      <c r="D40" s="50"/>
      <c r="E40" s="50"/>
      <c r="F40" s="184"/>
      <c r="G40" s="67"/>
      <c r="H40" s="67"/>
      <c r="K40" s="73"/>
      <c r="L40" s="73"/>
    </row>
    <row r="41" spans="1:12" ht="25.35" customHeight="1" x14ac:dyDescent="0.3">
      <c r="A41" s="221" t="s">
        <v>261</v>
      </c>
      <c r="B41" s="224">
        <f t="shared" ref="B41:B42" si="10">$B$4</f>
        <v>30</v>
      </c>
      <c r="C41" s="227">
        <f>IFERROR(VLOOKUP(A41,'대신 피벗'!A:ST,7,FALSE),0)</f>
        <v>17</v>
      </c>
      <c r="D41" s="227">
        <f t="shared" ref="D41:D42" si="11">IFERROR(ROUNDDOWN(C41/B41,0),"")</f>
        <v>0</v>
      </c>
      <c r="E41" s="51" t="s">
        <v>281</v>
      </c>
      <c r="F41" s="228">
        <f t="shared" ref="F41:F42" si="12">IFERROR(C41-(D41*B41),"")</f>
        <v>17</v>
      </c>
      <c r="G41" s="67"/>
      <c r="H41" s="67"/>
      <c r="K41" s="73"/>
      <c r="L41" s="73"/>
    </row>
    <row r="42" spans="1:12" ht="25.35" customHeight="1" x14ac:dyDescent="0.3">
      <c r="A42" s="221" t="s">
        <v>262</v>
      </c>
      <c r="B42" s="224">
        <f t="shared" si="10"/>
        <v>30</v>
      </c>
      <c r="C42" s="227">
        <f>IFERROR(VLOOKUP(A42,'대신 피벗'!A:ST,7,FALSE),0)</f>
        <v>23</v>
      </c>
      <c r="D42" s="227">
        <f t="shared" si="11"/>
        <v>0</v>
      </c>
      <c r="E42" s="51" t="s">
        <v>282</v>
      </c>
      <c r="F42" s="228">
        <f t="shared" si="12"/>
        <v>23</v>
      </c>
      <c r="G42" s="67"/>
      <c r="H42" s="67"/>
      <c r="K42" s="73"/>
      <c r="L42" s="73"/>
    </row>
    <row r="43" spans="1:12" ht="4.5" customHeight="1" x14ac:dyDescent="0.3">
      <c r="A43" s="183"/>
      <c r="B43" s="50"/>
      <c r="C43" s="50"/>
      <c r="D43" s="50"/>
      <c r="E43" s="50"/>
      <c r="F43" s="184"/>
      <c r="G43" s="67"/>
      <c r="H43" s="67"/>
      <c r="K43" s="73"/>
      <c r="L43" s="73"/>
    </row>
    <row r="44" spans="1:12" ht="32.450000000000003" customHeight="1" x14ac:dyDescent="0.3">
      <c r="A44" s="211" t="s">
        <v>339</v>
      </c>
      <c r="B44" s="225">
        <f>$B$4</f>
        <v>30</v>
      </c>
      <c r="C44" s="212">
        <f>SUM(C41:C42)</f>
        <v>40</v>
      </c>
      <c r="D44" s="55">
        <f>IFERROR(ROUNDDOWN(C44/B44,0),"")</f>
        <v>1</v>
      </c>
      <c r="E44" s="213"/>
      <c r="F44" s="214">
        <f>IFERROR(C44-(D44*B44),"")</f>
        <v>10</v>
      </c>
      <c r="G44" s="67"/>
      <c r="H44" s="67"/>
      <c r="K44" s="73"/>
      <c r="L44" s="73"/>
    </row>
    <row r="45" spans="1:12" ht="4.5" customHeight="1" thickBot="1" x14ac:dyDescent="0.35">
      <c r="A45" s="183"/>
      <c r="B45" s="50"/>
      <c r="C45" s="50"/>
      <c r="D45" s="50"/>
      <c r="E45" s="50"/>
      <c r="F45" s="184"/>
      <c r="G45" s="67"/>
      <c r="H45" s="67"/>
      <c r="K45" s="73"/>
      <c r="L45" s="73"/>
    </row>
    <row r="46" spans="1:12" ht="26.25" x14ac:dyDescent="0.3">
      <c r="A46" s="87" t="s">
        <v>3</v>
      </c>
      <c r="B46" s="226">
        <f>$B$4</f>
        <v>30</v>
      </c>
      <c r="C46" s="55">
        <f>SUM(C4:C18,C35:C37,C30:C31,C22:C26,C41:C42)</f>
        <v>1106</v>
      </c>
      <c r="D46" s="54">
        <f>IFERROR(ROUNDDOWN(C46/B46,0),"")</f>
        <v>36</v>
      </c>
      <c r="E46" s="56"/>
      <c r="F46" s="121">
        <f>IFERROR(C46-(D46*B46),"")</f>
        <v>26</v>
      </c>
      <c r="G46" s="232" t="s">
        <v>110</v>
      </c>
      <c r="H46" s="233" t="s">
        <v>111</v>
      </c>
      <c r="K46" s="73"/>
      <c r="L46" s="73"/>
    </row>
    <row r="47" spans="1:12" ht="27" thickBot="1" x14ac:dyDescent="0.35">
      <c r="A47" s="42" t="s">
        <v>286</v>
      </c>
      <c r="B47" s="43" t="s">
        <v>173</v>
      </c>
      <c r="C47" s="40"/>
      <c r="D47" s="41">
        <f>SUM(D4:D18,D35:D37,D30:D31,D22:D26,D41:D42)</f>
        <v>25</v>
      </c>
      <c r="E47" s="48"/>
      <c r="F47" s="93">
        <f>SUM(F4:F18,F35:F37,F30:F31,F22:F26,F41:F42)</f>
        <v>356</v>
      </c>
      <c r="G47" s="216">
        <f>IFERROR(ROUNDDOWN(F47/B35,0),"")</f>
        <v>11</v>
      </c>
      <c r="H47" s="217">
        <f>IFERROR(F47-(G47*B35),"")</f>
        <v>26</v>
      </c>
    </row>
    <row r="48" spans="1:12" ht="22.5" customHeight="1" x14ac:dyDescent="0.3">
      <c r="C48" s="77">
        <f>C20+C28+C33+C39+C44</f>
        <v>1106</v>
      </c>
      <c r="G48" s="199"/>
      <c r="H48" s="34" t="s">
        <v>174</v>
      </c>
    </row>
    <row r="49" spans="3:3" x14ac:dyDescent="0.3">
      <c r="C49" s="34" t="b">
        <f>C48=C46</f>
        <v>1</v>
      </c>
    </row>
  </sheetData>
  <mergeCells count="1">
    <mergeCell ref="A1:F1"/>
  </mergeCells>
  <phoneticPr fontId="13" type="noConversion"/>
  <printOptions horizontalCentered="1" verticalCentered="1"/>
  <pageMargins left="0" right="0" top="0" bottom="0" header="0" footer="0"/>
  <pageSetup paperSize="9" scale="77"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B32A47-DB17-4BFF-A308-A7D7FDC5ADFE}">
  <sheetPr>
    <tabColor rgb="FF7030A0"/>
    <pageSetUpPr fitToPage="1"/>
  </sheetPr>
  <dimension ref="A1:H49"/>
  <sheetViews>
    <sheetView zoomScale="40" zoomScaleNormal="40" zoomScaleSheetLayoutView="75" workbookViewId="0">
      <selection activeCell="A2" sqref="A2:F47"/>
    </sheetView>
  </sheetViews>
  <sheetFormatPr defaultColWidth="9" defaultRowHeight="16.5" x14ac:dyDescent="0.3"/>
  <cols>
    <col min="1" max="1" width="24.75" style="34" customWidth="1"/>
    <col min="2" max="2" width="7.625" style="38" customWidth="1"/>
    <col min="3" max="3" width="30.625" style="34" customWidth="1"/>
    <col min="4" max="4" width="9.875" style="2" customWidth="1"/>
    <col min="5" max="5" width="11.375" style="34" customWidth="1"/>
    <col min="6" max="6" width="11.125" style="2" customWidth="1"/>
    <col min="7" max="7" width="8.375" style="34" customWidth="1"/>
    <col min="8" max="8" width="9" style="34" customWidth="1"/>
    <col min="9" max="13" width="9" style="34"/>
    <col min="14" max="14" width="10.625" style="34" customWidth="1"/>
    <col min="15" max="17" width="9" style="34"/>
    <col min="18" max="18" width="36.5" style="34" bestFit="1" customWidth="1"/>
    <col min="19" max="16384" width="9" style="34"/>
  </cols>
  <sheetData>
    <row r="1" spans="1:8" ht="25.9" customHeight="1" thickBot="1" x14ac:dyDescent="0.35">
      <c r="A1" s="270"/>
      <c r="B1" s="270"/>
      <c r="C1" s="270"/>
      <c r="D1" s="270"/>
      <c r="E1" s="270"/>
      <c r="F1" s="270"/>
    </row>
    <row r="2" spans="1:8" ht="25.9" customHeight="1" x14ac:dyDescent="0.3">
      <c r="A2" s="215">
        <f ca="1">TODAY()</f>
        <v>46314</v>
      </c>
      <c r="B2" s="256" t="s">
        <v>345</v>
      </c>
      <c r="C2" s="256"/>
      <c r="D2" s="256"/>
      <c r="E2" s="256"/>
      <c r="F2" s="257"/>
      <c r="G2" s="67"/>
      <c r="H2" s="67"/>
    </row>
    <row r="3" spans="1:8" ht="40.15" customHeight="1" x14ac:dyDescent="0.3">
      <c r="A3" s="222" t="s">
        <v>67</v>
      </c>
      <c r="B3" s="223" t="s">
        <v>13</v>
      </c>
      <c r="C3" s="229" t="s">
        <v>325</v>
      </c>
      <c r="D3" s="230" t="s">
        <v>2</v>
      </c>
      <c r="E3" s="229" t="s">
        <v>23</v>
      </c>
      <c r="F3" s="231" t="s">
        <v>14</v>
      </c>
      <c r="G3" s="67"/>
      <c r="H3" s="67"/>
    </row>
    <row r="4" spans="1:8" ht="25.35" customHeight="1" x14ac:dyDescent="0.3">
      <c r="A4" s="220" t="s">
        <v>260</v>
      </c>
      <c r="B4" s="224">
        <v>36</v>
      </c>
      <c r="C4" s="227">
        <f>IFERROR(VLOOKUP(A4,'대신 피벗'!A:ST,8,FALSE),0)</f>
        <v>4</v>
      </c>
      <c r="D4" s="227">
        <f t="shared" ref="D4:D18" si="0">IFERROR(ROUNDDOWN(C4/B4,0),"")</f>
        <v>0</v>
      </c>
      <c r="E4" s="51" t="s">
        <v>109</v>
      </c>
      <c r="F4" s="228">
        <f t="shared" ref="F4:F18" si="1">IFERROR(C4-(D4*B4),"")</f>
        <v>4</v>
      </c>
      <c r="G4" s="67"/>
      <c r="H4" s="67"/>
    </row>
    <row r="5" spans="1:8" ht="25.35" customHeight="1" x14ac:dyDescent="0.3">
      <c r="A5" s="221" t="s">
        <v>255</v>
      </c>
      <c r="B5" s="224">
        <f t="shared" ref="B5:B18" si="2">$B$4</f>
        <v>36</v>
      </c>
      <c r="C5" s="227">
        <f>IFERROR(VLOOKUP(A5,'대신 피벗'!A:ST,8,FALSE),0)</f>
        <v>6</v>
      </c>
      <c r="D5" s="227">
        <f t="shared" ref="D5" si="3">IFERROR(ROUNDDOWN(C5/B5,0),"")</f>
        <v>0</v>
      </c>
      <c r="E5" s="51" t="s">
        <v>335</v>
      </c>
      <c r="F5" s="228">
        <f t="shared" ref="F5" si="4">IFERROR(C5-(D5*B5),"")</f>
        <v>6</v>
      </c>
      <c r="G5" s="67"/>
      <c r="H5" s="67"/>
    </row>
    <row r="6" spans="1:8" ht="25.35" customHeight="1" x14ac:dyDescent="0.3">
      <c r="A6" s="221" t="s">
        <v>249</v>
      </c>
      <c r="B6" s="224">
        <f t="shared" si="2"/>
        <v>36</v>
      </c>
      <c r="C6" s="227">
        <f>IFERROR(VLOOKUP(A6,'대신 피벗'!A:ST,8,FALSE),0)</f>
        <v>2</v>
      </c>
      <c r="D6" s="227">
        <f>IFERROR(ROUNDDOWN(C6/B6,0),"")</f>
        <v>0</v>
      </c>
      <c r="E6" s="51" t="s">
        <v>272</v>
      </c>
      <c r="F6" s="228">
        <f>IFERROR(C6-(D6*B6),"")</f>
        <v>2</v>
      </c>
      <c r="G6" s="67"/>
      <c r="H6" s="67"/>
    </row>
    <row r="7" spans="1:8" ht="25.35" customHeight="1" x14ac:dyDescent="0.3">
      <c r="A7" s="221" t="s">
        <v>250</v>
      </c>
      <c r="B7" s="224">
        <f t="shared" si="2"/>
        <v>36</v>
      </c>
      <c r="C7" s="227">
        <f>IFERROR(VLOOKUP(A7,'대신 피벗'!A:ST,8,FALSE),0)</f>
        <v>3</v>
      </c>
      <c r="D7" s="227">
        <f>IFERROR(ROUNDDOWN(C7/B7,0),"")</f>
        <v>0</v>
      </c>
      <c r="E7" s="51" t="s">
        <v>273</v>
      </c>
      <c r="F7" s="228">
        <f>IFERROR(C7-(D7*B7),"")</f>
        <v>3</v>
      </c>
      <c r="G7" s="67"/>
      <c r="H7" s="67"/>
    </row>
    <row r="8" spans="1:8" ht="25.35" customHeight="1" x14ac:dyDescent="0.3">
      <c r="A8" s="221" t="s">
        <v>248</v>
      </c>
      <c r="B8" s="224">
        <f t="shared" si="2"/>
        <v>36</v>
      </c>
      <c r="C8" s="227">
        <f>IFERROR(VLOOKUP(A8,'대신 피벗'!A:ST,8,FALSE),0)</f>
        <v>3</v>
      </c>
      <c r="D8" s="227">
        <f>IFERROR(ROUNDDOWN(C8/B8,0),"")</f>
        <v>0</v>
      </c>
      <c r="E8" s="51" t="s">
        <v>271</v>
      </c>
      <c r="F8" s="228">
        <f>IFERROR(C8-(D8*B8),"")</f>
        <v>3</v>
      </c>
      <c r="G8" s="67"/>
      <c r="H8" s="67"/>
    </row>
    <row r="9" spans="1:8" ht="25.35" customHeight="1" x14ac:dyDescent="0.3">
      <c r="A9" s="221" t="s">
        <v>246</v>
      </c>
      <c r="B9" s="224">
        <f t="shared" si="2"/>
        <v>36</v>
      </c>
      <c r="C9" s="227">
        <f>IFERROR(VLOOKUP(A9,'대신 피벗'!A:ST,8,FALSE),0)</f>
        <v>0</v>
      </c>
      <c r="D9" s="227">
        <f t="shared" si="0"/>
        <v>0</v>
      </c>
      <c r="E9" s="51" t="s">
        <v>270</v>
      </c>
      <c r="F9" s="228">
        <f t="shared" si="1"/>
        <v>0</v>
      </c>
      <c r="G9" s="67"/>
      <c r="H9" s="67"/>
    </row>
    <row r="10" spans="1:8" ht="25.35" customHeight="1" x14ac:dyDescent="0.3">
      <c r="A10" s="221" t="s">
        <v>256</v>
      </c>
      <c r="B10" s="224">
        <f t="shared" si="2"/>
        <v>36</v>
      </c>
      <c r="C10" s="227">
        <f>IFERROR(VLOOKUP(A10,'대신 피벗'!A:ST,8,FALSE),0)</f>
        <v>3</v>
      </c>
      <c r="D10" s="227">
        <f>IFERROR(ROUNDDOWN(C10/B10,0),"")</f>
        <v>0</v>
      </c>
      <c r="E10" s="51" t="s">
        <v>278</v>
      </c>
      <c r="F10" s="228">
        <f>IFERROR(C10-(D10*B10),"")</f>
        <v>3</v>
      </c>
      <c r="G10" s="67"/>
      <c r="H10" s="67"/>
    </row>
    <row r="11" spans="1:8" ht="25.35" customHeight="1" x14ac:dyDescent="0.3">
      <c r="A11" s="221" t="s">
        <v>247</v>
      </c>
      <c r="B11" s="224">
        <f t="shared" si="2"/>
        <v>36</v>
      </c>
      <c r="C11" s="227">
        <f>IFERROR(VLOOKUP(A11,'대신 피벗'!A:ST,8,FALSE),0)</f>
        <v>4</v>
      </c>
      <c r="D11" s="227">
        <f t="shared" si="0"/>
        <v>0</v>
      </c>
      <c r="E11" s="51" t="s">
        <v>334</v>
      </c>
      <c r="F11" s="228">
        <f t="shared" si="1"/>
        <v>4</v>
      </c>
      <c r="G11" s="67"/>
      <c r="H11" s="67"/>
    </row>
    <row r="12" spans="1:8" ht="25.35" customHeight="1" x14ac:dyDescent="0.3">
      <c r="A12" s="221" t="s">
        <v>251</v>
      </c>
      <c r="B12" s="224">
        <f t="shared" si="2"/>
        <v>36</v>
      </c>
      <c r="C12" s="227">
        <f>IFERROR(VLOOKUP(A12,'대신 피벗'!A:ST,8,FALSE),0)</f>
        <v>3</v>
      </c>
      <c r="D12" s="227">
        <f t="shared" si="0"/>
        <v>0</v>
      </c>
      <c r="E12" s="51" t="s">
        <v>274</v>
      </c>
      <c r="F12" s="228">
        <f t="shared" si="1"/>
        <v>3</v>
      </c>
      <c r="G12" s="67"/>
      <c r="H12" s="67"/>
    </row>
    <row r="13" spans="1:8" ht="25.35" customHeight="1" x14ac:dyDescent="0.3">
      <c r="A13" s="220" t="s">
        <v>252</v>
      </c>
      <c r="B13" s="224">
        <f t="shared" si="2"/>
        <v>36</v>
      </c>
      <c r="C13" s="227">
        <f>IFERROR(VLOOKUP(A13,'대신 피벗'!A:ST,8,FALSE),0)</f>
        <v>5</v>
      </c>
      <c r="D13" s="227">
        <f t="shared" si="0"/>
        <v>0</v>
      </c>
      <c r="E13" s="51" t="s">
        <v>275</v>
      </c>
      <c r="F13" s="228">
        <f t="shared" si="1"/>
        <v>5</v>
      </c>
      <c r="G13" s="67"/>
      <c r="H13" s="67"/>
    </row>
    <row r="14" spans="1:8" ht="25.35" customHeight="1" x14ac:dyDescent="0.3">
      <c r="A14" s="221" t="s">
        <v>253</v>
      </c>
      <c r="B14" s="224">
        <f t="shared" si="2"/>
        <v>36</v>
      </c>
      <c r="C14" s="227">
        <f>IFERROR(VLOOKUP(A14,'대신 피벗'!A:ST,8,FALSE),0)</f>
        <v>3</v>
      </c>
      <c r="D14" s="227">
        <f t="shared" si="0"/>
        <v>0</v>
      </c>
      <c r="E14" s="51" t="s">
        <v>276</v>
      </c>
      <c r="F14" s="228">
        <f t="shared" si="1"/>
        <v>3</v>
      </c>
      <c r="G14" s="67"/>
      <c r="H14" s="67"/>
    </row>
    <row r="15" spans="1:8" ht="25.35" customHeight="1" x14ac:dyDescent="0.3">
      <c r="A15" s="221" t="s">
        <v>254</v>
      </c>
      <c r="B15" s="224">
        <f t="shared" si="2"/>
        <v>36</v>
      </c>
      <c r="C15" s="227">
        <f>IFERROR(VLOOKUP(A15,'대신 피벗'!A:ST,8,FALSE),0)</f>
        <v>4</v>
      </c>
      <c r="D15" s="227">
        <f t="shared" si="0"/>
        <v>0</v>
      </c>
      <c r="E15" s="51" t="s">
        <v>277</v>
      </c>
      <c r="F15" s="228">
        <f t="shared" si="1"/>
        <v>4</v>
      </c>
      <c r="G15" s="67"/>
      <c r="H15" s="67"/>
    </row>
    <row r="16" spans="1:8" ht="25.35" customHeight="1" x14ac:dyDescent="0.3">
      <c r="A16" s="221" t="s">
        <v>257</v>
      </c>
      <c r="B16" s="224">
        <f t="shared" si="2"/>
        <v>36</v>
      </c>
      <c r="C16" s="227">
        <f>IFERROR(VLOOKUP(A16,'대신 피벗'!A:ST,8,FALSE),0)</f>
        <v>1</v>
      </c>
      <c r="D16" s="227">
        <f t="shared" si="0"/>
        <v>0</v>
      </c>
      <c r="E16" s="51" t="s">
        <v>279</v>
      </c>
      <c r="F16" s="228">
        <f t="shared" si="1"/>
        <v>1</v>
      </c>
      <c r="G16" s="67"/>
      <c r="H16" s="67"/>
    </row>
    <row r="17" spans="1:8" ht="25.35" customHeight="1" x14ac:dyDescent="0.3">
      <c r="A17" s="221" t="s">
        <v>258</v>
      </c>
      <c r="B17" s="224">
        <f t="shared" si="2"/>
        <v>36</v>
      </c>
      <c r="C17" s="227">
        <f>IFERROR(VLOOKUP(A17,'대신 피벗'!A:ST,8,FALSE),0)</f>
        <v>2</v>
      </c>
      <c r="D17" s="227">
        <f t="shared" si="0"/>
        <v>0</v>
      </c>
      <c r="E17" s="51" t="s">
        <v>280</v>
      </c>
      <c r="F17" s="228">
        <f t="shared" si="1"/>
        <v>2</v>
      </c>
      <c r="G17" s="67"/>
      <c r="H17" s="67"/>
    </row>
    <row r="18" spans="1:8" ht="25.35" customHeight="1" x14ac:dyDescent="0.3">
      <c r="A18" s="221" t="s">
        <v>259</v>
      </c>
      <c r="B18" s="224">
        <f t="shared" si="2"/>
        <v>36</v>
      </c>
      <c r="C18" s="227">
        <f>IFERROR(VLOOKUP(A18,'대신 피벗'!A:ST,8,FALSE),0)</f>
        <v>2</v>
      </c>
      <c r="D18" s="227">
        <f t="shared" si="0"/>
        <v>0</v>
      </c>
      <c r="E18" s="51" t="s">
        <v>336</v>
      </c>
      <c r="F18" s="228">
        <f t="shared" si="1"/>
        <v>2</v>
      </c>
      <c r="G18" s="67"/>
      <c r="H18" s="67"/>
    </row>
    <row r="19" spans="1:8" ht="4.5" customHeight="1" x14ac:dyDescent="0.3">
      <c r="A19" s="183"/>
      <c r="B19" s="50"/>
      <c r="C19" s="50"/>
      <c r="D19" s="50"/>
      <c r="E19" s="50"/>
      <c r="F19" s="184"/>
    </row>
    <row r="20" spans="1:8" ht="32.450000000000003" customHeight="1" x14ac:dyDescent="0.3">
      <c r="A20" s="209" t="s">
        <v>122</v>
      </c>
      <c r="B20" s="226">
        <f>$B$4</f>
        <v>36</v>
      </c>
      <c r="C20" s="210">
        <f>SUM(C4:C18)</f>
        <v>45</v>
      </c>
      <c r="D20" s="54">
        <f>IFERROR(ROUNDDOWN(C20/B20,0),"")</f>
        <v>1</v>
      </c>
      <c r="E20" s="36"/>
      <c r="F20" s="121">
        <f>IFERROR(C20-(D20*B20),"")</f>
        <v>9</v>
      </c>
    </row>
    <row r="21" spans="1:8" ht="4.5" customHeight="1" x14ac:dyDescent="0.3">
      <c r="A21" s="183"/>
      <c r="B21" s="224"/>
      <c r="C21" s="50"/>
      <c r="D21" s="50"/>
      <c r="E21" s="50"/>
      <c r="F21" s="184"/>
    </row>
    <row r="22" spans="1:8" ht="25.35" customHeight="1" x14ac:dyDescent="0.3">
      <c r="A22" s="221" t="s">
        <v>241</v>
      </c>
      <c r="B22" s="224">
        <f t="shared" ref="B22:B26" si="5">$B$4</f>
        <v>36</v>
      </c>
      <c r="C22" s="227">
        <f>IFERROR(VLOOKUP(A22,'대신 피벗'!A:ST,8,FALSE),0)</f>
        <v>4</v>
      </c>
      <c r="D22" s="227">
        <f>IFERROR(ROUNDDOWN(C22/B22,0),"")</f>
        <v>0</v>
      </c>
      <c r="E22" s="51" t="s">
        <v>268</v>
      </c>
      <c r="F22" s="228">
        <f>IFERROR(C22-(D22*B22),"")</f>
        <v>4</v>
      </c>
      <c r="G22" s="67"/>
      <c r="H22" s="67"/>
    </row>
    <row r="23" spans="1:8" ht="25.35" customHeight="1" x14ac:dyDescent="0.3">
      <c r="A23" s="221" t="s">
        <v>242</v>
      </c>
      <c r="B23" s="224">
        <f t="shared" si="5"/>
        <v>36</v>
      </c>
      <c r="C23" s="227">
        <f>IFERROR(VLOOKUP(A23,'대신 피벗'!A:ST,8,FALSE),0)</f>
        <v>0</v>
      </c>
      <c r="D23" s="227">
        <f>IFERROR(ROUNDDOWN(C23/B23,0),"")</f>
        <v>0</v>
      </c>
      <c r="E23" s="51" t="s">
        <v>337</v>
      </c>
      <c r="F23" s="228">
        <f>IFERROR(C23-(D23*B23),"")</f>
        <v>0</v>
      </c>
      <c r="G23" s="67"/>
      <c r="H23" s="67"/>
    </row>
    <row r="24" spans="1:8" ht="25.35" customHeight="1" x14ac:dyDescent="0.3">
      <c r="A24" s="221" t="s">
        <v>243</v>
      </c>
      <c r="B24" s="224">
        <f t="shared" si="5"/>
        <v>36</v>
      </c>
      <c r="C24" s="227">
        <f>IFERROR(VLOOKUP(A24,'대신 피벗'!A:ST,8,FALSE),0)</f>
        <v>0</v>
      </c>
      <c r="D24" s="227">
        <f>IFERROR(ROUNDDOWN(C24/B24,0),"")</f>
        <v>0</v>
      </c>
      <c r="E24" s="51" t="s">
        <v>106</v>
      </c>
      <c r="F24" s="228">
        <f>IFERROR(C24-(D24*B24),"")</f>
        <v>0</v>
      </c>
      <c r="G24" s="67"/>
      <c r="H24" s="67"/>
    </row>
    <row r="25" spans="1:8" ht="25.35" customHeight="1" x14ac:dyDescent="0.3">
      <c r="A25" s="221" t="s">
        <v>244</v>
      </c>
      <c r="B25" s="224">
        <f t="shared" si="5"/>
        <v>36</v>
      </c>
      <c r="C25" s="227">
        <f>IFERROR(VLOOKUP(A25,'대신 피벗'!A:ST,8,FALSE),0)</f>
        <v>5</v>
      </c>
      <c r="D25" s="227">
        <f>IFERROR(ROUNDDOWN(C25/B25,0),"")</f>
        <v>0</v>
      </c>
      <c r="E25" s="51" t="s">
        <v>269</v>
      </c>
      <c r="F25" s="228">
        <f>IFERROR(C25-(D25*B25),"")</f>
        <v>5</v>
      </c>
      <c r="G25" s="67"/>
      <c r="H25" s="67"/>
    </row>
    <row r="26" spans="1:8" ht="25.35" customHeight="1" x14ac:dyDescent="0.3">
      <c r="A26" s="221" t="s">
        <v>245</v>
      </c>
      <c r="B26" s="224">
        <f t="shared" si="5"/>
        <v>36</v>
      </c>
      <c r="C26" s="227">
        <f>IFERROR(VLOOKUP(A26,'대신 피벗'!A:ST,8,FALSE),0)</f>
        <v>1</v>
      </c>
      <c r="D26" s="227">
        <f>IFERROR(ROUNDDOWN(C26/B26,0),"")</f>
        <v>0</v>
      </c>
      <c r="E26" s="51" t="s">
        <v>118</v>
      </c>
      <c r="F26" s="228">
        <f>IFERROR(C26-(D26*B26),"")</f>
        <v>1</v>
      </c>
      <c r="G26" s="67"/>
      <c r="H26" s="67"/>
    </row>
    <row r="27" spans="1:8" ht="4.5" customHeight="1" x14ac:dyDescent="0.3">
      <c r="A27" s="183"/>
      <c r="B27" s="50"/>
      <c r="C27" s="50"/>
      <c r="D27" s="50"/>
      <c r="E27" s="50"/>
      <c r="F27" s="184"/>
      <c r="G27" s="67"/>
      <c r="H27" s="67"/>
    </row>
    <row r="28" spans="1:8" ht="32.450000000000003" customHeight="1" x14ac:dyDescent="0.3">
      <c r="A28" s="209" t="s">
        <v>285</v>
      </c>
      <c r="B28" s="226">
        <f>$B$4</f>
        <v>36</v>
      </c>
      <c r="C28" s="210">
        <f>SUM(C22:C26)</f>
        <v>10</v>
      </c>
      <c r="D28" s="54">
        <f>IFERROR(ROUNDDOWN(C28/B28,0),"")</f>
        <v>0</v>
      </c>
      <c r="E28" s="36"/>
      <c r="F28" s="121">
        <f>IFERROR(C28-(D28*B28),"")</f>
        <v>10</v>
      </c>
      <c r="G28" s="67"/>
      <c r="H28" s="67"/>
    </row>
    <row r="29" spans="1:8" ht="4.5" customHeight="1" x14ac:dyDescent="0.3">
      <c r="A29" s="183"/>
      <c r="B29" s="50"/>
      <c r="C29" s="50"/>
      <c r="D29" s="50"/>
      <c r="E29" s="50"/>
      <c r="F29" s="184"/>
      <c r="G29" s="67"/>
      <c r="H29" s="67"/>
    </row>
    <row r="30" spans="1:8" ht="25.35" customHeight="1" x14ac:dyDescent="0.3">
      <c r="A30" s="221" t="s">
        <v>239</v>
      </c>
      <c r="B30" s="224">
        <f t="shared" ref="B30:B31" si="6">$B$4</f>
        <v>36</v>
      </c>
      <c r="C30" s="227">
        <f>IFERROR(VLOOKUP(A30,'대신 피벗'!A:ST,8,FALSE),0)</f>
        <v>5</v>
      </c>
      <c r="D30" s="227">
        <f t="shared" ref="D30:D31" si="7">IFERROR(ROUNDDOWN(C30/B30,0),"")</f>
        <v>0</v>
      </c>
      <c r="E30" s="51" t="s">
        <v>266</v>
      </c>
      <c r="F30" s="228">
        <f t="shared" ref="F30:F31" si="8">IFERROR(C30-(D30*B30),"")</f>
        <v>5</v>
      </c>
      <c r="G30" s="67"/>
      <c r="H30" s="67"/>
    </row>
    <row r="31" spans="1:8" ht="25.35" customHeight="1" x14ac:dyDescent="0.3">
      <c r="A31" s="221" t="s">
        <v>240</v>
      </c>
      <c r="B31" s="224">
        <f t="shared" si="6"/>
        <v>36</v>
      </c>
      <c r="C31" s="227">
        <f>IFERROR(VLOOKUP(A31,'대신 피벗'!A:ST,8,FALSE),0)</f>
        <v>6</v>
      </c>
      <c r="D31" s="227">
        <f t="shared" si="7"/>
        <v>0</v>
      </c>
      <c r="E31" s="51" t="s">
        <v>267</v>
      </c>
      <c r="F31" s="228">
        <f t="shared" si="8"/>
        <v>6</v>
      </c>
      <c r="G31" s="67"/>
      <c r="H31" s="67"/>
    </row>
    <row r="32" spans="1:8" ht="4.5" customHeight="1" x14ac:dyDescent="0.3">
      <c r="A32" s="183"/>
      <c r="B32" s="50"/>
      <c r="C32" s="50"/>
      <c r="D32" s="50"/>
      <c r="E32" s="50"/>
      <c r="F32" s="184"/>
      <c r="G32" s="67"/>
      <c r="H32" s="67"/>
    </row>
    <row r="33" spans="1:8" ht="32.450000000000003" customHeight="1" x14ac:dyDescent="0.3">
      <c r="A33" s="209" t="s">
        <v>284</v>
      </c>
      <c r="B33" s="226">
        <f>$B$4</f>
        <v>36</v>
      </c>
      <c r="C33" s="210">
        <f>SUM(C30:C31)</f>
        <v>11</v>
      </c>
      <c r="D33" s="54">
        <f>IFERROR(ROUNDDOWN(C33/B33,0),"")</f>
        <v>0</v>
      </c>
      <c r="E33" s="36"/>
      <c r="F33" s="121">
        <f>IFERROR(C33-(D33*B33),"")</f>
        <v>11</v>
      </c>
      <c r="G33" s="67"/>
      <c r="H33" s="67"/>
    </row>
    <row r="34" spans="1:8" ht="4.5" customHeight="1" x14ac:dyDescent="0.3">
      <c r="A34" s="183"/>
      <c r="B34" s="224"/>
      <c r="C34" s="50"/>
      <c r="D34" s="50"/>
      <c r="E34" s="50"/>
      <c r="F34" s="184"/>
      <c r="G34" s="67"/>
      <c r="H34" s="67"/>
    </row>
    <row r="35" spans="1:8" ht="25.35" customHeight="1" x14ac:dyDescent="0.3">
      <c r="A35" s="221" t="s">
        <v>236</v>
      </c>
      <c r="B35" s="224">
        <f t="shared" ref="B35:B37" si="9">$B$4</f>
        <v>36</v>
      </c>
      <c r="C35" s="227">
        <f>IFERROR(VLOOKUP(A35,'대신 피벗'!A:ST,8,FALSE),0)</f>
        <v>3</v>
      </c>
      <c r="D35" s="227">
        <f>IFERROR(ROUNDDOWN(C35/B35,0),"")</f>
        <v>0</v>
      </c>
      <c r="E35" s="51" t="s">
        <v>264</v>
      </c>
      <c r="F35" s="228">
        <f>IFERROR(C35-(D35*B35),"")</f>
        <v>3</v>
      </c>
      <c r="G35" s="67"/>
      <c r="H35" s="67"/>
    </row>
    <row r="36" spans="1:8" ht="25.35" customHeight="1" x14ac:dyDescent="0.3">
      <c r="A36" s="221" t="s">
        <v>237</v>
      </c>
      <c r="B36" s="224">
        <f t="shared" si="9"/>
        <v>36</v>
      </c>
      <c r="C36" s="227">
        <f>IFERROR(VLOOKUP(A36,'대신 피벗'!A:ST,8,FALSE),0)</f>
        <v>2</v>
      </c>
      <c r="D36" s="227">
        <f t="shared" ref="D36:D37" si="10">IFERROR(ROUNDDOWN(C36/B36,0),"")</f>
        <v>0</v>
      </c>
      <c r="E36" s="51" t="s">
        <v>338</v>
      </c>
      <c r="F36" s="228">
        <f t="shared" ref="F36:F37" si="11">IFERROR(C36-(D36*B36),"")</f>
        <v>2</v>
      </c>
      <c r="G36" s="67"/>
      <c r="H36" s="67"/>
    </row>
    <row r="37" spans="1:8" ht="25.35" customHeight="1" x14ac:dyDescent="0.3">
      <c r="A37" s="221" t="s">
        <v>238</v>
      </c>
      <c r="B37" s="224">
        <f t="shared" si="9"/>
        <v>36</v>
      </c>
      <c r="C37" s="227">
        <f>IFERROR(VLOOKUP(A37,'대신 피벗'!A:ST,8,FALSE),0)</f>
        <v>2</v>
      </c>
      <c r="D37" s="227">
        <f t="shared" si="10"/>
        <v>0</v>
      </c>
      <c r="E37" s="51" t="s">
        <v>265</v>
      </c>
      <c r="F37" s="228">
        <f t="shared" si="11"/>
        <v>2</v>
      </c>
      <c r="G37" s="67"/>
      <c r="H37" s="67"/>
    </row>
    <row r="38" spans="1:8" ht="4.5" customHeight="1" x14ac:dyDescent="0.3">
      <c r="A38" s="183"/>
      <c r="B38" s="50"/>
      <c r="C38" s="50"/>
      <c r="D38" s="50"/>
      <c r="E38" s="50"/>
      <c r="F38" s="184"/>
      <c r="G38" s="67"/>
      <c r="H38" s="67"/>
    </row>
    <row r="39" spans="1:8" ht="32.450000000000003" customHeight="1" x14ac:dyDescent="0.3">
      <c r="A39" s="209" t="s">
        <v>283</v>
      </c>
      <c r="B39" s="226">
        <f>$B$4</f>
        <v>36</v>
      </c>
      <c r="C39" s="210">
        <f>SUM(C35:C37)</f>
        <v>7</v>
      </c>
      <c r="D39" s="54">
        <f>IFERROR(ROUNDDOWN(C39/B39,0),"")</f>
        <v>0</v>
      </c>
      <c r="E39" s="36"/>
      <c r="F39" s="121">
        <f>IFERROR(C39-(D39*B39),"")</f>
        <v>7</v>
      </c>
      <c r="G39" s="67"/>
      <c r="H39" s="67"/>
    </row>
    <row r="40" spans="1:8" ht="4.5" customHeight="1" x14ac:dyDescent="0.3">
      <c r="A40" s="183"/>
      <c r="B40" s="224"/>
      <c r="C40" s="50"/>
      <c r="D40" s="50"/>
      <c r="E40" s="50"/>
      <c r="F40" s="184"/>
      <c r="G40" s="67"/>
      <c r="H40" s="67"/>
    </row>
    <row r="41" spans="1:8" ht="25.35" customHeight="1" x14ac:dyDescent="0.3">
      <c r="A41" s="221" t="s">
        <v>261</v>
      </c>
      <c r="B41" s="224">
        <f t="shared" ref="B41:B42" si="12">$B$4</f>
        <v>36</v>
      </c>
      <c r="C41" s="227">
        <f>IFERROR(VLOOKUP(A41,'대신 피벗'!A:ST,8,FALSE),0)</f>
        <v>4</v>
      </c>
      <c r="D41" s="227">
        <f t="shared" ref="D41:D42" si="13">IFERROR(ROUNDDOWN(C41/B41,0),"")</f>
        <v>0</v>
      </c>
      <c r="E41" s="51" t="s">
        <v>281</v>
      </c>
      <c r="F41" s="228">
        <f t="shared" ref="F41:F42" si="14">IFERROR(C41-(D41*B41),"")</f>
        <v>4</v>
      </c>
      <c r="G41" s="67"/>
      <c r="H41" s="67"/>
    </row>
    <row r="42" spans="1:8" ht="25.35" customHeight="1" x14ac:dyDescent="0.3">
      <c r="A42" s="221" t="s">
        <v>262</v>
      </c>
      <c r="B42" s="224">
        <f t="shared" si="12"/>
        <v>36</v>
      </c>
      <c r="C42" s="227">
        <f>IFERROR(VLOOKUP(A42,'대신 피벗'!A:ST,8,FALSE),0)</f>
        <v>1</v>
      </c>
      <c r="D42" s="227">
        <f t="shared" si="13"/>
        <v>0</v>
      </c>
      <c r="E42" s="51" t="s">
        <v>282</v>
      </c>
      <c r="F42" s="228">
        <f t="shared" si="14"/>
        <v>1</v>
      </c>
      <c r="G42" s="67"/>
      <c r="H42" s="67"/>
    </row>
    <row r="43" spans="1:8" ht="4.5" customHeight="1" x14ac:dyDescent="0.3">
      <c r="A43" s="183"/>
      <c r="B43" s="50"/>
      <c r="C43" s="50"/>
      <c r="D43" s="50"/>
      <c r="E43" s="50"/>
      <c r="F43" s="184"/>
      <c r="G43" s="67"/>
      <c r="H43" s="67"/>
    </row>
    <row r="44" spans="1:8" ht="32.450000000000003" customHeight="1" x14ac:dyDescent="0.3">
      <c r="A44" s="209" t="s">
        <v>339</v>
      </c>
      <c r="B44" s="226">
        <f>$B$4</f>
        <v>36</v>
      </c>
      <c r="C44" s="210">
        <f>SUM(C41:C42)</f>
        <v>5</v>
      </c>
      <c r="D44" s="54">
        <f>IFERROR(ROUNDDOWN(C44/B44,0),"")</f>
        <v>0</v>
      </c>
      <c r="E44" s="36"/>
      <c r="F44" s="121">
        <f>IFERROR(C44-(D44*B44),"")</f>
        <v>5</v>
      </c>
      <c r="G44" s="67"/>
      <c r="H44" s="67"/>
    </row>
    <row r="45" spans="1:8" ht="4.5" customHeight="1" thickBot="1" x14ac:dyDescent="0.35">
      <c r="A45" s="183"/>
      <c r="B45" s="50"/>
      <c r="C45" s="50"/>
      <c r="D45" s="50"/>
      <c r="E45" s="50"/>
      <c r="F45" s="184"/>
      <c r="G45" s="67"/>
      <c r="H45" s="67"/>
    </row>
    <row r="46" spans="1:8" ht="26.25" x14ac:dyDescent="0.3">
      <c r="A46" s="87" t="s">
        <v>3</v>
      </c>
      <c r="B46" s="226">
        <f>$B$4</f>
        <v>36</v>
      </c>
      <c r="C46" s="55">
        <f>SUM(C4:C18,C35:C37,C30:C31,C22:C26,C41:C42)</f>
        <v>78</v>
      </c>
      <c r="D46" s="54">
        <f>IFERROR(ROUNDDOWN(C46/B46,0),"")</f>
        <v>2</v>
      </c>
      <c r="E46" s="56"/>
      <c r="F46" s="121">
        <f>IFERROR(C46-(D46*B46),"")</f>
        <v>6</v>
      </c>
      <c r="G46" s="232" t="s">
        <v>110</v>
      </c>
      <c r="H46" s="233" t="s">
        <v>111</v>
      </c>
    </row>
    <row r="47" spans="1:8" ht="27" thickBot="1" x14ac:dyDescent="0.35">
      <c r="A47" s="42" t="s">
        <v>286</v>
      </c>
      <c r="B47" s="43" t="s">
        <v>173</v>
      </c>
      <c r="C47" s="40"/>
      <c r="D47" s="41">
        <f>SUM(D4:D18,D35:D37,D30:D31,D22:D26,D41:D42)</f>
        <v>0</v>
      </c>
      <c r="E47" s="48"/>
      <c r="F47" s="93">
        <f>SUM(F4:F18,F35:F37,F30:F31,F22:F26,F41:F42)</f>
        <v>78</v>
      </c>
      <c r="G47" s="216">
        <f>IFERROR(ROUNDDOWN(F47/B35,0),"")</f>
        <v>2</v>
      </c>
      <c r="H47" s="217">
        <f>IFERROR(F47-(G47*B35),"")</f>
        <v>6</v>
      </c>
    </row>
    <row r="48" spans="1:8" ht="22.5" customHeight="1" x14ac:dyDescent="0.3">
      <c r="C48" s="77">
        <f>C20+C28+C33+C39+C44</f>
        <v>78</v>
      </c>
      <c r="G48" s="199"/>
      <c r="H48" s="34" t="s">
        <v>174</v>
      </c>
    </row>
    <row r="49" spans="3:3" x14ac:dyDescent="0.3">
      <c r="C49" s="34" t="b">
        <f>C48=C46</f>
        <v>1</v>
      </c>
    </row>
  </sheetData>
  <mergeCells count="1">
    <mergeCell ref="A1:F1"/>
  </mergeCells>
  <phoneticPr fontId="13" type="noConversion"/>
  <printOptions horizontalCentered="1" verticalCentered="1"/>
  <pageMargins left="0" right="0" top="0" bottom="0" header="0" footer="0"/>
  <pageSetup paperSize="9" scale="77"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30BF9C-64A0-488A-843A-41749B9E5DDE}">
  <sheetPr>
    <tabColor rgb="FF7030A0"/>
    <pageSetUpPr fitToPage="1"/>
  </sheetPr>
  <dimension ref="A1:H49"/>
  <sheetViews>
    <sheetView zoomScale="40" zoomScaleNormal="40" zoomScaleSheetLayoutView="75" workbookViewId="0">
      <selection activeCell="A2" sqref="A2:F47"/>
    </sheetView>
  </sheetViews>
  <sheetFormatPr defaultColWidth="9" defaultRowHeight="16.5" x14ac:dyDescent="0.3"/>
  <cols>
    <col min="1" max="1" width="24.75" style="34" customWidth="1"/>
    <col min="2" max="2" width="7.625" style="38" customWidth="1"/>
    <col min="3" max="3" width="30.625" style="34" customWidth="1"/>
    <col min="4" max="4" width="9.875" style="2" customWidth="1"/>
    <col min="5" max="5" width="11.375" style="34" customWidth="1"/>
    <col min="6" max="6" width="11.125" style="2" customWidth="1"/>
    <col min="7" max="7" width="8.375" style="34" customWidth="1"/>
    <col min="8" max="8" width="9" style="34" customWidth="1"/>
    <col min="9" max="13" width="9" style="34"/>
    <col min="14" max="14" width="10.625" style="34" customWidth="1"/>
    <col min="15" max="17" width="9" style="34"/>
    <col min="18" max="18" width="36.5" style="34" bestFit="1" customWidth="1"/>
    <col min="19" max="16384" width="9" style="34"/>
  </cols>
  <sheetData>
    <row r="1" spans="1:8" ht="25.9" customHeight="1" thickBot="1" x14ac:dyDescent="0.35">
      <c r="A1" s="270"/>
      <c r="B1" s="270"/>
      <c r="C1" s="270"/>
      <c r="D1" s="270"/>
      <c r="E1" s="270"/>
      <c r="F1" s="270"/>
    </row>
    <row r="2" spans="1:8" ht="25.9" customHeight="1" x14ac:dyDescent="0.3">
      <c r="A2" s="215">
        <f ca="1">TODAY()</f>
        <v>46314</v>
      </c>
      <c r="B2" s="261" t="s">
        <v>346</v>
      </c>
      <c r="C2" s="262"/>
      <c r="D2" s="262"/>
      <c r="E2" s="262"/>
      <c r="F2" s="263"/>
      <c r="G2" s="67"/>
      <c r="H2" s="67"/>
    </row>
    <row r="3" spans="1:8" ht="40.15" customHeight="1" x14ac:dyDescent="0.3">
      <c r="A3" s="222" t="s">
        <v>67</v>
      </c>
      <c r="B3" s="223" t="s">
        <v>13</v>
      </c>
      <c r="C3" s="229" t="s">
        <v>326</v>
      </c>
      <c r="D3" s="230" t="s">
        <v>2</v>
      </c>
      <c r="E3" s="229" t="s">
        <v>23</v>
      </c>
      <c r="F3" s="231" t="s">
        <v>14</v>
      </c>
      <c r="G3" s="67"/>
      <c r="H3" s="67"/>
    </row>
    <row r="4" spans="1:8" ht="25.35" customHeight="1" x14ac:dyDescent="0.3">
      <c r="A4" s="220" t="s">
        <v>260</v>
      </c>
      <c r="B4" s="224">
        <v>36</v>
      </c>
      <c r="C4" s="227">
        <f>IFERROR(VLOOKUP(A4,'대신 피벗'!A:ST,9,FALSE),0)</f>
        <v>5</v>
      </c>
      <c r="D4" s="227">
        <f t="shared" ref="D4:D18" si="0">IFERROR(ROUNDDOWN(C4/B4,0),"")</f>
        <v>0</v>
      </c>
      <c r="E4" s="51" t="s">
        <v>109</v>
      </c>
      <c r="F4" s="228">
        <f t="shared" ref="F4:F18" si="1">IFERROR(C4-(D4*B4),"")</f>
        <v>5</v>
      </c>
      <c r="G4" s="67"/>
      <c r="H4" s="67"/>
    </row>
    <row r="5" spans="1:8" ht="25.35" customHeight="1" x14ac:dyDescent="0.3">
      <c r="A5" s="221" t="s">
        <v>255</v>
      </c>
      <c r="B5" s="224">
        <f t="shared" ref="B5:B18" si="2">$B$4</f>
        <v>36</v>
      </c>
      <c r="C5" s="227">
        <f>IFERROR(VLOOKUP(A5,'대신 피벗'!A:ST,9,FALSE),0)</f>
        <v>15</v>
      </c>
      <c r="D5" s="227">
        <f t="shared" ref="D5" si="3">IFERROR(ROUNDDOWN(C5/B5,0),"")</f>
        <v>0</v>
      </c>
      <c r="E5" s="51" t="s">
        <v>335</v>
      </c>
      <c r="F5" s="228">
        <f t="shared" ref="F5" si="4">IFERROR(C5-(D5*B5),"")</f>
        <v>15</v>
      </c>
      <c r="G5" s="67"/>
      <c r="H5" s="67"/>
    </row>
    <row r="6" spans="1:8" ht="25.35" customHeight="1" x14ac:dyDescent="0.3">
      <c r="A6" s="221" t="s">
        <v>249</v>
      </c>
      <c r="B6" s="224">
        <f t="shared" si="2"/>
        <v>36</v>
      </c>
      <c r="C6" s="227">
        <f>IFERROR(VLOOKUP(A6,'대신 피벗'!A:ST,9,FALSE),0)</f>
        <v>11</v>
      </c>
      <c r="D6" s="227">
        <f>IFERROR(ROUNDDOWN(C6/B6,0),"")</f>
        <v>0</v>
      </c>
      <c r="E6" s="51" t="s">
        <v>272</v>
      </c>
      <c r="F6" s="228">
        <f>IFERROR(C6-(D6*B6),"")</f>
        <v>11</v>
      </c>
      <c r="G6" s="67"/>
      <c r="H6" s="67"/>
    </row>
    <row r="7" spans="1:8" ht="25.35" customHeight="1" x14ac:dyDescent="0.3">
      <c r="A7" s="221" t="s">
        <v>250</v>
      </c>
      <c r="B7" s="224">
        <f t="shared" si="2"/>
        <v>36</v>
      </c>
      <c r="C7" s="227">
        <f>IFERROR(VLOOKUP(A7,'대신 피벗'!A:ST,9,FALSE),0)</f>
        <v>15</v>
      </c>
      <c r="D7" s="227">
        <f>IFERROR(ROUNDDOWN(C7/B7,0),"")</f>
        <v>0</v>
      </c>
      <c r="E7" s="51" t="s">
        <v>273</v>
      </c>
      <c r="F7" s="228">
        <f>IFERROR(C7-(D7*B7),"")</f>
        <v>15</v>
      </c>
      <c r="G7" s="67"/>
      <c r="H7" s="67"/>
    </row>
    <row r="8" spans="1:8" ht="25.35" customHeight="1" x14ac:dyDescent="0.3">
      <c r="A8" s="221" t="s">
        <v>248</v>
      </c>
      <c r="B8" s="224">
        <f t="shared" si="2"/>
        <v>36</v>
      </c>
      <c r="C8" s="227">
        <f>IFERROR(VLOOKUP(A8,'대신 피벗'!A:ST,9,FALSE),0)</f>
        <v>9</v>
      </c>
      <c r="D8" s="227">
        <f>IFERROR(ROUNDDOWN(C8/B8,0),"")</f>
        <v>0</v>
      </c>
      <c r="E8" s="51" t="s">
        <v>271</v>
      </c>
      <c r="F8" s="228">
        <f>IFERROR(C8-(D8*B8),"")</f>
        <v>9</v>
      </c>
      <c r="G8" s="67"/>
      <c r="H8" s="67"/>
    </row>
    <row r="9" spans="1:8" ht="25.35" customHeight="1" x14ac:dyDescent="0.3">
      <c r="A9" s="221" t="s">
        <v>246</v>
      </c>
      <c r="B9" s="224">
        <f t="shared" si="2"/>
        <v>36</v>
      </c>
      <c r="C9" s="227">
        <f>IFERROR(VLOOKUP(A9,'대신 피벗'!A:ST,9,FALSE),0)</f>
        <v>5</v>
      </c>
      <c r="D9" s="227">
        <f t="shared" si="0"/>
        <v>0</v>
      </c>
      <c r="E9" s="51" t="s">
        <v>270</v>
      </c>
      <c r="F9" s="228">
        <f t="shared" si="1"/>
        <v>5</v>
      </c>
      <c r="G9" s="67"/>
      <c r="H9" s="67"/>
    </row>
    <row r="10" spans="1:8" ht="25.35" customHeight="1" x14ac:dyDescent="0.3">
      <c r="A10" s="221" t="s">
        <v>256</v>
      </c>
      <c r="B10" s="224">
        <f t="shared" si="2"/>
        <v>36</v>
      </c>
      <c r="C10" s="227">
        <f>IFERROR(VLOOKUP(A10,'대신 피벗'!A:ST,9,FALSE),0)</f>
        <v>3</v>
      </c>
      <c r="D10" s="227">
        <f>IFERROR(ROUNDDOWN(C10/B10,0),"")</f>
        <v>0</v>
      </c>
      <c r="E10" s="51" t="s">
        <v>278</v>
      </c>
      <c r="F10" s="228">
        <f>IFERROR(C10-(D10*B10),"")</f>
        <v>3</v>
      </c>
      <c r="G10" s="67"/>
      <c r="H10" s="67"/>
    </row>
    <row r="11" spans="1:8" ht="25.35" customHeight="1" x14ac:dyDescent="0.3">
      <c r="A11" s="221" t="s">
        <v>247</v>
      </c>
      <c r="B11" s="224">
        <f t="shared" si="2"/>
        <v>36</v>
      </c>
      <c r="C11" s="227">
        <f>IFERROR(VLOOKUP(A11,'대신 피벗'!A:ST,9,FALSE),0)</f>
        <v>3</v>
      </c>
      <c r="D11" s="227">
        <f t="shared" si="0"/>
        <v>0</v>
      </c>
      <c r="E11" s="51" t="s">
        <v>334</v>
      </c>
      <c r="F11" s="228">
        <f t="shared" si="1"/>
        <v>3</v>
      </c>
      <c r="G11" s="67"/>
      <c r="H11" s="67"/>
    </row>
    <row r="12" spans="1:8" ht="25.35" customHeight="1" x14ac:dyDescent="0.3">
      <c r="A12" s="221" t="s">
        <v>251</v>
      </c>
      <c r="B12" s="224">
        <f t="shared" si="2"/>
        <v>36</v>
      </c>
      <c r="C12" s="227">
        <f>IFERROR(VLOOKUP(A12,'대신 피벗'!A:ST,9,FALSE),0)</f>
        <v>10</v>
      </c>
      <c r="D12" s="227">
        <f t="shared" si="0"/>
        <v>0</v>
      </c>
      <c r="E12" s="51" t="s">
        <v>274</v>
      </c>
      <c r="F12" s="228">
        <f t="shared" si="1"/>
        <v>10</v>
      </c>
      <c r="G12" s="67"/>
      <c r="H12" s="67"/>
    </row>
    <row r="13" spans="1:8" ht="25.35" customHeight="1" x14ac:dyDescent="0.3">
      <c r="A13" s="220" t="s">
        <v>252</v>
      </c>
      <c r="B13" s="224">
        <f t="shared" si="2"/>
        <v>36</v>
      </c>
      <c r="C13" s="227">
        <f>IFERROR(VLOOKUP(A13,'대신 피벗'!A:ST,9,FALSE),0)</f>
        <v>7</v>
      </c>
      <c r="D13" s="227">
        <f t="shared" si="0"/>
        <v>0</v>
      </c>
      <c r="E13" s="51" t="s">
        <v>275</v>
      </c>
      <c r="F13" s="228">
        <f t="shared" si="1"/>
        <v>7</v>
      </c>
      <c r="G13" s="67"/>
      <c r="H13" s="67"/>
    </row>
    <row r="14" spans="1:8" ht="25.35" customHeight="1" x14ac:dyDescent="0.3">
      <c r="A14" s="221" t="s">
        <v>253</v>
      </c>
      <c r="B14" s="224">
        <f t="shared" si="2"/>
        <v>36</v>
      </c>
      <c r="C14" s="227">
        <f>IFERROR(VLOOKUP(A14,'대신 피벗'!A:ST,9,FALSE),0)</f>
        <v>8</v>
      </c>
      <c r="D14" s="227">
        <f t="shared" si="0"/>
        <v>0</v>
      </c>
      <c r="E14" s="51" t="s">
        <v>276</v>
      </c>
      <c r="F14" s="228">
        <f t="shared" si="1"/>
        <v>8</v>
      </c>
      <c r="G14" s="67"/>
      <c r="H14" s="67"/>
    </row>
    <row r="15" spans="1:8" ht="25.35" customHeight="1" x14ac:dyDescent="0.3">
      <c r="A15" s="221" t="s">
        <v>254</v>
      </c>
      <c r="B15" s="224">
        <f t="shared" si="2"/>
        <v>36</v>
      </c>
      <c r="C15" s="227">
        <f>IFERROR(VLOOKUP(A15,'대신 피벗'!A:ST,9,FALSE),0)</f>
        <v>12</v>
      </c>
      <c r="D15" s="227">
        <f t="shared" si="0"/>
        <v>0</v>
      </c>
      <c r="E15" s="51" t="s">
        <v>277</v>
      </c>
      <c r="F15" s="228">
        <f t="shared" si="1"/>
        <v>12</v>
      </c>
      <c r="G15" s="67"/>
      <c r="H15" s="67"/>
    </row>
    <row r="16" spans="1:8" ht="25.35" customHeight="1" x14ac:dyDescent="0.3">
      <c r="A16" s="221" t="s">
        <v>257</v>
      </c>
      <c r="B16" s="224">
        <f t="shared" si="2"/>
        <v>36</v>
      </c>
      <c r="C16" s="227">
        <f>IFERROR(VLOOKUP(A16,'대신 피벗'!A:ST,9,FALSE),0)</f>
        <v>3</v>
      </c>
      <c r="D16" s="227">
        <f t="shared" si="0"/>
        <v>0</v>
      </c>
      <c r="E16" s="51" t="s">
        <v>279</v>
      </c>
      <c r="F16" s="228">
        <f t="shared" si="1"/>
        <v>3</v>
      </c>
      <c r="G16" s="67"/>
      <c r="H16" s="67"/>
    </row>
    <row r="17" spans="1:8" ht="25.35" customHeight="1" x14ac:dyDescent="0.3">
      <c r="A17" s="221" t="s">
        <v>258</v>
      </c>
      <c r="B17" s="224">
        <f t="shared" si="2"/>
        <v>36</v>
      </c>
      <c r="C17" s="227">
        <f>IFERROR(VLOOKUP(A17,'대신 피벗'!A:ST,9,FALSE),0)</f>
        <v>4</v>
      </c>
      <c r="D17" s="227">
        <f t="shared" si="0"/>
        <v>0</v>
      </c>
      <c r="E17" s="51" t="s">
        <v>280</v>
      </c>
      <c r="F17" s="228">
        <f t="shared" si="1"/>
        <v>4</v>
      </c>
      <c r="G17" s="67"/>
      <c r="H17" s="67"/>
    </row>
    <row r="18" spans="1:8" ht="25.35" customHeight="1" x14ac:dyDescent="0.3">
      <c r="A18" s="221" t="s">
        <v>259</v>
      </c>
      <c r="B18" s="224">
        <f t="shared" si="2"/>
        <v>36</v>
      </c>
      <c r="C18" s="227">
        <f>IFERROR(VLOOKUP(A18,'대신 피벗'!A:ST,9,FALSE),0)</f>
        <v>5</v>
      </c>
      <c r="D18" s="227">
        <f t="shared" si="0"/>
        <v>0</v>
      </c>
      <c r="E18" s="51" t="s">
        <v>336</v>
      </c>
      <c r="F18" s="228">
        <f t="shared" si="1"/>
        <v>5</v>
      </c>
      <c r="G18" s="67"/>
      <c r="H18" s="67"/>
    </row>
    <row r="19" spans="1:8" ht="4.5" customHeight="1" x14ac:dyDescent="0.3">
      <c r="A19" s="258"/>
      <c r="B19" s="259"/>
      <c r="C19" s="259"/>
      <c r="D19" s="259"/>
      <c r="E19" s="259"/>
      <c r="F19" s="260"/>
    </row>
    <row r="20" spans="1:8" ht="32.450000000000003" customHeight="1" x14ac:dyDescent="0.3">
      <c r="A20" s="209" t="s">
        <v>122</v>
      </c>
      <c r="B20" s="226">
        <f>$B$4</f>
        <v>36</v>
      </c>
      <c r="C20" s="210">
        <f>SUM(C4:C18)</f>
        <v>115</v>
      </c>
      <c r="D20" s="54">
        <f>IFERROR(ROUNDDOWN(C20/B20,0),"")</f>
        <v>3</v>
      </c>
      <c r="E20" s="36"/>
      <c r="F20" s="121">
        <f>IFERROR(C20-(D20*B20),"")</f>
        <v>7</v>
      </c>
    </row>
    <row r="21" spans="1:8" ht="4.5" customHeight="1" x14ac:dyDescent="0.3">
      <c r="A21" s="183"/>
      <c r="B21" s="224"/>
      <c r="C21" s="50"/>
      <c r="D21" s="50"/>
      <c r="E21" s="50"/>
      <c r="F21" s="184"/>
    </row>
    <row r="22" spans="1:8" ht="25.35" customHeight="1" x14ac:dyDescent="0.3">
      <c r="A22" s="221" t="s">
        <v>241</v>
      </c>
      <c r="B22" s="224">
        <f t="shared" ref="B22:B26" si="5">$B$4</f>
        <v>36</v>
      </c>
      <c r="C22" s="227">
        <f>IFERROR(VLOOKUP(A22,'대신 피벗'!A:ST,9,FALSE),0)</f>
        <v>3</v>
      </c>
      <c r="D22" s="227">
        <f>IFERROR(ROUNDDOWN(C22/B22,0),"")</f>
        <v>0</v>
      </c>
      <c r="E22" s="51" t="s">
        <v>268</v>
      </c>
      <c r="F22" s="228">
        <f>IFERROR(C22-(D22*B22),"")</f>
        <v>3</v>
      </c>
      <c r="G22" s="67"/>
      <c r="H22" s="67"/>
    </row>
    <row r="23" spans="1:8" ht="25.35" customHeight="1" x14ac:dyDescent="0.3">
      <c r="A23" s="221" t="s">
        <v>242</v>
      </c>
      <c r="B23" s="224">
        <f t="shared" si="5"/>
        <v>36</v>
      </c>
      <c r="C23" s="227">
        <f>IFERROR(VLOOKUP(A23,'대신 피벗'!A:ST,9,FALSE),0)</f>
        <v>2</v>
      </c>
      <c r="D23" s="227">
        <f>IFERROR(ROUNDDOWN(C23/B23,0),"")</f>
        <v>0</v>
      </c>
      <c r="E23" s="51" t="s">
        <v>337</v>
      </c>
      <c r="F23" s="228">
        <f>IFERROR(C23-(D23*B23),"")</f>
        <v>2</v>
      </c>
      <c r="G23" s="67"/>
      <c r="H23" s="67"/>
    </row>
    <row r="24" spans="1:8" ht="25.35" customHeight="1" x14ac:dyDescent="0.3">
      <c r="A24" s="221" t="s">
        <v>243</v>
      </c>
      <c r="B24" s="224">
        <f t="shared" si="5"/>
        <v>36</v>
      </c>
      <c r="C24" s="227">
        <f>IFERROR(VLOOKUP(A24,'대신 피벗'!A:ST,9,FALSE),0)</f>
        <v>0</v>
      </c>
      <c r="D24" s="227">
        <f>IFERROR(ROUNDDOWN(C24/B24,0),"")</f>
        <v>0</v>
      </c>
      <c r="E24" s="51" t="s">
        <v>106</v>
      </c>
      <c r="F24" s="228">
        <f>IFERROR(C24-(D24*B24),"")</f>
        <v>0</v>
      </c>
      <c r="G24" s="67"/>
      <c r="H24" s="67"/>
    </row>
    <row r="25" spans="1:8" ht="25.35" customHeight="1" x14ac:dyDescent="0.3">
      <c r="A25" s="221" t="s">
        <v>244</v>
      </c>
      <c r="B25" s="224">
        <f t="shared" si="5"/>
        <v>36</v>
      </c>
      <c r="C25" s="227">
        <f>IFERROR(VLOOKUP(A25,'대신 피벗'!A:ST,9,FALSE),0)</f>
        <v>3</v>
      </c>
      <c r="D25" s="227">
        <f>IFERROR(ROUNDDOWN(C25/B25,0),"")</f>
        <v>0</v>
      </c>
      <c r="E25" s="51" t="s">
        <v>269</v>
      </c>
      <c r="F25" s="228">
        <f>IFERROR(C25-(D25*B25),"")</f>
        <v>3</v>
      </c>
      <c r="G25" s="67"/>
      <c r="H25" s="67"/>
    </row>
    <row r="26" spans="1:8" ht="25.35" customHeight="1" x14ac:dyDescent="0.3">
      <c r="A26" s="221" t="s">
        <v>245</v>
      </c>
      <c r="B26" s="224">
        <f t="shared" si="5"/>
        <v>36</v>
      </c>
      <c r="C26" s="227">
        <f>IFERROR(VLOOKUP(A26,'대신 피벗'!A:ST,9,FALSE),0)</f>
        <v>3</v>
      </c>
      <c r="D26" s="227">
        <f>IFERROR(ROUNDDOWN(C26/B26,0),"")</f>
        <v>0</v>
      </c>
      <c r="E26" s="51" t="s">
        <v>118</v>
      </c>
      <c r="F26" s="228">
        <f>IFERROR(C26-(D26*B26),"")</f>
        <v>3</v>
      </c>
      <c r="G26" s="67"/>
      <c r="H26" s="67"/>
    </row>
    <row r="27" spans="1:8" ht="4.5" customHeight="1" x14ac:dyDescent="0.3">
      <c r="A27" s="258"/>
      <c r="B27" s="259"/>
      <c r="C27" s="259"/>
      <c r="D27" s="259"/>
      <c r="E27" s="259"/>
      <c r="F27" s="260"/>
      <c r="G27" s="67"/>
      <c r="H27" s="67"/>
    </row>
    <row r="28" spans="1:8" ht="32.450000000000003" customHeight="1" x14ac:dyDescent="0.3">
      <c r="A28" s="209" t="s">
        <v>285</v>
      </c>
      <c r="B28" s="226">
        <f>$B$4</f>
        <v>36</v>
      </c>
      <c r="C28" s="210">
        <f>SUM(C22:C26)</f>
        <v>11</v>
      </c>
      <c r="D28" s="54">
        <f>IFERROR(ROUNDDOWN(C28/B28,0),"")</f>
        <v>0</v>
      </c>
      <c r="E28" s="36"/>
      <c r="F28" s="121">
        <f>IFERROR(C28-(D28*B28),"")</f>
        <v>11</v>
      </c>
      <c r="G28" s="67"/>
      <c r="H28" s="67"/>
    </row>
    <row r="29" spans="1:8" ht="4.5" customHeight="1" x14ac:dyDescent="0.3">
      <c r="A29" s="258"/>
      <c r="B29" s="259"/>
      <c r="C29" s="259"/>
      <c r="D29" s="259"/>
      <c r="E29" s="259"/>
      <c r="F29" s="260"/>
      <c r="G29" s="67"/>
      <c r="H29" s="67"/>
    </row>
    <row r="30" spans="1:8" ht="25.35" customHeight="1" x14ac:dyDescent="0.3">
      <c r="A30" s="221" t="s">
        <v>239</v>
      </c>
      <c r="B30" s="224">
        <f t="shared" ref="B30:B31" si="6">$B$4</f>
        <v>36</v>
      </c>
      <c r="C30" s="227">
        <f>IFERROR(VLOOKUP(A30,'대신 피벗'!A:ST,9,FALSE),0)</f>
        <v>4</v>
      </c>
      <c r="D30" s="227">
        <f t="shared" ref="D30:D31" si="7">IFERROR(ROUNDDOWN(C30/B30,0),"")</f>
        <v>0</v>
      </c>
      <c r="E30" s="51" t="s">
        <v>266</v>
      </c>
      <c r="F30" s="228">
        <f t="shared" ref="F30:F31" si="8">IFERROR(C30-(D30*B30),"")</f>
        <v>4</v>
      </c>
      <c r="G30" s="67"/>
      <c r="H30" s="67"/>
    </row>
    <row r="31" spans="1:8" ht="25.35" customHeight="1" x14ac:dyDescent="0.3">
      <c r="A31" s="221" t="s">
        <v>240</v>
      </c>
      <c r="B31" s="224">
        <f t="shared" si="6"/>
        <v>36</v>
      </c>
      <c r="C31" s="227">
        <f>IFERROR(VLOOKUP(A31,'대신 피벗'!A:ST,9,FALSE),0)</f>
        <v>5</v>
      </c>
      <c r="D31" s="227">
        <f t="shared" si="7"/>
        <v>0</v>
      </c>
      <c r="E31" s="51" t="s">
        <v>267</v>
      </c>
      <c r="F31" s="228">
        <f t="shared" si="8"/>
        <v>5</v>
      </c>
      <c r="G31" s="67"/>
      <c r="H31" s="67"/>
    </row>
    <row r="32" spans="1:8" ht="4.5" customHeight="1" x14ac:dyDescent="0.3">
      <c r="A32" s="258"/>
      <c r="B32" s="259"/>
      <c r="C32" s="259"/>
      <c r="D32" s="259"/>
      <c r="E32" s="259"/>
      <c r="F32" s="260"/>
      <c r="G32" s="67"/>
      <c r="H32" s="67"/>
    </row>
    <row r="33" spans="1:8" ht="32.450000000000003" customHeight="1" x14ac:dyDescent="0.3">
      <c r="A33" s="209" t="s">
        <v>284</v>
      </c>
      <c r="B33" s="226">
        <f>$B$4</f>
        <v>36</v>
      </c>
      <c r="C33" s="210">
        <f>SUM(C30:C31)</f>
        <v>9</v>
      </c>
      <c r="D33" s="54">
        <f>IFERROR(ROUNDDOWN(C33/B33,0),"")</f>
        <v>0</v>
      </c>
      <c r="E33" s="36"/>
      <c r="F33" s="121">
        <f>IFERROR(C33-(D33*B33),"")</f>
        <v>9</v>
      </c>
      <c r="G33" s="67"/>
      <c r="H33" s="67"/>
    </row>
    <row r="34" spans="1:8" ht="4.5" customHeight="1" x14ac:dyDescent="0.3">
      <c r="A34" s="183"/>
      <c r="B34" s="224"/>
      <c r="C34" s="50"/>
      <c r="D34" s="50"/>
      <c r="E34" s="50"/>
      <c r="F34" s="184"/>
      <c r="G34" s="67"/>
      <c r="H34" s="67"/>
    </row>
    <row r="35" spans="1:8" ht="25.35" customHeight="1" x14ac:dyDescent="0.3">
      <c r="A35" s="221" t="s">
        <v>236</v>
      </c>
      <c r="B35" s="224">
        <f t="shared" ref="B35:B37" si="9">$B$4</f>
        <v>36</v>
      </c>
      <c r="C35" s="227">
        <f>IFERROR(VLOOKUP(A35,'대신 피벗'!A:ST,9,FALSE),0)</f>
        <v>1</v>
      </c>
      <c r="D35" s="227">
        <f>IFERROR(ROUNDDOWN(C35/B35,0),"")</f>
        <v>0</v>
      </c>
      <c r="E35" s="51" t="s">
        <v>264</v>
      </c>
      <c r="F35" s="228">
        <f>IFERROR(C35-(D35*B35),"")</f>
        <v>1</v>
      </c>
      <c r="G35" s="67"/>
      <c r="H35" s="67"/>
    </row>
    <row r="36" spans="1:8" ht="25.35" customHeight="1" x14ac:dyDescent="0.3">
      <c r="A36" s="221" t="s">
        <v>237</v>
      </c>
      <c r="B36" s="224">
        <f t="shared" si="9"/>
        <v>36</v>
      </c>
      <c r="C36" s="227">
        <f>IFERROR(VLOOKUP(A36,'대신 피벗'!A:ST,9,FALSE),0)</f>
        <v>7</v>
      </c>
      <c r="D36" s="227">
        <f t="shared" ref="D36:D37" si="10">IFERROR(ROUNDDOWN(C36/B36,0),"")</f>
        <v>0</v>
      </c>
      <c r="E36" s="51" t="s">
        <v>338</v>
      </c>
      <c r="F36" s="228">
        <f t="shared" ref="F36:F37" si="11">IFERROR(C36-(D36*B36),"")</f>
        <v>7</v>
      </c>
      <c r="G36" s="67"/>
      <c r="H36" s="67"/>
    </row>
    <row r="37" spans="1:8" ht="25.35" customHeight="1" x14ac:dyDescent="0.3">
      <c r="A37" s="221" t="s">
        <v>238</v>
      </c>
      <c r="B37" s="224">
        <f t="shared" si="9"/>
        <v>36</v>
      </c>
      <c r="C37" s="227">
        <f>IFERROR(VLOOKUP(A37,'대신 피벗'!A:ST,9,FALSE),0)</f>
        <v>5</v>
      </c>
      <c r="D37" s="227">
        <f t="shared" si="10"/>
        <v>0</v>
      </c>
      <c r="E37" s="51" t="s">
        <v>265</v>
      </c>
      <c r="F37" s="228">
        <f t="shared" si="11"/>
        <v>5</v>
      </c>
      <c r="G37" s="67"/>
      <c r="H37" s="67"/>
    </row>
    <row r="38" spans="1:8" ht="4.5" customHeight="1" x14ac:dyDescent="0.3">
      <c r="A38" s="258"/>
      <c r="B38" s="259"/>
      <c r="C38" s="259"/>
      <c r="D38" s="259"/>
      <c r="E38" s="259"/>
      <c r="F38" s="260"/>
      <c r="G38" s="67"/>
      <c r="H38" s="67"/>
    </row>
    <row r="39" spans="1:8" ht="32.450000000000003" customHeight="1" x14ac:dyDescent="0.3">
      <c r="A39" s="209" t="s">
        <v>283</v>
      </c>
      <c r="B39" s="226">
        <f>$B$4</f>
        <v>36</v>
      </c>
      <c r="C39" s="210">
        <f>SUM(C35:C37)</f>
        <v>13</v>
      </c>
      <c r="D39" s="54">
        <f>IFERROR(ROUNDDOWN(C39/B39,0),"")</f>
        <v>0</v>
      </c>
      <c r="E39" s="36"/>
      <c r="F39" s="121">
        <f>IFERROR(C39-(D39*B39),"")</f>
        <v>13</v>
      </c>
      <c r="G39" s="67"/>
      <c r="H39" s="67"/>
    </row>
    <row r="40" spans="1:8" ht="4.5" customHeight="1" x14ac:dyDescent="0.3">
      <c r="A40" s="183"/>
      <c r="B40" s="224"/>
      <c r="C40" s="50"/>
      <c r="D40" s="50"/>
      <c r="E40" s="50"/>
      <c r="F40" s="184"/>
      <c r="G40" s="67"/>
      <c r="H40" s="67"/>
    </row>
    <row r="41" spans="1:8" ht="25.35" customHeight="1" x14ac:dyDescent="0.3">
      <c r="A41" s="221" t="s">
        <v>261</v>
      </c>
      <c r="B41" s="224">
        <f t="shared" ref="B41:B42" si="12">$B$4</f>
        <v>36</v>
      </c>
      <c r="C41" s="227">
        <f>IFERROR(VLOOKUP(A41,'대신 피벗'!A:ST,9,FALSE),0)</f>
        <v>1</v>
      </c>
      <c r="D41" s="227">
        <f t="shared" ref="D41:D42" si="13">IFERROR(ROUNDDOWN(C41/B41,0),"")</f>
        <v>0</v>
      </c>
      <c r="E41" s="51" t="s">
        <v>281</v>
      </c>
      <c r="F41" s="228">
        <f t="shared" ref="F41:F42" si="14">IFERROR(C41-(D41*B41),"")</f>
        <v>1</v>
      </c>
      <c r="G41" s="67"/>
      <c r="H41" s="67"/>
    </row>
    <row r="42" spans="1:8" ht="25.35" customHeight="1" x14ac:dyDescent="0.3">
      <c r="A42" s="221" t="s">
        <v>262</v>
      </c>
      <c r="B42" s="224">
        <f t="shared" si="12"/>
        <v>36</v>
      </c>
      <c r="C42" s="227">
        <f>IFERROR(VLOOKUP(A42,'대신 피벗'!A:ST,9,FALSE),0)</f>
        <v>3</v>
      </c>
      <c r="D42" s="227">
        <f t="shared" si="13"/>
        <v>0</v>
      </c>
      <c r="E42" s="51" t="s">
        <v>282</v>
      </c>
      <c r="F42" s="228">
        <f t="shared" si="14"/>
        <v>3</v>
      </c>
      <c r="G42" s="67"/>
      <c r="H42" s="67"/>
    </row>
    <row r="43" spans="1:8" ht="4.5" customHeight="1" x14ac:dyDescent="0.3">
      <c r="A43" s="258"/>
      <c r="B43" s="259"/>
      <c r="C43" s="259"/>
      <c r="D43" s="259"/>
      <c r="E43" s="259"/>
      <c r="F43" s="260"/>
      <c r="G43" s="67"/>
      <c r="H43" s="67"/>
    </row>
    <row r="44" spans="1:8" ht="32.450000000000003" customHeight="1" x14ac:dyDescent="0.3">
      <c r="A44" s="209" t="s">
        <v>339</v>
      </c>
      <c r="B44" s="226">
        <f>$B$4</f>
        <v>36</v>
      </c>
      <c r="C44" s="210">
        <f>SUM(C41:C42)</f>
        <v>4</v>
      </c>
      <c r="D44" s="54">
        <f>IFERROR(ROUNDDOWN(C44/B44,0),"")</f>
        <v>0</v>
      </c>
      <c r="E44" s="36"/>
      <c r="F44" s="121">
        <f>IFERROR(C44-(D44*B44),"")</f>
        <v>4</v>
      </c>
      <c r="G44" s="67"/>
      <c r="H44" s="67"/>
    </row>
    <row r="45" spans="1:8" ht="4.5" customHeight="1" thickBot="1" x14ac:dyDescent="0.35">
      <c r="A45" s="183"/>
      <c r="B45" s="50"/>
      <c r="C45" s="50"/>
      <c r="D45" s="50"/>
      <c r="E45" s="50"/>
      <c r="F45" s="184"/>
      <c r="G45" s="67"/>
      <c r="H45" s="67"/>
    </row>
    <row r="46" spans="1:8" ht="26.25" x14ac:dyDescent="0.3">
      <c r="A46" s="87" t="s">
        <v>3</v>
      </c>
      <c r="B46" s="226">
        <f>$B$4</f>
        <v>36</v>
      </c>
      <c r="C46" s="55">
        <f>SUM(C4:C18,C35:C37,C30:C31,C22:C26,C41:C42)</f>
        <v>152</v>
      </c>
      <c r="D46" s="54">
        <f>IFERROR(ROUNDDOWN(C46/B46,0),"")</f>
        <v>4</v>
      </c>
      <c r="E46" s="56"/>
      <c r="F46" s="121">
        <f>IFERROR(C46-(D46*B46),"")</f>
        <v>8</v>
      </c>
      <c r="G46" s="232" t="s">
        <v>110</v>
      </c>
      <c r="H46" s="233" t="s">
        <v>111</v>
      </c>
    </row>
    <row r="47" spans="1:8" ht="27" thickBot="1" x14ac:dyDescent="0.35">
      <c r="A47" s="42" t="s">
        <v>286</v>
      </c>
      <c r="B47" s="43" t="s">
        <v>173</v>
      </c>
      <c r="C47" s="40"/>
      <c r="D47" s="41">
        <f>SUM(D4:D18,D35:D37,D30:D31,D22:D26,D41:D42)</f>
        <v>0</v>
      </c>
      <c r="E47" s="48"/>
      <c r="F47" s="93">
        <f>SUM(F4:F18,F35:F37,F30:F31,F22:F26,F41:F42)</f>
        <v>152</v>
      </c>
      <c r="G47" s="216">
        <f>IFERROR(ROUNDDOWN(F47/B35,0),"")</f>
        <v>4</v>
      </c>
      <c r="H47" s="217">
        <f>IFERROR(F47-(G47*B35),"")</f>
        <v>8</v>
      </c>
    </row>
    <row r="48" spans="1:8" ht="22.5" customHeight="1" x14ac:dyDescent="0.3">
      <c r="C48" s="77">
        <f>C20+C28+C33+C39+C44</f>
        <v>152</v>
      </c>
      <c r="G48" s="199"/>
      <c r="H48" s="34" t="s">
        <v>174</v>
      </c>
    </row>
    <row r="49" spans="3:3" x14ac:dyDescent="0.3">
      <c r="C49" s="34" t="b">
        <f>C48=C46</f>
        <v>1</v>
      </c>
    </row>
  </sheetData>
  <mergeCells count="1">
    <mergeCell ref="A1:F1"/>
  </mergeCells>
  <phoneticPr fontId="13" type="noConversion"/>
  <printOptions horizontalCentered="1" verticalCentered="1"/>
  <pageMargins left="0" right="0" top="0" bottom="0" header="0" footer="0"/>
  <pageSetup paperSize="9" scale="77"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5C14CA-BC77-41B4-9AF7-9D54541DA801}">
  <sheetPr>
    <tabColor rgb="FF7030A0"/>
    <pageSetUpPr fitToPage="1"/>
  </sheetPr>
  <dimension ref="A1:H49"/>
  <sheetViews>
    <sheetView zoomScale="40" zoomScaleNormal="40" zoomScaleSheetLayoutView="75" workbookViewId="0">
      <selection activeCell="A2" sqref="A2:F47"/>
    </sheetView>
  </sheetViews>
  <sheetFormatPr defaultColWidth="9" defaultRowHeight="16.5" x14ac:dyDescent="0.3"/>
  <cols>
    <col min="1" max="1" width="24.75" style="34" customWidth="1"/>
    <col min="2" max="2" width="7.625" style="38" customWidth="1"/>
    <col min="3" max="3" width="30.625" style="34" customWidth="1"/>
    <col min="4" max="4" width="9.875" style="2" customWidth="1"/>
    <col min="5" max="5" width="11.375" style="34" customWidth="1"/>
    <col min="6" max="6" width="11.125" style="2" customWidth="1"/>
    <col min="7" max="7" width="8.375" style="34" customWidth="1"/>
    <col min="8" max="8" width="9" style="34" customWidth="1"/>
    <col min="9" max="13" width="9" style="34"/>
    <col min="14" max="14" width="10.625" style="34" customWidth="1"/>
    <col min="15" max="17" width="9" style="34"/>
    <col min="18" max="18" width="36.5" style="34" bestFit="1" customWidth="1"/>
    <col min="19" max="16384" width="9" style="34"/>
  </cols>
  <sheetData>
    <row r="1" spans="1:8" ht="25.9" customHeight="1" thickBot="1" x14ac:dyDescent="0.35">
      <c r="A1" s="270"/>
      <c r="B1" s="270"/>
      <c r="C1" s="270"/>
      <c r="D1" s="270"/>
      <c r="E1" s="270"/>
      <c r="F1" s="270"/>
    </row>
    <row r="2" spans="1:8" ht="25.9" customHeight="1" x14ac:dyDescent="0.3">
      <c r="A2" s="215">
        <f ca="1">TODAY()</f>
        <v>46314</v>
      </c>
      <c r="B2" s="256" t="s">
        <v>345</v>
      </c>
      <c r="C2" s="256"/>
      <c r="D2" s="256"/>
      <c r="E2" s="256"/>
      <c r="F2" s="257"/>
      <c r="G2" s="67"/>
      <c r="H2" s="67"/>
    </row>
    <row r="3" spans="1:8" ht="40.15" customHeight="1" x14ac:dyDescent="0.3">
      <c r="A3" s="222" t="s">
        <v>67</v>
      </c>
      <c r="B3" s="223" t="s">
        <v>13</v>
      </c>
      <c r="C3" s="229" t="s">
        <v>327</v>
      </c>
      <c r="D3" s="230" t="s">
        <v>2</v>
      </c>
      <c r="E3" s="229" t="s">
        <v>23</v>
      </c>
      <c r="F3" s="231" t="s">
        <v>14</v>
      </c>
      <c r="G3" s="67"/>
      <c r="H3" s="67"/>
    </row>
    <row r="4" spans="1:8" ht="25.35" customHeight="1" x14ac:dyDescent="0.3">
      <c r="A4" s="220" t="s">
        <v>260</v>
      </c>
      <c r="B4" s="224">
        <v>36</v>
      </c>
      <c r="C4" s="227">
        <f>IFERROR(VLOOKUP(A4,'대신 피벗'!A:ST,10,FALSE),0)</f>
        <v>1</v>
      </c>
      <c r="D4" s="227">
        <f t="shared" ref="D4:D18" si="0">IFERROR(ROUNDDOWN(C4/B4,0),"")</f>
        <v>0</v>
      </c>
      <c r="E4" s="51" t="s">
        <v>109</v>
      </c>
      <c r="F4" s="228">
        <f t="shared" ref="F4:F18" si="1">IFERROR(C4-(D4*B4),"")</f>
        <v>1</v>
      </c>
      <c r="G4" s="67"/>
      <c r="H4" s="67"/>
    </row>
    <row r="5" spans="1:8" ht="25.35" customHeight="1" x14ac:dyDescent="0.3">
      <c r="A5" s="221" t="s">
        <v>255</v>
      </c>
      <c r="B5" s="224">
        <f t="shared" ref="B5:B18" si="2">$B$4</f>
        <v>36</v>
      </c>
      <c r="C5" s="227">
        <f>IFERROR(VLOOKUP(A5,'대신 피벗'!A:ST,10,FALSE),0)</f>
        <v>6</v>
      </c>
      <c r="D5" s="227">
        <f t="shared" ref="D5" si="3">IFERROR(ROUNDDOWN(C5/B5,0),"")</f>
        <v>0</v>
      </c>
      <c r="E5" s="51" t="s">
        <v>335</v>
      </c>
      <c r="F5" s="228">
        <f t="shared" ref="F5" si="4">IFERROR(C5-(D5*B5),"")</f>
        <v>6</v>
      </c>
      <c r="G5" s="67"/>
      <c r="H5" s="67"/>
    </row>
    <row r="6" spans="1:8" ht="25.35" customHeight="1" x14ac:dyDescent="0.3">
      <c r="A6" s="221" t="s">
        <v>249</v>
      </c>
      <c r="B6" s="224">
        <f t="shared" si="2"/>
        <v>36</v>
      </c>
      <c r="C6" s="227">
        <f>IFERROR(VLOOKUP(A6,'대신 피벗'!A:ST,10,FALSE),0)</f>
        <v>7</v>
      </c>
      <c r="D6" s="227">
        <f>IFERROR(ROUNDDOWN(C6/B6,0),"")</f>
        <v>0</v>
      </c>
      <c r="E6" s="51" t="s">
        <v>272</v>
      </c>
      <c r="F6" s="228">
        <f>IFERROR(C6-(D6*B6),"")</f>
        <v>7</v>
      </c>
      <c r="G6" s="67"/>
      <c r="H6" s="67"/>
    </row>
    <row r="7" spans="1:8" ht="25.35" customHeight="1" x14ac:dyDescent="0.3">
      <c r="A7" s="221" t="s">
        <v>250</v>
      </c>
      <c r="B7" s="224">
        <f t="shared" si="2"/>
        <v>36</v>
      </c>
      <c r="C7" s="227">
        <f>IFERROR(VLOOKUP(A7,'대신 피벗'!A:ST,10,FALSE),0)</f>
        <v>9</v>
      </c>
      <c r="D7" s="227">
        <f>IFERROR(ROUNDDOWN(C7/B7,0),"")</f>
        <v>0</v>
      </c>
      <c r="E7" s="51" t="s">
        <v>273</v>
      </c>
      <c r="F7" s="228">
        <f>IFERROR(C7-(D7*B7),"")</f>
        <v>9</v>
      </c>
      <c r="G7" s="67"/>
      <c r="H7" s="67"/>
    </row>
    <row r="8" spans="1:8" ht="25.35" customHeight="1" x14ac:dyDescent="0.3">
      <c r="A8" s="221" t="s">
        <v>248</v>
      </c>
      <c r="B8" s="224">
        <f t="shared" si="2"/>
        <v>36</v>
      </c>
      <c r="C8" s="227">
        <f>IFERROR(VLOOKUP(A8,'대신 피벗'!A:ST,10,FALSE),0)</f>
        <v>1</v>
      </c>
      <c r="D8" s="227">
        <f>IFERROR(ROUNDDOWN(C8/B8,0),"")</f>
        <v>0</v>
      </c>
      <c r="E8" s="51" t="s">
        <v>271</v>
      </c>
      <c r="F8" s="228">
        <f>IFERROR(C8-(D8*B8),"")</f>
        <v>1</v>
      </c>
      <c r="G8" s="67"/>
      <c r="H8" s="67"/>
    </row>
    <row r="9" spans="1:8" ht="25.35" customHeight="1" x14ac:dyDescent="0.3">
      <c r="A9" s="221" t="s">
        <v>246</v>
      </c>
      <c r="B9" s="224">
        <f t="shared" si="2"/>
        <v>36</v>
      </c>
      <c r="C9" s="227">
        <f>IFERROR(VLOOKUP(A9,'대신 피벗'!A:ST,10,FALSE),0)</f>
        <v>1</v>
      </c>
      <c r="D9" s="227">
        <f t="shared" si="0"/>
        <v>0</v>
      </c>
      <c r="E9" s="51" t="s">
        <v>270</v>
      </c>
      <c r="F9" s="228">
        <f t="shared" si="1"/>
        <v>1</v>
      </c>
      <c r="G9" s="67"/>
      <c r="H9" s="67"/>
    </row>
    <row r="10" spans="1:8" ht="25.35" customHeight="1" x14ac:dyDescent="0.3">
      <c r="A10" s="221" t="s">
        <v>256</v>
      </c>
      <c r="B10" s="224">
        <f t="shared" si="2"/>
        <v>36</v>
      </c>
      <c r="C10" s="227">
        <f>IFERROR(VLOOKUP(A10,'대신 피벗'!A:ST,10,FALSE),0)</f>
        <v>4</v>
      </c>
      <c r="D10" s="227">
        <f>IFERROR(ROUNDDOWN(C10/B10,0),"")</f>
        <v>0</v>
      </c>
      <c r="E10" s="51" t="s">
        <v>278</v>
      </c>
      <c r="F10" s="228">
        <f>IFERROR(C10-(D10*B10),"")</f>
        <v>4</v>
      </c>
      <c r="G10" s="67"/>
      <c r="H10" s="67"/>
    </row>
    <row r="11" spans="1:8" ht="25.35" customHeight="1" x14ac:dyDescent="0.3">
      <c r="A11" s="221" t="s">
        <v>247</v>
      </c>
      <c r="B11" s="224">
        <f t="shared" si="2"/>
        <v>36</v>
      </c>
      <c r="C11" s="227">
        <f>IFERROR(VLOOKUP(A11,'대신 피벗'!A:ST,10,FALSE),0)</f>
        <v>2</v>
      </c>
      <c r="D11" s="227">
        <f t="shared" si="0"/>
        <v>0</v>
      </c>
      <c r="E11" s="51" t="s">
        <v>334</v>
      </c>
      <c r="F11" s="228">
        <f t="shared" si="1"/>
        <v>2</v>
      </c>
      <c r="G11" s="67"/>
      <c r="H11" s="67"/>
    </row>
    <row r="12" spans="1:8" ht="25.35" customHeight="1" x14ac:dyDescent="0.3">
      <c r="A12" s="221" t="s">
        <v>251</v>
      </c>
      <c r="B12" s="224">
        <f t="shared" si="2"/>
        <v>36</v>
      </c>
      <c r="C12" s="227">
        <f>IFERROR(VLOOKUP(A12,'대신 피벗'!A:ST,10,FALSE),0)</f>
        <v>2</v>
      </c>
      <c r="D12" s="227">
        <f t="shared" si="0"/>
        <v>0</v>
      </c>
      <c r="E12" s="51" t="s">
        <v>274</v>
      </c>
      <c r="F12" s="228">
        <f t="shared" si="1"/>
        <v>2</v>
      </c>
      <c r="G12" s="67"/>
      <c r="H12" s="67"/>
    </row>
    <row r="13" spans="1:8" ht="25.35" customHeight="1" x14ac:dyDescent="0.3">
      <c r="A13" s="220" t="s">
        <v>252</v>
      </c>
      <c r="B13" s="224">
        <f t="shared" si="2"/>
        <v>36</v>
      </c>
      <c r="C13" s="227">
        <f>IFERROR(VLOOKUP(A13,'대신 피벗'!A:ST,10,FALSE),0)</f>
        <v>4</v>
      </c>
      <c r="D13" s="227">
        <f t="shared" si="0"/>
        <v>0</v>
      </c>
      <c r="E13" s="51" t="s">
        <v>275</v>
      </c>
      <c r="F13" s="228">
        <f t="shared" si="1"/>
        <v>4</v>
      </c>
      <c r="G13" s="67"/>
      <c r="H13" s="67"/>
    </row>
    <row r="14" spans="1:8" ht="25.35" customHeight="1" x14ac:dyDescent="0.3">
      <c r="A14" s="221" t="s">
        <v>253</v>
      </c>
      <c r="B14" s="224">
        <f t="shared" si="2"/>
        <v>36</v>
      </c>
      <c r="C14" s="227">
        <f>IFERROR(VLOOKUP(A14,'대신 피벗'!A:ST,10,FALSE),0)</f>
        <v>4</v>
      </c>
      <c r="D14" s="227">
        <f t="shared" si="0"/>
        <v>0</v>
      </c>
      <c r="E14" s="51" t="s">
        <v>276</v>
      </c>
      <c r="F14" s="228">
        <f t="shared" si="1"/>
        <v>4</v>
      </c>
      <c r="G14" s="67"/>
      <c r="H14" s="67"/>
    </row>
    <row r="15" spans="1:8" ht="25.35" customHeight="1" x14ac:dyDescent="0.3">
      <c r="A15" s="221" t="s">
        <v>254</v>
      </c>
      <c r="B15" s="224">
        <f t="shared" si="2"/>
        <v>36</v>
      </c>
      <c r="C15" s="227">
        <f>IFERROR(VLOOKUP(A15,'대신 피벗'!A:ST,10,FALSE),0)</f>
        <v>6</v>
      </c>
      <c r="D15" s="227">
        <f t="shared" si="0"/>
        <v>0</v>
      </c>
      <c r="E15" s="51" t="s">
        <v>277</v>
      </c>
      <c r="F15" s="228">
        <f t="shared" si="1"/>
        <v>6</v>
      </c>
      <c r="G15" s="67"/>
      <c r="H15" s="67"/>
    </row>
    <row r="16" spans="1:8" ht="25.35" customHeight="1" x14ac:dyDescent="0.3">
      <c r="A16" s="221" t="s">
        <v>257</v>
      </c>
      <c r="B16" s="224">
        <f t="shared" si="2"/>
        <v>36</v>
      </c>
      <c r="C16" s="227">
        <f>IFERROR(VLOOKUP(A16,'대신 피벗'!A:ST,10,FALSE),0)</f>
        <v>3</v>
      </c>
      <c r="D16" s="227">
        <f t="shared" si="0"/>
        <v>0</v>
      </c>
      <c r="E16" s="51" t="s">
        <v>279</v>
      </c>
      <c r="F16" s="228">
        <f t="shared" si="1"/>
        <v>3</v>
      </c>
      <c r="G16" s="67"/>
      <c r="H16" s="67"/>
    </row>
    <row r="17" spans="1:8" ht="25.35" customHeight="1" x14ac:dyDescent="0.3">
      <c r="A17" s="221" t="s">
        <v>258</v>
      </c>
      <c r="B17" s="224">
        <f t="shared" si="2"/>
        <v>36</v>
      </c>
      <c r="C17" s="227">
        <f>IFERROR(VLOOKUP(A17,'대신 피벗'!A:ST,10,FALSE),0)</f>
        <v>2</v>
      </c>
      <c r="D17" s="227">
        <f t="shared" si="0"/>
        <v>0</v>
      </c>
      <c r="E17" s="51" t="s">
        <v>280</v>
      </c>
      <c r="F17" s="228">
        <f t="shared" si="1"/>
        <v>2</v>
      </c>
      <c r="G17" s="67"/>
      <c r="H17" s="67"/>
    </row>
    <row r="18" spans="1:8" ht="25.35" customHeight="1" x14ac:dyDescent="0.3">
      <c r="A18" s="221" t="s">
        <v>259</v>
      </c>
      <c r="B18" s="224">
        <f t="shared" si="2"/>
        <v>36</v>
      </c>
      <c r="C18" s="227">
        <f>IFERROR(VLOOKUP(A18,'대신 피벗'!A:ST,10,FALSE),0)</f>
        <v>1</v>
      </c>
      <c r="D18" s="227">
        <f t="shared" si="0"/>
        <v>0</v>
      </c>
      <c r="E18" s="51" t="s">
        <v>336</v>
      </c>
      <c r="F18" s="228">
        <f t="shared" si="1"/>
        <v>1</v>
      </c>
      <c r="G18" s="67"/>
      <c r="H18" s="67"/>
    </row>
    <row r="19" spans="1:8" ht="4.5" customHeight="1" x14ac:dyDescent="0.3">
      <c r="A19" s="183"/>
      <c r="B19" s="50"/>
      <c r="C19" s="50"/>
      <c r="D19" s="50"/>
      <c r="E19" s="50"/>
      <c r="F19" s="184"/>
    </row>
    <row r="20" spans="1:8" ht="32.450000000000003" customHeight="1" x14ac:dyDescent="0.3">
      <c r="A20" s="209" t="s">
        <v>122</v>
      </c>
      <c r="B20" s="226">
        <f>$B$4</f>
        <v>36</v>
      </c>
      <c r="C20" s="210">
        <f>SUM(C4:C18)</f>
        <v>53</v>
      </c>
      <c r="D20" s="54">
        <f>IFERROR(ROUNDDOWN(C20/B20,0),"")</f>
        <v>1</v>
      </c>
      <c r="E20" s="36"/>
      <c r="F20" s="121">
        <f>IFERROR(C20-(D20*B20),"")</f>
        <v>17</v>
      </c>
    </row>
    <row r="21" spans="1:8" ht="4.5" customHeight="1" x14ac:dyDescent="0.3">
      <c r="A21" s="183"/>
      <c r="B21" s="224"/>
      <c r="C21" s="50"/>
      <c r="D21" s="50"/>
      <c r="E21" s="50"/>
      <c r="F21" s="184"/>
    </row>
    <row r="22" spans="1:8" ht="25.35" customHeight="1" x14ac:dyDescent="0.3">
      <c r="A22" s="221" t="s">
        <v>241</v>
      </c>
      <c r="B22" s="224">
        <f t="shared" ref="B22:B26" si="5">$B$4</f>
        <v>36</v>
      </c>
      <c r="C22" s="227">
        <f>IFERROR(VLOOKUP(A22,'대신 피벗'!A:ST,10,FALSE),0)</f>
        <v>6</v>
      </c>
      <c r="D22" s="227">
        <f>IFERROR(ROUNDDOWN(C22/B22,0),"")</f>
        <v>0</v>
      </c>
      <c r="E22" s="51" t="s">
        <v>268</v>
      </c>
      <c r="F22" s="228">
        <f>IFERROR(C22-(D22*B22),"")</f>
        <v>6</v>
      </c>
      <c r="G22" s="67"/>
      <c r="H22" s="67"/>
    </row>
    <row r="23" spans="1:8" ht="25.35" customHeight="1" x14ac:dyDescent="0.3">
      <c r="A23" s="221" t="s">
        <v>242</v>
      </c>
      <c r="B23" s="224">
        <f t="shared" si="5"/>
        <v>36</v>
      </c>
      <c r="C23" s="227">
        <f>IFERROR(VLOOKUP(A23,'대신 피벗'!A:ST,10,FALSE),0)</f>
        <v>2</v>
      </c>
      <c r="D23" s="227">
        <f>IFERROR(ROUNDDOWN(C23/B23,0),"")</f>
        <v>0</v>
      </c>
      <c r="E23" s="51" t="s">
        <v>337</v>
      </c>
      <c r="F23" s="228">
        <f>IFERROR(C23-(D23*B23),"")</f>
        <v>2</v>
      </c>
      <c r="G23" s="67"/>
      <c r="H23" s="67"/>
    </row>
    <row r="24" spans="1:8" ht="25.35" customHeight="1" x14ac:dyDescent="0.3">
      <c r="A24" s="221" t="s">
        <v>243</v>
      </c>
      <c r="B24" s="224">
        <f t="shared" si="5"/>
        <v>36</v>
      </c>
      <c r="C24" s="227">
        <f>IFERROR(VLOOKUP(A24,'대신 피벗'!A:ST,10,FALSE),0)</f>
        <v>0</v>
      </c>
      <c r="D24" s="227">
        <f>IFERROR(ROUNDDOWN(C24/B24,0),"")</f>
        <v>0</v>
      </c>
      <c r="E24" s="51" t="s">
        <v>106</v>
      </c>
      <c r="F24" s="228">
        <f>IFERROR(C24-(D24*B24),"")</f>
        <v>0</v>
      </c>
      <c r="G24" s="67"/>
      <c r="H24" s="67"/>
    </row>
    <row r="25" spans="1:8" ht="25.35" customHeight="1" x14ac:dyDescent="0.3">
      <c r="A25" s="221" t="s">
        <v>244</v>
      </c>
      <c r="B25" s="224">
        <f t="shared" si="5"/>
        <v>36</v>
      </c>
      <c r="C25" s="227">
        <f>IFERROR(VLOOKUP(A25,'대신 피벗'!A:ST,10,FALSE),0)</f>
        <v>4</v>
      </c>
      <c r="D25" s="227">
        <f>IFERROR(ROUNDDOWN(C25/B25,0),"")</f>
        <v>0</v>
      </c>
      <c r="E25" s="51" t="s">
        <v>269</v>
      </c>
      <c r="F25" s="228">
        <f>IFERROR(C25-(D25*B25),"")</f>
        <v>4</v>
      </c>
      <c r="G25" s="67"/>
      <c r="H25" s="67"/>
    </row>
    <row r="26" spans="1:8" ht="25.35" customHeight="1" x14ac:dyDescent="0.3">
      <c r="A26" s="221" t="s">
        <v>245</v>
      </c>
      <c r="B26" s="224">
        <f t="shared" si="5"/>
        <v>36</v>
      </c>
      <c r="C26" s="227">
        <f>IFERROR(VLOOKUP(A26,'대신 피벗'!A:ST,10,FALSE),0)</f>
        <v>1</v>
      </c>
      <c r="D26" s="227">
        <f>IFERROR(ROUNDDOWN(C26/B26,0),"")</f>
        <v>0</v>
      </c>
      <c r="E26" s="51" t="s">
        <v>118</v>
      </c>
      <c r="F26" s="228">
        <f>IFERROR(C26-(D26*B26),"")</f>
        <v>1</v>
      </c>
      <c r="G26" s="67"/>
      <c r="H26" s="67"/>
    </row>
    <row r="27" spans="1:8" ht="4.5" customHeight="1" x14ac:dyDescent="0.3">
      <c r="A27" s="183"/>
      <c r="B27" s="50"/>
      <c r="C27" s="50"/>
      <c r="D27" s="50"/>
      <c r="E27" s="50"/>
      <c r="F27" s="184"/>
      <c r="G27" s="67"/>
      <c r="H27" s="67"/>
    </row>
    <row r="28" spans="1:8" ht="32.450000000000003" customHeight="1" x14ac:dyDescent="0.3">
      <c r="A28" s="209" t="s">
        <v>285</v>
      </c>
      <c r="B28" s="226">
        <f>$B$4</f>
        <v>36</v>
      </c>
      <c r="C28" s="210">
        <f>SUM(C22:C26)</f>
        <v>13</v>
      </c>
      <c r="D28" s="54">
        <f>IFERROR(ROUNDDOWN(C28/B28,0),"")</f>
        <v>0</v>
      </c>
      <c r="E28" s="36"/>
      <c r="F28" s="121">
        <f>IFERROR(C28-(D28*B28),"")</f>
        <v>13</v>
      </c>
      <c r="G28" s="67"/>
      <c r="H28" s="67"/>
    </row>
    <row r="29" spans="1:8" ht="4.5" customHeight="1" x14ac:dyDescent="0.3">
      <c r="A29" s="183"/>
      <c r="B29" s="50"/>
      <c r="C29" s="50"/>
      <c r="D29" s="50"/>
      <c r="E29" s="50"/>
      <c r="F29" s="184"/>
      <c r="G29" s="67"/>
      <c r="H29" s="67"/>
    </row>
    <row r="30" spans="1:8" ht="25.35" customHeight="1" x14ac:dyDescent="0.3">
      <c r="A30" s="221" t="s">
        <v>239</v>
      </c>
      <c r="B30" s="224">
        <f t="shared" ref="B30:B31" si="6">$B$4</f>
        <v>36</v>
      </c>
      <c r="C30" s="227">
        <f>IFERROR(VLOOKUP(A30,'대신 피벗'!A:ST,10,FALSE),0)</f>
        <v>5</v>
      </c>
      <c r="D30" s="227">
        <f t="shared" ref="D30:D31" si="7">IFERROR(ROUNDDOWN(C30/B30,0),"")</f>
        <v>0</v>
      </c>
      <c r="E30" s="51" t="s">
        <v>266</v>
      </c>
      <c r="F30" s="228">
        <f t="shared" ref="F30:F31" si="8">IFERROR(C30-(D30*B30),"")</f>
        <v>5</v>
      </c>
      <c r="G30" s="67"/>
      <c r="H30" s="67"/>
    </row>
    <row r="31" spans="1:8" ht="25.35" customHeight="1" x14ac:dyDescent="0.3">
      <c r="A31" s="221" t="s">
        <v>240</v>
      </c>
      <c r="B31" s="224">
        <f t="shared" si="6"/>
        <v>36</v>
      </c>
      <c r="C31" s="227">
        <f>IFERROR(VLOOKUP(A31,'대신 피벗'!A:ST,10,FALSE),0)</f>
        <v>2</v>
      </c>
      <c r="D31" s="227">
        <f t="shared" si="7"/>
        <v>0</v>
      </c>
      <c r="E31" s="51" t="s">
        <v>267</v>
      </c>
      <c r="F31" s="228">
        <f t="shared" si="8"/>
        <v>2</v>
      </c>
      <c r="G31" s="67"/>
      <c r="H31" s="67"/>
    </row>
    <row r="32" spans="1:8" ht="4.5" customHeight="1" x14ac:dyDescent="0.3">
      <c r="A32" s="183"/>
      <c r="B32" s="50"/>
      <c r="C32" s="50"/>
      <c r="D32" s="50"/>
      <c r="E32" s="50"/>
      <c r="F32" s="184"/>
      <c r="G32" s="67"/>
      <c r="H32" s="67"/>
    </row>
    <row r="33" spans="1:8" ht="32.450000000000003" customHeight="1" x14ac:dyDescent="0.3">
      <c r="A33" s="209" t="s">
        <v>284</v>
      </c>
      <c r="B33" s="226">
        <f>$B$4</f>
        <v>36</v>
      </c>
      <c r="C33" s="210">
        <f>SUM(C30:C31)</f>
        <v>7</v>
      </c>
      <c r="D33" s="54">
        <f>IFERROR(ROUNDDOWN(C33/B33,0),"")</f>
        <v>0</v>
      </c>
      <c r="E33" s="36"/>
      <c r="F33" s="121">
        <f>IFERROR(C33-(D33*B33),"")</f>
        <v>7</v>
      </c>
      <c r="G33" s="67"/>
      <c r="H33" s="67"/>
    </row>
    <row r="34" spans="1:8" ht="4.5" customHeight="1" x14ac:dyDescent="0.3">
      <c r="A34" s="183"/>
      <c r="B34" s="224"/>
      <c r="C34" s="50"/>
      <c r="D34" s="50"/>
      <c r="E34" s="50"/>
      <c r="F34" s="184"/>
      <c r="G34" s="67"/>
      <c r="H34" s="67"/>
    </row>
    <row r="35" spans="1:8" ht="25.35" customHeight="1" x14ac:dyDescent="0.3">
      <c r="A35" s="221" t="s">
        <v>236</v>
      </c>
      <c r="B35" s="224">
        <f t="shared" ref="B35:B37" si="9">$B$4</f>
        <v>36</v>
      </c>
      <c r="C35" s="227">
        <f>IFERROR(VLOOKUP(A35,'대신 피벗'!A:ST,10,FALSE),0)</f>
        <v>3</v>
      </c>
      <c r="D35" s="227">
        <f>IFERROR(ROUNDDOWN(C35/B35,0),"")</f>
        <v>0</v>
      </c>
      <c r="E35" s="51" t="s">
        <v>264</v>
      </c>
      <c r="F35" s="228">
        <f>IFERROR(C35-(D35*B35),"")</f>
        <v>3</v>
      </c>
      <c r="G35" s="67"/>
      <c r="H35" s="67"/>
    </row>
    <row r="36" spans="1:8" ht="25.35" customHeight="1" x14ac:dyDescent="0.3">
      <c r="A36" s="221" t="s">
        <v>237</v>
      </c>
      <c r="B36" s="224">
        <f t="shared" si="9"/>
        <v>36</v>
      </c>
      <c r="C36" s="227">
        <f>IFERROR(VLOOKUP(A36,'대신 피벗'!A:ST,10,FALSE),0)</f>
        <v>2</v>
      </c>
      <c r="D36" s="227">
        <f t="shared" ref="D36:D37" si="10">IFERROR(ROUNDDOWN(C36/B36,0),"")</f>
        <v>0</v>
      </c>
      <c r="E36" s="51" t="s">
        <v>338</v>
      </c>
      <c r="F36" s="228">
        <f t="shared" ref="F36:F37" si="11">IFERROR(C36-(D36*B36),"")</f>
        <v>2</v>
      </c>
      <c r="G36" s="67"/>
      <c r="H36" s="67"/>
    </row>
    <row r="37" spans="1:8" ht="25.35" customHeight="1" x14ac:dyDescent="0.3">
      <c r="A37" s="221" t="s">
        <v>238</v>
      </c>
      <c r="B37" s="224">
        <f t="shared" si="9"/>
        <v>36</v>
      </c>
      <c r="C37" s="227">
        <f>IFERROR(VLOOKUP(A37,'대신 피벗'!A:ST,10,FALSE),0)</f>
        <v>0</v>
      </c>
      <c r="D37" s="227">
        <f t="shared" si="10"/>
        <v>0</v>
      </c>
      <c r="E37" s="51" t="s">
        <v>265</v>
      </c>
      <c r="F37" s="228">
        <f t="shared" si="11"/>
        <v>0</v>
      </c>
      <c r="G37" s="67"/>
      <c r="H37" s="67"/>
    </row>
    <row r="38" spans="1:8" ht="4.5" customHeight="1" x14ac:dyDescent="0.3">
      <c r="A38" s="183"/>
      <c r="B38" s="50"/>
      <c r="C38" s="50"/>
      <c r="D38" s="50"/>
      <c r="E38" s="50"/>
      <c r="F38" s="184"/>
      <c r="G38" s="67"/>
      <c r="H38" s="67"/>
    </row>
    <row r="39" spans="1:8" ht="32.450000000000003" customHeight="1" x14ac:dyDescent="0.3">
      <c r="A39" s="209" t="s">
        <v>283</v>
      </c>
      <c r="B39" s="226">
        <f>$B$4</f>
        <v>36</v>
      </c>
      <c r="C39" s="210">
        <f>SUM(C35:C37)</f>
        <v>5</v>
      </c>
      <c r="D39" s="54">
        <f>IFERROR(ROUNDDOWN(C39/B39,0),"")</f>
        <v>0</v>
      </c>
      <c r="E39" s="36"/>
      <c r="F39" s="121">
        <f>IFERROR(C39-(D39*B39),"")</f>
        <v>5</v>
      </c>
      <c r="G39" s="67"/>
      <c r="H39" s="67"/>
    </row>
    <row r="40" spans="1:8" ht="4.5" customHeight="1" x14ac:dyDescent="0.3">
      <c r="A40" s="183"/>
      <c r="B40" s="224"/>
      <c r="C40" s="50"/>
      <c r="D40" s="50"/>
      <c r="E40" s="50"/>
      <c r="F40" s="184"/>
      <c r="G40" s="67"/>
      <c r="H40" s="67"/>
    </row>
    <row r="41" spans="1:8" ht="25.35" customHeight="1" x14ac:dyDescent="0.3">
      <c r="A41" s="221" t="s">
        <v>261</v>
      </c>
      <c r="B41" s="224">
        <f t="shared" ref="B41:B42" si="12">$B$4</f>
        <v>36</v>
      </c>
      <c r="C41" s="227">
        <f>IFERROR(VLOOKUP(A41,'대신 피벗'!A:ST,10,FALSE),0)</f>
        <v>2</v>
      </c>
      <c r="D41" s="227">
        <f t="shared" ref="D41:D42" si="13">IFERROR(ROUNDDOWN(C41/B41,0),"")</f>
        <v>0</v>
      </c>
      <c r="E41" s="51" t="s">
        <v>281</v>
      </c>
      <c r="F41" s="228">
        <f t="shared" ref="F41:F42" si="14">IFERROR(C41-(D41*B41),"")</f>
        <v>2</v>
      </c>
      <c r="G41" s="67"/>
      <c r="H41" s="67"/>
    </row>
    <row r="42" spans="1:8" ht="25.35" customHeight="1" x14ac:dyDescent="0.3">
      <c r="A42" s="221" t="s">
        <v>262</v>
      </c>
      <c r="B42" s="224">
        <f t="shared" si="12"/>
        <v>36</v>
      </c>
      <c r="C42" s="227">
        <f>IFERROR(VLOOKUP(A42,'대신 피벗'!A:ST,10,FALSE),0)</f>
        <v>2</v>
      </c>
      <c r="D42" s="227">
        <f t="shared" si="13"/>
        <v>0</v>
      </c>
      <c r="E42" s="51" t="s">
        <v>282</v>
      </c>
      <c r="F42" s="228">
        <f t="shared" si="14"/>
        <v>2</v>
      </c>
      <c r="G42" s="67"/>
      <c r="H42" s="67"/>
    </row>
    <row r="43" spans="1:8" ht="4.5" customHeight="1" x14ac:dyDescent="0.3">
      <c r="A43" s="183"/>
      <c r="B43" s="50"/>
      <c r="C43" s="50"/>
      <c r="D43" s="50"/>
      <c r="E43" s="50"/>
      <c r="F43" s="184"/>
      <c r="G43" s="67"/>
      <c r="H43" s="67"/>
    </row>
    <row r="44" spans="1:8" ht="32.450000000000003" customHeight="1" x14ac:dyDescent="0.3">
      <c r="A44" s="209" t="s">
        <v>339</v>
      </c>
      <c r="B44" s="226">
        <f>$B$4</f>
        <v>36</v>
      </c>
      <c r="C44" s="210">
        <f>SUM(C41:C42)</f>
        <v>4</v>
      </c>
      <c r="D44" s="54">
        <f>IFERROR(ROUNDDOWN(C44/B44,0),"")</f>
        <v>0</v>
      </c>
      <c r="E44" s="36"/>
      <c r="F44" s="121">
        <f>IFERROR(C44-(D44*B44),"")</f>
        <v>4</v>
      </c>
      <c r="G44" s="67"/>
      <c r="H44" s="67"/>
    </row>
    <row r="45" spans="1:8" ht="4.5" customHeight="1" thickBot="1" x14ac:dyDescent="0.35">
      <c r="A45" s="183"/>
      <c r="B45" s="50"/>
      <c r="C45" s="50"/>
      <c r="D45" s="50"/>
      <c r="E45" s="50"/>
      <c r="F45" s="184"/>
      <c r="G45" s="67"/>
      <c r="H45" s="67"/>
    </row>
    <row r="46" spans="1:8" ht="26.25" x14ac:dyDescent="0.3">
      <c r="A46" s="87" t="s">
        <v>3</v>
      </c>
      <c r="B46" s="226">
        <f>$B$4</f>
        <v>36</v>
      </c>
      <c r="C46" s="55">
        <f>SUM(C4:C18,C35:C37,C30:C31,C22:C26,C41:C42)</f>
        <v>82</v>
      </c>
      <c r="D46" s="54">
        <f>IFERROR(ROUNDDOWN(C46/B46,0),"")</f>
        <v>2</v>
      </c>
      <c r="E46" s="56"/>
      <c r="F46" s="121">
        <f>IFERROR(C46-(D46*B46),"")</f>
        <v>10</v>
      </c>
      <c r="G46" s="232" t="s">
        <v>110</v>
      </c>
      <c r="H46" s="233" t="s">
        <v>111</v>
      </c>
    </row>
    <row r="47" spans="1:8" ht="27" thickBot="1" x14ac:dyDescent="0.35">
      <c r="A47" s="42" t="s">
        <v>286</v>
      </c>
      <c r="B47" s="43" t="s">
        <v>173</v>
      </c>
      <c r="C47" s="40"/>
      <c r="D47" s="41">
        <f>SUM(D4:D18,D35:D37,D30:D31,D22:D26,D41:D42)</f>
        <v>0</v>
      </c>
      <c r="E47" s="48"/>
      <c r="F47" s="93">
        <f>SUM(F4:F18,F35:F37,F30:F31,F22:F26,F41:F42)</f>
        <v>82</v>
      </c>
      <c r="G47" s="216">
        <f>IFERROR(ROUNDDOWN(F47/B35,0),"")</f>
        <v>2</v>
      </c>
      <c r="H47" s="217">
        <f>IFERROR(F47-(G47*B35),"")</f>
        <v>10</v>
      </c>
    </row>
    <row r="48" spans="1:8" ht="22.5" customHeight="1" x14ac:dyDescent="0.3">
      <c r="C48" s="77">
        <f>C20+C28+C33+C39+C44</f>
        <v>82</v>
      </c>
      <c r="G48" s="199"/>
      <c r="H48" s="34" t="s">
        <v>174</v>
      </c>
    </row>
    <row r="49" spans="3:3" x14ac:dyDescent="0.3">
      <c r="C49" s="34" t="b">
        <f>C48=C46</f>
        <v>1</v>
      </c>
    </row>
  </sheetData>
  <mergeCells count="1">
    <mergeCell ref="A1:F1"/>
  </mergeCells>
  <phoneticPr fontId="13" type="noConversion"/>
  <printOptions horizontalCentered="1" verticalCentered="1"/>
  <pageMargins left="0" right="0" top="0" bottom="0" header="0" footer="0"/>
  <pageSetup paperSize="9" scale="77" orientation="portrait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818C2E-CCAD-4FA6-8BAF-88F786ED0A76}">
  <sheetPr>
    <tabColor rgb="FF7030A0"/>
    <pageSetUpPr fitToPage="1"/>
  </sheetPr>
  <dimension ref="A1:H49"/>
  <sheetViews>
    <sheetView zoomScale="40" zoomScaleNormal="40" zoomScaleSheetLayoutView="75" workbookViewId="0">
      <selection activeCell="A2" sqref="A2:F47"/>
    </sheetView>
  </sheetViews>
  <sheetFormatPr defaultColWidth="9" defaultRowHeight="16.5" x14ac:dyDescent="0.3"/>
  <cols>
    <col min="1" max="1" width="24.75" style="34" customWidth="1"/>
    <col min="2" max="2" width="7.625" style="38" customWidth="1"/>
    <col min="3" max="3" width="30.625" style="34" customWidth="1"/>
    <col min="4" max="4" width="9.875" style="2" customWidth="1"/>
    <col min="5" max="5" width="11.375" style="34" customWidth="1"/>
    <col min="6" max="6" width="11.125" style="2" customWidth="1"/>
    <col min="7" max="7" width="8.375" style="34" customWidth="1"/>
    <col min="8" max="8" width="9" style="34" customWidth="1"/>
    <col min="9" max="13" width="9" style="34"/>
    <col min="14" max="14" width="10.625" style="34" customWidth="1"/>
    <col min="15" max="17" width="9" style="34"/>
    <col min="18" max="18" width="36.5" style="34" bestFit="1" customWidth="1"/>
    <col min="19" max="16384" width="9" style="34"/>
  </cols>
  <sheetData>
    <row r="1" spans="1:8" ht="25.9" customHeight="1" thickBot="1" x14ac:dyDescent="0.35">
      <c r="A1" s="270"/>
      <c r="B1" s="270"/>
      <c r="C1" s="270"/>
      <c r="D1" s="270"/>
      <c r="E1" s="270"/>
      <c r="F1" s="270"/>
    </row>
    <row r="2" spans="1:8" ht="25.9" customHeight="1" x14ac:dyDescent="0.3">
      <c r="A2" s="215">
        <f ca="1">TODAY()</f>
        <v>46314</v>
      </c>
      <c r="B2" s="261" t="s">
        <v>346</v>
      </c>
      <c r="C2" s="262"/>
      <c r="D2" s="262"/>
      <c r="E2" s="262"/>
      <c r="F2" s="263"/>
      <c r="G2" s="67"/>
      <c r="H2" s="67"/>
    </row>
    <row r="3" spans="1:8" ht="40.15" customHeight="1" x14ac:dyDescent="0.3">
      <c r="A3" s="222" t="s">
        <v>67</v>
      </c>
      <c r="B3" s="223" t="s">
        <v>13</v>
      </c>
      <c r="C3" s="229" t="s">
        <v>328</v>
      </c>
      <c r="D3" s="230" t="s">
        <v>2</v>
      </c>
      <c r="E3" s="229" t="s">
        <v>23</v>
      </c>
      <c r="F3" s="231" t="s">
        <v>14</v>
      </c>
      <c r="G3" s="67"/>
      <c r="H3" s="67"/>
    </row>
    <row r="4" spans="1:8" ht="25.35" customHeight="1" x14ac:dyDescent="0.3">
      <c r="A4" s="220" t="s">
        <v>260</v>
      </c>
      <c r="B4" s="224">
        <v>36</v>
      </c>
      <c r="C4" s="227">
        <f>IFERROR(VLOOKUP(A4,'대신 피벗'!A:ST,11,FALSE),0)</f>
        <v>2</v>
      </c>
      <c r="D4" s="227">
        <f t="shared" ref="D4:D18" si="0">IFERROR(ROUNDDOWN(C4/B4,0),"")</f>
        <v>0</v>
      </c>
      <c r="E4" s="51" t="s">
        <v>109</v>
      </c>
      <c r="F4" s="228">
        <f t="shared" ref="F4:F18" si="1">IFERROR(C4-(D4*B4),"")</f>
        <v>2</v>
      </c>
      <c r="G4" s="67"/>
      <c r="H4" s="67"/>
    </row>
    <row r="5" spans="1:8" ht="25.35" customHeight="1" x14ac:dyDescent="0.3">
      <c r="A5" s="221" t="s">
        <v>255</v>
      </c>
      <c r="B5" s="224">
        <f t="shared" ref="B5:B18" si="2">$B$4</f>
        <v>36</v>
      </c>
      <c r="C5" s="227">
        <f>IFERROR(VLOOKUP(A5,'대신 피벗'!A:ST,11,FALSE),0)</f>
        <v>28</v>
      </c>
      <c r="D5" s="227">
        <f t="shared" ref="D5" si="3">IFERROR(ROUNDDOWN(C5/B5,0),"")</f>
        <v>0</v>
      </c>
      <c r="E5" s="51" t="s">
        <v>335</v>
      </c>
      <c r="F5" s="228">
        <f t="shared" ref="F5" si="4">IFERROR(C5-(D5*B5),"")</f>
        <v>28</v>
      </c>
      <c r="G5" s="67"/>
      <c r="H5" s="67"/>
    </row>
    <row r="6" spans="1:8" ht="25.35" customHeight="1" x14ac:dyDescent="0.3">
      <c r="A6" s="221" t="s">
        <v>249</v>
      </c>
      <c r="B6" s="224">
        <f t="shared" si="2"/>
        <v>36</v>
      </c>
      <c r="C6" s="227">
        <f>IFERROR(VLOOKUP(A6,'대신 피벗'!A:ST,11,FALSE),0)</f>
        <v>11</v>
      </c>
      <c r="D6" s="227">
        <f>IFERROR(ROUNDDOWN(C6/B6,0),"")</f>
        <v>0</v>
      </c>
      <c r="E6" s="51" t="s">
        <v>272</v>
      </c>
      <c r="F6" s="228">
        <f>IFERROR(C6-(D6*B6),"")</f>
        <v>11</v>
      </c>
      <c r="G6" s="67"/>
      <c r="H6" s="67"/>
    </row>
    <row r="7" spans="1:8" ht="25.35" customHeight="1" x14ac:dyDescent="0.3">
      <c r="A7" s="221" t="s">
        <v>250</v>
      </c>
      <c r="B7" s="224">
        <f t="shared" si="2"/>
        <v>36</v>
      </c>
      <c r="C7" s="227">
        <f>IFERROR(VLOOKUP(A7,'대신 피벗'!A:ST,11,FALSE),0)</f>
        <v>9</v>
      </c>
      <c r="D7" s="227">
        <f>IFERROR(ROUNDDOWN(C7/B7,0),"")</f>
        <v>0</v>
      </c>
      <c r="E7" s="51" t="s">
        <v>273</v>
      </c>
      <c r="F7" s="228">
        <f>IFERROR(C7-(D7*B7),"")</f>
        <v>9</v>
      </c>
      <c r="G7" s="67"/>
      <c r="H7" s="67"/>
    </row>
    <row r="8" spans="1:8" ht="25.35" customHeight="1" x14ac:dyDescent="0.3">
      <c r="A8" s="221" t="s">
        <v>248</v>
      </c>
      <c r="B8" s="224">
        <f t="shared" si="2"/>
        <v>36</v>
      </c>
      <c r="C8" s="227">
        <f>IFERROR(VLOOKUP(A8,'대신 피벗'!A:ST,11,FALSE),0)</f>
        <v>5</v>
      </c>
      <c r="D8" s="227">
        <f>IFERROR(ROUNDDOWN(C8/B8,0),"")</f>
        <v>0</v>
      </c>
      <c r="E8" s="51" t="s">
        <v>271</v>
      </c>
      <c r="F8" s="228">
        <f>IFERROR(C8-(D8*B8),"")</f>
        <v>5</v>
      </c>
      <c r="G8" s="67"/>
      <c r="H8" s="67"/>
    </row>
    <row r="9" spans="1:8" ht="25.35" customHeight="1" x14ac:dyDescent="0.3">
      <c r="A9" s="221" t="s">
        <v>246</v>
      </c>
      <c r="B9" s="224">
        <f t="shared" si="2"/>
        <v>36</v>
      </c>
      <c r="C9" s="227">
        <f>IFERROR(VLOOKUP(A9,'대신 피벗'!A:ST,11,FALSE),0)</f>
        <v>7</v>
      </c>
      <c r="D9" s="227">
        <f t="shared" si="0"/>
        <v>0</v>
      </c>
      <c r="E9" s="51" t="s">
        <v>270</v>
      </c>
      <c r="F9" s="228">
        <f t="shared" si="1"/>
        <v>7</v>
      </c>
      <c r="G9" s="67"/>
      <c r="H9" s="67"/>
    </row>
    <row r="10" spans="1:8" ht="25.35" customHeight="1" x14ac:dyDescent="0.3">
      <c r="A10" s="221" t="s">
        <v>256</v>
      </c>
      <c r="B10" s="224">
        <f t="shared" si="2"/>
        <v>36</v>
      </c>
      <c r="C10" s="227">
        <f>IFERROR(VLOOKUP(A10,'대신 피벗'!A:ST,11,FALSE),0)</f>
        <v>7</v>
      </c>
      <c r="D10" s="227">
        <f>IFERROR(ROUNDDOWN(C10/B10,0),"")</f>
        <v>0</v>
      </c>
      <c r="E10" s="51" t="s">
        <v>278</v>
      </c>
      <c r="F10" s="228">
        <f>IFERROR(C10-(D10*B10),"")</f>
        <v>7</v>
      </c>
      <c r="G10" s="67"/>
      <c r="H10" s="67"/>
    </row>
    <row r="11" spans="1:8" ht="25.35" customHeight="1" x14ac:dyDescent="0.3">
      <c r="A11" s="221" t="s">
        <v>247</v>
      </c>
      <c r="B11" s="224">
        <f t="shared" si="2"/>
        <v>36</v>
      </c>
      <c r="C11" s="227">
        <f>IFERROR(VLOOKUP(A11,'대신 피벗'!A:ST,11,FALSE),0)</f>
        <v>5</v>
      </c>
      <c r="D11" s="227">
        <f t="shared" si="0"/>
        <v>0</v>
      </c>
      <c r="E11" s="51" t="s">
        <v>334</v>
      </c>
      <c r="F11" s="228">
        <f t="shared" si="1"/>
        <v>5</v>
      </c>
      <c r="G11" s="67"/>
      <c r="H11" s="67"/>
    </row>
    <row r="12" spans="1:8" ht="25.35" customHeight="1" x14ac:dyDescent="0.3">
      <c r="A12" s="221" t="s">
        <v>251</v>
      </c>
      <c r="B12" s="224">
        <f t="shared" si="2"/>
        <v>36</v>
      </c>
      <c r="C12" s="227">
        <f>IFERROR(VLOOKUP(A12,'대신 피벗'!A:ST,11,FALSE),0)</f>
        <v>9</v>
      </c>
      <c r="D12" s="227">
        <f t="shared" si="0"/>
        <v>0</v>
      </c>
      <c r="E12" s="51" t="s">
        <v>274</v>
      </c>
      <c r="F12" s="228">
        <f t="shared" si="1"/>
        <v>9</v>
      </c>
      <c r="G12" s="67"/>
      <c r="H12" s="67"/>
    </row>
    <row r="13" spans="1:8" ht="25.35" customHeight="1" x14ac:dyDescent="0.3">
      <c r="A13" s="220" t="s">
        <v>252</v>
      </c>
      <c r="B13" s="224">
        <f t="shared" si="2"/>
        <v>36</v>
      </c>
      <c r="C13" s="227">
        <f>IFERROR(VLOOKUP(A13,'대신 피벗'!A:ST,11,FALSE),0)</f>
        <v>18</v>
      </c>
      <c r="D13" s="227">
        <f t="shared" si="0"/>
        <v>0</v>
      </c>
      <c r="E13" s="51" t="s">
        <v>275</v>
      </c>
      <c r="F13" s="228">
        <f t="shared" si="1"/>
        <v>18</v>
      </c>
      <c r="G13" s="67"/>
      <c r="H13" s="67"/>
    </row>
    <row r="14" spans="1:8" ht="25.35" customHeight="1" x14ac:dyDescent="0.3">
      <c r="A14" s="221" t="s">
        <v>253</v>
      </c>
      <c r="B14" s="224">
        <f t="shared" si="2"/>
        <v>36</v>
      </c>
      <c r="C14" s="227">
        <f>IFERROR(VLOOKUP(A14,'대신 피벗'!A:ST,11,FALSE),0)</f>
        <v>13</v>
      </c>
      <c r="D14" s="227">
        <f t="shared" si="0"/>
        <v>0</v>
      </c>
      <c r="E14" s="51" t="s">
        <v>276</v>
      </c>
      <c r="F14" s="228">
        <f t="shared" si="1"/>
        <v>13</v>
      </c>
      <c r="G14" s="67"/>
      <c r="H14" s="67"/>
    </row>
    <row r="15" spans="1:8" ht="25.35" customHeight="1" x14ac:dyDescent="0.3">
      <c r="A15" s="221" t="s">
        <v>254</v>
      </c>
      <c r="B15" s="224">
        <f t="shared" si="2"/>
        <v>36</v>
      </c>
      <c r="C15" s="227">
        <f>IFERROR(VLOOKUP(A15,'대신 피벗'!A:ST,11,FALSE),0)</f>
        <v>14</v>
      </c>
      <c r="D15" s="227">
        <f t="shared" si="0"/>
        <v>0</v>
      </c>
      <c r="E15" s="51" t="s">
        <v>277</v>
      </c>
      <c r="F15" s="228">
        <f t="shared" si="1"/>
        <v>14</v>
      </c>
      <c r="G15" s="67"/>
      <c r="H15" s="67"/>
    </row>
    <row r="16" spans="1:8" ht="25.35" customHeight="1" x14ac:dyDescent="0.3">
      <c r="A16" s="221" t="s">
        <v>257</v>
      </c>
      <c r="B16" s="224">
        <f t="shared" si="2"/>
        <v>36</v>
      </c>
      <c r="C16" s="227">
        <f>IFERROR(VLOOKUP(A16,'대신 피벗'!A:ST,11,FALSE),0)</f>
        <v>10</v>
      </c>
      <c r="D16" s="227">
        <f t="shared" si="0"/>
        <v>0</v>
      </c>
      <c r="E16" s="51" t="s">
        <v>279</v>
      </c>
      <c r="F16" s="228">
        <f t="shared" si="1"/>
        <v>10</v>
      </c>
      <c r="G16" s="67"/>
      <c r="H16" s="67"/>
    </row>
    <row r="17" spans="1:8" ht="25.35" customHeight="1" x14ac:dyDescent="0.3">
      <c r="A17" s="221" t="s">
        <v>258</v>
      </c>
      <c r="B17" s="224">
        <f t="shared" si="2"/>
        <v>36</v>
      </c>
      <c r="C17" s="227">
        <f>IFERROR(VLOOKUP(A17,'대신 피벗'!A:ST,11,FALSE),0)</f>
        <v>3</v>
      </c>
      <c r="D17" s="227">
        <f t="shared" si="0"/>
        <v>0</v>
      </c>
      <c r="E17" s="51" t="s">
        <v>280</v>
      </c>
      <c r="F17" s="228">
        <f t="shared" si="1"/>
        <v>3</v>
      </c>
      <c r="G17" s="67"/>
      <c r="H17" s="67"/>
    </row>
    <row r="18" spans="1:8" ht="25.35" customHeight="1" x14ac:dyDescent="0.3">
      <c r="A18" s="221" t="s">
        <v>259</v>
      </c>
      <c r="B18" s="224">
        <f t="shared" si="2"/>
        <v>36</v>
      </c>
      <c r="C18" s="227">
        <f>IFERROR(VLOOKUP(A18,'대신 피벗'!A:ST,11,FALSE),0)</f>
        <v>7</v>
      </c>
      <c r="D18" s="227">
        <f t="shared" si="0"/>
        <v>0</v>
      </c>
      <c r="E18" s="51" t="s">
        <v>336</v>
      </c>
      <c r="F18" s="228">
        <f t="shared" si="1"/>
        <v>7</v>
      </c>
      <c r="G18" s="67"/>
      <c r="H18" s="67"/>
    </row>
    <row r="19" spans="1:8" ht="4.5" customHeight="1" x14ac:dyDescent="0.3">
      <c r="A19" s="258"/>
      <c r="B19" s="259"/>
      <c r="C19" s="259"/>
      <c r="D19" s="259"/>
      <c r="E19" s="259"/>
      <c r="F19" s="260"/>
    </row>
    <row r="20" spans="1:8" ht="32.450000000000003" customHeight="1" x14ac:dyDescent="0.3">
      <c r="A20" s="209" t="s">
        <v>122</v>
      </c>
      <c r="B20" s="226">
        <f>$B$4</f>
        <v>36</v>
      </c>
      <c r="C20" s="210">
        <f>SUM(C4:C18)</f>
        <v>148</v>
      </c>
      <c r="D20" s="54">
        <f>IFERROR(ROUNDDOWN(C20/B20,0),"")</f>
        <v>4</v>
      </c>
      <c r="E20" s="36"/>
      <c r="F20" s="121">
        <f>IFERROR(C20-(D20*B20),"")</f>
        <v>4</v>
      </c>
    </row>
    <row r="21" spans="1:8" ht="4.5" customHeight="1" x14ac:dyDescent="0.3">
      <c r="A21" s="183"/>
      <c r="B21" s="224"/>
      <c r="C21" s="50"/>
      <c r="D21" s="50"/>
      <c r="E21" s="50"/>
      <c r="F21" s="184"/>
    </row>
    <row r="22" spans="1:8" ht="25.35" customHeight="1" x14ac:dyDescent="0.3">
      <c r="A22" s="221" t="s">
        <v>241</v>
      </c>
      <c r="B22" s="224">
        <f t="shared" ref="B22:B26" si="5">$B$4</f>
        <v>36</v>
      </c>
      <c r="C22" s="227">
        <f>IFERROR(VLOOKUP(A22,'대신 피벗'!A:ST,11,FALSE),0)</f>
        <v>4</v>
      </c>
      <c r="D22" s="227">
        <f>IFERROR(ROUNDDOWN(C22/B22,0),"")</f>
        <v>0</v>
      </c>
      <c r="E22" s="51" t="s">
        <v>268</v>
      </c>
      <c r="F22" s="228">
        <f>IFERROR(C22-(D22*B22),"")</f>
        <v>4</v>
      </c>
      <c r="G22" s="67"/>
      <c r="H22" s="67"/>
    </row>
    <row r="23" spans="1:8" ht="25.35" customHeight="1" x14ac:dyDescent="0.3">
      <c r="A23" s="221" t="s">
        <v>242</v>
      </c>
      <c r="B23" s="224">
        <f t="shared" si="5"/>
        <v>36</v>
      </c>
      <c r="C23" s="227">
        <f>IFERROR(VLOOKUP(A23,'대신 피벗'!A:ST,11,FALSE),0)</f>
        <v>3</v>
      </c>
      <c r="D23" s="227">
        <f>IFERROR(ROUNDDOWN(C23/B23,0),"")</f>
        <v>0</v>
      </c>
      <c r="E23" s="51" t="s">
        <v>337</v>
      </c>
      <c r="F23" s="228">
        <f>IFERROR(C23-(D23*B23),"")</f>
        <v>3</v>
      </c>
      <c r="G23" s="67"/>
      <c r="H23" s="67"/>
    </row>
    <row r="24" spans="1:8" ht="25.35" customHeight="1" x14ac:dyDescent="0.3">
      <c r="A24" s="221" t="s">
        <v>243</v>
      </c>
      <c r="B24" s="224">
        <f t="shared" si="5"/>
        <v>36</v>
      </c>
      <c r="C24" s="227">
        <f>IFERROR(VLOOKUP(A24,'대신 피벗'!A:ST,11,FALSE),0)</f>
        <v>0</v>
      </c>
      <c r="D24" s="227">
        <f>IFERROR(ROUNDDOWN(C24/B24,0),"")</f>
        <v>0</v>
      </c>
      <c r="E24" s="51" t="s">
        <v>106</v>
      </c>
      <c r="F24" s="228">
        <f>IFERROR(C24-(D24*B24),"")</f>
        <v>0</v>
      </c>
      <c r="G24" s="67"/>
      <c r="H24" s="67"/>
    </row>
    <row r="25" spans="1:8" ht="25.35" customHeight="1" x14ac:dyDescent="0.3">
      <c r="A25" s="221" t="s">
        <v>244</v>
      </c>
      <c r="B25" s="224">
        <f t="shared" si="5"/>
        <v>36</v>
      </c>
      <c r="C25" s="227">
        <f>IFERROR(VLOOKUP(A25,'대신 피벗'!A:ST,11,FALSE),0)</f>
        <v>5</v>
      </c>
      <c r="D25" s="227">
        <f>IFERROR(ROUNDDOWN(C25/B25,0),"")</f>
        <v>0</v>
      </c>
      <c r="E25" s="51" t="s">
        <v>269</v>
      </c>
      <c r="F25" s="228">
        <f>IFERROR(C25-(D25*B25),"")</f>
        <v>5</v>
      </c>
      <c r="G25" s="67"/>
      <c r="H25" s="67"/>
    </row>
    <row r="26" spans="1:8" ht="25.35" customHeight="1" x14ac:dyDescent="0.3">
      <c r="A26" s="221" t="s">
        <v>245</v>
      </c>
      <c r="B26" s="224">
        <f t="shared" si="5"/>
        <v>36</v>
      </c>
      <c r="C26" s="227">
        <f>IFERROR(VLOOKUP(A26,'대신 피벗'!A:ST,11,FALSE),0)</f>
        <v>3</v>
      </c>
      <c r="D26" s="227">
        <f>IFERROR(ROUNDDOWN(C26/B26,0),"")</f>
        <v>0</v>
      </c>
      <c r="E26" s="51" t="s">
        <v>118</v>
      </c>
      <c r="F26" s="228">
        <f>IFERROR(C26-(D26*B26),"")</f>
        <v>3</v>
      </c>
      <c r="G26" s="67"/>
      <c r="H26" s="67"/>
    </row>
    <row r="27" spans="1:8" ht="4.5" customHeight="1" x14ac:dyDescent="0.3">
      <c r="A27" s="258"/>
      <c r="B27" s="259"/>
      <c r="C27" s="259"/>
      <c r="D27" s="259"/>
      <c r="E27" s="259"/>
      <c r="F27" s="260"/>
      <c r="G27" s="67"/>
      <c r="H27" s="67"/>
    </row>
    <row r="28" spans="1:8" ht="32.450000000000003" customHeight="1" x14ac:dyDescent="0.3">
      <c r="A28" s="209" t="s">
        <v>285</v>
      </c>
      <c r="B28" s="226">
        <f>$B$4</f>
        <v>36</v>
      </c>
      <c r="C28" s="210">
        <f>SUM(C22:C26)</f>
        <v>15</v>
      </c>
      <c r="D28" s="54">
        <f>IFERROR(ROUNDDOWN(C28/B28,0),"")</f>
        <v>0</v>
      </c>
      <c r="E28" s="36"/>
      <c r="F28" s="121">
        <f>IFERROR(C28-(D28*B28),"")</f>
        <v>15</v>
      </c>
      <c r="G28" s="67"/>
      <c r="H28" s="67"/>
    </row>
    <row r="29" spans="1:8" ht="4.5" customHeight="1" x14ac:dyDescent="0.3">
      <c r="A29" s="258"/>
      <c r="B29" s="259"/>
      <c r="C29" s="259"/>
      <c r="D29" s="259"/>
      <c r="E29" s="259"/>
      <c r="F29" s="260"/>
      <c r="G29" s="67"/>
      <c r="H29" s="67"/>
    </row>
    <row r="30" spans="1:8" ht="25.35" customHeight="1" x14ac:dyDescent="0.3">
      <c r="A30" s="221" t="s">
        <v>239</v>
      </c>
      <c r="B30" s="224">
        <f t="shared" ref="B30:B31" si="6">$B$4</f>
        <v>36</v>
      </c>
      <c r="C30" s="227">
        <f>IFERROR(VLOOKUP(A30,'대신 피벗'!A:ST,11,FALSE),0)</f>
        <v>4</v>
      </c>
      <c r="D30" s="227">
        <f t="shared" ref="D30:D31" si="7">IFERROR(ROUNDDOWN(C30/B30,0),"")</f>
        <v>0</v>
      </c>
      <c r="E30" s="51" t="s">
        <v>266</v>
      </c>
      <c r="F30" s="228">
        <f t="shared" ref="F30:F31" si="8">IFERROR(C30-(D30*B30),"")</f>
        <v>4</v>
      </c>
      <c r="G30" s="67"/>
      <c r="H30" s="67"/>
    </row>
    <row r="31" spans="1:8" ht="25.35" customHeight="1" x14ac:dyDescent="0.3">
      <c r="A31" s="221" t="s">
        <v>240</v>
      </c>
      <c r="B31" s="224">
        <f t="shared" si="6"/>
        <v>36</v>
      </c>
      <c r="C31" s="227">
        <f>IFERROR(VLOOKUP(A31,'대신 피벗'!A:ST,11,FALSE),0)</f>
        <v>9</v>
      </c>
      <c r="D31" s="227">
        <f t="shared" si="7"/>
        <v>0</v>
      </c>
      <c r="E31" s="51" t="s">
        <v>267</v>
      </c>
      <c r="F31" s="228">
        <f t="shared" si="8"/>
        <v>9</v>
      </c>
      <c r="G31" s="67"/>
      <c r="H31" s="67"/>
    </row>
    <row r="32" spans="1:8" ht="4.5" customHeight="1" x14ac:dyDescent="0.3">
      <c r="A32" s="258"/>
      <c r="B32" s="259"/>
      <c r="C32" s="259"/>
      <c r="D32" s="259"/>
      <c r="E32" s="259"/>
      <c r="F32" s="260"/>
      <c r="G32" s="67"/>
      <c r="H32" s="67"/>
    </row>
    <row r="33" spans="1:8" ht="32.450000000000003" customHeight="1" x14ac:dyDescent="0.3">
      <c r="A33" s="209" t="s">
        <v>284</v>
      </c>
      <c r="B33" s="226">
        <f>$B$4</f>
        <v>36</v>
      </c>
      <c r="C33" s="210">
        <f>SUM(C30:C31)</f>
        <v>13</v>
      </c>
      <c r="D33" s="54">
        <f>IFERROR(ROUNDDOWN(C33/B33,0),"")</f>
        <v>0</v>
      </c>
      <c r="E33" s="36"/>
      <c r="F33" s="121">
        <f>IFERROR(C33-(D33*B33),"")</f>
        <v>13</v>
      </c>
      <c r="G33" s="67"/>
      <c r="H33" s="67"/>
    </row>
    <row r="34" spans="1:8" ht="4.5" customHeight="1" x14ac:dyDescent="0.3">
      <c r="A34" s="183"/>
      <c r="B34" s="224"/>
      <c r="C34" s="50"/>
      <c r="D34" s="50"/>
      <c r="E34" s="50"/>
      <c r="F34" s="184"/>
      <c r="G34" s="67"/>
      <c r="H34" s="67"/>
    </row>
    <row r="35" spans="1:8" ht="25.35" customHeight="1" x14ac:dyDescent="0.3">
      <c r="A35" s="221" t="s">
        <v>236</v>
      </c>
      <c r="B35" s="224">
        <f t="shared" ref="B35:B37" si="9">$B$4</f>
        <v>36</v>
      </c>
      <c r="C35" s="227">
        <f>IFERROR(VLOOKUP(A35,'대신 피벗'!A:ST,11,FALSE),0)</f>
        <v>6</v>
      </c>
      <c r="D35" s="227">
        <f>IFERROR(ROUNDDOWN(C35/B35,0),"")</f>
        <v>0</v>
      </c>
      <c r="E35" s="51" t="s">
        <v>264</v>
      </c>
      <c r="F35" s="228">
        <f>IFERROR(C35-(D35*B35),"")</f>
        <v>6</v>
      </c>
      <c r="G35" s="67"/>
      <c r="H35" s="67"/>
    </row>
    <row r="36" spans="1:8" ht="25.35" customHeight="1" x14ac:dyDescent="0.3">
      <c r="A36" s="221" t="s">
        <v>237</v>
      </c>
      <c r="B36" s="224">
        <f t="shared" si="9"/>
        <v>36</v>
      </c>
      <c r="C36" s="227">
        <f>IFERROR(VLOOKUP(A36,'대신 피벗'!A:ST,11,FALSE),0)</f>
        <v>5</v>
      </c>
      <c r="D36" s="227">
        <f t="shared" ref="D36:D37" si="10">IFERROR(ROUNDDOWN(C36/B36,0),"")</f>
        <v>0</v>
      </c>
      <c r="E36" s="51" t="s">
        <v>338</v>
      </c>
      <c r="F36" s="228">
        <f t="shared" ref="F36:F37" si="11">IFERROR(C36-(D36*B36),"")</f>
        <v>5</v>
      </c>
      <c r="G36" s="67"/>
      <c r="H36" s="67"/>
    </row>
    <row r="37" spans="1:8" ht="25.35" customHeight="1" x14ac:dyDescent="0.3">
      <c r="A37" s="221" t="s">
        <v>238</v>
      </c>
      <c r="B37" s="224">
        <f t="shared" si="9"/>
        <v>36</v>
      </c>
      <c r="C37" s="227">
        <f>IFERROR(VLOOKUP(A37,'대신 피벗'!A:ST,11,FALSE),0)</f>
        <v>9</v>
      </c>
      <c r="D37" s="227">
        <f t="shared" si="10"/>
        <v>0</v>
      </c>
      <c r="E37" s="51" t="s">
        <v>265</v>
      </c>
      <c r="F37" s="228">
        <f t="shared" si="11"/>
        <v>9</v>
      </c>
      <c r="G37" s="67"/>
      <c r="H37" s="67"/>
    </row>
    <row r="38" spans="1:8" ht="4.5" customHeight="1" x14ac:dyDescent="0.3">
      <c r="A38" s="258"/>
      <c r="B38" s="259"/>
      <c r="C38" s="259"/>
      <c r="D38" s="259"/>
      <c r="E38" s="259"/>
      <c r="F38" s="260"/>
      <c r="G38" s="67"/>
      <c r="H38" s="67"/>
    </row>
    <row r="39" spans="1:8" ht="32.450000000000003" customHeight="1" x14ac:dyDescent="0.3">
      <c r="A39" s="209" t="s">
        <v>283</v>
      </c>
      <c r="B39" s="226">
        <f>$B$4</f>
        <v>36</v>
      </c>
      <c r="C39" s="210">
        <f>SUM(C35:C37)</f>
        <v>20</v>
      </c>
      <c r="D39" s="54">
        <f>IFERROR(ROUNDDOWN(C39/B39,0),"")</f>
        <v>0</v>
      </c>
      <c r="E39" s="36"/>
      <c r="F39" s="121">
        <f>IFERROR(C39-(D39*B39),"")</f>
        <v>20</v>
      </c>
      <c r="G39" s="67"/>
      <c r="H39" s="67"/>
    </row>
    <row r="40" spans="1:8" ht="4.5" customHeight="1" x14ac:dyDescent="0.3">
      <c r="A40" s="183"/>
      <c r="B40" s="224"/>
      <c r="C40" s="50"/>
      <c r="D40" s="50"/>
      <c r="E40" s="50"/>
      <c r="F40" s="184"/>
      <c r="G40" s="67"/>
      <c r="H40" s="67"/>
    </row>
    <row r="41" spans="1:8" ht="25.35" customHeight="1" x14ac:dyDescent="0.3">
      <c r="A41" s="221" t="s">
        <v>261</v>
      </c>
      <c r="B41" s="224">
        <f t="shared" ref="B41:B42" si="12">$B$4</f>
        <v>36</v>
      </c>
      <c r="C41" s="227">
        <f>IFERROR(VLOOKUP(A41,'대신 피벗'!A:ST,11,FALSE),0)</f>
        <v>1</v>
      </c>
      <c r="D41" s="227">
        <f t="shared" ref="D41:D42" si="13">IFERROR(ROUNDDOWN(C41/B41,0),"")</f>
        <v>0</v>
      </c>
      <c r="E41" s="51" t="s">
        <v>281</v>
      </c>
      <c r="F41" s="228">
        <f t="shared" ref="F41:F42" si="14">IFERROR(C41-(D41*B41),"")</f>
        <v>1</v>
      </c>
      <c r="G41" s="67"/>
      <c r="H41" s="67"/>
    </row>
    <row r="42" spans="1:8" ht="25.35" customHeight="1" x14ac:dyDescent="0.3">
      <c r="A42" s="221" t="s">
        <v>262</v>
      </c>
      <c r="B42" s="224">
        <f t="shared" si="12"/>
        <v>36</v>
      </c>
      <c r="C42" s="227">
        <f>IFERROR(VLOOKUP(A42,'대신 피벗'!A:ST,11,FALSE),0)</f>
        <v>1</v>
      </c>
      <c r="D42" s="227">
        <f t="shared" si="13"/>
        <v>0</v>
      </c>
      <c r="E42" s="51" t="s">
        <v>282</v>
      </c>
      <c r="F42" s="228">
        <f t="shared" si="14"/>
        <v>1</v>
      </c>
      <c r="G42" s="67"/>
      <c r="H42" s="67"/>
    </row>
    <row r="43" spans="1:8" ht="4.5" customHeight="1" x14ac:dyDescent="0.3">
      <c r="A43" s="258"/>
      <c r="B43" s="259"/>
      <c r="C43" s="259"/>
      <c r="D43" s="259"/>
      <c r="E43" s="259"/>
      <c r="F43" s="260"/>
      <c r="G43" s="67"/>
      <c r="H43" s="67"/>
    </row>
    <row r="44" spans="1:8" ht="32.450000000000003" customHeight="1" x14ac:dyDescent="0.3">
      <c r="A44" s="209" t="s">
        <v>339</v>
      </c>
      <c r="B44" s="226">
        <f>$B$4</f>
        <v>36</v>
      </c>
      <c r="C44" s="210">
        <f>SUM(C41:C42)</f>
        <v>2</v>
      </c>
      <c r="D44" s="54">
        <f>IFERROR(ROUNDDOWN(C44/B44,0),"")</f>
        <v>0</v>
      </c>
      <c r="E44" s="36"/>
      <c r="F44" s="121">
        <f>IFERROR(C44-(D44*B44),"")</f>
        <v>2</v>
      </c>
      <c r="G44" s="67"/>
      <c r="H44" s="67"/>
    </row>
    <row r="45" spans="1:8" ht="4.5" customHeight="1" thickBot="1" x14ac:dyDescent="0.35">
      <c r="A45" s="183"/>
      <c r="B45" s="50"/>
      <c r="C45" s="50"/>
      <c r="D45" s="50"/>
      <c r="E45" s="50"/>
      <c r="F45" s="184"/>
      <c r="G45" s="67"/>
      <c r="H45" s="67"/>
    </row>
    <row r="46" spans="1:8" ht="26.25" x14ac:dyDescent="0.3">
      <c r="A46" s="87" t="s">
        <v>3</v>
      </c>
      <c r="B46" s="226">
        <f>$B$4</f>
        <v>36</v>
      </c>
      <c r="C46" s="55">
        <f>SUM(C4:C18,C35:C37,C30:C31,C22:C26,C41:C42)</f>
        <v>198</v>
      </c>
      <c r="D46" s="54">
        <f>IFERROR(ROUNDDOWN(C46/B46,0),"")</f>
        <v>5</v>
      </c>
      <c r="E46" s="56"/>
      <c r="F46" s="121">
        <f>IFERROR(C46-(D46*B46),"")</f>
        <v>18</v>
      </c>
      <c r="G46" s="232" t="s">
        <v>110</v>
      </c>
      <c r="H46" s="233" t="s">
        <v>111</v>
      </c>
    </row>
    <row r="47" spans="1:8" ht="27" thickBot="1" x14ac:dyDescent="0.35">
      <c r="A47" s="42" t="s">
        <v>286</v>
      </c>
      <c r="B47" s="43" t="s">
        <v>173</v>
      </c>
      <c r="C47" s="40"/>
      <c r="D47" s="41">
        <f>SUM(D4:D18,D35:D37,D30:D31,D22:D26,D41:D42)</f>
        <v>0</v>
      </c>
      <c r="E47" s="48"/>
      <c r="F47" s="93">
        <f>SUM(F4:F18,F35:F37,F30:F31,F22:F26,F41:F42)</f>
        <v>198</v>
      </c>
      <c r="G47" s="216">
        <f>IFERROR(ROUNDDOWN(F47/B35,0),"")</f>
        <v>5</v>
      </c>
      <c r="H47" s="217">
        <f>IFERROR(F47-(G47*B35),"")</f>
        <v>18</v>
      </c>
    </row>
    <row r="48" spans="1:8" ht="22.5" customHeight="1" x14ac:dyDescent="0.3">
      <c r="C48" s="77">
        <f>C20+C28+C33+C39+C44</f>
        <v>198</v>
      </c>
      <c r="G48" s="199"/>
      <c r="H48" s="34" t="s">
        <v>174</v>
      </c>
    </row>
    <row r="49" spans="3:3" x14ac:dyDescent="0.3">
      <c r="C49" s="34" t="b">
        <f>C48=C46</f>
        <v>1</v>
      </c>
    </row>
  </sheetData>
  <mergeCells count="1">
    <mergeCell ref="A1:F1"/>
  </mergeCells>
  <phoneticPr fontId="13" type="noConversion"/>
  <printOptions horizontalCentered="1" verticalCentered="1"/>
  <pageMargins left="0" right="0" top="0" bottom="0" header="0" footer="0"/>
  <pageSetup paperSize="9" scale="77"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C53E15-5F1B-4914-A1CF-996E2FB6A587}">
  <sheetPr>
    <tabColor rgb="FF7030A0"/>
    <pageSetUpPr fitToPage="1"/>
  </sheetPr>
  <dimension ref="A1:H49"/>
  <sheetViews>
    <sheetView zoomScale="40" zoomScaleNormal="40" zoomScaleSheetLayoutView="75" workbookViewId="0">
      <selection activeCell="A2" sqref="A2:F47"/>
    </sheetView>
  </sheetViews>
  <sheetFormatPr defaultColWidth="9" defaultRowHeight="16.5" x14ac:dyDescent="0.3"/>
  <cols>
    <col min="1" max="1" width="24.75" style="34" customWidth="1"/>
    <col min="2" max="2" width="7.625" style="38" customWidth="1"/>
    <col min="3" max="3" width="30.625" style="34" customWidth="1"/>
    <col min="4" max="4" width="9.875" style="2" customWidth="1"/>
    <col min="5" max="5" width="11.375" style="34" customWidth="1"/>
    <col min="6" max="6" width="11.125" style="2" customWidth="1"/>
    <col min="7" max="7" width="8.375" style="34" customWidth="1"/>
    <col min="8" max="8" width="9" style="34" customWidth="1"/>
    <col min="9" max="13" width="9" style="34"/>
    <col min="14" max="14" width="10.625" style="34" customWidth="1"/>
    <col min="15" max="17" width="9" style="34"/>
    <col min="18" max="18" width="36.5" style="34" bestFit="1" customWidth="1"/>
    <col min="19" max="16384" width="9" style="34"/>
  </cols>
  <sheetData>
    <row r="1" spans="1:8" ht="25.9" customHeight="1" thickBot="1" x14ac:dyDescent="0.35">
      <c r="A1" s="270"/>
      <c r="B1" s="270"/>
      <c r="C1" s="270"/>
      <c r="D1" s="270"/>
      <c r="E1" s="270"/>
      <c r="F1" s="270"/>
    </row>
    <row r="2" spans="1:8" ht="25.9" customHeight="1" x14ac:dyDescent="0.3">
      <c r="A2" s="215">
        <f ca="1">TODAY()</f>
        <v>46314</v>
      </c>
      <c r="B2" s="256" t="s">
        <v>345</v>
      </c>
      <c r="C2" s="256"/>
      <c r="D2" s="256"/>
      <c r="E2" s="256"/>
      <c r="F2" s="257"/>
      <c r="G2" s="67"/>
      <c r="H2" s="67"/>
    </row>
    <row r="3" spans="1:8" ht="40.15" customHeight="1" x14ac:dyDescent="0.3">
      <c r="A3" s="222" t="s">
        <v>67</v>
      </c>
      <c r="B3" s="223" t="s">
        <v>13</v>
      </c>
      <c r="C3" s="229" t="s">
        <v>329</v>
      </c>
      <c r="D3" s="230" t="s">
        <v>2</v>
      </c>
      <c r="E3" s="229" t="s">
        <v>23</v>
      </c>
      <c r="F3" s="231" t="s">
        <v>14</v>
      </c>
      <c r="G3" s="67"/>
      <c r="H3" s="67"/>
    </row>
    <row r="4" spans="1:8" ht="25.35" customHeight="1" x14ac:dyDescent="0.3">
      <c r="A4" s="220" t="s">
        <v>260</v>
      </c>
      <c r="B4" s="224">
        <v>36</v>
      </c>
      <c r="C4" s="227">
        <f>IFERROR(VLOOKUP(A4,'대신 피벗'!A:ST,12,FALSE),0)</f>
        <v>2</v>
      </c>
      <c r="D4" s="227">
        <f t="shared" ref="D4:D18" si="0">IFERROR(ROUNDDOWN(C4/B4,0),"")</f>
        <v>0</v>
      </c>
      <c r="E4" s="51" t="s">
        <v>109</v>
      </c>
      <c r="F4" s="228">
        <f t="shared" ref="F4:F18" si="1">IFERROR(C4-(D4*B4),"")</f>
        <v>2</v>
      </c>
      <c r="G4" s="67"/>
      <c r="H4" s="67"/>
    </row>
    <row r="5" spans="1:8" ht="25.35" customHeight="1" x14ac:dyDescent="0.3">
      <c r="A5" s="221" t="s">
        <v>255</v>
      </c>
      <c r="B5" s="224">
        <f t="shared" ref="B5:B18" si="2">$B$4</f>
        <v>36</v>
      </c>
      <c r="C5" s="227">
        <f>IFERROR(VLOOKUP(A5,'대신 피벗'!A:ST,12,FALSE),0)</f>
        <v>9</v>
      </c>
      <c r="D5" s="227">
        <f t="shared" ref="D5" si="3">IFERROR(ROUNDDOWN(C5/B5,0),"")</f>
        <v>0</v>
      </c>
      <c r="E5" s="51" t="s">
        <v>335</v>
      </c>
      <c r="F5" s="228">
        <f t="shared" ref="F5" si="4">IFERROR(C5-(D5*B5),"")</f>
        <v>9</v>
      </c>
      <c r="G5" s="67"/>
      <c r="H5" s="67"/>
    </row>
    <row r="6" spans="1:8" ht="25.35" customHeight="1" x14ac:dyDescent="0.3">
      <c r="A6" s="221" t="s">
        <v>249</v>
      </c>
      <c r="B6" s="224">
        <f t="shared" si="2"/>
        <v>36</v>
      </c>
      <c r="C6" s="227">
        <f>IFERROR(VLOOKUP(A6,'대신 피벗'!A:ST,12,FALSE),0)</f>
        <v>6</v>
      </c>
      <c r="D6" s="227">
        <f>IFERROR(ROUNDDOWN(C6/B6,0),"")</f>
        <v>0</v>
      </c>
      <c r="E6" s="51" t="s">
        <v>272</v>
      </c>
      <c r="F6" s="228">
        <f>IFERROR(C6-(D6*B6),"")</f>
        <v>6</v>
      </c>
      <c r="G6" s="67"/>
      <c r="H6" s="67"/>
    </row>
    <row r="7" spans="1:8" ht="25.35" customHeight="1" x14ac:dyDescent="0.3">
      <c r="A7" s="221" t="s">
        <v>250</v>
      </c>
      <c r="B7" s="224">
        <f t="shared" si="2"/>
        <v>36</v>
      </c>
      <c r="C7" s="227">
        <f>IFERROR(VLOOKUP(A7,'대신 피벗'!A:ST,12,FALSE),0)</f>
        <v>6</v>
      </c>
      <c r="D7" s="227">
        <f>IFERROR(ROUNDDOWN(C7/B7,0),"")</f>
        <v>0</v>
      </c>
      <c r="E7" s="51" t="s">
        <v>273</v>
      </c>
      <c r="F7" s="228">
        <f>IFERROR(C7-(D7*B7),"")</f>
        <v>6</v>
      </c>
      <c r="G7" s="67"/>
      <c r="H7" s="67"/>
    </row>
    <row r="8" spans="1:8" ht="25.35" customHeight="1" x14ac:dyDescent="0.3">
      <c r="A8" s="221" t="s">
        <v>248</v>
      </c>
      <c r="B8" s="224">
        <f t="shared" si="2"/>
        <v>36</v>
      </c>
      <c r="C8" s="227">
        <f>IFERROR(VLOOKUP(A8,'대신 피벗'!A:ST,12,FALSE),0)</f>
        <v>0</v>
      </c>
      <c r="D8" s="227">
        <f>IFERROR(ROUNDDOWN(C8/B8,0),"")</f>
        <v>0</v>
      </c>
      <c r="E8" s="51" t="s">
        <v>271</v>
      </c>
      <c r="F8" s="228">
        <f>IFERROR(C8-(D8*B8),"")</f>
        <v>0</v>
      </c>
      <c r="G8" s="67"/>
      <c r="H8" s="67"/>
    </row>
    <row r="9" spans="1:8" ht="25.35" customHeight="1" x14ac:dyDescent="0.3">
      <c r="A9" s="221" t="s">
        <v>246</v>
      </c>
      <c r="B9" s="224">
        <f t="shared" si="2"/>
        <v>36</v>
      </c>
      <c r="C9" s="227">
        <f>IFERROR(VLOOKUP(A9,'대신 피벗'!A:ST,12,FALSE),0)</f>
        <v>2</v>
      </c>
      <c r="D9" s="227">
        <f t="shared" si="0"/>
        <v>0</v>
      </c>
      <c r="E9" s="51" t="s">
        <v>270</v>
      </c>
      <c r="F9" s="228">
        <f t="shared" si="1"/>
        <v>2</v>
      </c>
      <c r="G9" s="67"/>
      <c r="H9" s="67"/>
    </row>
    <row r="10" spans="1:8" ht="25.35" customHeight="1" x14ac:dyDescent="0.3">
      <c r="A10" s="221" t="s">
        <v>256</v>
      </c>
      <c r="B10" s="224">
        <f t="shared" si="2"/>
        <v>36</v>
      </c>
      <c r="C10" s="227">
        <f>IFERROR(VLOOKUP(A10,'대신 피벗'!A:ST,12,FALSE),0)</f>
        <v>5</v>
      </c>
      <c r="D10" s="227">
        <f>IFERROR(ROUNDDOWN(C10/B10,0),"")</f>
        <v>0</v>
      </c>
      <c r="E10" s="51" t="s">
        <v>278</v>
      </c>
      <c r="F10" s="228">
        <f>IFERROR(C10-(D10*B10),"")</f>
        <v>5</v>
      </c>
      <c r="G10" s="67"/>
      <c r="H10" s="67"/>
    </row>
    <row r="11" spans="1:8" ht="25.35" customHeight="1" x14ac:dyDescent="0.3">
      <c r="A11" s="221" t="s">
        <v>247</v>
      </c>
      <c r="B11" s="224">
        <f t="shared" si="2"/>
        <v>36</v>
      </c>
      <c r="C11" s="227">
        <f>IFERROR(VLOOKUP(A11,'대신 피벗'!A:ST,12,FALSE),0)</f>
        <v>5</v>
      </c>
      <c r="D11" s="227">
        <f t="shared" si="0"/>
        <v>0</v>
      </c>
      <c r="E11" s="51" t="s">
        <v>334</v>
      </c>
      <c r="F11" s="228">
        <f t="shared" si="1"/>
        <v>5</v>
      </c>
      <c r="G11" s="67"/>
      <c r="H11" s="67"/>
    </row>
    <row r="12" spans="1:8" ht="25.35" customHeight="1" x14ac:dyDescent="0.3">
      <c r="A12" s="221" t="s">
        <v>251</v>
      </c>
      <c r="B12" s="224">
        <f t="shared" si="2"/>
        <v>36</v>
      </c>
      <c r="C12" s="227">
        <f>IFERROR(VLOOKUP(A12,'대신 피벗'!A:ST,12,FALSE),0)</f>
        <v>2</v>
      </c>
      <c r="D12" s="227">
        <f t="shared" si="0"/>
        <v>0</v>
      </c>
      <c r="E12" s="51" t="s">
        <v>274</v>
      </c>
      <c r="F12" s="228">
        <f t="shared" si="1"/>
        <v>2</v>
      </c>
      <c r="G12" s="67"/>
      <c r="H12" s="67"/>
    </row>
    <row r="13" spans="1:8" ht="25.35" customHeight="1" x14ac:dyDescent="0.3">
      <c r="A13" s="220" t="s">
        <v>252</v>
      </c>
      <c r="B13" s="224">
        <f t="shared" si="2"/>
        <v>36</v>
      </c>
      <c r="C13" s="227">
        <f>IFERROR(VLOOKUP(A13,'대신 피벗'!A:ST,12,FALSE),0)</f>
        <v>5</v>
      </c>
      <c r="D13" s="227">
        <f t="shared" si="0"/>
        <v>0</v>
      </c>
      <c r="E13" s="51" t="s">
        <v>275</v>
      </c>
      <c r="F13" s="228">
        <f t="shared" si="1"/>
        <v>5</v>
      </c>
      <c r="G13" s="67"/>
      <c r="H13" s="67"/>
    </row>
    <row r="14" spans="1:8" ht="25.35" customHeight="1" x14ac:dyDescent="0.3">
      <c r="A14" s="221" t="s">
        <v>253</v>
      </c>
      <c r="B14" s="224">
        <f t="shared" si="2"/>
        <v>36</v>
      </c>
      <c r="C14" s="227">
        <f>IFERROR(VLOOKUP(A14,'대신 피벗'!A:ST,12,FALSE),0)</f>
        <v>9</v>
      </c>
      <c r="D14" s="227">
        <f t="shared" si="0"/>
        <v>0</v>
      </c>
      <c r="E14" s="51" t="s">
        <v>276</v>
      </c>
      <c r="F14" s="228">
        <f t="shared" si="1"/>
        <v>9</v>
      </c>
      <c r="G14" s="67"/>
      <c r="H14" s="67"/>
    </row>
    <row r="15" spans="1:8" ht="25.35" customHeight="1" x14ac:dyDescent="0.3">
      <c r="A15" s="221" t="s">
        <v>254</v>
      </c>
      <c r="B15" s="224">
        <f t="shared" si="2"/>
        <v>36</v>
      </c>
      <c r="C15" s="227">
        <f>IFERROR(VLOOKUP(A15,'대신 피벗'!A:ST,12,FALSE),0)</f>
        <v>4</v>
      </c>
      <c r="D15" s="227">
        <f t="shared" si="0"/>
        <v>0</v>
      </c>
      <c r="E15" s="51" t="s">
        <v>277</v>
      </c>
      <c r="F15" s="228">
        <f t="shared" si="1"/>
        <v>4</v>
      </c>
      <c r="G15" s="67"/>
      <c r="H15" s="67"/>
    </row>
    <row r="16" spans="1:8" ht="25.35" customHeight="1" x14ac:dyDescent="0.3">
      <c r="A16" s="221" t="s">
        <v>257</v>
      </c>
      <c r="B16" s="224">
        <f t="shared" si="2"/>
        <v>36</v>
      </c>
      <c r="C16" s="227">
        <f>IFERROR(VLOOKUP(A16,'대신 피벗'!A:ST,12,FALSE),0)</f>
        <v>1</v>
      </c>
      <c r="D16" s="227">
        <f t="shared" si="0"/>
        <v>0</v>
      </c>
      <c r="E16" s="51" t="s">
        <v>279</v>
      </c>
      <c r="F16" s="228">
        <f t="shared" si="1"/>
        <v>1</v>
      </c>
      <c r="G16" s="67"/>
      <c r="H16" s="67"/>
    </row>
    <row r="17" spans="1:8" ht="25.35" customHeight="1" x14ac:dyDescent="0.3">
      <c r="A17" s="221" t="s">
        <v>258</v>
      </c>
      <c r="B17" s="224">
        <f t="shared" si="2"/>
        <v>36</v>
      </c>
      <c r="C17" s="227">
        <f>IFERROR(VLOOKUP(A17,'대신 피벗'!A:ST,12,FALSE),0)</f>
        <v>4</v>
      </c>
      <c r="D17" s="227">
        <f t="shared" si="0"/>
        <v>0</v>
      </c>
      <c r="E17" s="51" t="s">
        <v>280</v>
      </c>
      <c r="F17" s="228">
        <f t="shared" si="1"/>
        <v>4</v>
      </c>
      <c r="G17" s="67"/>
      <c r="H17" s="67"/>
    </row>
    <row r="18" spans="1:8" ht="25.35" customHeight="1" x14ac:dyDescent="0.3">
      <c r="A18" s="221" t="s">
        <v>259</v>
      </c>
      <c r="B18" s="224">
        <f t="shared" si="2"/>
        <v>36</v>
      </c>
      <c r="C18" s="227">
        <f>IFERROR(VLOOKUP(A18,'대신 피벗'!A:ST,12,FALSE),0)</f>
        <v>2</v>
      </c>
      <c r="D18" s="227">
        <f t="shared" si="0"/>
        <v>0</v>
      </c>
      <c r="E18" s="51" t="s">
        <v>336</v>
      </c>
      <c r="F18" s="228">
        <f t="shared" si="1"/>
        <v>2</v>
      </c>
      <c r="G18" s="67"/>
      <c r="H18" s="67"/>
    </row>
    <row r="19" spans="1:8" ht="4.5" customHeight="1" x14ac:dyDescent="0.3">
      <c r="A19" s="183"/>
      <c r="B19" s="50"/>
      <c r="C19" s="50"/>
      <c r="D19" s="50"/>
      <c r="E19" s="50"/>
      <c r="F19" s="184"/>
    </row>
    <row r="20" spans="1:8" ht="32.450000000000003" customHeight="1" x14ac:dyDescent="0.3">
      <c r="A20" s="209" t="s">
        <v>122</v>
      </c>
      <c r="B20" s="226">
        <f>$B$4</f>
        <v>36</v>
      </c>
      <c r="C20" s="210">
        <f>SUM(C4:C18)</f>
        <v>62</v>
      </c>
      <c r="D20" s="54">
        <f>IFERROR(ROUNDDOWN(C20/B20,0),"")</f>
        <v>1</v>
      </c>
      <c r="E20" s="36"/>
      <c r="F20" s="121">
        <f>IFERROR(C20-(D20*B20),"")</f>
        <v>26</v>
      </c>
    </row>
    <row r="21" spans="1:8" ht="4.5" customHeight="1" x14ac:dyDescent="0.3">
      <c r="A21" s="183"/>
      <c r="B21" s="224"/>
      <c r="C21" s="50"/>
      <c r="D21" s="50"/>
      <c r="E21" s="50"/>
      <c r="F21" s="184"/>
    </row>
    <row r="22" spans="1:8" ht="25.35" customHeight="1" x14ac:dyDescent="0.3">
      <c r="A22" s="221" t="s">
        <v>241</v>
      </c>
      <c r="B22" s="224">
        <f t="shared" ref="B22:B26" si="5">$B$4</f>
        <v>36</v>
      </c>
      <c r="C22" s="227">
        <f>IFERROR(VLOOKUP(A22,'대신 피벗'!A:ST,12,FALSE),0)</f>
        <v>1</v>
      </c>
      <c r="D22" s="227">
        <f>IFERROR(ROUNDDOWN(C22/B22,0),"")</f>
        <v>0</v>
      </c>
      <c r="E22" s="51" t="s">
        <v>268</v>
      </c>
      <c r="F22" s="228">
        <f>IFERROR(C22-(D22*B22),"")</f>
        <v>1</v>
      </c>
      <c r="G22" s="67"/>
      <c r="H22" s="67"/>
    </row>
    <row r="23" spans="1:8" ht="25.35" customHeight="1" x14ac:dyDescent="0.3">
      <c r="A23" s="221" t="s">
        <v>242</v>
      </c>
      <c r="B23" s="224">
        <f t="shared" si="5"/>
        <v>36</v>
      </c>
      <c r="C23" s="227">
        <f>IFERROR(VLOOKUP(A23,'대신 피벗'!A:ST,12,FALSE),0)</f>
        <v>5</v>
      </c>
      <c r="D23" s="227">
        <f>IFERROR(ROUNDDOWN(C23/B23,0),"")</f>
        <v>0</v>
      </c>
      <c r="E23" s="51" t="s">
        <v>337</v>
      </c>
      <c r="F23" s="228">
        <f>IFERROR(C23-(D23*B23),"")</f>
        <v>5</v>
      </c>
      <c r="G23" s="67"/>
      <c r="H23" s="67"/>
    </row>
    <row r="24" spans="1:8" ht="25.35" customHeight="1" x14ac:dyDescent="0.3">
      <c r="A24" s="221" t="s">
        <v>243</v>
      </c>
      <c r="B24" s="224">
        <f t="shared" si="5"/>
        <v>36</v>
      </c>
      <c r="C24" s="227">
        <f>IFERROR(VLOOKUP(A24,'대신 피벗'!A:ST,12,FALSE),0)</f>
        <v>0</v>
      </c>
      <c r="D24" s="227">
        <f>IFERROR(ROUNDDOWN(C24/B24,0),"")</f>
        <v>0</v>
      </c>
      <c r="E24" s="51" t="s">
        <v>106</v>
      </c>
      <c r="F24" s="228">
        <f>IFERROR(C24-(D24*B24),"")</f>
        <v>0</v>
      </c>
      <c r="G24" s="67"/>
      <c r="H24" s="67"/>
    </row>
    <row r="25" spans="1:8" ht="25.35" customHeight="1" x14ac:dyDescent="0.3">
      <c r="A25" s="221" t="s">
        <v>244</v>
      </c>
      <c r="B25" s="224">
        <f t="shared" si="5"/>
        <v>36</v>
      </c>
      <c r="C25" s="227">
        <f>IFERROR(VLOOKUP(A25,'대신 피벗'!A:ST,12,FALSE),0)</f>
        <v>3</v>
      </c>
      <c r="D25" s="227">
        <f>IFERROR(ROUNDDOWN(C25/B25,0),"")</f>
        <v>0</v>
      </c>
      <c r="E25" s="51" t="s">
        <v>269</v>
      </c>
      <c r="F25" s="228">
        <f>IFERROR(C25-(D25*B25),"")</f>
        <v>3</v>
      </c>
      <c r="G25" s="67"/>
      <c r="H25" s="67"/>
    </row>
    <row r="26" spans="1:8" ht="25.35" customHeight="1" x14ac:dyDescent="0.3">
      <c r="A26" s="221" t="s">
        <v>245</v>
      </c>
      <c r="B26" s="224">
        <f t="shared" si="5"/>
        <v>36</v>
      </c>
      <c r="C26" s="227">
        <f>IFERROR(VLOOKUP(A26,'대신 피벗'!A:ST,12,FALSE),0)</f>
        <v>4</v>
      </c>
      <c r="D26" s="227">
        <f>IFERROR(ROUNDDOWN(C26/B26,0),"")</f>
        <v>0</v>
      </c>
      <c r="E26" s="51" t="s">
        <v>118</v>
      </c>
      <c r="F26" s="228">
        <f>IFERROR(C26-(D26*B26),"")</f>
        <v>4</v>
      </c>
      <c r="G26" s="67"/>
      <c r="H26" s="67"/>
    </row>
    <row r="27" spans="1:8" ht="4.5" customHeight="1" x14ac:dyDescent="0.3">
      <c r="A27" s="183"/>
      <c r="B27" s="50"/>
      <c r="C27" s="50"/>
      <c r="D27" s="50"/>
      <c r="E27" s="50"/>
      <c r="F27" s="184"/>
      <c r="G27" s="67"/>
      <c r="H27" s="67"/>
    </row>
    <row r="28" spans="1:8" ht="32.450000000000003" customHeight="1" x14ac:dyDescent="0.3">
      <c r="A28" s="209" t="s">
        <v>285</v>
      </c>
      <c r="B28" s="226">
        <f>$B$4</f>
        <v>36</v>
      </c>
      <c r="C28" s="210">
        <f>SUM(C22:C26)</f>
        <v>13</v>
      </c>
      <c r="D28" s="54">
        <f>IFERROR(ROUNDDOWN(C28/B28,0),"")</f>
        <v>0</v>
      </c>
      <c r="E28" s="36"/>
      <c r="F28" s="121">
        <f>IFERROR(C28-(D28*B28),"")</f>
        <v>13</v>
      </c>
      <c r="G28" s="67"/>
      <c r="H28" s="67"/>
    </row>
    <row r="29" spans="1:8" ht="4.5" customHeight="1" x14ac:dyDescent="0.3">
      <c r="A29" s="183"/>
      <c r="B29" s="50"/>
      <c r="C29" s="50"/>
      <c r="D29" s="50"/>
      <c r="E29" s="50"/>
      <c r="F29" s="184"/>
      <c r="G29" s="67"/>
      <c r="H29" s="67"/>
    </row>
    <row r="30" spans="1:8" ht="25.35" customHeight="1" x14ac:dyDescent="0.3">
      <c r="A30" s="221" t="s">
        <v>239</v>
      </c>
      <c r="B30" s="224">
        <f t="shared" ref="B30:B31" si="6">$B$4</f>
        <v>36</v>
      </c>
      <c r="C30" s="227">
        <f>IFERROR(VLOOKUP(A30,'대신 피벗'!A:ST,12,FALSE),0)</f>
        <v>4</v>
      </c>
      <c r="D30" s="227">
        <f t="shared" ref="D30:D31" si="7">IFERROR(ROUNDDOWN(C30/B30,0),"")</f>
        <v>0</v>
      </c>
      <c r="E30" s="51" t="s">
        <v>266</v>
      </c>
      <c r="F30" s="228">
        <f t="shared" ref="F30:F31" si="8">IFERROR(C30-(D30*B30),"")</f>
        <v>4</v>
      </c>
      <c r="G30" s="67"/>
      <c r="H30" s="67"/>
    </row>
    <row r="31" spans="1:8" ht="25.35" customHeight="1" x14ac:dyDescent="0.3">
      <c r="A31" s="221" t="s">
        <v>240</v>
      </c>
      <c r="B31" s="224">
        <f t="shared" si="6"/>
        <v>36</v>
      </c>
      <c r="C31" s="227">
        <f>IFERROR(VLOOKUP(A31,'대신 피벗'!A:ST,12,FALSE),0)</f>
        <v>6</v>
      </c>
      <c r="D31" s="227">
        <f t="shared" si="7"/>
        <v>0</v>
      </c>
      <c r="E31" s="51" t="s">
        <v>267</v>
      </c>
      <c r="F31" s="228">
        <f t="shared" si="8"/>
        <v>6</v>
      </c>
      <c r="G31" s="67"/>
      <c r="H31" s="67"/>
    </row>
    <row r="32" spans="1:8" ht="4.5" customHeight="1" x14ac:dyDescent="0.3">
      <c r="A32" s="183"/>
      <c r="B32" s="50"/>
      <c r="C32" s="50"/>
      <c r="D32" s="50"/>
      <c r="E32" s="50"/>
      <c r="F32" s="184"/>
      <c r="G32" s="67"/>
      <c r="H32" s="67"/>
    </row>
    <row r="33" spans="1:8" ht="32.450000000000003" customHeight="1" x14ac:dyDescent="0.3">
      <c r="A33" s="209" t="s">
        <v>284</v>
      </c>
      <c r="B33" s="226">
        <f>$B$4</f>
        <v>36</v>
      </c>
      <c r="C33" s="210">
        <f>SUM(C30:C31)</f>
        <v>10</v>
      </c>
      <c r="D33" s="54">
        <f>IFERROR(ROUNDDOWN(C33/B33,0),"")</f>
        <v>0</v>
      </c>
      <c r="E33" s="36"/>
      <c r="F33" s="121">
        <f>IFERROR(C33-(D33*B33),"")</f>
        <v>10</v>
      </c>
      <c r="G33" s="67"/>
      <c r="H33" s="67"/>
    </row>
    <row r="34" spans="1:8" ht="4.5" customHeight="1" x14ac:dyDescent="0.3">
      <c r="A34" s="183"/>
      <c r="B34" s="224"/>
      <c r="C34" s="50"/>
      <c r="D34" s="50"/>
      <c r="E34" s="50"/>
      <c r="F34" s="184"/>
      <c r="G34" s="67"/>
      <c r="H34" s="67"/>
    </row>
    <row r="35" spans="1:8" ht="25.35" customHeight="1" x14ac:dyDescent="0.3">
      <c r="A35" s="221" t="s">
        <v>236</v>
      </c>
      <c r="B35" s="224">
        <f t="shared" ref="B35:B37" si="9">$B$4</f>
        <v>36</v>
      </c>
      <c r="C35" s="227">
        <f>IFERROR(VLOOKUP(A35,'대신 피벗'!A:ST,12,FALSE),0)</f>
        <v>0</v>
      </c>
      <c r="D35" s="227">
        <f>IFERROR(ROUNDDOWN(C35/B35,0),"")</f>
        <v>0</v>
      </c>
      <c r="E35" s="51" t="s">
        <v>264</v>
      </c>
      <c r="F35" s="228">
        <f>IFERROR(C35-(D35*B35),"")</f>
        <v>0</v>
      </c>
      <c r="G35" s="67"/>
      <c r="H35" s="67"/>
    </row>
    <row r="36" spans="1:8" ht="25.35" customHeight="1" x14ac:dyDescent="0.3">
      <c r="A36" s="221" t="s">
        <v>237</v>
      </c>
      <c r="B36" s="224">
        <f t="shared" si="9"/>
        <v>36</v>
      </c>
      <c r="C36" s="227">
        <f>IFERROR(VLOOKUP(A36,'대신 피벗'!A:ST,12,FALSE),0)</f>
        <v>1</v>
      </c>
      <c r="D36" s="227">
        <f t="shared" ref="D36:D37" si="10">IFERROR(ROUNDDOWN(C36/B36,0),"")</f>
        <v>0</v>
      </c>
      <c r="E36" s="51" t="s">
        <v>338</v>
      </c>
      <c r="F36" s="228">
        <f t="shared" ref="F36:F37" si="11">IFERROR(C36-(D36*B36),"")</f>
        <v>1</v>
      </c>
      <c r="G36" s="67"/>
      <c r="H36" s="67"/>
    </row>
    <row r="37" spans="1:8" ht="25.35" customHeight="1" x14ac:dyDescent="0.3">
      <c r="A37" s="221" t="s">
        <v>238</v>
      </c>
      <c r="B37" s="224">
        <f t="shared" si="9"/>
        <v>36</v>
      </c>
      <c r="C37" s="227">
        <f>IFERROR(VLOOKUP(A37,'대신 피벗'!A:ST,12,FALSE),0)</f>
        <v>0</v>
      </c>
      <c r="D37" s="227">
        <f t="shared" si="10"/>
        <v>0</v>
      </c>
      <c r="E37" s="51" t="s">
        <v>265</v>
      </c>
      <c r="F37" s="228">
        <f t="shared" si="11"/>
        <v>0</v>
      </c>
      <c r="G37" s="67"/>
      <c r="H37" s="67"/>
    </row>
    <row r="38" spans="1:8" ht="4.5" customHeight="1" x14ac:dyDescent="0.3">
      <c r="A38" s="183"/>
      <c r="B38" s="50"/>
      <c r="C38" s="50"/>
      <c r="D38" s="50"/>
      <c r="E38" s="50"/>
      <c r="F38" s="184"/>
      <c r="G38" s="67"/>
      <c r="H38" s="67"/>
    </row>
    <row r="39" spans="1:8" ht="32.450000000000003" customHeight="1" x14ac:dyDescent="0.3">
      <c r="A39" s="209" t="s">
        <v>283</v>
      </c>
      <c r="B39" s="226">
        <f>$B$4</f>
        <v>36</v>
      </c>
      <c r="C39" s="210">
        <f>SUM(C35:C37)</f>
        <v>1</v>
      </c>
      <c r="D39" s="54">
        <f>IFERROR(ROUNDDOWN(C39/B39,0),"")</f>
        <v>0</v>
      </c>
      <c r="E39" s="36"/>
      <c r="F39" s="121">
        <f>IFERROR(C39-(D39*B39),"")</f>
        <v>1</v>
      </c>
      <c r="G39" s="67"/>
      <c r="H39" s="67"/>
    </row>
    <row r="40" spans="1:8" ht="4.5" customHeight="1" x14ac:dyDescent="0.3">
      <c r="A40" s="183"/>
      <c r="B40" s="224"/>
      <c r="C40" s="50"/>
      <c r="D40" s="50"/>
      <c r="E40" s="50"/>
      <c r="F40" s="184"/>
      <c r="G40" s="67"/>
      <c r="H40" s="67"/>
    </row>
    <row r="41" spans="1:8" ht="25.35" customHeight="1" x14ac:dyDescent="0.3">
      <c r="A41" s="221" t="s">
        <v>261</v>
      </c>
      <c r="B41" s="224">
        <f t="shared" ref="B41:B42" si="12">$B$4</f>
        <v>36</v>
      </c>
      <c r="C41" s="227">
        <f>IFERROR(VLOOKUP(A41,'대신 피벗'!A:ST,12,FALSE),0)</f>
        <v>2</v>
      </c>
      <c r="D41" s="227">
        <f t="shared" ref="D41:D42" si="13">IFERROR(ROUNDDOWN(C41/B41,0),"")</f>
        <v>0</v>
      </c>
      <c r="E41" s="51" t="s">
        <v>281</v>
      </c>
      <c r="F41" s="228">
        <f t="shared" ref="F41:F42" si="14">IFERROR(C41-(D41*B41),"")</f>
        <v>2</v>
      </c>
      <c r="G41" s="67"/>
      <c r="H41" s="67"/>
    </row>
    <row r="42" spans="1:8" ht="25.35" customHeight="1" x14ac:dyDescent="0.3">
      <c r="A42" s="221" t="s">
        <v>262</v>
      </c>
      <c r="B42" s="224">
        <f t="shared" si="12"/>
        <v>36</v>
      </c>
      <c r="C42" s="227">
        <f>IFERROR(VLOOKUP(A42,'대신 피벗'!A:ST,12,FALSE),0)</f>
        <v>1</v>
      </c>
      <c r="D42" s="227">
        <f t="shared" si="13"/>
        <v>0</v>
      </c>
      <c r="E42" s="51" t="s">
        <v>282</v>
      </c>
      <c r="F42" s="228">
        <f t="shared" si="14"/>
        <v>1</v>
      </c>
      <c r="G42" s="67"/>
      <c r="H42" s="67"/>
    </row>
    <row r="43" spans="1:8" ht="4.5" customHeight="1" x14ac:dyDescent="0.3">
      <c r="A43" s="183"/>
      <c r="B43" s="50"/>
      <c r="C43" s="50"/>
      <c r="D43" s="50"/>
      <c r="E43" s="50"/>
      <c r="F43" s="184"/>
      <c r="G43" s="67"/>
      <c r="H43" s="67"/>
    </row>
    <row r="44" spans="1:8" ht="32.450000000000003" customHeight="1" x14ac:dyDescent="0.3">
      <c r="A44" s="209" t="s">
        <v>339</v>
      </c>
      <c r="B44" s="226">
        <f>$B$4</f>
        <v>36</v>
      </c>
      <c r="C44" s="210">
        <f>SUM(C41:C42)</f>
        <v>3</v>
      </c>
      <c r="D44" s="54">
        <f>IFERROR(ROUNDDOWN(C44/B44,0),"")</f>
        <v>0</v>
      </c>
      <c r="E44" s="36"/>
      <c r="F44" s="121">
        <f>IFERROR(C44-(D44*B44),"")</f>
        <v>3</v>
      </c>
      <c r="G44" s="67"/>
      <c r="H44" s="67"/>
    </row>
    <row r="45" spans="1:8" ht="4.5" customHeight="1" thickBot="1" x14ac:dyDescent="0.35">
      <c r="A45" s="183"/>
      <c r="B45" s="50"/>
      <c r="C45" s="50"/>
      <c r="D45" s="50"/>
      <c r="E45" s="50"/>
      <c r="F45" s="184"/>
      <c r="G45" s="67"/>
      <c r="H45" s="67"/>
    </row>
    <row r="46" spans="1:8" ht="26.25" x14ac:dyDescent="0.3">
      <c r="A46" s="87" t="s">
        <v>3</v>
      </c>
      <c r="B46" s="226">
        <f>$B$4</f>
        <v>36</v>
      </c>
      <c r="C46" s="55">
        <f>SUM(C4:C18,C35:C37,C30:C31,C22:C26,C41:C42)</f>
        <v>89</v>
      </c>
      <c r="D46" s="54">
        <f>IFERROR(ROUNDDOWN(C46/B46,0),"")</f>
        <v>2</v>
      </c>
      <c r="E46" s="56"/>
      <c r="F46" s="121">
        <f>IFERROR(C46-(D46*B46),"")</f>
        <v>17</v>
      </c>
      <c r="G46" s="232" t="s">
        <v>110</v>
      </c>
      <c r="H46" s="233" t="s">
        <v>111</v>
      </c>
    </row>
    <row r="47" spans="1:8" ht="27" thickBot="1" x14ac:dyDescent="0.35">
      <c r="A47" s="42" t="s">
        <v>286</v>
      </c>
      <c r="B47" s="43" t="s">
        <v>173</v>
      </c>
      <c r="C47" s="40"/>
      <c r="D47" s="41">
        <f>SUM(D4:D18,D35:D37,D30:D31,D22:D26,D41:D42)</f>
        <v>0</v>
      </c>
      <c r="E47" s="48"/>
      <c r="F47" s="93">
        <f>SUM(F4:F18,F35:F37,F30:F31,F22:F26,F41:F42)</f>
        <v>89</v>
      </c>
      <c r="G47" s="216">
        <f>IFERROR(ROUNDDOWN(F47/B35,0),"")</f>
        <v>2</v>
      </c>
      <c r="H47" s="217">
        <f>IFERROR(F47-(G47*B35),"")</f>
        <v>17</v>
      </c>
    </row>
    <row r="48" spans="1:8" ht="22.5" customHeight="1" x14ac:dyDescent="0.3">
      <c r="C48" s="77">
        <f>C20+C28+C33+C39+C44</f>
        <v>89</v>
      </c>
      <c r="G48" s="199"/>
      <c r="H48" s="34" t="s">
        <v>174</v>
      </c>
    </row>
    <row r="49" spans="3:3" x14ac:dyDescent="0.3">
      <c r="C49" s="34" t="b">
        <f>C48=C46</f>
        <v>1</v>
      </c>
    </row>
  </sheetData>
  <mergeCells count="1">
    <mergeCell ref="A1:F1"/>
  </mergeCells>
  <phoneticPr fontId="13" type="noConversion"/>
  <printOptions horizontalCentered="1" verticalCentered="1"/>
  <pageMargins left="0" right="0" top="0" bottom="0" header="0" footer="0"/>
  <pageSetup paperSize="9" scale="77" orientation="portrait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E9775B-667B-46FC-AB9D-BA2FE1CAE747}">
  <sheetPr>
    <tabColor rgb="FF7030A0"/>
    <pageSetUpPr fitToPage="1"/>
  </sheetPr>
  <dimension ref="A1:H49"/>
  <sheetViews>
    <sheetView zoomScale="40" zoomScaleNormal="40" zoomScaleSheetLayoutView="75" workbookViewId="0">
      <selection activeCell="A2" sqref="A2:F47"/>
    </sheetView>
  </sheetViews>
  <sheetFormatPr defaultColWidth="9" defaultRowHeight="16.5" x14ac:dyDescent="0.3"/>
  <cols>
    <col min="1" max="1" width="24.75" style="34" customWidth="1"/>
    <col min="2" max="2" width="7.625" style="38" customWidth="1"/>
    <col min="3" max="3" width="30.625" style="34" customWidth="1"/>
    <col min="4" max="4" width="9.875" style="2" customWidth="1"/>
    <col min="5" max="5" width="11.375" style="34" customWidth="1"/>
    <col min="6" max="6" width="11.125" style="2" customWidth="1"/>
    <col min="7" max="7" width="8.375" style="34" customWidth="1"/>
    <col min="8" max="8" width="9" style="34" customWidth="1"/>
    <col min="9" max="13" width="9" style="34"/>
    <col min="14" max="14" width="10.625" style="34" customWidth="1"/>
    <col min="15" max="17" width="9" style="34"/>
    <col min="18" max="18" width="36.5" style="34" bestFit="1" customWidth="1"/>
    <col min="19" max="16384" width="9" style="34"/>
  </cols>
  <sheetData>
    <row r="1" spans="1:8" ht="25.9" customHeight="1" thickBot="1" x14ac:dyDescent="0.35">
      <c r="A1" s="270"/>
      <c r="B1" s="270"/>
      <c r="C1" s="270"/>
      <c r="D1" s="270"/>
      <c r="E1" s="270"/>
      <c r="F1" s="270"/>
    </row>
    <row r="2" spans="1:8" ht="25.9" customHeight="1" x14ac:dyDescent="0.3">
      <c r="A2" s="215">
        <f ca="1">TODAY()</f>
        <v>46314</v>
      </c>
      <c r="B2" s="261" t="s">
        <v>346</v>
      </c>
      <c r="C2" s="262"/>
      <c r="D2" s="262"/>
      <c r="E2" s="262"/>
      <c r="F2" s="263"/>
      <c r="G2" s="67"/>
      <c r="H2" s="67"/>
    </row>
    <row r="3" spans="1:8" ht="40.15" customHeight="1" x14ac:dyDescent="0.3">
      <c r="A3" s="222" t="s">
        <v>67</v>
      </c>
      <c r="B3" s="223" t="s">
        <v>13</v>
      </c>
      <c r="C3" s="229" t="s">
        <v>330</v>
      </c>
      <c r="D3" s="230" t="s">
        <v>2</v>
      </c>
      <c r="E3" s="229" t="s">
        <v>23</v>
      </c>
      <c r="F3" s="231" t="s">
        <v>14</v>
      </c>
      <c r="G3" s="67"/>
      <c r="H3" s="67"/>
    </row>
    <row r="4" spans="1:8" ht="25.35" customHeight="1" x14ac:dyDescent="0.3">
      <c r="A4" s="220" t="s">
        <v>260</v>
      </c>
      <c r="B4" s="224">
        <v>36</v>
      </c>
      <c r="C4" s="227">
        <f>IFERROR(VLOOKUP(A4,'대신 피벗'!A:ST,13,FALSE),0)</f>
        <v>6</v>
      </c>
      <c r="D4" s="227">
        <f t="shared" ref="D4:D18" si="0">IFERROR(ROUNDDOWN(C4/B4,0),"")</f>
        <v>0</v>
      </c>
      <c r="E4" s="51" t="s">
        <v>109</v>
      </c>
      <c r="F4" s="228">
        <f t="shared" ref="F4:F18" si="1">IFERROR(C4-(D4*B4),"")</f>
        <v>6</v>
      </c>
      <c r="G4" s="67"/>
      <c r="H4" s="67"/>
    </row>
    <row r="5" spans="1:8" ht="25.35" customHeight="1" x14ac:dyDescent="0.3">
      <c r="A5" s="221" t="s">
        <v>255</v>
      </c>
      <c r="B5" s="224">
        <f t="shared" ref="B5:B18" si="2">$B$4</f>
        <v>36</v>
      </c>
      <c r="C5" s="227">
        <f>IFERROR(VLOOKUP(A5,'대신 피벗'!A:ST,13,FALSE),0)</f>
        <v>20</v>
      </c>
      <c r="D5" s="227">
        <f t="shared" ref="D5" si="3">IFERROR(ROUNDDOWN(C5/B5,0),"")</f>
        <v>0</v>
      </c>
      <c r="E5" s="51" t="s">
        <v>335</v>
      </c>
      <c r="F5" s="228">
        <f t="shared" ref="F5" si="4">IFERROR(C5-(D5*B5),"")</f>
        <v>20</v>
      </c>
      <c r="G5" s="67"/>
      <c r="H5" s="67"/>
    </row>
    <row r="6" spans="1:8" ht="25.35" customHeight="1" x14ac:dyDescent="0.3">
      <c r="A6" s="221" t="s">
        <v>249</v>
      </c>
      <c r="B6" s="224">
        <f t="shared" si="2"/>
        <v>36</v>
      </c>
      <c r="C6" s="227">
        <f>IFERROR(VLOOKUP(A6,'대신 피벗'!A:ST,13,FALSE),0)</f>
        <v>21</v>
      </c>
      <c r="D6" s="227">
        <f>IFERROR(ROUNDDOWN(C6/B6,0),"")</f>
        <v>0</v>
      </c>
      <c r="E6" s="51" t="s">
        <v>272</v>
      </c>
      <c r="F6" s="228">
        <f>IFERROR(C6-(D6*B6),"")</f>
        <v>21</v>
      </c>
      <c r="G6" s="67"/>
      <c r="H6" s="67"/>
    </row>
    <row r="7" spans="1:8" ht="25.35" customHeight="1" x14ac:dyDescent="0.3">
      <c r="A7" s="221" t="s">
        <v>250</v>
      </c>
      <c r="B7" s="224">
        <f t="shared" si="2"/>
        <v>36</v>
      </c>
      <c r="C7" s="227">
        <f>IFERROR(VLOOKUP(A7,'대신 피벗'!A:ST,13,FALSE),0)</f>
        <v>22</v>
      </c>
      <c r="D7" s="227">
        <f>IFERROR(ROUNDDOWN(C7/B7,0),"")</f>
        <v>0</v>
      </c>
      <c r="E7" s="51" t="s">
        <v>273</v>
      </c>
      <c r="F7" s="228">
        <f>IFERROR(C7-(D7*B7),"")</f>
        <v>22</v>
      </c>
      <c r="G7" s="67"/>
      <c r="H7" s="67"/>
    </row>
    <row r="8" spans="1:8" ht="25.35" customHeight="1" x14ac:dyDescent="0.3">
      <c r="A8" s="221" t="s">
        <v>248</v>
      </c>
      <c r="B8" s="224">
        <f t="shared" si="2"/>
        <v>36</v>
      </c>
      <c r="C8" s="227">
        <f>IFERROR(VLOOKUP(A8,'대신 피벗'!A:ST,13,FALSE),0)</f>
        <v>7</v>
      </c>
      <c r="D8" s="227">
        <f>IFERROR(ROUNDDOWN(C8/B8,0),"")</f>
        <v>0</v>
      </c>
      <c r="E8" s="51" t="s">
        <v>271</v>
      </c>
      <c r="F8" s="228">
        <f>IFERROR(C8-(D8*B8),"")</f>
        <v>7</v>
      </c>
      <c r="G8" s="67"/>
      <c r="H8" s="67"/>
    </row>
    <row r="9" spans="1:8" ht="25.35" customHeight="1" x14ac:dyDescent="0.3">
      <c r="A9" s="221" t="s">
        <v>246</v>
      </c>
      <c r="B9" s="224">
        <f t="shared" si="2"/>
        <v>36</v>
      </c>
      <c r="C9" s="227">
        <f>IFERROR(VLOOKUP(A9,'대신 피벗'!A:ST,13,FALSE),0)</f>
        <v>7</v>
      </c>
      <c r="D9" s="227">
        <f t="shared" si="0"/>
        <v>0</v>
      </c>
      <c r="E9" s="51" t="s">
        <v>270</v>
      </c>
      <c r="F9" s="228">
        <f t="shared" si="1"/>
        <v>7</v>
      </c>
      <c r="G9" s="67"/>
      <c r="H9" s="67"/>
    </row>
    <row r="10" spans="1:8" ht="25.35" customHeight="1" x14ac:dyDescent="0.3">
      <c r="A10" s="221" t="s">
        <v>256</v>
      </c>
      <c r="B10" s="224">
        <f t="shared" si="2"/>
        <v>36</v>
      </c>
      <c r="C10" s="227">
        <f>IFERROR(VLOOKUP(A10,'대신 피벗'!A:ST,13,FALSE),0)</f>
        <v>5</v>
      </c>
      <c r="D10" s="227">
        <f>IFERROR(ROUNDDOWN(C10/B10,0),"")</f>
        <v>0</v>
      </c>
      <c r="E10" s="51" t="s">
        <v>278</v>
      </c>
      <c r="F10" s="228">
        <f>IFERROR(C10-(D10*B10),"")</f>
        <v>5</v>
      </c>
      <c r="G10" s="67"/>
      <c r="H10" s="67"/>
    </row>
    <row r="11" spans="1:8" ht="25.35" customHeight="1" x14ac:dyDescent="0.3">
      <c r="A11" s="221" t="s">
        <v>247</v>
      </c>
      <c r="B11" s="224">
        <f t="shared" si="2"/>
        <v>36</v>
      </c>
      <c r="C11" s="227">
        <f>IFERROR(VLOOKUP(A11,'대신 피벗'!A:ST,13,FALSE),0)</f>
        <v>7</v>
      </c>
      <c r="D11" s="227">
        <f t="shared" si="0"/>
        <v>0</v>
      </c>
      <c r="E11" s="51" t="s">
        <v>334</v>
      </c>
      <c r="F11" s="228">
        <f t="shared" si="1"/>
        <v>7</v>
      </c>
      <c r="G11" s="67"/>
      <c r="H11" s="67"/>
    </row>
    <row r="12" spans="1:8" ht="25.35" customHeight="1" x14ac:dyDescent="0.3">
      <c r="A12" s="221" t="s">
        <v>251</v>
      </c>
      <c r="B12" s="224">
        <f t="shared" si="2"/>
        <v>36</v>
      </c>
      <c r="C12" s="227">
        <f>IFERROR(VLOOKUP(A12,'대신 피벗'!A:ST,13,FALSE),0)</f>
        <v>14</v>
      </c>
      <c r="D12" s="227">
        <f t="shared" si="0"/>
        <v>0</v>
      </c>
      <c r="E12" s="51" t="s">
        <v>274</v>
      </c>
      <c r="F12" s="228">
        <f t="shared" si="1"/>
        <v>14</v>
      </c>
      <c r="G12" s="67"/>
      <c r="H12" s="67"/>
    </row>
    <row r="13" spans="1:8" ht="25.35" customHeight="1" x14ac:dyDescent="0.3">
      <c r="A13" s="220" t="s">
        <v>252</v>
      </c>
      <c r="B13" s="224">
        <f t="shared" si="2"/>
        <v>36</v>
      </c>
      <c r="C13" s="227">
        <f>IFERROR(VLOOKUP(A13,'대신 피벗'!A:ST,13,FALSE),0)</f>
        <v>23</v>
      </c>
      <c r="D13" s="227">
        <f t="shared" si="0"/>
        <v>0</v>
      </c>
      <c r="E13" s="51" t="s">
        <v>275</v>
      </c>
      <c r="F13" s="228">
        <f t="shared" si="1"/>
        <v>23</v>
      </c>
      <c r="G13" s="67"/>
      <c r="H13" s="67"/>
    </row>
    <row r="14" spans="1:8" ht="25.35" customHeight="1" x14ac:dyDescent="0.3">
      <c r="A14" s="221" t="s">
        <v>253</v>
      </c>
      <c r="B14" s="224">
        <f t="shared" si="2"/>
        <v>36</v>
      </c>
      <c r="C14" s="227">
        <f>IFERROR(VLOOKUP(A14,'대신 피벗'!A:ST,13,FALSE),0)</f>
        <v>23</v>
      </c>
      <c r="D14" s="227">
        <f t="shared" si="0"/>
        <v>0</v>
      </c>
      <c r="E14" s="51" t="s">
        <v>276</v>
      </c>
      <c r="F14" s="228">
        <f t="shared" si="1"/>
        <v>23</v>
      </c>
      <c r="G14" s="67"/>
      <c r="H14" s="67"/>
    </row>
    <row r="15" spans="1:8" ht="25.35" customHeight="1" x14ac:dyDescent="0.3">
      <c r="A15" s="221" t="s">
        <v>254</v>
      </c>
      <c r="B15" s="224">
        <f t="shared" si="2"/>
        <v>36</v>
      </c>
      <c r="C15" s="227">
        <f>IFERROR(VLOOKUP(A15,'대신 피벗'!A:ST,13,FALSE),0)</f>
        <v>13</v>
      </c>
      <c r="D15" s="227">
        <f t="shared" si="0"/>
        <v>0</v>
      </c>
      <c r="E15" s="51" t="s">
        <v>277</v>
      </c>
      <c r="F15" s="228">
        <f t="shared" si="1"/>
        <v>13</v>
      </c>
      <c r="G15" s="67"/>
      <c r="H15" s="67"/>
    </row>
    <row r="16" spans="1:8" ht="25.35" customHeight="1" x14ac:dyDescent="0.3">
      <c r="A16" s="221" t="s">
        <v>257</v>
      </c>
      <c r="B16" s="224">
        <f t="shared" si="2"/>
        <v>36</v>
      </c>
      <c r="C16" s="227">
        <f>IFERROR(VLOOKUP(A16,'대신 피벗'!A:ST,13,FALSE),0)</f>
        <v>7</v>
      </c>
      <c r="D16" s="227">
        <f t="shared" si="0"/>
        <v>0</v>
      </c>
      <c r="E16" s="51" t="s">
        <v>279</v>
      </c>
      <c r="F16" s="228">
        <f t="shared" si="1"/>
        <v>7</v>
      </c>
      <c r="G16" s="67"/>
      <c r="H16" s="67"/>
    </row>
    <row r="17" spans="1:8" ht="25.35" customHeight="1" x14ac:dyDescent="0.3">
      <c r="A17" s="221" t="s">
        <v>258</v>
      </c>
      <c r="B17" s="224">
        <f t="shared" si="2"/>
        <v>36</v>
      </c>
      <c r="C17" s="227">
        <f>IFERROR(VLOOKUP(A17,'대신 피벗'!A:ST,13,FALSE),0)</f>
        <v>5</v>
      </c>
      <c r="D17" s="227">
        <f t="shared" si="0"/>
        <v>0</v>
      </c>
      <c r="E17" s="51" t="s">
        <v>280</v>
      </c>
      <c r="F17" s="228">
        <f t="shared" si="1"/>
        <v>5</v>
      </c>
      <c r="G17" s="67"/>
      <c r="H17" s="67"/>
    </row>
    <row r="18" spans="1:8" ht="25.35" customHeight="1" x14ac:dyDescent="0.3">
      <c r="A18" s="221" t="s">
        <v>259</v>
      </c>
      <c r="B18" s="224">
        <f t="shared" si="2"/>
        <v>36</v>
      </c>
      <c r="C18" s="227">
        <f>IFERROR(VLOOKUP(A18,'대신 피벗'!A:ST,13,FALSE),0)</f>
        <v>5</v>
      </c>
      <c r="D18" s="227">
        <f t="shared" si="0"/>
        <v>0</v>
      </c>
      <c r="E18" s="51" t="s">
        <v>336</v>
      </c>
      <c r="F18" s="228">
        <f t="shared" si="1"/>
        <v>5</v>
      </c>
      <c r="G18" s="67"/>
      <c r="H18" s="67"/>
    </row>
    <row r="19" spans="1:8" ht="4.5" customHeight="1" x14ac:dyDescent="0.3">
      <c r="A19" s="258"/>
      <c r="B19" s="259"/>
      <c r="C19" s="259"/>
      <c r="D19" s="259"/>
      <c r="E19" s="259"/>
      <c r="F19" s="260"/>
    </row>
    <row r="20" spans="1:8" ht="32.450000000000003" customHeight="1" x14ac:dyDescent="0.3">
      <c r="A20" s="209" t="s">
        <v>122</v>
      </c>
      <c r="B20" s="226">
        <f>$B$4</f>
        <v>36</v>
      </c>
      <c r="C20" s="210">
        <f>SUM(C4:C18)</f>
        <v>185</v>
      </c>
      <c r="D20" s="54">
        <f>IFERROR(ROUNDDOWN(C20/B20,0),"")</f>
        <v>5</v>
      </c>
      <c r="E20" s="36"/>
      <c r="F20" s="121">
        <f>IFERROR(C20-(D20*B20),"")</f>
        <v>5</v>
      </c>
    </row>
    <row r="21" spans="1:8" ht="4.5" customHeight="1" x14ac:dyDescent="0.3">
      <c r="A21" s="183"/>
      <c r="B21" s="224"/>
      <c r="C21" s="50"/>
      <c r="D21" s="50"/>
      <c r="E21" s="50"/>
      <c r="F21" s="184"/>
    </row>
    <row r="22" spans="1:8" ht="25.35" customHeight="1" x14ac:dyDescent="0.3">
      <c r="A22" s="221" t="s">
        <v>241</v>
      </c>
      <c r="B22" s="224">
        <f t="shared" ref="B22:B26" si="5">$B$4</f>
        <v>36</v>
      </c>
      <c r="C22" s="227">
        <f>IFERROR(VLOOKUP(A22,'대신 피벗'!A:ST,13,FALSE),0)</f>
        <v>17</v>
      </c>
      <c r="D22" s="227">
        <f>IFERROR(ROUNDDOWN(C22/B22,0),"")</f>
        <v>0</v>
      </c>
      <c r="E22" s="51" t="s">
        <v>268</v>
      </c>
      <c r="F22" s="228">
        <f>IFERROR(C22-(D22*B22),"")</f>
        <v>17</v>
      </c>
      <c r="G22" s="67"/>
      <c r="H22" s="67"/>
    </row>
    <row r="23" spans="1:8" ht="25.35" customHeight="1" x14ac:dyDescent="0.3">
      <c r="A23" s="221" t="s">
        <v>242</v>
      </c>
      <c r="B23" s="224">
        <f t="shared" si="5"/>
        <v>36</v>
      </c>
      <c r="C23" s="227">
        <f>IFERROR(VLOOKUP(A23,'대신 피벗'!A:ST,13,FALSE),0)</f>
        <v>10</v>
      </c>
      <c r="D23" s="227">
        <f>IFERROR(ROUNDDOWN(C23/B23,0),"")</f>
        <v>0</v>
      </c>
      <c r="E23" s="51" t="s">
        <v>337</v>
      </c>
      <c r="F23" s="228">
        <f>IFERROR(C23-(D23*B23),"")</f>
        <v>10</v>
      </c>
      <c r="G23" s="67"/>
      <c r="H23" s="67"/>
    </row>
    <row r="24" spans="1:8" ht="25.35" customHeight="1" x14ac:dyDescent="0.3">
      <c r="A24" s="221" t="s">
        <v>243</v>
      </c>
      <c r="B24" s="224">
        <f t="shared" si="5"/>
        <v>36</v>
      </c>
      <c r="C24" s="227">
        <f>IFERROR(VLOOKUP(A24,'대신 피벗'!A:ST,13,FALSE),0)</f>
        <v>0</v>
      </c>
      <c r="D24" s="227">
        <f>IFERROR(ROUNDDOWN(C24/B24,0),"")</f>
        <v>0</v>
      </c>
      <c r="E24" s="51" t="s">
        <v>106</v>
      </c>
      <c r="F24" s="228">
        <f>IFERROR(C24-(D24*B24),"")</f>
        <v>0</v>
      </c>
      <c r="G24" s="67"/>
      <c r="H24" s="67"/>
    </row>
    <row r="25" spans="1:8" ht="25.35" customHeight="1" x14ac:dyDescent="0.3">
      <c r="A25" s="221" t="s">
        <v>244</v>
      </c>
      <c r="B25" s="224">
        <f t="shared" si="5"/>
        <v>36</v>
      </c>
      <c r="C25" s="227">
        <f>IFERROR(VLOOKUP(A25,'대신 피벗'!A:ST,13,FALSE),0)</f>
        <v>10</v>
      </c>
      <c r="D25" s="227">
        <f>IFERROR(ROUNDDOWN(C25/B25,0),"")</f>
        <v>0</v>
      </c>
      <c r="E25" s="51" t="s">
        <v>269</v>
      </c>
      <c r="F25" s="228">
        <f>IFERROR(C25-(D25*B25),"")</f>
        <v>10</v>
      </c>
      <c r="G25" s="67"/>
      <c r="H25" s="67"/>
    </row>
    <row r="26" spans="1:8" ht="25.35" customHeight="1" x14ac:dyDescent="0.3">
      <c r="A26" s="221" t="s">
        <v>245</v>
      </c>
      <c r="B26" s="224">
        <f t="shared" si="5"/>
        <v>36</v>
      </c>
      <c r="C26" s="227">
        <f>IFERROR(VLOOKUP(A26,'대신 피벗'!A:ST,13,FALSE),0)</f>
        <v>7</v>
      </c>
      <c r="D26" s="227">
        <f>IFERROR(ROUNDDOWN(C26/B26,0),"")</f>
        <v>0</v>
      </c>
      <c r="E26" s="51" t="s">
        <v>118</v>
      </c>
      <c r="F26" s="228">
        <f>IFERROR(C26-(D26*B26),"")</f>
        <v>7</v>
      </c>
      <c r="G26" s="67"/>
      <c r="H26" s="67"/>
    </row>
    <row r="27" spans="1:8" ht="4.5" customHeight="1" x14ac:dyDescent="0.3">
      <c r="A27" s="258"/>
      <c r="B27" s="259"/>
      <c r="C27" s="259"/>
      <c r="D27" s="259"/>
      <c r="E27" s="259"/>
      <c r="F27" s="260"/>
      <c r="G27" s="67"/>
      <c r="H27" s="67"/>
    </row>
    <row r="28" spans="1:8" ht="32.450000000000003" customHeight="1" x14ac:dyDescent="0.3">
      <c r="A28" s="209" t="s">
        <v>285</v>
      </c>
      <c r="B28" s="226">
        <f>$B$4</f>
        <v>36</v>
      </c>
      <c r="C28" s="210">
        <f>SUM(C22:C26)</f>
        <v>44</v>
      </c>
      <c r="D28" s="54">
        <f>IFERROR(ROUNDDOWN(C28/B28,0),"")</f>
        <v>1</v>
      </c>
      <c r="E28" s="36"/>
      <c r="F28" s="121">
        <f>IFERROR(C28-(D28*B28),"")</f>
        <v>8</v>
      </c>
      <c r="G28" s="67"/>
      <c r="H28" s="67"/>
    </row>
    <row r="29" spans="1:8" ht="4.5" customHeight="1" x14ac:dyDescent="0.3">
      <c r="A29" s="258"/>
      <c r="B29" s="259"/>
      <c r="C29" s="259"/>
      <c r="D29" s="259"/>
      <c r="E29" s="259"/>
      <c r="F29" s="260"/>
      <c r="G29" s="67"/>
      <c r="H29" s="67"/>
    </row>
    <row r="30" spans="1:8" ht="25.35" customHeight="1" x14ac:dyDescent="0.3">
      <c r="A30" s="221" t="s">
        <v>239</v>
      </c>
      <c r="B30" s="224">
        <f t="shared" ref="B30:B31" si="6">$B$4</f>
        <v>36</v>
      </c>
      <c r="C30" s="227">
        <f>IFERROR(VLOOKUP(A30,'대신 피벗'!A:ST,13,FALSE),0)</f>
        <v>8</v>
      </c>
      <c r="D30" s="227">
        <f t="shared" ref="D30:D31" si="7">IFERROR(ROUNDDOWN(C30/B30,0),"")</f>
        <v>0</v>
      </c>
      <c r="E30" s="51" t="s">
        <v>266</v>
      </c>
      <c r="F30" s="228">
        <f t="shared" ref="F30:F31" si="8">IFERROR(C30-(D30*B30),"")</f>
        <v>8</v>
      </c>
      <c r="G30" s="67"/>
      <c r="H30" s="67"/>
    </row>
    <row r="31" spans="1:8" ht="25.35" customHeight="1" x14ac:dyDescent="0.3">
      <c r="A31" s="221" t="s">
        <v>240</v>
      </c>
      <c r="B31" s="224">
        <f t="shared" si="6"/>
        <v>36</v>
      </c>
      <c r="C31" s="227">
        <f>IFERROR(VLOOKUP(A31,'대신 피벗'!A:ST,13,FALSE),0)</f>
        <v>7</v>
      </c>
      <c r="D31" s="227">
        <f t="shared" si="7"/>
        <v>0</v>
      </c>
      <c r="E31" s="51" t="s">
        <v>267</v>
      </c>
      <c r="F31" s="228">
        <f t="shared" si="8"/>
        <v>7</v>
      </c>
      <c r="G31" s="67"/>
      <c r="H31" s="67"/>
    </row>
    <row r="32" spans="1:8" ht="4.5" customHeight="1" x14ac:dyDescent="0.3">
      <c r="A32" s="258"/>
      <c r="B32" s="259"/>
      <c r="C32" s="259"/>
      <c r="D32" s="259"/>
      <c r="E32" s="259"/>
      <c r="F32" s="260"/>
      <c r="G32" s="67"/>
      <c r="H32" s="67"/>
    </row>
    <row r="33" spans="1:8" ht="32.450000000000003" customHeight="1" x14ac:dyDescent="0.3">
      <c r="A33" s="209" t="s">
        <v>284</v>
      </c>
      <c r="B33" s="226">
        <f>$B$4</f>
        <v>36</v>
      </c>
      <c r="C33" s="210">
        <f>SUM(C30:C31)</f>
        <v>15</v>
      </c>
      <c r="D33" s="54">
        <f>IFERROR(ROUNDDOWN(C33/B33,0),"")</f>
        <v>0</v>
      </c>
      <c r="E33" s="36"/>
      <c r="F33" s="121">
        <f>IFERROR(C33-(D33*B33),"")</f>
        <v>15</v>
      </c>
      <c r="G33" s="67"/>
      <c r="H33" s="67"/>
    </row>
    <row r="34" spans="1:8" ht="4.5" customHeight="1" x14ac:dyDescent="0.3">
      <c r="A34" s="183"/>
      <c r="B34" s="224"/>
      <c r="C34" s="50"/>
      <c r="D34" s="50"/>
      <c r="E34" s="50"/>
      <c r="F34" s="184"/>
      <c r="G34" s="67"/>
      <c r="H34" s="67"/>
    </row>
    <row r="35" spans="1:8" ht="25.35" customHeight="1" x14ac:dyDescent="0.3">
      <c r="A35" s="221" t="s">
        <v>236</v>
      </c>
      <c r="B35" s="224">
        <f t="shared" ref="B35:B37" si="9">$B$4</f>
        <v>36</v>
      </c>
      <c r="C35" s="227">
        <f>IFERROR(VLOOKUP(A35,'대신 피벗'!A:ST,13,FALSE),0)</f>
        <v>7</v>
      </c>
      <c r="D35" s="227">
        <f>IFERROR(ROUNDDOWN(C35/B35,0),"")</f>
        <v>0</v>
      </c>
      <c r="E35" s="51" t="s">
        <v>264</v>
      </c>
      <c r="F35" s="228">
        <f>IFERROR(C35-(D35*B35),"")</f>
        <v>7</v>
      </c>
      <c r="G35" s="67"/>
      <c r="H35" s="67"/>
    </row>
    <row r="36" spans="1:8" ht="25.35" customHeight="1" x14ac:dyDescent="0.3">
      <c r="A36" s="221" t="s">
        <v>237</v>
      </c>
      <c r="B36" s="224">
        <f t="shared" si="9"/>
        <v>36</v>
      </c>
      <c r="C36" s="227">
        <f>IFERROR(VLOOKUP(A36,'대신 피벗'!A:ST,13,FALSE),0)</f>
        <v>5</v>
      </c>
      <c r="D36" s="227">
        <f t="shared" ref="D36:D37" si="10">IFERROR(ROUNDDOWN(C36/B36,0),"")</f>
        <v>0</v>
      </c>
      <c r="E36" s="51" t="s">
        <v>338</v>
      </c>
      <c r="F36" s="228">
        <f t="shared" ref="F36:F37" si="11">IFERROR(C36-(D36*B36),"")</f>
        <v>5</v>
      </c>
      <c r="G36" s="67"/>
      <c r="H36" s="67"/>
    </row>
    <row r="37" spans="1:8" ht="25.35" customHeight="1" x14ac:dyDescent="0.3">
      <c r="A37" s="221" t="s">
        <v>238</v>
      </c>
      <c r="B37" s="224">
        <f t="shared" si="9"/>
        <v>36</v>
      </c>
      <c r="C37" s="227">
        <f>IFERROR(VLOOKUP(A37,'대신 피벗'!A:ST,13,FALSE),0)</f>
        <v>1</v>
      </c>
      <c r="D37" s="227">
        <f t="shared" si="10"/>
        <v>0</v>
      </c>
      <c r="E37" s="51" t="s">
        <v>265</v>
      </c>
      <c r="F37" s="228">
        <f t="shared" si="11"/>
        <v>1</v>
      </c>
      <c r="G37" s="67"/>
      <c r="H37" s="67"/>
    </row>
    <row r="38" spans="1:8" ht="4.5" customHeight="1" x14ac:dyDescent="0.3">
      <c r="A38" s="258"/>
      <c r="B38" s="259"/>
      <c r="C38" s="259"/>
      <c r="D38" s="259"/>
      <c r="E38" s="259"/>
      <c r="F38" s="260"/>
      <c r="G38" s="67"/>
      <c r="H38" s="67"/>
    </row>
    <row r="39" spans="1:8" ht="32.450000000000003" customHeight="1" x14ac:dyDescent="0.3">
      <c r="A39" s="209" t="s">
        <v>283</v>
      </c>
      <c r="B39" s="226">
        <f>$B$4</f>
        <v>36</v>
      </c>
      <c r="C39" s="210">
        <f>SUM(C35:C37)</f>
        <v>13</v>
      </c>
      <c r="D39" s="54">
        <f>IFERROR(ROUNDDOWN(C39/B39,0),"")</f>
        <v>0</v>
      </c>
      <c r="E39" s="36"/>
      <c r="F39" s="121">
        <f>IFERROR(C39-(D39*B39),"")</f>
        <v>13</v>
      </c>
      <c r="G39" s="67"/>
      <c r="H39" s="67"/>
    </row>
    <row r="40" spans="1:8" ht="4.5" customHeight="1" x14ac:dyDescent="0.3">
      <c r="A40" s="183"/>
      <c r="B40" s="224"/>
      <c r="C40" s="50"/>
      <c r="D40" s="50"/>
      <c r="E40" s="50"/>
      <c r="F40" s="184"/>
      <c r="G40" s="67"/>
      <c r="H40" s="67"/>
    </row>
    <row r="41" spans="1:8" ht="25.35" customHeight="1" x14ac:dyDescent="0.3">
      <c r="A41" s="221" t="s">
        <v>261</v>
      </c>
      <c r="B41" s="224">
        <f t="shared" ref="B41:B42" si="12">$B$4</f>
        <v>36</v>
      </c>
      <c r="C41" s="227">
        <f>IFERROR(VLOOKUP(A41,'대신 피벗'!A:ST,13,FALSE),0)</f>
        <v>0</v>
      </c>
      <c r="D41" s="227">
        <f t="shared" ref="D41:D42" si="13">IFERROR(ROUNDDOWN(C41/B41,0),"")</f>
        <v>0</v>
      </c>
      <c r="E41" s="51" t="s">
        <v>281</v>
      </c>
      <c r="F41" s="228">
        <f t="shared" ref="F41:F42" si="14">IFERROR(C41-(D41*B41),"")</f>
        <v>0</v>
      </c>
      <c r="G41" s="67"/>
      <c r="H41" s="67"/>
    </row>
    <row r="42" spans="1:8" ht="25.35" customHeight="1" x14ac:dyDescent="0.3">
      <c r="A42" s="221" t="s">
        <v>262</v>
      </c>
      <c r="B42" s="224">
        <f t="shared" si="12"/>
        <v>36</v>
      </c>
      <c r="C42" s="227">
        <f>IFERROR(VLOOKUP(A42,'대신 피벗'!A:ST,13,FALSE),0)</f>
        <v>0</v>
      </c>
      <c r="D42" s="227">
        <f t="shared" si="13"/>
        <v>0</v>
      </c>
      <c r="E42" s="51" t="s">
        <v>282</v>
      </c>
      <c r="F42" s="228">
        <f t="shared" si="14"/>
        <v>0</v>
      </c>
      <c r="G42" s="67"/>
      <c r="H42" s="67"/>
    </row>
    <row r="43" spans="1:8" ht="4.5" customHeight="1" x14ac:dyDescent="0.3">
      <c r="A43" s="258"/>
      <c r="B43" s="259"/>
      <c r="C43" s="259"/>
      <c r="D43" s="259"/>
      <c r="E43" s="259"/>
      <c r="F43" s="260"/>
      <c r="G43" s="67"/>
      <c r="H43" s="67"/>
    </row>
    <row r="44" spans="1:8" ht="32.450000000000003" customHeight="1" x14ac:dyDescent="0.3">
      <c r="A44" s="209" t="s">
        <v>339</v>
      </c>
      <c r="B44" s="226">
        <f>$B$4</f>
        <v>36</v>
      </c>
      <c r="C44" s="210">
        <f>SUM(C41:C42)</f>
        <v>0</v>
      </c>
      <c r="D44" s="54">
        <f>IFERROR(ROUNDDOWN(C44/B44,0),"")</f>
        <v>0</v>
      </c>
      <c r="E44" s="36"/>
      <c r="F44" s="121">
        <f>IFERROR(C44-(D44*B44),"")</f>
        <v>0</v>
      </c>
      <c r="G44" s="67"/>
      <c r="H44" s="67"/>
    </row>
    <row r="45" spans="1:8" ht="4.5" customHeight="1" thickBot="1" x14ac:dyDescent="0.35">
      <c r="A45" s="183"/>
      <c r="B45" s="50"/>
      <c r="C45" s="50"/>
      <c r="D45" s="50"/>
      <c r="E45" s="50"/>
      <c r="F45" s="184"/>
      <c r="G45" s="67"/>
      <c r="H45" s="67"/>
    </row>
    <row r="46" spans="1:8" ht="26.25" x14ac:dyDescent="0.3">
      <c r="A46" s="87" t="s">
        <v>3</v>
      </c>
      <c r="B46" s="226">
        <f>$B$4</f>
        <v>36</v>
      </c>
      <c r="C46" s="55">
        <f>SUM(C4:C18,C35:C37,C30:C31,C22:C26,C41:C42)</f>
        <v>257</v>
      </c>
      <c r="D46" s="54">
        <f>IFERROR(ROUNDDOWN(C46/B46,0),"")</f>
        <v>7</v>
      </c>
      <c r="E46" s="56"/>
      <c r="F46" s="121">
        <f>IFERROR(C46-(D46*B46),"")</f>
        <v>5</v>
      </c>
      <c r="G46" s="232" t="s">
        <v>110</v>
      </c>
      <c r="H46" s="233" t="s">
        <v>111</v>
      </c>
    </row>
    <row r="47" spans="1:8" ht="27" thickBot="1" x14ac:dyDescent="0.35">
      <c r="A47" s="42" t="s">
        <v>286</v>
      </c>
      <c r="B47" s="43" t="s">
        <v>173</v>
      </c>
      <c r="C47" s="40"/>
      <c r="D47" s="41">
        <f>SUM(D4:D18,D35:D37,D30:D31,D22:D26,D41:D42)</f>
        <v>0</v>
      </c>
      <c r="E47" s="48"/>
      <c r="F47" s="93">
        <f>SUM(F4:F18,F35:F37,F30:F31,F22:F26,F41:F42)</f>
        <v>257</v>
      </c>
      <c r="G47" s="216">
        <f>IFERROR(ROUNDDOWN(F47/B35,0),"")</f>
        <v>7</v>
      </c>
      <c r="H47" s="217">
        <f>IFERROR(F47-(G47*B35),"")</f>
        <v>5</v>
      </c>
    </row>
    <row r="48" spans="1:8" ht="22.5" customHeight="1" x14ac:dyDescent="0.3">
      <c r="C48" s="77">
        <f>C20+C28+C33+C39+C44</f>
        <v>257</v>
      </c>
      <c r="G48" s="199"/>
      <c r="H48" s="34" t="s">
        <v>174</v>
      </c>
    </row>
    <row r="49" spans="3:3" x14ac:dyDescent="0.3">
      <c r="C49" s="34" t="b">
        <f>C48=C46</f>
        <v>1</v>
      </c>
    </row>
  </sheetData>
  <mergeCells count="1">
    <mergeCell ref="A1:F1"/>
  </mergeCells>
  <phoneticPr fontId="13" type="noConversion"/>
  <printOptions horizontalCentered="1" verticalCentered="1"/>
  <pageMargins left="0" right="0" top="0" bottom="0" header="0" footer="0"/>
  <pageSetup paperSize="9" scale="77" orientation="portrait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19B3E2-720A-4682-B315-42A9C7808E8B}">
  <sheetPr>
    <tabColor rgb="FF7030A0"/>
    <pageSetUpPr fitToPage="1"/>
  </sheetPr>
  <dimension ref="A1:H49"/>
  <sheetViews>
    <sheetView zoomScale="40" zoomScaleNormal="40" zoomScaleSheetLayoutView="75" workbookViewId="0">
      <selection activeCell="A2" sqref="A2:F47"/>
    </sheetView>
  </sheetViews>
  <sheetFormatPr defaultColWidth="9" defaultRowHeight="16.5" x14ac:dyDescent="0.3"/>
  <cols>
    <col min="1" max="1" width="24.75" style="34" customWidth="1"/>
    <col min="2" max="2" width="7.625" style="38" customWidth="1"/>
    <col min="3" max="3" width="30.625" style="34" customWidth="1"/>
    <col min="4" max="4" width="9.875" style="2" customWidth="1"/>
    <col min="5" max="5" width="11.375" style="34" customWidth="1"/>
    <col min="6" max="6" width="11.125" style="2" customWidth="1"/>
    <col min="7" max="7" width="8.375" style="34" customWidth="1"/>
    <col min="8" max="8" width="9" style="34" customWidth="1"/>
    <col min="9" max="13" width="9" style="34"/>
    <col min="14" max="14" width="10.625" style="34" customWidth="1"/>
    <col min="15" max="17" width="9" style="34"/>
    <col min="18" max="18" width="36.5" style="34" bestFit="1" customWidth="1"/>
    <col min="19" max="16384" width="9" style="34"/>
  </cols>
  <sheetData>
    <row r="1" spans="1:8" ht="25.9" customHeight="1" thickBot="1" x14ac:dyDescent="0.35">
      <c r="A1" s="270"/>
      <c r="B1" s="270"/>
      <c r="C1" s="270"/>
      <c r="D1" s="270"/>
      <c r="E1" s="270"/>
      <c r="F1" s="270"/>
    </row>
    <row r="2" spans="1:8" ht="25.9" customHeight="1" x14ac:dyDescent="0.3">
      <c r="A2" s="215">
        <f ca="1">TODAY()</f>
        <v>46314</v>
      </c>
      <c r="B2" s="256" t="s">
        <v>345</v>
      </c>
      <c r="C2" s="256"/>
      <c r="D2" s="256"/>
      <c r="E2" s="256"/>
      <c r="F2" s="257"/>
      <c r="G2" s="67"/>
      <c r="H2" s="67"/>
    </row>
    <row r="3" spans="1:8" ht="40.15" customHeight="1" x14ac:dyDescent="0.3">
      <c r="A3" s="222" t="s">
        <v>67</v>
      </c>
      <c r="B3" s="223" t="s">
        <v>13</v>
      </c>
      <c r="C3" s="229" t="s">
        <v>349</v>
      </c>
      <c r="D3" s="230" t="s">
        <v>2</v>
      </c>
      <c r="E3" s="229" t="s">
        <v>23</v>
      </c>
      <c r="F3" s="231" t="s">
        <v>14</v>
      </c>
      <c r="G3" s="67"/>
      <c r="H3" s="67"/>
    </row>
    <row r="4" spans="1:8" ht="25.35" customHeight="1" x14ac:dyDescent="0.3">
      <c r="A4" s="220" t="s">
        <v>260</v>
      </c>
      <c r="B4" s="224">
        <v>32</v>
      </c>
      <c r="C4" s="227">
        <f>IFERROR(VLOOKUP(A4,'대신 피벗'!A:ST,14,FALSE),0)</f>
        <v>0</v>
      </c>
      <c r="D4" s="227">
        <f t="shared" ref="D4:D18" si="0">IFERROR(ROUNDDOWN(C4/B4,0),"")</f>
        <v>0</v>
      </c>
      <c r="E4" s="51" t="s">
        <v>109</v>
      </c>
      <c r="F4" s="228">
        <f t="shared" ref="F4:F18" si="1">IFERROR(C4-(D4*B4),"")</f>
        <v>0</v>
      </c>
      <c r="G4" s="67"/>
      <c r="H4" s="67"/>
    </row>
    <row r="5" spans="1:8" ht="25.35" customHeight="1" x14ac:dyDescent="0.3">
      <c r="A5" s="221" t="s">
        <v>255</v>
      </c>
      <c r="B5" s="224">
        <f t="shared" ref="B5:B18" si="2">$B$4</f>
        <v>32</v>
      </c>
      <c r="C5" s="227">
        <f>IFERROR(VLOOKUP(A5,'대신 피벗'!A:ST,14,FALSE),0)</f>
        <v>2</v>
      </c>
      <c r="D5" s="227">
        <f t="shared" si="0"/>
        <v>0</v>
      </c>
      <c r="E5" s="51" t="s">
        <v>335</v>
      </c>
      <c r="F5" s="228">
        <f t="shared" si="1"/>
        <v>2</v>
      </c>
      <c r="G5" s="67"/>
      <c r="H5" s="67"/>
    </row>
    <row r="6" spans="1:8" ht="25.35" customHeight="1" x14ac:dyDescent="0.3">
      <c r="A6" s="221" t="s">
        <v>249</v>
      </c>
      <c r="B6" s="224">
        <f t="shared" si="2"/>
        <v>32</v>
      </c>
      <c r="C6" s="227">
        <f>IFERROR(VLOOKUP(A6,'대신 피벗'!A:ST,14,FALSE),0)</f>
        <v>1</v>
      </c>
      <c r="D6" s="227">
        <f>IFERROR(ROUNDDOWN(C6/B6,0),"")</f>
        <v>0</v>
      </c>
      <c r="E6" s="51" t="s">
        <v>272</v>
      </c>
      <c r="F6" s="228">
        <f>IFERROR(C6-(D6*B6),"")</f>
        <v>1</v>
      </c>
      <c r="G6" s="67"/>
      <c r="H6" s="67"/>
    </row>
    <row r="7" spans="1:8" ht="25.35" customHeight="1" x14ac:dyDescent="0.3">
      <c r="A7" s="221" t="s">
        <v>250</v>
      </c>
      <c r="B7" s="224">
        <f t="shared" si="2"/>
        <v>32</v>
      </c>
      <c r="C7" s="227">
        <f>IFERROR(VLOOKUP(A7,'대신 피벗'!A:ST,14,FALSE),0)</f>
        <v>7</v>
      </c>
      <c r="D7" s="227">
        <f>IFERROR(ROUNDDOWN(C7/B7,0),"")</f>
        <v>0</v>
      </c>
      <c r="E7" s="51" t="s">
        <v>273</v>
      </c>
      <c r="F7" s="228">
        <f>IFERROR(C7-(D7*B7),"")</f>
        <v>7</v>
      </c>
      <c r="G7" s="67"/>
      <c r="H7" s="67"/>
    </row>
    <row r="8" spans="1:8" ht="25.35" customHeight="1" x14ac:dyDescent="0.3">
      <c r="A8" s="221" t="s">
        <v>248</v>
      </c>
      <c r="B8" s="224">
        <f t="shared" si="2"/>
        <v>32</v>
      </c>
      <c r="C8" s="227">
        <f>IFERROR(VLOOKUP(A8,'대신 피벗'!A:ST,14,FALSE),0)</f>
        <v>0</v>
      </c>
      <c r="D8" s="227">
        <f>IFERROR(ROUNDDOWN(C8/B8,0),"")</f>
        <v>0</v>
      </c>
      <c r="E8" s="51" t="s">
        <v>271</v>
      </c>
      <c r="F8" s="228">
        <f>IFERROR(C8-(D8*B8),"")</f>
        <v>0</v>
      </c>
      <c r="G8" s="67"/>
      <c r="H8" s="67"/>
    </row>
    <row r="9" spans="1:8" ht="25.35" customHeight="1" x14ac:dyDescent="0.3">
      <c r="A9" s="221" t="s">
        <v>246</v>
      </c>
      <c r="B9" s="224">
        <f t="shared" si="2"/>
        <v>32</v>
      </c>
      <c r="C9" s="227">
        <f>IFERROR(VLOOKUP(A9,'대신 피벗'!A:ST,14,FALSE),0)</f>
        <v>2</v>
      </c>
      <c r="D9" s="227">
        <f t="shared" si="0"/>
        <v>0</v>
      </c>
      <c r="E9" s="51" t="s">
        <v>270</v>
      </c>
      <c r="F9" s="228">
        <f t="shared" si="1"/>
        <v>2</v>
      </c>
      <c r="G9" s="67"/>
      <c r="H9" s="67"/>
    </row>
    <row r="10" spans="1:8" ht="25.35" customHeight="1" x14ac:dyDescent="0.3">
      <c r="A10" s="221" t="s">
        <v>256</v>
      </c>
      <c r="B10" s="224">
        <f t="shared" si="2"/>
        <v>32</v>
      </c>
      <c r="C10" s="227">
        <f>IFERROR(VLOOKUP(A10,'대신 피벗'!A:ST,14,FALSE),0)</f>
        <v>1</v>
      </c>
      <c r="D10" s="227">
        <f>IFERROR(ROUNDDOWN(C10/B10,0),"")</f>
        <v>0</v>
      </c>
      <c r="E10" s="51" t="s">
        <v>278</v>
      </c>
      <c r="F10" s="228">
        <f>IFERROR(C10-(D10*B10),"")</f>
        <v>1</v>
      </c>
      <c r="G10" s="67"/>
      <c r="H10" s="67"/>
    </row>
    <row r="11" spans="1:8" ht="25.35" customHeight="1" x14ac:dyDescent="0.3">
      <c r="A11" s="221" t="s">
        <v>247</v>
      </c>
      <c r="B11" s="224">
        <f t="shared" si="2"/>
        <v>32</v>
      </c>
      <c r="C11" s="227">
        <f>IFERROR(VLOOKUP(A11,'대신 피벗'!A:ST,14,FALSE),0)</f>
        <v>2</v>
      </c>
      <c r="D11" s="227">
        <f t="shared" si="0"/>
        <v>0</v>
      </c>
      <c r="E11" s="51" t="s">
        <v>334</v>
      </c>
      <c r="F11" s="228">
        <f t="shared" si="1"/>
        <v>2</v>
      </c>
      <c r="G11" s="67"/>
      <c r="H11" s="67"/>
    </row>
    <row r="12" spans="1:8" ht="25.35" customHeight="1" x14ac:dyDescent="0.3">
      <c r="A12" s="221" t="s">
        <v>251</v>
      </c>
      <c r="B12" s="224">
        <f t="shared" si="2"/>
        <v>32</v>
      </c>
      <c r="C12" s="227">
        <f>IFERROR(VLOOKUP(A12,'대신 피벗'!A:ST,14,FALSE),0)</f>
        <v>1</v>
      </c>
      <c r="D12" s="227">
        <f t="shared" si="0"/>
        <v>0</v>
      </c>
      <c r="E12" s="51" t="s">
        <v>274</v>
      </c>
      <c r="F12" s="228">
        <f t="shared" si="1"/>
        <v>1</v>
      </c>
      <c r="G12" s="67"/>
      <c r="H12" s="67"/>
    </row>
    <row r="13" spans="1:8" ht="25.35" customHeight="1" x14ac:dyDescent="0.3">
      <c r="A13" s="220" t="s">
        <v>252</v>
      </c>
      <c r="B13" s="224">
        <f t="shared" si="2"/>
        <v>32</v>
      </c>
      <c r="C13" s="227">
        <f>IFERROR(VLOOKUP(A13,'대신 피벗'!A:ST,14,FALSE),0)</f>
        <v>2</v>
      </c>
      <c r="D13" s="227">
        <f t="shared" si="0"/>
        <v>0</v>
      </c>
      <c r="E13" s="51" t="s">
        <v>275</v>
      </c>
      <c r="F13" s="228">
        <f t="shared" si="1"/>
        <v>2</v>
      </c>
      <c r="G13" s="67"/>
      <c r="H13" s="67"/>
    </row>
    <row r="14" spans="1:8" ht="25.35" customHeight="1" x14ac:dyDescent="0.3">
      <c r="A14" s="221" t="s">
        <v>253</v>
      </c>
      <c r="B14" s="224">
        <f t="shared" si="2"/>
        <v>32</v>
      </c>
      <c r="C14" s="227">
        <f>IFERROR(VLOOKUP(A14,'대신 피벗'!A:ST,14,FALSE),0)</f>
        <v>3</v>
      </c>
      <c r="D14" s="227">
        <f t="shared" si="0"/>
        <v>0</v>
      </c>
      <c r="E14" s="51" t="s">
        <v>276</v>
      </c>
      <c r="F14" s="228">
        <f t="shared" si="1"/>
        <v>3</v>
      </c>
      <c r="G14" s="67"/>
      <c r="H14" s="67"/>
    </row>
    <row r="15" spans="1:8" ht="25.35" customHeight="1" x14ac:dyDescent="0.3">
      <c r="A15" s="221" t="s">
        <v>254</v>
      </c>
      <c r="B15" s="224">
        <f t="shared" si="2"/>
        <v>32</v>
      </c>
      <c r="C15" s="227">
        <f>IFERROR(VLOOKUP(A15,'대신 피벗'!A:ST,14,FALSE),0)</f>
        <v>3</v>
      </c>
      <c r="D15" s="227">
        <f t="shared" si="0"/>
        <v>0</v>
      </c>
      <c r="E15" s="51" t="s">
        <v>277</v>
      </c>
      <c r="F15" s="228">
        <f t="shared" si="1"/>
        <v>3</v>
      </c>
      <c r="G15" s="67"/>
      <c r="H15" s="67"/>
    </row>
    <row r="16" spans="1:8" ht="25.35" customHeight="1" x14ac:dyDescent="0.3">
      <c r="A16" s="221" t="s">
        <v>257</v>
      </c>
      <c r="B16" s="224">
        <f t="shared" si="2"/>
        <v>32</v>
      </c>
      <c r="C16" s="227">
        <f>IFERROR(VLOOKUP(A16,'대신 피벗'!A:ST,14,FALSE),0)</f>
        <v>1</v>
      </c>
      <c r="D16" s="227">
        <f t="shared" si="0"/>
        <v>0</v>
      </c>
      <c r="E16" s="51" t="s">
        <v>279</v>
      </c>
      <c r="F16" s="228">
        <f t="shared" si="1"/>
        <v>1</v>
      </c>
      <c r="G16" s="67"/>
      <c r="H16" s="67"/>
    </row>
    <row r="17" spans="1:8" ht="25.35" customHeight="1" x14ac:dyDescent="0.3">
      <c r="A17" s="221" t="s">
        <v>258</v>
      </c>
      <c r="B17" s="224">
        <f t="shared" si="2"/>
        <v>32</v>
      </c>
      <c r="C17" s="227">
        <f>IFERROR(VLOOKUP(A17,'대신 피벗'!A:ST,14,FALSE),0)</f>
        <v>1</v>
      </c>
      <c r="D17" s="227">
        <f t="shared" si="0"/>
        <v>0</v>
      </c>
      <c r="E17" s="51" t="s">
        <v>280</v>
      </c>
      <c r="F17" s="228">
        <f t="shared" si="1"/>
        <v>1</v>
      </c>
      <c r="G17" s="67"/>
      <c r="H17" s="67"/>
    </row>
    <row r="18" spans="1:8" ht="25.35" customHeight="1" x14ac:dyDescent="0.3">
      <c r="A18" s="221" t="s">
        <v>259</v>
      </c>
      <c r="B18" s="224">
        <f t="shared" si="2"/>
        <v>32</v>
      </c>
      <c r="C18" s="227">
        <f>IFERROR(VLOOKUP(A18,'대신 피벗'!A:ST,14,FALSE),0)</f>
        <v>1</v>
      </c>
      <c r="D18" s="227">
        <f t="shared" si="0"/>
        <v>0</v>
      </c>
      <c r="E18" s="51" t="s">
        <v>336</v>
      </c>
      <c r="F18" s="228">
        <f t="shared" si="1"/>
        <v>1</v>
      </c>
      <c r="G18" s="67"/>
      <c r="H18" s="67"/>
    </row>
    <row r="19" spans="1:8" ht="4.5" customHeight="1" x14ac:dyDescent="0.3">
      <c r="A19" s="183"/>
      <c r="B19" s="50"/>
      <c r="C19" s="50"/>
      <c r="D19" s="50"/>
      <c r="E19" s="50"/>
      <c r="F19" s="184"/>
    </row>
    <row r="20" spans="1:8" ht="32.450000000000003" customHeight="1" x14ac:dyDescent="0.3">
      <c r="A20" s="209" t="s">
        <v>122</v>
      </c>
      <c r="B20" s="226">
        <f>$B$4</f>
        <v>32</v>
      </c>
      <c r="C20" s="210">
        <f>SUM(C4:C18)</f>
        <v>27</v>
      </c>
      <c r="D20" s="54">
        <f>IFERROR(ROUNDDOWN(C20/B20,0),"")</f>
        <v>0</v>
      </c>
      <c r="E20" s="36"/>
      <c r="F20" s="121">
        <f>IFERROR(C20-(D20*B20),"")</f>
        <v>27</v>
      </c>
    </row>
    <row r="21" spans="1:8" ht="4.5" customHeight="1" x14ac:dyDescent="0.3">
      <c r="A21" s="183"/>
      <c r="B21" s="224"/>
      <c r="C21" s="50"/>
      <c r="D21" s="50"/>
      <c r="E21" s="50"/>
      <c r="F21" s="184"/>
    </row>
    <row r="22" spans="1:8" ht="25.35" customHeight="1" x14ac:dyDescent="0.3">
      <c r="A22" s="221" t="s">
        <v>241</v>
      </c>
      <c r="B22" s="224">
        <f t="shared" ref="B22:B26" si="3">$B$4</f>
        <v>32</v>
      </c>
      <c r="C22" s="227">
        <f>IFERROR(VLOOKUP(A22,'대신 피벗'!A:ST,14,FALSE),0)</f>
        <v>5</v>
      </c>
      <c r="D22" s="227">
        <f>IFERROR(ROUNDDOWN(C22/B22,0),"")</f>
        <v>0</v>
      </c>
      <c r="E22" s="51" t="s">
        <v>268</v>
      </c>
      <c r="F22" s="228">
        <f>IFERROR(C22-(D22*B22),"")</f>
        <v>5</v>
      </c>
      <c r="G22" s="67"/>
      <c r="H22" s="67"/>
    </row>
    <row r="23" spans="1:8" ht="25.35" customHeight="1" x14ac:dyDescent="0.3">
      <c r="A23" s="221" t="s">
        <v>242</v>
      </c>
      <c r="B23" s="224">
        <f t="shared" si="3"/>
        <v>32</v>
      </c>
      <c r="C23" s="227">
        <f>IFERROR(VLOOKUP(A23,'대신 피벗'!A:ST,14,FALSE),0)</f>
        <v>1</v>
      </c>
      <c r="D23" s="227">
        <f>IFERROR(ROUNDDOWN(C23/B23,0),"")</f>
        <v>0</v>
      </c>
      <c r="E23" s="51" t="s">
        <v>337</v>
      </c>
      <c r="F23" s="228">
        <f>IFERROR(C23-(D23*B23),"")</f>
        <v>1</v>
      </c>
      <c r="G23" s="67"/>
      <c r="H23" s="67"/>
    </row>
    <row r="24" spans="1:8" ht="25.35" customHeight="1" x14ac:dyDescent="0.3">
      <c r="A24" s="221" t="s">
        <v>243</v>
      </c>
      <c r="B24" s="224">
        <f t="shared" si="3"/>
        <v>32</v>
      </c>
      <c r="C24" s="227">
        <f>IFERROR(VLOOKUP(A24,'대신 피벗'!A:ST,14,FALSE),0)</f>
        <v>0</v>
      </c>
      <c r="D24" s="227">
        <f>IFERROR(ROUNDDOWN(C24/B24,0),"")</f>
        <v>0</v>
      </c>
      <c r="E24" s="51" t="s">
        <v>106</v>
      </c>
      <c r="F24" s="228">
        <f>IFERROR(C24-(D24*B24),"")</f>
        <v>0</v>
      </c>
      <c r="G24" s="67"/>
      <c r="H24" s="67"/>
    </row>
    <row r="25" spans="1:8" ht="25.35" customHeight="1" x14ac:dyDescent="0.3">
      <c r="A25" s="221" t="s">
        <v>244</v>
      </c>
      <c r="B25" s="224">
        <f t="shared" si="3"/>
        <v>32</v>
      </c>
      <c r="C25" s="227">
        <f>IFERROR(VLOOKUP(A25,'대신 피벗'!A:ST,14,FALSE),0)</f>
        <v>2</v>
      </c>
      <c r="D25" s="227">
        <f>IFERROR(ROUNDDOWN(C25/B25,0),"")</f>
        <v>0</v>
      </c>
      <c r="E25" s="51" t="s">
        <v>269</v>
      </c>
      <c r="F25" s="228">
        <f>IFERROR(C25-(D25*B25),"")</f>
        <v>2</v>
      </c>
      <c r="G25" s="67"/>
      <c r="H25" s="67"/>
    </row>
    <row r="26" spans="1:8" ht="25.35" customHeight="1" x14ac:dyDescent="0.3">
      <c r="A26" s="221" t="s">
        <v>245</v>
      </c>
      <c r="B26" s="224">
        <f t="shared" si="3"/>
        <v>32</v>
      </c>
      <c r="C26" s="227">
        <f>IFERROR(VLOOKUP(A26,'대신 피벗'!A:ST,14,FALSE),0)</f>
        <v>1</v>
      </c>
      <c r="D26" s="227">
        <f>IFERROR(ROUNDDOWN(C26/B26,0),"")</f>
        <v>0</v>
      </c>
      <c r="E26" s="51" t="s">
        <v>118</v>
      </c>
      <c r="F26" s="228">
        <f>IFERROR(C26-(D26*B26),"")</f>
        <v>1</v>
      </c>
      <c r="G26" s="67"/>
      <c r="H26" s="67"/>
    </row>
    <row r="27" spans="1:8" ht="4.5" customHeight="1" x14ac:dyDescent="0.3">
      <c r="A27" s="183"/>
      <c r="B27" s="50"/>
      <c r="C27" s="50"/>
      <c r="D27" s="50"/>
      <c r="E27" s="50"/>
      <c r="F27" s="184"/>
      <c r="G27" s="67"/>
      <c r="H27" s="67"/>
    </row>
    <row r="28" spans="1:8" ht="32.450000000000003" customHeight="1" x14ac:dyDescent="0.3">
      <c r="A28" s="209" t="s">
        <v>285</v>
      </c>
      <c r="B28" s="226">
        <f>$B$4</f>
        <v>32</v>
      </c>
      <c r="C28" s="210">
        <f>SUM(C22:C26)</f>
        <v>9</v>
      </c>
      <c r="D28" s="54">
        <f>IFERROR(ROUNDDOWN(C28/B28,0),"")</f>
        <v>0</v>
      </c>
      <c r="E28" s="36"/>
      <c r="F28" s="121">
        <f>IFERROR(C28-(D28*B28),"")</f>
        <v>9</v>
      </c>
      <c r="G28" s="67"/>
      <c r="H28" s="67"/>
    </row>
    <row r="29" spans="1:8" ht="4.5" customHeight="1" x14ac:dyDescent="0.3">
      <c r="A29" s="183"/>
      <c r="B29" s="50"/>
      <c r="C29" s="50"/>
      <c r="D29" s="50"/>
      <c r="E29" s="50"/>
      <c r="F29" s="184"/>
      <c r="G29" s="67"/>
      <c r="H29" s="67"/>
    </row>
    <row r="30" spans="1:8" ht="25.35" customHeight="1" x14ac:dyDescent="0.3">
      <c r="A30" s="221" t="s">
        <v>239</v>
      </c>
      <c r="B30" s="224">
        <f t="shared" ref="B30:B31" si="4">$B$4</f>
        <v>32</v>
      </c>
      <c r="C30" s="227">
        <f>IFERROR(VLOOKUP(A30,'대신 피벗'!A:ST,14,FALSE),0)</f>
        <v>1</v>
      </c>
      <c r="D30" s="227">
        <f t="shared" ref="D30:D31" si="5">IFERROR(ROUNDDOWN(C30/B30,0),"")</f>
        <v>0</v>
      </c>
      <c r="E30" s="51" t="s">
        <v>266</v>
      </c>
      <c r="F30" s="228">
        <f t="shared" ref="F30:F31" si="6">IFERROR(C30-(D30*B30),"")</f>
        <v>1</v>
      </c>
      <c r="G30" s="67"/>
      <c r="H30" s="67"/>
    </row>
    <row r="31" spans="1:8" ht="25.35" customHeight="1" x14ac:dyDescent="0.3">
      <c r="A31" s="221" t="s">
        <v>240</v>
      </c>
      <c r="B31" s="224">
        <f t="shared" si="4"/>
        <v>32</v>
      </c>
      <c r="C31" s="227">
        <f>IFERROR(VLOOKUP(A31,'대신 피벗'!A:ST,14,FALSE),0)</f>
        <v>2</v>
      </c>
      <c r="D31" s="227">
        <f t="shared" si="5"/>
        <v>0</v>
      </c>
      <c r="E31" s="51" t="s">
        <v>267</v>
      </c>
      <c r="F31" s="228">
        <f t="shared" si="6"/>
        <v>2</v>
      </c>
      <c r="G31" s="67"/>
      <c r="H31" s="67"/>
    </row>
    <row r="32" spans="1:8" ht="4.5" customHeight="1" x14ac:dyDescent="0.3">
      <c r="A32" s="183"/>
      <c r="B32" s="50"/>
      <c r="C32" s="50"/>
      <c r="D32" s="50"/>
      <c r="E32" s="50"/>
      <c r="F32" s="184"/>
      <c r="G32" s="67"/>
      <c r="H32" s="67"/>
    </row>
    <row r="33" spans="1:8" ht="32.450000000000003" customHeight="1" x14ac:dyDescent="0.3">
      <c r="A33" s="209" t="s">
        <v>284</v>
      </c>
      <c r="B33" s="226">
        <f>$B$4</f>
        <v>32</v>
      </c>
      <c r="C33" s="210">
        <f>SUM(C30:C31)</f>
        <v>3</v>
      </c>
      <c r="D33" s="54">
        <f>IFERROR(ROUNDDOWN(C33/B33,0),"")</f>
        <v>0</v>
      </c>
      <c r="E33" s="36"/>
      <c r="F33" s="121">
        <f>IFERROR(C33-(D33*B33),"")</f>
        <v>3</v>
      </c>
      <c r="G33" s="67"/>
      <c r="H33" s="67"/>
    </row>
    <row r="34" spans="1:8" ht="4.5" customHeight="1" x14ac:dyDescent="0.3">
      <c r="A34" s="183"/>
      <c r="B34" s="224"/>
      <c r="C34" s="50"/>
      <c r="D34" s="50"/>
      <c r="E34" s="50"/>
      <c r="F34" s="184"/>
      <c r="G34" s="67"/>
      <c r="H34" s="67"/>
    </row>
    <row r="35" spans="1:8" ht="25.35" customHeight="1" x14ac:dyDescent="0.3">
      <c r="A35" s="221" t="s">
        <v>236</v>
      </c>
      <c r="B35" s="224">
        <f t="shared" ref="B35:B37" si="7">$B$4</f>
        <v>32</v>
      </c>
      <c r="C35" s="227">
        <f>IFERROR(VLOOKUP(A35,'대신 피벗'!A:ST,14,FALSE),0)</f>
        <v>0</v>
      </c>
      <c r="D35" s="227">
        <f>IFERROR(ROUNDDOWN(C35/B35,0),"")</f>
        <v>0</v>
      </c>
      <c r="E35" s="51" t="s">
        <v>264</v>
      </c>
      <c r="F35" s="228">
        <f>IFERROR(C35-(D35*B35),"")</f>
        <v>0</v>
      </c>
      <c r="G35" s="67"/>
      <c r="H35" s="67"/>
    </row>
    <row r="36" spans="1:8" ht="25.35" customHeight="1" x14ac:dyDescent="0.3">
      <c r="A36" s="221" t="s">
        <v>237</v>
      </c>
      <c r="B36" s="224">
        <f t="shared" si="7"/>
        <v>32</v>
      </c>
      <c r="C36" s="227">
        <f>IFERROR(VLOOKUP(A36,'대신 피벗'!A:ST,14,FALSE),0)</f>
        <v>1</v>
      </c>
      <c r="D36" s="227">
        <f t="shared" ref="D36:D37" si="8">IFERROR(ROUNDDOWN(C36/B36,0),"")</f>
        <v>0</v>
      </c>
      <c r="E36" s="51" t="s">
        <v>338</v>
      </c>
      <c r="F36" s="228">
        <f t="shared" ref="F36:F37" si="9">IFERROR(C36-(D36*B36),"")</f>
        <v>1</v>
      </c>
      <c r="G36" s="67"/>
      <c r="H36" s="67"/>
    </row>
    <row r="37" spans="1:8" ht="25.35" customHeight="1" x14ac:dyDescent="0.3">
      <c r="A37" s="221" t="s">
        <v>238</v>
      </c>
      <c r="B37" s="224">
        <f t="shared" si="7"/>
        <v>32</v>
      </c>
      <c r="C37" s="227">
        <f>IFERROR(VLOOKUP(A37,'대신 피벗'!A:ST,14,FALSE),0)</f>
        <v>1</v>
      </c>
      <c r="D37" s="227">
        <f t="shared" si="8"/>
        <v>0</v>
      </c>
      <c r="E37" s="51" t="s">
        <v>265</v>
      </c>
      <c r="F37" s="228">
        <f t="shared" si="9"/>
        <v>1</v>
      </c>
      <c r="G37" s="67"/>
      <c r="H37" s="67"/>
    </row>
    <row r="38" spans="1:8" ht="4.5" customHeight="1" x14ac:dyDescent="0.3">
      <c r="A38" s="183"/>
      <c r="B38" s="50"/>
      <c r="C38" s="50"/>
      <c r="D38" s="50"/>
      <c r="E38" s="50"/>
      <c r="F38" s="184"/>
      <c r="G38" s="67"/>
      <c r="H38" s="67"/>
    </row>
    <row r="39" spans="1:8" ht="32.450000000000003" customHeight="1" x14ac:dyDescent="0.3">
      <c r="A39" s="209" t="s">
        <v>283</v>
      </c>
      <c r="B39" s="226">
        <f>$B$4</f>
        <v>32</v>
      </c>
      <c r="C39" s="210">
        <f>SUM(C35:C37)</f>
        <v>2</v>
      </c>
      <c r="D39" s="54">
        <f>IFERROR(ROUNDDOWN(C39/B39,0),"")</f>
        <v>0</v>
      </c>
      <c r="E39" s="36"/>
      <c r="F39" s="121">
        <f>IFERROR(C39-(D39*B39),"")</f>
        <v>2</v>
      </c>
      <c r="G39" s="67"/>
      <c r="H39" s="67"/>
    </row>
    <row r="40" spans="1:8" ht="4.5" customHeight="1" x14ac:dyDescent="0.3">
      <c r="A40" s="183"/>
      <c r="B40" s="224"/>
      <c r="C40" s="50"/>
      <c r="D40" s="50"/>
      <c r="E40" s="50"/>
      <c r="F40" s="184"/>
      <c r="G40" s="67"/>
      <c r="H40" s="67"/>
    </row>
    <row r="41" spans="1:8" ht="25.35" customHeight="1" x14ac:dyDescent="0.3">
      <c r="A41" s="221" t="s">
        <v>261</v>
      </c>
      <c r="B41" s="224">
        <f t="shared" ref="B41:B42" si="10">$B$4</f>
        <v>32</v>
      </c>
      <c r="C41" s="227">
        <f>IFERROR(VLOOKUP(A41,'대신 피벗'!A:ST,14,FALSE),0)</f>
        <v>5</v>
      </c>
      <c r="D41" s="227">
        <f t="shared" ref="D41:D42" si="11">IFERROR(ROUNDDOWN(C41/B41,0),"")</f>
        <v>0</v>
      </c>
      <c r="E41" s="51" t="s">
        <v>281</v>
      </c>
      <c r="F41" s="228">
        <f t="shared" ref="F41:F42" si="12">IFERROR(C41-(D41*B41),"")</f>
        <v>5</v>
      </c>
      <c r="G41" s="67"/>
      <c r="H41" s="67"/>
    </row>
    <row r="42" spans="1:8" ht="25.35" customHeight="1" x14ac:dyDescent="0.3">
      <c r="A42" s="221" t="s">
        <v>262</v>
      </c>
      <c r="B42" s="224">
        <f t="shared" si="10"/>
        <v>32</v>
      </c>
      <c r="C42" s="227">
        <f>IFERROR(VLOOKUP(A42,'대신 피벗'!A:ST,14,FALSE),0)</f>
        <v>1</v>
      </c>
      <c r="D42" s="227">
        <f t="shared" si="11"/>
        <v>0</v>
      </c>
      <c r="E42" s="51" t="s">
        <v>282</v>
      </c>
      <c r="F42" s="228">
        <f t="shared" si="12"/>
        <v>1</v>
      </c>
      <c r="G42" s="67"/>
      <c r="H42" s="67"/>
    </row>
    <row r="43" spans="1:8" ht="4.5" customHeight="1" x14ac:dyDescent="0.3">
      <c r="A43" s="183"/>
      <c r="B43" s="50"/>
      <c r="C43" s="50"/>
      <c r="D43" s="50"/>
      <c r="E43" s="50"/>
      <c r="F43" s="184"/>
      <c r="G43" s="67"/>
      <c r="H43" s="67"/>
    </row>
    <row r="44" spans="1:8" ht="32.450000000000003" customHeight="1" x14ac:dyDescent="0.3">
      <c r="A44" s="209" t="s">
        <v>339</v>
      </c>
      <c r="B44" s="226">
        <f>$B$4</f>
        <v>32</v>
      </c>
      <c r="C44" s="210">
        <f>SUM(C41:C42)</f>
        <v>6</v>
      </c>
      <c r="D44" s="54">
        <f>IFERROR(ROUNDDOWN(C44/B44,0),"")</f>
        <v>0</v>
      </c>
      <c r="E44" s="36"/>
      <c r="F44" s="121">
        <f>IFERROR(C44-(D44*B44),"")</f>
        <v>6</v>
      </c>
      <c r="G44" s="67"/>
      <c r="H44" s="67"/>
    </row>
    <row r="45" spans="1:8" ht="4.5" customHeight="1" thickBot="1" x14ac:dyDescent="0.35">
      <c r="A45" s="183"/>
      <c r="B45" s="50"/>
      <c r="C45" s="50"/>
      <c r="D45" s="50"/>
      <c r="E45" s="50"/>
      <c r="F45" s="184"/>
      <c r="G45" s="67"/>
      <c r="H45" s="67"/>
    </row>
    <row r="46" spans="1:8" ht="26.25" x14ac:dyDescent="0.3">
      <c r="A46" s="87" t="s">
        <v>3</v>
      </c>
      <c r="B46" s="226">
        <f>$B$4</f>
        <v>32</v>
      </c>
      <c r="C46" s="55">
        <f>SUM(C4:C18,C35:C37,C30:C31,C22:C26,C41:C42)</f>
        <v>47</v>
      </c>
      <c r="D46" s="54">
        <f>IFERROR(ROUNDDOWN(C46/B46,0),"")</f>
        <v>1</v>
      </c>
      <c r="E46" s="56"/>
      <c r="F46" s="121">
        <f>IFERROR(C46-(D46*B46),"")</f>
        <v>15</v>
      </c>
      <c r="G46" s="232" t="s">
        <v>110</v>
      </c>
      <c r="H46" s="233" t="s">
        <v>111</v>
      </c>
    </row>
    <row r="47" spans="1:8" ht="27" thickBot="1" x14ac:dyDescent="0.35">
      <c r="A47" s="42" t="s">
        <v>286</v>
      </c>
      <c r="B47" s="43" t="s">
        <v>173</v>
      </c>
      <c r="C47" s="40"/>
      <c r="D47" s="41">
        <f>SUM(D4:D18,D35:D37,D30:D31,D22:D26,D41:D42)</f>
        <v>0</v>
      </c>
      <c r="E47" s="48"/>
      <c r="F47" s="93">
        <f>SUM(F4:F18,F35:F37,F30:F31,F22:F26,F41:F42)</f>
        <v>47</v>
      </c>
      <c r="G47" s="216">
        <f>IFERROR(ROUNDDOWN(F47/B35,0),"")</f>
        <v>1</v>
      </c>
      <c r="H47" s="217">
        <f>IFERROR(F47-(G47*B35),"")</f>
        <v>15</v>
      </c>
    </row>
    <row r="48" spans="1:8" ht="22.5" customHeight="1" x14ac:dyDescent="0.3">
      <c r="C48" s="77">
        <f>C20+C28+C33+C39+C44</f>
        <v>47</v>
      </c>
      <c r="G48" s="199"/>
      <c r="H48" s="34" t="s">
        <v>174</v>
      </c>
    </row>
    <row r="49" spans="3:3" x14ac:dyDescent="0.3">
      <c r="C49" s="34" t="b">
        <f>C48=C46</f>
        <v>1</v>
      </c>
    </row>
  </sheetData>
  <mergeCells count="1">
    <mergeCell ref="A1:F1"/>
  </mergeCells>
  <phoneticPr fontId="13" type="noConversion"/>
  <printOptions horizontalCentered="1" verticalCentered="1"/>
  <pageMargins left="0" right="0" top="0" bottom="0" header="0" footer="0"/>
  <pageSetup paperSize="9" scale="77" orientation="portrait"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E998EA-3AB6-4438-BE88-1F0CB4E9FC0F}">
  <sheetPr>
    <tabColor rgb="FF7030A0"/>
    <pageSetUpPr fitToPage="1"/>
  </sheetPr>
  <dimension ref="A1:H49"/>
  <sheetViews>
    <sheetView zoomScale="40" zoomScaleNormal="40" zoomScaleSheetLayoutView="75" workbookViewId="0">
      <selection activeCell="A2" sqref="A2:F47"/>
    </sheetView>
  </sheetViews>
  <sheetFormatPr defaultColWidth="9" defaultRowHeight="16.5" x14ac:dyDescent="0.3"/>
  <cols>
    <col min="1" max="1" width="24.75" style="34" customWidth="1"/>
    <col min="2" max="2" width="7.625" style="38" customWidth="1"/>
    <col min="3" max="3" width="30.625" style="34" customWidth="1"/>
    <col min="4" max="4" width="9.875" style="2" customWidth="1"/>
    <col min="5" max="5" width="11.375" style="34" customWidth="1"/>
    <col min="6" max="6" width="11.125" style="2" customWidth="1"/>
    <col min="7" max="7" width="8.375" style="34" customWidth="1"/>
    <col min="8" max="8" width="9" style="34" customWidth="1"/>
    <col min="9" max="13" width="9" style="34"/>
    <col min="14" max="14" width="10.625" style="34" customWidth="1"/>
    <col min="15" max="17" width="9" style="34"/>
    <col min="18" max="18" width="36.5" style="34" bestFit="1" customWidth="1"/>
    <col min="19" max="16384" width="9" style="34"/>
  </cols>
  <sheetData>
    <row r="1" spans="1:8" ht="25.9" customHeight="1" thickBot="1" x14ac:dyDescent="0.35">
      <c r="A1" s="270"/>
      <c r="B1" s="270"/>
      <c r="C1" s="270"/>
      <c r="D1" s="270"/>
      <c r="E1" s="270"/>
      <c r="F1" s="270"/>
    </row>
    <row r="2" spans="1:8" ht="25.9" customHeight="1" x14ac:dyDescent="0.3">
      <c r="A2" s="215">
        <f ca="1">TODAY()</f>
        <v>46314</v>
      </c>
      <c r="B2" s="256" t="s">
        <v>346</v>
      </c>
      <c r="C2" s="256"/>
      <c r="D2" s="256"/>
      <c r="E2" s="256"/>
      <c r="F2" s="257"/>
      <c r="G2" s="67"/>
      <c r="H2" s="67"/>
    </row>
    <row r="3" spans="1:8" ht="40.15" customHeight="1" x14ac:dyDescent="0.3">
      <c r="A3" s="222" t="s">
        <v>67</v>
      </c>
      <c r="B3" s="223" t="s">
        <v>13</v>
      </c>
      <c r="C3" s="229" t="s">
        <v>350</v>
      </c>
      <c r="D3" s="230" t="s">
        <v>2</v>
      </c>
      <c r="E3" s="229" t="s">
        <v>23</v>
      </c>
      <c r="F3" s="231" t="s">
        <v>14</v>
      </c>
      <c r="G3" s="67"/>
      <c r="H3" s="67"/>
    </row>
    <row r="4" spans="1:8" ht="25.35" customHeight="1" x14ac:dyDescent="0.3">
      <c r="A4" s="220" t="s">
        <v>260</v>
      </c>
      <c r="B4" s="224">
        <v>32</v>
      </c>
      <c r="C4" s="227">
        <f>IFERROR(VLOOKUP(A4,'대신 피벗'!A:ST,15,FALSE),0)</f>
        <v>2</v>
      </c>
      <c r="D4" s="227">
        <f t="shared" ref="D4:D18" si="0">IFERROR(ROUNDDOWN(C4/B4,0),"")</f>
        <v>0</v>
      </c>
      <c r="E4" s="51" t="s">
        <v>109</v>
      </c>
      <c r="F4" s="228">
        <f t="shared" ref="F4:F18" si="1">IFERROR(C4-(D4*B4),"")</f>
        <v>2</v>
      </c>
      <c r="G4" s="67"/>
      <c r="H4" s="67"/>
    </row>
    <row r="5" spans="1:8" ht="25.35" customHeight="1" x14ac:dyDescent="0.3">
      <c r="A5" s="221" t="s">
        <v>255</v>
      </c>
      <c r="B5" s="224">
        <f t="shared" ref="B5:B18" si="2">$B$4</f>
        <v>32</v>
      </c>
      <c r="C5" s="227">
        <f>IFERROR(VLOOKUP(A5,'대신 피벗'!A:ST,15,FALSE),0)</f>
        <v>28</v>
      </c>
      <c r="D5" s="227">
        <f t="shared" si="0"/>
        <v>0</v>
      </c>
      <c r="E5" s="51" t="s">
        <v>335</v>
      </c>
      <c r="F5" s="228">
        <f t="shared" si="1"/>
        <v>28</v>
      </c>
      <c r="G5" s="67"/>
      <c r="H5" s="67"/>
    </row>
    <row r="6" spans="1:8" ht="25.35" customHeight="1" x14ac:dyDescent="0.3">
      <c r="A6" s="221" t="s">
        <v>249</v>
      </c>
      <c r="B6" s="224">
        <f t="shared" si="2"/>
        <v>32</v>
      </c>
      <c r="C6" s="227">
        <f>IFERROR(VLOOKUP(A6,'대신 피벗'!A:ST,15,FALSE),0)</f>
        <v>15</v>
      </c>
      <c r="D6" s="227">
        <f>IFERROR(ROUNDDOWN(C6/B6,0),"")</f>
        <v>0</v>
      </c>
      <c r="E6" s="51" t="s">
        <v>272</v>
      </c>
      <c r="F6" s="228">
        <f>IFERROR(C6-(D6*B6),"")</f>
        <v>15</v>
      </c>
      <c r="G6" s="67"/>
      <c r="H6" s="67"/>
    </row>
    <row r="7" spans="1:8" ht="25.35" customHeight="1" x14ac:dyDescent="0.3">
      <c r="A7" s="221" t="s">
        <v>250</v>
      </c>
      <c r="B7" s="224">
        <f t="shared" si="2"/>
        <v>32</v>
      </c>
      <c r="C7" s="227">
        <f>IFERROR(VLOOKUP(A7,'대신 피벗'!A:ST,15,FALSE),0)</f>
        <v>5</v>
      </c>
      <c r="D7" s="227">
        <f>IFERROR(ROUNDDOWN(C7/B7,0),"")</f>
        <v>0</v>
      </c>
      <c r="E7" s="51" t="s">
        <v>273</v>
      </c>
      <c r="F7" s="228">
        <f>IFERROR(C7-(D7*B7),"")</f>
        <v>5</v>
      </c>
      <c r="G7" s="67"/>
      <c r="H7" s="67"/>
    </row>
    <row r="8" spans="1:8" ht="25.35" customHeight="1" x14ac:dyDescent="0.3">
      <c r="A8" s="221" t="s">
        <v>248</v>
      </c>
      <c r="B8" s="224">
        <f t="shared" si="2"/>
        <v>32</v>
      </c>
      <c r="C8" s="227">
        <f>IFERROR(VLOOKUP(A8,'대신 피벗'!A:ST,15,FALSE),0)</f>
        <v>3</v>
      </c>
      <c r="D8" s="227">
        <f>IFERROR(ROUNDDOWN(C8/B8,0),"")</f>
        <v>0</v>
      </c>
      <c r="E8" s="51" t="s">
        <v>271</v>
      </c>
      <c r="F8" s="228">
        <f>IFERROR(C8-(D8*B8),"")</f>
        <v>3</v>
      </c>
      <c r="G8" s="67"/>
      <c r="H8" s="67"/>
    </row>
    <row r="9" spans="1:8" ht="25.35" customHeight="1" x14ac:dyDescent="0.3">
      <c r="A9" s="221" t="s">
        <v>246</v>
      </c>
      <c r="B9" s="224">
        <f t="shared" si="2"/>
        <v>32</v>
      </c>
      <c r="C9" s="227">
        <f>IFERROR(VLOOKUP(A9,'대신 피벗'!A:ST,15,FALSE),0)</f>
        <v>2</v>
      </c>
      <c r="D9" s="227">
        <f t="shared" si="0"/>
        <v>0</v>
      </c>
      <c r="E9" s="51" t="s">
        <v>270</v>
      </c>
      <c r="F9" s="228">
        <f t="shared" si="1"/>
        <v>2</v>
      </c>
      <c r="G9" s="67"/>
      <c r="H9" s="67"/>
    </row>
    <row r="10" spans="1:8" ht="25.35" customHeight="1" x14ac:dyDescent="0.3">
      <c r="A10" s="221" t="s">
        <v>256</v>
      </c>
      <c r="B10" s="224">
        <f t="shared" si="2"/>
        <v>32</v>
      </c>
      <c r="C10" s="227">
        <f>IFERROR(VLOOKUP(A10,'대신 피벗'!A:ST,15,FALSE),0)</f>
        <v>2</v>
      </c>
      <c r="D10" s="227">
        <f>IFERROR(ROUNDDOWN(C10/B10,0),"")</f>
        <v>0</v>
      </c>
      <c r="E10" s="51" t="s">
        <v>278</v>
      </c>
      <c r="F10" s="228">
        <f>IFERROR(C10-(D10*B10),"")</f>
        <v>2</v>
      </c>
      <c r="G10" s="67"/>
      <c r="H10" s="67"/>
    </row>
    <row r="11" spans="1:8" ht="25.35" customHeight="1" x14ac:dyDescent="0.3">
      <c r="A11" s="221" t="s">
        <v>247</v>
      </c>
      <c r="B11" s="224">
        <f t="shared" si="2"/>
        <v>32</v>
      </c>
      <c r="C11" s="227">
        <f>IFERROR(VLOOKUP(A11,'대신 피벗'!A:ST,15,FALSE),0)</f>
        <v>6</v>
      </c>
      <c r="D11" s="227">
        <f t="shared" si="0"/>
        <v>0</v>
      </c>
      <c r="E11" s="51" t="s">
        <v>334</v>
      </c>
      <c r="F11" s="228">
        <f t="shared" si="1"/>
        <v>6</v>
      </c>
      <c r="G11" s="67"/>
      <c r="H11" s="67"/>
    </row>
    <row r="12" spans="1:8" ht="25.35" customHeight="1" x14ac:dyDescent="0.3">
      <c r="A12" s="221" t="s">
        <v>251</v>
      </c>
      <c r="B12" s="224">
        <f t="shared" si="2"/>
        <v>32</v>
      </c>
      <c r="C12" s="227">
        <f>IFERROR(VLOOKUP(A12,'대신 피벗'!A:ST,15,FALSE),0)</f>
        <v>9</v>
      </c>
      <c r="D12" s="227">
        <f t="shared" si="0"/>
        <v>0</v>
      </c>
      <c r="E12" s="51" t="s">
        <v>274</v>
      </c>
      <c r="F12" s="228">
        <f t="shared" si="1"/>
        <v>9</v>
      </c>
      <c r="G12" s="67"/>
      <c r="H12" s="67"/>
    </row>
    <row r="13" spans="1:8" ht="25.35" customHeight="1" x14ac:dyDescent="0.3">
      <c r="A13" s="220" t="s">
        <v>252</v>
      </c>
      <c r="B13" s="224">
        <f t="shared" si="2"/>
        <v>32</v>
      </c>
      <c r="C13" s="227">
        <f>IFERROR(VLOOKUP(A13,'대신 피벗'!A:ST,15,FALSE),0)</f>
        <v>10</v>
      </c>
      <c r="D13" s="227">
        <f t="shared" si="0"/>
        <v>0</v>
      </c>
      <c r="E13" s="51" t="s">
        <v>275</v>
      </c>
      <c r="F13" s="228">
        <f t="shared" si="1"/>
        <v>10</v>
      </c>
      <c r="G13" s="67"/>
      <c r="H13" s="67"/>
    </row>
    <row r="14" spans="1:8" ht="25.35" customHeight="1" x14ac:dyDescent="0.3">
      <c r="A14" s="221" t="s">
        <v>253</v>
      </c>
      <c r="B14" s="224">
        <f t="shared" si="2"/>
        <v>32</v>
      </c>
      <c r="C14" s="227">
        <f>IFERROR(VLOOKUP(A14,'대신 피벗'!A:ST,15,FALSE),0)</f>
        <v>4</v>
      </c>
      <c r="D14" s="227">
        <f t="shared" si="0"/>
        <v>0</v>
      </c>
      <c r="E14" s="51" t="s">
        <v>276</v>
      </c>
      <c r="F14" s="228">
        <f t="shared" si="1"/>
        <v>4</v>
      </c>
      <c r="G14" s="67"/>
      <c r="H14" s="67"/>
    </row>
    <row r="15" spans="1:8" ht="25.35" customHeight="1" x14ac:dyDescent="0.3">
      <c r="A15" s="221" t="s">
        <v>254</v>
      </c>
      <c r="B15" s="224">
        <f t="shared" si="2"/>
        <v>32</v>
      </c>
      <c r="C15" s="227">
        <f>IFERROR(VLOOKUP(A15,'대신 피벗'!A:ST,15,FALSE),0)</f>
        <v>13</v>
      </c>
      <c r="D15" s="227">
        <f t="shared" si="0"/>
        <v>0</v>
      </c>
      <c r="E15" s="51" t="s">
        <v>277</v>
      </c>
      <c r="F15" s="228">
        <f t="shared" si="1"/>
        <v>13</v>
      </c>
      <c r="G15" s="67"/>
      <c r="H15" s="67"/>
    </row>
    <row r="16" spans="1:8" ht="25.35" customHeight="1" x14ac:dyDescent="0.3">
      <c r="A16" s="221" t="s">
        <v>257</v>
      </c>
      <c r="B16" s="224">
        <f t="shared" si="2"/>
        <v>32</v>
      </c>
      <c r="C16" s="227">
        <f>IFERROR(VLOOKUP(A16,'대신 피벗'!A:ST,15,FALSE),0)</f>
        <v>0</v>
      </c>
      <c r="D16" s="227">
        <f t="shared" si="0"/>
        <v>0</v>
      </c>
      <c r="E16" s="51" t="s">
        <v>279</v>
      </c>
      <c r="F16" s="228">
        <f t="shared" si="1"/>
        <v>0</v>
      </c>
      <c r="G16" s="67"/>
      <c r="H16" s="67"/>
    </row>
    <row r="17" spans="1:8" ht="25.35" customHeight="1" x14ac:dyDescent="0.3">
      <c r="A17" s="221" t="s">
        <v>258</v>
      </c>
      <c r="B17" s="224">
        <f t="shared" si="2"/>
        <v>32</v>
      </c>
      <c r="C17" s="227">
        <f>IFERROR(VLOOKUP(A17,'대신 피벗'!A:ST,15,FALSE),0)</f>
        <v>2</v>
      </c>
      <c r="D17" s="227">
        <f t="shared" si="0"/>
        <v>0</v>
      </c>
      <c r="E17" s="51" t="s">
        <v>280</v>
      </c>
      <c r="F17" s="228">
        <f t="shared" si="1"/>
        <v>2</v>
      </c>
      <c r="G17" s="67"/>
      <c r="H17" s="67"/>
    </row>
    <row r="18" spans="1:8" ht="25.35" customHeight="1" x14ac:dyDescent="0.3">
      <c r="A18" s="221" t="s">
        <v>259</v>
      </c>
      <c r="B18" s="224">
        <f t="shared" si="2"/>
        <v>32</v>
      </c>
      <c r="C18" s="227">
        <f>IFERROR(VLOOKUP(A18,'대신 피벗'!A:ST,15,FALSE),0)</f>
        <v>2</v>
      </c>
      <c r="D18" s="227">
        <f t="shared" si="0"/>
        <v>0</v>
      </c>
      <c r="E18" s="51" t="s">
        <v>336</v>
      </c>
      <c r="F18" s="228">
        <f t="shared" si="1"/>
        <v>2</v>
      </c>
      <c r="G18" s="67"/>
      <c r="H18" s="67"/>
    </row>
    <row r="19" spans="1:8" ht="4.5" customHeight="1" x14ac:dyDescent="0.3">
      <c r="A19" s="183"/>
      <c r="B19" s="50"/>
      <c r="C19" s="50"/>
      <c r="D19" s="50"/>
      <c r="E19" s="50"/>
      <c r="F19" s="184"/>
    </row>
    <row r="20" spans="1:8" ht="32.450000000000003" customHeight="1" x14ac:dyDescent="0.3">
      <c r="A20" s="209" t="s">
        <v>122</v>
      </c>
      <c r="B20" s="226">
        <f>$B$4</f>
        <v>32</v>
      </c>
      <c r="C20" s="210">
        <f>SUM(C4:C18)</f>
        <v>103</v>
      </c>
      <c r="D20" s="54">
        <f>IFERROR(ROUNDDOWN(C20/B20,0),"")</f>
        <v>3</v>
      </c>
      <c r="E20" s="36"/>
      <c r="F20" s="121">
        <f>IFERROR(C20-(D20*B20),"")</f>
        <v>7</v>
      </c>
    </row>
    <row r="21" spans="1:8" ht="4.5" customHeight="1" x14ac:dyDescent="0.3">
      <c r="A21" s="183"/>
      <c r="B21" s="224"/>
      <c r="C21" s="50"/>
      <c r="D21" s="50"/>
      <c r="E21" s="50"/>
      <c r="F21" s="184"/>
    </row>
    <row r="22" spans="1:8" ht="25.35" customHeight="1" x14ac:dyDescent="0.3">
      <c r="A22" s="221" t="s">
        <v>241</v>
      </c>
      <c r="B22" s="224">
        <f t="shared" ref="B22:B26" si="3">$B$4</f>
        <v>32</v>
      </c>
      <c r="C22" s="227">
        <f>IFERROR(VLOOKUP(A22,'대신 피벗'!A:ST,15,FALSE),0)</f>
        <v>3</v>
      </c>
      <c r="D22" s="227">
        <f>IFERROR(ROUNDDOWN(C22/B22,0),"")</f>
        <v>0</v>
      </c>
      <c r="E22" s="51" t="s">
        <v>268</v>
      </c>
      <c r="F22" s="228">
        <f>IFERROR(C22-(D22*B22),"")</f>
        <v>3</v>
      </c>
      <c r="G22" s="67"/>
      <c r="H22" s="67"/>
    </row>
    <row r="23" spans="1:8" ht="25.35" customHeight="1" x14ac:dyDescent="0.3">
      <c r="A23" s="221" t="s">
        <v>242</v>
      </c>
      <c r="B23" s="224">
        <f t="shared" si="3"/>
        <v>32</v>
      </c>
      <c r="C23" s="227">
        <f>IFERROR(VLOOKUP(A23,'대신 피벗'!A:ST,15,FALSE),0)</f>
        <v>3</v>
      </c>
      <c r="D23" s="227">
        <f>IFERROR(ROUNDDOWN(C23/B23,0),"")</f>
        <v>0</v>
      </c>
      <c r="E23" s="51" t="s">
        <v>337</v>
      </c>
      <c r="F23" s="228">
        <f>IFERROR(C23-(D23*B23),"")</f>
        <v>3</v>
      </c>
      <c r="G23" s="67"/>
      <c r="H23" s="67"/>
    </row>
    <row r="24" spans="1:8" ht="25.35" customHeight="1" x14ac:dyDescent="0.3">
      <c r="A24" s="221" t="s">
        <v>243</v>
      </c>
      <c r="B24" s="224">
        <f t="shared" si="3"/>
        <v>32</v>
      </c>
      <c r="C24" s="227">
        <f>IFERROR(VLOOKUP(A24,'대신 피벗'!A:ST,15,FALSE),0)</f>
        <v>0</v>
      </c>
      <c r="D24" s="227">
        <f>IFERROR(ROUNDDOWN(C24/B24,0),"")</f>
        <v>0</v>
      </c>
      <c r="E24" s="51" t="s">
        <v>106</v>
      </c>
      <c r="F24" s="228">
        <f>IFERROR(C24-(D24*B24),"")</f>
        <v>0</v>
      </c>
      <c r="G24" s="67"/>
      <c r="H24" s="67"/>
    </row>
    <row r="25" spans="1:8" ht="25.35" customHeight="1" x14ac:dyDescent="0.3">
      <c r="A25" s="221" t="s">
        <v>244</v>
      </c>
      <c r="B25" s="224">
        <f t="shared" si="3"/>
        <v>32</v>
      </c>
      <c r="C25" s="227">
        <f>IFERROR(VLOOKUP(A25,'대신 피벗'!A:ST,15,FALSE),0)</f>
        <v>1</v>
      </c>
      <c r="D25" s="227">
        <f>IFERROR(ROUNDDOWN(C25/B25,0),"")</f>
        <v>0</v>
      </c>
      <c r="E25" s="51" t="s">
        <v>269</v>
      </c>
      <c r="F25" s="228">
        <f>IFERROR(C25-(D25*B25),"")</f>
        <v>1</v>
      </c>
      <c r="G25" s="67"/>
      <c r="H25" s="67"/>
    </row>
    <row r="26" spans="1:8" ht="25.35" customHeight="1" x14ac:dyDescent="0.3">
      <c r="A26" s="221" t="s">
        <v>245</v>
      </c>
      <c r="B26" s="224">
        <f t="shared" si="3"/>
        <v>32</v>
      </c>
      <c r="C26" s="227">
        <f>IFERROR(VLOOKUP(A26,'대신 피벗'!A:ST,15,FALSE),0)</f>
        <v>5</v>
      </c>
      <c r="D26" s="227">
        <f>IFERROR(ROUNDDOWN(C26/B26,0),"")</f>
        <v>0</v>
      </c>
      <c r="E26" s="51" t="s">
        <v>118</v>
      </c>
      <c r="F26" s="228">
        <f>IFERROR(C26-(D26*B26),"")</f>
        <v>5</v>
      </c>
      <c r="G26" s="67"/>
      <c r="H26" s="67"/>
    </row>
    <row r="27" spans="1:8" ht="4.5" customHeight="1" x14ac:dyDescent="0.3">
      <c r="A27" s="183"/>
      <c r="B27" s="50"/>
      <c r="C27" s="50"/>
      <c r="D27" s="50"/>
      <c r="E27" s="50"/>
      <c r="F27" s="184"/>
      <c r="G27" s="67"/>
      <c r="H27" s="67"/>
    </row>
    <row r="28" spans="1:8" ht="32.450000000000003" customHeight="1" x14ac:dyDescent="0.3">
      <c r="A28" s="209" t="s">
        <v>285</v>
      </c>
      <c r="B28" s="226">
        <f>$B$4</f>
        <v>32</v>
      </c>
      <c r="C28" s="210">
        <f>SUM(C22:C26)</f>
        <v>12</v>
      </c>
      <c r="D28" s="54">
        <f>IFERROR(ROUNDDOWN(C28/B28,0),"")</f>
        <v>0</v>
      </c>
      <c r="E28" s="36"/>
      <c r="F28" s="121">
        <f>IFERROR(C28-(D28*B28),"")</f>
        <v>12</v>
      </c>
      <c r="G28" s="67"/>
      <c r="H28" s="67"/>
    </row>
    <row r="29" spans="1:8" ht="4.5" customHeight="1" x14ac:dyDescent="0.3">
      <c r="A29" s="183"/>
      <c r="B29" s="50"/>
      <c r="C29" s="50"/>
      <c r="D29" s="50"/>
      <c r="E29" s="50"/>
      <c r="F29" s="184"/>
      <c r="G29" s="67"/>
      <c r="H29" s="67"/>
    </row>
    <row r="30" spans="1:8" ht="25.35" customHeight="1" x14ac:dyDescent="0.3">
      <c r="A30" s="221" t="s">
        <v>239</v>
      </c>
      <c r="B30" s="224">
        <f t="shared" ref="B30:B31" si="4">$B$4</f>
        <v>32</v>
      </c>
      <c r="C30" s="227">
        <f>IFERROR(VLOOKUP(A30,'대신 피벗'!A:ST,15,FALSE),0)</f>
        <v>5</v>
      </c>
      <c r="D30" s="227">
        <f t="shared" ref="D30:D31" si="5">IFERROR(ROUNDDOWN(C30/B30,0),"")</f>
        <v>0</v>
      </c>
      <c r="E30" s="51" t="s">
        <v>266</v>
      </c>
      <c r="F30" s="228">
        <f t="shared" ref="F30:F31" si="6">IFERROR(C30-(D30*B30),"")</f>
        <v>5</v>
      </c>
      <c r="G30" s="67"/>
      <c r="H30" s="67"/>
    </row>
    <row r="31" spans="1:8" ht="25.35" customHeight="1" x14ac:dyDescent="0.3">
      <c r="A31" s="221" t="s">
        <v>240</v>
      </c>
      <c r="B31" s="224">
        <f t="shared" si="4"/>
        <v>32</v>
      </c>
      <c r="C31" s="227">
        <f>IFERROR(VLOOKUP(A31,'대신 피벗'!A:ST,15,FALSE),0)</f>
        <v>5</v>
      </c>
      <c r="D31" s="227">
        <f t="shared" si="5"/>
        <v>0</v>
      </c>
      <c r="E31" s="51" t="s">
        <v>267</v>
      </c>
      <c r="F31" s="228">
        <f t="shared" si="6"/>
        <v>5</v>
      </c>
      <c r="G31" s="67"/>
      <c r="H31" s="67"/>
    </row>
    <row r="32" spans="1:8" ht="4.5" customHeight="1" x14ac:dyDescent="0.3">
      <c r="A32" s="183"/>
      <c r="B32" s="50"/>
      <c r="C32" s="50"/>
      <c r="D32" s="50"/>
      <c r="E32" s="50"/>
      <c r="F32" s="184"/>
      <c r="G32" s="67"/>
      <c r="H32" s="67"/>
    </row>
    <row r="33" spans="1:8" ht="32.450000000000003" customHeight="1" x14ac:dyDescent="0.3">
      <c r="A33" s="209" t="s">
        <v>284</v>
      </c>
      <c r="B33" s="226">
        <f>$B$4</f>
        <v>32</v>
      </c>
      <c r="C33" s="210">
        <f>SUM(C30:C31)</f>
        <v>10</v>
      </c>
      <c r="D33" s="54">
        <f>IFERROR(ROUNDDOWN(C33/B33,0),"")</f>
        <v>0</v>
      </c>
      <c r="E33" s="36"/>
      <c r="F33" s="121">
        <f>IFERROR(C33-(D33*B33),"")</f>
        <v>10</v>
      </c>
      <c r="G33" s="67"/>
      <c r="H33" s="67"/>
    </row>
    <row r="34" spans="1:8" ht="4.5" customHeight="1" x14ac:dyDescent="0.3">
      <c r="A34" s="183"/>
      <c r="B34" s="224"/>
      <c r="C34" s="50"/>
      <c r="D34" s="50"/>
      <c r="E34" s="50"/>
      <c r="F34" s="184"/>
      <c r="G34" s="67"/>
      <c r="H34" s="67"/>
    </row>
    <row r="35" spans="1:8" ht="25.35" customHeight="1" x14ac:dyDescent="0.3">
      <c r="A35" s="221" t="s">
        <v>236</v>
      </c>
      <c r="B35" s="224">
        <f t="shared" ref="B35:B37" si="7">$B$4</f>
        <v>32</v>
      </c>
      <c r="C35" s="227">
        <f>IFERROR(VLOOKUP(A35,'대신 피벗'!A:ST,15,FALSE),0)</f>
        <v>4</v>
      </c>
      <c r="D35" s="227">
        <f>IFERROR(ROUNDDOWN(C35/B35,0),"")</f>
        <v>0</v>
      </c>
      <c r="E35" s="51" t="s">
        <v>264</v>
      </c>
      <c r="F35" s="228">
        <f>IFERROR(C35-(D35*B35),"")</f>
        <v>4</v>
      </c>
      <c r="G35" s="67"/>
      <c r="H35" s="67"/>
    </row>
    <row r="36" spans="1:8" ht="25.35" customHeight="1" x14ac:dyDescent="0.3">
      <c r="A36" s="221" t="s">
        <v>237</v>
      </c>
      <c r="B36" s="224">
        <f t="shared" si="7"/>
        <v>32</v>
      </c>
      <c r="C36" s="227">
        <f>IFERROR(VLOOKUP(A36,'대신 피벗'!A:ST,15,FALSE),0)</f>
        <v>2</v>
      </c>
      <c r="D36" s="227">
        <f t="shared" ref="D36:D37" si="8">IFERROR(ROUNDDOWN(C36/B36,0),"")</f>
        <v>0</v>
      </c>
      <c r="E36" s="51" t="s">
        <v>338</v>
      </c>
      <c r="F36" s="228">
        <f t="shared" ref="F36:F37" si="9">IFERROR(C36-(D36*B36),"")</f>
        <v>2</v>
      </c>
      <c r="G36" s="67"/>
      <c r="H36" s="67"/>
    </row>
    <row r="37" spans="1:8" ht="25.35" customHeight="1" x14ac:dyDescent="0.3">
      <c r="A37" s="221" t="s">
        <v>238</v>
      </c>
      <c r="B37" s="224">
        <f t="shared" si="7"/>
        <v>32</v>
      </c>
      <c r="C37" s="227">
        <f>IFERROR(VLOOKUP(A37,'대신 피벗'!A:ST,15,FALSE),0)</f>
        <v>5</v>
      </c>
      <c r="D37" s="227">
        <f t="shared" si="8"/>
        <v>0</v>
      </c>
      <c r="E37" s="51" t="s">
        <v>265</v>
      </c>
      <c r="F37" s="228">
        <f t="shared" si="9"/>
        <v>5</v>
      </c>
      <c r="G37" s="67"/>
      <c r="H37" s="67"/>
    </row>
    <row r="38" spans="1:8" ht="4.5" customHeight="1" x14ac:dyDescent="0.3">
      <c r="A38" s="183"/>
      <c r="B38" s="50"/>
      <c r="C38" s="50"/>
      <c r="D38" s="50"/>
      <c r="E38" s="50"/>
      <c r="F38" s="184"/>
      <c r="G38" s="67"/>
      <c r="H38" s="67"/>
    </row>
    <row r="39" spans="1:8" ht="32.450000000000003" customHeight="1" x14ac:dyDescent="0.3">
      <c r="A39" s="209" t="s">
        <v>283</v>
      </c>
      <c r="B39" s="226">
        <f>$B$4</f>
        <v>32</v>
      </c>
      <c r="C39" s="210">
        <f>SUM(C35:C37)</f>
        <v>11</v>
      </c>
      <c r="D39" s="54">
        <f>IFERROR(ROUNDDOWN(C39/B39,0),"")</f>
        <v>0</v>
      </c>
      <c r="E39" s="36"/>
      <c r="F39" s="121">
        <f>IFERROR(C39-(D39*B39),"")</f>
        <v>11</v>
      </c>
      <c r="G39" s="67"/>
      <c r="H39" s="67"/>
    </row>
    <row r="40" spans="1:8" ht="4.5" customHeight="1" x14ac:dyDescent="0.3">
      <c r="A40" s="183"/>
      <c r="B40" s="224"/>
      <c r="C40" s="50"/>
      <c r="D40" s="50"/>
      <c r="E40" s="50"/>
      <c r="F40" s="184"/>
      <c r="G40" s="67"/>
      <c r="H40" s="67"/>
    </row>
    <row r="41" spans="1:8" ht="25.35" customHeight="1" x14ac:dyDescent="0.3">
      <c r="A41" s="221" t="s">
        <v>261</v>
      </c>
      <c r="B41" s="224">
        <f t="shared" ref="B41:B42" si="10">$B$4</f>
        <v>32</v>
      </c>
      <c r="C41" s="227">
        <f>IFERROR(VLOOKUP(A41,'대신 피벗'!A:ST,15,FALSE),0)</f>
        <v>2</v>
      </c>
      <c r="D41" s="227">
        <f t="shared" ref="D41:D42" si="11">IFERROR(ROUNDDOWN(C41/B41,0),"")</f>
        <v>0</v>
      </c>
      <c r="E41" s="51" t="s">
        <v>281</v>
      </c>
      <c r="F41" s="228">
        <f t="shared" ref="F41:F42" si="12">IFERROR(C41-(D41*B41),"")</f>
        <v>2</v>
      </c>
      <c r="G41" s="67"/>
      <c r="H41" s="67"/>
    </row>
    <row r="42" spans="1:8" ht="25.35" customHeight="1" x14ac:dyDescent="0.3">
      <c r="A42" s="221" t="s">
        <v>262</v>
      </c>
      <c r="B42" s="224">
        <f t="shared" si="10"/>
        <v>32</v>
      </c>
      <c r="C42" s="227">
        <f>IFERROR(VLOOKUP(A42,'대신 피벗'!A:ST,15,FALSE),0)</f>
        <v>0</v>
      </c>
      <c r="D42" s="227">
        <f t="shared" si="11"/>
        <v>0</v>
      </c>
      <c r="E42" s="51" t="s">
        <v>282</v>
      </c>
      <c r="F42" s="228">
        <f t="shared" si="12"/>
        <v>0</v>
      </c>
      <c r="G42" s="67"/>
      <c r="H42" s="67"/>
    </row>
    <row r="43" spans="1:8" ht="4.5" customHeight="1" x14ac:dyDescent="0.3">
      <c r="A43" s="183"/>
      <c r="B43" s="50"/>
      <c r="C43" s="50"/>
      <c r="D43" s="50"/>
      <c r="E43" s="50"/>
      <c r="F43" s="184"/>
      <c r="G43" s="67"/>
      <c r="H43" s="67"/>
    </row>
    <row r="44" spans="1:8" ht="32.450000000000003" customHeight="1" x14ac:dyDescent="0.3">
      <c r="A44" s="209" t="s">
        <v>339</v>
      </c>
      <c r="B44" s="226">
        <f>$B$4</f>
        <v>32</v>
      </c>
      <c r="C44" s="210">
        <f>SUM(C41:C42)</f>
        <v>2</v>
      </c>
      <c r="D44" s="54">
        <f>IFERROR(ROUNDDOWN(C44/B44,0),"")</f>
        <v>0</v>
      </c>
      <c r="E44" s="36"/>
      <c r="F44" s="121">
        <f>IFERROR(C44-(D44*B44),"")</f>
        <v>2</v>
      </c>
      <c r="G44" s="67"/>
      <c r="H44" s="67"/>
    </row>
    <row r="45" spans="1:8" ht="4.5" customHeight="1" thickBot="1" x14ac:dyDescent="0.35">
      <c r="A45" s="183"/>
      <c r="B45" s="50"/>
      <c r="C45" s="50"/>
      <c r="D45" s="50"/>
      <c r="E45" s="50"/>
      <c r="F45" s="184"/>
      <c r="G45" s="67"/>
      <c r="H45" s="67"/>
    </row>
    <row r="46" spans="1:8" ht="26.25" x14ac:dyDescent="0.3">
      <c r="A46" s="87" t="s">
        <v>3</v>
      </c>
      <c r="B46" s="226">
        <f>$B$4</f>
        <v>32</v>
      </c>
      <c r="C46" s="55">
        <f>SUM(C4:C18,C35:C37,C30:C31,C22:C26,C41:C42)</f>
        <v>138</v>
      </c>
      <c r="D46" s="54">
        <f>IFERROR(ROUNDDOWN(C46/B46,0),"")</f>
        <v>4</v>
      </c>
      <c r="E46" s="56"/>
      <c r="F46" s="121">
        <f>IFERROR(C46-(D46*B46),"")</f>
        <v>10</v>
      </c>
      <c r="G46" s="232" t="s">
        <v>110</v>
      </c>
      <c r="H46" s="233" t="s">
        <v>111</v>
      </c>
    </row>
    <row r="47" spans="1:8" ht="27" thickBot="1" x14ac:dyDescent="0.35">
      <c r="A47" s="42" t="s">
        <v>286</v>
      </c>
      <c r="B47" s="43" t="s">
        <v>173</v>
      </c>
      <c r="C47" s="40"/>
      <c r="D47" s="41">
        <f>SUM(D4:D18,D35:D37,D30:D31,D22:D26,D41:D42)</f>
        <v>0</v>
      </c>
      <c r="E47" s="48"/>
      <c r="F47" s="93">
        <f>SUM(F4:F18,F35:F37,F30:F31,F22:F26,F41:F42)</f>
        <v>138</v>
      </c>
      <c r="G47" s="216">
        <f>IFERROR(ROUNDDOWN(F47/B35,0),"")</f>
        <v>4</v>
      </c>
      <c r="H47" s="217">
        <f>IFERROR(F47-(G47*B35),"")</f>
        <v>10</v>
      </c>
    </row>
    <row r="48" spans="1:8" ht="22.5" customHeight="1" x14ac:dyDescent="0.3">
      <c r="C48" s="77">
        <f>C20+C28+C33+C39+C44</f>
        <v>138</v>
      </c>
      <c r="G48" s="199"/>
      <c r="H48" s="34" t="s">
        <v>174</v>
      </c>
    </row>
    <row r="49" spans="3:3" x14ac:dyDescent="0.3">
      <c r="C49" s="34" t="b">
        <f>C48=C46</f>
        <v>1</v>
      </c>
    </row>
  </sheetData>
  <mergeCells count="1">
    <mergeCell ref="A1:F1"/>
  </mergeCells>
  <phoneticPr fontId="13" type="noConversion"/>
  <printOptions horizontalCentered="1" verticalCentered="1"/>
  <pageMargins left="0" right="0" top="0" bottom="0" header="0" footer="0"/>
  <pageSetup paperSize="9" scale="77" orientation="portrait"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F0B1E2-EE8A-40D7-AD14-F4278094A61A}">
  <sheetPr>
    <tabColor rgb="FF7030A0"/>
    <pageSetUpPr fitToPage="1"/>
  </sheetPr>
  <dimension ref="A1:H49"/>
  <sheetViews>
    <sheetView zoomScale="40" zoomScaleNormal="40" zoomScaleSheetLayoutView="75" workbookViewId="0">
      <selection activeCell="A2" sqref="A2:F47"/>
    </sheetView>
  </sheetViews>
  <sheetFormatPr defaultColWidth="9" defaultRowHeight="16.5" x14ac:dyDescent="0.3"/>
  <cols>
    <col min="1" max="1" width="24.75" style="34" customWidth="1"/>
    <col min="2" max="2" width="7.625" style="38" customWidth="1"/>
    <col min="3" max="3" width="30.625" style="34" customWidth="1"/>
    <col min="4" max="4" width="9.875" style="2" customWidth="1"/>
    <col min="5" max="5" width="11.375" style="34" customWidth="1"/>
    <col min="6" max="6" width="11.125" style="2" customWidth="1"/>
    <col min="7" max="7" width="8.375" style="34" customWidth="1"/>
    <col min="8" max="8" width="9" style="34" customWidth="1"/>
    <col min="9" max="13" width="9" style="34"/>
    <col min="14" max="14" width="10.625" style="34" customWidth="1"/>
    <col min="15" max="17" width="9" style="34"/>
    <col min="18" max="18" width="36.5" style="34" bestFit="1" customWidth="1"/>
    <col min="19" max="16384" width="9" style="34"/>
  </cols>
  <sheetData>
    <row r="1" spans="1:8" ht="25.9" customHeight="1" thickBot="1" x14ac:dyDescent="0.35">
      <c r="A1" s="270"/>
      <c r="B1" s="270"/>
      <c r="C1" s="270"/>
      <c r="D1" s="270"/>
      <c r="E1" s="270"/>
      <c r="F1" s="270"/>
    </row>
    <row r="2" spans="1:8" ht="25.9" customHeight="1" x14ac:dyDescent="0.3">
      <c r="A2" s="215">
        <f ca="1">TODAY()</f>
        <v>46314</v>
      </c>
      <c r="B2" s="256" t="s">
        <v>345</v>
      </c>
      <c r="C2" s="256"/>
      <c r="D2" s="256"/>
      <c r="E2" s="256"/>
      <c r="F2" s="257"/>
      <c r="G2" s="67"/>
      <c r="H2" s="67"/>
    </row>
    <row r="3" spans="1:8" ht="40.15" customHeight="1" x14ac:dyDescent="0.3">
      <c r="A3" s="222" t="s">
        <v>67</v>
      </c>
      <c r="B3" s="223" t="s">
        <v>13</v>
      </c>
      <c r="C3" s="235" t="s">
        <v>378</v>
      </c>
      <c r="D3" s="230" t="s">
        <v>2</v>
      </c>
      <c r="E3" s="229" t="s">
        <v>23</v>
      </c>
      <c r="F3" s="231" t="s">
        <v>14</v>
      </c>
      <c r="G3" s="67"/>
      <c r="H3" s="67"/>
    </row>
    <row r="4" spans="1:8" ht="25.35" customHeight="1" x14ac:dyDescent="0.3">
      <c r="A4" s="220" t="s">
        <v>260</v>
      </c>
      <c r="B4" s="224">
        <v>30</v>
      </c>
      <c r="C4" s="227">
        <f>IFERROR(VLOOKUP(A4,'대신 피벗'!A:ST,16,FALSE),0)</f>
        <v>8</v>
      </c>
      <c r="D4" s="227">
        <f t="shared" ref="D4:D18" si="0">IFERROR(ROUNDDOWN(C4/B4,0),"")</f>
        <v>0</v>
      </c>
      <c r="E4" s="51" t="s">
        <v>109</v>
      </c>
      <c r="F4" s="228">
        <f t="shared" ref="F4:F18" si="1">IFERROR(C4-(D4*B4),"")</f>
        <v>8</v>
      </c>
      <c r="G4" s="67"/>
      <c r="H4" s="67"/>
    </row>
    <row r="5" spans="1:8" ht="25.35" customHeight="1" x14ac:dyDescent="0.3">
      <c r="A5" s="221" t="s">
        <v>255</v>
      </c>
      <c r="B5" s="224">
        <f t="shared" ref="B5:B18" si="2">$B$4</f>
        <v>30</v>
      </c>
      <c r="C5" s="227">
        <f>IFERROR(VLOOKUP(A5,'대신 피벗'!A:ST,16,FALSE),0)</f>
        <v>43</v>
      </c>
      <c r="D5" s="227">
        <f t="shared" si="0"/>
        <v>1</v>
      </c>
      <c r="E5" s="51" t="s">
        <v>335</v>
      </c>
      <c r="F5" s="228">
        <f t="shared" si="1"/>
        <v>13</v>
      </c>
      <c r="G5" s="67"/>
      <c r="H5" s="67"/>
    </row>
    <row r="6" spans="1:8" ht="25.35" customHeight="1" x14ac:dyDescent="0.3">
      <c r="A6" s="221" t="s">
        <v>249</v>
      </c>
      <c r="B6" s="224">
        <f t="shared" si="2"/>
        <v>30</v>
      </c>
      <c r="C6" s="227">
        <f>IFERROR(VLOOKUP(A6,'대신 피벗'!A:ST,16,FALSE),0)</f>
        <v>19</v>
      </c>
      <c r="D6" s="227">
        <f>IFERROR(ROUNDDOWN(C6/B6,0),"")</f>
        <v>0</v>
      </c>
      <c r="E6" s="51" t="s">
        <v>272</v>
      </c>
      <c r="F6" s="228">
        <f>IFERROR(C6-(D6*B6),"")</f>
        <v>19</v>
      </c>
      <c r="G6" s="67"/>
      <c r="H6" s="67"/>
    </row>
    <row r="7" spans="1:8" ht="25.35" customHeight="1" x14ac:dyDescent="0.3">
      <c r="A7" s="221" t="s">
        <v>250</v>
      </c>
      <c r="B7" s="224">
        <f t="shared" si="2"/>
        <v>30</v>
      </c>
      <c r="C7" s="227">
        <f>IFERROR(VLOOKUP(A7,'대신 피벗'!A:ST,16,FALSE),0)</f>
        <v>23</v>
      </c>
      <c r="D7" s="227">
        <f>IFERROR(ROUNDDOWN(C7/B7,0),"")</f>
        <v>0</v>
      </c>
      <c r="E7" s="51" t="s">
        <v>273</v>
      </c>
      <c r="F7" s="228">
        <f>IFERROR(C7-(D7*B7),"")</f>
        <v>23</v>
      </c>
      <c r="G7" s="67"/>
      <c r="H7" s="67"/>
    </row>
    <row r="8" spans="1:8" ht="25.35" customHeight="1" x14ac:dyDescent="0.3">
      <c r="A8" s="221" t="s">
        <v>248</v>
      </c>
      <c r="B8" s="224">
        <f t="shared" si="2"/>
        <v>30</v>
      </c>
      <c r="C8" s="227">
        <f>IFERROR(VLOOKUP(A8,'대신 피벗'!A:ST,16,FALSE),0)</f>
        <v>12</v>
      </c>
      <c r="D8" s="227">
        <f>IFERROR(ROUNDDOWN(C8/B8,0),"")</f>
        <v>0</v>
      </c>
      <c r="E8" s="51" t="s">
        <v>271</v>
      </c>
      <c r="F8" s="228">
        <f>IFERROR(C8-(D8*B8),"")</f>
        <v>12</v>
      </c>
      <c r="G8" s="67"/>
      <c r="H8" s="67"/>
    </row>
    <row r="9" spans="1:8" ht="25.35" customHeight="1" x14ac:dyDescent="0.3">
      <c r="A9" s="221" t="s">
        <v>246</v>
      </c>
      <c r="B9" s="224">
        <f t="shared" si="2"/>
        <v>30</v>
      </c>
      <c r="C9" s="227">
        <f>IFERROR(VLOOKUP(A9,'대신 피벗'!A:ST,16,FALSE),0)</f>
        <v>13</v>
      </c>
      <c r="D9" s="227">
        <f t="shared" si="0"/>
        <v>0</v>
      </c>
      <c r="E9" s="51" t="s">
        <v>270</v>
      </c>
      <c r="F9" s="228">
        <f t="shared" si="1"/>
        <v>13</v>
      </c>
      <c r="G9" s="67"/>
      <c r="H9" s="67"/>
    </row>
    <row r="10" spans="1:8" ht="25.35" customHeight="1" x14ac:dyDescent="0.3">
      <c r="A10" s="221" t="s">
        <v>256</v>
      </c>
      <c r="B10" s="224">
        <f t="shared" si="2"/>
        <v>30</v>
      </c>
      <c r="C10" s="227">
        <f>IFERROR(VLOOKUP(A10,'대신 피벗'!A:ST,16,FALSE),0)</f>
        <v>14</v>
      </c>
      <c r="D10" s="227">
        <f>IFERROR(ROUNDDOWN(C10/B10,0),"")</f>
        <v>0</v>
      </c>
      <c r="E10" s="51" t="s">
        <v>278</v>
      </c>
      <c r="F10" s="228">
        <f>IFERROR(C10-(D10*B10),"")</f>
        <v>14</v>
      </c>
      <c r="G10" s="67"/>
      <c r="H10" s="67"/>
    </row>
    <row r="11" spans="1:8" ht="25.35" customHeight="1" x14ac:dyDescent="0.3">
      <c r="A11" s="221" t="s">
        <v>247</v>
      </c>
      <c r="B11" s="224">
        <f t="shared" si="2"/>
        <v>30</v>
      </c>
      <c r="C11" s="227">
        <f>IFERROR(VLOOKUP(A11,'대신 피벗'!A:ST,16,FALSE),0)</f>
        <v>6</v>
      </c>
      <c r="D11" s="227">
        <f t="shared" si="0"/>
        <v>0</v>
      </c>
      <c r="E11" s="51" t="s">
        <v>334</v>
      </c>
      <c r="F11" s="228">
        <f t="shared" si="1"/>
        <v>6</v>
      </c>
      <c r="G11" s="67"/>
      <c r="H11" s="67"/>
    </row>
    <row r="12" spans="1:8" ht="25.35" customHeight="1" x14ac:dyDescent="0.3">
      <c r="A12" s="221" t="s">
        <v>251</v>
      </c>
      <c r="B12" s="224">
        <f t="shared" si="2"/>
        <v>30</v>
      </c>
      <c r="C12" s="227">
        <f>IFERROR(VLOOKUP(A12,'대신 피벗'!A:ST,16,FALSE),0)</f>
        <v>15</v>
      </c>
      <c r="D12" s="227">
        <f t="shared" si="0"/>
        <v>0</v>
      </c>
      <c r="E12" s="51" t="s">
        <v>274</v>
      </c>
      <c r="F12" s="228">
        <f t="shared" si="1"/>
        <v>15</v>
      </c>
      <c r="G12" s="67"/>
      <c r="H12" s="67"/>
    </row>
    <row r="13" spans="1:8" ht="25.35" customHeight="1" x14ac:dyDescent="0.3">
      <c r="A13" s="220" t="s">
        <v>252</v>
      </c>
      <c r="B13" s="224">
        <f t="shared" si="2"/>
        <v>30</v>
      </c>
      <c r="C13" s="227">
        <f>IFERROR(VLOOKUP(A13,'대신 피벗'!A:ST,16,FALSE),0)</f>
        <v>55</v>
      </c>
      <c r="D13" s="227">
        <f t="shared" si="0"/>
        <v>1</v>
      </c>
      <c r="E13" s="51" t="s">
        <v>275</v>
      </c>
      <c r="F13" s="228">
        <f t="shared" si="1"/>
        <v>25</v>
      </c>
      <c r="G13" s="67"/>
      <c r="H13" s="67"/>
    </row>
    <row r="14" spans="1:8" ht="25.35" customHeight="1" x14ac:dyDescent="0.3">
      <c r="A14" s="221" t="s">
        <v>253</v>
      </c>
      <c r="B14" s="224">
        <f t="shared" si="2"/>
        <v>30</v>
      </c>
      <c r="C14" s="227">
        <f>IFERROR(VLOOKUP(A14,'대신 피벗'!A:ST,16,FALSE),0)</f>
        <v>17</v>
      </c>
      <c r="D14" s="227">
        <f t="shared" si="0"/>
        <v>0</v>
      </c>
      <c r="E14" s="51" t="s">
        <v>276</v>
      </c>
      <c r="F14" s="228">
        <f t="shared" si="1"/>
        <v>17</v>
      </c>
      <c r="G14" s="67"/>
      <c r="H14" s="67"/>
    </row>
    <row r="15" spans="1:8" ht="25.35" customHeight="1" x14ac:dyDescent="0.3">
      <c r="A15" s="221" t="s">
        <v>254</v>
      </c>
      <c r="B15" s="224">
        <f t="shared" si="2"/>
        <v>30</v>
      </c>
      <c r="C15" s="227">
        <f>IFERROR(VLOOKUP(A15,'대신 피벗'!A:ST,16,FALSE),0)</f>
        <v>24</v>
      </c>
      <c r="D15" s="227">
        <f t="shared" si="0"/>
        <v>0</v>
      </c>
      <c r="E15" s="51" t="s">
        <v>277</v>
      </c>
      <c r="F15" s="228">
        <f t="shared" si="1"/>
        <v>24</v>
      </c>
      <c r="G15" s="67"/>
      <c r="H15" s="67"/>
    </row>
    <row r="16" spans="1:8" ht="25.35" customHeight="1" x14ac:dyDescent="0.3">
      <c r="A16" s="221" t="s">
        <v>257</v>
      </c>
      <c r="B16" s="224">
        <f t="shared" si="2"/>
        <v>30</v>
      </c>
      <c r="C16" s="227">
        <f>IFERROR(VLOOKUP(A16,'대신 피벗'!A:ST,16,FALSE),0)</f>
        <v>19</v>
      </c>
      <c r="D16" s="227">
        <f t="shared" si="0"/>
        <v>0</v>
      </c>
      <c r="E16" s="51" t="s">
        <v>279</v>
      </c>
      <c r="F16" s="228">
        <f t="shared" si="1"/>
        <v>19</v>
      </c>
      <c r="G16" s="67"/>
      <c r="H16" s="67"/>
    </row>
    <row r="17" spans="1:8" ht="25.35" customHeight="1" x14ac:dyDescent="0.3">
      <c r="A17" s="221" t="s">
        <v>258</v>
      </c>
      <c r="B17" s="224">
        <f t="shared" si="2"/>
        <v>30</v>
      </c>
      <c r="C17" s="227">
        <f>IFERROR(VLOOKUP(A17,'대신 피벗'!A:ST,16,FALSE),0)</f>
        <v>9</v>
      </c>
      <c r="D17" s="227">
        <f t="shared" si="0"/>
        <v>0</v>
      </c>
      <c r="E17" s="51" t="s">
        <v>280</v>
      </c>
      <c r="F17" s="228">
        <f t="shared" si="1"/>
        <v>9</v>
      </c>
      <c r="G17" s="67"/>
      <c r="H17" s="67"/>
    </row>
    <row r="18" spans="1:8" ht="25.35" customHeight="1" x14ac:dyDescent="0.3">
      <c r="A18" s="221" t="s">
        <v>259</v>
      </c>
      <c r="B18" s="224">
        <f t="shared" si="2"/>
        <v>30</v>
      </c>
      <c r="C18" s="227">
        <f>IFERROR(VLOOKUP(A18,'대신 피벗'!A:ST,16,FALSE),0)</f>
        <v>16</v>
      </c>
      <c r="D18" s="227">
        <f t="shared" si="0"/>
        <v>0</v>
      </c>
      <c r="E18" s="51" t="s">
        <v>336</v>
      </c>
      <c r="F18" s="228">
        <f t="shared" si="1"/>
        <v>16</v>
      </c>
      <c r="G18" s="67"/>
      <c r="H18" s="67"/>
    </row>
    <row r="19" spans="1:8" ht="4.5" customHeight="1" x14ac:dyDescent="0.3">
      <c r="A19" s="183"/>
      <c r="B19" s="50"/>
      <c r="C19" s="50"/>
      <c r="D19" s="50"/>
      <c r="E19" s="50"/>
      <c r="F19" s="184"/>
    </row>
    <row r="20" spans="1:8" ht="32.450000000000003" customHeight="1" x14ac:dyDescent="0.3">
      <c r="A20" s="209" t="s">
        <v>122</v>
      </c>
      <c r="B20" s="226">
        <f>$B$4</f>
        <v>30</v>
      </c>
      <c r="C20" s="210">
        <f>SUM(C4:C18)</f>
        <v>293</v>
      </c>
      <c r="D20" s="54">
        <f>IFERROR(ROUNDDOWN(C20/B20,0),"")</f>
        <v>9</v>
      </c>
      <c r="E20" s="36"/>
      <c r="F20" s="121">
        <f>IFERROR(C20-(D20*B20),"")</f>
        <v>23</v>
      </c>
    </row>
    <row r="21" spans="1:8" ht="4.5" customHeight="1" x14ac:dyDescent="0.3">
      <c r="A21" s="183"/>
      <c r="B21" s="224"/>
      <c r="C21" s="50"/>
      <c r="D21" s="50"/>
      <c r="E21" s="50"/>
      <c r="F21" s="184"/>
    </row>
    <row r="22" spans="1:8" ht="25.35" customHeight="1" x14ac:dyDescent="0.3">
      <c r="A22" s="221" t="s">
        <v>241</v>
      </c>
      <c r="B22" s="224">
        <f t="shared" ref="B22:B26" si="3">$B$4</f>
        <v>30</v>
      </c>
      <c r="C22" s="227">
        <f>IFERROR(VLOOKUP(A22,'대신 피벗'!A:ST,16,FALSE),0)</f>
        <v>30</v>
      </c>
      <c r="D22" s="227">
        <f>IFERROR(ROUNDDOWN(C22/B22,0),"")</f>
        <v>1</v>
      </c>
      <c r="E22" s="51" t="s">
        <v>268</v>
      </c>
      <c r="F22" s="228">
        <f>IFERROR(C22-(D22*B22),"")</f>
        <v>0</v>
      </c>
      <c r="G22" s="67"/>
      <c r="H22" s="67"/>
    </row>
    <row r="23" spans="1:8" ht="25.35" customHeight="1" x14ac:dyDescent="0.3">
      <c r="A23" s="221" t="s">
        <v>242</v>
      </c>
      <c r="B23" s="224">
        <f t="shared" si="3"/>
        <v>30</v>
      </c>
      <c r="C23" s="227">
        <f>IFERROR(VLOOKUP(A23,'대신 피벗'!A:ST,16,FALSE),0)</f>
        <v>16</v>
      </c>
      <c r="D23" s="227">
        <f>IFERROR(ROUNDDOWN(C23/B23,0),"")</f>
        <v>0</v>
      </c>
      <c r="E23" s="51" t="s">
        <v>337</v>
      </c>
      <c r="F23" s="228">
        <f>IFERROR(C23-(D23*B23),"")</f>
        <v>16</v>
      </c>
      <c r="G23" s="67"/>
      <c r="H23" s="67"/>
    </row>
    <row r="24" spans="1:8" ht="25.35" customHeight="1" x14ac:dyDescent="0.3">
      <c r="A24" s="221" t="s">
        <v>243</v>
      </c>
      <c r="B24" s="224">
        <f t="shared" si="3"/>
        <v>30</v>
      </c>
      <c r="C24" s="227">
        <f>IFERROR(VLOOKUP(A24,'대신 피벗'!A:ST,16,FALSE),0)</f>
        <v>0</v>
      </c>
      <c r="D24" s="227">
        <f>IFERROR(ROUNDDOWN(C24/B24,0),"")</f>
        <v>0</v>
      </c>
      <c r="E24" s="51" t="s">
        <v>106</v>
      </c>
      <c r="F24" s="228">
        <f>IFERROR(C24-(D24*B24),"")</f>
        <v>0</v>
      </c>
      <c r="G24" s="67"/>
      <c r="H24" s="67"/>
    </row>
    <row r="25" spans="1:8" ht="25.35" customHeight="1" x14ac:dyDescent="0.3">
      <c r="A25" s="221" t="s">
        <v>244</v>
      </c>
      <c r="B25" s="224">
        <f t="shared" si="3"/>
        <v>30</v>
      </c>
      <c r="C25" s="227">
        <f>IFERROR(VLOOKUP(A25,'대신 피벗'!A:ST,16,FALSE),0)</f>
        <v>12</v>
      </c>
      <c r="D25" s="227">
        <f>IFERROR(ROUNDDOWN(C25/B25,0),"")</f>
        <v>0</v>
      </c>
      <c r="E25" s="51" t="s">
        <v>269</v>
      </c>
      <c r="F25" s="228">
        <f>IFERROR(C25-(D25*B25),"")</f>
        <v>12</v>
      </c>
      <c r="G25" s="67"/>
      <c r="H25" s="67"/>
    </row>
    <row r="26" spans="1:8" ht="25.35" customHeight="1" x14ac:dyDescent="0.3">
      <c r="A26" s="221" t="s">
        <v>245</v>
      </c>
      <c r="B26" s="224">
        <f t="shared" si="3"/>
        <v>30</v>
      </c>
      <c r="C26" s="227">
        <f>IFERROR(VLOOKUP(A26,'대신 피벗'!A:ST,16,FALSE),0)</f>
        <v>12</v>
      </c>
      <c r="D26" s="227">
        <f>IFERROR(ROUNDDOWN(C26/B26,0),"")</f>
        <v>0</v>
      </c>
      <c r="E26" s="51" t="s">
        <v>118</v>
      </c>
      <c r="F26" s="228">
        <f>IFERROR(C26-(D26*B26),"")</f>
        <v>12</v>
      </c>
      <c r="G26" s="67"/>
      <c r="H26" s="67"/>
    </row>
    <row r="27" spans="1:8" ht="4.5" customHeight="1" x14ac:dyDescent="0.3">
      <c r="A27" s="183"/>
      <c r="B27" s="50"/>
      <c r="C27" s="50"/>
      <c r="D27" s="50"/>
      <c r="E27" s="50"/>
      <c r="F27" s="184"/>
      <c r="G27" s="67"/>
      <c r="H27" s="67"/>
    </row>
    <row r="28" spans="1:8" ht="32.450000000000003" customHeight="1" x14ac:dyDescent="0.3">
      <c r="A28" s="209" t="s">
        <v>285</v>
      </c>
      <c r="B28" s="226">
        <f>$B$4</f>
        <v>30</v>
      </c>
      <c r="C28" s="210">
        <f>SUM(C22:C26)</f>
        <v>70</v>
      </c>
      <c r="D28" s="54">
        <f>IFERROR(ROUNDDOWN(C28/B28,0),"")</f>
        <v>2</v>
      </c>
      <c r="E28" s="36"/>
      <c r="F28" s="121">
        <f>IFERROR(C28-(D28*B28),"")</f>
        <v>10</v>
      </c>
      <c r="G28" s="67"/>
      <c r="H28" s="67"/>
    </row>
    <row r="29" spans="1:8" ht="4.5" customHeight="1" x14ac:dyDescent="0.3">
      <c r="A29" s="183"/>
      <c r="B29" s="50"/>
      <c r="C29" s="50"/>
      <c r="D29" s="50"/>
      <c r="E29" s="50"/>
      <c r="F29" s="184"/>
      <c r="G29" s="67"/>
      <c r="H29" s="67"/>
    </row>
    <row r="30" spans="1:8" ht="25.35" customHeight="1" x14ac:dyDescent="0.3">
      <c r="A30" s="221" t="s">
        <v>239</v>
      </c>
      <c r="B30" s="224">
        <f t="shared" ref="B30:B31" si="4">$B$4</f>
        <v>30</v>
      </c>
      <c r="C30" s="227">
        <f>IFERROR(VLOOKUP(A30,'대신 피벗'!A:ST,16,FALSE),0)</f>
        <v>17</v>
      </c>
      <c r="D30" s="227">
        <f t="shared" ref="D30:D31" si="5">IFERROR(ROUNDDOWN(C30/B30,0),"")</f>
        <v>0</v>
      </c>
      <c r="E30" s="51" t="s">
        <v>266</v>
      </c>
      <c r="F30" s="228">
        <f t="shared" ref="F30:F31" si="6">IFERROR(C30-(D30*B30),"")</f>
        <v>17</v>
      </c>
      <c r="G30" s="67"/>
      <c r="H30" s="67"/>
    </row>
    <row r="31" spans="1:8" ht="25.35" customHeight="1" x14ac:dyDescent="0.3">
      <c r="A31" s="221" t="s">
        <v>240</v>
      </c>
      <c r="B31" s="224">
        <f t="shared" si="4"/>
        <v>30</v>
      </c>
      <c r="C31" s="227">
        <f>IFERROR(VLOOKUP(A31,'대신 피벗'!A:ST,16,FALSE),0)</f>
        <v>16</v>
      </c>
      <c r="D31" s="227">
        <f t="shared" si="5"/>
        <v>0</v>
      </c>
      <c r="E31" s="51" t="s">
        <v>267</v>
      </c>
      <c r="F31" s="228">
        <f t="shared" si="6"/>
        <v>16</v>
      </c>
      <c r="G31" s="67"/>
      <c r="H31" s="67"/>
    </row>
    <row r="32" spans="1:8" ht="4.5" customHeight="1" x14ac:dyDescent="0.3">
      <c r="A32" s="183"/>
      <c r="B32" s="50"/>
      <c r="C32" s="50"/>
      <c r="D32" s="50"/>
      <c r="E32" s="50"/>
      <c r="F32" s="184"/>
      <c r="G32" s="67"/>
      <c r="H32" s="67"/>
    </row>
    <row r="33" spans="1:8" ht="32.450000000000003" customHeight="1" x14ac:dyDescent="0.3">
      <c r="A33" s="209" t="s">
        <v>284</v>
      </c>
      <c r="B33" s="226">
        <f>$B$4</f>
        <v>30</v>
      </c>
      <c r="C33" s="210">
        <f>SUM(C30:C31)</f>
        <v>33</v>
      </c>
      <c r="D33" s="54">
        <f>IFERROR(ROUNDDOWN(C33/B33,0),"")</f>
        <v>1</v>
      </c>
      <c r="E33" s="36"/>
      <c r="F33" s="121">
        <f>IFERROR(C33-(D33*B33),"")</f>
        <v>3</v>
      </c>
      <c r="G33" s="67"/>
      <c r="H33" s="67"/>
    </row>
    <row r="34" spans="1:8" ht="4.5" customHeight="1" x14ac:dyDescent="0.3">
      <c r="A34" s="183"/>
      <c r="B34" s="224"/>
      <c r="C34" s="50"/>
      <c r="D34" s="50"/>
      <c r="E34" s="50"/>
      <c r="F34" s="184"/>
      <c r="G34" s="67"/>
      <c r="H34" s="67"/>
    </row>
    <row r="35" spans="1:8" ht="25.35" customHeight="1" x14ac:dyDescent="0.3">
      <c r="A35" s="221" t="s">
        <v>236</v>
      </c>
      <c r="B35" s="224">
        <f t="shared" ref="B35:B37" si="7">$B$4</f>
        <v>30</v>
      </c>
      <c r="C35" s="227">
        <f>IFERROR(VLOOKUP(A35,'대신 피벗'!A:ST,16,FALSE),0)</f>
        <v>23</v>
      </c>
      <c r="D35" s="227">
        <f>IFERROR(ROUNDDOWN(C35/B35,0),"")</f>
        <v>0</v>
      </c>
      <c r="E35" s="51" t="s">
        <v>264</v>
      </c>
      <c r="F35" s="228">
        <f>IFERROR(C35-(D35*B35),"")</f>
        <v>23</v>
      </c>
      <c r="G35" s="67"/>
      <c r="H35" s="67"/>
    </row>
    <row r="36" spans="1:8" ht="25.35" customHeight="1" x14ac:dyDescent="0.3">
      <c r="A36" s="221" t="s">
        <v>237</v>
      </c>
      <c r="B36" s="224">
        <f t="shared" si="7"/>
        <v>30</v>
      </c>
      <c r="C36" s="227">
        <f>IFERROR(VLOOKUP(A36,'대신 피벗'!A:ST,16,FALSE),0)</f>
        <v>12</v>
      </c>
      <c r="D36" s="227">
        <f t="shared" ref="D36:D37" si="8">IFERROR(ROUNDDOWN(C36/B36,0),"")</f>
        <v>0</v>
      </c>
      <c r="E36" s="51" t="s">
        <v>338</v>
      </c>
      <c r="F36" s="228">
        <f t="shared" ref="F36:F37" si="9">IFERROR(C36-(D36*B36),"")</f>
        <v>12</v>
      </c>
      <c r="G36" s="67"/>
      <c r="H36" s="67"/>
    </row>
    <row r="37" spans="1:8" ht="25.35" customHeight="1" x14ac:dyDescent="0.3">
      <c r="A37" s="221" t="s">
        <v>238</v>
      </c>
      <c r="B37" s="224">
        <f t="shared" si="7"/>
        <v>30</v>
      </c>
      <c r="C37" s="227">
        <f>IFERROR(VLOOKUP(A37,'대신 피벗'!A:ST,16,FALSE),0)</f>
        <v>10</v>
      </c>
      <c r="D37" s="227">
        <f t="shared" si="8"/>
        <v>0</v>
      </c>
      <c r="E37" s="51" t="s">
        <v>265</v>
      </c>
      <c r="F37" s="228">
        <f t="shared" si="9"/>
        <v>10</v>
      </c>
      <c r="G37" s="67"/>
      <c r="H37" s="67"/>
    </row>
    <row r="38" spans="1:8" ht="4.5" customHeight="1" x14ac:dyDescent="0.3">
      <c r="A38" s="183"/>
      <c r="B38" s="50"/>
      <c r="C38" s="50"/>
      <c r="D38" s="50"/>
      <c r="E38" s="50"/>
      <c r="F38" s="184"/>
      <c r="G38" s="67"/>
      <c r="H38" s="67"/>
    </row>
    <row r="39" spans="1:8" ht="32.450000000000003" customHeight="1" x14ac:dyDescent="0.3">
      <c r="A39" s="209" t="s">
        <v>283</v>
      </c>
      <c r="B39" s="226">
        <f>$B$4</f>
        <v>30</v>
      </c>
      <c r="C39" s="210">
        <f>SUM(C35:C37)</f>
        <v>45</v>
      </c>
      <c r="D39" s="54">
        <f>IFERROR(ROUNDDOWN(C39/B39,0),"")</f>
        <v>1</v>
      </c>
      <c r="E39" s="36"/>
      <c r="F39" s="121">
        <f>IFERROR(C39-(D39*B39),"")</f>
        <v>15</v>
      </c>
      <c r="G39" s="67"/>
      <c r="H39" s="67"/>
    </row>
    <row r="40" spans="1:8" ht="4.5" customHeight="1" x14ac:dyDescent="0.3">
      <c r="A40" s="183"/>
      <c r="B40" s="224"/>
      <c r="C40" s="50"/>
      <c r="D40" s="50"/>
      <c r="E40" s="50"/>
      <c r="F40" s="184"/>
      <c r="G40" s="67"/>
      <c r="H40" s="67"/>
    </row>
    <row r="41" spans="1:8" ht="25.35" customHeight="1" x14ac:dyDescent="0.3">
      <c r="A41" s="221" t="s">
        <v>261</v>
      </c>
      <c r="B41" s="224">
        <f t="shared" ref="B41:B42" si="10">$B$4</f>
        <v>30</v>
      </c>
      <c r="C41" s="227">
        <f>IFERROR(VLOOKUP(A41,'대신 피벗'!A:ST,16,FALSE),0)</f>
        <v>17</v>
      </c>
      <c r="D41" s="227">
        <f t="shared" ref="D41:D42" si="11">IFERROR(ROUNDDOWN(C41/B41,0),"")</f>
        <v>0</v>
      </c>
      <c r="E41" s="51" t="s">
        <v>281</v>
      </c>
      <c r="F41" s="228">
        <f t="shared" ref="F41:F42" si="12">IFERROR(C41-(D41*B41),"")</f>
        <v>17</v>
      </c>
      <c r="G41" s="67"/>
      <c r="H41" s="67"/>
    </row>
    <row r="42" spans="1:8" ht="25.35" customHeight="1" x14ac:dyDescent="0.3">
      <c r="A42" s="221" t="s">
        <v>262</v>
      </c>
      <c r="B42" s="224">
        <f t="shared" si="10"/>
        <v>30</v>
      </c>
      <c r="C42" s="227">
        <f>IFERROR(VLOOKUP(A42,'대신 피벗'!A:ST,16,FALSE),0)</f>
        <v>12</v>
      </c>
      <c r="D42" s="227">
        <f t="shared" si="11"/>
        <v>0</v>
      </c>
      <c r="E42" s="51" t="s">
        <v>282</v>
      </c>
      <c r="F42" s="228">
        <f t="shared" si="12"/>
        <v>12</v>
      </c>
      <c r="G42" s="67"/>
      <c r="H42" s="67"/>
    </row>
    <row r="43" spans="1:8" ht="4.5" customHeight="1" x14ac:dyDescent="0.3">
      <c r="A43" s="183"/>
      <c r="B43" s="50"/>
      <c r="C43" s="50"/>
      <c r="D43" s="50"/>
      <c r="E43" s="50"/>
      <c r="F43" s="184"/>
      <c r="G43" s="67"/>
      <c r="H43" s="67"/>
    </row>
    <row r="44" spans="1:8" ht="32.450000000000003" customHeight="1" x14ac:dyDescent="0.3">
      <c r="A44" s="209" t="s">
        <v>339</v>
      </c>
      <c r="B44" s="226">
        <f>$B$4</f>
        <v>30</v>
      </c>
      <c r="C44" s="210">
        <f>SUM(C41:C42)</f>
        <v>29</v>
      </c>
      <c r="D44" s="54">
        <f>IFERROR(ROUNDDOWN(C44/B44,0),"")</f>
        <v>0</v>
      </c>
      <c r="E44" s="36"/>
      <c r="F44" s="121">
        <f>IFERROR(C44-(D44*B44),"")</f>
        <v>29</v>
      </c>
      <c r="G44" s="67"/>
      <c r="H44" s="67"/>
    </row>
    <row r="45" spans="1:8" ht="4.5" customHeight="1" thickBot="1" x14ac:dyDescent="0.35">
      <c r="A45" s="183"/>
      <c r="B45" s="50"/>
      <c r="C45" s="50"/>
      <c r="D45" s="50"/>
      <c r="E45" s="50"/>
      <c r="F45" s="184"/>
      <c r="G45" s="67"/>
      <c r="H45" s="67"/>
    </row>
    <row r="46" spans="1:8" ht="26.25" x14ac:dyDescent="0.3">
      <c r="A46" s="87" t="s">
        <v>3</v>
      </c>
      <c r="B46" s="226">
        <f>$B$4</f>
        <v>30</v>
      </c>
      <c r="C46" s="55">
        <f>SUM(C4:C18,C35:C37,C30:C31,C22:C26,C41:C42)</f>
        <v>470</v>
      </c>
      <c r="D46" s="54">
        <f>IFERROR(ROUNDDOWN(C46/B46,0),"")</f>
        <v>15</v>
      </c>
      <c r="E46" s="56"/>
      <c r="F46" s="121">
        <f>IFERROR(C46-(D46*B46),"")</f>
        <v>20</v>
      </c>
      <c r="G46" s="232" t="s">
        <v>110</v>
      </c>
      <c r="H46" s="233" t="s">
        <v>111</v>
      </c>
    </row>
    <row r="47" spans="1:8" ht="27" thickBot="1" x14ac:dyDescent="0.35">
      <c r="A47" s="42" t="s">
        <v>286</v>
      </c>
      <c r="B47" s="43" t="s">
        <v>173</v>
      </c>
      <c r="C47" s="40"/>
      <c r="D47" s="41">
        <f>SUM(D4:D18,D35:D37,D30:D31,D22:D26,D41:D42)</f>
        <v>3</v>
      </c>
      <c r="E47" s="48"/>
      <c r="F47" s="93">
        <f>SUM(F4:F18,F35:F37,F30:F31,F22:F26,F41:F42)</f>
        <v>380</v>
      </c>
      <c r="G47" s="216">
        <f>IFERROR(ROUNDDOWN(F47/B35,0),"")</f>
        <v>12</v>
      </c>
      <c r="H47" s="217">
        <f>IFERROR(F47-(G47*B35),"")</f>
        <v>20</v>
      </c>
    </row>
    <row r="48" spans="1:8" ht="22.5" customHeight="1" x14ac:dyDescent="0.3">
      <c r="C48" s="77">
        <f>C20+C28+C33+C39+C44</f>
        <v>470</v>
      </c>
      <c r="G48" s="199"/>
      <c r="H48" s="34" t="s">
        <v>174</v>
      </c>
    </row>
    <row r="49" spans="3:3" x14ac:dyDescent="0.3">
      <c r="C49" s="34" t="b">
        <f>C48=C46</f>
        <v>1</v>
      </c>
    </row>
  </sheetData>
  <mergeCells count="1">
    <mergeCell ref="A1:F1"/>
  </mergeCells>
  <phoneticPr fontId="13" type="noConversion"/>
  <printOptions horizontalCentered="1" verticalCentered="1"/>
  <pageMargins left="0" right="0" top="0" bottom="0" header="0" footer="0"/>
  <pageSetup paperSize="9" scale="77" orientation="portrait"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A3C628-CF3B-40FC-99D6-8FF7BCB12E57}">
  <sheetPr>
    <tabColor rgb="FF7030A0"/>
    <pageSetUpPr fitToPage="1"/>
  </sheetPr>
  <dimension ref="A1:H49"/>
  <sheetViews>
    <sheetView zoomScale="40" zoomScaleNormal="40" zoomScaleSheetLayoutView="75" workbookViewId="0">
      <selection activeCell="A2" sqref="A2:F47"/>
    </sheetView>
  </sheetViews>
  <sheetFormatPr defaultColWidth="9" defaultRowHeight="16.5" x14ac:dyDescent="0.3"/>
  <cols>
    <col min="1" max="1" width="24.75" style="34" customWidth="1"/>
    <col min="2" max="2" width="7.625" style="38" customWidth="1"/>
    <col min="3" max="3" width="30.625" style="34" customWidth="1"/>
    <col min="4" max="4" width="9.875" style="2" customWidth="1"/>
    <col min="5" max="5" width="11.375" style="34" customWidth="1"/>
    <col min="6" max="6" width="11.125" style="2" customWidth="1"/>
    <col min="7" max="7" width="8.375" style="34" customWidth="1"/>
    <col min="8" max="8" width="9" style="34" customWidth="1"/>
    <col min="9" max="13" width="9" style="34"/>
    <col min="14" max="14" width="10.625" style="34" customWidth="1"/>
    <col min="15" max="17" width="9" style="34"/>
    <col min="18" max="18" width="36.5" style="34" bestFit="1" customWidth="1"/>
    <col min="19" max="16384" width="9" style="34"/>
  </cols>
  <sheetData>
    <row r="1" spans="1:8" ht="25.9" customHeight="1" thickBot="1" x14ac:dyDescent="0.35">
      <c r="A1" s="270"/>
      <c r="B1" s="270"/>
      <c r="C1" s="270"/>
      <c r="D1" s="270"/>
      <c r="E1" s="270"/>
      <c r="F1" s="270"/>
    </row>
    <row r="2" spans="1:8" ht="25.9" customHeight="1" x14ac:dyDescent="0.3">
      <c r="A2" s="215">
        <f ca="1">TODAY()</f>
        <v>46314</v>
      </c>
      <c r="B2" s="256" t="s">
        <v>346</v>
      </c>
      <c r="C2" s="256"/>
      <c r="D2" s="256"/>
      <c r="E2" s="256"/>
      <c r="F2" s="257"/>
      <c r="G2" s="67"/>
      <c r="H2" s="67"/>
    </row>
    <row r="3" spans="1:8" ht="40.15" customHeight="1" x14ac:dyDescent="0.3">
      <c r="A3" s="222" t="s">
        <v>67</v>
      </c>
      <c r="B3" s="223" t="s">
        <v>13</v>
      </c>
      <c r="C3" s="235" t="s">
        <v>379</v>
      </c>
      <c r="D3" s="230" t="s">
        <v>2</v>
      </c>
      <c r="E3" s="229" t="s">
        <v>23</v>
      </c>
      <c r="F3" s="231" t="s">
        <v>14</v>
      </c>
      <c r="G3" s="67"/>
      <c r="H3" s="67"/>
    </row>
    <row r="4" spans="1:8" ht="25.35" customHeight="1" x14ac:dyDescent="0.3">
      <c r="A4" s="220" t="s">
        <v>260</v>
      </c>
      <c r="B4" s="224">
        <v>30</v>
      </c>
      <c r="C4" s="227">
        <f>IFERROR(VLOOKUP(A4,'대신 피벗'!A:ST,17,FALSE),0)</f>
        <v>25</v>
      </c>
      <c r="D4" s="227">
        <f t="shared" ref="D4:D18" si="0">IFERROR(ROUNDDOWN(C4/B4,0),"")</f>
        <v>0</v>
      </c>
      <c r="E4" s="51" t="s">
        <v>109</v>
      </c>
      <c r="F4" s="228">
        <f t="shared" ref="F4:F18" si="1">IFERROR(C4-(D4*B4),"")</f>
        <v>25</v>
      </c>
      <c r="G4" s="67"/>
      <c r="H4" s="67"/>
    </row>
    <row r="5" spans="1:8" ht="25.35" customHeight="1" x14ac:dyDescent="0.3">
      <c r="A5" s="221" t="s">
        <v>255</v>
      </c>
      <c r="B5" s="224">
        <f t="shared" ref="B5:B18" si="2">$B$4</f>
        <v>30</v>
      </c>
      <c r="C5" s="227">
        <f>IFERROR(VLOOKUP(A5,'대신 피벗'!A:ST,17,FALSE),0)</f>
        <v>88</v>
      </c>
      <c r="D5" s="227">
        <f t="shared" si="0"/>
        <v>2</v>
      </c>
      <c r="E5" s="51" t="s">
        <v>335</v>
      </c>
      <c r="F5" s="228">
        <f t="shared" si="1"/>
        <v>28</v>
      </c>
      <c r="G5" s="67"/>
      <c r="H5" s="67"/>
    </row>
    <row r="6" spans="1:8" ht="25.35" customHeight="1" x14ac:dyDescent="0.3">
      <c r="A6" s="221" t="s">
        <v>249</v>
      </c>
      <c r="B6" s="224">
        <f t="shared" si="2"/>
        <v>30</v>
      </c>
      <c r="C6" s="227">
        <f>IFERROR(VLOOKUP(A6,'대신 피벗'!A:ST,17,FALSE),0)</f>
        <v>50</v>
      </c>
      <c r="D6" s="227">
        <f>IFERROR(ROUNDDOWN(C6/B6,0),"")</f>
        <v>1</v>
      </c>
      <c r="E6" s="51" t="s">
        <v>272</v>
      </c>
      <c r="F6" s="228">
        <f>IFERROR(C6-(D6*B6),"")</f>
        <v>20</v>
      </c>
      <c r="G6" s="67"/>
      <c r="H6" s="67"/>
    </row>
    <row r="7" spans="1:8" ht="25.35" customHeight="1" x14ac:dyDescent="0.3">
      <c r="A7" s="221" t="s">
        <v>250</v>
      </c>
      <c r="B7" s="224">
        <f t="shared" si="2"/>
        <v>30</v>
      </c>
      <c r="C7" s="227">
        <f>IFERROR(VLOOKUP(A7,'대신 피벗'!A:ST,17,FALSE),0)</f>
        <v>75</v>
      </c>
      <c r="D7" s="227">
        <f>IFERROR(ROUNDDOWN(C7/B7,0),"")</f>
        <v>2</v>
      </c>
      <c r="E7" s="51" t="s">
        <v>273</v>
      </c>
      <c r="F7" s="228">
        <f>IFERROR(C7-(D7*B7),"")</f>
        <v>15</v>
      </c>
      <c r="G7" s="67"/>
      <c r="H7" s="67"/>
    </row>
    <row r="8" spans="1:8" ht="25.35" customHeight="1" x14ac:dyDescent="0.3">
      <c r="A8" s="221" t="s">
        <v>248</v>
      </c>
      <c r="B8" s="224">
        <f t="shared" si="2"/>
        <v>30</v>
      </c>
      <c r="C8" s="227">
        <f>IFERROR(VLOOKUP(A8,'대신 피벗'!A:ST,17,FALSE),0)</f>
        <v>46</v>
      </c>
      <c r="D8" s="227">
        <f>IFERROR(ROUNDDOWN(C8/B8,0),"")</f>
        <v>1</v>
      </c>
      <c r="E8" s="51" t="s">
        <v>271</v>
      </c>
      <c r="F8" s="228">
        <f>IFERROR(C8-(D8*B8),"")</f>
        <v>16</v>
      </c>
      <c r="G8" s="67"/>
      <c r="H8" s="67"/>
    </row>
    <row r="9" spans="1:8" ht="25.35" customHeight="1" x14ac:dyDescent="0.3">
      <c r="A9" s="221" t="s">
        <v>246</v>
      </c>
      <c r="B9" s="224">
        <f t="shared" si="2"/>
        <v>30</v>
      </c>
      <c r="C9" s="227">
        <f>IFERROR(VLOOKUP(A9,'대신 피벗'!A:ST,17,FALSE),0)</f>
        <v>33</v>
      </c>
      <c r="D9" s="227">
        <f t="shared" si="0"/>
        <v>1</v>
      </c>
      <c r="E9" s="51" t="s">
        <v>270</v>
      </c>
      <c r="F9" s="228">
        <f t="shared" si="1"/>
        <v>3</v>
      </c>
      <c r="G9" s="67"/>
      <c r="H9" s="67"/>
    </row>
    <row r="10" spans="1:8" ht="25.35" customHeight="1" x14ac:dyDescent="0.3">
      <c r="A10" s="221" t="s">
        <v>256</v>
      </c>
      <c r="B10" s="224">
        <f t="shared" si="2"/>
        <v>30</v>
      </c>
      <c r="C10" s="227">
        <f>IFERROR(VLOOKUP(A10,'대신 피벗'!A:ST,17,FALSE),0)</f>
        <v>30</v>
      </c>
      <c r="D10" s="227">
        <f>IFERROR(ROUNDDOWN(C10/B10,0),"")</f>
        <v>1</v>
      </c>
      <c r="E10" s="51" t="s">
        <v>278</v>
      </c>
      <c r="F10" s="228">
        <f>IFERROR(C10-(D10*B10),"")</f>
        <v>0</v>
      </c>
      <c r="G10" s="67"/>
      <c r="H10" s="67"/>
    </row>
    <row r="11" spans="1:8" ht="25.35" customHeight="1" x14ac:dyDescent="0.3">
      <c r="A11" s="221" t="s">
        <v>247</v>
      </c>
      <c r="B11" s="224">
        <f t="shared" si="2"/>
        <v>30</v>
      </c>
      <c r="C11" s="227">
        <f>IFERROR(VLOOKUP(A11,'대신 피벗'!A:ST,17,FALSE),0)</f>
        <v>31</v>
      </c>
      <c r="D11" s="227">
        <f t="shared" si="0"/>
        <v>1</v>
      </c>
      <c r="E11" s="51" t="s">
        <v>334</v>
      </c>
      <c r="F11" s="228">
        <f t="shared" si="1"/>
        <v>1</v>
      </c>
      <c r="G11" s="67"/>
      <c r="H11" s="67"/>
    </row>
    <row r="12" spans="1:8" ht="25.35" customHeight="1" x14ac:dyDescent="0.3">
      <c r="A12" s="221" t="s">
        <v>251</v>
      </c>
      <c r="B12" s="224">
        <f t="shared" si="2"/>
        <v>30</v>
      </c>
      <c r="C12" s="227">
        <f>IFERROR(VLOOKUP(A12,'대신 피벗'!A:ST,17,FALSE),0)</f>
        <v>68</v>
      </c>
      <c r="D12" s="227">
        <f t="shared" si="0"/>
        <v>2</v>
      </c>
      <c r="E12" s="51" t="s">
        <v>274</v>
      </c>
      <c r="F12" s="228">
        <f t="shared" si="1"/>
        <v>8</v>
      </c>
      <c r="G12" s="67"/>
      <c r="H12" s="67"/>
    </row>
    <row r="13" spans="1:8" ht="25.35" customHeight="1" x14ac:dyDescent="0.3">
      <c r="A13" s="220" t="s">
        <v>252</v>
      </c>
      <c r="B13" s="224">
        <f t="shared" si="2"/>
        <v>30</v>
      </c>
      <c r="C13" s="227">
        <f>IFERROR(VLOOKUP(A13,'대신 피벗'!A:ST,17,FALSE),0)</f>
        <v>56</v>
      </c>
      <c r="D13" s="227">
        <f t="shared" si="0"/>
        <v>1</v>
      </c>
      <c r="E13" s="51" t="s">
        <v>275</v>
      </c>
      <c r="F13" s="228">
        <f t="shared" si="1"/>
        <v>26</v>
      </c>
      <c r="G13" s="67"/>
      <c r="H13" s="67"/>
    </row>
    <row r="14" spans="1:8" ht="25.35" customHeight="1" x14ac:dyDescent="0.3">
      <c r="A14" s="221" t="s">
        <v>253</v>
      </c>
      <c r="B14" s="224">
        <f t="shared" si="2"/>
        <v>30</v>
      </c>
      <c r="C14" s="227">
        <f>IFERROR(VLOOKUP(A14,'대신 피벗'!A:ST,17,FALSE),0)</f>
        <v>61</v>
      </c>
      <c r="D14" s="227">
        <f t="shared" si="0"/>
        <v>2</v>
      </c>
      <c r="E14" s="51" t="s">
        <v>276</v>
      </c>
      <c r="F14" s="228">
        <f t="shared" si="1"/>
        <v>1</v>
      </c>
      <c r="G14" s="67"/>
      <c r="H14" s="67"/>
    </row>
    <row r="15" spans="1:8" ht="25.35" customHeight="1" x14ac:dyDescent="0.3">
      <c r="A15" s="221" t="s">
        <v>254</v>
      </c>
      <c r="B15" s="224">
        <f t="shared" si="2"/>
        <v>30</v>
      </c>
      <c r="C15" s="227">
        <f>IFERROR(VLOOKUP(A15,'대신 피벗'!A:ST,17,FALSE),0)</f>
        <v>74</v>
      </c>
      <c r="D15" s="227">
        <f t="shared" si="0"/>
        <v>2</v>
      </c>
      <c r="E15" s="51" t="s">
        <v>277</v>
      </c>
      <c r="F15" s="228">
        <f t="shared" si="1"/>
        <v>14</v>
      </c>
      <c r="G15" s="67"/>
      <c r="H15" s="67"/>
    </row>
    <row r="16" spans="1:8" ht="25.35" customHeight="1" x14ac:dyDescent="0.3">
      <c r="A16" s="221" t="s">
        <v>257</v>
      </c>
      <c r="B16" s="224">
        <f t="shared" si="2"/>
        <v>30</v>
      </c>
      <c r="C16" s="227">
        <f>IFERROR(VLOOKUP(A16,'대신 피벗'!A:ST,17,FALSE),0)</f>
        <v>28</v>
      </c>
      <c r="D16" s="227">
        <f t="shared" si="0"/>
        <v>0</v>
      </c>
      <c r="E16" s="51" t="s">
        <v>279</v>
      </c>
      <c r="F16" s="228">
        <f t="shared" si="1"/>
        <v>28</v>
      </c>
      <c r="G16" s="67"/>
      <c r="H16" s="67"/>
    </row>
    <row r="17" spans="1:8" ht="25.35" customHeight="1" x14ac:dyDescent="0.3">
      <c r="A17" s="221" t="s">
        <v>258</v>
      </c>
      <c r="B17" s="224">
        <f t="shared" si="2"/>
        <v>30</v>
      </c>
      <c r="C17" s="227">
        <f>IFERROR(VLOOKUP(A17,'대신 피벗'!A:ST,17,FALSE),0)</f>
        <v>24</v>
      </c>
      <c r="D17" s="227">
        <f t="shared" si="0"/>
        <v>0</v>
      </c>
      <c r="E17" s="51" t="s">
        <v>280</v>
      </c>
      <c r="F17" s="228">
        <f t="shared" si="1"/>
        <v>24</v>
      </c>
      <c r="G17" s="67"/>
      <c r="H17" s="67"/>
    </row>
    <row r="18" spans="1:8" ht="25.35" customHeight="1" x14ac:dyDescent="0.3">
      <c r="A18" s="221" t="s">
        <v>259</v>
      </c>
      <c r="B18" s="224">
        <f t="shared" si="2"/>
        <v>30</v>
      </c>
      <c r="C18" s="227">
        <f>IFERROR(VLOOKUP(A18,'대신 피벗'!A:ST,17,FALSE),0)</f>
        <v>35</v>
      </c>
      <c r="D18" s="227">
        <f t="shared" si="0"/>
        <v>1</v>
      </c>
      <c r="E18" s="51" t="s">
        <v>336</v>
      </c>
      <c r="F18" s="228">
        <f t="shared" si="1"/>
        <v>5</v>
      </c>
      <c r="G18" s="67"/>
      <c r="H18" s="67"/>
    </row>
    <row r="19" spans="1:8" ht="4.5" customHeight="1" x14ac:dyDescent="0.3">
      <c r="A19" s="183"/>
      <c r="B19" s="50"/>
      <c r="C19" s="50"/>
      <c r="D19" s="50"/>
      <c r="E19" s="50"/>
      <c r="F19" s="184"/>
    </row>
    <row r="20" spans="1:8" ht="32.450000000000003" customHeight="1" x14ac:dyDescent="0.3">
      <c r="A20" s="209" t="s">
        <v>122</v>
      </c>
      <c r="B20" s="226">
        <f>$B$4</f>
        <v>30</v>
      </c>
      <c r="C20" s="210">
        <f>SUM(C4:C18)</f>
        <v>724</v>
      </c>
      <c r="D20" s="54">
        <f>IFERROR(ROUNDDOWN(C20/B20,0),"")</f>
        <v>24</v>
      </c>
      <c r="E20" s="36"/>
      <c r="F20" s="121">
        <f>IFERROR(C20-(D20*B20),"")</f>
        <v>4</v>
      </c>
    </row>
    <row r="21" spans="1:8" ht="4.5" customHeight="1" x14ac:dyDescent="0.3">
      <c r="A21" s="183"/>
      <c r="B21" s="224"/>
      <c r="C21" s="50"/>
      <c r="D21" s="50"/>
      <c r="E21" s="50"/>
      <c r="F21" s="184"/>
    </row>
    <row r="22" spans="1:8" ht="25.35" customHeight="1" x14ac:dyDescent="0.3">
      <c r="A22" s="221" t="s">
        <v>241</v>
      </c>
      <c r="B22" s="224">
        <f t="shared" ref="B22:B26" si="3">$B$4</f>
        <v>30</v>
      </c>
      <c r="C22" s="227">
        <f>IFERROR(VLOOKUP(A22,'대신 피벗'!A:ST,17,FALSE),0)</f>
        <v>41</v>
      </c>
      <c r="D22" s="227">
        <f>IFERROR(ROUNDDOWN(C22/B22,0),"")</f>
        <v>1</v>
      </c>
      <c r="E22" s="51" t="s">
        <v>268</v>
      </c>
      <c r="F22" s="228">
        <f>IFERROR(C22-(D22*B22),"")</f>
        <v>11</v>
      </c>
      <c r="G22" s="67"/>
      <c r="H22" s="67"/>
    </row>
    <row r="23" spans="1:8" ht="25.35" customHeight="1" x14ac:dyDescent="0.3">
      <c r="A23" s="221" t="s">
        <v>242</v>
      </c>
      <c r="B23" s="224">
        <f t="shared" si="3"/>
        <v>30</v>
      </c>
      <c r="C23" s="227">
        <f>IFERROR(VLOOKUP(A23,'대신 피벗'!A:ST,17,FALSE),0)</f>
        <v>36</v>
      </c>
      <c r="D23" s="227">
        <f>IFERROR(ROUNDDOWN(C23/B23,0),"")</f>
        <v>1</v>
      </c>
      <c r="E23" s="51" t="s">
        <v>337</v>
      </c>
      <c r="F23" s="228">
        <f>IFERROR(C23-(D23*B23),"")</f>
        <v>6</v>
      </c>
      <c r="G23" s="67"/>
      <c r="H23" s="67"/>
    </row>
    <row r="24" spans="1:8" ht="25.35" customHeight="1" x14ac:dyDescent="0.3">
      <c r="A24" s="221" t="s">
        <v>243</v>
      </c>
      <c r="B24" s="224">
        <f t="shared" si="3"/>
        <v>30</v>
      </c>
      <c r="C24" s="227">
        <f>IFERROR(VLOOKUP(A24,'대신 피벗'!A:ST,17,FALSE),0)</f>
        <v>0</v>
      </c>
      <c r="D24" s="227">
        <f>IFERROR(ROUNDDOWN(C24/B24,0),"")</f>
        <v>0</v>
      </c>
      <c r="E24" s="51" t="s">
        <v>106</v>
      </c>
      <c r="F24" s="228">
        <f>IFERROR(C24-(D24*B24),"")</f>
        <v>0</v>
      </c>
      <c r="G24" s="67"/>
      <c r="H24" s="67"/>
    </row>
    <row r="25" spans="1:8" ht="25.35" customHeight="1" x14ac:dyDescent="0.3">
      <c r="A25" s="221" t="s">
        <v>244</v>
      </c>
      <c r="B25" s="224">
        <f t="shared" si="3"/>
        <v>30</v>
      </c>
      <c r="C25" s="227">
        <f>IFERROR(VLOOKUP(A25,'대신 피벗'!A:ST,17,FALSE),0)</f>
        <v>30</v>
      </c>
      <c r="D25" s="227">
        <f>IFERROR(ROUNDDOWN(C25/B25,0),"")</f>
        <v>1</v>
      </c>
      <c r="E25" s="51" t="s">
        <v>269</v>
      </c>
      <c r="F25" s="228">
        <f>IFERROR(C25-(D25*B25),"")</f>
        <v>0</v>
      </c>
      <c r="G25" s="67"/>
      <c r="H25" s="67"/>
    </row>
    <row r="26" spans="1:8" ht="25.35" customHeight="1" x14ac:dyDescent="0.3">
      <c r="A26" s="221" t="s">
        <v>245</v>
      </c>
      <c r="B26" s="224">
        <f t="shared" si="3"/>
        <v>30</v>
      </c>
      <c r="C26" s="227">
        <f>IFERROR(VLOOKUP(A26,'대신 피벗'!A:ST,17,FALSE),0)</f>
        <v>38</v>
      </c>
      <c r="D26" s="227">
        <f>IFERROR(ROUNDDOWN(C26/B26,0),"")</f>
        <v>1</v>
      </c>
      <c r="E26" s="51" t="s">
        <v>118</v>
      </c>
      <c r="F26" s="228">
        <f>IFERROR(C26-(D26*B26),"")</f>
        <v>8</v>
      </c>
      <c r="G26" s="67"/>
      <c r="H26" s="67"/>
    </row>
    <row r="27" spans="1:8" ht="4.5" customHeight="1" x14ac:dyDescent="0.3">
      <c r="A27" s="183"/>
      <c r="B27" s="50"/>
      <c r="C27" s="50"/>
      <c r="D27" s="50"/>
      <c r="E27" s="50"/>
      <c r="F27" s="184"/>
      <c r="G27" s="67"/>
      <c r="H27" s="67"/>
    </row>
    <row r="28" spans="1:8" ht="32.450000000000003" customHeight="1" x14ac:dyDescent="0.3">
      <c r="A28" s="209" t="s">
        <v>285</v>
      </c>
      <c r="B28" s="226">
        <f>$B$4</f>
        <v>30</v>
      </c>
      <c r="C28" s="210">
        <f>SUM(C22:C26)</f>
        <v>145</v>
      </c>
      <c r="D28" s="54">
        <f>IFERROR(ROUNDDOWN(C28/B28,0),"")</f>
        <v>4</v>
      </c>
      <c r="E28" s="36"/>
      <c r="F28" s="121">
        <f>IFERROR(C28-(D28*B28),"")</f>
        <v>25</v>
      </c>
      <c r="G28" s="67"/>
      <c r="H28" s="67"/>
    </row>
    <row r="29" spans="1:8" ht="4.5" customHeight="1" x14ac:dyDescent="0.3">
      <c r="A29" s="183"/>
      <c r="B29" s="50"/>
      <c r="C29" s="50"/>
      <c r="D29" s="50"/>
      <c r="E29" s="50"/>
      <c r="F29" s="184"/>
      <c r="G29" s="67"/>
      <c r="H29" s="67"/>
    </row>
    <row r="30" spans="1:8" ht="25.35" customHeight="1" x14ac:dyDescent="0.3">
      <c r="A30" s="221" t="s">
        <v>239</v>
      </c>
      <c r="B30" s="224">
        <f t="shared" ref="B30:B31" si="4">$B$4</f>
        <v>30</v>
      </c>
      <c r="C30" s="227">
        <f>IFERROR(VLOOKUP(A30,'대신 피벗'!A:ST,17,FALSE),0)</f>
        <v>52</v>
      </c>
      <c r="D30" s="227">
        <f t="shared" ref="D30:D31" si="5">IFERROR(ROUNDDOWN(C30/B30,0),"")</f>
        <v>1</v>
      </c>
      <c r="E30" s="51" t="s">
        <v>266</v>
      </c>
      <c r="F30" s="228">
        <f t="shared" ref="F30:F31" si="6">IFERROR(C30-(D30*B30),"")</f>
        <v>22</v>
      </c>
      <c r="G30" s="67"/>
      <c r="H30" s="67"/>
    </row>
    <row r="31" spans="1:8" ht="25.35" customHeight="1" x14ac:dyDescent="0.3">
      <c r="A31" s="221" t="s">
        <v>240</v>
      </c>
      <c r="B31" s="224">
        <f t="shared" si="4"/>
        <v>30</v>
      </c>
      <c r="C31" s="227">
        <f>IFERROR(VLOOKUP(A31,'대신 피벗'!A:ST,17,FALSE),0)</f>
        <v>46</v>
      </c>
      <c r="D31" s="227">
        <f t="shared" si="5"/>
        <v>1</v>
      </c>
      <c r="E31" s="51" t="s">
        <v>267</v>
      </c>
      <c r="F31" s="228">
        <f t="shared" si="6"/>
        <v>16</v>
      </c>
      <c r="G31" s="67"/>
      <c r="H31" s="67"/>
    </row>
    <row r="32" spans="1:8" ht="4.5" customHeight="1" x14ac:dyDescent="0.3">
      <c r="A32" s="183"/>
      <c r="B32" s="50"/>
      <c r="C32" s="50"/>
      <c r="D32" s="50"/>
      <c r="E32" s="50"/>
      <c r="F32" s="184"/>
      <c r="G32" s="67"/>
      <c r="H32" s="67"/>
    </row>
    <row r="33" spans="1:8" ht="32.450000000000003" customHeight="1" x14ac:dyDescent="0.3">
      <c r="A33" s="209" t="s">
        <v>284</v>
      </c>
      <c r="B33" s="226">
        <f>$B$4</f>
        <v>30</v>
      </c>
      <c r="C33" s="210">
        <f>SUM(C30:C31)</f>
        <v>98</v>
      </c>
      <c r="D33" s="54">
        <f>IFERROR(ROUNDDOWN(C33/B33,0),"")</f>
        <v>3</v>
      </c>
      <c r="E33" s="36"/>
      <c r="F33" s="121">
        <f>IFERROR(C33-(D33*B33),"")</f>
        <v>8</v>
      </c>
      <c r="G33" s="67"/>
      <c r="H33" s="67"/>
    </row>
    <row r="34" spans="1:8" ht="4.5" customHeight="1" x14ac:dyDescent="0.3">
      <c r="A34" s="183"/>
      <c r="B34" s="224"/>
      <c r="C34" s="50"/>
      <c r="D34" s="50"/>
      <c r="E34" s="50"/>
      <c r="F34" s="184"/>
      <c r="G34" s="67"/>
      <c r="H34" s="67"/>
    </row>
    <row r="35" spans="1:8" ht="25.35" customHeight="1" x14ac:dyDescent="0.3">
      <c r="A35" s="221" t="s">
        <v>236</v>
      </c>
      <c r="B35" s="224">
        <f t="shared" ref="B35:B37" si="7">$B$4</f>
        <v>30</v>
      </c>
      <c r="C35" s="227">
        <f>IFERROR(VLOOKUP(A35,'대신 피벗'!A:ST,17,FALSE),0)</f>
        <v>62</v>
      </c>
      <c r="D35" s="227">
        <f>IFERROR(ROUNDDOWN(C35/B35,0),"")</f>
        <v>2</v>
      </c>
      <c r="E35" s="51" t="s">
        <v>264</v>
      </c>
      <c r="F35" s="228">
        <f>IFERROR(C35-(D35*B35),"")</f>
        <v>2</v>
      </c>
      <c r="G35" s="67"/>
      <c r="H35" s="67"/>
    </row>
    <row r="36" spans="1:8" ht="25.35" customHeight="1" x14ac:dyDescent="0.3">
      <c r="A36" s="221" t="s">
        <v>237</v>
      </c>
      <c r="B36" s="224">
        <f t="shared" si="7"/>
        <v>30</v>
      </c>
      <c r="C36" s="227">
        <f>IFERROR(VLOOKUP(A36,'대신 피벗'!A:ST,17,FALSE),0)</f>
        <v>42</v>
      </c>
      <c r="D36" s="227">
        <f t="shared" ref="D36:D37" si="8">IFERROR(ROUNDDOWN(C36/B36,0),"")</f>
        <v>1</v>
      </c>
      <c r="E36" s="51" t="s">
        <v>338</v>
      </c>
      <c r="F36" s="228">
        <f t="shared" ref="F36:F37" si="9">IFERROR(C36-(D36*B36),"")</f>
        <v>12</v>
      </c>
      <c r="G36" s="67"/>
      <c r="H36" s="67"/>
    </row>
    <row r="37" spans="1:8" ht="25.35" customHeight="1" x14ac:dyDescent="0.3">
      <c r="A37" s="221" t="s">
        <v>238</v>
      </c>
      <c r="B37" s="224">
        <f t="shared" si="7"/>
        <v>30</v>
      </c>
      <c r="C37" s="227">
        <f>IFERROR(VLOOKUP(A37,'대신 피벗'!A:ST,17,FALSE),0)</f>
        <v>28</v>
      </c>
      <c r="D37" s="227">
        <f t="shared" si="8"/>
        <v>0</v>
      </c>
      <c r="E37" s="51" t="s">
        <v>265</v>
      </c>
      <c r="F37" s="228">
        <f t="shared" si="9"/>
        <v>28</v>
      </c>
      <c r="G37" s="67"/>
      <c r="H37" s="67"/>
    </row>
    <row r="38" spans="1:8" ht="4.5" customHeight="1" x14ac:dyDescent="0.3">
      <c r="A38" s="183"/>
      <c r="B38" s="50"/>
      <c r="C38" s="50"/>
      <c r="D38" s="50"/>
      <c r="E38" s="50"/>
      <c r="F38" s="184"/>
      <c r="G38" s="67"/>
      <c r="H38" s="67"/>
    </row>
    <row r="39" spans="1:8" ht="32.450000000000003" customHeight="1" x14ac:dyDescent="0.3">
      <c r="A39" s="209" t="s">
        <v>283</v>
      </c>
      <c r="B39" s="226">
        <f>$B$4</f>
        <v>30</v>
      </c>
      <c r="C39" s="210">
        <f>SUM(C35:C37)</f>
        <v>132</v>
      </c>
      <c r="D39" s="54">
        <f>IFERROR(ROUNDDOWN(C39/B39,0),"")</f>
        <v>4</v>
      </c>
      <c r="E39" s="36"/>
      <c r="F39" s="121">
        <f>IFERROR(C39-(D39*B39),"")</f>
        <v>12</v>
      </c>
      <c r="G39" s="67"/>
      <c r="H39" s="67"/>
    </row>
    <row r="40" spans="1:8" ht="4.5" customHeight="1" x14ac:dyDescent="0.3">
      <c r="A40" s="183"/>
      <c r="B40" s="224"/>
      <c r="C40" s="50"/>
      <c r="D40" s="50"/>
      <c r="E40" s="50"/>
      <c r="F40" s="184"/>
      <c r="G40" s="67"/>
      <c r="H40" s="67"/>
    </row>
    <row r="41" spans="1:8" ht="25.35" customHeight="1" x14ac:dyDescent="0.3">
      <c r="A41" s="221" t="s">
        <v>261</v>
      </c>
      <c r="B41" s="224">
        <f t="shared" ref="B41:B42" si="10">$B$4</f>
        <v>30</v>
      </c>
      <c r="C41" s="227">
        <f>IFERROR(VLOOKUP(A41,'대신 피벗'!A:ST,17,FALSE),0)</f>
        <v>6</v>
      </c>
      <c r="D41" s="227">
        <f t="shared" ref="D41:D42" si="11">IFERROR(ROUNDDOWN(C41/B41,0),"")</f>
        <v>0</v>
      </c>
      <c r="E41" s="51" t="s">
        <v>281</v>
      </c>
      <c r="F41" s="228">
        <f t="shared" ref="F41:F42" si="12">IFERROR(C41-(D41*B41),"")</f>
        <v>6</v>
      </c>
      <c r="G41" s="67"/>
      <c r="H41" s="67"/>
    </row>
    <row r="42" spans="1:8" ht="25.35" customHeight="1" x14ac:dyDescent="0.3">
      <c r="A42" s="221" t="s">
        <v>262</v>
      </c>
      <c r="B42" s="224">
        <f t="shared" si="10"/>
        <v>30</v>
      </c>
      <c r="C42" s="227">
        <f>IFERROR(VLOOKUP(A42,'대신 피벗'!A:ST,17,FALSE),0)</f>
        <v>6</v>
      </c>
      <c r="D42" s="227">
        <f t="shared" si="11"/>
        <v>0</v>
      </c>
      <c r="E42" s="51" t="s">
        <v>282</v>
      </c>
      <c r="F42" s="228">
        <f t="shared" si="12"/>
        <v>6</v>
      </c>
      <c r="G42" s="67"/>
      <c r="H42" s="67"/>
    </row>
    <row r="43" spans="1:8" ht="4.5" customHeight="1" x14ac:dyDescent="0.3">
      <c r="A43" s="183"/>
      <c r="B43" s="50"/>
      <c r="C43" s="50"/>
      <c r="D43" s="50"/>
      <c r="E43" s="50"/>
      <c r="F43" s="184"/>
      <c r="G43" s="67"/>
      <c r="H43" s="67"/>
    </row>
    <row r="44" spans="1:8" ht="32.450000000000003" customHeight="1" x14ac:dyDescent="0.3">
      <c r="A44" s="209" t="s">
        <v>339</v>
      </c>
      <c r="B44" s="226">
        <f>$B$4</f>
        <v>30</v>
      </c>
      <c r="C44" s="210">
        <f>SUM(C41:C42)</f>
        <v>12</v>
      </c>
      <c r="D44" s="54">
        <f>IFERROR(ROUNDDOWN(C44/B44,0),"")</f>
        <v>0</v>
      </c>
      <c r="E44" s="36"/>
      <c r="F44" s="121">
        <f>IFERROR(C44-(D44*B44),"")</f>
        <v>12</v>
      </c>
      <c r="G44" s="67"/>
      <c r="H44" s="67"/>
    </row>
    <row r="45" spans="1:8" ht="4.5" customHeight="1" thickBot="1" x14ac:dyDescent="0.35">
      <c r="A45" s="183"/>
      <c r="B45" s="50"/>
      <c r="C45" s="50"/>
      <c r="D45" s="50"/>
      <c r="E45" s="50"/>
      <c r="F45" s="184"/>
      <c r="G45" s="67"/>
      <c r="H45" s="67"/>
    </row>
    <row r="46" spans="1:8" ht="26.25" x14ac:dyDescent="0.3">
      <c r="A46" s="87" t="s">
        <v>3</v>
      </c>
      <c r="B46" s="226">
        <f>$B$4</f>
        <v>30</v>
      </c>
      <c r="C46" s="55">
        <f>SUM(C4:C18,C35:C37,C30:C31,C22:C26,C41:C42)</f>
        <v>1111</v>
      </c>
      <c r="D46" s="54">
        <f>IFERROR(ROUNDDOWN(C46/B46,0),"")</f>
        <v>37</v>
      </c>
      <c r="E46" s="56"/>
      <c r="F46" s="121">
        <f>IFERROR(C46-(D46*B46),"")</f>
        <v>1</v>
      </c>
      <c r="G46" s="232" t="s">
        <v>110</v>
      </c>
      <c r="H46" s="233" t="s">
        <v>111</v>
      </c>
    </row>
    <row r="47" spans="1:8" ht="27" thickBot="1" x14ac:dyDescent="0.35">
      <c r="A47" s="42" t="s">
        <v>286</v>
      </c>
      <c r="B47" s="43" t="s">
        <v>173</v>
      </c>
      <c r="C47" s="40"/>
      <c r="D47" s="41">
        <f>SUM(D4:D18,D35:D37,D30:D31,D22:D26,D41:D42)</f>
        <v>26</v>
      </c>
      <c r="E47" s="48"/>
      <c r="F47" s="93">
        <f>SUM(F4:F18,F35:F37,F30:F31,F22:F26,F41:F42)</f>
        <v>331</v>
      </c>
      <c r="G47" s="216">
        <f>IFERROR(ROUNDDOWN(F47/B35,0),"")</f>
        <v>11</v>
      </c>
      <c r="H47" s="217">
        <f>IFERROR(F47-(G47*B35),"")</f>
        <v>1</v>
      </c>
    </row>
    <row r="48" spans="1:8" ht="22.5" customHeight="1" x14ac:dyDescent="0.3">
      <c r="C48" s="77">
        <f>C20+C28+C33+C39+C44</f>
        <v>1111</v>
      </c>
      <c r="G48" s="199"/>
      <c r="H48" s="34" t="s">
        <v>174</v>
      </c>
    </row>
    <row r="49" spans="3:3" x14ac:dyDescent="0.3">
      <c r="C49" s="34" t="b">
        <f>C48=C46</f>
        <v>1</v>
      </c>
    </row>
  </sheetData>
  <mergeCells count="1">
    <mergeCell ref="A1:F1"/>
  </mergeCells>
  <phoneticPr fontId="13" type="noConversion"/>
  <printOptions horizontalCentered="1" verticalCentered="1"/>
  <pageMargins left="0" right="0" top="0" bottom="0" header="0" footer="0"/>
  <pageSetup paperSize="9" scale="77" orientation="portrait"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861B7D-481A-4129-AE93-971E2400D117}">
  <sheetPr>
    <tabColor rgb="FF7030A0"/>
    <pageSetUpPr fitToPage="1"/>
  </sheetPr>
  <dimension ref="A1:H49"/>
  <sheetViews>
    <sheetView zoomScale="40" zoomScaleNormal="40" zoomScaleSheetLayoutView="75" workbookViewId="0">
      <selection activeCell="A2" sqref="A2:F47"/>
    </sheetView>
  </sheetViews>
  <sheetFormatPr defaultColWidth="9" defaultRowHeight="16.5" x14ac:dyDescent="0.3"/>
  <cols>
    <col min="1" max="1" width="24.75" style="34" customWidth="1"/>
    <col min="2" max="2" width="7.625" style="38" customWidth="1"/>
    <col min="3" max="3" width="30.625" style="34" customWidth="1"/>
    <col min="4" max="4" width="9.875" style="2" customWidth="1"/>
    <col min="5" max="5" width="11.375" style="34" customWidth="1"/>
    <col min="6" max="6" width="11.125" style="2" customWidth="1"/>
    <col min="7" max="7" width="8.375" style="34" customWidth="1"/>
    <col min="8" max="8" width="9" style="34" customWidth="1"/>
    <col min="9" max="13" width="9" style="34"/>
    <col min="14" max="14" width="10.625" style="34" customWidth="1"/>
    <col min="15" max="17" width="9" style="34"/>
    <col min="18" max="18" width="36.5" style="34" bestFit="1" customWidth="1"/>
    <col min="19" max="16384" width="9" style="34"/>
  </cols>
  <sheetData>
    <row r="1" spans="1:8" ht="25.9" customHeight="1" thickBot="1" x14ac:dyDescent="0.35">
      <c r="A1" s="270"/>
      <c r="B1" s="270"/>
      <c r="C1" s="270"/>
      <c r="D1" s="270"/>
      <c r="E1" s="270"/>
      <c r="F1" s="270"/>
    </row>
    <row r="2" spans="1:8" ht="25.9" customHeight="1" x14ac:dyDescent="0.3">
      <c r="A2" s="215">
        <f ca="1">TODAY()</f>
        <v>46314</v>
      </c>
      <c r="B2" s="256" t="s">
        <v>345</v>
      </c>
      <c r="C2" s="256"/>
      <c r="D2" s="256"/>
      <c r="E2" s="256"/>
      <c r="F2" s="257"/>
      <c r="G2" s="67"/>
      <c r="H2" s="67"/>
    </row>
    <row r="3" spans="1:8" ht="40.15" customHeight="1" x14ac:dyDescent="0.3">
      <c r="A3" s="222" t="s">
        <v>67</v>
      </c>
      <c r="B3" s="223" t="s">
        <v>13</v>
      </c>
      <c r="C3" s="235" t="s">
        <v>364</v>
      </c>
      <c r="D3" s="230" t="s">
        <v>2</v>
      </c>
      <c r="E3" s="229" t="s">
        <v>23</v>
      </c>
      <c r="F3" s="231" t="s">
        <v>14</v>
      </c>
      <c r="G3" s="67"/>
      <c r="H3" s="67"/>
    </row>
    <row r="4" spans="1:8" ht="25.35" customHeight="1" x14ac:dyDescent="0.3">
      <c r="A4" s="220" t="s">
        <v>260</v>
      </c>
      <c r="B4" s="224">
        <v>30</v>
      </c>
      <c r="C4" s="227">
        <f>IFERROR(VLOOKUP(A4,'대신 피벗'!A:ST,18,FALSE),0)</f>
        <v>3</v>
      </c>
      <c r="D4" s="227">
        <f t="shared" ref="D4:D18" si="0">IFERROR(ROUNDDOWN(C4/B4,0),"")</f>
        <v>0</v>
      </c>
      <c r="E4" s="51" t="s">
        <v>109</v>
      </c>
      <c r="F4" s="228">
        <f t="shared" ref="F4:F18" si="1">IFERROR(C4-(D4*B4),"")</f>
        <v>3</v>
      </c>
      <c r="G4" s="67"/>
      <c r="H4" s="67"/>
    </row>
    <row r="5" spans="1:8" ht="25.35" customHeight="1" x14ac:dyDescent="0.3">
      <c r="A5" s="221" t="s">
        <v>255</v>
      </c>
      <c r="B5" s="224">
        <f t="shared" ref="B5:B18" si="2">$B$4</f>
        <v>30</v>
      </c>
      <c r="C5" s="227">
        <f>IFERROR(VLOOKUP(A5,'대신 피벗'!A:ST,18,FALSE),0)</f>
        <v>11</v>
      </c>
      <c r="D5" s="227">
        <f t="shared" si="0"/>
        <v>0</v>
      </c>
      <c r="E5" s="51" t="s">
        <v>335</v>
      </c>
      <c r="F5" s="228">
        <f t="shared" si="1"/>
        <v>11</v>
      </c>
      <c r="G5" s="67"/>
      <c r="H5" s="67"/>
    </row>
    <row r="6" spans="1:8" ht="25.35" customHeight="1" x14ac:dyDescent="0.3">
      <c r="A6" s="221" t="s">
        <v>249</v>
      </c>
      <c r="B6" s="224">
        <f t="shared" si="2"/>
        <v>30</v>
      </c>
      <c r="C6" s="227">
        <f>IFERROR(VLOOKUP(A6,'대신 피벗'!A:ST,18,FALSE),0)</f>
        <v>12</v>
      </c>
      <c r="D6" s="227">
        <f>IFERROR(ROUNDDOWN(C6/B6,0),"")</f>
        <v>0</v>
      </c>
      <c r="E6" s="51" t="s">
        <v>272</v>
      </c>
      <c r="F6" s="228">
        <f>IFERROR(C6-(D6*B6),"")</f>
        <v>12</v>
      </c>
      <c r="G6" s="67"/>
      <c r="H6" s="67"/>
    </row>
    <row r="7" spans="1:8" ht="25.35" customHeight="1" x14ac:dyDescent="0.3">
      <c r="A7" s="221" t="s">
        <v>250</v>
      </c>
      <c r="B7" s="224">
        <f t="shared" si="2"/>
        <v>30</v>
      </c>
      <c r="C7" s="227">
        <f>IFERROR(VLOOKUP(A7,'대신 피벗'!A:ST,18,FALSE),0)</f>
        <v>8</v>
      </c>
      <c r="D7" s="227">
        <f>IFERROR(ROUNDDOWN(C7/B7,0),"")</f>
        <v>0</v>
      </c>
      <c r="E7" s="51" t="s">
        <v>273</v>
      </c>
      <c r="F7" s="228">
        <f>IFERROR(C7-(D7*B7),"")</f>
        <v>8</v>
      </c>
      <c r="G7" s="67"/>
      <c r="H7" s="67"/>
    </row>
    <row r="8" spans="1:8" ht="25.35" customHeight="1" x14ac:dyDescent="0.3">
      <c r="A8" s="221" t="s">
        <v>248</v>
      </c>
      <c r="B8" s="224">
        <f t="shared" si="2"/>
        <v>30</v>
      </c>
      <c r="C8" s="227">
        <f>IFERROR(VLOOKUP(A8,'대신 피벗'!A:ST,18,FALSE),0)</f>
        <v>5</v>
      </c>
      <c r="D8" s="227">
        <f>IFERROR(ROUNDDOWN(C8/B8,0),"")</f>
        <v>0</v>
      </c>
      <c r="E8" s="51" t="s">
        <v>271</v>
      </c>
      <c r="F8" s="228">
        <f>IFERROR(C8-(D8*B8),"")</f>
        <v>5</v>
      </c>
      <c r="G8" s="67"/>
      <c r="H8" s="67"/>
    </row>
    <row r="9" spans="1:8" ht="25.35" customHeight="1" x14ac:dyDescent="0.3">
      <c r="A9" s="221" t="s">
        <v>246</v>
      </c>
      <c r="B9" s="224">
        <f t="shared" si="2"/>
        <v>30</v>
      </c>
      <c r="C9" s="227">
        <f>IFERROR(VLOOKUP(A9,'대신 피벗'!A:ST,18,FALSE),0)</f>
        <v>5</v>
      </c>
      <c r="D9" s="227">
        <f t="shared" si="0"/>
        <v>0</v>
      </c>
      <c r="E9" s="51" t="s">
        <v>270</v>
      </c>
      <c r="F9" s="228">
        <f t="shared" si="1"/>
        <v>5</v>
      </c>
      <c r="G9" s="67"/>
      <c r="H9" s="67"/>
    </row>
    <row r="10" spans="1:8" ht="25.35" customHeight="1" x14ac:dyDescent="0.3">
      <c r="A10" s="221" t="s">
        <v>256</v>
      </c>
      <c r="B10" s="224">
        <f t="shared" si="2"/>
        <v>30</v>
      </c>
      <c r="C10" s="227">
        <f>IFERROR(VLOOKUP(A10,'대신 피벗'!A:ST,18,FALSE),0)</f>
        <v>4</v>
      </c>
      <c r="D10" s="227">
        <f>IFERROR(ROUNDDOWN(C10/B10,0),"")</f>
        <v>0</v>
      </c>
      <c r="E10" s="51" t="s">
        <v>278</v>
      </c>
      <c r="F10" s="228">
        <f>IFERROR(C10-(D10*B10),"")</f>
        <v>4</v>
      </c>
      <c r="G10" s="67"/>
      <c r="H10" s="67"/>
    </row>
    <row r="11" spans="1:8" ht="25.35" customHeight="1" x14ac:dyDescent="0.3">
      <c r="A11" s="221" t="s">
        <v>247</v>
      </c>
      <c r="B11" s="224">
        <f t="shared" si="2"/>
        <v>30</v>
      </c>
      <c r="C11" s="227">
        <f>IFERROR(VLOOKUP(A11,'대신 피벗'!A:ST,18,FALSE),0)</f>
        <v>5</v>
      </c>
      <c r="D11" s="227">
        <f t="shared" si="0"/>
        <v>0</v>
      </c>
      <c r="E11" s="51" t="s">
        <v>334</v>
      </c>
      <c r="F11" s="228">
        <f t="shared" si="1"/>
        <v>5</v>
      </c>
      <c r="G11" s="67"/>
      <c r="H11" s="67"/>
    </row>
    <row r="12" spans="1:8" ht="25.35" customHeight="1" x14ac:dyDescent="0.3">
      <c r="A12" s="221" t="s">
        <v>251</v>
      </c>
      <c r="B12" s="224">
        <f t="shared" si="2"/>
        <v>30</v>
      </c>
      <c r="C12" s="227">
        <f>IFERROR(VLOOKUP(A12,'대신 피벗'!A:ST,18,FALSE),0)</f>
        <v>4</v>
      </c>
      <c r="D12" s="227">
        <f t="shared" si="0"/>
        <v>0</v>
      </c>
      <c r="E12" s="51" t="s">
        <v>274</v>
      </c>
      <c r="F12" s="228">
        <f t="shared" si="1"/>
        <v>4</v>
      </c>
      <c r="G12" s="67"/>
      <c r="H12" s="67"/>
    </row>
    <row r="13" spans="1:8" ht="25.35" customHeight="1" x14ac:dyDescent="0.3">
      <c r="A13" s="220" t="s">
        <v>252</v>
      </c>
      <c r="B13" s="224">
        <f t="shared" si="2"/>
        <v>30</v>
      </c>
      <c r="C13" s="227">
        <f>IFERROR(VLOOKUP(A13,'대신 피벗'!A:ST,18,FALSE),0)</f>
        <v>4</v>
      </c>
      <c r="D13" s="227">
        <f t="shared" si="0"/>
        <v>0</v>
      </c>
      <c r="E13" s="51" t="s">
        <v>275</v>
      </c>
      <c r="F13" s="228">
        <f t="shared" si="1"/>
        <v>4</v>
      </c>
      <c r="G13" s="67"/>
      <c r="H13" s="67"/>
    </row>
    <row r="14" spans="1:8" ht="25.35" customHeight="1" x14ac:dyDescent="0.3">
      <c r="A14" s="221" t="s">
        <v>253</v>
      </c>
      <c r="B14" s="224">
        <f t="shared" si="2"/>
        <v>30</v>
      </c>
      <c r="C14" s="227">
        <f>IFERROR(VLOOKUP(A14,'대신 피벗'!A:ST,18,FALSE),0)</f>
        <v>10</v>
      </c>
      <c r="D14" s="227">
        <f t="shared" si="0"/>
        <v>0</v>
      </c>
      <c r="E14" s="51" t="s">
        <v>276</v>
      </c>
      <c r="F14" s="228">
        <f t="shared" si="1"/>
        <v>10</v>
      </c>
      <c r="G14" s="67"/>
      <c r="H14" s="67"/>
    </row>
    <row r="15" spans="1:8" ht="25.35" customHeight="1" x14ac:dyDescent="0.3">
      <c r="A15" s="221" t="s">
        <v>254</v>
      </c>
      <c r="B15" s="224">
        <f t="shared" si="2"/>
        <v>30</v>
      </c>
      <c r="C15" s="227">
        <f>IFERROR(VLOOKUP(A15,'대신 피벗'!A:ST,18,FALSE),0)</f>
        <v>16</v>
      </c>
      <c r="D15" s="227">
        <f t="shared" si="0"/>
        <v>0</v>
      </c>
      <c r="E15" s="51" t="s">
        <v>277</v>
      </c>
      <c r="F15" s="228">
        <f t="shared" si="1"/>
        <v>16</v>
      </c>
      <c r="G15" s="67"/>
      <c r="H15" s="67"/>
    </row>
    <row r="16" spans="1:8" ht="25.35" customHeight="1" x14ac:dyDescent="0.3">
      <c r="A16" s="221" t="s">
        <v>257</v>
      </c>
      <c r="B16" s="224">
        <f t="shared" si="2"/>
        <v>30</v>
      </c>
      <c r="C16" s="227">
        <f>IFERROR(VLOOKUP(A16,'대신 피벗'!A:ST,18,FALSE),0)</f>
        <v>5</v>
      </c>
      <c r="D16" s="227">
        <f t="shared" si="0"/>
        <v>0</v>
      </c>
      <c r="E16" s="51" t="s">
        <v>279</v>
      </c>
      <c r="F16" s="228">
        <f t="shared" si="1"/>
        <v>5</v>
      </c>
      <c r="G16" s="67"/>
      <c r="H16" s="67"/>
    </row>
    <row r="17" spans="1:8" ht="25.35" customHeight="1" x14ac:dyDescent="0.3">
      <c r="A17" s="221" t="s">
        <v>258</v>
      </c>
      <c r="B17" s="224">
        <f t="shared" si="2"/>
        <v>30</v>
      </c>
      <c r="C17" s="227">
        <f>IFERROR(VLOOKUP(A17,'대신 피벗'!A:ST,18,FALSE),0)</f>
        <v>2</v>
      </c>
      <c r="D17" s="227">
        <f t="shared" si="0"/>
        <v>0</v>
      </c>
      <c r="E17" s="51" t="s">
        <v>280</v>
      </c>
      <c r="F17" s="228">
        <f t="shared" si="1"/>
        <v>2</v>
      </c>
      <c r="G17" s="67"/>
      <c r="H17" s="67"/>
    </row>
    <row r="18" spans="1:8" ht="25.35" customHeight="1" x14ac:dyDescent="0.3">
      <c r="A18" s="221" t="s">
        <v>259</v>
      </c>
      <c r="B18" s="224">
        <f t="shared" si="2"/>
        <v>30</v>
      </c>
      <c r="C18" s="227">
        <f>IFERROR(VLOOKUP(A18,'대신 피벗'!A:ST,18,FALSE),0)</f>
        <v>7</v>
      </c>
      <c r="D18" s="227">
        <f t="shared" si="0"/>
        <v>0</v>
      </c>
      <c r="E18" s="51" t="s">
        <v>336</v>
      </c>
      <c r="F18" s="228">
        <f t="shared" si="1"/>
        <v>7</v>
      </c>
      <c r="G18" s="67"/>
      <c r="H18" s="67"/>
    </row>
    <row r="19" spans="1:8" ht="4.5" customHeight="1" x14ac:dyDescent="0.3">
      <c r="A19" s="183"/>
      <c r="B19" s="50"/>
      <c r="C19" s="50"/>
      <c r="D19" s="50"/>
      <c r="E19" s="50"/>
      <c r="F19" s="184"/>
    </row>
    <row r="20" spans="1:8" ht="32.450000000000003" customHeight="1" x14ac:dyDescent="0.3">
      <c r="A20" s="209" t="s">
        <v>122</v>
      </c>
      <c r="B20" s="226">
        <f>$B$4</f>
        <v>30</v>
      </c>
      <c r="C20" s="210">
        <f>SUM(C4:C18)</f>
        <v>101</v>
      </c>
      <c r="D20" s="54">
        <f>IFERROR(ROUNDDOWN(C20/B20,0),"")</f>
        <v>3</v>
      </c>
      <c r="E20" s="36"/>
      <c r="F20" s="121">
        <f>IFERROR(C20-(D20*B20),"")</f>
        <v>11</v>
      </c>
    </row>
    <row r="21" spans="1:8" ht="4.5" customHeight="1" x14ac:dyDescent="0.3">
      <c r="A21" s="183"/>
      <c r="B21" s="224"/>
      <c r="C21" s="50"/>
      <c r="D21" s="50"/>
      <c r="E21" s="50"/>
      <c r="F21" s="184"/>
    </row>
    <row r="22" spans="1:8" ht="25.35" customHeight="1" x14ac:dyDescent="0.3">
      <c r="A22" s="221" t="s">
        <v>241</v>
      </c>
      <c r="B22" s="224">
        <f t="shared" ref="B22:B26" si="3">$B$4</f>
        <v>30</v>
      </c>
      <c r="C22" s="227">
        <f>IFERROR(VLOOKUP(A22,'대신 피벗'!A:ST,18,FALSE),0)</f>
        <v>8</v>
      </c>
      <c r="D22" s="227">
        <f>IFERROR(ROUNDDOWN(C22/B22,0),"")</f>
        <v>0</v>
      </c>
      <c r="E22" s="51" t="s">
        <v>268</v>
      </c>
      <c r="F22" s="228">
        <f>IFERROR(C22-(D22*B22),"")</f>
        <v>8</v>
      </c>
      <c r="G22" s="67"/>
      <c r="H22" s="67"/>
    </row>
    <row r="23" spans="1:8" ht="25.35" customHeight="1" x14ac:dyDescent="0.3">
      <c r="A23" s="221" t="s">
        <v>242</v>
      </c>
      <c r="B23" s="224">
        <f t="shared" si="3"/>
        <v>30</v>
      </c>
      <c r="C23" s="227">
        <f>IFERROR(VLOOKUP(A23,'대신 피벗'!A:ST,18,FALSE),0)</f>
        <v>5</v>
      </c>
      <c r="D23" s="227">
        <f>IFERROR(ROUNDDOWN(C23/B23,0),"")</f>
        <v>0</v>
      </c>
      <c r="E23" s="51" t="s">
        <v>337</v>
      </c>
      <c r="F23" s="228">
        <f>IFERROR(C23-(D23*B23),"")</f>
        <v>5</v>
      </c>
      <c r="G23" s="67"/>
      <c r="H23" s="67"/>
    </row>
    <row r="24" spans="1:8" ht="25.35" customHeight="1" x14ac:dyDescent="0.3">
      <c r="A24" s="221" t="s">
        <v>243</v>
      </c>
      <c r="B24" s="224">
        <f t="shared" si="3"/>
        <v>30</v>
      </c>
      <c r="C24" s="227">
        <f>IFERROR(VLOOKUP(A24,'대신 피벗'!A:ST,18,FALSE),0)</f>
        <v>0</v>
      </c>
      <c r="D24" s="227">
        <f>IFERROR(ROUNDDOWN(C24/B24,0),"")</f>
        <v>0</v>
      </c>
      <c r="E24" s="51" t="s">
        <v>106</v>
      </c>
      <c r="F24" s="228">
        <f>IFERROR(C24-(D24*B24),"")</f>
        <v>0</v>
      </c>
      <c r="G24" s="67"/>
      <c r="H24" s="67"/>
    </row>
    <row r="25" spans="1:8" ht="25.35" customHeight="1" x14ac:dyDescent="0.3">
      <c r="A25" s="221" t="s">
        <v>244</v>
      </c>
      <c r="B25" s="224">
        <f t="shared" si="3"/>
        <v>30</v>
      </c>
      <c r="C25" s="227">
        <f>IFERROR(VLOOKUP(A25,'대신 피벗'!A:ST,18,FALSE),0)</f>
        <v>5</v>
      </c>
      <c r="D25" s="227">
        <f>IFERROR(ROUNDDOWN(C25/B25,0),"")</f>
        <v>0</v>
      </c>
      <c r="E25" s="51" t="s">
        <v>269</v>
      </c>
      <c r="F25" s="228">
        <f>IFERROR(C25-(D25*B25),"")</f>
        <v>5</v>
      </c>
      <c r="G25" s="67"/>
      <c r="H25" s="67"/>
    </row>
    <row r="26" spans="1:8" ht="25.35" customHeight="1" x14ac:dyDescent="0.3">
      <c r="A26" s="221" t="s">
        <v>245</v>
      </c>
      <c r="B26" s="224">
        <f t="shared" si="3"/>
        <v>30</v>
      </c>
      <c r="C26" s="227">
        <f>IFERROR(VLOOKUP(A26,'대신 피벗'!A:ST,18,FALSE),0)</f>
        <v>5</v>
      </c>
      <c r="D26" s="227">
        <f>IFERROR(ROUNDDOWN(C26/B26,0),"")</f>
        <v>0</v>
      </c>
      <c r="E26" s="51" t="s">
        <v>118</v>
      </c>
      <c r="F26" s="228">
        <f>IFERROR(C26-(D26*B26),"")</f>
        <v>5</v>
      </c>
      <c r="G26" s="67"/>
      <c r="H26" s="67"/>
    </row>
    <row r="27" spans="1:8" ht="4.5" customHeight="1" x14ac:dyDescent="0.3">
      <c r="A27" s="183"/>
      <c r="B27" s="50"/>
      <c r="C27" s="50"/>
      <c r="D27" s="50"/>
      <c r="E27" s="50"/>
      <c r="F27" s="184"/>
      <c r="G27" s="67"/>
      <c r="H27" s="67"/>
    </row>
    <row r="28" spans="1:8" ht="32.450000000000003" customHeight="1" x14ac:dyDescent="0.3">
      <c r="A28" s="209" t="s">
        <v>285</v>
      </c>
      <c r="B28" s="226">
        <f>$B$4</f>
        <v>30</v>
      </c>
      <c r="C28" s="210">
        <f>SUM(C22:C26)</f>
        <v>23</v>
      </c>
      <c r="D28" s="54">
        <f>IFERROR(ROUNDDOWN(C28/B28,0),"")</f>
        <v>0</v>
      </c>
      <c r="E28" s="36"/>
      <c r="F28" s="121">
        <f>IFERROR(C28-(D28*B28),"")</f>
        <v>23</v>
      </c>
      <c r="G28" s="67"/>
      <c r="H28" s="67"/>
    </row>
    <row r="29" spans="1:8" ht="4.5" customHeight="1" x14ac:dyDescent="0.3">
      <c r="A29" s="183"/>
      <c r="B29" s="50"/>
      <c r="C29" s="50"/>
      <c r="D29" s="50"/>
      <c r="E29" s="50"/>
      <c r="F29" s="184"/>
      <c r="G29" s="67"/>
      <c r="H29" s="67"/>
    </row>
    <row r="30" spans="1:8" ht="25.35" customHeight="1" x14ac:dyDescent="0.3">
      <c r="A30" s="221" t="s">
        <v>239</v>
      </c>
      <c r="B30" s="224">
        <f t="shared" ref="B30:B31" si="4">$B$4</f>
        <v>30</v>
      </c>
      <c r="C30" s="227">
        <f>IFERROR(VLOOKUP(A30,'대신 피벗'!A:ST,18,FALSE),0)</f>
        <v>7</v>
      </c>
      <c r="D30" s="227">
        <f t="shared" ref="D30:D31" si="5">IFERROR(ROUNDDOWN(C30/B30,0),"")</f>
        <v>0</v>
      </c>
      <c r="E30" s="51" t="s">
        <v>266</v>
      </c>
      <c r="F30" s="228">
        <f t="shared" ref="F30:F31" si="6">IFERROR(C30-(D30*B30),"")</f>
        <v>7</v>
      </c>
      <c r="G30" s="67"/>
      <c r="H30" s="67"/>
    </row>
    <row r="31" spans="1:8" ht="25.35" customHeight="1" x14ac:dyDescent="0.3">
      <c r="A31" s="221" t="s">
        <v>240</v>
      </c>
      <c r="B31" s="224">
        <f t="shared" si="4"/>
        <v>30</v>
      </c>
      <c r="C31" s="227">
        <f>IFERROR(VLOOKUP(A31,'대신 피벗'!A:ST,18,FALSE),0)</f>
        <v>6</v>
      </c>
      <c r="D31" s="227">
        <f t="shared" si="5"/>
        <v>0</v>
      </c>
      <c r="E31" s="51" t="s">
        <v>267</v>
      </c>
      <c r="F31" s="228">
        <f t="shared" si="6"/>
        <v>6</v>
      </c>
      <c r="G31" s="67"/>
      <c r="H31" s="67"/>
    </row>
    <row r="32" spans="1:8" ht="4.5" customHeight="1" x14ac:dyDescent="0.3">
      <c r="A32" s="183"/>
      <c r="B32" s="50"/>
      <c r="C32" s="50"/>
      <c r="D32" s="50"/>
      <c r="E32" s="50"/>
      <c r="F32" s="184"/>
      <c r="G32" s="67"/>
      <c r="H32" s="67"/>
    </row>
    <row r="33" spans="1:8" ht="32.450000000000003" customHeight="1" x14ac:dyDescent="0.3">
      <c r="A33" s="209" t="s">
        <v>284</v>
      </c>
      <c r="B33" s="226">
        <f>$B$4</f>
        <v>30</v>
      </c>
      <c r="C33" s="210">
        <f>SUM(C30:C31)</f>
        <v>13</v>
      </c>
      <c r="D33" s="54">
        <f>IFERROR(ROUNDDOWN(C33/B33,0),"")</f>
        <v>0</v>
      </c>
      <c r="E33" s="36"/>
      <c r="F33" s="121">
        <f>IFERROR(C33-(D33*B33),"")</f>
        <v>13</v>
      </c>
      <c r="G33" s="67"/>
      <c r="H33" s="67"/>
    </row>
    <row r="34" spans="1:8" ht="4.5" customHeight="1" x14ac:dyDescent="0.3">
      <c r="A34" s="183"/>
      <c r="B34" s="224"/>
      <c r="C34" s="50"/>
      <c r="D34" s="50"/>
      <c r="E34" s="50"/>
      <c r="F34" s="184"/>
      <c r="G34" s="67"/>
      <c r="H34" s="67"/>
    </row>
    <row r="35" spans="1:8" ht="25.35" customHeight="1" x14ac:dyDescent="0.3">
      <c r="A35" s="221" t="s">
        <v>236</v>
      </c>
      <c r="B35" s="224">
        <f t="shared" ref="B35:B37" si="7">$B$4</f>
        <v>30</v>
      </c>
      <c r="C35" s="227">
        <f>IFERROR(VLOOKUP(A35,'대신 피벗'!A:ST,18,FALSE),0)</f>
        <v>4</v>
      </c>
      <c r="D35" s="227">
        <f>IFERROR(ROUNDDOWN(C35/B35,0),"")</f>
        <v>0</v>
      </c>
      <c r="E35" s="51" t="s">
        <v>264</v>
      </c>
      <c r="F35" s="228">
        <f>IFERROR(C35-(D35*B35),"")</f>
        <v>4</v>
      </c>
      <c r="G35" s="67"/>
      <c r="H35" s="67"/>
    </row>
    <row r="36" spans="1:8" ht="25.35" customHeight="1" x14ac:dyDescent="0.3">
      <c r="A36" s="221" t="s">
        <v>237</v>
      </c>
      <c r="B36" s="224">
        <f t="shared" si="7"/>
        <v>30</v>
      </c>
      <c r="C36" s="227">
        <f>IFERROR(VLOOKUP(A36,'대신 피벗'!A:ST,18,FALSE),0)</f>
        <v>3</v>
      </c>
      <c r="D36" s="227">
        <f t="shared" ref="D36:D37" si="8">IFERROR(ROUNDDOWN(C36/B36,0),"")</f>
        <v>0</v>
      </c>
      <c r="E36" s="51" t="s">
        <v>338</v>
      </c>
      <c r="F36" s="228">
        <f t="shared" ref="F36:F37" si="9">IFERROR(C36-(D36*B36),"")</f>
        <v>3</v>
      </c>
      <c r="G36" s="67"/>
      <c r="H36" s="67"/>
    </row>
    <row r="37" spans="1:8" ht="25.35" customHeight="1" x14ac:dyDescent="0.3">
      <c r="A37" s="221" t="s">
        <v>238</v>
      </c>
      <c r="B37" s="224">
        <f t="shared" si="7"/>
        <v>30</v>
      </c>
      <c r="C37" s="227">
        <f>IFERROR(VLOOKUP(A37,'대신 피벗'!A:ST,18,FALSE),0)</f>
        <v>4</v>
      </c>
      <c r="D37" s="227">
        <f t="shared" si="8"/>
        <v>0</v>
      </c>
      <c r="E37" s="51" t="s">
        <v>265</v>
      </c>
      <c r="F37" s="228">
        <f t="shared" si="9"/>
        <v>4</v>
      </c>
      <c r="G37" s="67"/>
      <c r="H37" s="67"/>
    </row>
    <row r="38" spans="1:8" ht="4.5" customHeight="1" x14ac:dyDescent="0.3">
      <c r="A38" s="183"/>
      <c r="B38" s="50"/>
      <c r="C38" s="50"/>
      <c r="D38" s="50"/>
      <c r="E38" s="50"/>
      <c r="F38" s="184"/>
      <c r="G38" s="67"/>
      <c r="H38" s="67"/>
    </row>
    <row r="39" spans="1:8" ht="32.450000000000003" customHeight="1" x14ac:dyDescent="0.3">
      <c r="A39" s="209" t="s">
        <v>283</v>
      </c>
      <c r="B39" s="226">
        <f>$B$4</f>
        <v>30</v>
      </c>
      <c r="C39" s="210">
        <f>SUM(C35:C37)</f>
        <v>11</v>
      </c>
      <c r="D39" s="54">
        <f>IFERROR(ROUNDDOWN(C39/B39,0),"")</f>
        <v>0</v>
      </c>
      <c r="E39" s="36"/>
      <c r="F39" s="121">
        <f>IFERROR(C39-(D39*B39),"")</f>
        <v>11</v>
      </c>
      <c r="G39" s="67"/>
      <c r="H39" s="67"/>
    </row>
    <row r="40" spans="1:8" ht="4.5" customHeight="1" x14ac:dyDescent="0.3">
      <c r="A40" s="183"/>
      <c r="B40" s="224"/>
      <c r="C40" s="50"/>
      <c r="D40" s="50"/>
      <c r="E40" s="50"/>
      <c r="F40" s="184"/>
      <c r="G40" s="67"/>
      <c r="H40" s="67"/>
    </row>
    <row r="41" spans="1:8" ht="25.35" customHeight="1" x14ac:dyDescent="0.3">
      <c r="A41" s="221" t="s">
        <v>261</v>
      </c>
      <c r="B41" s="224">
        <f t="shared" ref="B41:B42" si="10">$B$4</f>
        <v>30</v>
      </c>
      <c r="C41" s="227">
        <f>IFERROR(VLOOKUP(A41,'대신 피벗'!A:ST,18,FALSE),0)</f>
        <v>7</v>
      </c>
      <c r="D41" s="227">
        <f t="shared" ref="D41:D42" si="11">IFERROR(ROUNDDOWN(C41/B41,0),"")</f>
        <v>0</v>
      </c>
      <c r="E41" s="51" t="s">
        <v>281</v>
      </c>
      <c r="F41" s="228">
        <f t="shared" ref="F41:F42" si="12">IFERROR(C41-(D41*B41),"")</f>
        <v>7</v>
      </c>
      <c r="G41" s="67"/>
      <c r="H41" s="67"/>
    </row>
    <row r="42" spans="1:8" ht="25.35" customHeight="1" x14ac:dyDescent="0.3">
      <c r="A42" s="221" t="s">
        <v>262</v>
      </c>
      <c r="B42" s="224">
        <f t="shared" si="10"/>
        <v>30</v>
      </c>
      <c r="C42" s="227">
        <f>IFERROR(VLOOKUP(A42,'대신 피벗'!A:ST,18,FALSE),0)</f>
        <v>7</v>
      </c>
      <c r="D42" s="227">
        <f t="shared" si="11"/>
        <v>0</v>
      </c>
      <c r="E42" s="51" t="s">
        <v>282</v>
      </c>
      <c r="F42" s="228">
        <f t="shared" si="12"/>
        <v>7</v>
      </c>
      <c r="G42" s="67"/>
      <c r="H42" s="67"/>
    </row>
    <row r="43" spans="1:8" ht="4.5" customHeight="1" x14ac:dyDescent="0.3">
      <c r="A43" s="183"/>
      <c r="B43" s="50"/>
      <c r="C43" s="50"/>
      <c r="D43" s="50"/>
      <c r="E43" s="50"/>
      <c r="F43" s="184"/>
      <c r="G43" s="67"/>
      <c r="H43" s="67"/>
    </row>
    <row r="44" spans="1:8" ht="32.450000000000003" customHeight="1" x14ac:dyDescent="0.3">
      <c r="A44" s="209" t="s">
        <v>339</v>
      </c>
      <c r="B44" s="226">
        <f>$B$4</f>
        <v>30</v>
      </c>
      <c r="C44" s="210">
        <f>SUM(C41:C42)</f>
        <v>14</v>
      </c>
      <c r="D44" s="54">
        <f>IFERROR(ROUNDDOWN(C44/B44,0),"")</f>
        <v>0</v>
      </c>
      <c r="E44" s="36"/>
      <c r="F44" s="121">
        <f>IFERROR(C44-(D44*B44),"")</f>
        <v>14</v>
      </c>
      <c r="G44" s="67"/>
      <c r="H44" s="67"/>
    </row>
    <row r="45" spans="1:8" ht="4.5" customHeight="1" thickBot="1" x14ac:dyDescent="0.35">
      <c r="A45" s="183"/>
      <c r="B45" s="50"/>
      <c r="C45" s="50"/>
      <c r="D45" s="50"/>
      <c r="E45" s="50"/>
      <c r="F45" s="184"/>
      <c r="G45" s="67"/>
      <c r="H45" s="67"/>
    </row>
    <row r="46" spans="1:8" ht="26.25" x14ac:dyDescent="0.3">
      <c r="A46" s="87" t="s">
        <v>3</v>
      </c>
      <c r="B46" s="226">
        <f>$B$4</f>
        <v>30</v>
      </c>
      <c r="C46" s="55">
        <f>SUM(C4:C18,C35:C37,C30:C31,C22:C26,C41:C42)</f>
        <v>162</v>
      </c>
      <c r="D46" s="54">
        <f>IFERROR(ROUNDDOWN(C46/B46,0),"")</f>
        <v>5</v>
      </c>
      <c r="E46" s="56"/>
      <c r="F46" s="121">
        <f>IFERROR(C46-(D46*B46),"")</f>
        <v>12</v>
      </c>
      <c r="G46" s="232" t="s">
        <v>110</v>
      </c>
      <c r="H46" s="233" t="s">
        <v>111</v>
      </c>
    </row>
    <row r="47" spans="1:8" ht="27" thickBot="1" x14ac:dyDescent="0.35">
      <c r="A47" s="42" t="s">
        <v>286</v>
      </c>
      <c r="B47" s="43" t="s">
        <v>173</v>
      </c>
      <c r="C47" s="40"/>
      <c r="D47" s="41">
        <f>SUM(D4:D18,D35:D37,D30:D31,D22:D26,D41:D42)</f>
        <v>0</v>
      </c>
      <c r="E47" s="48"/>
      <c r="F47" s="93">
        <f>SUM(F4:F18,F35:F37,F30:F31,F22:F26,F41:F42)</f>
        <v>162</v>
      </c>
      <c r="G47" s="216">
        <f>IFERROR(ROUNDDOWN(F47/B35,0),"")</f>
        <v>5</v>
      </c>
      <c r="H47" s="217">
        <f>IFERROR(F47-(G47*B35),"")</f>
        <v>12</v>
      </c>
    </row>
    <row r="48" spans="1:8" ht="22.5" customHeight="1" x14ac:dyDescent="0.3">
      <c r="C48" s="77">
        <f>C20+C28+C33+C39+C44</f>
        <v>162</v>
      </c>
      <c r="G48" s="199"/>
      <c r="H48" s="34" t="s">
        <v>174</v>
      </c>
    </row>
    <row r="49" spans="3:3" x14ac:dyDescent="0.3">
      <c r="C49" s="34" t="b">
        <f>C48=C46</f>
        <v>1</v>
      </c>
    </row>
  </sheetData>
  <mergeCells count="1">
    <mergeCell ref="A1:F1"/>
  </mergeCells>
  <phoneticPr fontId="13" type="noConversion"/>
  <printOptions horizontalCentered="1" verticalCentered="1"/>
  <pageMargins left="0" right="0" top="0" bottom="0" header="0" footer="0"/>
  <pageSetup paperSize="9" scale="77" orientation="portrait"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1B3C0E-3CEA-49D6-A9F9-5427F23A6539}">
  <sheetPr>
    <tabColor rgb="FF7030A0"/>
    <pageSetUpPr fitToPage="1"/>
  </sheetPr>
  <dimension ref="A1:H49"/>
  <sheetViews>
    <sheetView zoomScale="40" zoomScaleNormal="40" zoomScaleSheetLayoutView="75" workbookViewId="0">
      <selection activeCell="A2" sqref="A2:F47"/>
    </sheetView>
  </sheetViews>
  <sheetFormatPr defaultColWidth="9" defaultRowHeight="16.5" x14ac:dyDescent="0.3"/>
  <cols>
    <col min="1" max="1" width="24.75" style="34" customWidth="1"/>
    <col min="2" max="2" width="7.625" style="38" customWidth="1"/>
    <col min="3" max="3" width="30.625" style="34" customWidth="1"/>
    <col min="4" max="4" width="9.875" style="2" customWidth="1"/>
    <col min="5" max="5" width="11.375" style="34" customWidth="1"/>
    <col min="6" max="6" width="11.125" style="2" customWidth="1"/>
    <col min="7" max="7" width="8.375" style="34" customWidth="1"/>
    <col min="8" max="8" width="9" style="34" customWidth="1"/>
    <col min="9" max="13" width="9" style="34"/>
    <col min="14" max="14" width="10.625" style="34" customWidth="1"/>
    <col min="15" max="17" width="9" style="34"/>
    <col min="18" max="18" width="36.5" style="34" bestFit="1" customWidth="1"/>
    <col min="19" max="16384" width="9" style="34"/>
  </cols>
  <sheetData>
    <row r="1" spans="1:8" ht="25.9" customHeight="1" thickBot="1" x14ac:dyDescent="0.35">
      <c r="A1" s="270"/>
      <c r="B1" s="270"/>
      <c r="C1" s="270"/>
      <c r="D1" s="270"/>
      <c r="E1" s="270"/>
      <c r="F1" s="270"/>
    </row>
    <row r="2" spans="1:8" ht="25.9" customHeight="1" x14ac:dyDescent="0.3">
      <c r="A2" s="215">
        <f ca="1">TODAY()</f>
        <v>46314</v>
      </c>
      <c r="B2" s="256" t="s">
        <v>346</v>
      </c>
      <c r="C2" s="256"/>
      <c r="D2" s="256"/>
      <c r="E2" s="256"/>
      <c r="F2" s="257"/>
      <c r="G2" s="67"/>
      <c r="H2" s="67"/>
    </row>
    <row r="3" spans="1:8" ht="40.15" customHeight="1" x14ac:dyDescent="0.3">
      <c r="A3" s="222" t="s">
        <v>67</v>
      </c>
      <c r="B3" s="223" t="s">
        <v>13</v>
      </c>
      <c r="C3" s="235" t="s">
        <v>366</v>
      </c>
      <c r="D3" s="230" t="s">
        <v>2</v>
      </c>
      <c r="E3" s="229" t="s">
        <v>23</v>
      </c>
      <c r="F3" s="231" t="s">
        <v>14</v>
      </c>
      <c r="G3" s="67"/>
      <c r="H3" s="67"/>
    </row>
    <row r="4" spans="1:8" ht="25.35" customHeight="1" x14ac:dyDescent="0.3">
      <c r="A4" s="220" t="s">
        <v>260</v>
      </c>
      <c r="B4" s="224">
        <v>30</v>
      </c>
      <c r="C4" s="227">
        <f>IFERROR(VLOOKUP(A4,'대신 피벗'!A:ST,19,FALSE),0)</f>
        <v>4</v>
      </c>
      <c r="D4" s="227">
        <f t="shared" ref="D4:D18" si="0">IFERROR(ROUNDDOWN(C4/B4,0),"")</f>
        <v>0</v>
      </c>
      <c r="E4" s="51" t="s">
        <v>109</v>
      </c>
      <c r="F4" s="228">
        <f t="shared" ref="F4:F18" si="1">IFERROR(C4-(D4*B4),"")</f>
        <v>4</v>
      </c>
      <c r="G4" s="67"/>
      <c r="H4" s="67"/>
    </row>
    <row r="5" spans="1:8" ht="25.35" customHeight="1" x14ac:dyDescent="0.3">
      <c r="A5" s="221" t="s">
        <v>255</v>
      </c>
      <c r="B5" s="224">
        <f t="shared" ref="B5:B18" si="2">$B$4</f>
        <v>30</v>
      </c>
      <c r="C5" s="227">
        <f>IFERROR(VLOOKUP(A5,'대신 피벗'!A:ST,19,FALSE),0)</f>
        <v>29</v>
      </c>
      <c r="D5" s="227">
        <f t="shared" si="0"/>
        <v>0</v>
      </c>
      <c r="E5" s="51" t="s">
        <v>335</v>
      </c>
      <c r="F5" s="228">
        <f t="shared" si="1"/>
        <v>29</v>
      </c>
      <c r="G5" s="67"/>
      <c r="H5" s="67"/>
    </row>
    <row r="6" spans="1:8" ht="25.35" customHeight="1" x14ac:dyDescent="0.3">
      <c r="A6" s="221" t="s">
        <v>249</v>
      </c>
      <c r="B6" s="224">
        <f t="shared" si="2"/>
        <v>30</v>
      </c>
      <c r="C6" s="227">
        <f>IFERROR(VLOOKUP(A6,'대신 피벗'!A:ST,19,FALSE),0)</f>
        <v>19</v>
      </c>
      <c r="D6" s="227">
        <f>IFERROR(ROUNDDOWN(C6/B6,0),"")</f>
        <v>0</v>
      </c>
      <c r="E6" s="51" t="s">
        <v>272</v>
      </c>
      <c r="F6" s="228">
        <f>IFERROR(C6-(D6*B6),"")</f>
        <v>19</v>
      </c>
      <c r="G6" s="67"/>
      <c r="H6" s="67"/>
    </row>
    <row r="7" spans="1:8" ht="25.35" customHeight="1" x14ac:dyDescent="0.3">
      <c r="A7" s="221" t="s">
        <v>250</v>
      </c>
      <c r="B7" s="224">
        <f t="shared" si="2"/>
        <v>30</v>
      </c>
      <c r="C7" s="227">
        <f>IFERROR(VLOOKUP(A7,'대신 피벗'!A:ST,19,FALSE),0)</f>
        <v>12</v>
      </c>
      <c r="D7" s="227">
        <f>IFERROR(ROUNDDOWN(C7/B7,0),"")</f>
        <v>0</v>
      </c>
      <c r="E7" s="51" t="s">
        <v>273</v>
      </c>
      <c r="F7" s="228">
        <f>IFERROR(C7-(D7*B7),"")</f>
        <v>12</v>
      </c>
      <c r="G7" s="67"/>
      <c r="H7" s="67"/>
    </row>
    <row r="8" spans="1:8" ht="25.35" customHeight="1" x14ac:dyDescent="0.3">
      <c r="A8" s="221" t="s">
        <v>248</v>
      </c>
      <c r="B8" s="224">
        <f t="shared" si="2"/>
        <v>30</v>
      </c>
      <c r="C8" s="227">
        <f>IFERROR(VLOOKUP(A8,'대신 피벗'!A:ST,19,FALSE),0)</f>
        <v>19</v>
      </c>
      <c r="D8" s="227">
        <f>IFERROR(ROUNDDOWN(C8/B8,0),"")</f>
        <v>0</v>
      </c>
      <c r="E8" s="51" t="s">
        <v>271</v>
      </c>
      <c r="F8" s="228">
        <f>IFERROR(C8-(D8*B8),"")</f>
        <v>19</v>
      </c>
      <c r="G8" s="67"/>
      <c r="H8" s="67"/>
    </row>
    <row r="9" spans="1:8" ht="25.35" customHeight="1" x14ac:dyDescent="0.3">
      <c r="A9" s="221" t="s">
        <v>246</v>
      </c>
      <c r="B9" s="224">
        <f t="shared" si="2"/>
        <v>30</v>
      </c>
      <c r="C9" s="227">
        <f>IFERROR(VLOOKUP(A9,'대신 피벗'!A:ST,19,FALSE),0)</f>
        <v>15</v>
      </c>
      <c r="D9" s="227">
        <f t="shared" si="0"/>
        <v>0</v>
      </c>
      <c r="E9" s="51" t="s">
        <v>270</v>
      </c>
      <c r="F9" s="228">
        <f t="shared" si="1"/>
        <v>15</v>
      </c>
      <c r="G9" s="67"/>
      <c r="H9" s="67"/>
    </row>
    <row r="10" spans="1:8" ht="25.35" customHeight="1" x14ac:dyDescent="0.3">
      <c r="A10" s="221" t="s">
        <v>256</v>
      </c>
      <c r="B10" s="224">
        <f t="shared" si="2"/>
        <v>30</v>
      </c>
      <c r="C10" s="227">
        <f>IFERROR(VLOOKUP(A10,'대신 피벗'!A:ST,19,FALSE),0)</f>
        <v>12</v>
      </c>
      <c r="D10" s="227">
        <f>IFERROR(ROUNDDOWN(C10/B10,0),"")</f>
        <v>0</v>
      </c>
      <c r="E10" s="51" t="s">
        <v>278</v>
      </c>
      <c r="F10" s="228">
        <f>IFERROR(C10-(D10*B10),"")</f>
        <v>12</v>
      </c>
      <c r="G10" s="67"/>
      <c r="H10" s="67"/>
    </row>
    <row r="11" spans="1:8" ht="25.35" customHeight="1" x14ac:dyDescent="0.3">
      <c r="A11" s="221" t="s">
        <v>247</v>
      </c>
      <c r="B11" s="224">
        <f t="shared" si="2"/>
        <v>30</v>
      </c>
      <c r="C11" s="227">
        <f>IFERROR(VLOOKUP(A11,'대신 피벗'!A:ST,19,FALSE),0)</f>
        <v>8</v>
      </c>
      <c r="D11" s="227">
        <f t="shared" si="0"/>
        <v>0</v>
      </c>
      <c r="E11" s="51" t="s">
        <v>334</v>
      </c>
      <c r="F11" s="228">
        <f t="shared" si="1"/>
        <v>8</v>
      </c>
      <c r="G11" s="67"/>
      <c r="H11" s="67"/>
    </row>
    <row r="12" spans="1:8" ht="25.35" customHeight="1" x14ac:dyDescent="0.3">
      <c r="A12" s="221" t="s">
        <v>251</v>
      </c>
      <c r="B12" s="224">
        <f t="shared" si="2"/>
        <v>30</v>
      </c>
      <c r="C12" s="227">
        <f>IFERROR(VLOOKUP(A12,'대신 피벗'!A:ST,19,FALSE),0)</f>
        <v>24</v>
      </c>
      <c r="D12" s="227">
        <f t="shared" si="0"/>
        <v>0</v>
      </c>
      <c r="E12" s="51" t="s">
        <v>274</v>
      </c>
      <c r="F12" s="228">
        <f t="shared" si="1"/>
        <v>24</v>
      </c>
      <c r="G12" s="67"/>
      <c r="H12" s="67"/>
    </row>
    <row r="13" spans="1:8" ht="25.35" customHeight="1" x14ac:dyDescent="0.3">
      <c r="A13" s="220" t="s">
        <v>252</v>
      </c>
      <c r="B13" s="224">
        <f t="shared" si="2"/>
        <v>30</v>
      </c>
      <c r="C13" s="227">
        <f>IFERROR(VLOOKUP(A13,'대신 피벗'!A:ST,19,FALSE),0)</f>
        <v>20</v>
      </c>
      <c r="D13" s="227">
        <f t="shared" si="0"/>
        <v>0</v>
      </c>
      <c r="E13" s="51" t="s">
        <v>275</v>
      </c>
      <c r="F13" s="228">
        <f t="shared" si="1"/>
        <v>20</v>
      </c>
      <c r="G13" s="67"/>
      <c r="H13" s="67"/>
    </row>
    <row r="14" spans="1:8" ht="25.35" customHeight="1" x14ac:dyDescent="0.3">
      <c r="A14" s="221" t="s">
        <v>253</v>
      </c>
      <c r="B14" s="224">
        <f t="shared" si="2"/>
        <v>30</v>
      </c>
      <c r="C14" s="227">
        <f>IFERROR(VLOOKUP(A14,'대신 피벗'!A:ST,19,FALSE),0)</f>
        <v>21</v>
      </c>
      <c r="D14" s="227">
        <f t="shared" si="0"/>
        <v>0</v>
      </c>
      <c r="E14" s="51" t="s">
        <v>276</v>
      </c>
      <c r="F14" s="228">
        <f t="shared" si="1"/>
        <v>21</v>
      </c>
      <c r="G14" s="67"/>
      <c r="H14" s="67"/>
    </row>
    <row r="15" spans="1:8" ht="25.35" customHeight="1" x14ac:dyDescent="0.3">
      <c r="A15" s="221" t="s">
        <v>254</v>
      </c>
      <c r="B15" s="224">
        <f t="shared" si="2"/>
        <v>30</v>
      </c>
      <c r="C15" s="227">
        <f>IFERROR(VLOOKUP(A15,'대신 피벗'!A:ST,19,FALSE),0)</f>
        <v>34</v>
      </c>
      <c r="D15" s="227">
        <f t="shared" si="0"/>
        <v>1</v>
      </c>
      <c r="E15" s="51" t="s">
        <v>277</v>
      </c>
      <c r="F15" s="228">
        <f t="shared" si="1"/>
        <v>4</v>
      </c>
      <c r="G15" s="67"/>
      <c r="H15" s="67"/>
    </row>
    <row r="16" spans="1:8" ht="25.35" customHeight="1" x14ac:dyDescent="0.3">
      <c r="A16" s="221" t="s">
        <v>257</v>
      </c>
      <c r="B16" s="224">
        <f t="shared" si="2"/>
        <v>30</v>
      </c>
      <c r="C16" s="227">
        <f>IFERROR(VLOOKUP(A16,'대신 피벗'!A:ST,19,FALSE),0)</f>
        <v>10</v>
      </c>
      <c r="D16" s="227">
        <f t="shared" si="0"/>
        <v>0</v>
      </c>
      <c r="E16" s="51" t="s">
        <v>279</v>
      </c>
      <c r="F16" s="228">
        <f t="shared" si="1"/>
        <v>10</v>
      </c>
      <c r="G16" s="67"/>
      <c r="H16" s="67"/>
    </row>
    <row r="17" spans="1:8" ht="25.35" customHeight="1" x14ac:dyDescent="0.3">
      <c r="A17" s="221" t="s">
        <v>258</v>
      </c>
      <c r="B17" s="224">
        <f t="shared" si="2"/>
        <v>30</v>
      </c>
      <c r="C17" s="227">
        <f>IFERROR(VLOOKUP(A17,'대신 피벗'!A:ST,19,FALSE),0)</f>
        <v>8</v>
      </c>
      <c r="D17" s="227">
        <f t="shared" si="0"/>
        <v>0</v>
      </c>
      <c r="E17" s="51" t="s">
        <v>280</v>
      </c>
      <c r="F17" s="228">
        <f t="shared" si="1"/>
        <v>8</v>
      </c>
      <c r="G17" s="67"/>
      <c r="H17" s="67"/>
    </row>
    <row r="18" spans="1:8" ht="25.35" customHeight="1" x14ac:dyDescent="0.3">
      <c r="A18" s="221" t="s">
        <v>259</v>
      </c>
      <c r="B18" s="224">
        <f t="shared" si="2"/>
        <v>30</v>
      </c>
      <c r="C18" s="227">
        <f>IFERROR(VLOOKUP(A18,'대신 피벗'!A:ST,19,FALSE),0)</f>
        <v>10</v>
      </c>
      <c r="D18" s="227">
        <f t="shared" si="0"/>
        <v>0</v>
      </c>
      <c r="E18" s="51" t="s">
        <v>336</v>
      </c>
      <c r="F18" s="228">
        <f t="shared" si="1"/>
        <v>10</v>
      </c>
      <c r="G18" s="67"/>
      <c r="H18" s="67"/>
    </row>
    <row r="19" spans="1:8" ht="4.5" customHeight="1" x14ac:dyDescent="0.3">
      <c r="A19" s="183"/>
      <c r="B19" s="50"/>
      <c r="C19" s="50"/>
      <c r="D19" s="50"/>
      <c r="E19" s="50"/>
      <c r="F19" s="184"/>
    </row>
    <row r="20" spans="1:8" ht="32.450000000000003" customHeight="1" x14ac:dyDescent="0.3">
      <c r="A20" s="209" t="s">
        <v>122</v>
      </c>
      <c r="B20" s="226">
        <f>$B$4</f>
        <v>30</v>
      </c>
      <c r="C20" s="210">
        <f>SUM(C4:C18)</f>
        <v>245</v>
      </c>
      <c r="D20" s="54">
        <f>IFERROR(ROUNDDOWN(C20/B20,0),"")</f>
        <v>8</v>
      </c>
      <c r="E20" s="36"/>
      <c r="F20" s="121">
        <f>IFERROR(C20-(D20*B20),"")</f>
        <v>5</v>
      </c>
    </row>
    <row r="21" spans="1:8" ht="4.5" customHeight="1" x14ac:dyDescent="0.3">
      <c r="A21" s="183"/>
      <c r="B21" s="224"/>
      <c r="C21" s="50"/>
      <c r="D21" s="50"/>
      <c r="E21" s="50"/>
      <c r="F21" s="184"/>
    </row>
    <row r="22" spans="1:8" ht="25.35" customHeight="1" x14ac:dyDescent="0.3">
      <c r="A22" s="221" t="s">
        <v>241</v>
      </c>
      <c r="B22" s="224">
        <f t="shared" ref="B22:B26" si="3">$B$4</f>
        <v>30</v>
      </c>
      <c r="C22" s="227">
        <f>IFERROR(VLOOKUP(A22,'대신 피벗'!A:ST,19,FALSE),0)</f>
        <v>8</v>
      </c>
      <c r="D22" s="227">
        <f>IFERROR(ROUNDDOWN(C22/B22,0),"")</f>
        <v>0</v>
      </c>
      <c r="E22" s="51" t="s">
        <v>268</v>
      </c>
      <c r="F22" s="228">
        <f>IFERROR(C22-(D22*B22),"")</f>
        <v>8</v>
      </c>
      <c r="G22" s="67"/>
      <c r="H22" s="67"/>
    </row>
    <row r="23" spans="1:8" ht="25.35" customHeight="1" x14ac:dyDescent="0.3">
      <c r="A23" s="221" t="s">
        <v>242</v>
      </c>
      <c r="B23" s="224">
        <f t="shared" si="3"/>
        <v>30</v>
      </c>
      <c r="C23" s="227">
        <f>IFERROR(VLOOKUP(A23,'대신 피벗'!A:ST,19,FALSE),0)</f>
        <v>9</v>
      </c>
      <c r="D23" s="227">
        <f>IFERROR(ROUNDDOWN(C23/B23,0),"")</f>
        <v>0</v>
      </c>
      <c r="E23" s="51" t="s">
        <v>337</v>
      </c>
      <c r="F23" s="228">
        <f>IFERROR(C23-(D23*B23),"")</f>
        <v>9</v>
      </c>
      <c r="G23" s="67"/>
      <c r="H23" s="67"/>
    </row>
    <row r="24" spans="1:8" ht="25.35" customHeight="1" x14ac:dyDescent="0.3">
      <c r="A24" s="221" t="s">
        <v>243</v>
      </c>
      <c r="B24" s="224">
        <f t="shared" si="3"/>
        <v>30</v>
      </c>
      <c r="C24" s="227">
        <f>IFERROR(VLOOKUP(A24,'대신 피벗'!A:ST,19,FALSE),0)</f>
        <v>0</v>
      </c>
      <c r="D24" s="227">
        <f>IFERROR(ROUNDDOWN(C24/B24,0),"")</f>
        <v>0</v>
      </c>
      <c r="E24" s="51" t="s">
        <v>106</v>
      </c>
      <c r="F24" s="228">
        <f>IFERROR(C24-(D24*B24),"")</f>
        <v>0</v>
      </c>
      <c r="G24" s="67"/>
      <c r="H24" s="67"/>
    </row>
    <row r="25" spans="1:8" ht="25.35" customHeight="1" x14ac:dyDescent="0.3">
      <c r="A25" s="221" t="s">
        <v>244</v>
      </c>
      <c r="B25" s="224">
        <f t="shared" si="3"/>
        <v>30</v>
      </c>
      <c r="C25" s="227">
        <f>IFERROR(VLOOKUP(A25,'대신 피벗'!A:ST,19,FALSE),0)</f>
        <v>12</v>
      </c>
      <c r="D25" s="227">
        <f>IFERROR(ROUNDDOWN(C25/B25,0),"")</f>
        <v>0</v>
      </c>
      <c r="E25" s="51" t="s">
        <v>269</v>
      </c>
      <c r="F25" s="228">
        <f>IFERROR(C25-(D25*B25),"")</f>
        <v>12</v>
      </c>
      <c r="G25" s="67"/>
      <c r="H25" s="67"/>
    </row>
    <row r="26" spans="1:8" ht="25.35" customHeight="1" x14ac:dyDescent="0.3">
      <c r="A26" s="221" t="s">
        <v>245</v>
      </c>
      <c r="B26" s="224">
        <f t="shared" si="3"/>
        <v>30</v>
      </c>
      <c r="C26" s="227">
        <f>IFERROR(VLOOKUP(A26,'대신 피벗'!A:ST,19,FALSE),0)</f>
        <v>10</v>
      </c>
      <c r="D26" s="227">
        <f>IFERROR(ROUNDDOWN(C26/B26,0),"")</f>
        <v>0</v>
      </c>
      <c r="E26" s="51" t="s">
        <v>118</v>
      </c>
      <c r="F26" s="228">
        <f>IFERROR(C26-(D26*B26),"")</f>
        <v>10</v>
      </c>
      <c r="G26" s="67"/>
      <c r="H26" s="67"/>
    </row>
    <row r="27" spans="1:8" ht="4.5" customHeight="1" x14ac:dyDescent="0.3">
      <c r="A27" s="183"/>
      <c r="B27" s="50"/>
      <c r="C27" s="50"/>
      <c r="D27" s="50"/>
      <c r="E27" s="50"/>
      <c r="F27" s="184"/>
      <c r="G27" s="67"/>
      <c r="H27" s="67"/>
    </row>
    <row r="28" spans="1:8" ht="32.450000000000003" customHeight="1" x14ac:dyDescent="0.3">
      <c r="A28" s="209" t="s">
        <v>285</v>
      </c>
      <c r="B28" s="226">
        <f>$B$4</f>
        <v>30</v>
      </c>
      <c r="C28" s="210">
        <f>SUM(C22:C26)</f>
        <v>39</v>
      </c>
      <c r="D28" s="54">
        <f>IFERROR(ROUNDDOWN(C28/B28,0),"")</f>
        <v>1</v>
      </c>
      <c r="E28" s="36"/>
      <c r="F28" s="121">
        <f>IFERROR(C28-(D28*B28),"")</f>
        <v>9</v>
      </c>
      <c r="G28" s="67"/>
      <c r="H28" s="67"/>
    </row>
    <row r="29" spans="1:8" ht="4.5" customHeight="1" x14ac:dyDescent="0.3">
      <c r="A29" s="183"/>
      <c r="B29" s="50"/>
      <c r="C29" s="50"/>
      <c r="D29" s="50"/>
      <c r="E29" s="50"/>
      <c r="F29" s="184"/>
      <c r="G29" s="67"/>
      <c r="H29" s="67"/>
    </row>
    <row r="30" spans="1:8" ht="25.35" customHeight="1" x14ac:dyDescent="0.3">
      <c r="A30" s="221" t="s">
        <v>239</v>
      </c>
      <c r="B30" s="224">
        <f t="shared" ref="B30:B31" si="4">$B$4</f>
        <v>30</v>
      </c>
      <c r="C30" s="227">
        <f>IFERROR(VLOOKUP(A30,'대신 피벗'!A:ST,19,FALSE),0)</f>
        <v>10</v>
      </c>
      <c r="D30" s="227">
        <f t="shared" ref="D30:D31" si="5">IFERROR(ROUNDDOWN(C30/B30,0),"")</f>
        <v>0</v>
      </c>
      <c r="E30" s="51" t="s">
        <v>266</v>
      </c>
      <c r="F30" s="228">
        <f t="shared" ref="F30:F31" si="6">IFERROR(C30-(D30*B30),"")</f>
        <v>10</v>
      </c>
      <c r="G30" s="67"/>
      <c r="H30" s="67"/>
    </row>
    <row r="31" spans="1:8" ht="25.35" customHeight="1" x14ac:dyDescent="0.3">
      <c r="A31" s="221" t="s">
        <v>240</v>
      </c>
      <c r="B31" s="224">
        <f t="shared" si="4"/>
        <v>30</v>
      </c>
      <c r="C31" s="227">
        <f>IFERROR(VLOOKUP(A31,'대신 피벗'!A:ST,19,FALSE),0)</f>
        <v>15</v>
      </c>
      <c r="D31" s="227">
        <f t="shared" si="5"/>
        <v>0</v>
      </c>
      <c r="E31" s="51" t="s">
        <v>267</v>
      </c>
      <c r="F31" s="228">
        <f t="shared" si="6"/>
        <v>15</v>
      </c>
      <c r="G31" s="67"/>
      <c r="H31" s="67"/>
    </row>
    <row r="32" spans="1:8" ht="4.5" customHeight="1" x14ac:dyDescent="0.3">
      <c r="A32" s="183"/>
      <c r="B32" s="50"/>
      <c r="C32" s="50"/>
      <c r="D32" s="50"/>
      <c r="E32" s="50"/>
      <c r="F32" s="184"/>
      <c r="G32" s="67"/>
      <c r="H32" s="67"/>
    </row>
    <row r="33" spans="1:8" ht="32.450000000000003" customHeight="1" x14ac:dyDescent="0.3">
      <c r="A33" s="209" t="s">
        <v>284</v>
      </c>
      <c r="B33" s="226">
        <f>$B$4</f>
        <v>30</v>
      </c>
      <c r="C33" s="210">
        <f>SUM(C30:C31)</f>
        <v>25</v>
      </c>
      <c r="D33" s="54">
        <f>IFERROR(ROUNDDOWN(C33/B33,0),"")</f>
        <v>0</v>
      </c>
      <c r="E33" s="36"/>
      <c r="F33" s="121">
        <f>IFERROR(C33-(D33*B33),"")</f>
        <v>25</v>
      </c>
      <c r="G33" s="67"/>
      <c r="H33" s="67"/>
    </row>
    <row r="34" spans="1:8" ht="4.5" customHeight="1" x14ac:dyDescent="0.3">
      <c r="A34" s="183"/>
      <c r="B34" s="224"/>
      <c r="C34" s="50"/>
      <c r="D34" s="50"/>
      <c r="E34" s="50"/>
      <c r="F34" s="184"/>
      <c r="G34" s="67"/>
      <c r="H34" s="67"/>
    </row>
    <row r="35" spans="1:8" ht="25.35" customHeight="1" x14ac:dyDescent="0.3">
      <c r="A35" s="221" t="s">
        <v>236</v>
      </c>
      <c r="B35" s="224">
        <f t="shared" ref="B35:B37" si="7">$B$4</f>
        <v>30</v>
      </c>
      <c r="C35" s="227">
        <f>IFERROR(VLOOKUP(A35,'대신 피벗'!A:ST,19,FALSE),0)</f>
        <v>19</v>
      </c>
      <c r="D35" s="227">
        <f>IFERROR(ROUNDDOWN(C35/B35,0),"")</f>
        <v>0</v>
      </c>
      <c r="E35" s="51" t="s">
        <v>264</v>
      </c>
      <c r="F35" s="228">
        <f>IFERROR(C35-(D35*B35),"")</f>
        <v>19</v>
      </c>
      <c r="G35" s="67"/>
      <c r="H35" s="67"/>
    </row>
    <row r="36" spans="1:8" ht="25.35" customHeight="1" x14ac:dyDescent="0.3">
      <c r="A36" s="221" t="s">
        <v>237</v>
      </c>
      <c r="B36" s="224">
        <f t="shared" si="7"/>
        <v>30</v>
      </c>
      <c r="C36" s="227">
        <f>IFERROR(VLOOKUP(A36,'대신 피벗'!A:ST,19,FALSE),0)</f>
        <v>8</v>
      </c>
      <c r="D36" s="227">
        <f t="shared" ref="D36:D37" si="8">IFERROR(ROUNDDOWN(C36/B36,0),"")</f>
        <v>0</v>
      </c>
      <c r="E36" s="51" t="s">
        <v>338</v>
      </c>
      <c r="F36" s="228">
        <f t="shared" ref="F36:F37" si="9">IFERROR(C36-(D36*B36),"")</f>
        <v>8</v>
      </c>
      <c r="G36" s="67"/>
      <c r="H36" s="67"/>
    </row>
    <row r="37" spans="1:8" ht="25.35" customHeight="1" x14ac:dyDescent="0.3">
      <c r="A37" s="221" t="s">
        <v>238</v>
      </c>
      <c r="B37" s="224">
        <f t="shared" si="7"/>
        <v>30</v>
      </c>
      <c r="C37" s="227">
        <f>IFERROR(VLOOKUP(A37,'대신 피벗'!A:ST,19,FALSE),0)</f>
        <v>9</v>
      </c>
      <c r="D37" s="227">
        <f t="shared" si="8"/>
        <v>0</v>
      </c>
      <c r="E37" s="51" t="s">
        <v>265</v>
      </c>
      <c r="F37" s="228">
        <f t="shared" si="9"/>
        <v>9</v>
      </c>
      <c r="G37" s="67"/>
      <c r="H37" s="67"/>
    </row>
    <row r="38" spans="1:8" ht="4.5" customHeight="1" x14ac:dyDescent="0.3">
      <c r="A38" s="183"/>
      <c r="B38" s="50"/>
      <c r="C38" s="50"/>
      <c r="D38" s="50"/>
      <c r="E38" s="50"/>
      <c r="F38" s="184"/>
      <c r="G38" s="67"/>
      <c r="H38" s="67"/>
    </row>
    <row r="39" spans="1:8" ht="32.450000000000003" customHeight="1" x14ac:dyDescent="0.3">
      <c r="A39" s="209" t="s">
        <v>283</v>
      </c>
      <c r="B39" s="226">
        <f>$B$4</f>
        <v>30</v>
      </c>
      <c r="C39" s="210">
        <f>SUM(C35:C37)</f>
        <v>36</v>
      </c>
      <c r="D39" s="54">
        <f>IFERROR(ROUNDDOWN(C39/B39,0),"")</f>
        <v>1</v>
      </c>
      <c r="E39" s="36"/>
      <c r="F39" s="121">
        <f>IFERROR(C39-(D39*B39),"")</f>
        <v>6</v>
      </c>
      <c r="G39" s="67"/>
      <c r="H39" s="67"/>
    </row>
    <row r="40" spans="1:8" ht="4.5" customHeight="1" x14ac:dyDescent="0.3">
      <c r="A40" s="183"/>
      <c r="B40" s="224"/>
      <c r="C40" s="50"/>
      <c r="D40" s="50"/>
      <c r="E40" s="50"/>
      <c r="F40" s="184"/>
      <c r="G40" s="67"/>
      <c r="H40" s="67"/>
    </row>
    <row r="41" spans="1:8" ht="25.35" customHeight="1" x14ac:dyDescent="0.3">
      <c r="A41" s="221" t="s">
        <v>261</v>
      </c>
      <c r="B41" s="224">
        <f t="shared" ref="B41:B42" si="10">$B$4</f>
        <v>30</v>
      </c>
      <c r="C41" s="227">
        <f>IFERROR(VLOOKUP(A41,'대신 피벗'!A:ST,19,FALSE),0)</f>
        <v>4</v>
      </c>
      <c r="D41" s="227">
        <f t="shared" ref="D41:D42" si="11">IFERROR(ROUNDDOWN(C41/B41,0),"")</f>
        <v>0</v>
      </c>
      <c r="E41" s="51" t="s">
        <v>281</v>
      </c>
      <c r="F41" s="228">
        <f t="shared" ref="F41:F42" si="12">IFERROR(C41-(D41*B41),"")</f>
        <v>4</v>
      </c>
      <c r="G41" s="67"/>
      <c r="H41" s="67"/>
    </row>
    <row r="42" spans="1:8" ht="25.35" customHeight="1" x14ac:dyDescent="0.3">
      <c r="A42" s="221" t="s">
        <v>262</v>
      </c>
      <c r="B42" s="224">
        <f t="shared" si="10"/>
        <v>30</v>
      </c>
      <c r="C42" s="227">
        <f>IFERROR(VLOOKUP(A42,'대신 피벗'!A:ST,19,FALSE),0)</f>
        <v>5</v>
      </c>
      <c r="D42" s="227">
        <f t="shared" si="11"/>
        <v>0</v>
      </c>
      <c r="E42" s="51" t="s">
        <v>282</v>
      </c>
      <c r="F42" s="228">
        <f t="shared" si="12"/>
        <v>5</v>
      </c>
      <c r="G42" s="67"/>
      <c r="H42" s="67"/>
    </row>
    <row r="43" spans="1:8" ht="4.5" customHeight="1" x14ac:dyDescent="0.3">
      <c r="A43" s="183"/>
      <c r="B43" s="50"/>
      <c r="C43" s="50"/>
      <c r="D43" s="50"/>
      <c r="E43" s="50"/>
      <c r="F43" s="184"/>
      <c r="G43" s="67"/>
      <c r="H43" s="67"/>
    </row>
    <row r="44" spans="1:8" ht="32.450000000000003" customHeight="1" x14ac:dyDescent="0.3">
      <c r="A44" s="209" t="s">
        <v>339</v>
      </c>
      <c r="B44" s="226">
        <f>$B$4</f>
        <v>30</v>
      </c>
      <c r="C44" s="210">
        <f>SUM(C41:C42)</f>
        <v>9</v>
      </c>
      <c r="D44" s="54">
        <f>IFERROR(ROUNDDOWN(C44/B44,0),"")</f>
        <v>0</v>
      </c>
      <c r="E44" s="36"/>
      <c r="F44" s="121">
        <f>IFERROR(C44-(D44*B44),"")</f>
        <v>9</v>
      </c>
      <c r="G44" s="67"/>
      <c r="H44" s="67"/>
    </row>
    <row r="45" spans="1:8" ht="4.5" customHeight="1" thickBot="1" x14ac:dyDescent="0.35">
      <c r="A45" s="183"/>
      <c r="B45" s="50"/>
      <c r="C45" s="50"/>
      <c r="D45" s="50"/>
      <c r="E45" s="50"/>
      <c r="F45" s="184"/>
      <c r="G45" s="67"/>
      <c r="H45" s="67"/>
    </row>
    <row r="46" spans="1:8" ht="26.25" x14ac:dyDescent="0.3">
      <c r="A46" s="87" t="s">
        <v>3</v>
      </c>
      <c r="B46" s="226">
        <f>$B$4</f>
        <v>30</v>
      </c>
      <c r="C46" s="55">
        <f>SUM(C4:C18,C35:C37,C30:C31,C22:C26,C41:C42)</f>
        <v>354</v>
      </c>
      <c r="D46" s="54">
        <f>IFERROR(ROUNDDOWN(C46/B46,0),"")</f>
        <v>11</v>
      </c>
      <c r="E46" s="56"/>
      <c r="F46" s="121">
        <f>IFERROR(C46-(D46*B46),"")</f>
        <v>24</v>
      </c>
      <c r="G46" s="232" t="s">
        <v>110</v>
      </c>
      <c r="H46" s="233" t="s">
        <v>111</v>
      </c>
    </row>
    <row r="47" spans="1:8" ht="27" thickBot="1" x14ac:dyDescent="0.35">
      <c r="A47" s="42" t="s">
        <v>286</v>
      </c>
      <c r="B47" s="43" t="s">
        <v>173</v>
      </c>
      <c r="C47" s="40"/>
      <c r="D47" s="41">
        <f>SUM(D4:D18,D35:D37,D30:D31,D22:D26,D41:D42)</f>
        <v>1</v>
      </c>
      <c r="E47" s="48"/>
      <c r="F47" s="93">
        <f>SUM(F4:F18,F35:F37,F30:F31,F22:F26,F41:F42)</f>
        <v>324</v>
      </c>
      <c r="G47" s="216">
        <f>IFERROR(ROUNDDOWN(F47/B35,0),"")</f>
        <v>10</v>
      </c>
      <c r="H47" s="217">
        <f>IFERROR(F47-(G47*B35),"")</f>
        <v>24</v>
      </c>
    </row>
    <row r="48" spans="1:8" ht="22.5" customHeight="1" x14ac:dyDescent="0.3">
      <c r="C48" s="77">
        <f>C20+C28+C33+C39+C44</f>
        <v>354</v>
      </c>
      <c r="G48" s="199"/>
      <c r="H48" s="34" t="s">
        <v>174</v>
      </c>
    </row>
    <row r="49" spans="3:3" x14ac:dyDescent="0.3">
      <c r="C49" s="34" t="b">
        <f>C48=C46</f>
        <v>1</v>
      </c>
    </row>
  </sheetData>
  <mergeCells count="1">
    <mergeCell ref="A1:F1"/>
  </mergeCells>
  <phoneticPr fontId="13" type="noConversion"/>
  <printOptions horizontalCentered="1" verticalCentered="1"/>
  <pageMargins left="0" right="0" top="0" bottom="0" header="0" footer="0"/>
  <pageSetup paperSize="9" scale="77" orientation="portrait"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3A2DD0-5CF8-4742-9750-C1ACB85B88E8}">
  <sheetPr>
    <tabColor rgb="FF7030A0"/>
    <pageSetUpPr fitToPage="1"/>
  </sheetPr>
  <dimension ref="A1:H49"/>
  <sheetViews>
    <sheetView zoomScale="40" zoomScaleNormal="40" zoomScaleSheetLayoutView="75" workbookViewId="0">
      <selection activeCell="A2" sqref="A2:F47"/>
    </sheetView>
  </sheetViews>
  <sheetFormatPr defaultColWidth="9" defaultRowHeight="16.5" x14ac:dyDescent="0.3"/>
  <cols>
    <col min="1" max="1" width="24.75" style="34" customWidth="1"/>
    <col min="2" max="2" width="7.625" style="38" customWidth="1"/>
    <col min="3" max="3" width="30.625" style="34" customWidth="1"/>
    <col min="4" max="4" width="9.875" style="2" customWidth="1"/>
    <col min="5" max="5" width="11.375" style="34" customWidth="1"/>
    <col min="6" max="6" width="11.125" style="2" customWidth="1"/>
    <col min="7" max="7" width="8.375" style="34" customWidth="1"/>
    <col min="8" max="8" width="9" style="34" customWidth="1"/>
    <col min="9" max="13" width="9" style="34"/>
    <col min="14" max="14" width="10.625" style="34" customWidth="1"/>
    <col min="15" max="17" width="9" style="34"/>
    <col min="18" max="18" width="36.5" style="34" bestFit="1" customWidth="1"/>
    <col min="19" max="16384" width="9" style="34"/>
  </cols>
  <sheetData>
    <row r="1" spans="1:8" ht="25.9" customHeight="1" thickBot="1" x14ac:dyDescent="0.35">
      <c r="A1" s="270"/>
      <c r="B1" s="270"/>
      <c r="C1" s="270"/>
      <c r="D1" s="270"/>
      <c r="E1" s="270"/>
      <c r="F1" s="270"/>
    </row>
    <row r="2" spans="1:8" ht="25.9" customHeight="1" x14ac:dyDescent="0.3">
      <c r="A2" s="215">
        <f ca="1">TODAY()</f>
        <v>46314</v>
      </c>
      <c r="B2" s="256" t="s">
        <v>345</v>
      </c>
      <c r="C2" s="256"/>
      <c r="D2" s="256"/>
      <c r="E2" s="256"/>
      <c r="F2" s="257"/>
      <c r="G2" s="67"/>
      <c r="H2" s="67"/>
    </row>
    <row r="3" spans="1:8" ht="40.15" customHeight="1" x14ac:dyDescent="0.3">
      <c r="A3" s="222" t="s">
        <v>67</v>
      </c>
      <c r="B3" s="223" t="s">
        <v>13</v>
      </c>
      <c r="C3" s="229" t="s">
        <v>331</v>
      </c>
      <c r="D3" s="230" t="s">
        <v>2</v>
      </c>
      <c r="E3" s="229" t="s">
        <v>23</v>
      </c>
      <c r="F3" s="231" t="s">
        <v>14</v>
      </c>
      <c r="G3" s="67"/>
      <c r="H3" s="67"/>
    </row>
    <row r="4" spans="1:8" ht="25.35" customHeight="1" x14ac:dyDescent="0.3">
      <c r="A4" s="220" t="s">
        <v>260</v>
      </c>
      <c r="B4" s="224">
        <v>36</v>
      </c>
      <c r="C4" s="227">
        <f>IFERROR(VLOOKUP(A4,'대신 피벗'!A:ST,20,FALSE),0)</f>
        <v>4</v>
      </c>
      <c r="D4" s="227">
        <f t="shared" ref="D4:D18" si="0">IFERROR(ROUNDDOWN(C4/B4,0),"")</f>
        <v>0</v>
      </c>
      <c r="E4" s="51" t="s">
        <v>109</v>
      </c>
      <c r="F4" s="228">
        <f t="shared" ref="F4:F18" si="1">IFERROR(C4-(D4*B4),"")</f>
        <v>4</v>
      </c>
      <c r="G4" s="67"/>
      <c r="H4" s="67"/>
    </row>
    <row r="5" spans="1:8" ht="25.35" customHeight="1" x14ac:dyDescent="0.3">
      <c r="A5" s="221" t="s">
        <v>255</v>
      </c>
      <c r="B5" s="224">
        <f t="shared" ref="B5:B18" si="2">$B$4</f>
        <v>36</v>
      </c>
      <c r="C5" s="227">
        <f>IFERROR(VLOOKUP(A5,'대신 피벗'!A:ST,20,FALSE),0)</f>
        <v>16</v>
      </c>
      <c r="D5" s="227">
        <f t="shared" ref="D5" si="3">IFERROR(ROUNDDOWN(C5/B5,0),"")</f>
        <v>0</v>
      </c>
      <c r="E5" s="51" t="s">
        <v>335</v>
      </c>
      <c r="F5" s="228">
        <f t="shared" ref="F5" si="4">IFERROR(C5-(D5*B5),"")</f>
        <v>16</v>
      </c>
      <c r="G5" s="67"/>
      <c r="H5" s="67"/>
    </row>
    <row r="6" spans="1:8" ht="25.35" customHeight="1" x14ac:dyDescent="0.3">
      <c r="A6" s="221" t="s">
        <v>249</v>
      </c>
      <c r="B6" s="224">
        <f t="shared" si="2"/>
        <v>36</v>
      </c>
      <c r="C6" s="227">
        <f>IFERROR(VLOOKUP(A6,'대신 피벗'!A:ST,20,FALSE),0)</f>
        <v>20</v>
      </c>
      <c r="D6" s="227">
        <f>IFERROR(ROUNDDOWN(C6/B6,0),"")</f>
        <v>0</v>
      </c>
      <c r="E6" s="51" t="s">
        <v>272</v>
      </c>
      <c r="F6" s="228">
        <f>IFERROR(C6-(D6*B6),"")</f>
        <v>20</v>
      </c>
      <c r="G6" s="67"/>
      <c r="H6" s="67"/>
    </row>
    <row r="7" spans="1:8" ht="25.35" customHeight="1" x14ac:dyDescent="0.3">
      <c r="A7" s="221" t="s">
        <v>250</v>
      </c>
      <c r="B7" s="224">
        <f t="shared" si="2"/>
        <v>36</v>
      </c>
      <c r="C7" s="227">
        <f>IFERROR(VLOOKUP(A7,'대신 피벗'!A:ST,20,FALSE),0)</f>
        <v>11</v>
      </c>
      <c r="D7" s="227">
        <f>IFERROR(ROUNDDOWN(C7/B7,0),"")</f>
        <v>0</v>
      </c>
      <c r="E7" s="51" t="s">
        <v>273</v>
      </c>
      <c r="F7" s="228">
        <f>IFERROR(C7-(D7*B7),"")</f>
        <v>11</v>
      </c>
      <c r="G7" s="67"/>
      <c r="H7" s="67"/>
    </row>
    <row r="8" spans="1:8" ht="25.35" customHeight="1" x14ac:dyDescent="0.3">
      <c r="A8" s="221" t="s">
        <v>248</v>
      </c>
      <c r="B8" s="224">
        <f t="shared" si="2"/>
        <v>36</v>
      </c>
      <c r="C8" s="227">
        <f>IFERROR(VLOOKUP(A8,'대신 피벗'!A:ST,20,FALSE),0)</f>
        <v>9</v>
      </c>
      <c r="D8" s="227">
        <f>IFERROR(ROUNDDOWN(C8/B8,0),"")</f>
        <v>0</v>
      </c>
      <c r="E8" s="51" t="s">
        <v>271</v>
      </c>
      <c r="F8" s="228">
        <f>IFERROR(C8-(D8*B8),"")</f>
        <v>9</v>
      </c>
      <c r="G8" s="67"/>
      <c r="H8" s="67"/>
    </row>
    <row r="9" spans="1:8" ht="25.35" customHeight="1" x14ac:dyDescent="0.3">
      <c r="A9" s="221" t="s">
        <v>246</v>
      </c>
      <c r="B9" s="224">
        <f t="shared" si="2"/>
        <v>36</v>
      </c>
      <c r="C9" s="227">
        <f>IFERROR(VLOOKUP(A9,'대신 피벗'!A:ST,20,FALSE),0)</f>
        <v>7</v>
      </c>
      <c r="D9" s="227">
        <f t="shared" si="0"/>
        <v>0</v>
      </c>
      <c r="E9" s="51" t="s">
        <v>270</v>
      </c>
      <c r="F9" s="228">
        <f t="shared" si="1"/>
        <v>7</v>
      </c>
      <c r="G9" s="67"/>
      <c r="H9" s="67"/>
    </row>
    <row r="10" spans="1:8" ht="25.35" customHeight="1" x14ac:dyDescent="0.3">
      <c r="A10" s="221" t="s">
        <v>256</v>
      </c>
      <c r="B10" s="224">
        <f t="shared" si="2"/>
        <v>36</v>
      </c>
      <c r="C10" s="227">
        <f>IFERROR(VLOOKUP(A10,'대신 피벗'!A:ST,20,FALSE),0)</f>
        <v>4</v>
      </c>
      <c r="D10" s="227">
        <f>IFERROR(ROUNDDOWN(C10/B10,0),"")</f>
        <v>0</v>
      </c>
      <c r="E10" s="51" t="s">
        <v>278</v>
      </c>
      <c r="F10" s="228">
        <f>IFERROR(C10-(D10*B10),"")</f>
        <v>4</v>
      </c>
      <c r="G10" s="67"/>
      <c r="H10" s="67"/>
    </row>
    <row r="11" spans="1:8" ht="25.35" customHeight="1" x14ac:dyDescent="0.3">
      <c r="A11" s="221" t="s">
        <v>247</v>
      </c>
      <c r="B11" s="224">
        <f t="shared" si="2"/>
        <v>36</v>
      </c>
      <c r="C11" s="227">
        <f>IFERROR(VLOOKUP(A11,'대신 피벗'!A:ST,20,FALSE),0)</f>
        <v>8</v>
      </c>
      <c r="D11" s="227">
        <f t="shared" si="0"/>
        <v>0</v>
      </c>
      <c r="E11" s="51" t="s">
        <v>334</v>
      </c>
      <c r="F11" s="228">
        <f t="shared" si="1"/>
        <v>8</v>
      </c>
      <c r="G11" s="67"/>
      <c r="H11" s="67"/>
    </row>
    <row r="12" spans="1:8" ht="25.35" customHeight="1" x14ac:dyDescent="0.3">
      <c r="A12" s="221" t="s">
        <v>251</v>
      </c>
      <c r="B12" s="224">
        <f t="shared" si="2"/>
        <v>36</v>
      </c>
      <c r="C12" s="227">
        <f>IFERROR(VLOOKUP(A12,'대신 피벗'!A:ST,20,FALSE),0)</f>
        <v>9</v>
      </c>
      <c r="D12" s="227">
        <f t="shared" si="0"/>
        <v>0</v>
      </c>
      <c r="E12" s="51" t="s">
        <v>274</v>
      </c>
      <c r="F12" s="228">
        <f t="shared" si="1"/>
        <v>9</v>
      </c>
      <c r="G12" s="67"/>
      <c r="H12" s="67"/>
    </row>
    <row r="13" spans="1:8" ht="25.35" customHeight="1" x14ac:dyDescent="0.3">
      <c r="A13" s="220" t="s">
        <v>252</v>
      </c>
      <c r="B13" s="224">
        <f t="shared" si="2"/>
        <v>36</v>
      </c>
      <c r="C13" s="227">
        <f>IFERROR(VLOOKUP(A13,'대신 피벗'!A:ST,20,FALSE),0)</f>
        <v>17</v>
      </c>
      <c r="D13" s="227">
        <f t="shared" si="0"/>
        <v>0</v>
      </c>
      <c r="E13" s="51" t="s">
        <v>275</v>
      </c>
      <c r="F13" s="228">
        <f t="shared" si="1"/>
        <v>17</v>
      </c>
      <c r="G13" s="67"/>
      <c r="H13" s="67"/>
    </row>
    <row r="14" spans="1:8" ht="25.35" customHeight="1" x14ac:dyDescent="0.3">
      <c r="A14" s="221" t="s">
        <v>253</v>
      </c>
      <c r="B14" s="224">
        <f t="shared" si="2"/>
        <v>36</v>
      </c>
      <c r="C14" s="227">
        <f>IFERROR(VLOOKUP(A14,'대신 피벗'!A:ST,20,FALSE),0)</f>
        <v>8</v>
      </c>
      <c r="D14" s="227">
        <f t="shared" si="0"/>
        <v>0</v>
      </c>
      <c r="E14" s="51" t="s">
        <v>276</v>
      </c>
      <c r="F14" s="228">
        <f t="shared" si="1"/>
        <v>8</v>
      </c>
      <c r="G14" s="67"/>
      <c r="H14" s="67"/>
    </row>
    <row r="15" spans="1:8" ht="25.35" customHeight="1" x14ac:dyDescent="0.3">
      <c r="A15" s="221" t="s">
        <v>254</v>
      </c>
      <c r="B15" s="224">
        <f t="shared" si="2"/>
        <v>36</v>
      </c>
      <c r="C15" s="227">
        <f>IFERROR(VLOOKUP(A15,'대신 피벗'!A:ST,20,FALSE),0)</f>
        <v>8</v>
      </c>
      <c r="D15" s="227">
        <f t="shared" si="0"/>
        <v>0</v>
      </c>
      <c r="E15" s="51" t="s">
        <v>277</v>
      </c>
      <c r="F15" s="228">
        <f t="shared" si="1"/>
        <v>8</v>
      </c>
      <c r="G15" s="67"/>
      <c r="H15" s="67"/>
    </row>
    <row r="16" spans="1:8" ht="25.35" customHeight="1" x14ac:dyDescent="0.3">
      <c r="A16" s="221" t="s">
        <v>257</v>
      </c>
      <c r="B16" s="224">
        <f t="shared" si="2"/>
        <v>36</v>
      </c>
      <c r="C16" s="227">
        <f>IFERROR(VLOOKUP(A16,'대신 피벗'!A:ST,20,FALSE),0)</f>
        <v>6</v>
      </c>
      <c r="D16" s="227">
        <f t="shared" si="0"/>
        <v>0</v>
      </c>
      <c r="E16" s="51" t="s">
        <v>279</v>
      </c>
      <c r="F16" s="228">
        <f t="shared" si="1"/>
        <v>6</v>
      </c>
      <c r="G16" s="67"/>
      <c r="H16" s="67"/>
    </row>
    <row r="17" spans="1:8" ht="25.35" customHeight="1" x14ac:dyDescent="0.3">
      <c r="A17" s="221" t="s">
        <v>258</v>
      </c>
      <c r="B17" s="224">
        <f t="shared" si="2"/>
        <v>36</v>
      </c>
      <c r="C17" s="227">
        <f>IFERROR(VLOOKUP(A17,'대신 피벗'!A:ST,20,FALSE),0)</f>
        <v>5</v>
      </c>
      <c r="D17" s="227">
        <f t="shared" si="0"/>
        <v>0</v>
      </c>
      <c r="E17" s="51" t="s">
        <v>280</v>
      </c>
      <c r="F17" s="228">
        <f t="shared" si="1"/>
        <v>5</v>
      </c>
      <c r="G17" s="67"/>
      <c r="H17" s="67"/>
    </row>
    <row r="18" spans="1:8" ht="25.35" customHeight="1" x14ac:dyDescent="0.3">
      <c r="A18" s="221" t="s">
        <v>259</v>
      </c>
      <c r="B18" s="224">
        <f t="shared" si="2"/>
        <v>36</v>
      </c>
      <c r="C18" s="227">
        <f>IFERROR(VLOOKUP(A18,'대신 피벗'!A:ST,20,FALSE),0)</f>
        <v>7</v>
      </c>
      <c r="D18" s="227">
        <f t="shared" si="0"/>
        <v>0</v>
      </c>
      <c r="E18" s="51" t="s">
        <v>336</v>
      </c>
      <c r="F18" s="228">
        <f t="shared" si="1"/>
        <v>7</v>
      </c>
      <c r="G18" s="67"/>
      <c r="H18" s="67"/>
    </row>
    <row r="19" spans="1:8" ht="4.5" customHeight="1" x14ac:dyDescent="0.3">
      <c r="A19" s="183"/>
      <c r="B19" s="50"/>
      <c r="C19" s="50"/>
      <c r="D19" s="50"/>
      <c r="E19" s="50"/>
      <c r="F19" s="184"/>
    </row>
    <row r="20" spans="1:8" ht="32.450000000000003" customHeight="1" x14ac:dyDescent="0.3">
      <c r="A20" s="209" t="s">
        <v>122</v>
      </c>
      <c r="B20" s="226">
        <f>$B$4</f>
        <v>36</v>
      </c>
      <c r="C20" s="210">
        <f>SUM(C4:C18)</f>
        <v>139</v>
      </c>
      <c r="D20" s="54">
        <f>IFERROR(ROUNDDOWN(C20/B20,0),"")</f>
        <v>3</v>
      </c>
      <c r="E20" s="36"/>
      <c r="F20" s="121">
        <f>IFERROR(C20-(D20*B20),"")</f>
        <v>31</v>
      </c>
    </row>
    <row r="21" spans="1:8" ht="4.5" customHeight="1" x14ac:dyDescent="0.3">
      <c r="A21" s="183"/>
      <c r="B21" s="224"/>
      <c r="C21" s="50"/>
      <c r="D21" s="50"/>
      <c r="E21" s="50"/>
      <c r="F21" s="184"/>
    </row>
    <row r="22" spans="1:8" ht="25.35" customHeight="1" x14ac:dyDescent="0.3">
      <c r="A22" s="221" t="s">
        <v>241</v>
      </c>
      <c r="B22" s="224">
        <f t="shared" ref="B22:B26" si="5">$B$4</f>
        <v>36</v>
      </c>
      <c r="C22" s="227">
        <f>IFERROR(VLOOKUP(A22,'대신 피벗'!A:ST,20,FALSE),0)</f>
        <v>6</v>
      </c>
      <c r="D22" s="227">
        <f>IFERROR(ROUNDDOWN(C22/B22,0),"")</f>
        <v>0</v>
      </c>
      <c r="E22" s="51" t="s">
        <v>268</v>
      </c>
      <c r="F22" s="228">
        <f>IFERROR(C22-(D22*B22),"")</f>
        <v>6</v>
      </c>
      <c r="G22" s="67"/>
      <c r="H22" s="67"/>
    </row>
    <row r="23" spans="1:8" ht="25.35" customHeight="1" x14ac:dyDescent="0.3">
      <c r="A23" s="221" t="s">
        <v>242</v>
      </c>
      <c r="B23" s="224">
        <f t="shared" si="5"/>
        <v>36</v>
      </c>
      <c r="C23" s="227">
        <f>IFERROR(VLOOKUP(A23,'대신 피벗'!A:ST,20,FALSE),0)</f>
        <v>3</v>
      </c>
      <c r="D23" s="227">
        <f>IFERROR(ROUNDDOWN(C23/B23,0),"")</f>
        <v>0</v>
      </c>
      <c r="E23" s="51" t="s">
        <v>337</v>
      </c>
      <c r="F23" s="228">
        <f>IFERROR(C23-(D23*B23),"")</f>
        <v>3</v>
      </c>
      <c r="G23" s="67"/>
      <c r="H23" s="67"/>
    </row>
    <row r="24" spans="1:8" ht="25.35" customHeight="1" x14ac:dyDescent="0.3">
      <c r="A24" s="221" t="s">
        <v>243</v>
      </c>
      <c r="B24" s="224">
        <f t="shared" si="5"/>
        <v>36</v>
      </c>
      <c r="C24" s="227">
        <f>IFERROR(VLOOKUP(A24,'대신 피벗'!A:ST,20,FALSE),0)</f>
        <v>0</v>
      </c>
      <c r="D24" s="227">
        <f>IFERROR(ROUNDDOWN(C24/B24,0),"")</f>
        <v>0</v>
      </c>
      <c r="E24" s="51" t="s">
        <v>106</v>
      </c>
      <c r="F24" s="228">
        <f>IFERROR(C24-(D24*B24),"")</f>
        <v>0</v>
      </c>
      <c r="G24" s="67"/>
      <c r="H24" s="67"/>
    </row>
    <row r="25" spans="1:8" ht="25.35" customHeight="1" x14ac:dyDescent="0.3">
      <c r="A25" s="221" t="s">
        <v>244</v>
      </c>
      <c r="B25" s="224">
        <f t="shared" si="5"/>
        <v>36</v>
      </c>
      <c r="C25" s="227">
        <f>IFERROR(VLOOKUP(A25,'대신 피벗'!A:ST,20,FALSE),0)</f>
        <v>6</v>
      </c>
      <c r="D25" s="227">
        <f>IFERROR(ROUNDDOWN(C25/B25,0),"")</f>
        <v>0</v>
      </c>
      <c r="E25" s="51" t="s">
        <v>269</v>
      </c>
      <c r="F25" s="228">
        <f>IFERROR(C25-(D25*B25),"")</f>
        <v>6</v>
      </c>
      <c r="G25" s="67"/>
      <c r="H25" s="67"/>
    </row>
    <row r="26" spans="1:8" ht="25.35" customHeight="1" x14ac:dyDescent="0.3">
      <c r="A26" s="221" t="s">
        <v>245</v>
      </c>
      <c r="B26" s="224">
        <f t="shared" si="5"/>
        <v>36</v>
      </c>
      <c r="C26" s="227">
        <f>IFERROR(VLOOKUP(A26,'대신 피벗'!A:ST,20,FALSE),0)</f>
        <v>6</v>
      </c>
      <c r="D26" s="227">
        <f>IFERROR(ROUNDDOWN(C26/B26,0),"")</f>
        <v>0</v>
      </c>
      <c r="E26" s="51" t="s">
        <v>118</v>
      </c>
      <c r="F26" s="228">
        <f>IFERROR(C26-(D26*B26),"")</f>
        <v>6</v>
      </c>
      <c r="G26" s="67"/>
      <c r="H26" s="67"/>
    </row>
    <row r="27" spans="1:8" ht="4.5" customHeight="1" x14ac:dyDescent="0.3">
      <c r="A27" s="183"/>
      <c r="B27" s="50"/>
      <c r="C27" s="50"/>
      <c r="D27" s="50"/>
      <c r="E27" s="50"/>
      <c r="F27" s="184"/>
      <c r="G27" s="67"/>
      <c r="H27" s="67"/>
    </row>
    <row r="28" spans="1:8" ht="32.450000000000003" customHeight="1" x14ac:dyDescent="0.3">
      <c r="A28" s="209" t="s">
        <v>285</v>
      </c>
      <c r="B28" s="226">
        <f>$B$4</f>
        <v>36</v>
      </c>
      <c r="C28" s="210">
        <f>SUM(C22:C26)</f>
        <v>21</v>
      </c>
      <c r="D28" s="54">
        <f>IFERROR(ROUNDDOWN(C28/B28,0),"")</f>
        <v>0</v>
      </c>
      <c r="E28" s="36"/>
      <c r="F28" s="121">
        <f>IFERROR(C28-(D28*B28),"")</f>
        <v>21</v>
      </c>
      <c r="G28" s="67"/>
      <c r="H28" s="67"/>
    </row>
    <row r="29" spans="1:8" ht="4.5" customHeight="1" x14ac:dyDescent="0.3">
      <c r="A29" s="183"/>
      <c r="B29" s="50"/>
      <c r="C29" s="50"/>
      <c r="D29" s="50"/>
      <c r="E29" s="50"/>
      <c r="F29" s="184"/>
      <c r="G29" s="67"/>
      <c r="H29" s="67"/>
    </row>
    <row r="30" spans="1:8" ht="25.35" customHeight="1" x14ac:dyDescent="0.3">
      <c r="A30" s="221" t="s">
        <v>239</v>
      </c>
      <c r="B30" s="224">
        <f t="shared" ref="B30:B31" si="6">$B$4</f>
        <v>36</v>
      </c>
      <c r="C30" s="227">
        <f>IFERROR(VLOOKUP(A30,'대신 피벗'!A:ST,20,FALSE),0)</f>
        <v>4</v>
      </c>
      <c r="D30" s="227">
        <f t="shared" ref="D30:D31" si="7">IFERROR(ROUNDDOWN(C30/B30,0),"")</f>
        <v>0</v>
      </c>
      <c r="E30" s="51" t="s">
        <v>266</v>
      </c>
      <c r="F30" s="228">
        <f t="shared" ref="F30:F31" si="8">IFERROR(C30-(D30*B30),"")</f>
        <v>4</v>
      </c>
      <c r="G30" s="67"/>
      <c r="H30" s="67"/>
    </row>
    <row r="31" spans="1:8" ht="25.35" customHeight="1" x14ac:dyDescent="0.3">
      <c r="A31" s="221" t="s">
        <v>240</v>
      </c>
      <c r="B31" s="224">
        <f t="shared" si="6"/>
        <v>36</v>
      </c>
      <c r="C31" s="227">
        <f>IFERROR(VLOOKUP(A31,'대신 피벗'!A:ST,20,FALSE),0)</f>
        <v>19</v>
      </c>
      <c r="D31" s="227">
        <f t="shared" si="7"/>
        <v>0</v>
      </c>
      <c r="E31" s="51" t="s">
        <v>267</v>
      </c>
      <c r="F31" s="228">
        <f t="shared" si="8"/>
        <v>19</v>
      </c>
      <c r="G31" s="67"/>
      <c r="H31" s="67"/>
    </row>
    <row r="32" spans="1:8" ht="4.5" customHeight="1" x14ac:dyDescent="0.3">
      <c r="A32" s="183"/>
      <c r="B32" s="50"/>
      <c r="C32" s="50"/>
      <c r="D32" s="50"/>
      <c r="E32" s="50"/>
      <c r="F32" s="184"/>
      <c r="G32" s="67"/>
      <c r="H32" s="67"/>
    </row>
    <row r="33" spans="1:8" ht="32.450000000000003" customHeight="1" x14ac:dyDescent="0.3">
      <c r="A33" s="209" t="s">
        <v>284</v>
      </c>
      <c r="B33" s="226">
        <f>$B$4</f>
        <v>36</v>
      </c>
      <c r="C33" s="210">
        <f>SUM(C30:C31)</f>
        <v>23</v>
      </c>
      <c r="D33" s="54">
        <f>IFERROR(ROUNDDOWN(C33/B33,0),"")</f>
        <v>0</v>
      </c>
      <c r="E33" s="36"/>
      <c r="F33" s="121">
        <f>IFERROR(C33-(D33*B33),"")</f>
        <v>23</v>
      </c>
      <c r="G33" s="67"/>
      <c r="H33" s="67"/>
    </row>
    <row r="34" spans="1:8" ht="4.5" customHeight="1" x14ac:dyDescent="0.3">
      <c r="A34" s="183"/>
      <c r="B34" s="224"/>
      <c r="C34" s="50"/>
      <c r="D34" s="50"/>
      <c r="E34" s="50"/>
      <c r="F34" s="184"/>
      <c r="G34" s="67"/>
      <c r="H34" s="67"/>
    </row>
    <row r="35" spans="1:8" ht="25.35" customHeight="1" x14ac:dyDescent="0.3">
      <c r="A35" s="221" t="s">
        <v>236</v>
      </c>
      <c r="B35" s="224">
        <f t="shared" ref="B35:B37" si="9">$B$4</f>
        <v>36</v>
      </c>
      <c r="C35" s="227">
        <f>IFERROR(VLOOKUP(A35,'대신 피벗'!A:ST,20,FALSE),0)</f>
        <v>13</v>
      </c>
      <c r="D35" s="227">
        <f>IFERROR(ROUNDDOWN(C35/B35,0),"")</f>
        <v>0</v>
      </c>
      <c r="E35" s="51" t="s">
        <v>264</v>
      </c>
      <c r="F35" s="228">
        <f>IFERROR(C35-(D35*B35),"")</f>
        <v>13</v>
      </c>
      <c r="G35" s="67"/>
      <c r="H35" s="67"/>
    </row>
    <row r="36" spans="1:8" ht="25.35" customHeight="1" x14ac:dyDescent="0.3">
      <c r="A36" s="221" t="s">
        <v>237</v>
      </c>
      <c r="B36" s="224">
        <f t="shared" si="9"/>
        <v>36</v>
      </c>
      <c r="C36" s="227">
        <f>IFERROR(VLOOKUP(A36,'대신 피벗'!A:ST,20,FALSE),0)</f>
        <v>7</v>
      </c>
      <c r="D36" s="227">
        <f t="shared" ref="D36:D37" si="10">IFERROR(ROUNDDOWN(C36/B36,0),"")</f>
        <v>0</v>
      </c>
      <c r="E36" s="51" t="s">
        <v>338</v>
      </c>
      <c r="F36" s="228">
        <f t="shared" ref="F36:F37" si="11">IFERROR(C36-(D36*B36),"")</f>
        <v>7</v>
      </c>
      <c r="G36" s="67"/>
      <c r="H36" s="67"/>
    </row>
    <row r="37" spans="1:8" ht="25.35" customHeight="1" x14ac:dyDescent="0.3">
      <c r="A37" s="221" t="s">
        <v>238</v>
      </c>
      <c r="B37" s="224">
        <f t="shared" si="9"/>
        <v>36</v>
      </c>
      <c r="C37" s="227">
        <f>IFERROR(VLOOKUP(A37,'대신 피벗'!A:ST,20,FALSE),0)</f>
        <v>20</v>
      </c>
      <c r="D37" s="227">
        <f t="shared" si="10"/>
        <v>0</v>
      </c>
      <c r="E37" s="51" t="s">
        <v>265</v>
      </c>
      <c r="F37" s="228">
        <f t="shared" si="11"/>
        <v>20</v>
      </c>
      <c r="G37" s="67"/>
      <c r="H37" s="67"/>
    </row>
    <row r="38" spans="1:8" ht="4.5" customHeight="1" x14ac:dyDescent="0.3">
      <c r="A38" s="183"/>
      <c r="B38" s="50"/>
      <c r="C38" s="50"/>
      <c r="D38" s="50"/>
      <c r="E38" s="50"/>
      <c r="F38" s="184"/>
      <c r="G38" s="67"/>
      <c r="H38" s="67"/>
    </row>
    <row r="39" spans="1:8" ht="32.450000000000003" customHeight="1" x14ac:dyDescent="0.3">
      <c r="A39" s="209" t="s">
        <v>283</v>
      </c>
      <c r="B39" s="226">
        <f>$B$4</f>
        <v>36</v>
      </c>
      <c r="C39" s="210">
        <f>SUM(C35:C37)</f>
        <v>40</v>
      </c>
      <c r="D39" s="54">
        <f>IFERROR(ROUNDDOWN(C39/B39,0),"")</f>
        <v>1</v>
      </c>
      <c r="E39" s="36"/>
      <c r="F39" s="121">
        <f>IFERROR(C39-(D39*B39),"")</f>
        <v>4</v>
      </c>
      <c r="G39" s="67"/>
      <c r="H39" s="67"/>
    </row>
    <row r="40" spans="1:8" ht="4.5" customHeight="1" x14ac:dyDescent="0.3">
      <c r="A40" s="183"/>
      <c r="B40" s="224"/>
      <c r="C40" s="50"/>
      <c r="D40" s="50"/>
      <c r="E40" s="50"/>
      <c r="F40" s="184"/>
      <c r="G40" s="67"/>
      <c r="H40" s="67"/>
    </row>
    <row r="41" spans="1:8" ht="25.35" customHeight="1" x14ac:dyDescent="0.3">
      <c r="A41" s="221" t="s">
        <v>261</v>
      </c>
      <c r="B41" s="224">
        <f t="shared" ref="B41:B42" si="12">$B$4</f>
        <v>36</v>
      </c>
      <c r="C41" s="227">
        <f>IFERROR(VLOOKUP(A41,'대신 피벗'!A:ST,20,FALSE),0)</f>
        <v>9</v>
      </c>
      <c r="D41" s="227">
        <f t="shared" ref="D41:D42" si="13">IFERROR(ROUNDDOWN(C41/B41,0),"")</f>
        <v>0</v>
      </c>
      <c r="E41" s="51" t="s">
        <v>281</v>
      </c>
      <c r="F41" s="228">
        <f t="shared" ref="F41:F42" si="14">IFERROR(C41-(D41*B41),"")</f>
        <v>9</v>
      </c>
      <c r="G41" s="67"/>
      <c r="H41" s="67"/>
    </row>
    <row r="42" spans="1:8" ht="25.35" customHeight="1" x14ac:dyDescent="0.3">
      <c r="A42" s="221" t="s">
        <v>262</v>
      </c>
      <c r="B42" s="224">
        <f t="shared" si="12"/>
        <v>36</v>
      </c>
      <c r="C42" s="227">
        <f>IFERROR(VLOOKUP(A42,'대신 피벗'!A:ST,20,FALSE),0)</f>
        <v>11</v>
      </c>
      <c r="D42" s="227">
        <f t="shared" si="13"/>
        <v>0</v>
      </c>
      <c r="E42" s="51" t="s">
        <v>282</v>
      </c>
      <c r="F42" s="228">
        <f t="shared" si="14"/>
        <v>11</v>
      </c>
      <c r="G42" s="67"/>
      <c r="H42" s="67"/>
    </row>
    <row r="43" spans="1:8" ht="4.5" customHeight="1" x14ac:dyDescent="0.3">
      <c r="A43" s="183"/>
      <c r="B43" s="50"/>
      <c r="C43" s="50"/>
      <c r="D43" s="50"/>
      <c r="E43" s="50"/>
      <c r="F43" s="184"/>
      <c r="G43" s="67"/>
      <c r="H43" s="67"/>
    </row>
    <row r="44" spans="1:8" ht="32.450000000000003" customHeight="1" x14ac:dyDescent="0.3">
      <c r="A44" s="209" t="s">
        <v>339</v>
      </c>
      <c r="B44" s="226">
        <f>$B$4</f>
        <v>36</v>
      </c>
      <c r="C44" s="210">
        <f>SUM(C41:C42)</f>
        <v>20</v>
      </c>
      <c r="D44" s="54">
        <f>IFERROR(ROUNDDOWN(C44/B44,0),"")</f>
        <v>0</v>
      </c>
      <c r="E44" s="36"/>
      <c r="F44" s="121">
        <f>IFERROR(C44-(D44*B44),"")</f>
        <v>20</v>
      </c>
      <c r="G44" s="67"/>
      <c r="H44" s="67"/>
    </row>
    <row r="45" spans="1:8" ht="4.5" customHeight="1" thickBot="1" x14ac:dyDescent="0.35">
      <c r="A45" s="183"/>
      <c r="B45" s="50"/>
      <c r="C45" s="50"/>
      <c r="D45" s="50"/>
      <c r="E45" s="50"/>
      <c r="F45" s="184"/>
      <c r="G45" s="67"/>
      <c r="H45" s="67"/>
    </row>
    <row r="46" spans="1:8" ht="26.25" x14ac:dyDescent="0.3">
      <c r="A46" s="87" t="s">
        <v>3</v>
      </c>
      <c r="B46" s="226">
        <f>$B$4</f>
        <v>36</v>
      </c>
      <c r="C46" s="55">
        <f>SUM(C4:C18,C35:C37,C30:C31,C22:C26,C41:C42)</f>
        <v>243</v>
      </c>
      <c r="D46" s="54">
        <f>IFERROR(ROUNDDOWN(C46/B46,0),"")</f>
        <v>6</v>
      </c>
      <c r="E46" s="56"/>
      <c r="F46" s="121">
        <f>IFERROR(C46-(D46*B46),"")</f>
        <v>27</v>
      </c>
      <c r="G46" s="232" t="s">
        <v>110</v>
      </c>
      <c r="H46" s="233" t="s">
        <v>111</v>
      </c>
    </row>
    <row r="47" spans="1:8" ht="27" thickBot="1" x14ac:dyDescent="0.35">
      <c r="A47" s="42" t="s">
        <v>286</v>
      </c>
      <c r="B47" s="43" t="s">
        <v>173</v>
      </c>
      <c r="C47" s="40"/>
      <c r="D47" s="41">
        <f>SUM(D4:D18,D35:D37,D30:D31,D22:D26,D41:D42)</f>
        <v>0</v>
      </c>
      <c r="E47" s="48"/>
      <c r="F47" s="93">
        <f>SUM(F4:F18,F35:F37,F30:F31,F22:F26,F41:F42)</f>
        <v>243</v>
      </c>
      <c r="G47" s="216">
        <f>IFERROR(ROUNDDOWN(F47/B35,0),"")</f>
        <v>6</v>
      </c>
      <c r="H47" s="217">
        <f>IFERROR(F47-(G47*B35),"")</f>
        <v>27</v>
      </c>
    </row>
    <row r="48" spans="1:8" ht="22.5" customHeight="1" x14ac:dyDescent="0.3">
      <c r="C48" s="77">
        <f>C20+C28+C33+C39+C44</f>
        <v>243</v>
      </c>
      <c r="G48" s="199"/>
      <c r="H48" s="34" t="s">
        <v>174</v>
      </c>
    </row>
    <row r="49" spans="3:3" x14ac:dyDescent="0.3">
      <c r="C49" s="34" t="b">
        <f>C48=C46</f>
        <v>1</v>
      </c>
    </row>
  </sheetData>
  <mergeCells count="1">
    <mergeCell ref="A1:F1"/>
  </mergeCells>
  <phoneticPr fontId="13" type="noConversion"/>
  <printOptions horizontalCentered="1" verticalCentered="1"/>
  <pageMargins left="0" right="0" top="0" bottom="0" header="0" footer="0"/>
  <pageSetup paperSize="9" scale="77" orientation="portrait" r:id="rId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B7075D-353F-4F41-8DEB-4207F69930C3}">
  <sheetPr>
    <tabColor rgb="FF7030A0"/>
    <pageSetUpPr fitToPage="1"/>
  </sheetPr>
  <dimension ref="A1:H49"/>
  <sheetViews>
    <sheetView zoomScale="40" zoomScaleNormal="40" zoomScaleSheetLayoutView="75" workbookViewId="0">
      <selection activeCell="A2" sqref="A2:F47"/>
    </sheetView>
  </sheetViews>
  <sheetFormatPr defaultColWidth="9" defaultRowHeight="16.5" x14ac:dyDescent="0.3"/>
  <cols>
    <col min="1" max="1" width="24.75" style="34" customWidth="1"/>
    <col min="2" max="2" width="7.625" style="38" customWidth="1"/>
    <col min="3" max="3" width="30.625" style="34" customWidth="1"/>
    <col min="4" max="4" width="9.875" style="2" customWidth="1"/>
    <col min="5" max="5" width="11.375" style="34" customWidth="1"/>
    <col min="6" max="6" width="11.125" style="2" customWidth="1"/>
    <col min="7" max="7" width="8.375" style="34" customWidth="1"/>
    <col min="8" max="8" width="9" style="34" customWidth="1"/>
    <col min="9" max="13" width="9" style="34"/>
    <col min="14" max="14" width="10.625" style="34" customWidth="1"/>
    <col min="15" max="17" width="9" style="34"/>
    <col min="18" max="18" width="36.5" style="34" bestFit="1" customWidth="1"/>
    <col min="19" max="16384" width="9" style="34"/>
  </cols>
  <sheetData>
    <row r="1" spans="1:8" ht="25.9" customHeight="1" thickBot="1" x14ac:dyDescent="0.35">
      <c r="A1" s="270"/>
      <c r="B1" s="270"/>
      <c r="C1" s="270"/>
      <c r="D1" s="270"/>
      <c r="E1" s="270"/>
      <c r="F1" s="270"/>
    </row>
    <row r="2" spans="1:8" ht="25.9" customHeight="1" x14ac:dyDescent="0.3">
      <c r="A2" s="215">
        <f ca="1">TODAY()</f>
        <v>46314</v>
      </c>
      <c r="B2" s="256" t="s">
        <v>346</v>
      </c>
      <c r="C2" s="256"/>
      <c r="D2" s="256"/>
      <c r="E2" s="256"/>
      <c r="F2" s="257"/>
      <c r="G2" s="67"/>
      <c r="H2" s="67"/>
    </row>
    <row r="3" spans="1:8" ht="40.15" customHeight="1" x14ac:dyDescent="0.3">
      <c r="A3" s="222" t="s">
        <v>67</v>
      </c>
      <c r="B3" s="223" t="s">
        <v>13</v>
      </c>
      <c r="C3" s="229" t="s">
        <v>332</v>
      </c>
      <c r="D3" s="230" t="s">
        <v>2</v>
      </c>
      <c r="E3" s="229" t="s">
        <v>23</v>
      </c>
      <c r="F3" s="231" t="s">
        <v>14</v>
      </c>
      <c r="G3" s="67"/>
      <c r="H3" s="67"/>
    </row>
    <row r="4" spans="1:8" ht="25.35" customHeight="1" x14ac:dyDescent="0.3">
      <c r="A4" s="220" t="s">
        <v>260</v>
      </c>
      <c r="B4" s="224">
        <v>36</v>
      </c>
      <c r="C4" s="227">
        <f>IFERROR(VLOOKUP(A4,'대신 피벗'!A:ST,21,FALSE),0)</f>
        <v>6</v>
      </c>
      <c r="D4" s="227">
        <f t="shared" ref="D4:D18" si="0">IFERROR(ROUNDDOWN(C4/B4,0),"")</f>
        <v>0</v>
      </c>
      <c r="E4" s="51" t="s">
        <v>109</v>
      </c>
      <c r="F4" s="228">
        <f t="shared" ref="F4:F18" si="1">IFERROR(C4-(D4*B4),"")</f>
        <v>6</v>
      </c>
      <c r="G4" s="67"/>
      <c r="H4" s="67"/>
    </row>
    <row r="5" spans="1:8" ht="25.35" customHeight="1" x14ac:dyDescent="0.3">
      <c r="A5" s="221" t="s">
        <v>255</v>
      </c>
      <c r="B5" s="224">
        <f t="shared" ref="B5:B18" si="2">$B$4</f>
        <v>36</v>
      </c>
      <c r="C5" s="227">
        <f>IFERROR(VLOOKUP(A5,'대신 피벗'!A:ST,21,FALSE),0)</f>
        <v>21</v>
      </c>
      <c r="D5" s="227">
        <f t="shared" ref="D5" si="3">IFERROR(ROUNDDOWN(C5/B5,0),"")</f>
        <v>0</v>
      </c>
      <c r="E5" s="51" t="s">
        <v>335</v>
      </c>
      <c r="F5" s="228">
        <f t="shared" ref="F5" si="4">IFERROR(C5-(D5*B5),"")</f>
        <v>21</v>
      </c>
      <c r="G5" s="67"/>
      <c r="H5" s="67"/>
    </row>
    <row r="6" spans="1:8" ht="25.35" customHeight="1" x14ac:dyDescent="0.3">
      <c r="A6" s="221" t="s">
        <v>249</v>
      </c>
      <c r="B6" s="224">
        <f t="shared" si="2"/>
        <v>36</v>
      </c>
      <c r="C6" s="227">
        <f>IFERROR(VLOOKUP(A6,'대신 피벗'!A:ST,21,FALSE),0)</f>
        <v>14</v>
      </c>
      <c r="D6" s="227">
        <f>IFERROR(ROUNDDOWN(C6/B6,0),"")</f>
        <v>0</v>
      </c>
      <c r="E6" s="51" t="s">
        <v>272</v>
      </c>
      <c r="F6" s="228">
        <f>IFERROR(C6-(D6*B6),"")</f>
        <v>14</v>
      </c>
      <c r="G6" s="67"/>
      <c r="H6" s="67"/>
    </row>
    <row r="7" spans="1:8" ht="25.35" customHeight="1" x14ac:dyDescent="0.3">
      <c r="A7" s="221" t="s">
        <v>250</v>
      </c>
      <c r="B7" s="224">
        <f t="shared" si="2"/>
        <v>36</v>
      </c>
      <c r="C7" s="227">
        <f>IFERROR(VLOOKUP(A7,'대신 피벗'!A:ST,21,FALSE),0)</f>
        <v>18</v>
      </c>
      <c r="D7" s="227">
        <f>IFERROR(ROUNDDOWN(C7/B7,0),"")</f>
        <v>0</v>
      </c>
      <c r="E7" s="51" t="s">
        <v>273</v>
      </c>
      <c r="F7" s="228">
        <f>IFERROR(C7-(D7*B7),"")</f>
        <v>18</v>
      </c>
      <c r="G7" s="67"/>
      <c r="H7" s="67"/>
    </row>
    <row r="8" spans="1:8" ht="25.35" customHeight="1" x14ac:dyDescent="0.3">
      <c r="A8" s="221" t="s">
        <v>248</v>
      </c>
      <c r="B8" s="224">
        <f t="shared" si="2"/>
        <v>36</v>
      </c>
      <c r="C8" s="227">
        <f>IFERROR(VLOOKUP(A8,'대신 피벗'!A:ST,21,FALSE),0)</f>
        <v>12</v>
      </c>
      <c r="D8" s="227">
        <f>IFERROR(ROUNDDOWN(C8/B8,0),"")</f>
        <v>0</v>
      </c>
      <c r="E8" s="51" t="s">
        <v>271</v>
      </c>
      <c r="F8" s="228">
        <f>IFERROR(C8-(D8*B8),"")</f>
        <v>12</v>
      </c>
      <c r="G8" s="67"/>
      <c r="H8" s="67"/>
    </row>
    <row r="9" spans="1:8" ht="25.35" customHeight="1" x14ac:dyDescent="0.3">
      <c r="A9" s="221" t="s">
        <v>246</v>
      </c>
      <c r="B9" s="224">
        <f t="shared" si="2"/>
        <v>36</v>
      </c>
      <c r="C9" s="227">
        <f>IFERROR(VLOOKUP(A9,'대신 피벗'!A:ST,21,FALSE),0)</f>
        <v>10</v>
      </c>
      <c r="D9" s="227">
        <f t="shared" si="0"/>
        <v>0</v>
      </c>
      <c r="E9" s="51" t="s">
        <v>270</v>
      </c>
      <c r="F9" s="228">
        <f t="shared" si="1"/>
        <v>10</v>
      </c>
      <c r="G9" s="67"/>
      <c r="H9" s="67"/>
    </row>
    <row r="10" spans="1:8" ht="25.35" customHeight="1" x14ac:dyDescent="0.3">
      <c r="A10" s="221" t="s">
        <v>256</v>
      </c>
      <c r="B10" s="224">
        <f t="shared" si="2"/>
        <v>36</v>
      </c>
      <c r="C10" s="227">
        <f>IFERROR(VLOOKUP(A10,'대신 피벗'!A:ST,21,FALSE),0)</f>
        <v>7</v>
      </c>
      <c r="D10" s="227">
        <f>IFERROR(ROUNDDOWN(C10/B10,0),"")</f>
        <v>0</v>
      </c>
      <c r="E10" s="51" t="s">
        <v>278</v>
      </c>
      <c r="F10" s="228">
        <f>IFERROR(C10-(D10*B10),"")</f>
        <v>7</v>
      </c>
      <c r="G10" s="67"/>
      <c r="H10" s="67"/>
    </row>
    <row r="11" spans="1:8" ht="25.35" customHeight="1" x14ac:dyDescent="0.3">
      <c r="A11" s="221" t="s">
        <v>247</v>
      </c>
      <c r="B11" s="224">
        <f t="shared" si="2"/>
        <v>36</v>
      </c>
      <c r="C11" s="227">
        <f>IFERROR(VLOOKUP(A11,'대신 피벗'!A:ST,21,FALSE),0)</f>
        <v>6</v>
      </c>
      <c r="D11" s="227">
        <f t="shared" si="0"/>
        <v>0</v>
      </c>
      <c r="E11" s="51" t="s">
        <v>334</v>
      </c>
      <c r="F11" s="228">
        <f t="shared" si="1"/>
        <v>6</v>
      </c>
      <c r="G11" s="67"/>
      <c r="H11" s="67"/>
    </row>
    <row r="12" spans="1:8" ht="25.35" customHeight="1" x14ac:dyDescent="0.3">
      <c r="A12" s="221" t="s">
        <v>251</v>
      </c>
      <c r="B12" s="224">
        <f t="shared" si="2"/>
        <v>36</v>
      </c>
      <c r="C12" s="227">
        <f>IFERROR(VLOOKUP(A12,'대신 피벗'!A:ST,21,FALSE),0)</f>
        <v>14</v>
      </c>
      <c r="D12" s="227">
        <f t="shared" si="0"/>
        <v>0</v>
      </c>
      <c r="E12" s="51" t="s">
        <v>274</v>
      </c>
      <c r="F12" s="228">
        <f t="shared" si="1"/>
        <v>14</v>
      </c>
      <c r="G12" s="67"/>
      <c r="H12" s="67"/>
    </row>
    <row r="13" spans="1:8" ht="25.35" customHeight="1" x14ac:dyDescent="0.3">
      <c r="A13" s="220" t="s">
        <v>252</v>
      </c>
      <c r="B13" s="224">
        <f t="shared" si="2"/>
        <v>36</v>
      </c>
      <c r="C13" s="227">
        <f>IFERROR(VLOOKUP(A13,'대신 피벗'!A:ST,21,FALSE),0)</f>
        <v>24</v>
      </c>
      <c r="D13" s="227">
        <f t="shared" si="0"/>
        <v>0</v>
      </c>
      <c r="E13" s="51" t="s">
        <v>275</v>
      </c>
      <c r="F13" s="228">
        <f t="shared" si="1"/>
        <v>24</v>
      </c>
      <c r="G13" s="67"/>
      <c r="H13" s="67"/>
    </row>
    <row r="14" spans="1:8" ht="25.35" customHeight="1" x14ac:dyDescent="0.3">
      <c r="A14" s="221" t="s">
        <v>253</v>
      </c>
      <c r="B14" s="224">
        <f t="shared" si="2"/>
        <v>36</v>
      </c>
      <c r="C14" s="227">
        <f>IFERROR(VLOOKUP(A14,'대신 피벗'!A:ST,21,FALSE),0)</f>
        <v>23</v>
      </c>
      <c r="D14" s="227">
        <f t="shared" si="0"/>
        <v>0</v>
      </c>
      <c r="E14" s="51" t="s">
        <v>276</v>
      </c>
      <c r="F14" s="228">
        <f t="shared" si="1"/>
        <v>23</v>
      </c>
      <c r="G14" s="67"/>
      <c r="H14" s="67"/>
    </row>
    <row r="15" spans="1:8" ht="25.35" customHeight="1" x14ac:dyDescent="0.3">
      <c r="A15" s="221" t="s">
        <v>254</v>
      </c>
      <c r="B15" s="224">
        <f t="shared" si="2"/>
        <v>36</v>
      </c>
      <c r="C15" s="227">
        <f>IFERROR(VLOOKUP(A15,'대신 피벗'!A:ST,21,FALSE),0)</f>
        <v>20</v>
      </c>
      <c r="D15" s="227">
        <f t="shared" si="0"/>
        <v>0</v>
      </c>
      <c r="E15" s="51" t="s">
        <v>277</v>
      </c>
      <c r="F15" s="228">
        <f t="shared" si="1"/>
        <v>20</v>
      </c>
      <c r="G15" s="67"/>
      <c r="H15" s="67"/>
    </row>
    <row r="16" spans="1:8" ht="25.35" customHeight="1" x14ac:dyDescent="0.3">
      <c r="A16" s="221" t="s">
        <v>257</v>
      </c>
      <c r="B16" s="224">
        <f t="shared" si="2"/>
        <v>36</v>
      </c>
      <c r="C16" s="227">
        <f>IFERROR(VLOOKUP(A16,'대신 피벗'!A:ST,21,FALSE),0)</f>
        <v>7</v>
      </c>
      <c r="D16" s="227">
        <f t="shared" si="0"/>
        <v>0</v>
      </c>
      <c r="E16" s="51" t="s">
        <v>279</v>
      </c>
      <c r="F16" s="228">
        <f t="shared" si="1"/>
        <v>7</v>
      </c>
      <c r="G16" s="67"/>
      <c r="H16" s="67"/>
    </row>
    <row r="17" spans="1:8" ht="25.35" customHeight="1" x14ac:dyDescent="0.3">
      <c r="A17" s="221" t="s">
        <v>258</v>
      </c>
      <c r="B17" s="224">
        <f t="shared" si="2"/>
        <v>36</v>
      </c>
      <c r="C17" s="227">
        <f>IFERROR(VLOOKUP(A17,'대신 피벗'!A:ST,21,FALSE),0)</f>
        <v>6</v>
      </c>
      <c r="D17" s="227">
        <f t="shared" si="0"/>
        <v>0</v>
      </c>
      <c r="E17" s="51" t="s">
        <v>280</v>
      </c>
      <c r="F17" s="228">
        <f t="shared" si="1"/>
        <v>6</v>
      </c>
      <c r="G17" s="67"/>
      <c r="H17" s="67"/>
    </row>
    <row r="18" spans="1:8" ht="25.35" customHeight="1" x14ac:dyDescent="0.3">
      <c r="A18" s="221" t="s">
        <v>259</v>
      </c>
      <c r="B18" s="224">
        <f t="shared" si="2"/>
        <v>36</v>
      </c>
      <c r="C18" s="227">
        <f>IFERROR(VLOOKUP(A18,'대신 피벗'!A:ST,21,FALSE),0)</f>
        <v>14</v>
      </c>
      <c r="D18" s="227">
        <f t="shared" si="0"/>
        <v>0</v>
      </c>
      <c r="E18" s="51" t="s">
        <v>336</v>
      </c>
      <c r="F18" s="228">
        <f t="shared" si="1"/>
        <v>14</v>
      </c>
      <c r="G18" s="67"/>
      <c r="H18" s="67"/>
    </row>
    <row r="19" spans="1:8" ht="4.5" customHeight="1" x14ac:dyDescent="0.3">
      <c r="A19" s="183"/>
      <c r="B19" s="50"/>
      <c r="C19" s="50"/>
      <c r="D19" s="50"/>
      <c r="E19" s="50"/>
      <c r="F19" s="184"/>
    </row>
    <row r="20" spans="1:8" ht="32.450000000000003" customHeight="1" x14ac:dyDescent="0.3">
      <c r="A20" s="209" t="s">
        <v>122</v>
      </c>
      <c r="B20" s="226">
        <f>$B$4</f>
        <v>36</v>
      </c>
      <c r="C20" s="210">
        <f>SUM(C4:C18)</f>
        <v>202</v>
      </c>
      <c r="D20" s="54">
        <f>IFERROR(ROUNDDOWN(C20/B20,0),"")</f>
        <v>5</v>
      </c>
      <c r="E20" s="36"/>
      <c r="F20" s="121">
        <f>IFERROR(C20-(D20*B20),"")</f>
        <v>22</v>
      </c>
    </row>
    <row r="21" spans="1:8" ht="4.5" customHeight="1" x14ac:dyDescent="0.3">
      <c r="A21" s="183"/>
      <c r="B21" s="224"/>
      <c r="C21" s="50"/>
      <c r="D21" s="50"/>
      <c r="E21" s="50"/>
      <c r="F21" s="184"/>
    </row>
    <row r="22" spans="1:8" ht="25.35" customHeight="1" x14ac:dyDescent="0.3">
      <c r="A22" s="221" t="s">
        <v>241</v>
      </c>
      <c r="B22" s="224">
        <f t="shared" ref="B22:B26" si="5">$B$4</f>
        <v>36</v>
      </c>
      <c r="C22" s="227">
        <f>IFERROR(VLOOKUP(A22,'대신 피벗'!A:ST,21,FALSE),0)</f>
        <v>5</v>
      </c>
      <c r="D22" s="227">
        <f>IFERROR(ROUNDDOWN(C22/B22,0),"")</f>
        <v>0</v>
      </c>
      <c r="E22" s="51" t="s">
        <v>268</v>
      </c>
      <c r="F22" s="228">
        <f>IFERROR(C22-(D22*B22),"")</f>
        <v>5</v>
      </c>
      <c r="G22" s="67"/>
      <c r="H22" s="67"/>
    </row>
    <row r="23" spans="1:8" ht="25.35" customHeight="1" x14ac:dyDescent="0.3">
      <c r="A23" s="221" t="s">
        <v>242</v>
      </c>
      <c r="B23" s="224">
        <f t="shared" si="5"/>
        <v>36</v>
      </c>
      <c r="C23" s="227">
        <f>IFERROR(VLOOKUP(A23,'대신 피벗'!A:ST,21,FALSE),0)</f>
        <v>4</v>
      </c>
      <c r="D23" s="227">
        <f>IFERROR(ROUNDDOWN(C23/B23,0),"")</f>
        <v>0</v>
      </c>
      <c r="E23" s="51" t="s">
        <v>337</v>
      </c>
      <c r="F23" s="228">
        <f>IFERROR(C23-(D23*B23),"")</f>
        <v>4</v>
      </c>
      <c r="G23" s="67"/>
      <c r="H23" s="67"/>
    </row>
    <row r="24" spans="1:8" ht="25.35" customHeight="1" x14ac:dyDescent="0.3">
      <c r="A24" s="221" t="s">
        <v>243</v>
      </c>
      <c r="B24" s="224">
        <f t="shared" si="5"/>
        <v>36</v>
      </c>
      <c r="C24" s="227">
        <f>IFERROR(VLOOKUP(A24,'대신 피벗'!A:ST,21,FALSE),0)</f>
        <v>0</v>
      </c>
      <c r="D24" s="227">
        <f>IFERROR(ROUNDDOWN(C24/B24,0),"")</f>
        <v>0</v>
      </c>
      <c r="E24" s="51" t="s">
        <v>106</v>
      </c>
      <c r="F24" s="228">
        <f>IFERROR(C24-(D24*B24),"")</f>
        <v>0</v>
      </c>
      <c r="G24" s="67"/>
      <c r="H24" s="67"/>
    </row>
    <row r="25" spans="1:8" ht="25.35" customHeight="1" x14ac:dyDescent="0.3">
      <c r="A25" s="221" t="s">
        <v>244</v>
      </c>
      <c r="B25" s="224">
        <f t="shared" si="5"/>
        <v>36</v>
      </c>
      <c r="C25" s="227">
        <f>IFERROR(VLOOKUP(A25,'대신 피벗'!A:ST,21,FALSE),0)</f>
        <v>8</v>
      </c>
      <c r="D25" s="227">
        <f>IFERROR(ROUNDDOWN(C25/B25,0),"")</f>
        <v>0</v>
      </c>
      <c r="E25" s="51" t="s">
        <v>269</v>
      </c>
      <c r="F25" s="228">
        <f>IFERROR(C25-(D25*B25),"")</f>
        <v>8</v>
      </c>
      <c r="G25" s="67"/>
      <c r="H25" s="67"/>
    </row>
    <row r="26" spans="1:8" ht="25.35" customHeight="1" x14ac:dyDescent="0.3">
      <c r="A26" s="221" t="s">
        <v>245</v>
      </c>
      <c r="B26" s="224">
        <f t="shared" si="5"/>
        <v>36</v>
      </c>
      <c r="C26" s="227">
        <f>IFERROR(VLOOKUP(A26,'대신 피벗'!A:ST,21,FALSE),0)</f>
        <v>11</v>
      </c>
      <c r="D26" s="227">
        <f>IFERROR(ROUNDDOWN(C26/B26,0),"")</f>
        <v>0</v>
      </c>
      <c r="E26" s="51" t="s">
        <v>118</v>
      </c>
      <c r="F26" s="228">
        <f>IFERROR(C26-(D26*B26),"")</f>
        <v>11</v>
      </c>
      <c r="G26" s="67"/>
      <c r="H26" s="67"/>
    </row>
    <row r="27" spans="1:8" ht="4.5" customHeight="1" x14ac:dyDescent="0.3">
      <c r="A27" s="183"/>
      <c r="B27" s="50"/>
      <c r="C27" s="50"/>
      <c r="D27" s="50"/>
      <c r="E27" s="50"/>
      <c r="F27" s="184"/>
      <c r="G27" s="67"/>
      <c r="H27" s="67"/>
    </row>
    <row r="28" spans="1:8" ht="32.450000000000003" customHeight="1" x14ac:dyDescent="0.3">
      <c r="A28" s="209" t="s">
        <v>285</v>
      </c>
      <c r="B28" s="226">
        <f>$B$4</f>
        <v>36</v>
      </c>
      <c r="C28" s="210">
        <f>SUM(C22:C26)</f>
        <v>28</v>
      </c>
      <c r="D28" s="54">
        <f>IFERROR(ROUNDDOWN(C28/B28,0),"")</f>
        <v>0</v>
      </c>
      <c r="E28" s="36"/>
      <c r="F28" s="121">
        <f>IFERROR(C28-(D28*B28),"")</f>
        <v>28</v>
      </c>
      <c r="G28" s="67"/>
      <c r="H28" s="67"/>
    </row>
    <row r="29" spans="1:8" ht="4.5" customHeight="1" x14ac:dyDescent="0.3">
      <c r="A29" s="183"/>
      <c r="B29" s="50"/>
      <c r="C29" s="50"/>
      <c r="D29" s="50"/>
      <c r="E29" s="50"/>
      <c r="F29" s="184"/>
      <c r="G29" s="67"/>
      <c r="H29" s="67"/>
    </row>
    <row r="30" spans="1:8" ht="25.35" customHeight="1" x14ac:dyDescent="0.3">
      <c r="A30" s="221" t="s">
        <v>239</v>
      </c>
      <c r="B30" s="224">
        <f t="shared" ref="B30:B31" si="6">$B$4</f>
        <v>36</v>
      </c>
      <c r="C30" s="227">
        <f>IFERROR(VLOOKUP(A30,'대신 피벗'!A:ST,21,FALSE),0)</f>
        <v>9</v>
      </c>
      <c r="D30" s="227">
        <f t="shared" ref="D30:D31" si="7">IFERROR(ROUNDDOWN(C30/B30,0),"")</f>
        <v>0</v>
      </c>
      <c r="E30" s="51" t="s">
        <v>266</v>
      </c>
      <c r="F30" s="228">
        <f t="shared" ref="F30:F31" si="8">IFERROR(C30-(D30*B30),"")</f>
        <v>9</v>
      </c>
      <c r="G30" s="67"/>
      <c r="H30" s="67"/>
    </row>
    <row r="31" spans="1:8" ht="25.35" customHeight="1" x14ac:dyDescent="0.3">
      <c r="A31" s="221" t="s">
        <v>240</v>
      </c>
      <c r="B31" s="224">
        <f t="shared" si="6"/>
        <v>36</v>
      </c>
      <c r="C31" s="227">
        <f>IFERROR(VLOOKUP(A31,'대신 피벗'!A:ST,21,FALSE),0)</f>
        <v>16</v>
      </c>
      <c r="D31" s="227">
        <f t="shared" si="7"/>
        <v>0</v>
      </c>
      <c r="E31" s="51" t="s">
        <v>267</v>
      </c>
      <c r="F31" s="228">
        <f t="shared" si="8"/>
        <v>16</v>
      </c>
      <c r="G31" s="67"/>
      <c r="H31" s="67"/>
    </row>
    <row r="32" spans="1:8" ht="4.5" customHeight="1" x14ac:dyDescent="0.3">
      <c r="A32" s="183"/>
      <c r="B32" s="50"/>
      <c r="C32" s="50"/>
      <c r="D32" s="50"/>
      <c r="E32" s="50"/>
      <c r="F32" s="184"/>
      <c r="G32" s="67"/>
      <c r="H32" s="67"/>
    </row>
    <row r="33" spans="1:8" ht="32.450000000000003" customHeight="1" x14ac:dyDescent="0.3">
      <c r="A33" s="209" t="s">
        <v>284</v>
      </c>
      <c r="B33" s="226">
        <f>$B$4</f>
        <v>36</v>
      </c>
      <c r="C33" s="210">
        <f>SUM(C30:C31)</f>
        <v>25</v>
      </c>
      <c r="D33" s="54">
        <f>IFERROR(ROUNDDOWN(C33/B33,0),"")</f>
        <v>0</v>
      </c>
      <c r="E33" s="36"/>
      <c r="F33" s="121">
        <f>IFERROR(C33-(D33*B33),"")</f>
        <v>25</v>
      </c>
      <c r="G33" s="67"/>
      <c r="H33" s="67"/>
    </row>
    <row r="34" spans="1:8" ht="4.5" customHeight="1" x14ac:dyDescent="0.3">
      <c r="A34" s="183"/>
      <c r="B34" s="224"/>
      <c r="C34" s="50"/>
      <c r="D34" s="50"/>
      <c r="E34" s="50"/>
      <c r="F34" s="184"/>
      <c r="G34" s="67"/>
      <c r="H34" s="67"/>
    </row>
    <row r="35" spans="1:8" ht="25.35" customHeight="1" x14ac:dyDescent="0.3">
      <c r="A35" s="221" t="s">
        <v>236</v>
      </c>
      <c r="B35" s="224">
        <f t="shared" ref="B35:B37" si="9">$B$4</f>
        <v>36</v>
      </c>
      <c r="C35" s="227">
        <f>IFERROR(VLOOKUP(A35,'대신 피벗'!A:ST,21,FALSE),0)</f>
        <v>14</v>
      </c>
      <c r="D35" s="227">
        <f>IFERROR(ROUNDDOWN(C35/B35,0),"")</f>
        <v>0</v>
      </c>
      <c r="E35" s="51" t="s">
        <v>264</v>
      </c>
      <c r="F35" s="228">
        <f>IFERROR(C35-(D35*B35),"")</f>
        <v>14</v>
      </c>
      <c r="G35" s="67"/>
      <c r="H35" s="67"/>
    </row>
    <row r="36" spans="1:8" ht="25.35" customHeight="1" x14ac:dyDescent="0.3">
      <c r="A36" s="221" t="s">
        <v>237</v>
      </c>
      <c r="B36" s="224">
        <f t="shared" si="9"/>
        <v>36</v>
      </c>
      <c r="C36" s="227">
        <f>IFERROR(VLOOKUP(A36,'대신 피벗'!A:ST,21,FALSE),0)</f>
        <v>6</v>
      </c>
      <c r="D36" s="227">
        <f t="shared" ref="D36:D37" si="10">IFERROR(ROUNDDOWN(C36/B36,0),"")</f>
        <v>0</v>
      </c>
      <c r="E36" s="51" t="s">
        <v>338</v>
      </c>
      <c r="F36" s="228">
        <f t="shared" ref="F36:F37" si="11">IFERROR(C36-(D36*B36),"")</f>
        <v>6</v>
      </c>
      <c r="G36" s="67"/>
      <c r="H36" s="67"/>
    </row>
    <row r="37" spans="1:8" ht="25.35" customHeight="1" x14ac:dyDescent="0.3">
      <c r="A37" s="221" t="s">
        <v>238</v>
      </c>
      <c r="B37" s="224">
        <f t="shared" si="9"/>
        <v>36</v>
      </c>
      <c r="C37" s="227">
        <f>IFERROR(VLOOKUP(A37,'대신 피벗'!A:ST,21,FALSE),0)</f>
        <v>19</v>
      </c>
      <c r="D37" s="227">
        <f t="shared" si="10"/>
        <v>0</v>
      </c>
      <c r="E37" s="51" t="s">
        <v>265</v>
      </c>
      <c r="F37" s="228">
        <f t="shared" si="11"/>
        <v>19</v>
      </c>
      <c r="G37" s="67"/>
      <c r="H37" s="67"/>
    </row>
    <row r="38" spans="1:8" ht="4.5" customHeight="1" x14ac:dyDescent="0.3">
      <c r="A38" s="183"/>
      <c r="B38" s="50"/>
      <c r="C38" s="50"/>
      <c r="D38" s="50"/>
      <c r="E38" s="50"/>
      <c r="F38" s="184"/>
      <c r="G38" s="67"/>
      <c r="H38" s="67"/>
    </row>
    <row r="39" spans="1:8" ht="32.450000000000003" customHeight="1" x14ac:dyDescent="0.3">
      <c r="A39" s="209" t="s">
        <v>283</v>
      </c>
      <c r="B39" s="226">
        <f>$B$4</f>
        <v>36</v>
      </c>
      <c r="C39" s="210">
        <f>SUM(C35:C37)</f>
        <v>39</v>
      </c>
      <c r="D39" s="54">
        <f>IFERROR(ROUNDDOWN(C39/B39,0),"")</f>
        <v>1</v>
      </c>
      <c r="E39" s="36"/>
      <c r="F39" s="121">
        <f>IFERROR(C39-(D39*B39),"")</f>
        <v>3</v>
      </c>
      <c r="G39" s="67"/>
      <c r="H39" s="67"/>
    </row>
    <row r="40" spans="1:8" ht="4.5" customHeight="1" x14ac:dyDescent="0.3">
      <c r="A40" s="183"/>
      <c r="B40" s="224"/>
      <c r="C40" s="50"/>
      <c r="D40" s="50"/>
      <c r="E40" s="50"/>
      <c r="F40" s="184"/>
      <c r="G40" s="67"/>
      <c r="H40" s="67"/>
    </row>
    <row r="41" spans="1:8" ht="25.35" customHeight="1" x14ac:dyDescent="0.3">
      <c r="A41" s="221" t="s">
        <v>261</v>
      </c>
      <c r="B41" s="224">
        <f t="shared" ref="B41:B42" si="12">$B$4</f>
        <v>36</v>
      </c>
      <c r="C41" s="227">
        <f>IFERROR(VLOOKUP(A41,'대신 피벗'!A:ST,21,FALSE),0)</f>
        <v>7</v>
      </c>
      <c r="D41" s="227">
        <f t="shared" ref="D41:D42" si="13">IFERROR(ROUNDDOWN(C41/B41,0),"")</f>
        <v>0</v>
      </c>
      <c r="E41" s="51" t="s">
        <v>281</v>
      </c>
      <c r="F41" s="228">
        <f t="shared" ref="F41:F42" si="14">IFERROR(C41-(D41*B41),"")</f>
        <v>7</v>
      </c>
      <c r="G41" s="67"/>
      <c r="H41" s="67"/>
    </row>
    <row r="42" spans="1:8" ht="25.35" customHeight="1" x14ac:dyDescent="0.3">
      <c r="A42" s="221" t="s">
        <v>262</v>
      </c>
      <c r="B42" s="224">
        <f t="shared" si="12"/>
        <v>36</v>
      </c>
      <c r="C42" s="227">
        <f>IFERROR(VLOOKUP(A42,'대신 피벗'!A:ST,21,FALSE),0)</f>
        <v>5</v>
      </c>
      <c r="D42" s="227">
        <f t="shared" si="13"/>
        <v>0</v>
      </c>
      <c r="E42" s="51" t="s">
        <v>282</v>
      </c>
      <c r="F42" s="228">
        <f t="shared" si="14"/>
        <v>5</v>
      </c>
      <c r="G42" s="67"/>
      <c r="H42" s="67"/>
    </row>
    <row r="43" spans="1:8" ht="4.5" customHeight="1" x14ac:dyDescent="0.3">
      <c r="A43" s="183"/>
      <c r="B43" s="50"/>
      <c r="C43" s="50"/>
      <c r="D43" s="50"/>
      <c r="E43" s="50"/>
      <c r="F43" s="184"/>
      <c r="G43" s="67"/>
      <c r="H43" s="67"/>
    </row>
    <row r="44" spans="1:8" ht="32.450000000000003" customHeight="1" x14ac:dyDescent="0.3">
      <c r="A44" s="209" t="s">
        <v>339</v>
      </c>
      <c r="B44" s="226">
        <f>$B$4</f>
        <v>36</v>
      </c>
      <c r="C44" s="210">
        <f>SUM(C41:C42)</f>
        <v>12</v>
      </c>
      <c r="D44" s="54">
        <f>IFERROR(ROUNDDOWN(C44/B44,0),"")</f>
        <v>0</v>
      </c>
      <c r="E44" s="36"/>
      <c r="F44" s="121">
        <f>IFERROR(C44-(D44*B44),"")</f>
        <v>12</v>
      </c>
      <c r="G44" s="67"/>
      <c r="H44" s="67"/>
    </row>
    <row r="45" spans="1:8" ht="4.5" customHeight="1" thickBot="1" x14ac:dyDescent="0.35">
      <c r="A45" s="183"/>
      <c r="B45" s="50"/>
      <c r="C45" s="50"/>
      <c r="D45" s="50"/>
      <c r="E45" s="50"/>
      <c r="F45" s="184"/>
      <c r="G45" s="67"/>
      <c r="H45" s="67"/>
    </row>
    <row r="46" spans="1:8" ht="26.25" x14ac:dyDescent="0.3">
      <c r="A46" s="87" t="s">
        <v>3</v>
      </c>
      <c r="B46" s="226">
        <f>$B$4</f>
        <v>36</v>
      </c>
      <c r="C46" s="55">
        <f>SUM(C4:C18,C35:C37,C30:C31,C22:C26,C41:C42)</f>
        <v>306</v>
      </c>
      <c r="D46" s="54">
        <f>IFERROR(ROUNDDOWN(C46/B46,0),"")</f>
        <v>8</v>
      </c>
      <c r="E46" s="56"/>
      <c r="F46" s="121">
        <f>IFERROR(C46-(D46*B46),"")</f>
        <v>18</v>
      </c>
      <c r="G46" s="232" t="s">
        <v>110</v>
      </c>
      <c r="H46" s="233" t="s">
        <v>111</v>
      </c>
    </row>
    <row r="47" spans="1:8" ht="27" thickBot="1" x14ac:dyDescent="0.35">
      <c r="A47" s="42" t="s">
        <v>286</v>
      </c>
      <c r="B47" s="43" t="s">
        <v>173</v>
      </c>
      <c r="C47" s="40"/>
      <c r="D47" s="41">
        <f>SUM(D4:D18,D35:D37,D30:D31,D22:D26,D41:D42)</f>
        <v>0</v>
      </c>
      <c r="E47" s="48"/>
      <c r="F47" s="93">
        <f>SUM(F4:F18,F35:F37,F30:F31,F22:F26,F41:F42)</f>
        <v>306</v>
      </c>
      <c r="G47" s="216">
        <f>IFERROR(ROUNDDOWN(F47/B35,0),"")</f>
        <v>8</v>
      </c>
      <c r="H47" s="217">
        <f>IFERROR(F47-(G47*B35),"")</f>
        <v>18</v>
      </c>
    </row>
    <row r="48" spans="1:8" ht="22.5" customHeight="1" x14ac:dyDescent="0.3">
      <c r="C48" s="77">
        <f>C20+C28+C33+C39+C44</f>
        <v>306</v>
      </c>
      <c r="G48" s="199"/>
      <c r="H48" s="34" t="s">
        <v>174</v>
      </c>
    </row>
    <row r="49" spans="3:3" x14ac:dyDescent="0.3">
      <c r="C49" s="34" t="b">
        <f>C48=C46</f>
        <v>1</v>
      </c>
    </row>
  </sheetData>
  <mergeCells count="1">
    <mergeCell ref="A1:F1"/>
  </mergeCells>
  <phoneticPr fontId="13" type="noConversion"/>
  <printOptions horizontalCentered="1" verticalCentered="1"/>
  <pageMargins left="0" right="0" top="0" bottom="0" header="0" footer="0"/>
  <pageSetup paperSize="9" scale="77" orientation="portrait" r:id="rId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4F29CD-0886-4ECD-9706-987E6919882B}">
  <sheetPr>
    <tabColor theme="7" tint="0.39997558519241921"/>
  </sheetPr>
  <dimension ref="A1:SO6"/>
  <sheetViews>
    <sheetView zoomScale="55" zoomScaleNormal="55" zoomScaleSheetLayoutView="75" workbookViewId="0">
      <selection activeCell="A2" sqref="A2:F47"/>
    </sheetView>
  </sheetViews>
  <sheetFormatPr defaultColWidth="9" defaultRowHeight="15" customHeight="1" x14ac:dyDescent="0.3"/>
  <cols>
    <col min="1" max="19" width="37.625" style="34" customWidth="1"/>
    <col min="20" max="20" width="22.25" style="34" bestFit="1" customWidth="1"/>
    <col min="21" max="23" width="18.375" style="34" customWidth="1"/>
    <col min="24" max="24" width="27.625" style="34" bestFit="1" customWidth="1"/>
    <col min="25" max="26" width="18.375" style="34" customWidth="1"/>
    <col min="27" max="27" width="27.625" style="34" bestFit="1" customWidth="1"/>
    <col min="28" max="28" width="18.375" style="34" customWidth="1"/>
    <col min="29" max="29" width="25.375" style="34" bestFit="1" customWidth="1"/>
    <col min="30" max="30" width="21" style="34" bestFit="1" customWidth="1"/>
    <col min="31" max="31" width="27.625" style="34" bestFit="1" customWidth="1"/>
    <col min="32" max="32" width="18.375" style="34" customWidth="1"/>
    <col min="33" max="33" width="27.625" style="34" bestFit="1" customWidth="1"/>
    <col min="34" max="387" width="30.375" style="34" customWidth="1"/>
    <col min="388" max="389" width="21.25" style="34" customWidth="1"/>
    <col min="390" max="405" width="20.5" style="34" customWidth="1"/>
    <col min="406" max="406" width="21" style="34" bestFit="1" customWidth="1"/>
    <col min="407" max="407" width="25.125" style="34" bestFit="1" customWidth="1"/>
    <col min="408" max="408" width="23" style="34" bestFit="1" customWidth="1"/>
    <col min="409" max="409" width="33.375" style="34" bestFit="1" customWidth="1"/>
    <col min="410" max="410" width="25.125" style="34" bestFit="1" customWidth="1"/>
    <col min="411" max="411" width="28.875" style="34" bestFit="1" customWidth="1"/>
    <col min="412" max="412" width="23" style="34" bestFit="1" customWidth="1"/>
    <col min="413" max="413" width="18.875" style="34" customWidth="1"/>
    <col min="414" max="414" width="23" style="34" bestFit="1" customWidth="1"/>
    <col min="415" max="415" width="25.125" style="34" bestFit="1" customWidth="1"/>
    <col min="416" max="416" width="18.875" style="34" customWidth="1"/>
    <col min="417" max="417" width="19.125" style="34" customWidth="1"/>
    <col min="418" max="418" width="18.125" style="34" customWidth="1"/>
    <col min="419" max="419" width="18.875" style="34" customWidth="1"/>
    <col min="420" max="420" width="26.625" style="34" customWidth="1"/>
    <col min="421" max="421" width="22.125" style="34" customWidth="1"/>
    <col min="422" max="422" width="24.125" style="34" customWidth="1"/>
    <col min="423" max="423" width="21.375" style="34" customWidth="1"/>
    <col min="424" max="424" width="19.375" style="34" customWidth="1"/>
    <col min="425" max="425" width="20" style="34" customWidth="1"/>
    <col min="426" max="426" width="23.25" style="34" customWidth="1"/>
    <col min="427" max="427" width="18" style="34" customWidth="1"/>
    <col min="428" max="458" width="19" style="34" customWidth="1"/>
    <col min="459" max="463" width="20.25" style="34" customWidth="1"/>
    <col min="464" max="464" width="17.25" style="34" customWidth="1"/>
    <col min="465" max="465" width="17.75" style="34" customWidth="1"/>
    <col min="466" max="466" width="16.5" style="34" customWidth="1"/>
    <col min="467" max="469" width="21" style="34" customWidth="1"/>
    <col min="470" max="470" width="18.5" style="34" customWidth="1"/>
    <col min="471" max="475" width="21" style="34" customWidth="1"/>
    <col min="476" max="476" width="15.125" style="34" customWidth="1"/>
    <col min="477" max="492" width="21" style="34" customWidth="1"/>
    <col min="493" max="493" width="24.25" style="34" customWidth="1"/>
    <col min="494" max="494" width="18.875" style="34" bestFit="1" customWidth="1"/>
    <col min="495" max="495" width="21" style="34" bestFit="1" customWidth="1"/>
    <col min="496" max="496" width="23" style="38" bestFit="1" customWidth="1"/>
    <col min="497" max="497" width="8.625" style="38" bestFit="1" customWidth="1"/>
    <col min="498" max="498" width="21" style="38" bestFit="1" customWidth="1"/>
    <col min="499" max="499" width="23" style="38" bestFit="1" customWidth="1"/>
    <col min="500" max="500" width="8.625" style="38" bestFit="1" customWidth="1"/>
    <col min="501" max="501" width="22.875" style="34" customWidth="1"/>
    <col min="502" max="508" width="20.875" style="38" customWidth="1"/>
    <col min="509" max="509" width="23.25" style="38" customWidth="1"/>
    <col min="510" max="16384" width="9" style="34"/>
  </cols>
  <sheetData>
    <row r="1" spans="1:501" s="38" customFormat="1" ht="15" customHeight="1" x14ac:dyDescent="0.3">
      <c r="A1" s="62" t="s">
        <v>390</v>
      </c>
      <c r="B1" s="62" t="s">
        <v>89</v>
      </c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2"/>
      <c r="AI1" s="2"/>
      <c r="AJ1" s="2"/>
      <c r="AK1" s="2"/>
      <c r="AL1" s="2"/>
      <c r="AM1" s="2"/>
      <c r="AN1" s="2"/>
      <c r="AO1" s="2"/>
      <c r="AP1" s="29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2"/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2"/>
      <c r="EV1" s="2"/>
      <c r="EW1" s="2"/>
      <c r="EX1" s="2"/>
      <c r="EY1" s="2"/>
      <c r="EZ1" s="2"/>
      <c r="FA1" s="2"/>
      <c r="FB1" s="2"/>
      <c r="FC1" s="2"/>
      <c r="FD1" s="2"/>
      <c r="FE1" s="2"/>
      <c r="FF1" s="2"/>
      <c r="FG1" s="2"/>
      <c r="FH1" s="2"/>
      <c r="FI1" s="2"/>
      <c r="FJ1" s="2"/>
      <c r="FK1" s="2"/>
      <c r="FL1" s="2"/>
      <c r="FM1" s="2"/>
      <c r="FN1" s="2"/>
      <c r="FO1" s="2"/>
      <c r="FP1" s="2"/>
      <c r="FQ1" s="2"/>
      <c r="FR1" s="2"/>
      <c r="FS1" s="2"/>
      <c r="FT1" s="2"/>
      <c r="FU1" s="2"/>
      <c r="FV1" s="2"/>
      <c r="FW1" s="2"/>
      <c r="FX1" s="2"/>
      <c r="FY1" s="2"/>
      <c r="FZ1" s="2"/>
      <c r="GA1" s="2"/>
      <c r="GB1" s="2"/>
      <c r="GC1" s="2"/>
      <c r="GD1" s="2"/>
      <c r="GE1" s="2"/>
      <c r="GF1" s="2"/>
      <c r="GG1" s="2"/>
      <c r="GH1" s="2"/>
      <c r="GI1" s="2"/>
      <c r="GJ1" s="2"/>
      <c r="GK1" s="2"/>
      <c r="GL1" s="2"/>
      <c r="GM1" s="2"/>
      <c r="GN1" s="2"/>
      <c r="GO1" s="2"/>
      <c r="GP1" s="2"/>
      <c r="GQ1" s="2"/>
      <c r="GR1" s="23"/>
      <c r="GS1" s="23"/>
      <c r="GT1" s="23"/>
      <c r="GU1" s="23"/>
      <c r="GV1" s="23"/>
      <c r="GW1" s="23"/>
      <c r="GX1" s="23"/>
      <c r="GY1" s="23"/>
      <c r="GZ1" s="23"/>
      <c r="HA1" s="23"/>
      <c r="HB1" s="23"/>
      <c r="HC1" s="23"/>
      <c r="HD1" s="23"/>
      <c r="HE1" s="23"/>
      <c r="HF1" s="23"/>
      <c r="HG1" s="23"/>
      <c r="HH1" s="23"/>
      <c r="HI1" s="23"/>
      <c r="HJ1" s="23"/>
      <c r="HK1" s="23"/>
      <c r="HL1" s="23"/>
      <c r="HM1" s="23"/>
      <c r="HN1" s="23"/>
      <c r="HO1" s="23"/>
      <c r="HP1" s="23"/>
      <c r="HQ1" s="23"/>
      <c r="HR1" s="23"/>
      <c r="HS1" s="23"/>
      <c r="HT1" s="23"/>
      <c r="HU1" s="23"/>
      <c r="HV1" s="23"/>
      <c r="HW1" s="23"/>
      <c r="HX1" s="23"/>
      <c r="HY1" s="23"/>
      <c r="HZ1" s="23"/>
      <c r="IA1" s="23"/>
      <c r="IB1" s="23"/>
      <c r="IC1" s="23"/>
      <c r="ID1" s="23"/>
      <c r="IE1" s="23"/>
      <c r="IF1" s="23"/>
      <c r="IG1" s="23"/>
      <c r="IH1" s="23"/>
      <c r="II1" s="23"/>
      <c r="IJ1" s="23"/>
      <c r="IK1" s="23"/>
      <c r="IL1" s="23"/>
      <c r="IM1" s="23"/>
      <c r="IN1" s="23"/>
      <c r="IO1" s="23"/>
      <c r="IP1" s="23"/>
      <c r="IQ1" s="23"/>
      <c r="IR1" s="23"/>
      <c r="IS1" s="23"/>
      <c r="IT1" s="23"/>
      <c r="IU1" s="23"/>
      <c r="IV1" s="23"/>
      <c r="IW1" s="23"/>
      <c r="IX1" s="23"/>
      <c r="IY1" s="23"/>
      <c r="IZ1" s="23"/>
      <c r="JA1" s="23"/>
      <c r="JB1" s="23"/>
      <c r="JC1" s="23"/>
      <c r="JD1" s="23"/>
      <c r="JE1" s="23"/>
      <c r="JF1" s="23"/>
      <c r="JG1" s="23"/>
      <c r="JH1" s="23"/>
      <c r="JI1" s="23"/>
      <c r="JJ1" s="23"/>
      <c r="JK1" s="23"/>
      <c r="JL1" s="23"/>
      <c r="JM1" s="23"/>
      <c r="JN1" s="23"/>
      <c r="JO1" s="23"/>
      <c r="JP1" s="23"/>
      <c r="JQ1" s="23"/>
      <c r="JR1" s="23"/>
      <c r="JS1" s="23"/>
      <c r="JT1" s="23"/>
      <c r="JU1" s="23"/>
      <c r="JV1" s="23"/>
      <c r="JW1" s="23"/>
      <c r="JX1" s="23"/>
      <c r="JY1" s="23"/>
      <c r="JZ1" s="23"/>
      <c r="KA1" s="23"/>
      <c r="KB1" s="23"/>
      <c r="KC1" s="23"/>
      <c r="KD1" s="23"/>
      <c r="KE1" s="23"/>
      <c r="KF1" s="23"/>
      <c r="KG1" s="23"/>
      <c r="KH1" s="23"/>
      <c r="KI1" s="23"/>
      <c r="KJ1" s="23"/>
      <c r="KK1" s="23"/>
      <c r="KL1" s="23"/>
      <c r="KM1" s="23"/>
      <c r="KN1" s="23"/>
      <c r="KO1" s="23"/>
      <c r="KP1" s="23"/>
      <c r="KQ1" s="23"/>
      <c r="KR1" s="23"/>
      <c r="KS1" s="23"/>
      <c r="KT1" s="23"/>
      <c r="KU1" s="23"/>
      <c r="KV1" s="23"/>
      <c r="KW1" s="23"/>
      <c r="KX1" s="23"/>
      <c r="KY1" s="23"/>
      <c r="KZ1" s="23"/>
      <c r="LA1" s="23"/>
      <c r="LB1" s="23"/>
      <c r="LC1" s="23"/>
      <c r="LD1" s="23"/>
      <c r="LE1" s="23"/>
      <c r="LF1" s="23"/>
      <c r="LG1" s="23"/>
      <c r="LH1" s="23"/>
      <c r="LI1" s="23"/>
      <c r="LJ1" s="23"/>
      <c r="LK1" s="23"/>
      <c r="LL1" s="23"/>
      <c r="LM1" s="23"/>
      <c r="LN1" s="23"/>
      <c r="LO1" s="23"/>
      <c r="LP1" s="23"/>
      <c r="LQ1" s="23"/>
      <c r="LR1" s="23"/>
      <c r="LS1" s="23"/>
      <c r="LT1" s="23"/>
      <c r="LU1" s="23"/>
      <c r="LV1" s="23"/>
      <c r="LW1" s="23"/>
      <c r="LX1" s="23"/>
      <c r="LY1" s="23"/>
      <c r="LZ1" s="23"/>
      <c r="MA1" s="23"/>
      <c r="MB1" s="23"/>
      <c r="MC1" s="23"/>
      <c r="MD1" s="23"/>
      <c r="ME1" s="32"/>
      <c r="MF1" s="23"/>
      <c r="MG1" s="23"/>
      <c r="MH1" s="23"/>
      <c r="MI1" s="23"/>
      <c r="MJ1" s="32"/>
      <c r="MK1" s="32"/>
      <c r="ML1" s="23"/>
      <c r="MM1" s="23"/>
      <c r="MN1" s="23"/>
      <c r="MO1" s="23"/>
      <c r="MP1" s="23"/>
      <c r="MQ1" s="23"/>
      <c r="MR1" s="23"/>
      <c r="MS1" s="23"/>
      <c r="MT1" s="23"/>
      <c r="MU1" s="23"/>
      <c r="MV1" s="23"/>
      <c r="MW1" s="23"/>
      <c r="MX1" s="23"/>
      <c r="MY1" s="23"/>
      <c r="MZ1" s="23"/>
      <c r="NA1" s="23"/>
      <c r="NB1" s="23"/>
      <c r="NC1" s="23"/>
      <c r="ND1" s="23"/>
      <c r="NE1" s="23"/>
      <c r="NF1" s="23"/>
      <c r="NG1" s="23"/>
      <c r="NH1" s="23"/>
      <c r="NI1" s="23"/>
      <c r="NJ1" s="23"/>
      <c r="NK1" s="23"/>
      <c r="NL1" s="23"/>
      <c r="NM1" s="23"/>
      <c r="NN1" s="23"/>
      <c r="NO1" s="23"/>
      <c r="NP1" s="23"/>
      <c r="NQ1" s="23"/>
      <c r="NR1" s="23"/>
      <c r="NS1" s="23"/>
      <c r="NT1" s="23"/>
      <c r="NU1" s="23"/>
      <c r="NV1" s="23"/>
      <c r="NW1" s="23"/>
      <c r="NX1" s="23"/>
      <c r="NY1" s="23"/>
      <c r="NZ1" s="23"/>
      <c r="OA1" s="23"/>
      <c r="OB1" s="23"/>
      <c r="OC1" s="23"/>
      <c r="OD1" s="23"/>
      <c r="OE1" s="23"/>
      <c r="OF1" s="23"/>
      <c r="OG1" s="23"/>
      <c r="OH1" s="23"/>
      <c r="OI1" s="23"/>
      <c r="OJ1" s="23"/>
      <c r="OK1" s="23"/>
      <c r="OL1" s="23"/>
      <c r="OM1" s="23"/>
      <c r="ON1" s="23"/>
      <c r="OO1" s="23"/>
      <c r="OP1" s="32"/>
      <c r="OQ1" s="23"/>
      <c r="OR1" s="23"/>
      <c r="OS1" s="23"/>
      <c r="OT1" s="23"/>
      <c r="OU1" s="23"/>
      <c r="OV1" s="23"/>
      <c r="OW1" s="23"/>
      <c r="OX1" s="23"/>
      <c r="OY1" s="23"/>
      <c r="OZ1" s="23"/>
      <c r="PA1" s="23"/>
      <c r="PB1" s="23"/>
      <c r="PC1" s="23"/>
      <c r="PD1" s="23"/>
      <c r="PE1" s="23"/>
      <c r="PF1" s="23"/>
      <c r="PG1" s="23"/>
      <c r="PH1" s="23"/>
      <c r="PI1" s="23"/>
      <c r="PJ1" s="23"/>
      <c r="PK1" s="23"/>
      <c r="PL1" s="32"/>
      <c r="PM1" s="23"/>
      <c r="PN1" s="23"/>
      <c r="PO1" s="23"/>
      <c r="PP1" s="23"/>
      <c r="PQ1" s="23"/>
      <c r="PR1" s="23"/>
      <c r="PS1" s="23"/>
      <c r="PT1" s="23"/>
      <c r="PU1" s="23"/>
      <c r="PV1" s="23"/>
      <c r="PW1" s="23"/>
      <c r="PX1" s="23"/>
      <c r="PY1" s="23"/>
      <c r="PZ1" s="32"/>
      <c r="QA1" s="23"/>
      <c r="QB1" s="23"/>
      <c r="QC1" s="23"/>
      <c r="QD1" s="23"/>
      <c r="QE1" s="23"/>
      <c r="QF1" s="23"/>
      <c r="QG1" s="23"/>
      <c r="QH1" s="23"/>
      <c r="QI1" s="23"/>
      <c r="QJ1" s="23"/>
      <c r="QK1" s="23"/>
      <c r="QL1" s="23"/>
      <c r="QM1" s="23"/>
      <c r="QN1" s="23"/>
      <c r="QO1" s="23"/>
      <c r="QP1" s="23"/>
      <c r="QQ1" s="23"/>
      <c r="QR1" s="23"/>
      <c r="QS1" s="23"/>
      <c r="QT1" s="23"/>
      <c r="QU1" s="23"/>
      <c r="QV1" s="23"/>
      <c r="QW1" s="23"/>
      <c r="QX1" s="23"/>
      <c r="QY1" s="23"/>
      <c r="QZ1" s="23"/>
      <c r="RA1" s="23"/>
      <c r="RB1" s="23"/>
      <c r="RC1" s="23"/>
      <c r="RD1" s="23"/>
      <c r="RE1" s="23"/>
      <c r="RF1" s="23"/>
      <c r="RG1" s="23"/>
      <c r="RH1" s="23"/>
      <c r="RI1" s="23"/>
      <c r="RJ1" s="23"/>
      <c r="RK1" s="23"/>
      <c r="RL1" s="23"/>
      <c r="RM1" s="23"/>
      <c r="RN1" s="23"/>
      <c r="RO1" s="23"/>
      <c r="RP1" s="23"/>
      <c r="RQ1" s="23"/>
      <c r="RR1" s="23"/>
      <c r="RS1" s="23"/>
      <c r="RT1" s="23"/>
      <c r="RU1" s="23"/>
      <c r="RV1" s="23"/>
      <c r="RW1" s="23"/>
      <c r="RX1" s="23"/>
      <c r="RY1" s="23"/>
      <c r="RZ1" s="23"/>
      <c r="SA1" s="23"/>
      <c r="SB1" s="23"/>
      <c r="SC1" s="23"/>
      <c r="SD1" s="23"/>
      <c r="SE1" s="23"/>
      <c r="SF1" s="23"/>
      <c r="SG1" s="23"/>
    </row>
    <row r="2" spans="1:501" s="38" customFormat="1" ht="15" customHeight="1" x14ac:dyDescent="0.3">
      <c r="A2" s="53" t="s">
        <v>67</v>
      </c>
      <c r="B2" s="53" t="s">
        <v>351</v>
      </c>
      <c r="C2" s="53" t="s">
        <v>3</v>
      </c>
      <c r="D2" s="53"/>
      <c r="E2" s="53"/>
      <c r="F2" s="53"/>
      <c r="G2" s="53"/>
      <c r="H2" s="53"/>
      <c r="I2" s="53"/>
      <c r="J2" s="53"/>
      <c r="K2" s="53"/>
      <c r="L2" s="53"/>
      <c r="M2" s="53"/>
      <c r="N2" s="53"/>
      <c r="O2" s="53"/>
      <c r="P2" s="53"/>
      <c r="Q2" s="53"/>
      <c r="R2" s="53"/>
      <c r="S2" s="53"/>
      <c r="T2" s="53"/>
      <c r="U2" s="53"/>
      <c r="V2" s="53"/>
      <c r="W2" s="53"/>
      <c r="X2" s="53"/>
      <c r="Y2" s="53"/>
      <c r="Z2" s="53"/>
      <c r="AA2" s="53"/>
      <c r="AB2" s="53"/>
      <c r="AC2" s="53"/>
      <c r="AD2" s="53"/>
      <c r="AE2" s="53"/>
      <c r="AF2" s="53"/>
      <c r="AG2" s="53"/>
      <c r="AH2" s="34"/>
      <c r="AI2" s="34"/>
      <c r="AJ2" s="34"/>
      <c r="AK2" s="34"/>
      <c r="AL2" s="34"/>
      <c r="AM2" s="34"/>
      <c r="AN2" s="34"/>
      <c r="AO2" s="34"/>
      <c r="AP2" s="34"/>
      <c r="AQ2" s="34"/>
      <c r="AR2" s="34"/>
      <c r="AS2" s="34"/>
      <c r="AT2" s="34"/>
      <c r="AU2" s="34"/>
      <c r="AV2" s="34"/>
      <c r="AW2" s="34"/>
      <c r="AX2" s="34"/>
      <c r="AY2" s="34"/>
      <c r="AZ2" s="34"/>
      <c r="BA2" s="34"/>
      <c r="BB2" s="34"/>
      <c r="BC2" s="34"/>
      <c r="BD2" s="34"/>
      <c r="BE2" s="34"/>
      <c r="BF2" s="34"/>
      <c r="BG2" s="34"/>
      <c r="BH2" s="34"/>
      <c r="BI2" s="34"/>
      <c r="BJ2" s="34"/>
      <c r="BK2" s="34"/>
      <c r="BL2" s="34"/>
      <c r="BM2" s="34"/>
      <c r="BN2" s="34"/>
      <c r="BO2" s="34"/>
      <c r="BP2" s="34"/>
      <c r="BQ2" s="34"/>
      <c r="BR2" s="34"/>
      <c r="BS2" s="34"/>
      <c r="BT2" s="34"/>
      <c r="BU2" s="34"/>
      <c r="BV2" s="34"/>
      <c r="BW2" s="34"/>
      <c r="BX2" s="34"/>
      <c r="BY2" s="34"/>
      <c r="BZ2" s="34"/>
      <c r="CA2" s="34"/>
      <c r="CB2" s="34"/>
      <c r="CC2" s="34"/>
      <c r="CD2" s="34"/>
      <c r="CE2" s="34"/>
      <c r="CF2" s="34"/>
      <c r="CG2" s="34"/>
      <c r="CH2" s="34"/>
      <c r="CI2" s="34"/>
      <c r="CJ2" s="34"/>
      <c r="CK2" s="34"/>
      <c r="CL2" s="34"/>
      <c r="CM2" s="34"/>
      <c r="CN2" s="34"/>
      <c r="CO2" s="34"/>
      <c r="CP2" s="34"/>
      <c r="CQ2" s="34"/>
      <c r="CR2" s="34"/>
      <c r="CS2" s="34"/>
      <c r="CT2" s="34"/>
      <c r="CU2" s="34"/>
      <c r="CV2" s="34"/>
      <c r="CW2" s="34"/>
      <c r="CX2" s="34"/>
      <c r="CY2" s="34"/>
      <c r="CZ2" s="34"/>
      <c r="DA2" s="34"/>
      <c r="DB2" s="34"/>
      <c r="DC2" s="34"/>
      <c r="DD2" s="34"/>
      <c r="DE2" s="34"/>
      <c r="DF2" s="34"/>
      <c r="DG2" s="34"/>
      <c r="DH2" s="34"/>
      <c r="DI2" s="34"/>
      <c r="DJ2" s="34"/>
      <c r="DK2" s="34"/>
      <c r="DL2" s="34"/>
      <c r="DM2" s="34"/>
      <c r="DN2" s="34"/>
      <c r="DO2" s="34"/>
      <c r="DP2" s="34"/>
      <c r="DQ2" s="34"/>
      <c r="DR2" s="34"/>
      <c r="DS2" s="34"/>
      <c r="DT2" s="34"/>
      <c r="DU2" s="34"/>
      <c r="DV2" s="34"/>
      <c r="DW2" s="34"/>
      <c r="DX2" s="34"/>
      <c r="DY2" s="34"/>
      <c r="DZ2" s="34"/>
      <c r="EA2" s="34"/>
      <c r="EB2" s="34"/>
      <c r="EC2" s="34"/>
      <c r="ED2" s="34"/>
      <c r="EE2" s="34"/>
      <c r="EF2" s="34"/>
      <c r="EG2" s="34"/>
      <c r="EH2" s="34"/>
      <c r="EI2" s="34"/>
      <c r="EJ2" s="34"/>
      <c r="EK2" s="34"/>
      <c r="EL2" s="34"/>
      <c r="EM2" s="34"/>
      <c r="EN2" s="34"/>
      <c r="EO2" s="34"/>
      <c r="EP2" s="34"/>
      <c r="EQ2" s="34"/>
      <c r="ER2" s="34"/>
      <c r="ES2" s="34"/>
      <c r="ET2" s="34"/>
      <c r="EU2" s="34"/>
      <c r="EV2" s="34"/>
      <c r="EW2" s="34"/>
      <c r="EX2" s="34"/>
      <c r="EY2" s="34"/>
      <c r="EZ2" s="34"/>
      <c r="FA2" s="34"/>
      <c r="FB2" s="34"/>
      <c r="FC2" s="34"/>
      <c r="FD2" s="34"/>
      <c r="FE2" s="34"/>
      <c r="FF2" s="34"/>
      <c r="FG2" s="34"/>
      <c r="FH2" s="34"/>
      <c r="FI2" s="34"/>
      <c r="FJ2" s="34"/>
      <c r="FK2" s="34"/>
      <c r="FL2" s="34"/>
      <c r="FM2" s="34"/>
      <c r="FN2" s="34"/>
      <c r="FO2" s="34"/>
      <c r="FP2" s="34"/>
      <c r="FQ2" s="34"/>
      <c r="FR2" s="34"/>
      <c r="FS2" s="34"/>
      <c r="FT2" s="34"/>
      <c r="FU2" s="34"/>
      <c r="FV2" s="34"/>
      <c r="FW2" s="34"/>
      <c r="FX2" s="34"/>
      <c r="FY2" s="34"/>
      <c r="FZ2" s="34"/>
      <c r="GA2" s="34"/>
      <c r="GB2" s="34"/>
      <c r="GC2" s="34"/>
      <c r="GD2" s="34"/>
      <c r="GE2" s="34"/>
      <c r="GF2" s="34"/>
      <c r="GG2" s="34"/>
      <c r="GH2" s="34"/>
      <c r="GI2" s="34"/>
      <c r="GJ2" s="34"/>
      <c r="GK2" s="34"/>
      <c r="GL2" s="34"/>
      <c r="GM2" s="34"/>
      <c r="GN2" s="34"/>
      <c r="GO2" s="34"/>
      <c r="GP2" s="34"/>
      <c r="GQ2" s="34"/>
    </row>
    <row r="3" spans="1:501" s="38" customFormat="1" ht="15" customHeight="1" x14ac:dyDescent="0.3">
      <c r="A3" s="34" t="s">
        <v>250</v>
      </c>
      <c r="B3" s="34">
        <v>1</v>
      </c>
      <c r="C3" s="34">
        <v>1</v>
      </c>
      <c r="D3" s="34"/>
      <c r="E3" s="34"/>
      <c r="F3" s="34"/>
      <c r="G3" s="34"/>
      <c r="H3" s="34"/>
      <c r="I3" s="34"/>
      <c r="J3" s="34"/>
      <c r="K3" s="34"/>
      <c r="L3" s="34"/>
      <c r="M3" s="34"/>
      <c r="N3" s="34"/>
      <c r="O3" s="34"/>
      <c r="P3" s="34"/>
      <c r="Q3" s="34"/>
      <c r="R3" s="34"/>
      <c r="S3" s="34"/>
      <c r="T3" s="34"/>
      <c r="U3" s="58"/>
      <c r="V3" s="58"/>
      <c r="W3" s="58"/>
      <c r="X3" s="58"/>
      <c r="Y3" s="58"/>
      <c r="Z3" s="58"/>
      <c r="AA3" s="58"/>
      <c r="AB3" s="58"/>
      <c r="AC3" s="58"/>
      <c r="AD3" s="58"/>
      <c r="AE3" s="58"/>
      <c r="AF3" s="58"/>
      <c r="AG3" s="58"/>
      <c r="AH3" s="34"/>
      <c r="AI3" s="34"/>
      <c r="AJ3" s="34"/>
      <c r="AK3" s="34"/>
      <c r="AL3" s="34"/>
      <c r="AM3" s="34"/>
      <c r="AN3" s="34"/>
      <c r="AO3" s="34"/>
      <c r="AP3" s="34"/>
      <c r="AQ3" s="34"/>
      <c r="AR3" s="34"/>
      <c r="AS3" s="34"/>
      <c r="AT3" s="34"/>
      <c r="AU3" s="34"/>
      <c r="AV3" s="34"/>
      <c r="AW3" s="34"/>
      <c r="AX3" s="34"/>
      <c r="AY3" s="34"/>
      <c r="AZ3" s="34"/>
      <c r="BA3" s="34"/>
      <c r="BB3" s="34"/>
      <c r="BC3" s="34"/>
      <c r="BD3" s="34"/>
      <c r="BE3" s="34"/>
      <c r="BF3" s="34"/>
      <c r="BG3" s="34"/>
      <c r="BH3" s="34"/>
      <c r="BI3" s="34"/>
      <c r="BJ3" s="34"/>
      <c r="BK3" s="34"/>
      <c r="BL3" s="34"/>
      <c r="BM3" s="34"/>
      <c r="BN3" s="34"/>
      <c r="BO3" s="34"/>
      <c r="BP3" s="34"/>
      <c r="BQ3" s="34"/>
      <c r="BR3" s="34"/>
      <c r="BS3" s="34"/>
      <c r="BT3" s="34"/>
      <c r="BU3" s="34"/>
      <c r="BV3" s="34"/>
      <c r="BW3" s="34"/>
      <c r="BX3" s="34"/>
      <c r="BY3" s="34"/>
      <c r="BZ3" s="34"/>
      <c r="CA3" s="34"/>
      <c r="CB3" s="34"/>
      <c r="CC3" s="34"/>
      <c r="CD3" s="34"/>
      <c r="CE3" s="34"/>
      <c r="CF3" s="34"/>
      <c r="CG3" s="34"/>
      <c r="CH3" s="34"/>
      <c r="CI3" s="34"/>
      <c r="CJ3" s="34"/>
      <c r="CK3" s="34"/>
      <c r="CL3" s="34"/>
      <c r="CM3" s="34"/>
      <c r="CN3" s="34"/>
      <c r="CO3" s="34"/>
      <c r="CP3" s="34"/>
      <c r="CQ3" s="34"/>
      <c r="CR3" s="34"/>
      <c r="CS3" s="34"/>
      <c r="CT3" s="34"/>
      <c r="CU3" s="34"/>
      <c r="CV3" s="34"/>
      <c r="CW3" s="34"/>
      <c r="CX3" s="34"/>
      <c r="CY3" s="34"/>
      <c r="CZ3" s="34"/>
      <c r="DA3" s="34"/>
      <c r="DB3" s="34"/>
      <c r="DC3" s="34"/>
      <c r="DD3" s="34"/>
      <c r="DE3" s="34"/>
      <c r="DF3" s="34"/>
      <c r="DG3" s="34"/>
      <c r="DH3" s="34"/>
      <c r="DI3" s="34"/>
      <c r="DJ3" s="34"/>
      <c r="DK3" s="34"/>
      <c r="DL3" s="34"/>
      <c r="DM3" s="34"/>
      <c r="DN3" s="34"/>
      <c r="DO3" s="34"/>
      <c r="DP3" s="34"/>
      <c r="DQ3" s="34"/>
      <c r="DR3" s="34"/>
      <c r="DS3" s="34"/>
      <c r="DT3" s="34"/>
      <c r="DU3" s="34"/>
      <c r="DV3" s="34"/>
      <c r="DW3" s="34"/>
      <c r="DX3" s="34"/>
      <c r="DY3" s="34"/>
      <c r="DZ3" s="34"/>
      <c r="EA3" s="34"/>
      <c r="EB3" s="34"/>
      <c r="EC3" s="34"/>
      <c r="ED3" s="34"/>
      <c r="EE3" s="34"/>
      <c r="EF3" s="34"/>
      <c r="EG3" s="34"/>
      <c r="EH3" s="34"/>
      <c r="EI3" s="34"/>
      <c r="EJ3" s="34"/>
      <c r="EK3" s="34"/>
      <c r="EL3" s="34"/>
      <c r="EM3" s="34"/>
      <c r="EN3" s="34"/>
      <c r="EO3" s="34"/>
      <c r="EP3" s="34"/>
      <c r="EQ3" s="34"/>
      <c r="ER3" s="34"/>
      <c r="ES3" s="34"/>
      <c r="ET3" s="34"/>
      <c r="EU3" s="34"/>
      <c r="EV3" s="34"/>
      <c r="EW3" s="34"/>
      <c r="EX3" s="34"/>
      <c r="EY3" s="34"/>
      <c r="EZ3" s="34"/>
      <c r="FA3" s="34"/>
      <c r="FB3" s="34"/>
      <c r="FC3" s="34"/>
      <c r="FD3" s="34"/>
      <c r="FE3" s="34"/>
      <c r="FF3" s="34"/>
      <c r="FG3" s="34"/>
      <c r="FH3" s="34"/>
      <c r="FI3" s="34"/>
      <c r="FJ3" s="34"/>
      <c r="FK3" s="34"/>
      <c r="FL3" s="34"/>
      <c r="FM3" s="34"/>
      <c r="FN3" s="34"/>
      <c r="FO3" s="34"/>
      <c r="FP3" s="34"/>
      <c r="FQ3" s="34"/>
      <c r="FR3" s="34"/>
      <c r="FS3" s="34"/>
      <c r="FT3" s="34"/>
      <c r="FU3" s="34"/>
      <c r="FV3" s="34"/>
      <c r="FW3" s="34"/>
      <c r="FX3" s="34"/>
      <c r="FY3" s="34"/>
      <c r="FZ3" s="34"/>
      <c r="GA3" s="34"/>
      <c r="GB3" s="34"/>
      <c r="GC3" s="34"/>
      <c r="GD3" s="34"/>
      <c r="GE3" s="34"/>
      <c r="GF3" s="34"/>
      <c r="GG3" s="34"/>
      <c r="GH3" s="34"/>
      <c r="GI3" s="34"/>
      <c r="GJ3" s="34"/>
      <c r="GK3" s="34"/>
      <c r="GL3" s="34"/>
      <c r="GM3" s="34"/>
      <c r="GN3" s="34"/>
      <c r="GO3" s="34"/>
      <c r="GP3" s="34"/>
      <c r="GQ3" s="34"/>
    </row>
    <row r="4" spans="1:501" s="38" customFormat="1" ht="15" customHeight="1" x14ac:dyDescent="0.3">
      <c r="A4" s="34" t="s">
        <v>257</v>
      </c>
      <c r="B4" s="34">
        <v>1</v>
      </c>
      <c r="C4" s="34">
        <v>1</v>
      </c>
      <c r="D4" s="34"/>
      <c r="E4" s="34"/>
      <c r="F4" s="34"/>
      <c r="G4" s="34"/>
      <c r="H4" s="34"/>
      <c r="I4" s="34"/>
      <c r="J4" s="34"/>
      <c r="K4" s="34"/>
      <c r="L4" s="34"/>
      <c r="M4" s="34"/>
      <c r="N4" s="34"/>
      <c r="O4" s="34"/>
      <c r="P4" s="34"/>
      <c r="Q4" s="34"/>
      <c r="R4" s="34"/>
      <c r="S4" s="34"/>
      <c r="T4" s="34"/>
      <c r="U4" s="58"/>
      <c r="V4" s="58"/>
      <c r="W4" s="58"/>
      <c r="X4" s="58"/>
      <c r="Y4" s="58"/>
      <c r="Z4" s="58"/>
      <c r="AA4" s="58"/>
      <c r="AB4" s="58"/>
      <c r="AC4" s="58"/>
      <c r="AD4" s="58"/>
      <c r="AE4" s="58"/>
      <c r="AF4" s="58"/>
      <c r="AG4" s="58"/>
      <c r="AH4" s="34"/>
      <c r="AI4" s="34"/>
      <c r="AJ4" s="34"/>
      <c r="AK4" s="34"/>
      <c r="AL4" s="34"/>
      <c r="AM4" s="34"/>
      <c r="AN4" s="34"/>
      <c r="AO4" s="34"/>
      <c r="AP4" s="34"/>
      <c r="AQ4" s="34"/>
      <c r="AR4" s="34"/>
      <c r="AS4" s="34"/>
      <c r="AT4" s="34"/>
      <c r="AU4" s="34"/>
      <c r="AV4" s="34"/>
      <c r="AW4" s="34"/>
      <c r="AX4" s="34"/>
      <c r="AY4" s="34"/>
      <c r="AZ4" s="34"/>
      <c r="BA4" s="34"/>
      <c r="BB4" s="34"/>
      <c r="BC4" s="34"/>
      <c r="BD4" s="34"/>
      <c r="BE4" s="34"/>
      <c r="BF4" s="34"/>
      <c r="BG4" s="34"/>
      <c r="BH4" s="34"/>
      <c r="BI4" s="34"/>
      <c r="BJ4" s="34"/>
      <c r="BK4" s="34"/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4"/>
      <c r="BZ4" s="34"/>
      <c r="CA4" s="34"/>
      <c r="CB4" s="34"/>
      <c r="CC4" s="34"/>
      <c r="CD4" s="34"/>
      <c r="CE4" s="34"/>
      <c r="CF4" s="34"/>
      <c r="CG4" s="34"/>
      <c r="CH4" s="34"/>
      <c r="CI4" s="34"/>
      <c r="CJ4" s="34"/>
      <c r="CK4" s="34"/>
      <c r="CL4" s="34"/>
      <c r="CM4" s="34"/>
      <c r="CN4" s="34"/>
      <c r="CO4" s="34"/>
      <c r="CP4" s="34"/>
      <c r="CQ4" s="34"/>
      <c r="CR4" s="34"/>
      <c r="CS4" s="34"/>
      <c r="CT4" s="34"/>
      <c r="CU4" s="34"/>
      <c r="CV4" s="34"/>
      <c r="CW4" s="34"/>
      <c r="CX4" s="34"/>
      <c r="CY4" s="34"/>
      <c r="CZ4" s="34"/>
      <c r="DA4" s="34"/>
      <c r="DB4" s="34"/>
      <c r="DC4" s="34"/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4"/>
      <c r="DO4" s="34"/>
      <c r="DP4" s="34"/>
      <c r="DQ4" s="34"/>
      <c r="DR4" s="34"/>
      <c r="DS4" s="34"/>
      <c r="DT4" s="34"/>
      <c r="DU4" s="34"/>
      <c r="DV4" s="34"/>
      <c r="DW4" s="34"/>
      <c r="DX4" s="34"/>
      <c r="DY4" s="34"/>
      <c r="DZ4" s="34"/>
      <c r="EA4" s="34"/>
      <c r="EB4" s="34"/>
      <c r="EC4" s="34"/>
      <c r="ED4" s="34"/>
      <c r="EE4" s="34"/>
      <c r="EF4" s="34"/>
      <c r="EG4" s="34"/>
      <c r="EH4" s="34"/>
      <c r="EI4" s="34"/>
      <c r="EJ4" s="34"/>
      <c r="EK4" s="34"/>
      <c r="EL4" s="34"/>
      <c r="EM4" s="34"/>
      <c r="EN4" s="34"/>
      <c r="EO4" s="34"/>
      <c r="EP4" s="34"/>
      <c r="EQ4" s="34"/>
      <c r="ER4" s="34"/>
      <c r="ES4" s="34"/>
      <c r="ET4" s="34"/>
      <c r="EU4" s="34"/>
      <c r="EV4" s="34"/>
      <c r="EW4" s="34"/>
      <c r="EX4" s="34"/>
      <c r="EY4" s="34"/>
      <c r="EZ4" s="34"/>
      <c r="FA4" s="34"/>
      <c r="FB4" s="34"/>
      <c r="FC4" s="34"/>
      <c r="FD4" s="34"/>
      <c r="FE4" s="34"/>
      <c r="FF4" s="34"/>
      <c r="FG4" s="34"/>
      <c r="FH4" s="34"/>
      <c r="FI4" s="34"/>
      <c r="FJ4" s="34"/>
      <c r="FK4" s="34"/>
      <c r="FL4" s="34"/>
      <c r="FM4" s="34"/>
      <c r="FN4" s="34"/>
      <c r="FO4" s="34"/>
      <c r="FP4" s="34"/>
      <c r="FQ4" s="34"/>
      <c r="FR4" s="34"/>
      <c r="FS4" s="34"/>
      <c r="FT4" s="34"/>
      <c r="FU4" s="34"/>
      <c r="FV4" s="34"/>
      <c r="FW4" s="34"/>
      <c r="FX4" s="34"/>
      <c r="FY4" s="34"/>
      <c r="FZ4" s="34"/>
      <c r="GA4" s="34"/>
      <c r="GB4" s="34"/>
      <c r="GC4" s="34"/>
      <c r="GD4" s="34"/>
      <c r="GE4" s="34"/>
      <c r="GF4" s="34"/>
      <c r="GG4" s="34"/>
      <c r="GH4" s="34"/>
      <c r="GI4" s="34"/>
      <c r="GJ4" s="34"/>
      <c r="GK4" s="34"/>
      <c r="GL4" s="34"/>
      <c r="GM4" s="34"/>
      <c r="GN4" s="34"/>
      <c r="GO4" s="34"/>
      <c r="GP4" s="34"/>
      <c r="GQ4" s="34"/>
    </row>
    <row r="5" spans="1:501" ht="15" customHeight="1" x14ac:dyDescent="0.3">
      <c r="A5" s="34" t="s">
        <v>239</v>
      </c>
      <c r="B5" s="34">
        <v>1</v>
      </c>
      <c r="C5" s="34">
        <v>1</v>
      </c>
    </row>
    <row r="6" spans="1:501" ht="15" customHeight="1" x14ac:dyDescent="0.3">
      <c r="A6" s="34" t="s">
        <v>3</v>
      </c>
      <c r="B6" s="34">
        <v>3</v>
      </c>
      <c r="C6" s="34">
        <v>3</v>
      </c>
    </row>
  </sheetData>
  <phoneticPr fontId="13" type="noConversion"/>
  <printOptions horizontalCentered="1" verticalCentered="1"/>
  <pageMargins left="0" right="0" top="0" bottom="0" header="0" footer="0"/>
  <pageSetup paperSize="9" scale="75" orientation="landscape" r:id="rId1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65C520-B497-4B1D-82F1-2F87C3ADED67}">
  <sheetPr>
    <tabColor theme="7" tint="0.39997558519241921"/>
    <pageSetUpPr fitToPage="1"/>
  </sheetPr>
  <dimension ref="A1:K49"/>
  <sheetViews>
    <sheetView zoomScale="40" zoomScaleNormal="40" zoomScaleSheetLayoutView="75" workbookViewId="0">
      <selection activeCell="A2" sqref="A2:F47"/>
    </sheetView>
  </sheetViews>
  <sheetFormatPr defaultColWidth="9" defaultRowHeight="16.5" x14ac:dyDescent="0.3"/>
  <cols>
    <col min="1" max="1" width="24.75" style="34" customWidth="1"/>
    <col min="2" max="2" width="7.625" style="38" customWidth="1"/>
    <col min="3" max="3" width="30.625" style="34" customWidth="1"/>
    <col min="4" max="4" width="9.875" style="2" customWidth="1"/>
    <col min="5" max="5" width="11.375" style="34" customWidth="1"/>
    <col min="6" max="6" width="11.125" style="2" customWidth="1"/>
    <col min="7" max="7" width="8.375" style="34" customWidth="1"/>
    <col min="8" max="8" width="9" style="34" customWidth="1"/>
    <col min="9" max="13" width="9" style="34"/>
    <col min="14" max="14" width="10.625" style="34" customWidth="1"/>
    <col min="15" max="17" width="9" style="34"/>
    <col min="18" max="18" width="36.5" style="34" bestFit="1" customWidth="1"/>
    <col min="19" max="16384" width="9" style="34"/>
  </cols>
  <sheetData>
    <row r="1" spans="1:11" ht="25.9" customHeight="1" thickBot="1" x14ac:dyDescent="0.35">
      <c r="A1" s="270"/>
      <c r="B1" s="270"/>
      <c r="C1" s="270"/>
      <c r="D1" s="270"/>
      <c r="E1" s="270"/>
      <c r="F1" s="270"/>
    </row>
    <row r="2" spans="1:11" ht="25.9" customHeight="1" x14ac:dyDescent="0.3">
      <c r="A2" s="215">
        <f ca="1">TODAY()</f>
        <v>46314</v>
      </c>
      <c r="B2" s="287" t="s">
        <v>346</v>
      </c>
      <c r="C2" s="287"/>
      <c r="D2" s="287"/>
      <c r="E2" s="287"/>
      <c r="F2" s="288"/>
      <c r="G2" s="67"/>
      <c r="H2" s="67"/>
    </row>
    <row r="3" spans="1:11" ht="40.5" customHeight="1" x14ac:dyDescent="0.3">
      <c r="A3" s="222" t="s">
        <v>67</v>
      </c>
      <c r="B3" s="223" t="s">
        <v>13</v>
      </c>
      <c r="C3" s="242" t="s">
        <v>351</v>
      </c>
      <c r="D3" s="230" t="s">
        <v>2</v>
      </c>
      <c r="E3" s="229" t="s">
        <v>23</v>
      </c>
      <c r="F3" s="231" t="s">
        <v>14</v>
      </c>
      <c r="G3" s="67"/>
      <c r="H3" s="67"/>
    </row>
    <row r="4" spans="1:11" ht="25.35" customHeight="1" x14ac:dyDescent="0.3">
      <c r="A4" s="220" t="s">
        <v>352</v>
      </c>
      <c r="B4" s="224">
        <v>32</v>
      </c>
      <c r="C4" s="227">
        <f>IFERROR(VLOOKUP(A4,'대신 APP예약피벗'!A:SC,2,FALSE),0)</f>
        <v>0</v>
      </c>
      <c r="D4" s="227">
        <f t="shared" ref="D4:D18" si="0">IFERROR(ROUNDDOWN(C4/B4,0),"")</f>
        <v>0</v>
      </c>
      <c r="E4" s="51" t="s">
        <v>109</v>
      </c>
      <c r="F4" s="228">
        <f t="shared" ref="F4:F18" si="1">IFERROR(C4-(D4*B4),"")</f>
        <v>0</v>
      </c>
      <c r="G4" s="67"/>
      <c r="H4" s="67"/>
      <c r="J4" s="73"/>
      <c r="K4" s="73"/>
    </row>
    <row r="5" spans="1:11" ht="25.35" customHeight="1" x14ac:dyDescent="0.3">
      <c r="A5" s="221" t="s">
        <v>255</v>
      </c>
      <c r="B5" s="224">
        <f t="shared" ref="B5:B18" si="2">$B$4</f>
        <v>32</v>
      </c>
      <c r="C5" s="227">
        <f>IFERROR(VLOOKUP(A5,'대신 APP예약피벗'!A:SC,2,FALSE),0)</f>
        <v>0</v>
      </c>
      <c r="D5" s="227">
        <f t="shared" si="0"/>
        <v>0</v>
      </c>
      <c r="E5" s="51" t="s">
        <v>335</v>
      </c>
      <c r="F5" s="228">
        <f t="shared" si="1"/>
        <v>0</v>
      </c>
      <c r="G5" s="67"/>
      <c r="H5" s="67"/>
      <c r="J5" s="73"/>
      <c r="K5" s="73"/>
    </row>
    <row r="6" spans="1:11" ht="25.35" customHeight="1" x14ac:dyDescent="0.3">
      <c r="A6" s="221" t="s">
        <v>249</v>
      </c>
      <c r="B6" s="224">
        <f t="shared" si="2"/>
        <v>32</v>
      </c>
      <c r="C6" s="227">
        <f>IFERROR(VLOOKUP(A6,'대신 APP예약피벗'!A:SC,2,FALSE),0)</f>
        <v>0</v>
      </c>
      <c r="D6" s="227">
        <f>IFERROR(ROUNDDOWN(C6/B6,0),"")</f>
        <v>0</v>
      </c>
      <c r="E6" s="51" t="s">
        <v>272</v>
      </c>
      <c r="F6" s="228">
        <f>IFERROR(C6-(D6*B6),"")</f>
        <v>0</v>
      </c>
      <c r="G6" s="67"/>
      <c r="H6" s="67"/>
      <c r="J6" s="73"/>
      <c r="K6" s="73"/>
    </row>
    <row r="7" spans="1:11" ht="25.35" customHeight="1" x14ac:dyDescent="0.3">
      <c r="A7" s="221" t="s">
        <v>250</v>
      </c>
      <c r="B7" s="224">
        <f t="shared" si="2"/>
        <v>32</v>
      </c>
      <c r="C7" s="227">
        <f>IFERROR(VLOOKUP(A7,'대신 APP예약피벗'!A:SC,2,FALSE),0)</f>
        <v>1</v>
      </c>
      <c r="D7" s="227">
        <f>IFERROR(ROUNDDOWN(C7/B7,0),"")</f>
        <v>0</v>
      </c>
      <c r="E7" s="51" t="s">
        <v>273</v>
      </c>
      <c r="F7" s="228">
        <f>IFERROR(C7-(D7*B7),"")</f>
        <v>1</v>
      </c>
      <c r="G7" s="67"/>
      <c r="H7" s="67"/>
      <c r="J7" s="73"/>
      <c r="K7" s="73"/>
    </row>
    <row r="8" spans="1:11" ht="25.35" customHeight="1" x14ac:dyDescent="0.3">
      <c r="A8" s="221" t="s">
        <v>248</v>
      </c>
      <c r="B8" s="224">
        <f t="shared" si="2"/>
        <v>32</v>
      </c>
      <c r="C8" s="227">
        <f>IFERROR(VLOOKUP(A8,'대신 APP예약피벗'!A:SC,2,FALSE),0)</f>
        <v>0</v>
      </c>
      <c r="D8" s="227">
        <f>IFERROR(ROUNDDOWN(C8/B8,0),"")</f>
        <v>0</v>
      </c>
      <c r="E8" s="51" t="s">
        <v>271</v>
      </c>
      <c r="F8" s="228">
        <f>IFERROR(C8-(D8*B8),"")</f>
        <v>0</v>
      </c>
      <c r="G8" s="67"/>
      <c r="H8" s="67"/>
      <c r="J8" s="73"/>
      <c r="K8" s="73"/>
    </row>
    <row r="9" spans="1:11" ht="25.35" customHeight="1" x14ac:dyDescent="0.3">
      <c r="A9" s="221" t="s">
        <v>246</v>
      </c>
      <c r="B9" s="224">
        <f t="shared" si="2"/>
        <v>32</v>
      </c>
      <c r="C9" s="227">
        <f>IFERROR(VLOOKUP(A9,'대신 APP예약피벗'!A:SC,2,FALSE),0)</f>
        <v>0</v>
      </c>
      <c r="D9" s="227">
        <f t="shared" si="0"/>
        <v>0</v>
      </c>
      <c r="E9" s="51" t="s">
        <v>270</v>
      </c>
      <c r="F9" s="228">
        <f t="shared" si="1"/>
        <v>0</v>
      </c>
      <c r="G9" s="67"/>
      <c r="H9" s="67"/>
      <c r="J9" s="73"/>
      <c r="K9" s="73"/>
    </row>
    <row r="10" spans="1:11" ht="25.35" customHeight="1" x14ac:dyDescent="0.3">
      <c r="A10" s="221" t="s">
        <v>256</v>
      </c>
      <c r="B10" s="224">
        <f t="shared" si="2"/>
        <v>32</v>
      </c>
      <c r="C10" s="227">
        <f>IFERROR(VLOOKUP(A10,'대신 APP예약피벗'!A:SC,2,FALSE),0)</f>
        <v>0</v>
      </c>
      <c r="D10" s="227">
        <f>IFERROR(ROUNDDOWN(C10/B10,0),"")</f>
        <v>0</v>
      </c>
      <c r="E10" s="51" t="s">
        <v>278</v>
      </c>
      <c r="F10" s="228">
        <f>IFERROR(C10-(D10*B10),"")</f>
        <v>0</v>
      </c>
      <c r="G10" s="67"/>
      <c r="H10" s="67"/>
      <c r="J10" s="73"/>
      <c r="K10" s="73"/>
    </row>
    <row r="11" spans="1:11" ht="25.35" customHeight="1" x14ac:dyDescent="0.3">
      <c r="A11" s="221" t="s">
        <v>247</v>
      </c>
      <c r="B11" s="224">
        <f t="shared" si="2"/>
        <v>32</v>
      </c>
      <c r="C11" s="227">
        <f>IFERROR(VLOOKUP(A11,'대신 APP예약피벗'!A:SC,2,FALSE),0)</f>
        <v>0</v>
      </c>
      <c r="D11" s="227">
        <f t="shared" si="0"/>
        <v>0</v>
      </c>
      <c r="E11" s="51" t="s">
        <v>334</v>
      </c>
      <c r="F11" s="228">
        <f t="shared" si="1"/>
        <v>0</v>
      </c>
      <c r="G11" s="67"/>
      <c r="H11" s="67"/>
      <c r="J11" s="73"/>
      <c r="K11" s="73"/>
    </row>
    <row r="12" spans="1:11" ht="25.35" customHeight="1" x14ac:dyDescent="0.3">
      <c r="A12" s="221" t="s">
        <v>251</v>
      </c>
      <c r="B12" s="224">
        <f t="shared" si="2"/>
        <v>32</v>
      </c>
      <c r="C12" s="227">
        <f>IFERROR(VLOOKUP(A12,'대신 APP예약피벗'!A:SC,2,FALSE),0)</f>
        <v>0</v>
      </c>
      <c r="D12" s="227">
        <f t="shared" si="0"/>
        <v>0</v>
      </c>
      <c r="E12" s="51" t="s">
        <v>274</v>
      </c>
      <c r="F12" s="228">
        <f t="shared" si="1"/>
        <v>0</v>
      </c>
      <c r="G12" s="67"/>
      <c r="H12" s="67"/>
      <c r="J12" s="73"/>
      <c r="K12" s="73"/>
    </row>
    <row r="13" spans="1:11" ht="25.35" customHeight="1" x14ac:dyDescent="0.3">
      <c r="A13" s="220" t="s">
        <v>252</v>
      </c>
      <c r="B13" s="224">
        <f t="shared" si="2"/>
        <v>32</v>
      </c>
      <c r="C13" s="227">
        <f>IFERROR(VLOOKUP(A13,'대신 APP예약피벗'!A:SC,2,FALSE),0)</f>
        <v>0</v>
      </c>
      <c r="D13" s="227">
        <f t="shared" si="0"/>
        <v>0</v>
      </c>
      <c r="E13" s="51" t="s">
        <v>275</v>
      </c>
      <c r="F13" s="228">
        <f t="shared" si="1"/>
        <v>0</v>
      </c>
      <c r="G13" s="67"/>
      <c r="H13" s="67"/>
      <c r="J13" s="73"/>
      <c r="K13" s="73"/>
    </row>
    <row r="14" spans="1:11" ht="25.35" customHeight="1" x14ac:dyDescent="0.3">
      <c r="A14" s="221" t="s">
        <v>253</v>
      </c>
      <c r="B14" s="224">
        <f t="shared" si="2"/>
        <v>32</v>
      </c>
      <c r="C14" s="227">
        <f>IFERROR(VLOOKUP(A14,'대신 APP예약피벗'!A:SC,2,FALSE),0)</f>
        <v>0</v>
      </c>
      <c r="D14" s="227">
        <f t="shared" si="0"/>
        <v>0</v>
      </c>
      <c r="E14" s="51" t="s">
        <v>276</v>
      </c>
      <c r="F14" s="228">
        <f t="shared" si="1"/>
        <v>0</v>
      </c>
      <c r="G14" s="67"/>
      <c r="H14" s="67"/>
      <c r="J14" s="73"/>
      <c r="K14" s="73"/>
    </row>
    <row r="15" spans="1:11" ht="25.35" customHeight="1" x14ac:dyDescent="0.3">
      <c r="A15" s="221" t="s">
        <v>254</v>
      </c>
      <c r="B15" s="224">
        <f t="shared" si="2"/>
        <v>32</v>
      </c>
      <c r="C15" s="227">
        <f>IFERROR(VLOOKUP(A15,'대신 APP예약피벗'!A:SC,2,FALSE),0)</f>
        <v>0</v>
      </c>
      <c r="D15" s="227">
        <f t="shared" si="0"/>
        <v>0</v>
      </c>
      <c r="E15" s="51" t="s">
        <v>277</v>
      </c>
      <c r="F15" s="228">
        <f t="shared" si="1"/>
        <v>0</v>
      </c>
      <c r="G15" s="67"/>
      <c r="H15" s="67"/>
      <c r="J15" s="73"/>
      <c r="K15" s="73"/>
    </row>
    <row r="16" spans="1:11" ht="25.35" customHeight="1" x14ac:dyDescent="0.3">
      <c r="A16" s="221" t="s">
        <v>257</v>
      </c>
      <c r="B16" s="224">
        <f t="shared" si="2"/>
        <v>32</v>
      </c>
      <c r="C16" s="227">
        <f>IFERROR(VLOOKUP(A16,'대신 APP예약피벗'!A:SC,2,FALSE),0)</f>
        <v>1</v>
      </c>
      <c r="D16" s="227">
        <f t="shared" si="0"/>
        <v>0</v>
      </c>
      <c r="E16" s="51" t="s">
        <v>279</v>
      </c>
      <c r="F16" s="228">
        <f t="shared" si="1"/>
        <v>1</v>
      </c>
      <c r="G16" s="67"/>
      <c r="H16" s="67"/>
      <c r="J16" s="73"/>
      <c r="K16" s="73"/>
    </row>
    <row r="17" spans="1:11" ht="25.35" customHeight="1" x14ac:dyDescent="0.3">
      <c r="A17" s="221" t="s">
        <v>258</v>
      </c>
      <c r="B17" s="224">
        <f t="shared" si="2"/>
        <v>32</v>
      </c>
      <c r="C17" s="227">
        <f>IFERROR(VLOOKUP(A17,'대신 APP예약피벗'!A:SC,2,FALSE),0)</f>
        <v>0</v>
      </c>
      <c r="D17" s="227">
        <f t="shared" si="0"/>
        <v>0</v>
      </c>
      <c r="E17" s="51" t="s">
        <v>280</v>
      </c>
      <c r="F17" s="228">
        <f t="shared" si="1"/>
        <v>0</v>
      </c>
      <c r="G17" s="67"/>
      <c r="H17" s="67"/>
      <c r="J17" s="73"/>
      <c r="K17" s="73"/>
    </row>
    <row r="18" spans="1:11" ht="25.35" customHeight="1" x14ac:dyDescent="0.3">
      <c r="A18" s="221" t="s">
        <v>259</v>
      </c>
      <c r="B18" s="224">
        <f t="shared" si="2"/>
        <v>32</v>
      </c>
      <c r="C18" s="227">
        <f>IFERROR(VLOOKUP(A18,'대신 APP예약피벗'!A:SC,2,FALSE),0)</f>
        <v>0</v>
      </c>
      <c r="D18" s="227">
        <f t="shared" si="0"/>
        <v>0</v>
      </c>
      <c r="E18" s="51" t="s">
        <v>336</v>
      </c>
      <c r="F18" s="228">
        <f t="shared" si="1"/>
        <v>0</v>
      </c>
      <c r="G18" s="67"/>
      <c r="H18" s="67"/>
      <c r="J18" s="73"/>
      <c r="K18" s="73"/>
    </row>
    <row r="19" spans="1:11" ht="4.5" customHeight="1" x14ac:dyDescent="0.3">
      <c r="A19" s="284"/>
      <c r="B19" s="285"/>
      <c r="C19" s="285"/>
      <c r="D19" s="285"/>
      <c r="E19" s="285"/>
      <c r="F19" s="286"/>
      <c r="J19" s="73"/>
      <c r="K19" s="73"/>
    </row>
    <row r="20" spans="1:11" ht="32.450000000000003" customHeight="1" x14ac:dyDescent="0.3">
      <c r="A20" s="211" t="s">
        <v>122</v>
      </c>
      <c r="B20" s="225">
        <f>$B$4</f>
        <v>32</v>
      </c>
      <c r="C20" s="212">
        <f>SUM(C4:C18)</f>
        <v>2</v>
      </c>
      <c r="D20" s="55">
        <f>IFERROR(ROUNDDOWN(C20/B20,0),"")</f>
        <v>0</v>
      </c>
      <c r="E20" s="213"/>
      <c r="F20" s="214">
        <f>IFERROR(C20-(D20*B20),"")</f>
        <v>2</v>
      </c>
      <c r="J20" s="73"/>
      <c r="K20" s="73"/>
    </row>
    <row r="21" spans="1:11" ht="4.5" customHeight="1" x14ac:dyDescent="0.3">
      <c r="A21" s="183"/>
      <c r="B21" s="224"/>
      <c r="C21" s="50"/>
      <c r="D21" s="50"/>
      <c r="E21" s="50"/>
      <c r="F21" s="184"/>
      <c r="J21" s="73"/>
      <c r="K21" s="73"/>
    </row>
    <row r="22" spans="1:11" ht="25.35" customHeight="1" x14ac:dyDescent="0.3">
      <c r="A22" s="221" t="s">
        <v>241</v>
      </c>
      <c r="B22" s="224">
        <f t="shared" ref="B22:B26" si="3">$B$4</f>
        <v>32</v>
      </c>
      <c r="C22" s="227">
        <f>IFERROR(VLOOKUP(A22,'대신 APP예약피벗'!A:SC,2,FALSE),0)</f>
        <v>0</v>
      </c>
      <c r="D22" s="227">
        <f>IFERROR(ROUNDDOWN(C22/B22,0),"")</f>
        <v>0</v>
      </c>
      <c r="E22" s="51" t="s">
        <v>268</v>
      </c>
      <c r="F22" s="228">
        <f>IFERROR(C22-(D22*B22),"")</f>
        <v>0</v>
      </c>
      <c r="G22" s="67"/>
      <c r="H22" s="67"/>
      <c r="J22" s="73"/>
      <c r="K22" s="73"/>
    </row>
    <row r="23" spans="1:11" ht="25.35" customHeight="1" x14ac:dyDescent="0.3">
      <c r="A23" s="221" t="s">
        <v>242</v>
      </c>
      <c r="B23" s="224">
        <f t="shared" si="3"/>
        <v>32</v>
      </c>
      <c r="C23" s="227">
        <f>IFERROR(VLOOKUP(A23,'대신 APP예약피벗'!A:SC,2,FALSE),0)</f>
        <v>0</v>
      </c>
      <c r="D23" s="227">
        <f>IFERROR(ROUNDDOWN(C23/B23,0),"")</f>
        <v>0</v>
      </c>
      <c r="E23" s="51" t="s">
        <v>337</v>
      </c>
      <c r="F23" s="228">
        <f>IFERROR(C23-(D23*B23),"")</f>
        <v>0</v>
      </c>
      <c r="G23" s="67"/>
      <c r="H23" s="67"/>
      <c r="J23" s="73"/>
      <c r="K23" s="73"/>
    </row>
    <row r="24" spans="1:11" ht="25.35" customHeight="1" x14ac:dyDescent="0.3">
      <c r="A24" s="221" t="s">
        <v>243</v>
      </c>
      <c r="B24" s="224">
        <f t="shared" si="3"/>
        <v>32</v>
      </c>
      <c r="C24" s="227">
        <f>IFERROR(VLOOKUP(A24,'대신 APP예약피벗'!A:SC,2,FALSE),0)</f>
        <v>0</v>
      </c>
      <c r="D24" s="227">
        <f>IFERROR(ROUNDDOWN(C24/B24,0),"")</f>
        <v>0</v>
      </c>
      <c r="E24" s="51" t="s">
        <v>106</v>
      </c>
      <c r="F24" s="228">
        <f>IFERROR(C24-(D24*B24),"")</f>
        <v>0</v>
      </c>
      <c r="G24" s="67"/>
      <c r="H24" s="67"/>
      <c r="J24" s="73"/>
      <c r="K24" s="73"/>
    </row>
    <row r="25" spans="1:11" ht="25.35" customHeight="1" x14ac:dyDescent="0.3">
      <c r="A25" s="221" t="s">
        <v>244</v>
      </c>
      <c r="B25" s="224">
        <f t="shared" si="3"/>
        <v>32</v>
      </c>
      <c r="C25" s="227">
        <f>IFERROR(VLOOKUP(A25,'대신 APP예약피벗'!A:SC,2,FALSE),0)</f>
        <v>0</v>
      </c>
      <c r="D25" s="227">
        <f>IFERROR(ROUNDDOWN(C25/B25,0),"")</f>
        <v>0</v>
      </c>
      <c r="E25" s="51" t="s">
        <v>269</v>
      </c>
      <c r="F25" s="228">
        <f>IFERROR(C25-(D25*B25),"")</f>
        <v>0</v>
      </c>
      <c r="G25" s="67"/>
      <c r="H25" s="67"/>
      <c r="J25" s="73"/>
      <c r="K25" s="73"/>
    </row>
    <row r="26" spans="1:11" ht="25.35" customHeight="1" x14ac:dyDescent="0.3">
      <c r="A26" s="221" t="s">
        <v>245</v>
      </c>
      <c r="B26" s="224">
        <f t="shared" si="3"/>
        <v>32</v>
      </c>
      <c r="C26" s="227">
        <f>IFERROR(VLOOKUP(A26,'대신 APP예약피벗'!A:SC,2,FALSE),0)</f>
        <v>0</v>
      </c>
      <c r="D26" s="227">
        <f>IFERROR(ROUNDDOWN(C26/B26,0),"")</f>
        <v>0</v>
      </c>
      <c r="E26" s="51" t="s">
        <v>118</v>
      </c>
      <c r="F26" s="228">
        <f>IFERROR(C26-(D26*B26),"")</f>
        <v>0</v>
      </c>
      <c r="G26" s="67"/>
      <c r="H26" s="67"/>
      <c r="J26" s="73"/>
      <c r="K26" s="73"/>
    </row>
    <row r="27" spans="1:11" ht="4.5" customHeight="1" x14ac:dyDescent="0.3">
      <c r="A27" s="284"/>
      <c r="B27" s="285"/>
      <c r="C27" s="285"/>
      <c r="D27" s="285"/>
      <c r="E27" s="285"/>
      <c r="F27" s="286"/>
      <c r="G27" s="67"/>
      <c r="H27" s="67"/>
      <c r="J27" s="73"/>
      <c r="K27" s="73"/>
    </row>
    <row r="28" spans="1:11" ht="32.450000000000003" customHeight="1" x14ac:dyDescent="0.3">
      <c r="A28" s="211" t="s">
        <v>285</v>
      </c>
      <c r="B28" s="225">
        <f>$B$4</f>
        <v>32</v>
      </c>
      <c r="C28" s="212">
        <f>SUM(C22:C26)</f>
        <v>0</v>
      </c>
      <c r="D28" s="55">
        <f>IFERROR(ROUNDDOWN(C28/B28,0),"")</f>
        <v>0</v>
      </c>
      <c r="E28" s="213"/>
      <c r="F28" s="214">
        <f>IFERROR(C28-(D28*B28),"")</f>
        <v>0</v>
      </c>
      <c r="G28" s="67"/>
      <c r="H28" s="67"/>
      <c r="J28" s="73"/>
      <c r="K28" s="73"/>
    </row>
    <row r="29" spans="1:11" ht="4.5" customHeight="1" x14ac:dyDescent="0.3">
      <c r="A29" s="284"/>
      <c r="B29" s="285"/>
      <c r="C29" s="285"/>
      <c r="D29" s="285"/>
      <c r="E29" s="285"/>
      <c r="F29" s="286"/>
      <c r="G29" s="67"/>
      <c r="H29" s="67"/>
      <c r="J29" s="73"/>
      <c r="K29" s="73"/>
    </row>
    <row r="30" spans="1:11" ht="25.35" customHeight="1" x14ac:dyDescent="0.3">
      <c r="A30" s="221" t="s">
        <v>239</v>
      </c>
      <c r="B30" s="224">
        <f t="shared" ref="B30:B31" si="4">$B$4</f>
        <v>32</v>
      </c>
      <c r="C30" s="227">
        <f>IFERROR(VLOOKUP(A30,'대신 APP예약피벗'!A:SC,2,FALSE),0)</f>
        <v>1</v>
      </c>
      <c r="D30" s="227">
        <f t="shared" ref="D30:D31" si="5">IFERROR(ROUNDDOWN(C30/B30,0),"")</f>
        <v>0</v>
      </c>
      <c r="E30" s="51" t="s">
        <v>266</v>
      </c>
      <c r="F30" s="228">
        <f t="shared" ref="F30:F31" si="6">IFERROR(C30-(D30*B30),"")</f>
        <v>1</v>
      </c>
      <c r="G30" s="67"/>
      <c r="H30" s="67"/>
      <c r="J30" s="73"/>
      <c r="K30" s="73"/>
    </row>
    <row r="31" spans="1:11" ht="25.35" customHeight="1" x14ac:dyDescent="0.3">
      <c r="A31" s="221" t="s">
        <v>240</v>
      </c>
      <c r="B31" s="224">
        <f t="shared" si="4"/>
        <v>32</v>
      </c>
      <c r="C31" s="227">
        <f>IFERROR(VLOOKUP(A31,'대신 APP예약피벗'!A:SC,2,FALSE),0)</f>
        <v>0</v>
      </c>
      <c r="D31" s="227">
        <f t="shared" si="5"/>
        <v>0</v>
      </c>
      <c r="E31" s="51" t="s">
        <v>267</v>
      </c>
      <c r="F31" s="228">
        <f t="shared" si="6"/>
        <v>0</v>
      </c>
      <c r="G31" s="67"/>
      <c r="H31" s="67"/>
      <c r="J31" s="73"/>
      <c r="K31" s="73"/>
    </row>
    <row r="32" spans="1:11" ht="4.5" customHeight="1" x14ac:dyDescent="0.3">
      <c r="A32" s="284"/>
      <c r="B32" s="285"/>
      <c r="C32" s="285"/>
      <c r="D32" s="285"/>
      <c r="E32" s="285"/>
      <c r="F32" s="286"/>
      <c r="G32" s="67"/>
      <c r="H32" s="67"/>
      <c r="J32" s="73"/>
      <c r="K32" s="73"/>
    </row>
    <row r="33" spans="1:11" ht="32.450000000000003" customHeight="1" x14ac:dyDescent="0.3">
      <c r="A33" s="211" t="s">
        <v>284</v>
      </c>
      <c r="B33" s="225">
        <f>$B$4</f>
        <v>32</v>
      </c>
      <c r="C33" s="212">
        <f>SUM(C30:C31)</f>
        <v>1</v>
      </c>
      <c r="D33" s="55">
        <f>IFERROR(ROUNDDOWN(C33/B33,0),"")</f>
        <v>0</v>
      </c>
      <c r="E33" s="213"/>
      <c r="F33" s="214">
        <f>IFERROR(C33-(D33*B33),"")</f>
        <v>1</v>
      </c>
      <c r="G33" s="67"/>
      <c r="H33" s="67"/>
      <c r="J33" s="73"/>
      <c r="K33" s="73"/>
    </row>
    <row r="34" spans="1:11" ht="4.5" customHeight="1" x14ac:dyDescent="0.3">
      <c r="A34" s="183"/>
      <c r="B34" s="224"/>
      <c r="C34" s="50"/>
      <c r="D34" s="50"/>
      <c r="E34" s="50"/>
      <c r="F34" s="184"/>
      <c r="G34" s="67"/>
      <c r="H34" s="67"/>
      <c r="J34" s="73"/>
      <c r="K34" s="73"/>
    </row>
    <row r="35" spans="1:11" ht="25.35" customHeight="1" x14ac:dyDescent="0.3">
      <c r="A35" s="221" t="s">
        <v>236</v>
      </c>
      <c r="B35" s="224">
        <f t="shared" ref="B35:B37" si="7">$B$4</f>
        <v>32</v>
      </c>
      <c r="C35" s="227">
        <f>IFERROR(VLOOKUP(A35,'대신 APP예약피벗'!A:SC,2,FALSE),0)</f>
        <v>0</v>
      </c>
      <c r="D35" s="227">
        <f>IFERROR(ROUNDDOWN(C35/B35,0),"")</f>
        <v>0</v>
      </c>
      <c r="E35" s="51" t="s">
        <v>264</v>
      </c>
      <c r="F35" s="228">
        <f>IFERROR(C35-(D35*B35),"")</f>
        <v>0</v>
      </c>
      <c r="G35" s="67"/>
      <c r="H35" s="67"/>
      <c r="J35" s="73"/>
      <c r="K35" s="73"/>
    </row>
    <row r="36" spans="1:11" ht="25.35" customHeight="1" x14ac:dyDescent="0.3">
      <c r="A36" s="221" t="s">
        <v>237</v>
      </c>
      <c r="B36" s="224">
        <f t="shared" si="7"/>
        <v>32</v>
      </c>
      <c r="C36" s="227">
        <f>IFERROR(VLOOKUP(A36,'대신 APP예약피벗'!A:SC,2,FALSE),0)</f>
        <v>0</v>
      </c>
      <c r="D36" s="227">
        <f t="shared" ref="D36:D37" si="8">IFERROR(ROUNDDOWN(C36/B36,0),"")</f>
        <v>0</v>
      </c>
      <c r="E36" s="51" t="s">
        <v>338</v>
      </c>
      <c r="F36" s="228">
        <f t="shared" ref="F36:F37" si="9">IFERROR(C36-(D36*B36),"")</f>
        <v>0</v>
      </c>
      <c r="G36" s="67"/>
      <c r="H36" s="67"/>
      <c r="J36" s="73"/>
      <c r="K36" s="73"/>
    </row>
    <row r="37" spans="1:11" ht="25.35" customHeight="1" x14ac:dyDescent="0.3">
      <c r="A37" s="221" t="s">
        <v>238</v>
      </c>
      <c r="B37" s="224">
        <f t="shared" si="7"/>
        <v>32</v>
      </c>
      <c r="C37" s="227">
        <f>IFERROR(VLOOKUP(A37,'대신 APP예약피벗'!A:SC,2,FALSE),0)</f>
        <v>0</v>
      </c>
      <c r="D37" s="227">
        <f t="shared" si="8"/>
        <v>0</v>
      </c>
      <c r="E37" s="51" t="s">
        <v>265</v>
      </c>
      <c r="F37" s="228">
        <f t="shared" si="9"/>
        <v>0</v>
      </c>
      <c r="G37" s="67"/>
      <c r="H37" s="67"/>
      <c r="J37" s="73"/>
      <c r="K37" s="73"/>
    </row>
    <row r="38" spans="1:11" ht="4.5" customHeight="1" x14ac:dyDescent="0.3">
      <c r="A38" s="284"/>
      <c r="B38" s="285"/>
      <c r="C38" s="285"/>
      <c r="D38" s="285"/>
      <c r="E38" s="285"/>
      <c r="F38" s="286"/>
      <c r="G38" s="67"/>
      <c r="H38" s="67"/>
      <c r="J38" s="73"/>
      <c r="K38" s="73"/>
    </row>
    <row r="39" spans="1:11" ht="32.450000000000003" customHeight="1" x14ac:dyDescent="0.3">
      <c r="A39" s="211" t="s">
        <v>283</v>
      </c>
      <c r="B39" s="225">
        <f>$B$4</f>
        <v>32</v>
      </c>
      <c r="C39" s="212">
        <f>SUM(C35:C37)</f>
        <v>0</v>
      </c>
      <c r="D39" s="55">
        <f>IFERROR(ROUNDDOWN(C39/B39,0),"")</f>
        <v>0</v>
      </c>
      <c r="E39" s="213"/>
      <c r="F39" s="214">
        <f>IFERROR(C39-(D39*B39),"")</f>
        <v>0</v>
      </c>
      <c r="G39" s="67"/>
      <c r="H39" s="67"/>
      <c r="J39" s="73"/>
      <c r="K39" s="73"/>
    </row>
    <row r="40" spans="1:11" ht="4.5" customHeight="1" x14ac:dyDescent="0.3">
      <c r="A40" s="183"/>
      <c r="B40" s="224"/>
      <c r="C40" s="50"/>
      <c r="D40" s="50"/>
      <c r="E40" s="50"/>
      <c r="F40" s="184"/>
      <c r="G40" s="67"/>
      <c r="H40" s="67"/>
      <c r="J40" s="73"/>
      <c r="K40" s="73"/>
    </row>
    <row r="41" spans="1:11" ht="25.35" customHeight="1" x14ac:dyDescent="0.3">
      <c r="A41" s="221" t="s">
        <v>261</v>
      </c>
      <c r="B41" s="224">
        <f t="shared" ref="B41:B42" si="10">$B$4</f>
        <v>32</v>
      </c>
      <c r="C41" s="227">
        <f>IFERROR(VLOOKUP(A41,'대신 APP예약피벗'!A:SC,2,FALSE),0)</f>
        <v>0</v>
      </c>
      <c r="D41" s="227">
        <f t="shared" ref="D41:D42" si="11">IFERROR(ROUNDDOWN(C41/B41,0),"")</f>
        <v>0</v>
      </c>
      <c r="E41" s="51" t="s">
        <v>281</v>
      </c>
      <c r="F41" s="228">
        <f t="shared" ref="F41:F42" si="12">IFERROR(C41-(D41*B41),"")</f>
        <v>0</v>
      </c>
      <c r="G41" s="67"/>
      <c r="H41" s="67"/>
      <c r="J41" s="73"/>
      <c r="K41" s="73"/>
    </row>
    <row r="42" spans="1:11" ht="25.35" customHeight="1" x14ac:dyDescent="0.3">
      <c r="A42" s="221" t="s">
        <v>262</v>
      </c>
      <c r="B42" s="224">
        <f t="shared" si="10"/>
        <v>32</v>
      </c>
      <c r="C42" s="227">
        <f>IFERROR(VLOOKUP(A42,'대신 APP예약피벗'!A:SC,2,FALSE),0)</f>
        <v>0</v>
      </c>
      <c r="D42" s="227">
        <f t="shared" si="11"/>
        <v>0</v>
      </c>
      <c r="E42" s="51" t="s">
        <v>282</v>
      </c>
      <c r="F42" s="228">
        <f t="shared" si="12"/>
        <v>0</v>
      </c>
      <c r="G42" s="67"/>
      <c r="H42" s="67"/>
      <c r="J42" s="73"/>
      <c r="K42" s="73"/>
    </row>
    <row r="43" spans="1:11" ht="4.5" customHeight="1" x14ac:dyDescent="0.3">
      <c r="A43" s="284"/>
      <c r="B43" s="285"/>
      <c r="C43" s="285"/>
      <c r="D43" s="285"/>
      <c r="E43" s="285"/>
      <c r="F43" s="286"/>
      <c r="G43" s="67"/>
      <c r="H43" s="67"/>
      <c r="J43" s="73"/>
      <c r="K43" s="73"/>
    </row>
    <row r="44" spans="1:11" ht="32.450000000000003" customHeight="1" x14ac:dyDescent="0.3">
      <c r="A44" s="211" t="s">
        <v>339</v>
      </c>
      <c r="B44" s="225">
        <f>$B$4</f>
        <v>32</v>
      </c>
      <c r="C44" s="212">
        <f>SUM(C41:C42)</f>
        <v>0</v>
      </c>
      <c r="D44" s="55">
        <f>IFERROR(ROUNDDOWN(C44/B44,0),"")</f>
        <v>0</v>
      </c>
      <c r="E44" s="213"/>
      <c r="F44" s="214">
        <f>IFERROR(C44-(D44*B44),"")</f>
        <v>0</v>
      </c>
      <c r="G44" s="67"/>
      <c r="H44" s="67"/>
      <c r="J44" s="73"/>
      <c r="K44" s="73"/>
    </row>
    <row r="45" spans="1:11" ht="4.5" customHeight="1" thickBot="1" x14ac:dyDescent="0.35">
      <c r="A45" s="183"/>
      <c r="B45" s="50"/>
      <c r="C45" s="50"/>
      <c r="D45" s="50"/>
      <c r="E45" s="50"/>
      <c r="F45" s="184"/>
      <c r="G45" s="67"/>
      <c r="H45" s="67"/>
      <c r="J45" s="73"/>
      <c r="K45" s="73"/>
    </row>
    <row r="46" spans="1:11" ht="26.25" x14ac:dyDescent="0.3">
      <c r="A46" s="87" t="s">
        <v>3</v>
      </c>
      <c r="B46" s="226">
        <f>$B$4</f>
        <v>32</v>
      </c>
      <c r="C46" s="55">
        <f>SUM(C4:C18,C35:C37,C30:C31,C22:C26,C41:C42)</f>
        <v>3</v>
      </c>
      <c r="D46" s="54">
        <f>IFERROR(ROUNDDOWN(C46/B46,0),"")</f>
        <v>0</v>
      </c>
      <c r="E46" s="56"/>
      <c r="F46" s="121">
        <f>IFERROR(C46-(D46*B46),"")</f>
        <v>3</v>
      </c>
      <c r="G46" s="232" t="s">
        <v>110</v>
      </c>
      <c r="H46" s="233" t="s">
        <v>111</v>
      </c>
      <c r="J46" s="73"/>
      <c r="K46" s="73"/>
    </row>
    <row r="47" spans="1:11" ht="27" thickBot="1" x14ac:dyDescent="0.35">
      <c r="A47" s="42" t="s">
        <v>286</v>
      </c>
      <c r="B47" s="43" t="s">
        <v>173</v>
      </c>
      <c r="C47" s="40"/>
      <c r="D47" s="41">
        <f>SUM(D4:D18,D35:D37,D30:D31,D22:D26,D41:D42)</f>
        <v>0</v>
      </c>
      <c r="E47" s="48"/>
      <c r="F47" s="93">
        <f>SUM(F4:F18,F35:F37,F30:F31,F22:F26,F41:F42)</f>
        <v>3</v>
      </c>
      <c r="G47" s="216">
        <f>IFERROR(ROUNDDOWN(F47/B35,0),"")</f>
        <v>0</v>
      </c>
      <c r="H47" s="217">
        <f>IFERROR(F47-(G47*B35),"")</f>
        <v>3</v>
      </c>
    </row>
    <row r="48" spans="1:11" ht="22.5" customHeight="1" x14ac:dyDescent="0.3">
      <c r="C48" s="77">
        <f>C20+C28+C33+C39+C44</f>
        <v>3</v>
      </c>
      <c r="G48" s="199"/>
      <c r="H48" s="34" t="s">
        <v>174</v>
      </c>
    </row>
    <row r="49" spans="3:3" x14ac:dyDescent="0.3">
      <c r="C49" s="34" t="b">
        <f>C48=C46</f>
        <v>1</v>
      </c>
    </row>
  </sheetData>
  <mergeCells count="8">
    <mergeCell ref="A38:F38"/>
    <mergeCell ref="A43:F43"/>
    <mergeCell ref="A1:F1"/>
    <mergeCell ref="B2:F2"/>
    <mergeCell ref="A19:F19"/>
    <mergeCell ref="A27:F27"/>
    <mergeCell ref="A29:F29"/>
    <mergeCell ref="A32:F32"/>
  </mergeCells>
  <phoneticPr fontId="13" type="noConversion"/>
  <printOptions horizontalCentered="1" verticalCentered="1"/>
  <pageMargins left="0" right="0" top="0" bottom="0" header="0" footer="0"/>
  <pageSetup paperSize="9" scale="77" orientation="portrait" r:id="rId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5DBD05-D33B-49C5-981B-1B06029DC482}">
  <sheetPr>
    <tabColor rgb="FFE977DB"/>
  </sheetPr>
  <dimension ref="A1:SP34"/>
  <sheetViews>
    <sheetView zoomScale="55" zoomScaleNormal="55" zoomScaleSheetLayoutView="75" workbookViewId="0">
      <selection activeCell="B29" sqref="B29:G29"/>
    </sheetView>
  </sheetViews>
  <sheetFormatPr defaultColWidth="9" defaultRowHeight="15" customHeight="1" x14ac:dyDescent="0.3"/>
  <cols>
    <col min="1" max="20" width="37.625" style="34" customWidth="1"/>
    <col min="21" max="21" width="22.25" style="34" bestFit="1" customWidth="1"/>
    <col min="22" max="24" width="18.375" style="34" customWidth="1"/>
    <col min="25" max="25" width="27.625" style="34" bestFit="1" customWidth="1"/>
    <col min="26" max="27" width="18.375" style="34" customWidth="1"/>
    <col min="28" max="28" width="27.625" style="34" bestFit="1" customWidth="1"/>
    <col min="29" max="29" width="18.375" style="34" customWidth="1"/>
    <col min="30" max="30" width="25.375" style="34" bestFit="1" customWidth="1"/>
    <col min="31" max="31" width="21" style="34" bestFit="1" customWidth="1"/>
    <col min="32" max="32" width="27.625" style="34" bestFit="1" customWidth="1"/>
    <col min="33" max="33" width="18.375" style="34" customWidth="1"/>
    <col min="34" max="34" width="27.625" style="34" bestFit="1" customWidth="1"/>
    <col min="35" max="388" width="30.375" style="34" customWidth="1"/>
    <col min="389" max="390" width="21.25" style="34" customWidth="1"/>
    <col min="391" max="406" width="20.5" style="34" customWidth="1"/>
    <col min="407" max="407" width="21" style="34" bestFit="1" customWidth="1"/>
    <col min="408" max="408" width="25.125" style="34" bestFit="1" customWidth="1"/>
    <col min="409" max="409" width="23" style="34" bestFit="1" customWidth="1"/>
    <col min="410" max="410" width="33.375" style="34" bestFit="1" customWidth="1"/>
    <col min="411" max="411" width="25.125" style="34" bestFit="1" customWidth="1"/>
    <col min="412" max="412" width="28.875" style="34" bestFit="1" customWidth="1"/>
    <col min="413" max="413" width="23" style="34" bestFit="1" customWidth="1"/>
    <col min="414" max="414" width="18.875" style="34" customWidth="1"/>
    <col min="415" max="415" width="23" style="34" bestFit="1" customWidth="1"/>
    <col min="416" max="416" width="25.125" style="34" bestFit="1" customWidth="1"/>
    <col min="417" max="417" width="18.875" style="34" customWidth="1"/>
    <col min="418" max="418" width="19.125" style="34" customWidth="1"/>
    <col min="419" max="419" width="18.125" style="34" customWidth="1"/>
    <col min="420" max="420" width="18.875" style="34" customWidth="1"/>
    <col min="421" max="421" width="26.625" style="34" customWidth="1"/>
    <col min="422" max="422" width="22.125" style="34" customWidth="1"/>
    <col min="423" max="423" width="24.125" style="34" customWidth="1"/>
    <col min="424" max="424" width="21.375" style="34" customWidth="1"/>
    <col min="425" max="425" width="19.375" style="34" customWidth="1"/>
    <col min="426" max="426" width="20" style="34" customWidth="1"/>
    <col min="427" max="427" width="23.25" style="34" customWidth="1"/>
    <col min="428" max="428" width="18" style="34" customWidth="1"/>
    <col min="429" max="459" width="19" style="34" customWidth="1"/>
    <col min="460" max="464" width="20.25" style="34" customWidth="1"/>
    <col min="465" max="465" width="17.25" style="34" customWidth="1"/>
    <col min="466" max="466" width="17.75" style="34" customWidth="1"/>
    <col min="467" max="467" width="16.5" style="34" customWidth="1"/>
    <col min="468" max="470" width="21" style="34" customWidth="1"/>
    <col min="471" max="471" width="18.5" style="34" customWidth="1"/>
    <col min="472" max="476" width="21" style="34" customWidth="1"/>
    <col min="477" max="477" width="15.125" style="34" customWidth="1"/>
    <col min="478" max="493" width="21" style="34" customWidth="1"/>
    <col min="494" max="494" width="24.25" style="34" customWidth="1"/>
    <col min="495" max="495" width="18.875" style="34" bestFit="1" customWidth="1"/>
    <col min="496" max="496" width="21" style="34" bestFit="1" customWidth="1"/>
    <col min="497" max="497" width="23" style="38" bestFit="1" customWidth="1"/>
    <col min="498" max="498" width="8.625" style="38" bestFit="1" customWidth="1"/>
    <col min="499" max="499" width="21" style="38" bestFit="1" customWidth="1"/>
    <col min="500" max="500" width="23" style="38" bestFit="1" customWidth="1"/>
    <col min="501" max="501" width="8.625" style="38" bestFit="1" customWidth="1"/>
    <col min="502" max="502" width="22.875" style="34" customWidth="1"/>
    <col min="503" max="509" width="20.875" style="38" customWidth="1"/>
    <col min="510" max="510" width="23.25" style="38" customWidth="1"/>
    <col min="511" max="16384" width="9" style="34"/>
  </cols>
  <sheetData>
    <row r="1" spans="1:502" s="38" customFormat="1" ht="15" customHeight="1" x14ac:dyDescent="0.3">
      <c r="A1" s="62" t="s">
        <v>391</v>
      </c>
      <c r="B1" s="62" t="s">
        <v>89</v>
      </c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2"/>
      <c r="AJ1" s="2"/>
      <c r="AK1" s="2"/>
      <c r="AL1" s="2"/>
      <c r="AM1" s="2"/>
      <c r="AN1" s="2"/>
      <c r="AO1" s="2"/>
      <c r="AP1" s="2"/>
      <c r="AQ1" s="29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2"/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2"/>
      <c r="EV1" s="2"/>
      <c r="EW1" s="2"/>
      <c r="EX1" s="2"/>
      <c r="EY1" s="2"/>
      <c r="EZ1" s="2"/>
      <c r="FA1" s="2"/>
      <c r="FB1" s="2"/>
      <c r="FC1" s="2"/>
      <c r="FD1" s="2"/>
      <c r="FE1" s="2"/>
      <c r="FF1" s="2"/>
      <c r="FG1" s="2"/>
      <c r="FH1" s="2"/>
      <c r="FI1" s="2"/>
      <c r="FJ1" s="2"/>
      <c r="FK1" s="2"/>
      <c r="FL1" s="2"/>
      <c r="FM1" s="2"/>
      <c r="FN1" s="2"/>
      <c r="FO1" s="2"/>
      <c r="FP1" s="2"/>
      <c r="FQ1" s="2"/>
      <c r="FR1" s="2"/>
      <c r="FS1" s="2"/>
      <c r="FT1" s="2"/>
      <c r="FU1" s="2"/>
      <c r="FV1" s="2"/>
      <c r="FW1" s="2"/>
      <c r="FX1" s="2"/>
      <c r="FY1" s="2"/>
      <c r="FZ1" s="2"/>
      <c r="GA1" s="2"/>
      <c r="GB1" s="2"/>
      <c r="GC1" s="2"/>
      <c r="GD1" s="2"/>
      <c r="GE1" s="2"/>
      <c r="GF1" s="2"/>
      <c r="GG1" s="2"/>
      <c r="GH1" s="2"/>
      <c r="GI1" s="2"/>
      <c r="GJ1" s="2"/>
      <c r="GK1" s="2"/>
      <c r="GL1" s="2"/>
      <c r="GM1" s="2"/>
      <c r="GN1" s="2"/>
      <c r="GO1" s="2"/>
      <c r="GP1" s="2"/>
      <c r="GQ1" s="2"/>
      <c r="GR1" s="2"/>
      <c r="GS1" s="23"/>
      <c r="GT1" s="23"/>
      <c r="GU1" s="23"/>
      <c r="GV1" s="23"/>
      <c r="GW1" s="23"/>
      <c r="GX1" s="23"/>
      <c r="GY1" s="23"/>
      <c r="GZ1" s="23"/>
      <c r="HA1" s="23"/>
      <c r="HB1" s="23"/>
      <c r="HC1" s="23"/>
      <c r="HD1" s="23"/>
      <c r="HE1" s="23"/>
      <c r="HF1" s="23"/>
      <c r="HG1" s="23"/>
      <c r="HH1" s="23"/>
      <c r="HI1" s="23"/>
      <c r="HJ1" s="23"/>
      <c r="HK1" s="23"/>
      <c r="HL1" s="23"/>
      <c r="HM1" s="23"/>
      <c r="HN1" s="23"/>
      <c r="HO1" s="23"/>
      <c r="HP1" s="23"/>
      <c r="HQ1" s="23"/>
      <c r="HR1" s="23"/>
      <c r="HS1" s="23"/>
      <c r="HT1" s="23"/>
      <c r="HU1" s="23"/>
      <c r="HV1" s="23"/>
      <c r="HW1" s="23"/>
      <c r="HX1" s="23"/>
      <c r="HY1" s="23"/>
      <c r="HZ1" s="23"/>
      <c r="IA1" s="23"/>
      <c r="IB1" s="23"/>
      <c r="IC1" s="23"/>
      <c r="ID1" s="23"/>
      <c r="IE1" s="23"/>
      <c r="IF1" s="23"/>
      <c r="IG1" s="23"/>
      <c r="IH1" s="23"/>
      <c r="II1" s="23"/>
      <c r="IJ1" s="23"/>
      <c r="IK1" s="23"/>
      <c r="IL1" s="23"/>
      <c r="IM1" s="23"/>
      <c r="IN1" s="23"/>
      <c r="IO1" s="23"/>
      <c r="IP1" s="23"/>
      <c r="IQ1" s="23"/>
      <c r="IR1" s="23"/>
      <c r="IS1" s="23"/>
      <c r="IT1" s="23"/>
      <c r="IU1" s="23"/>
      <c r="IV1" s="23"/>
      <c r="IW1" s="23"/>
      <c r="IX1" s="23"/>
      <c r="IY1" s="23"/>
      <c r="IZ1" s="23"/>
      <c r="JA1" s="23"/>
      <c r="JB1" s="23"/>
      <c r="JC1" s="23"/>
      <c r="JD1" s="23"/>
      <c r="JE1" s="23"/>
      <c r="JF1" s="23"/>
      <c r="JG1" s="23"/>
      <c r="JH1" s="23"/>
      <c r="JI1" s="23"/>
      <c r="JJ1" s="23"/>
      <c r="JK1" s="23"/>
      <c r="JL1" s="23"/>
      <c r="JM1" s="23"/>
      <c r="JN1" s="23"/>
      <c r="JO1" s="23"/>
      <c r="JP1" s="23"/>
      <c r="JQ1" s="23"/>
      <c r="JR1" s="23"/>
      <c r="JS1" s="23"/>
      <c r="JT1" s="23"/>
      <c r="JU1" s="23"/>
      <c r="JV1" s="23"/>
      <c r="JW1" s="23"/>
      <c r="JX1" s="23"/>
      <c r="JY1" s="23"/>
      <c r="JZ1" s="23"/>
      <c r="KA1" s="23"/>
      <c r="KB1" s="23"/>
      <c r="KC1" s="23"/>
      <c r="KD1" s="23"/>
      <c r="KE1" s="23"/>
      <c r="KF1" s="23"/>
      <c r="KG1" s="23"/>
      <c r="KH1" s="23"/>
      <c r="KI1" s="23"/>
      <c r="KJ1" s="23"/>
      <c r="KK1" s="23"/>
      <c r="KL1" s="23"/>
      <c r="KM1" s="23"/>
      <c r="KN1" s="23"/>
      <c r="KO1" s="23"/>
      <c r="KP1" s="23"/>
      <c r="KQ1" s="23"/>
      <c r="KR1" s="23"/>
      <c r="KS1" s="23"/>
      <c r="KT1" s="23"/>
      <c r="KU1" s="23"/>
      <c r="KV1" s="23"/>
      <c r="KW1" s="23"/>
      <c r="KX1" s="23"/>
      <c r="KY1" s="23"/>
      <c r="KZ1" s="23"/>
      <c r="LA1" s="23"/>
      <c r="LB1" s="23"/>
      <c r="LC1" s="23"/>
      <c r="LD1" s="23"/>
      <c r="LE1" s="23"/>
      <c r="LF1" s="23"/>
      <c r="LG1" s="23"/>
      <c r="LH1" s="23"/>
      <c r="LI1" s="23"/>
      <c r="LJ1" s="23"/>
      <c r="LK1" s="23"/>
      <c r="LL1" s="23"/>
      <c r="LM1" s="23"/>
      <c r="LN1" s="23"/>
      <c r="LO1" s="23"/>
      <c r="LP1" s="23"/>
      <c r="LQ1" s="23"/>
      <c r="LR1" s="23"/>
      <c r="LS1" s="23"/>
      <c r="LT1" s="23"/>
      <c r="LU1" s="23"/>
      <c r="LV1" s="23"/>
      <c r="LW1" s="23"/>
      <c r="LX1" s="23"/>
      <c r="LY1" s="23"/>
      <c r="LZ1" s="23"/>
      <c r="MA1" s="23"/>
      <c r="MB1" s="23"/>
      <c r="MC1" s="23"/>
      <c r="MD1" s="23"/>
      <c r="ME1" s="23"/>
      <c r="MF1" s="32"/>
      <c r="MG1" s="23"/>
      <c r="MH1" s="23"/>
      <c r="MI1" s="23"/>
      <c r="MJ1" s="23"/>
      <c r="MK1" s="32"/>
      <c r="ML1" s="32"/>
      <c r="MM1" s="23"/>
      <c r="MN1" s="23"/>
      <c r="MO1" s="23"/>
      <c r="MP1" s="23"/>
      <c r="MQ1" s="23"/>
      <c r="MR1" s="23"/>
      <c r="MS1" s="23"/>
      <c r="MT1" s="23"/>
      <c r="MU1" s="23"/>
      <c r="MV1" s="23"/>
      <c r="MW1" s="23"/>
      <c r="MX1" s="23"/>
      <c r="MY1" s="23"/>
      <c r="MZ1" s="23"/>
      <c r="NA1" s="23"/>
      <c r="NB1" s="23"/>
      <c r="NC1" s="23"/>
      <c r="ND1" s="23"/>
      <c r="NE1" s="23"/>
      <c r="NF1" s="23"/>
      <c r="NG1" s="23"/>
      <c r="NH1" s="23"/>
      <c r="NI1" s="23"/>
      <c r="NJ1" s="23"/>
      <c r="NK1" s="23"/>
      <c r="NL1" s="23"/>
      <c r="NM1" s="23"/>
      <c r="NN1" s="23"/>
      <c r="NO1" s="23"/>
      <c r="NP1" s="23"/>
      <c r="NQ1" s="23"/>
      <c r="NR1" s="23"/>
      <c r="NS1" s="23"/>
      <c r="NT1" s="23"/>
      <c r="NU1" s="23"/>
      <c r="NV1" s="23"/>
      <c r="NW1" s="23"/>
      <c r="NX1" s="23"/>
      <c r="NY1" s="23"/>
      <c r="NZ1" s="23"/>
      <c r="OA1" s="23"/>
      <c r="OB1" s="23"/>
      <c r="OC1" s="23"/>
      <c r="OD1" s="23"/>
      <c r="OE1" s="23"/>
      <c r="OF1" s="23"/>
      <c r="OG1" s="23"/>
      <c r="OH1" s="23"/>
      <c r="OI1" s="23"/>
      <c r="OJ1" s="23"/>
      <c r="OK1" s="23"/>
      <c r="OL1" s="23"/>
      <c r="OM1" s="23"/>
      <c r="ON1" s="23"/>
      <c r="OO1" s="23"/>
      <c r="OP1" s="23"/>
      <c r="OQ1" s="32"/>
      <c r="OR1" s="23"/>
      <c r="OS1" s="23"/>
      <c r="OT1" s="23"/>
      <c r="OU1" s="23"/>
      <c r="OV1" s="23"/>
      <c r="OW1" s="23"/>
      <c r="OX1" s="23"/>
      <c r="OY1" s="23"/>
      <c r="OZ1" s="23"/>
      <c r="PA1" s="23"/>
      <c r="PB1" s="23"/>
      <c r="PC1" s="23"/>
      <c r="PD1" s="23"/>
      <c r="PE1" s="23"/>
      <c r="PF1" s="23"/>
      <c r="PG1" s="23"/>
      <c r="PH1" s="23"/>
      <c r="PI1" s="23"/>
      <c r="PJ1" s="23"/>
      <c r="PK1" s="23"/>
      <c r="PL1" s="23"/>
      <c r="PM1" s="32"/>
      <c r="PN1" s="23"/>
      <c r="PO1" s="23"/>
      <c r="PP1" s="23"/>
      <c r="PQ1" s="23"/>
      <c r="PR1" s="23"/>
      <c r="PS1" s="23"/>
      <c r="PT1" s="23"/>
      <c r="PU1" s="23"/>
      <c r="PV1" s="23"/>
      <c r="PW1" s="23"/>
      <c r="PX1" s="23"/>
      <c r="PY1" s="23"/>
      <c r="PZ1" s="23"/>
      <c r="QA1" s="32"/>
      <c r="QB1" s="23"/>
      <c r="QC1" s="23"/>
      <c r="QD1" s="23"/>
      <c r="QE1" s="23"/>
      <c r="QF1" s="23"/>
      <c r="QG1" s="23"/>
      <c r="QH1" s="23"/>
      <c r="QI1" s="23"/>
      <c r="QJ1" s="23"/>
      <c r="QK1" s="23"/>
      <c r="QL1" s="23"/>
      <c r="QM1" s="23"/>
      <c r="QN1" s="23"/>
      <c r="QO1" s="23"/>
      <c r="QP1" s="23"/>
      <c r="QQ1" s="23"/>
      <c r="QR1" s="23"/>
      <c r="QS1" s="23"/>
      <c r="QT1" s="23"/>
      <c r="QU1" s="23"/>
      <c r="QV1" s="23"/>
      <c r="QW1" s="23"/>
      <c r="QX1" s="23"/>
      <c r="QY1" s="23"/>
      <c r="QZ1" s="23"/>
      <c r="RA1" s="23"/>
      <c r="RB1" s="23"/>
      <c r="RC1" s="23"/>
      <c r="RD1" s="23"/>
      <c r="RE1" s="23"/>
      <c r="RF1" s="23"/>
      <c r="RG1" s="23"/>
      <c r="RH1" s="23"/>
      <c r="RI1" s="23"/>
      <c r="RJ1" s="23"/>
      <c r="RK1" s="23"/>
      <c r="RL1" s="23"/>
      <c r="RM1" s="23"/>
      <c r="RN1" s="23"/>
      <c r="RO1" s="23"/>
      <c r="RP1" s="23"/>
      <c r="RQ1" s="23"/>
      <c r="RR1" s="23"/>
      <c r="RS1" s="23"/>
      <c r="RT1" s="23"/>
      <c r="RU1" s="23"/>
      <c r="RV1" s="23"/>
      <c r="RW1" s="23"/>
      <c r="RX1" s="23"/>
      <c r="RY1" s="23"/>
      <c r="RZ1" s="23"/>
      <c r="SA1" s="23"/>
      <c r="SB1" s="23"/>
      <c r="SC1" s="23"/>
      <c r="SD1" s="23"/>
      <c r="SE1" s="23"/>
      <c r="SF1" s="23"/>
      <c r="SG1" s="23"/>
      <c r="SH1" s="23"/>
    </row>
    <row r="2" spans="1:502" s="38" customFormat="1" ht="15" customHeight="1" x14ac:dyDescent="0.3">
      <c r="A2" s="53" t="s">
        <v>67</v>
      </c>
      <c r="B2" s="53" t="s">
        <v>369</v>
      </c>
      <c r="C2" s="53" t="s">
        <v>367</v>
      </c>
      <c r="D2" s="53" t="s">
        <v>342</v>
      </c>
      <c r="E2" s="53" t="s">
        <v>363</v>
      </c>
      <c r="F2" s="53" t="s">
        <v>307</v>
      </c>
      <c r="G2" s="53" t="s">
        <v>308</v>
      </c>
      <c r="H2" s="53" t="s">
        <v>3</v>
      </c>
      <c r="I2" s="53"/>
      <c r="J2" s="53"/>
      <c r="K2" s="53"/>
      <c r="L2" s="53"/>
      <c r="M2" s="53"/>
      <c r="N2" s="53"/>
      <c r="O2" s="53"/>
      <c r="P2" s="53"/>
      <c r="Q2" s="53"/>
      <c r="R2" s="53"/>
      <c r="S2" s="53"/>
      <c r="T2" s="53"/>
      <c r="U2" s="53"/>
      <c r="V2" s="53"/>
      <c r="W2" s="53"/>
      <c r="X2" s="53"/>
      <c r="Y2" s="53"/>
      <c r="Z2" s="53"/>
      <c r="AA2" s="53"/>
      <c r="AB2" s="53"/>
      <c r="AC2" s="53"/>
      <c r="AD2" s="53"/>
      <c r="AE2" s="53"/>
      <c r="AF2" s="53"/>
      <c r="AG2" s="53"/>
      <c r="AH2" s="53"/>
      <c r="AI2" s="34"/>
      <c r="AJ2" s="34"/>
      <c r="AK2" s="34"/>
      <c r="AL2" s="34"/>
      <c r="AM2" s="34"/>
      <c r="AN2" s="34"/>
      <c r="AO2" s="34"/>
      <c r="AP2" s="34"/>
      <c r="AQ2" s="34"/>
      <c r="AR2" s="34"/>
      <c r="AS2" s="34"/>
      <c r="AT2" s="34"/>
      <c r="AU2" s="34"/>
      <c r="AV2" s="34"/>
      <c r="AW2" s="34"/>
      <c r="AX2" s="34"/>
      <c r="AY2" s="34"/>
      <c r="AZ2" s="34"/>
      <c r="BA2" s="34"/>
      <c r="BB2" s="34"/>
      <c r="BC2" s="34"/>
      <c r="BD2" s="34"/>
      <c r="BE2" s="34"/>
      <c r="BF2" s="34"/>
      <c r="BG2" s="34"/>
      <c r="BH2" s="34"/>
      <c r="BI2" s="34"/>
      <c r="BJ2" s="34"/>
      <c r="BK2" s="34"/>
      <c r="BL2" s="34"/>
      <c r="BM2" s="34"/>
      <c r="BN2" s="34"/>
      <c r="BO2" s="34"/>
      <c r="BP2" s="34"/>
      <c r="BQ2" s="34"/>
      <c r="BR2" s="34"/>
      <c r="BS2" s="34"/>
      <c r="BT2" s="34"/>
      <c r="BU2" s="34"/>
      <c r="BV2" s="34"/>
      <c r="BW2" s="34"/>
      <c r="BX2" s="34"/>
      <c r="BY2" s="34"/>
      <c r="BZ2" s="34"/>
      <c r="CA2" s="34"/>
      <c r="CB2" s="34"/>
      <c r="CC2" s="34"/>
      <c r="CD2" s="34"/>
      <c r="CE2" s="34"/>
      <c r="CF2" s="34"/>
      <c r="CG2" s="34"/>
      <c r="CH2" s="34"/>
      <c r="CI2" s="34"/>
      <c r="CJ2" s="34"/>
      <c r="CK2" s="34"/>
      <c r="CL2" s="34"/>
      <c r="CM2" s="34"/>
      <c r="CN2" s="34"/>
      <c r="CO2" s="34"/>
      <c r="CP2" s="34"/>
      <c r="CQ2" s="34"/>
      <c r="CR2" s="34"/>
      <c r="CS2" s="34"/>
      <c r="CT2" s="34"/>
      <c r="CU2" s="34"/>
      <c r="CV2" s="34"/>
      <c r="CW2" s="34"/>
      <c r="CX2" s="34"/>
      <c r="CY2" s="34"/>
      <c r="CZ2" s="34"/>
      <c r="DA2" s="34"/>
      <c r="DB2" s="34"/>
      <c r="DC2" s="34"/>
      <c r="DD2" s="34"/>
      <c r="DE2" s="34"/>
      <c r="DF2" s="34"/>
      <c r="DG2" s="34"/>
      <c r="DH2" s="34"/>
      <c r="DI2" s="34"/>
      <c r="DJ2" s="34"/>
      <c r="DK2" s="34"/>
      <c r="DL2" s="34"/>
      <c r="DM2" s="34"/>
      <c r="DN2" s="34"/>
      <c r="DO2" s="34"/>
      <c r="DP2" s="34"/>
      <c r="DQ2" s="34"/>
      <c r="DR2" s="34"/>
      <c r="DS2" s="34"/>
      <c r="DT2" s="34"/>
      <c r="DU2" s="34"/>
      <c r="DV2" s="34"/>
      <c r="DW2" s="34"/>
      <c r="DX2" s="34"/>
      <c r="DY2" s="34"/>
      <c r="DZ2" s="34"/>
      <c r="EA2" s="34"/>
      <c r="EB2" s="34"/>
      <c r="EC2" s="34"/>
      <c r="ED2" s="34"/>
      <c r="EE2" s="34"/>
      <c r="EF2" s="34"/>
      <c r="EG2" s="34"/>
      <c r="EH2" s="34"/>
      <c r="EI2" s="34"/>
      <c r="EJ2" s="34"/>
      <c r="EK2" s="34"/>
      <c r="EL2" s="34"/>
      <c r="EM2" s="34"/>
      <c r="EN2" s="34"/>
      <c r="EO2" s="34"/>
      <c r="EP2" s="34"/>
      <c r="EQ2" s="34"/>
      <c r="ER2" s="34"/>
      <c r="ES2" s="34"/>
      <c r="ET2" s="34"/>
      <c r="EU2" s="34"/>
      <c r="EV2" s="34"/>
      <c r="EW2" s="34"/>
      <c r="EX2" s="34"/>
      <c r="EY2" s="34"/>
      <c r="EZ2" s="34"/>
      <c r="FA2" s="34"/>
      <c r="FB2" s="34"/>
      <c r="FC2" s="34"/>
      <c r="FD2" s="34"/>
      <c r="FE2" s="34"/>
      <c r="FF2" s="34"/>
      <c r="FG2" s="34"/>
      <c r="FH2" s="34"/>
      <c r="FI2" s="34"/>
      <c r="FJ2" s="34"/>
      <c r="FK2" s="34"/>
      <c r="FL2" s="34"/>
      <c r="FM2" s="34"/>
      <c r="FN2" s="34"/>
      <c r="FO2" s="34"/>
      <c r="FP2" s="34"/>
      <c r="FQ2" s="34"/>
      <c r="FR2" s="34"/>
      <c r="FS2" s="34"/>
      <c r="FT2" s="34"/>
      <c r="FU2" s="34"/>
      <c r="FV2" s="34"/>
      <c r="FW2" s="34"/>
      <c r="FX2" s="34"/>
      <c r="FY2" s="34"/>
      <c r="FZ2" s="34"/>
      <c r="GA2" s="34"/>
      <c r="GB2" s="34"/>
      <c r="GC2" s="34"/>
      <c r="GD2" s="34"/>
      <c r="GE2" s="34"/>
      <c r="GF2" s="34"/>
      <c r="GG2" s="34"/>
      <c r="GH2" s="34"/>
      <c r="GI2" s="34"/>
      <c r="GJ2" s="34"/>
      <c r="GK2" s="34"/>
      <c r="GL2" s="34"/>
      <c r="GM2" s="34"/>
      <c r="GN2" s="34"/>
      <c r="GO2" s="34"/>
      <c r="GP2" s="34"/>
      <c r="GQ2" s="34"/>
      <c r="GR2" s="34"/>
    </row>
    <row r="3" spans="1:502" s="38" customFormat="1" ht="15" customHeight="1" x14ac:dyDescent="0.3">
      <c r="A3" s="234" t="s">
        <v>260</v>
      </c>
      <c r="B3" s="234">
        <v>59</v>
      </c>
      <c r="C3" s="234">
        <v>77</v>
      </c>
      <c r="D3" s="234">
        <v>2</v>
      </c>
      <c r="E3" s="234">
        <v>1</v>
      </c>
      <c r="F3" s="234">
        <v>5</v>
      </c>
      <c r="G3" s="234">
        <v>13</v>
      </c>
      <c r="H3" s="234">
        <v>157</v>
      </c>
      <c r="I3" s="34"/>
      <c r="J3" s="34"/>
      <c r="K3" s="34"/>
      <c r="L3" s="34"/>
      <c r="M3" s="34"/>
      <c r="N3" s="34"/>
      <c r="O3" s="34"/>
      <c r="P3" s="34"/>
      <c r="Q3" s="34"/>
      <c r="R3" s="34"/>
      <c r="S3" s="34"/>
      <c r="T3" s="34"/>
      <c r="U3" s="34"/>
      <c r="V3" s="58"/>
      <c r="W3" s="58"/>
      <c r="X3" s="58"/>
      <c r="Y3" s="58"/>
      <c r="Z3" s="58"/>
      <c r="AA3" s="58"/>
      <c r="AB3" s="58"/>
      <c r="AC3" s="58"/>
      <c r="AD3" s="58"/>
      <c r="AE3" s="58"/>
      <c r="AF3" s="58"/>
      <c r="AG3" s="58"/>
      <c r="AH3" s="58"/>
      <c r="AI3" s="34"/>
      <c r="AJ3" s="34"/>
      <c r="AK3" s="34"/>
      <c r="AL3" s="34"/>
      <c r="AM3" s="34"/>
      <c r="AN3" s="34"/>
      <c r="AO3" s="34"/>
      <c r="AP3" s="34"/>
      <c r="AQ3" s="34"/>
      <c r="AR3" s="34"/>
      <c r="AS3" s="34"/>
      <c r="AT3" s="34"/>
      <c r="AU3" s="34"/>
      <c r="AV3" s="34"/>
      <c r="AW3" s="34"/>
      <c r="AX3" s="34"/>
      <c r="AY3" s="34"/>
      <c r="AZ3" s="34"/>
      <c r="BA3" s="34"/>
      <c r="BB3" s="34"/>
      <c r="BC3" s="34"/>
      <c r="BD3" s="34"/>
      <c r="BE3" s="34"/>
      <c r="BF3" s="34"/>
      <c r="BG3" s="34"/>
      <c r="BH3" s="34"/>
      <c r="BI3" s="34"/>
      <c r="BJ3" s="34"/>
      <c r="BK3" s="34"/>
      <c r="BL3" s="34"/>
      <c r="BM3" s="34"/>
      <c r="BN3" s="34"/>
      <c r="BO3" s="34"/>
      <c r="BP3" s="34"/>
      <c r="BQ3" s="34"/>
      <c r="BR3" s="34"/>
      <c r="BS3" s="34"/>
      <c r="BT3" s="34"/>
      <c r="BU3" s="34"/>
      <c r="BV3" s="34"/>
      <c r="BW3" s="34"/>
      <c r="BX3" s="34"/>
      <c r="BY3" s="34"/>
      <c r="BZ3" s="34"/>
      <c r="CA3" s="34"/>
      <c r="CB3" s="34"/>
      <c r="CC3" s="34"/>
      <c r="CD3" s="34"/>
      <c r="CE3" s="34"/>
      <c r="CF3" s="34"/>
      <c r="CG3" s="34"/>
      <c r="CH3" s="34"/>
      <c r="CI3" s="34"/>
      <c r="CJ3" s="34"/>
      <c r="CK3" s="34"/>
      <c r="CL3" s="34"/>
      <c r="CM3" s="34"/>
      <c r="CN3" s="34"/>
      <c r="CO3" s="34"/>
      <c r="CP3" s="34"/>
      <c r="CQ3" s="34"/>
      <c r="CR3" s="34"/>
      <c r="CS3" s="34"/>
      <c r="CT3" s="34"/>
      <c r="CU3" s="34"/>
      <c r="CV3" s="34"/>
      <c r="CW3" s="34"/>
      <c r="CX3" s="34"/>
      <c r="CY3" s="34"/>
      <c r="CZ3" s="34"/>
      <c r="DA3" s="34"/>
      <c r="DB3" s="34"/>
      <c r="DC3" s="34"/>
      <c r="DD3" s="34"/>
      <c r="DE3" s="34"/>
      <c r="DF3" s="34"/>
      <c r="DG3" s="34"/>
      <c r="DH3" s="34"/>
      <c r="DI3" s="34"/>
      <c r="DJ3" s="34"/>
      <c r="DK3" s="34"/>
      <c r="DL3" s="34"/>
      <c r="DM3" s="34"/>
      <c r="DN3" s="34"/>
      <c r="DO3" s="34"/>
      <c r="DP3" s="34"/>
      <c r="DQ3" s="34"/>
      <c r="DR3" s="34"/>
      <c r="DS3" s="34"/>
      <c r="DT3" s="34"/>
      <c r="DU3" s="34"/>
      <c r="DV3" s="34"/>
      <c r="DW3" s="34"/>
      <c r="DX3" s="34"/>
      <c r="DY3" s="34"/>
      <c r="DZ3" s="34"/>
      <c r="EA3" s="34"/>
      <c r="EB3" s="34"/>
      <c r="EC3" s="34"/>
      <c r="ED3" s="34"/>
      <c r="EE3" s="34"/>
      <c r="EF3" s="34"/>
      <c r="EG3" s="34"/>
      <c r="EH3" s="34"/>
      <c r="EI3" s="34"/>
      <c r="EJ3" s="34"/>
      <c r="EK3" s="34"/>
      <c r="EL3" s="34"/>
      <c r="EM3" s="34"/>
      <c r="EN3" s="34"/>
      <c r="EO3" s="34"/>
      <c r="EP3" s="34"/>
      <c r="EQ3" s="34"/>
      <c r="ER3" s="34"/>
      <c r="ES3" s="34"/>
      <c r="ET3" s="34"/>
      <c r="EU3" s="34"/>
      <c r="EV3" s="34"/>
      <c r="EW3" s="34"/>
      <c r="EX3" s="34"/>
      <c r="EY3" s="34"/>
      <c r="EZ3" s="34"/>
      <c r="FA3" s="34"/>
      <c r="FB3" s="34"/>
      <c r="FC3" s="34"/>
      <c r="FD3" s="34"/>
      <c r="FE3" s="34"/>
      <c r="FF3" s="34"/>
      <c r="FG3" s="34"/>
      <c r="FH3" s="34"/>
      <c r="FI3" s="34"/>
      <c r="FJ3" s="34"/>
      <c r="FK3" s="34"/>
      <c r="FL3" s="34"/>
      <c r="FM3" s="34"/>
      <c r="FN3" s="34"/>
      <c r="FO3" s="34"/>
      <c r="FP3" s="34"/>
      <c r="FQ3" s="34"/>
      <c r="FR3" s="34"/>
      <c r="FS3" s="34"/>
      <c r="FT3" s="34"/>
      <c r="FU3" s="34"/>
      <c r="FV3" s="34"/>
      <c r="FW3" s="34"/>
      <c r="FX3" s="34"/>
      <c r="FY3" s="34"/>
      <c r="FZ3" s="34"/>
      <c r="GA3" s="34"/>
      <c r="GB3" s="34"/>
      <c r="GC3" s="34"/>
      <c r="GD3" s="34"/>
      <c r="GE3" s="34"/>
      <c r="GF3" s="34"/>
      <c r="GG3" s="34"/>
      <c r="GH3" s="34"/>
      <c r="GI3" s="34"/>
      <c r="GJ3" s="34"/>
      <c r="GK3" s="34"/>
      <c r="GL3" s="34"/>
      <c r="GM3" s="34"/>
      <c r="GN3" s="34"/>
      <c r="GO3" s="34"/>
      <c r="GP3" s="34"/>
      <c r="GQ3" s="34"/>
      <c r="GR3" s="34"/>
    </row>
    <row r="4" spans="1:502" s="38" customFormat="1" ht="15" customHeight="1" x14ac:dyDescent="0.3">
      <c r="A4" s="34" t="s">
        <v>255</v>
      </c>
      <c r="B4" s="34">
        <v>400</v>
      </c>
      <c r="C4" s="34">
        <v>525</v>
      </c>
      <c r="D4" s="34">
        <v>7</v>
      </c>
      <c r="E4" s="34">
        <v>12</v>
      </c>
      <c r="F4" s="34">
        <v>17</v>
      </c>
      <c r="G4" s="34">
        <v>45</v>
      </c>
      <c r="H4" s="34">
        <v>1006</v>
      </c>
      <c r="I4" s="34"/>
      <c r="J4" s="34"/>
      <c r="K4" s="34"/>
      <c r="L4" s="34"/>
      <c r="M4" s="34"/>
      <c r="N4" s="34"/>
      <c r="O4" s="34"/>
      <c r="P4" s="34"/>
      <c r="Q4" s="34"/>
      <c r="R4" s="34"/>
      <c r="S4" s="34"/>
      <c r="T4" s="34"/>
      <c r="U4" s="34"/>
      <c r="V4" s="58"/>
      <c r="W4" s="58"/>
      <c r="X4" s="58"/>
      <c r="Y4" s="58"/>
      <c r="Z4" s="58"/>
      <c r="AA4" s="58"/>
      <c r="AB4" s="58"/>
      <c r="AC4" s="58"/>
      <c r="AD4" s="58"/>
      <c r="AE4" s="58"/>
      <c r="AF4" s="58"/>
      <c r="AG4" s="58"/>
      <c r="AH4" s="58"/>
      <c r="AI4" s="34"/>
      <c r="AJ4" s="34"/>
      <c r="AK4" s="34"/>
      <c r="AL4" s="34"/>
      <c r="AM4" s="34"/>
      <c r="AN4" s="34"/>
      <c r="AO4" s="34"/>
      <c r="AP4" s="34"/>
      <c r="AQ4" s="34"/>
      <c r="AR4" s="34"/>
      <c r="AS4" s="34"/>
      <c r="AT4" s="34"/>
      <c r="AU4" s="34"/>
      <c r="AV4" s="34"/>
      <c r="AW4" s="34"/>
      <c r="AX4" s="34"/>
      <c r="AY4" s="34"/>
      <c r="AZ4" s="34"/>
      <c r="BA4" s="34"/>
      <c r="BB4" s="34"/>
      <c r="BC4" s="34"/>
      <c r="BD4" s="34"/>
      <c r="BE4" s="34"/>
      <c r="BF4" s="34"/>
      <c r="BG4" s="34"/>
      <c r="BH4" s="34"/>
      <c r="BI4" s="34"/>
      <c r="BJ4" s="34"/>
      <c r="BK4" s="34"/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4"/>
      <c r="BZ4" s="34"/>
      <c r="CA4" s="34"/>
      <c r="CB4" s="34"/>
      <c r="CC4" s="34"/>
      <c r="CD4" s="34"/>
      <c r="CE4" s="34"/>
      <c r="CF4" s="34"/>
      <c r="CG4" s="34"/>
      <c r="CH4" s="34"/>
      <c r="CI4" s="34"/>
      <c r="CJ4" s="34"/>
      <c r="CK4" s="34"/>
      <c r="CL4" s="34"/>
      <c r="CM4" s="34"/>
      <c r="CN4" s="34"/>
      <c r="CO4" s="34"/>
      <c r="CP4" s="34"/>
      <c r="CQ4" s="34"/>
      <c r="CR4" s="34"/>
      <c r="CS4" s="34"/>
      <c r="CT4" s="34"/>
      <c r="CU4" s="34"/>
      <c r="CV4" s="34"/>
      <c r="CW4" s="34"/>
      <c r="CX4" s="34"/>
      <c r="CY4" s="34"/>
      <c r="CZ4" s="34"/>
      <c r="DA4" s="34"/>
      <c r="DB4" s="34"/>
      <c r="DC4" s="34"/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4"/>
      <c r="DO4" s="34"/>
      <c r="DP4" s="34"/>
      <c r="DQ4" s="34"/>
      <c r="DR4" s="34"/>
      <c r="DS4" s="34"/>
      <c r="DT4" s="34"/>
      <c r="DU4" s="34"/>
      <c r="DV4" s="34"/>
      <c r="DW4" s="34"/>
      <c r="DX4" s="34"/>
      <c r="DY4" s="34"/>
      <c r="DZ4" s="34"/>
      <c r="EA4" s="34"/>
      <c r="EB4" s="34"/>
      <c r="EC4" s="34"/>
      <c r="ED4" s="34"/>
      <c r="EE4" s="34"/>
      <c r="EF4" s="34"/>
      <c r="EG4" s="34"/>
      <c r="EH4" s="34"/>
      <c r="EI4" s="34"/>
      <c r="EJ4" s="34"/>
      <c r="EK4" s="34"/>
      <c r="EL4" s="34"/>
      <c r="EM4" s="34"/>
      <c r="EN4" s="34"/>
      <c r="EO4" s="34"/>
      <c r="EP4" s="34"/>
      <c r="EQ4" s="34"/>
      <c r="ER4" s="34"/>
      <c r="ES4" s="34"/>
      <c r="ET4" s="34"/>
      <c r="EU4" s="34"/>
      <c r="EV4" s="34"/>
      <c r="EW4" s="34"/>
      <c r="EX4" s="34"/>
      <c r="EY4" s="34"/>
      <c r="EZ4" s="34"/>
      <c r="FA4" s="34"/>
      <c r="FB4" s="34"/>
      <c r="FC4" s="34"/>
      <c r="FD4" s="34"/>
      <c r="FE4" s="34"/>
      <c r="FF4" s="34"/>
      <c r="FG4" s="34"/>
      <c r="FH4" s="34"/>
      <c r="FI4" s="34"/>
      <c r="FJ4" s="34"/>
      <c r="FK4" s="34"/>
      <c r="FL4" s="34"/>
      <c r="FM4" s="34"/>
      <c r="FN4" s="34"/>
      <c r="FO4" s="34"/>
      <c r="FP4" s="34"/>
      <c r="FQ4" s="34"/>
      <c r="FR4" s="34"/>
      <c r="FS4" s="34"/>
      <c r="FT4" s="34"/>
      <c r="FU4" s="34"/>
      <c r="FV4" s="34"/>
      <c r="FW4" s="34"/>
      <c r="FX4" s="34"/>
      <c r="FY4" s="34"/>
      <c r="FZ4" s="34"/>
      <c r="GA4" s="34"/>
      <c r="GB4" s="34"/>
      <c r="GC4" s="34"/>
      <c r="GD4" s="34"/>
      <c r="GE4" s="34"/>
      <c r="GF4" s="34"/>
      <c r="GG4" s="34"/>
      <c r="GH4" s="34"/>
      <c r="GI4" s="34"/>
      <c r="GJ4" s="34"/>
      <c r="GK4" s="34"/>
      <c r="GL4" s="34"/>
      <c r="GM4" s="34"/>
      <c r="GN4" s="34"/>
      <c r="GO4" s="34"/>
      <c r="GP4" s="34"/>
      <c r="GQ4" s="34"/>
      <c r="GR4" s="34"/>
    </row>
    <row r="5" spans="1:502" s="38" customFormat="1" ht="15" customHeight="1" x14ac:dyDescent="0.3">
      <c r="A5" s="34" t="s">
        <v>254</v>
      </c>
      <c r="B5" s="34">
        <v>278</v>
      </c>
      <c r="C5" s="264">
        <v>377</v>
      </c>
      <c r="D5" s="34">
        <v>2</v>
      </c>
      <c r="E5" s="34">
        <v>10</v>
      </c>
      <c r="F5" s="34">
        <v>12</v>
      </c>
      <c r="G5" s="34">
        <v>38</v>
      </c>
      <c r="H5" s="34">
        <v>804</v>
      </c>
      <c r="I5" s="34"/>
      <c r="J5" s="34"/>
      <c r="K5" s="34"/>
      <c r="L5" s="34"/>
      <c r="M5" s="34"/>
      <c r="N5" s="34"/>
      <c r="O5" s="34"/>
      <c r="P5" s="34"/>
      <c r="Q5" s="34"/>
      <c r="R5" s="34"/>
      <c r="S5" s="34"/>
      <c r="T5" s="34"/>
      <c r="U5" s="34"/>
      <c r="V5" s="58"/>
      <c r="W5" s="58"/>
      <c r="X5" s="58"/>
      <c r="Y5" s="58"/>
      <c r="Z5" s="58"/>
      <c r="AA5" s="58"/>
      <c r="AB5" s="58"/>
      <c r="AC5" s="58"/>
      <c r="AD5" s="58"/>
      <c r="AE5" s="58"/>
      <c r="AF5" s="58"/>
      <c r="AG5" s="58"/>
      <c r="AH5" s="58"/>
      <c r="AI5" s="34"/>
      <c r="AJ5" s="34"/>
      <c r="AK5" s="34"/>
      <c r="AL5" s="34"/>
      <c r="AM5" s="34"/>
      <c r="AN5" s="34"/>
      <c r="AO5" s="34"/>
      <c r="AP5" s="34"/>
      <c r="AQ5" s="34"/>
      <c r="AR5" s="34"/>
      <c r="AS5" s="34"/>
      <c r="AT5" s="34"/>
      <c r="AU5" s="34"/>
      <c r="AV5" s="34"/>
      <c r="AW5" s="34"/>
      <c r="AX5" s="34"/>
      <c r="AY5" s="34"/>
      <c r="AZ5" s="34"/>
      <c r="BA5" s="34"/>
      <c r="BB5" s="34"/>
      <c r="BC5" s="34"/>
      <c r="BD5" s="34"/>
      <c r="BE5" s="34"/>
      <c r="BF5" s="34"/>
      <c r="BG5" s="34"/>
      <c r="BH5" s="34"/>
      <c r="BI5" s="34"/>
      <c r="BJ5" s="34"/>
      <c r="BK5" s="34"/>
      <c r="BL5" s="34"/>
      <c r="BM5" s="34"/>
      <c r="BN5" s="34"/>
      <c r="BO5" s="34"/>
      <c r="BP5" s="34"/>
      <c r="BQ5" s="34"/>
      <c r="BR5" s="34"/>
      <c r="BS5" s="34"/>
      <c r="BT5" s="34"/>
      <c r="BU5" s="34"/>
      <c r="BV5" s="34"/>
      <c r="BW5" s="34"/>
      <c r="BX5" s="34"/>
      <c r="BY5" s="34"/>
      <c r="BZ5" s="34"/>
      <c r="CA5" s="34"/>
      <c r="CB5" s="34"/>
      <c r="CC5" s="34"/>
      <c r="CD5" s="34"/>
      <c r="CE5" s="34"/>
      <c r="CF5" s="34"/>
      <c r="CG5" s="34"/>
      <c r="CH5" s="34"/>
      <c r="CI5" s="34"/>
      <c r="CJ5" s="34"/>
      <c r="CK5" s="34"/>
      <c r="CL5" s="34"/>
      <c r="CM5" s="34"/>
      <c r="CN5" s="34"/>
      <c r="CO5" s="34"/>
      <c r="CP5" s="34"/>
      <c r="CQ5" s="34"/>
      <c r="CR5" s="34"/>
      <c r="CS5" s="34"/>
      <c r="CT5" s="34"/>
      <c r="CU5" s="34"/>
      <c r="CV5" s="34"/>
      <c r="CW5" s="34"/>
      <c r="CX5" s="34"/>
      <c r="CY5" s="34"/>
      <c r="CZ5" s="34"/>
      <c r="DA5" s="34"/>
      <c r="DB5" s="34"/>
      <c r="DC5" s="34"/>
      <c r="DD5" s="34"/>
      <c r="DE5" s="34"/>
      <c r="DF5" s="34"/>
      <c r="DG5" s="34"/>
      <c r="DH5" s="34"/>
      <c r="DI5" s="34"/>
      <c r="DJ5" s="34"/>
      <c r="DK5" s="34"/>
      <c r="DL5" s="34"/>
      <c r="DM5" s="34"/>
      <c r="DN5" s="34"/>
      <c r="DO5" s="34"/>
      <c r="DP5" s="34"/>
      <c r="DQ5" s="34"/>
      <c r="DR5" s="34"/>
      <c r="DS5" s="34"/>
      <c r="DT5" s="34"/>
      <c r="DU5" s="34"/>
      <c r="DV5" s="34"/>
      <c r="DW5" s="34"/>
      <c r="DX5" s="34"/>
      <c r="DY5" s="34"/>
      <c r="DZ5" s="34"/>
      <c r="EA5" s="34"/>
      <c r="EB5" s="34"/>
      <c r="EC5" s="34"/>
      <c r="ED5" s="34"/>
      <c r="EE5" s="34"/>
      <c r="EF5" s="34"/>
      <c r="EG5" s="34"/>
      <c r="EH5" s="34"/>
      <c r="EI5" s="34"/>
      <c r="EJ5" s="34"/>
      <c r="EK5" s="34"/>
      <c r="EL5" s="34"/>
      <c r="EM5" s="34"/>
      <c r="EN5" s="34"/>
      <c r="EO5" s="34"/>
      <c r="EP5" s="34"/>
      <c r="EQ5" s="34"/>
      <c r="ER5" s="34"/>
      <c r="ES5" s="34"/>
      <c r="ET5" s="34"/>
      <c r="EU5" s="34"/>
      <c r="EV5" s="34"/>
      <c r="EW5" s="34"/>
      <c r="EX5" s="34"/>
      <c r="EY5" s="34"/>
      <c r="EZ5" s="34"/>
      <c r="FA5" s="34"/>
      <c r="FB5" s="34"/>
      <c r="FC5" s="34"/>
      <c r="FD5" s="34"/>
      <c r="FE5" s="34"/>
      <c r="FF5" s="34"/>
      <c r="FG5" s="34"/>
      <c r="FH5" s="34"/>
      <c r="FI5" s="34"/>
      <c r="FJ5" s="34"/>
      <c r="FK5" s="34"/>
      <c r="FL5" s="34"/>
      <c r="FM5" s="34"/>
      <c r="FN5" s="34"/>
      <c r="FO5" s="34"/>
      <c r="FP5" s="34"/>
      <c r="FQ5" s="34"/>
      <c r="FR5" s="34"/>
      <c r="FS5" s="34"/>
      <c r="FT5" s="34"/>
      <c r="FU5" s="34"/>
      <c r="FV5" s="34"/>
      <c r="FW5" s="34"/>
      <c r="FX5" s="34"/>
      <c r="FY5" s="34"/>
      <c r="FZ5" s="34"/>
      <c r="GA5" s="34"/>
      <c r="GB5" s="34"/>
      <c r="GC5" s="34"/>
      <c r="GD5" s="34"/>
      <c r="GE5" s="34"/>
      <c r="GF5" s="34"/>
      <c r="GG5" s="34"/>
      <c r="GH5" s="34"/>
      <c r="GI5" s="34"/>
      <c r="GJ5" s="34"/>
      <c r="GK5" s="34"/>
      <c r="GL5" s="34"/>
      <c r="GM5" s="34"/>
      <c r="GN5" s="34"/>
      <c r="GO5" s="34"/>
      <c r="GP5" s="34"/>
      <c r="GQ5" s="34"/>
      <c r="GR5" s="34"/>
    </row>
    <row r="6" spans="1:502" s="38" customFormat="1" ht="15" customHeight="1" x14ac:dyDescent="0.3">
      <c r="A6" s="34" t="s">
        <v>236</v>
      </c>
      <c r="B6" s="34">
        <v>145</v>
      </c>
      <c r="C6" s="34">
        <v>182</v>
      </c>
      <c r="D6" s="34">
        <v>2</v>
      </c>
      <c r="E6" s="34"/>
      <c r="F6" s="34">
        <v>5</v>
      </c>
      <c r="G6" s="34">
        <v>24</v>
      </c>
      <c r="H6" s="34">
        <v>358</v>
      </c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58"/>
      <c r="W6" s="58"/>
      <c r="X6" s="58"/>
      <c r="Y6" s="58"/>
      <c r="Z6" s="58"/>
      <c r="AA6" s="58"/>
      <c r="AB6" s="58"/>
      <c r="AC6" s="58"/>
      <c r="AD6" s="58"/>
      <c r="AE6" s="58"/>
      <c r="AF6" s="58"/>
      <c r="AG6" s="58"/>
      <c r="AH6" s="58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  <c r="EY6" s="34"/>
      <c r="EZ6" s="34"/>
      <c r="FA6" s="34"/>
      <c r="FB6" s="34"/>
      <c r="FC6" s="34"/>
      <c r="FD6" s="34"/>
      <c r="FE6" s="34"/>
      <c r="FF6" s="34"/>
      <c r="FG6" s="34"/>
      <c r="FH6" s="34"/>
      <c r="FI6" s="34"/>
      <c r="FJ6" s="34"/>
      <c r="FK6" s="34"/>
      <c r="FL6" s="34"/>
      <c r="FM6" s="34"/>
      <c r="FN6" s="34"/>
      <c r="FO6" s="34"/>
      <c r="FP6" s="34"/>
      <c r="FQ6" s="34"/>
      <c r="FR6" s="34"/>
      <c r="FS6" s="34"/>
      <c r="FT6" s="34"/>
      <c r="FU6" s="34"/>
      <c r="FV6" s="34"/>
      <c r="FW6" s="34"/>
      <c r="FX6" s="34"/>
      <c r="FY6" s="34"/>
      <c r="FZ6" s="34"/>
      <c r="GA6" s="34"/>
      <c r="GB6" s="34"/>
      <c r="GC6" s="34"/>
      <c r="GD6" s="34"/>
      <c r="GE6" s="34"/>
      <c r="GF6" s="34"/>
      <c r="GG6" s="34"/>
      <c r="GH6" s="34"/>
      <c r="GI6" s="34"/>
      <c r="GJ6" s="34"/>
      <c r="GK6" s="34"/>
      <c r="GL6" s="34"/>
      <c r="GM6" s="34"/>
      <c r="GN6" s="34"/>
      <c r="GO6" s="34"/>
      <c r="GP6" s="34"/>
      <c r="GQ6" s="34"/>
      <c r="GR6" s="34"/>
    </row>
    <row r="7" spans="1:502" s="38" customFormat="1" ht="15" customHeight="1" x14ac:dyDescent="0.3">
      <c r="A7" s="34" t="s">
        <v>240</v>
      </c>
      <c r="B7" s="34">
        <v>134</v>
      </c>
      <c r="C7" s="34">
        <v>193</v>
      </c>
      <c r="D7" s="34">
        <v>3</v>
      </c>
      <c r="E7" s="34">
        <v>7</v>
      </c>
      <c r="F7" s="34">
        <v>5</v>
      </c>
      <c r="G7" s="34">
        <v>13</v>
      </c>
      <c r="H7" s="34">
        <v>355</v>
      </c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58"/>
      <c r="W7" s="58"/>
      <c r="X7" s="58"/>
      <c r="Y7" s="58"/>
      <c r="Z7" s="58"/>
      <c r="AA7" s="58"/>
      <c r="AB7" s="58"/>
      <c r="AC7" s="58"/>
      <c r="AD7" s="58"/>
      <c r="AE7" s="58"/>
      <c r="AF7" s="58"/>
      <c r="AG7" s="58"/>
      <c r="AH7" s="58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  <c r="EY7" s="34"/>
      <c r="EZ7" s="34"/>
      <c r="FA7" s="34"/>
      <c r="FB7" s="34"/>
      <c r="FC7" s="34"/>
      <c r="FD7" s="34"/>
      <c r="FE7" s="34"/>
      <c r="FF7" s="34"/>
      <c r="FG7" s="34"/>
      <c r="FH7" s="34"/>
      <c r="FI7" s="34"/>
      <c r="FJ7" s="34"/>
      <c r="FK7" s="34"/>
      <c r="FL7" s="34"/>
      <c r="FM7" s="34"/>
      <c r="FN7" s="34"/>
      <c r="FO7" s="34"/>
      <c r="FP7" s="34"/>
      <c r="FQ7" s="34"/>
      <c r="FR7" s="34"/>
      <c r="FS7" s="34"/>
      <c r="FT7" s="34"/>
      <c r="FU7" s="34"/>
      <c r="FV7" s="34"/>
      <c r="FW7" s="34"/>
      <c r="FX7" s="34"/>
      <c r="FY7" s="34"/>
      <c r="FZ7" s="34"/>
      <c r="GA7" s="34"/>
      <c r="GB7" s="34"/>
      <c r="GC7" s="34"/>
      <c r="GD7" s="34"/>
      <c r="GE7" s="34"/>
      <c r="GF7" s="34"/>
      <c r="GG7" s="34"/>
      <c r="GH7" s="34"/>
      <c r="GI7" s="34"/>
      <c r="GJ7" s="34"/>
      <c r="GK7" s="34"/>
      <c r="GL7" s="34"/>
      <c r="GM7" s="34"/>
      <c r="GN7" s="34"/>
      <c r="GO7" s="34"/>
      <c r="GP7" s="34"/>
      <c r="GQ7" s="34"/>
      <c r="GR7" s="34"/>
    </row>
    <row r="8" spans="1:502" s="38" customFormat="1" ht="15" customHeight="1" x14ac:dyDescent="0.3">
      <c r="A8" s="34" t="s">
        <v>244</v>
      </c>
      <c r="B8" s="34">
        <v>128</v>
      </c>
      <c r="C8" s="34">
        <v>180</v>
      </c>
      <c r="D8" s="34">
        <v>3</v>
      </c>
      <c r="E8" s="34">
        <v>5</v>
      </c>
      <c r="F8" s="34">
        <v>14</v>
      </c>
      <c r="G8" s="34">
        <v>28</v>
      </c>
      <c r="H8" s="34">
        <v>358</v>
      </c>
      <c r="I8" s="34"/>
      <c r="J8" s="34"/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58"/>
      <c r="W8" s="58"/>
      <c r="X8" s="58"/>
      <c r="Y8" s="58"/>
      <c r="Z8" s="58"/>
      <c r="AA8" s="58"/>
      <c r="AB8" s="58"/>
      <c r="AC8" s="58"/>
      <c r="AD8" s="58"/>
      <c r="AE8" s="58"/>
      <c r="AF8" s="58"/>
      <c r="AG8" s="58"/>
      <c r="AH8" s="58"/>
      <c r="AI8" s="34"/>
      <c r="AJ8" s="34"/>
      <c r="AK8" s="34"/>
      <c r="AL8" s="34"/>
      <c r="AM8" s="34"/>
      <c r="AN8" s="34"/>
      <c r="AO8" s="34"/>
      <c r="AP8" s="34"/>
      <c r="AQ8" s="34"/>
      <c r="AR8" s="34"/>
      <c r="AS8" s="34"/>
      <c r="AT8" s="34"/>
      <c r="AU8" s="34"/>
      <c r="AV8" s="34"/>
      <c r="AW8" s="34"/>
      <c r="AX8" s="34"/>
      <c r="AY8" s="34"/>
      <c r="AZ8" s="34"/>
      <c r="BA8" s="34"/>
      <c r="BB8" s="34"/>
      <c r="BC8" s="34"/>
      <c r="BD8" s="34"/>
      <c r="BE8" s="34"/>
      <c r="BF8" s="34"/>
      <c r="BG8" s="34"/>
      <c r="BH8" s="34"/>
      <c r="BI8" s="34"/>
      <c r="BJ8" s="34"/>
      <c r="BK8" s="34"/>
      <c r="BL8" s="34"/>
      <c r="BM8" s="34"/>
      <c r="BN8" s="34"/>
      <c r="BO8" s="34"/>
      <c r="BP8" s="34"/>
      <c r="BQ8" s="34"/>
      <c r="BR8" s="34"/>
      <c r="BS8" s="34"/>
      <c r="BT8" s="34"/>
      <c r="BU8" s="34"/>
      <c r="BV8" s="34"/>
      <c r="BW8" s="34"/>
      <c r="BX8" s="34"/>
      <c r="BY8" s="34"/>
      <c r="BZ8" s="34"/>
      <c r="CA8" s="34"/>
      <c r="CB8" s="34"/>
      <c r="CC8" s="34"/>
      <c r="CD8" s="34"/>
      <c r="CE8" s="34"/>
      <c r="CF8" s="34"/>
      <c r="CG8" s="34"/>
      <c r="CH8" s="34"/>
      <c r="CI8" s="34"/>
      <c r="CJ8" s="34"/>
      <c r="CK8" s="34"/>
      <c r="CL8" s="34"/>
      <c r="CM8" s="34"/>
      <c r="CN8" s="34"/>
      <c r="CO8" s="34"/>
      <c r="CP8" s="34"/>
      <c r="CQ8" s="34"/>
      <c r="CR8" s="34"/>
      <c r="CS8" s="34"/>
      <c r="CT8" s="34"/>
      <c r="CU8" s="34"/>
      <c r="CV8" s="34"/>
      <c r="CW8" s="34"/>
      <c r="CX8" s="34"/>
      <c r="CY8" s="34"/>
      <c r="CZ8" s="34"/>
      <c r="DA8" s="34"/>
      <c r="DB8" s="34"/>
      <c r="DC8" s="34"/>
      <c r="DD8" s="34"/>
      <c r="DE8" s="34"/>
      <c r="DF8" s="34"/>
      <c r="DG8" s="34"/>
      <c r="DH8" s="34"/>
      <c r="DI8" s="34"/>
      <c r="DJ8" s="34"/>
      <c r="DK8" s="34"/>
      <c r="DL8" s="34"/>
      <c r="DM8" s="34"/>
      <c r="DN8" s="34"/>
      <c r="DO8" s="34"/>
      <c r="DP8" s="34"/>
      <c r="DQ8" s="34"/>
      <c r="DR8" s="34"/>
      <c r="DS8" s="34"/>
      <c r="DT8" s="34"/>
      <c r="DU8" s="34"/>
      <c r="DV8" s="34"/>
      <c r="DW8" s="34"/>
      <c r="DX8" s="34"/>
      <c r="DY8" s="34"/>
      <c r="DZ8" s="34"/>
      <c r="EA8" s="34"/>
      <c r="EB8" s="34"/>
      <c r="EC8" s="34"/>
      <c r="ED8" s="34"/>
      <c r="EE8" s="34"/>
      <c r="EF8" s="34"/>
      <c r="EG8" s="34"/>
      <c r="EH8" s="34"/>
      <c r="EI8" s="34"/>
      <c r="EJ8" s="34"/>
      <c r="EK8" s="34"/>
      <c r="EL8" s="34"/>
      <c r="EM8" s="34"/>
      <c r="EN8" s="34"/>
      <c r="EO8" s="34"/>
      <c r="EP8" s="34"/>
      <c r="EQ8" s="34"/>
      <c r="ER8" s="34"/>
      <c r="ES8" s="34"/>
      <c r="ET8" s="34"/>
      <c r="EU8" s="34"/>
      <c r="EV8" s="34"/>
      <c r="EW8" s="34"/>
      <c r="EX8" s="34"/>
      <c r="EY8" s="34"/>
      <c r="EZ8" s="34"/>
      <c r="FA8" s="34"/>
      <c r="FB8" s="34"/>
      <c r="FC8" s="34"/>
      <c r="FD8" s="34"/>
      <c r="FE8" s="34"/>
      <c r="FF8" s="34"/>
      <c r="FG8" s="34"/>
      <c r="FH8" s="34"/>
      <c r="FI8" s="34"/>
      <c r="FJ8" s="34"/>
      <c r="FK8" s="34"/>
      <c r="FL8" s="34"/>
      <c r="FM8" s="34"/>
      <c r="FN8" s="34"/>
      <c r="FO8" s="34"/>
      <c r="FP8" s="34"/>
      <c r="FQ8" s="34"/>
      <c r="FR8" s="34"/>
      <c r="FS8" s="34"/>
      <c r="FT8" s="34"/>
      <c r="FU8" s="34"/>
      <c r="FV8" s="34"/>
      <c r="FW8" s="34"/>
      <c r="FX8" s="34"/>
      <c r="FY8" s="34"/>
      <c r="FZ8" s="34"/>
      <c r="GA8" s="34"/>
      <c r="GB8" s="34"/>
      <c r="GC8" s="34"/>
      <c r="GD8" s="34"/>
      <c r="GE8" s="34"/>
      <c r="GF8" s="34"/>
      <c r="GG8" s="34"/>
      <c r="GH8" s="34"/>
      <c r="GI8" s="34"/>
      <c r="GJ8" s="34"/>
      <c r="GK8" s="34"/>
      <c r="GL8" s="34"/>
      <c r="GM8" s="34"/>
      <c r="GN8" s="34"/>
      <c r="GO8" s="34"/>
      <c r="GP8" s="34"/>
      <c r="GQ8" s="34"/>
      <c r="GR8" s="34"/>
    </row>
    <row r="9" spans="1:502" s="38" customFormat="1" ht="15" customHeight="1" x14ac:dyDescent="0.3">
      <c r="A9" s="234" t="s">
        <v>261</v>
      </c>
      <c r="B9" s="234">
        <v>21</v>
      </c>
      <c r="C9" s="234">
        <v>41</v>
      </c>
      <c r="D9" s="234"/>
      <c r="E9" s="234"/>
      <c r="F9" s="234"/>
      <c r="G9" s="234"/>
      <c r="H9" s="234">
        <v>62</v>
      </c>
      <c r="I9" s="34"/>
      <c r="J9" s="34"/>
      <c r="K9" s="34"/>
      <c r="L9" s="34"/>
      <c r="M9" s="34"/>
      <c r="N9" s="34"/>
      <c r="O9" s="34"/>
      <c r="P9" s="34"/>
      <c r="Q9" s="34"/>
      <c r="R9" s="34"/>
      <c r="S9" s="34"/>
      <c r="T9" s="34"/>
      <c r="U9" s="34"/>
      <c r="V9" s="58"/>
      <c r="W9" s="58"/>
      <c r="X9" s="58"/>
      <c r="Y9" s="58"/>
      <c r="Z9" s="58"/>
      <c r="AA9" s="58"/>
      <c r="AB9" s="58"/>
      <c r="AC9" s="58"/>
      <c r="AD9" s="58"/>
      <c r="AE9" s="58"/>
      <c r="AF9" s="58"/>
      <c r="AG9" s="58"/>
      <c r="AH9" s="58"/>
      <c r="AI9" s="34"/>
      <c r="AJ9" s="34"/>
      <c r="AK9" s="34"/>
      <c r="AL9" s="34"/>
      <c r="AM9" s="34"/>
      <c r="AN9" s="34"/>
      <c r="AO9" s="34"/>
      <c r="AP9" s="34"/>
      <c r="AQ9" s="34"/>
      <c r="AR9" s="34"/>
      <c r="AS9" s="34"/>
      <c r="AT9" s="34"/>
      <c r="AU9" s="34"/>
      <c r="AV9" s="34"/>
      <c r="AW9" s="34"/>
      <c r="AX9" s="34"/>
      <c r="AY9" s="34"/>
      <c r="AZ9" s="34"/>
      <c r="BA9" s="34"/>
      <c r="BB9" s="34"/>
      <c r="BC9" s="34"/>
      <c r="BD9" s="34"/>
      <c r="BE9" s="34"/>
      <c r="BF9" s="34"/>
      <c r="BG9" s="34"/>
      <c r="BH9" s="34"/>
      <c r="BI9" s="34"/>
      <c r="BJ9" s="34"/>
      <c r="BK9" s="34"/>
      <c r="BL9" s="34"/>
      <c r="BM9" s="34"/>
      <c r="BN9" s="34"/>
      <c r="BO9" s="34"/>
      <c r="BP9" s="34"/>
      <c r="BQ9" s="34"/>
      <c r="BR9" s="34"/>
      <c r="BS9" s="34"/>
      <c r="BT9" s="34"/>
      <c r="BU9" s="34"/>
      <c r="BV9" s="34"/>
      <c r="BW9" s="34"/>
      <c r="BX9" s="34"/>
      <c r="BY9" s="34"/>
      <c r="BZ9" s="34"/>
      <c r="CA9" s="34"/>
      <c r="CB9" s="34"/>
      <c r="CC9" s="34"/>
      <c r="CD9" s="34"/>
      <c r="CE9" s="34"/>
      <c r="CF9" s="34"/>
      <c r="CG9" s="34"/>
      <c r="CH9" s="34"/>
      <c r="CI9" s="34"/>
      <c r="CJ9" s="34"/>
      <c r="CK9" s="34"/>
      <c r="CL9" s="34"/>
      <c r="CM9" s="34"/>
      <c r="CN9" s="34"/>
      <c r="CO9" s="34"/>
      <c r="CP9" s="34"/>
      <c r="CQ9" s="34"/>
      <c r="CR9" s="34"/>
      <c r="CS9" s="34"/>
      <c r="CT9" s="34"/>
      <c r="CU9" s="34"/>
      <c r="CV9" s="34"/>
      <c r="CW9" s="34"/>
      <c r="CX9" s="34"/>
      <c r="CY9" s="34"/>
      <c r="CZ9" s="34"/>
      <c r="DA9" s="34"/>
      <c r="DB9" s="34"/>
      <c r="DC9" s="34"/>
      <c r="DD9" s="34"/>
      <c r="DE9" s="34"/>
      <c r="DF9" s="34"/>
      <c r="DG9" s="34"/>
      <c r="DH9" s="34"/>
      <c r="DI9" s="34"/>
      <c r="DJ9" s="34"/>
      <c r="DK9" s="34"/>
      <c r="DL9" s="34"/>
      <c r="DM9" s="34"/>
      <c r="DN9" s="34"/>
      <c r="DO9" s="34"/>
      <c r="DP9" s="34"/>
      <c r="DQ9" s="34"/>
      <c r="DR9" s="34"/>
      <c r="DS9" s="34"/>
      <c r="DT9" s="34"/>
      <c r="DU9" s="34"/>
      <c r="DV9" s="34"/>
      <c r="DW9" s="34"/>
      <c r="DX9" s="34"/>
      <c r="DY9" s="34"/>
      <c r="DZ9" s="34"/>
      <c r="EA9" s="34"/>
      <c r="EB9" s="34"/>
      <c r="EC9" s="34"/>
      <c r="ED9" s="34"/>
      <c r="EE9" s="34"/>
      <c r="EF9" s="34"/>
      <c r="EG9" s="34"/>
      <c r="EH9" s="34"/>
      <c r="EI9" s="34"/>
      <c r="EJ9" s="34"/>
      <c r="EK9" s="34"/>
      <c r="EL9" s="34"/>
      <c r="EM9" s="34"/>
      <c r="EN9" s="34"/>
      <c r="EO9" s="34"/>
      <c r="EP9" s="34"/>
      <c r="EQ9" s="34"/>
      <c r="ER9" s="34"/>
      <c r="ES9" s="34"/>
      <c r="ET9" s="34"/>
      <c r="EU9" s="34"/>
      <c r="EV9" s="34"/>
      <c r="EW9" s="34"/>
      <c r="EX9" s="34"/>
      <c r="EY9" s="34"/>
      <c r="EZ9" s="34"/>
      <c r="FA9" s="34"/>
      <c r="FB9" s="34"/>
      <c r="FC9" s="34"/>
      <c r="FD9" s="34"/>
      <c r="FE9" s="34"/>
      <c r="FF9" s="34"/>
      <c r="FG9" s="34"/>
      <c r="FH9" s="34"/>
      <c r="FI9" s="34"/>
      <c r="FJ9" s="34"/>
      <c r="FK9" s="34"/>
      <c r="FL9" s="34"/>
      <c r="FM9" s="34"/>
      <c r="FN9" s="34"/>
      <c r="FO9" s="34"/>
      <c r="FP9" s="34"/>
      <c r="FQ9" s="34"/>
      <c r="FR9" s="34"/>
      <c r="FS9" s="34"/>
      <c r="FT9" s="34"/>
      <c r="FU9" s="34"/>
      <c r="FV9" s="34"/>
      <c r="FW9" s="34"/>
      <c r="FX9" s="34"/>
      <c r="FY9" s="34"/>
      <c r="FZ9" s="34"/>
      <c r="GA9" s="34"/>
      <c r="GB9" s="34"/>
      <c r="GC9" s="34"/>
      <c r="GD9" s="34"/>
      <c r="GE9" s="34"/>
      <c r="GF9" s="34"/>
      <c r="GG9" s="34"/>
      <c r="GH9" s="34"/>
      <c r="GI9" s="34"/>
      <c r="GJ9" s="34"/>
      <c r="GK9" s="34"/>
      <c r="GL9" s="34"/>
      <c r="GM9" s="34"/>
      <c r="GN9" s="34"/>
      <c r="GO9" s="34"/>
      <c r="GP9" s="34"/>
      <c r="GQ9" s="34"/>
      <c r="GR9" s="34"/>
    </row>
    <row r="10" spans="1:502" s="38" customFormat="1" ht="15" customHeight="1" x14ac:dyDescent="0.3">
      <c r="A10" s="34" t="s">
        <v>249</v>
      </c>
      <c r="B10" s="34">
        <v>188</v>
      </c>
      <c r="C10" s="34">
        <v>246</v>
      </c>
      <c r="D10" s="34">
        <v>1</v>
      </c>
      <c r="E10" s="34">
        <v>4</v>
      </c>
      <c r="F10" s="34">
        <v>9</v>
      </c>
      <c r="G10" s="34">
        <v>18</v>
      </c>
      <c r="H10" s="34">
        <v>466</v>
      </c>
      <c r="I10" s="34"/>
      <c r="J10" s="34"/>
      <c r="K10" s="34"/>
      <c r="L10" s="34"/>
      <c r="M10" s="34"/>
      <c r="N10" s="34"/>
      <c r="O10" s="34"/>
      <c r="P10" s="34"/>
      <c r="Q10" s="34"/>
      <c r="R10" s="34"/>
      <c r="S10" s="34"/>
      <c r="T10" s="34"/>
      <c r="U10" s="34"/>
      <c r="V10" s="58"/>
      <c r="W10" s="58"/>
      <c r="X10" s="58"/>
      <c r="Y10" s="58"/>
      <c r="Z10" s="58"/>
      <c r="AA10" s="58"/>
      <c r="AB10" s="58"/>
      <c r="AC10" s="58"/>
      <c r="AD10" s="58"/>
      <c r="AE10" s="58"/>
      <c r="AF10" s="58"/>
      <c r="AG10" s="58"/>
      <c r="AH10" s="58"/>
      <c r="AI10" s="34"/>
      <c r="AJ10" s="34"/>
      <c r="AK10" s="34"/>
      <c r="AL10" s="34"/>
      <c r="AM10" s="34"/>
      <c r="AN10" s="34"/>
      <c r="AO10" s="34"/>
      <c r="AP10" s="34"/>
      <c r="AQ10" s="34"/>
      <c r="AR10" s="34"/>
      <c r="AS10" s="34"/>
      <c r="AT10" s="34"/>
      <c r="AU10" s="34"/>
      <c r="AV10" s="34"/>
      <c r="AW10" s="34"/>
      <c r="AX10" s="34"/>
      <c r="AY10" s="34"/>
      <c r="AZ10" s="34"/>
      <c r="BA10" s="34"/>
      <c r="BB10" s="34"/>
      <c r="BC10" s="34"/>
      <c r="BD10" s="34"/>
      <c r="BE10" s="34"/>
      <c r="BF10" s="34"/>
      <c r="BG10" s="34"/>
      <c r="BH10" s="34"/>
      <c r="BI10" s="34"/>
      <c r="BJ10" s="34"/>
      <c r="BK10" s="34"/>
      <c r="BL10" s="34"/>
      <c r="BM10" s="34"/>
      <c r="BN10" s="34"/>
      <c r="BO10" s="34"/>
      <c r="BP10" s="34"/>
      <c r="BQ10" s="34"/>
      <c r="BR10" s="34"/>
      <c r="BS10" s="34"/>
      <c r="BT10" s="34"/>
      <c r="BU10" s="34"/>
      <c r="BV10" s="34"/>
      <c r="BW10" s="34"/>
      <c r="BX10" s="34"/>
      <c r="BY10" s="34"/>
      <c r="BZ10" s="34"/>
      <c r="CA10" s="34"/>
      <c r="CB10" s="34"/>
      <c r="CC10" s="34"/>
      <c r="CD10" s="34"/>
      <c r="CE10" s="34"/>
      <c r="CF10" s="34"/>
      <c r="CG10" s="34"/>
      <c r="CH10" s="34"/>
      <c r="CI10" s="34"/>
      <c r="CJ10" s="34"/>
      <c r="CK10" s="34"/>
      <c r="CL10" s="34"/>
      <c r="CM10" s="34"/>
      <c r="CN10" s="34"/>
      <c r="CO10" s="34"/>
      <c r="CP10" s="34"/>
      <c r="CQ10" s="34"/>
      <c r="CR10" s="34"/>
      <c r="CS10" s="34"/>
      <c r="CT10" s="34"/>
      <c r="CU10" s="34"/>
      <c r="CV10" s="34"/>
      <c r="CW10" s="34"/>
      <c r="CX10" s="34"/>
      <c r="CY10" s="34"/>
      <c r="CZ10" s="34"/>
      <c r="DA10" s="34"/>
      <c r="DB10" s="34"/>
      <c r="DC10" s="34"/>
      <c r="DD10" s="34"/>
      <c r="DE10" s="34"/>
      <c r="DF10" s="34"/>
      <c r="DG10" s="34"/>
      <c r="DH10" s="34"/>
      <c r="DI10" s="34"/>
      <c r="DJ10" s="34"/>
      <c r="DK10" s="34"/>
      <c r="DL10" s="34"/>
      <c r="DM10" s="34"/>
      <c r="DN10" s="34"/>
      <c r="DO10" s="34"/>
      <c r="DP10" s="34"/>
      <c r="DQ10" s="34"/>
      <c r="DR10" s="34"/>
      <c r="DS10" s="34"/>
      <c r="DT10" s="34"/>
      <c r="DU10" s="34"/>
      <c r="DV10" s="34"/>
      <c r="DW10" s="34"/>
      <c r="DX10" s="34"/>
      <c r="DY10" s="34"/>
      <c r="DZ10" s="34"/>
      <c r="EA10" s="34"/>
      <c r="EB10" s="34"/>
      <c r="EC10" s="34"/>
      <c r="ED10" s="34"/>
      <c r="EE10" s="34"/>
      <c r="EF10" s="34"/>
      <c r="EG10" s="34"/>
      <c r="EH10" s="34"/>
      <c r="EI10" s="34"/>
      <c r="EJ10" s="34"/>
      <c r="EK10" s="34"/>
      <c r="EL10" s="34"/>
      <c r="EM10" s="34"/>
      <c r="EN10" s="34"/>
      <c r="EO10" s="34"/>
      <c r="EP10" s="34"/>
      <c r="EQ10" s="34"/>
      <c r="ER10" s="34"/>
      <c r="ES10" s="34"/>
      <c r="ET10" s="34"/>
      <c r="EU10" s="34"/>
      <c r="EV10" s="34"/>
      <c r="EW10" s="34"/>
      <c r="EX10" s="34"/>
      <c r="EY10" s="34"/>
      <c r="EZ10" s="34"/>
      <c r="FA10" s="34"/>
      <c r="FB10" s="34"/>
      <c r="FC10" s="34"/>
      <c r="FD10" s="34"/>
      <c r="FE10" s="34"/>
      <c r="FF10" s="34"/>
      <c r="FG10" s="34"/>
      <c r="FH10" s="34"/>
      <c r="FI10" s="34"/>
      <c r="FJ10" s="34"/>
      <c r="FK10" s="34"/>
      <c r="FL10" s="34"/>
      <c r="FM10" s="34"/>
      <c r="FN10" s="34"/>
      <c r="FO10" s="34"/>
      <c r="FP10" s="34"/>
      <c r="FQ10" s="34"/>
      <c r="FR10" s="34"/>
      <c r="FS10" s="34"/>
      <c r="FT10" s="34"/>
      <c r="FU10" s="34"/>
      <c r="FV10" s="34"/>
      <c r="FW10" s="34"/>
      <c r="FX10" s="34"/>
      <c r="FY10" s="34"/>
      <c r="FZ10" s="34"/>
      <c r="GA10" s="34"/>
      <c r="GB10" s="34"/>
      <c r="GC10" s="34"/>
      <c r="GD10" s="34"/>
      <c r="GE10" s="34"/>
      <c r="GF10" s="34"/>
      <c r="GG10" s="34"/>
      <c r="GH10" s="34"/>
      <c r="GI10" s="34"/>
      <c r="GJ10" s="34"/>
      <c r="GK10" s="34"/>
      <c r="GL10" s="34"/>
      <c r="GM10" s="34"/>
      <c r="GN10" s="34"/>
      <c r="GO10" s="34"/>
      <c r="GP10" s="34"/>
      <c r="GQ10" s="34"/>
      <c r="GR10" s="34"/>
      <c r="OT10" s="63"/>
    </row>
    <row r="11" spans="1:502" s="38" customFormat="1" ht="15" customHeight="1" x14ac:dyDescent="0.3">
      <c r="A11" s="34" t="s">
        <v>250</v>
      </c>
      <c r="B11" s="34">
        <v>248</v>
      </c>
      <c r="C11" s="34">
        <v>300</v>
      </c>
      <c r="D11" s="34">
        <v>7</v>
      </c>
      <c r="E11" s="34">
        <v>6</v>
      </c>
      <c r="F11" s="34">
        <v>9</v>
      </c>
      <c r="G11" s="34">
        <v>29</v>
      </c>
      <c r="H11" s="34">
        <v>599</v>
      </c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58"/>
      <c r="W11" s="58"/>
      <c r="X11" s="58"/>
      <c r="Y11" s="58"/>
      <c r="Z11" s="58"/>
      <c r="AA11" s="58"/>
      <c r="AB11" s="58"/>
      <c r="AC11" s="58"/>
      <c r="AD11" s="58"/>
      <c r="AE11" s="58"/>
      <c r="AF11" s="58"/>
      <c r="AG11" s="58"/>
      <c r="AH11" s="58"/>
      <c r="AI11" s="34"/>
      <c r="AJ11" s="34"/>
      <c r="AK11" s="34"/>
      <c r="AL11" s="34"/>
      <c r="AM11" s="34"/>
      <c r="AN11" s="34"/>
      <c r="AO11" s="34"/>
      <c r="AP11" s="34"/>
      <c r="AQ11" s="34"/>
      <c r="AR11" s="34"/>
      <c r="AS11" s="34"/>
      <c r="AT11" s="34"/>
      <c r="AU11" s="34"/>
      <c r="AV11" s="34"/>
      <c r="AW11" s="34"/>
      <c r="AX11" s="34"/>
      <c r="AY11" s="34"/>
      <c r="AZ11" s="34"/>
      <c r="BA11" s="34"/>
      <c r="BB11" s="34"/>
      <c r="BC11" s="34"/>
      <c r="BD11" s="34"/>
      <c r="BE11" s="34"/>
      <c r="BF11" s="34"/>
      <c r="BG11" s="34"/>
      <c r="BH11" s="34"/>
      <c r="BI11" s="34"/>
      <c r="BJ11" s="34"/>
      <c r="BK11" s="34"/>
      <c r="BL11" s="34"/>
      <c r="BM11" s="34"/>
      <c r="BN11" s="34"/>
      <c r="BO11" s="34"/>
      <c r="BP11" s="34"/>
      <c r="BQ11" s="34"/>
      <c r="BR11" s="34"/>
      <c r="BS11" s="34"/>
      <c r="BT11" s="34"/>
      <c r="BU11" s="34"/>
      <c r="BV11" s="34"/>
      <c r="BW11" s="34"/>
      <c r="BX11" s="34"/>
      <c r="BY11" s="34"/>
      <c r="BZ11" s="34"/>
      <c r="CA11" s="34"/>
      <c r="CB11" s="34"/>
      <c r="CC11" s="34"/>
      <c r="CD11" s="34"/>
      <c r="CE11" s="34"/>
      <c r="CF11" s="34"/>
      <c r="CG11" s="34"/>
      <c r="CH11" s="34"/>
      <c r="CI11" s="34"/>
      <c r="CJ11" s="34"/>
      <c r="CK11" s="34"/>
      <c r="CL11" s="34"/>
      <c r="CM11" s="34"/>
      <c r="CN11" s="34"/>
      <c r="CO11" s="34"/>
      <c r="CP11" s="34"/>
      <c r="CQ11" s="34"/>
      <c r="CR11" s="34"/>
      <c r="CS11" s="34"/>
      <c r="CT11" s="34"/>
      <c r="CU11" s="34"/>
      <c r="CV11" s="34"/>
      <c r="CW11" s="34"/>
      <c r="CX11" s="34"/>
      <c r="CY11" s="34"/>
      <c r="CZ11" s="34"/>
      <c r="DA11" s="34"/>
      <c r="DB11" s="34"/>
      <c r="DC11" s="34"/>
      <c r="DD11" s="34"/>
      <c r="DE11" s="34"/>
      <c r="DF11" s="34"/>
      <c r="DG11" s="34"/>
      <c r="DH11" s="34"/>
      <c r="DI11" s="34"/>
      <c r="DJ11" s="34"/>
      <c r="DK11" s="34"/>
      <c r="DL11" s="34"/>
      <c r="DM11" s="34"/>
      <c r="DN11" s="34"/>
      <c r="DO11" s="34"/>
      <c r="DP11" s="34"/>
      <c r="DQ11" s="34"/>
      <c r="DR11" s="34"/>
      <c r="DS11" s="34"/>
      <c r="DT11" s="34"/>
      <c r="DU11" s="34"/>
      <c r="DV11" s="34"/>
      <c r="DW11" s="34"/>
      <c r="DX11" s="34"/>
      <c r="DY11" s="34"/>
      <c r="DZ11" s="34"/>
      <c r="EA11" s="34"/>
      <c r="EB11" s="34"/>
      <c r="EC11" s="34"/>
      <c r="ED11" s="34"/>
      <c r="EE11" s="34"/>
      <c r="EF11" s="34"/>
      <c r="EG11" s="34"/>
      <c r="EH11" s="34"/>
      <c r="EI11" s="34"/>
      <c r="EJ11" s="34"/>
      <c r="EK11" s="34"/>
      <c r="EL11" s="34"/>
      <c r="EM11" s="34"/>
      <c r="EN11" s="34"/>
      <c r="EO11" s="34"/>
      <c r="EP11" s="34"/>
      <c r="EQ11" s="34"/>
      <c r="ER11" s="34"/>
      <c r="ES11" s="34"/>
      <c r="ET11" s="34"/>
      <c r="EU11" s="34"/>
      <c r="EV11" s="34"/>
      <c r="EW11" s="34"/>
      <c r="EX11" s="34"/>
      <c r="EY11" s="34"/>
      <c r="EZ11" s="34"/>
      <c r="FA11" s="34"/>
      <c r="FB11" s="34"/>
      <c r="FC11" s="34"/>
      <c r="FD11" s="34"/>
      <c r="FE11" s="34"/>
      <c r="FF11" s="34"/>
      <c r="FG11" s="34"/>
      <c r="FH11" s="34"/>
      <c r="FI11" s="34"/>
      <c r="FJ11" s="34"/>
      <c r="FK11" s="34"/>
      <c r="FL11" s="34"/>
      <c r="FM11" s="34"/>
      <c r="FN11" s="34"/>
      <c r="FO11" s="34"/>
      <c r="FP11" s="34"/>
      <c r="FQ11" s="34"/>
      <c r="FR11" s="34"/>
      <c r="FS11" s="34"/>
      <c r="FT11" s="34"/>
      <c r="FU11" s="34"/>
      <c r="FV11" s="34"/>
      <c r="FW11" s="34"/>
      <c r="FX11" s="34"/>
      <c r="FY11" s="34"/>
      <c r="FZ11" s="34"/>
      <c r="GA11" s="34"/>
      <c r="GB11" s="34"/>
      <c r="GC11" s="34"/>
      <c r="GD11" s="34"/>
      <c r="GE11" s="34"/>
      <c r="GF11" s="34"/>
      <c r="GG11" s="34"/>
      <c r="GH11" s="34"/>
      <c r="GI11" s="34"/>
      <c r="GJ11" s="34"/>
      <c r="GK11" s="34"/>
      <c r="GL11" s="34"/>
      <c r="GM11" s="34"/>
      <c r="GN11" s="34"/>
      <c r="GO11" s="34"/>
      <c r="GP11" s="34"/>
      <c r="GQ11" s="34"/>
      <c r="GR11" s="34"/>
      <c r="OQ11" s="64"/>
      <c r="OT11" s="63"/>
    </row>
    <row r="12" spans="1:502" s="38" customFormat="1" ht="15" customHeight="1" x14ac:dyDescent="0.3">
      <c r="A12" s="34" t="s">
        <v>256</v>
      </c>
      <c r="B12" s="34">
        <v>82</v>
      </c>
      <c r="C12" s="34">
        <v>127</v>
      </c>
      <c r="D12" s="34">
        <v>3</v>
      </c>
      <c r="E12" s="34">
        <v>3</v>
      </c>
      <c r="F12" s="34">
        <v>2</v>
      </c>
      <c r="G12" s="34">
        <v>8</v>
      </c>
      <c r="H12" s="34">
        <v>225</v>
      </c>
      <c r="I12" s="34"/>
      <c r="J12" s="34"/>
      <c r="K12" s="34"/>
      <c r="L12" s="34"/>
      <c r="M12" s="34"/>
      <c r="N12" s="34"/>
      <c r="O12" s="34"/>
      <c r="P12" s="34"/>
      <c r="Q12" s="34"/>
      <c r="R12" s="34"/>
      <c r="S12" s="34"/>
      <c r="T12" s="34"/>
      <c r="U12" s="34"/>
      <c r="V12" s="58"/>
      <c r="W12" s="58"/>
      <c r="X12" s="58"/>
      <c r="Y12" s="58"/>
      <c r="Z12" s="58"/>
      <c r="AA12" s="58"/>
      <c r="AB12" s="58"/>
      <c r="AC12" s="58"/>
      <c r="AD12" s="58"/>
      <c r="AE12" s="58"/>
      <c r="AF12" s="58"/>
      <c r="AG12" s="58"/>
      <c r="AH12" s="58"/>
      <c r="AI12" s="34"/>
      <c r="AJ12" s="34"/>
      <c r="AK12" s="34"/>
      <c r="AL12" s="34"/>
      <c r="AM12" s="34"/>
      <c r="AN12" s="34"/>
      <c r="AO12" s="34"/>
      <c r="AP12" s="34"/>
      <c r="AQ12" s="34"/>
      <c r="AR12" s="34"/>
      <c r="AS12" s="34"/>
      <c r="AT12" s="34"/>
      <c r="AU12" s="34"/>
      <c r="AV12" s="34"/>
      <c r="AW12" s="34"/>
      <c r="AX12" s="34"/>
      <c r="AY12" s="34"/>
      <c r="AZ12" s="34"/>
      <c r="BA12" s="34"/>
      <c r="BB12" s="34"/>
      <c r="BC12" s="34"/>
      <c r="BD12" s="34"/>
      <c r="BE12" s="34"/>
      <c r="BF12" s="34"/>
      <c r="BG12" s="34"/>
      <c r="BH12" s="34"/>
      <c r="BI12" s="34"/>
      <c r="BJ12" s="34"/>
      <c r="BK12" s="34"/>
      <c r="BL12" s="34"/>
      <c r="BM12" s="34"/>
      <c r="BN12" s="34"/>
      <c r="BO12" s="34"/>
      <c r="BP12" s="34"/>
      <c r="BQ12" s="34"/>
      <c r="BR12" s="34"/>
      <c r="BS12" s="34"/>
      <c r="BT12" s="34"/>
      <c r="BU12" s="34"/>
      <c r="BV12" s="34"/>
      <c r="BW12" s="34"/>
      <c r="BX12" s="34"/>
      <c r="BY12" s="34"/>
      <c r="BZ12" s="34"/>
      <c r="CA12" s="34"/>
      <c r="CB12" s="34"/>
      <c r="CC12" s="34"/>
      <c r="CD12" s="34"/>
      <c r="CE12" s="34"/>
      <c r="CF12" s="34"/>
      <c r="CG12" s="34"/>
      <c r="CH12" s="34"/>
      <c r="CI12" s="34"/>
      <c r="CJ12" s="34"/>
      <c r="CK12" s="34"/>
      <c r="CL12" s="34"/>
      <c r="CM12" s="34"/>
      <c r="CN12" s="34"/>
      <c r="CO12" s="34"/>
      <c r="CP12" s="34"/>
      <c r="CQ12" s="34"/>
      <c r="CR12" s="34"/>
      <c r="CS12" s="34"/>
      <c r="CT12" s="34"/>
      <c r="CU12" s="34"/>
      <c r="CV12" s="34"/>
      <c r="CW12" s="34"/>
      <c r="CX12" s="34"/>
      <c r="CY12" s="34"/>
      <c r="CZ12" s="34"/>
      <c r="DA12" s="34"/>
      <c r="DB12" s="34"/>
      <c r="DC12" s="34"/>
      <c r="DD12" s="34"/>
      <c r="DE12" s="34"/>
      <c r="DF12" s="34"/>
      <c r="DG12" s="34"/>
      <c r="DH12" s="34"/>
      <c r="DI12" s="34"/>
      <c r="DJ12" s="34"/>
      <c r="DK12" s="34"/>
      <c r="DL12" s="34"/>
      <c r="DM12" s="34"/>
      <c r="DN12" s="34"/>
      <c r="DO12" s="34"/>
      <c r="DP12" s="34"/>
      <c r="DQ12" s="34"/>
      <c r="DR12" s="34"/>
      <c r="DS12" s="34"/>
      <c r="DT12" s="34"/>
      <c r="DU12" s="34"/>
      <c r="DV12" s="34"/>
      <c r="DW12" s="34"/>
      <c r="DX12" s="34"/>
      <c r="DY12" s="34"/>
      <c r="DZ12" s="34"/>
      <c r="EA12" s="34"/>
      <c r="EB12" s="34"/>
      <c r="EC12" s="34"/>
      <c r="ED12" s="34"/>
      <c r="EE12" s="34"/>
      <c r="EF12" s="34"/>
      <c r="EG12" s="34"/>
      <c r="EH12" s="34"/>
      <c r="EI12" s="34"/>
      <c r="EJ12" s="34"/>
      <c r="EK12" s="34"/>
      <c r="EL12" s="34"/>
      <c r="EM12" s="34"/>
      <c r="EN12" s="34"/>
      <c r="EO12" s="34"/>
      <c r="EP12" s="34"/>
      <c r="EQ12" s="34"/>
      <c r="ER12" s="34"/>
      <c r="ES12" s="34"/>
      <c r="ET12" s="34"/>
      <c r="EU12" s="34"/>
      <c r="EV12" s="34"/>
      <c r="EW12" s="34"/>
      <c r="EX12" s="34"/>
      <c r="EY12" s="34"/>
      <c r="EZ12" s="34"/>
      <c r="FA12" s="34"/>
      <c r="FB12" s="34"/>
      <c r="FC12" s="34"/>
      <c r="FD12" s="34"/>
      <c r="FE12" s="34"/>
      <c r="FF12" s="34"/>
      <c r="FG12" s="34"/>
      <c r="FH12" s="34"/>
      <c r="FI12" s="34"/>
      <c r="FJ12" s="34"/>
      <c r="FK12" s="34"/>
      <c r="FL12" s="34"/>
      <c r="FM12" s="34"/>
      <c r="FN12" s="34"/>
      <c r="FO12" s="34"/>
      <c r="FP12" s="34"/>
      <c r="FQ12" s="34"/>
      <c r="FR12" s="34"/>
      <c r="FS12" s="34"/>
      <c r="FT12" s="34"/>
      <c r="FU12" s="34"/>
      <c r="FV12" s="34"/>
      <c r="FW12" s="34"/>
      <c r="FX12" s="34"/>
      <c r="FY12" s="34"/>
      <c r="FZ12" s="34"/>
      <c r="GA12" s="34"/>
      <c r="GB12" s="34"/>
      <c r="GC12" s="34"/>
      <c r="GD12" s="34"/>
      <c r="GE12" s="34"/>
      <c r="GF12" s="34"/>
      <c r="GG12" s="34"/>
      <c r="GH12" s="34"/>
      <c r="GI12" s="34"/>
      <c r="GJ12" s="34"/>
      <c r="GK12" s="34"/>
      <c r="GL12" s="34"/>
      <c r="GM12" s="34"/>
      <c r="GN12" s="34"/>
      <c r="GO12" s="34"/>
      <c r="GP12" s="34"/>
      <c r="GQ12" s="34"/>
      <c r="GR12" s="34"/>
      <c r="OQ12" s="64"/>
      <c r="OT12" s="63"/>
    </row>
    <row r="13" spans="1:502" s="38" customFormat="1" ht="15" customHeight="1" x14ac:dyDescent="0.3">
      <c r="A13" s="34" t="s">
        <v>246</v>
      </c>
      <c r="B13" s="34">
        <v>115</v>
      </c>
      <c r="C13" s="34">
        <v>156</v>
      </c>
      <c r="D13" s="34">
        <v>4</v>
      </c>
      <c r="E13" s="34">
        <v>4</v>
      </c>
      <c r="F13" s="34">
        <v>7</v>
      </c>
      <c r="G13" s="34">
        <v>27</v>
      </c>
      <c r="H13" s="34">
        <v>313</v>
      </c>
      <c r="I13" s="34"/>
      <c r="J13" s="34"/>
      <c r="K13" s="34"/>
      <c r="L13" s="34"/>
      <c r="M13" s="34"/>
      <c r="N13" s="34"/>
      <c r="O13" s="34"/>
      <c r="P13" s="34"/>
      <c r="Q13" s="34"/>
      <c r="R13" s="34"/>
      <c r="S13" s="34"/>
      <c r="T13" s="34"/>
      <c r="U13" s="136"/>
      <c r="V13" s="58"/>
      <c r="W13" s="58"/>
      <c r="X13" s="58"/>
      <c r="Y13" s="58"/>
      <c r="Z13" s="58"/>
      <c r="AA13" s="58"/>
      <c r="AB13" s="58"/>
      <c r="AC13" s="58"/>
      <c r="AD13" s="58"/>
      <c r="AE13" s="58"/>
      <c r="AF13" s="58"/>
      <c r="AG13" s="58"/>
      <c r="AH13" s="58"/>
      <c r="AI13" s="34"/>
      <c r="AJ13" s="34"/>
      <c r="AK13" s="34"/>
      <c r="AL13" s="34"/>
      <c r="AM13" s="34"/>
      <c r="AN13" s="34"/>
      <c r="AO13" s="34"/>
      <c r="AP13" s="34"/>
      <c r="AQ13" s="34"/>
      <c r="AR13" s="34"/>
      <c r="AS13" s="34"/>
      <c r="AT13" s="34"/>
      <c r="AU13" s="34"/>
      <c r="AV13" s="34"/>
      <c r="AW13" s="34"/>
      <c r="AX13" s="34"/>
      <c r="AY13" s="34"/>
      <c r="AZ13" s="34"/>
      <c r="BA13" s="34"/>
      <c r="BB13" s="34"/>
      <c r="BC13" s="34"/>
      <c r="BD13" s="34"/>
      <c r="BE13" s="34"/>
      <c r="BF13" s="34"/>
      <c r="BG13" s="34"/>
      <c r="BH13" s="34"/>
      <c r="BI13" s="34"/>
      <c r="BJ13" s="34"/>
      <c r="BK13" s="34"/>
      <c r="BL13" s="34"/>
      <c r="BM13" s="34"/>
      <c r="BN13" s="34"/>
      <c r="BO13" s="34"/>
      <c r="BP13" s="34"/>
      <c r="BQ13" s="34"/>
      <c r="BR13" s="34"/>
      <c r="BS13" s="34"/>
      <c r="BT13" s="34"/>
      <c r="BU13" s="34"/>
      <c r="BV13" s="34"/>
      <c r="BW13" s="34"/>
      <c r="BX13" s="34"/>
      <c r="BY13" s="34"/>
      <c r="BZ13" s="34"/>
      <c r="CA13" s="34"/>
      <c r="CB13" s="34"/>
      <c r="CC13" s="34"/>
      <c r="CD13" s="34"/>
      <c r="CE13" s="34"/>
      <c r="CF13" s="34"/>
      <c r="CG13" s="34"/>
      <c r="CH13" s="34"/>
      <c r="CI13" s="34"/>
      <c r="CJ13" s="34"/>
      <c r="CK13" s="34"/>
      <c r="CL13" s="34"/>
      <c r="CM13" s="34"/>
      <c r="CN13" s="34"/>
      <c r="CO13" s="34"/>
      <c r="CP13" s="34"/>
      <c r="CQ13" s="34"/>
      <c r="CR13" s="34"/>
      <c r="CS13" s="34"/>
      <c r="CT13" s="34"/>
      <c r="CU13" s="34"/>
      <c r="CV13" s="34"/>
      <c r="CW13" s="34"/>
      <c r="CX13" s="34"/>
      <c r="CY13" s="34"/>
      <c r="CZ13" s="34"/>
      <c r="DA13" s="34"/>
      <c r="DB13" s="34"/>
      <c r="DC13" s="34"/>
      <c r="DD13" s="34"/>
      <c r="DE13" s="34"/>
      <c r="DF13" s="34"/>
      <c r="DG13" s="34"/>
      <c r="DH13" s="34"/>
      <c r="DI13" s="34"/>
      <c r="DJ13" s="34"/>
      <c r="DK13" s="34"/>
      <c r="DL13" s="34"/>
      <c r="DM13" s="34"/>
      <c r="DN13" s="34"/>
      <c r="DO13" s="34"/>
      <c r="DP13" s="34"/>
      <c r="DQ13" s="34"/>
      <c r="DR13" s="34"/>
      <c r="DS13" s="34"/>
      <c r="DT13" s="34"/>
      <c r="DU13" s="34"/>
      <c r="DV13" s="34"/>
      <c r="DW13" s="34"/>
      <c r="DX13" s="34"/>
      <c r="DY13" s="34"/>
      <c r="DZ13" s="34"/>
      <c r="EA13" s="34"/>
      <c r="EB13" s="34"/>
      <c r="EC13" s="34"/>
      <c r="ED13" s="34"/>
      <c r="EE13" s="34"/>
      <c r="EF13" s="34"/>
      <c r="EG13" s="34"/>
      <c r="EH13" s="34"/>
      <c r="EI13" s="34"/>
      <c r="EJ13" s="34"/>
      <c r="EK13" s="34"/>
      <c r="EL13" s="34"/>
      <c r="EM13" s="34"/>
      <c r="EN13" s="34"/>
      <c r="EO13" s="34"/>
      <c r="EP13" s="34"/>
      <c r="EQ13" s="34"/>
      <c r="ER13" s="34"/>
      <c r="ES13" s="34"/>
      <c r="ET13" s="34"/>
      <c r="EU13" s="34"/>
      <c r="EV13" s="34"/>
      <c r="EW13" s="34"/>
      <c r="EX13" s="34"/>
      <c r="EY13" s="34"/>
      <c r="EZ13" s="34"/>
      <c r="FA13" s="34"/>
      <c r="FB13" s="34"/>
      <c r="FC13" s="34"/>
      <c r="FD13" s="34"/>
      <c r="FE13" s="34"/>
      <c r="FF13" s="34"/>
      <c r="FG13" s="34"/>
      <c r="FH13" s="34"/>
      <c r="FI13" s="34"/>
      <c r="FJ13" s="34"/>
      <c r="FK13" s="34"/>
      <c r="FL13" s="34"/>
      <c r="FM13" s="34"/>
      <c r="FN13" s="34"/>
      <c r="FO13" s="34"/>
      <c r="FP13" s="34"/>
      <c r="FQ13" s="34"/>
      <c r="FR13" s="34"/>
      <c r="FS13" s="34"/>
      <c r="FT13" s="34"/>
      <c r="FU13" s="34"/>
      <c r="FV13" s="34"/>
      <c r="FW13" s="34"/>
      <c r="FX13" s="34"/>
      <c r="FY13" s="34"/>
      <c r="FZ13" s="34"/>
      <c r="GA13" s="34"/>
      <c r="GB13" s="34"/>
      <c r="GC13" s="34"/>
      <c r="GD13" s="34"/>
      <c r="GE13" s="34"/>
      <c r="GF13" s="34"/>
      <c r="GG13" s="34"/>
      <c r="GH13" s="34"/>
      <c r="GI13" s="34"/>
      <c r="GJ13" s="34"/>
      <c r="GK13" s="34"/>
      <c r="GL13" s="34"/>
      <c r="GM13" s="34"/>
      <c r="GN13" s="34"/>
      <c r="GO13" s="34"/>
      <c r="GP13" s="34"/>
      <c r="GQ13" s="34"/>
      <c r="GR13" s="34"/>
      <c r="OT13" s="63"/>
    </row>
    <row r="14" spans="1:502" s="38" customFormat="1" ht="15" customHeight="1" x14ac:dyDescent="0.3">
      <c r="A14" s="34" t="s">
        <v>257</v>
      </c>
      <c r="B14" s="34">
        <v>103</v>
      </c>
      <c r="C14" s="34">
        <v>132</v>
      </c>
      <c r="D14" s="34">
        <v>4</v>
      </c>
      <c r="E14" s="34">
        <v>3</v>
      </c>
      <c r="F14" s="34">
        <v>6</v>
      </c>
      <c r="G14" s="34">
        <v>25</v>
      </c>
      <c r="H14" s="34">
        <v>273</v>
      </c>
      <c r="I14" s="34"/>
      <c r="J14" s="34"/>
      <c r="K14" s="34"/>
      <c r="L14" s="34"/>
      <c r="M14" s="34"/>
      <c r="N14" s="34"/>
      <c r="O14" s="34"/>
      <c r="P14" s="34"/>
      <c r="Q14" s="34"/>
      <c r="R14" s="34"/>
      <c r="S14" s="34"/>
      <c r="T14" s="34"/>
      <c r="U14" s="148"/>
      <c r="V14" s="58"/>
      <c r="W14" s="58"/>
      <c r="X14" s="58"/>
      <c r="Y14" s="58"/>
      <c r="Z14" s="58"/>
      <c r="AA14" s="58"/>
      <c r="AB14" s="58"/>
      <c r="AC14" s="58"/>
      <c r="AD14" s="58"/>
      <c r="AE14" s="58"/>
      <c r="AF14" s="58"/>
      <c r="AG14" s="58"/>
      <c r="AH14" s="58"/>
      <c r="AI14" s="34"/>
      <c r="AJ14" s="34"/>
      <c r="AK14" s="34"/>
      <c r="AL14" s="34"/>
      <c r="AM14" s="34"/>
      <c r="AN14" s="34"/>
      <c r="AO14" s="34"/>
      <c r="AP14" s="34"/>
      <c r="AQ14" s="34"/>
      <c r="AR14" s="34"/>
      <c r="AS14" s="34"/>
      <c r="AT14" s="34"/>
      <c r="AU14" s="34"/>
      <c r="AV14" s="34"/>
      <c r="AW14" s="34"/>
      <c r="AX14" s="34"/>
      <c r="AY14" s="34"/>
      <c r="AZ14" s="34"/>
      <c r="BA14" s="34"/>
      <c r="BB14" s="34"/>
      <c r="BC14" s="34"/>
      <c r="BD14" s="34"/>
      <c r="BE14" s="34"/>
      <c r="BF14" s="34"/>
      <c r="BG14" s="34"/>
      <c r="BH14" s="34"/>
      <c r="BI14" s="34"/>
      <c r="BJ14" s="34"/>
      <c r="BK14" s="34"/>
      <c r="BL14" s="34"/>
      <c r="BM14" s="34"/>
      <c r="BN14" s="34"/>
      <c r="BO14" s="34"/>
      <c r="BP14" s="34"/>
      <c r="BQ14" s="34"/>
      <c r="BR14" s="34"/>
      <c r="BS14" s="34"/>
      <c r="BT14" s="34"/>
      <c r="BU14" s="34"/>
      <c r="BV14" s="34"/>
      <c r="BW14" s="34"/>
      <c r="BX14" s="34"/>
      <c r="BY14" s="34"/>
      <c r="BZ14" s="34"/>
      <c r="CA14" s="34"/>
      <c r="CB14" s="34"/>
      <c r="CC14" s="34"/>
      <c r="CD14" s="34"/>
      <c r="CE14" s="34"/>
      <c r="CF14" s="34"/>
      <c r="CG14" s="34"/>
      <c r="CH14" s="34"/>
      <c r="CI14" s="34"/>
      <c r="CJ14" s="34"/>
      <c r="CK14" s="34"/>
      <c r="CL14" s="34"/>
      <c r="CM14" s="34"/>
      <c r="CN14" s="34"/>
      <c r="CO14" s="34"/>
      <c r="CP14" s="34"/>
      <c r="CQ14" s="34"/>
      <c r="CR14" s="34"/>
      <c r="CS14" s="34"/>
      <c r="CT14" s="34"/>
      <c r="CU14" s="34"/>
      <c r="CV14" s="34"/>
      <c r="CW14" s="34"/>
      <c r="CX14" s="34"/>
      <c r="CY14" s="34"/>
      <c r="CZ14" s="34"/>
      <c r="DA14" s="34"/>
      <c r="DB14" s="34"/>
      <c r="DC14" s="34"/>
      <c r="DD14" s="34"/>
      <c r="DE14" s="34"/>
      <c r="DF14" s="34"/>
      <c r="DG14" s="34"/>
      <c r="DH14" s="34"/>
      <c r="DI14" s="34"/>
      <c r="DJ14" s="34"/>
      <c r="DK14" s="34"/>
      <c r="DL14" s="34"/>
      <c r="DM14" s="34"/>
      <c r="DN14" s="34"/>
      <c r="DO14" s="34"/>
      <c r="DP14" s="34"/>
      <c r="DQ14" s="34"/>
      <c r="DR14" s="34"/>
      <c r="DS14" s="34"/>
      <c r="DT14" s="34"/>
      <c r="DU14" s="34"/>
      <c r="DV14" s="34"/>
      <c r="DW14" s="34"/>
      <c r="DX14" s="34"/>
      <c r="DY14" s="34"/>
      <c r="DZ14" s="34"/>
      <c r="EA14" s="34"/>
      <c r="EB14" s="34"/>
      <c r="EC14" s="34"/>
      <c r="ED14" s="34"/>
      <c r="EE14" s="34"/>
      <c r="EF14" s="34"/>
      <c r="EG14" s="34"/>
      <c r="EH14" s="34"/>
      <c r="EI14" s="34"/>
      <c r="EJ14" s="34"/>
      <c r="EK14" s="34"/>
      <c r="EL14" s="34"/>
      <c r="EM14" s="34"/>
      <c r="EN14" s="34"/>
      <c r="EO14" s="34"/>
      <c r="EP14" s="34"/>
      <c r="EQ14" s="34"/>
      <c r="ER14" s="34"/>
      <c r="ES14" s="34"/>
      <c r="ET14" s="34"/>
      <c r="EU14" s="34"/>
      <c r="EV14" s="34"/>
      <c r="EW14" s="34"/>
      <c r="EX14" s="34"/>
      <c r="EY14" s="34"/>
      <c r="EZ14" s="34"/>
      <c r="FA14" s="34"/>
      <c r="FB14" s="34"/>
      <c r="FC14" s="34"/>
      <c r="FD14" s="34"/>
      <c r="FE14" s="34"/>
      <c r="FF14" s="34"/>
      <c r="FG14" s="34"/>
      <c r="FH14" s="34"/>
      <c r="FI14" s="34"/>
      <c r="FJ14" s="34"/>
      <c r="FK14" s="34"/>
      <c r="FL14" s="34"/>
      <c r="FM14" s="34"/>
      <c r="FN14" s="34"/>
      <c r="FO14" s="34"/>
      <c r="FP14" s="34"/>
      <c r="FQ14" s="34"/>
      <c r="FR14" s="34"/>
      <c r="FS14" s="34"/>
      <c r="FT14" s="34"/>
      <c r="FU14" s="34"/>
      <c r="FV14" s="34"/>
      <c r="FW14" s="34"/>
      <c r="FX14" s="34"/>
      <c r="FY14" s="34"/>
      <c r="FZ14" s="34"/>
      <c r="GA14" s="34"/>
      <c r="GB14" s="34"/>
      <c r="GC14" s="34"/>
      <c r="GD14" s="34"/>
      <c r="GE14" s="34"/>
      <c r="GF14" s="34"/>
      <c r="GG14" s="34"/>
      <c r="GH14" s="34"/>
      <c r="GI14" s="34"/>
      <c r="GJ14" s="34"/>
      <c r="GK14" s="34"/>
      <c r="GL14" s="34"/>
      <c r="GM14" s="34"/>
      <c r="GN14" s="34"/>
      <c r="GO14" s="34"/>
      <c r="GP14" s="34"/>
      <c r="GQ14" s="34"/>
      <c r="GR14" s="34"/>
      <c r="OT14" s="63"/>
    </row>
    <row r="15" spans="1:502" s="38" customFormat="1" ht="15" customHeight="1" x14ac:dyDescent="0.3">
      <c r="A15" s="234" t="s">
        <v>262</v>
      </c>
      <c r="B15" s="234">
        <v>46</v>
      </c>
      <c r="C15" s="234">
        <v>68</v>
      </c>
      <c r="D15" s="234">
        <v>2</v>
      </c>
      <c r="E15" s="234">
        <v>4</v>
      </c>
      <c r="F15" s="234"/>
      <c r="G15" s="234"/>
      <c r="H15" s="234">
        <v>120</v>
      </c>
      <c r="I15" s="34"/>
      <c r="J15" s="34"/>
      <c r="K15" s="34"/>
      <c r="L15" s="34"/>
      <c r="M15" s="34"/>
      <c r="N15" s="34"/>
      <c r="O15" s="34"/>
      <c r="P15" s="34"/>
      <c r="Q15" s="34"/>
      <c r="R15" s="34"/>
      <c r="S15" s="34"/>
      <c r="T15" s="34"/>
      <c r="U15" s="34"/>
      <c r="V15" s="58"/>
      <c r="W15" s="58"/>
      <c r="X15" s="58"/>
      <c r="Y15" s="58"/>
      <c r="Z15" s="58"/>
      <c r="AA15" s="58"/>
      <c r="AB15" s="58"/>
      <c r="AC15" s="58"/>
      <c r="AD15" s="58"/>
      <c r="AE15" s="58"/>
      <c r="AF15" s="58"/>
      <c r="AG15" s="58"/>
      <c r="AH15" s="58"/>
      <c r="AI15" s="34"/>
      <c r="AJ15" s="34"/>
      <c r="AK15" s="34"/>
      <c r="AL15" s="34"/>
      <c r="AM15" s="34"/>
      <c r="AN15" s="34"/>
      <c r="AO15" s="34"/>
      <c r="AP15" s="34"/>
      <c r="AQ15" s="34"/>
      <c r="AR15" s="34"/>
      <c r="AS15" s="34"/>
      <c r="AT15" s="34"/>
      <c r="AU15" s="34"/>
      <c r="AV15" s="34"/>
      <c r="AW15" s="34"/>
      <c r="AX15" s="34"/>
      <c r="AY15" s="34"/>
      <c r="AZ15" s="34"/>
      <c r="BA15" s="34"/>
      <c r="BB15" s="34"/>
      <c r="BC15" s="34"/>
      <c r="BD15" s="34"/>
      <c r="BE15" s="34"/>
      <c r="BF15" s="34"/>
      <c r="BG15" s="34"/>
      <c r="BH15" s="34"/>
      <c r="BI15" s="34"/>
      <c r="BJ15" s="34"/>
      <c r="BK15" s="34"/>
      <c r="BL15" s="34"/>
      <c r="BM15" s="34"/>
      <c r="BN15" s="34"/>
      <c r="BO15" s="34"/>
      <c r="BP15" s="34"/>
      <c r="BQ15" s="34"/>
      <c r="BR15" s="34"/>
      <c r="BS15" s="34"/>
      <c r="BT15" s="34"/>
      <c r="BU15" s="34"/>
      <c r="BV15" s="34"/>
      <c r="BW15" s="34"/>
      <c r="BX15" s="34"/>
      <c r="BY15" s="34"/>
      <c r="BZ15" s="34"/>
      <c r="CA15" s="34"/>
      <c r="CB15" s="34"/>
      <c r="CC15" s="34"/>
      <c r="CD15" s="34"/>
      <c r="CE15" s="34"/>
      <c r="CF15" s="34"/>
      <c r="CG15" s="34"/>
      <c r="CH15" s="34"/>
      <c r="CI15" s="34"/>
      <c r="CJ15" s="34"/>
      <c r="CK15" s="34"/>
      <c r="CL15" s="34"/>
      <c r="CM15" s="34"/>
      <c r="CN15" s="34"/>
      <c r="CO15" s="34"/>
      <c r="CP15" s="34"/>
      <c r="CQ15" s="34"/>
      <c r="CR15" s="34"/>
      <c r="CS15" s="34"/>
      <c r="CT15" s="34"/>
      <c r="CU15" s="34"/>
      <c r="CV15" s="34"/>
      <c r="CW15" s="34"/>
      <c r="CX15" s="34"/>
      <c r="CY15" s="34"/>
      <c r="CZ15" s="34"/>
      <c r="DA15" s="34"/>
      <c r="DB15" s="34"/>
      <c r="DC15" s="34"/>
      <c r="DD15" s="34"/>
      <c r="DE15" s="34"/>
      <c r="DF15" s="34"/>
      <c r="DG15" s="34"/>
      <c r="DH15" s="34"/>
      <c r="DI15" s="34"/>
      <c r="DJ15" s="34"/>
      <c r="DK15" s="34"/>
      <c r="DL15" s="34"/>
      <c r="DM15" s="34"/>
      <c r="DN15" s="34"/>
      <c r="DO15" s="34"/>
      <c r="DP15" s="34"/>
      <c r="DQ15" s="34"/>
      <c r="DR15" s="34"/>
      <c r="DS15" s="34"/>
      <c r="DT15" s="34"/>
      <c r="DU15" s="34"/>
      <c r="DV15" s="34"/>
      <c r="DW15" s="34"/>
      <c r="DX15" s="34"/>
      <c r="DY15" s="34"/>
      <c r="DZ15" s="34"/>
      <c r="EA15" s="34"/>
      <c r="EB15" s="34"/>
      <c r="EC15" s="34"/>
      <c r="ED15" s="34"/>
      <c r="EE15" s="34"/>
      <c r="EF15" s="34"/>
      <c r="EG15" s="34"/>
      <c r="EH15" s="34"/>
      <c r="EI15" s="34"/>
      <c r="EJ15" s="34"/>
      <c r="EK15" s="34"/>
      <c r="EL15" s="34"/>
      <c r="EM15" s="34"/>
      <c r="EN15" s="34"/>
      <c r="EO15" s="34"/>
      <c r="EP15" s="34"/>
      <c r="EQ15" s="34"/>
      <c r="ER15" s="34"/>
      <c r="ES15" s="34"/>
      <c r="ET15" s="34"/>
      <c r="EU15" s="34"/>
      <c r="EV15" s="34"/>
      <c r="EW15" s="34"/>
      <c r="EX15" s="34"/>
      <c r="EY15" s="34"/>
      <c r="EZ15" s="34"/>
      <c r="FA15" s="34"/>
      <c r="FB15" s="34"/>
      <c r="FC15" s="34"/>
      <c r="FD15" s="34"/>
      <c r="FE15" s="34"/>
      <c r="FF15" s="34"/>
      <c r="FG15" s="34"/>
      <c r="FH15" s="34"/>
      <c r="FI15" s="34"/>
      <c r="FJ15" s="34"/>
      <c r="FK15" s="34"/>
      <c r="FL15" s="34"/>
      <c r="FM15" s="34"/>
      <c r="FN15" s="34"/>
      <c r="FO15" s="34"/>
      <c r="FP15" s="34"/>
      <c r="FQ15" s="34"/>
      <c r="FR15" s="34"/>
      <c r="FS15" s="34"/>
      <c r="FT15" s="34"/>
      <c r="FU15" s="34"/>
      <c r="FV15" s="34"/>
      <c r="FW15" s="34"/>
      <c r="FX15" s="34"/>
      <c r="FY15" s="34"/>
      <c r="FZ15" s="34"/>
      <c r="GA15" s="34"/>
      <c r="GB15" s="34"/>
      <c r="GC15" s="34"/>
      <c r="GD15" s="34"/>
      <c r="GE15" s="34"/>
      <c r="GF15" s="34"/>
      <c r="GG15" s="34"/>
      <c r="GH15" s="34"/>
      <c r="GI15" s="34"/>
      <c r="GJ15" s="34"/>
      <c r="GK15" s="34"/>
      <c r="GL15" s="34"/>
      <c r="GM15" s="34"/>
      <c r="GN15" s="34"/>
      <c r="GO15" s="34"/>
      <c r="GP15" s="34"/>
      <c r="GQ15" s="34"/>
      <c r="GR15" s="34"/>
    </row>
    <row r="16" spans="1:502" s="38" customFormat="1" ht="15" customHeight="1" x14ac:dyDescent="0.3">
      <c r="A16" s="34" t="s">
        <v>245</v>
      </c>
      <c r="B16" s="34">
        <v>93</v>
      </c>
      <c r="C16" s="34">
        <v>122</v>
      </c>
      <c r="D16" s="34">
        <v>1</v>
      </c>
      <c r="E16" s="34">
        <v>3</v>
      </c>
      <c r="F16" s="34">
        <v>3</v>
      </c>
      <c r="G16" s="34">
        <v>14</v>
      </c>
      <c r="H16" s="34">
        <v>236</v>
      </c>
      <c r="I16" s="34"/>
      <c r="J16" s="34"/>
      <c r="K16" s="34"/>
      <c r="L16" s="34"/>
      <c r="M16" s="34"/>
      <c r="N16" s="34"/>
      <c r="O16" s="34"/>
      <c r="P16" s="34"/>
      <c r="Q16" s="34"/>
      <c r="R16" s="34"/>
      <c r="S16" s="34"/>
      <c r="T16" s="34"/>
      <c r="U16" s="34"/>
      <c r="V16" s="58"/>
      <c r="W16" s="58"/>
      <c r="X16" s="58"/>
      <c r="Y16" s="58"/>
      <c r="Z16" s="58"/>
      <c r="AA16" s="58"/>
      <c r="AB16" s="58"/>
      <c r="AC16" s="58"/>
      <c r="AD16" s="58"/>
      <c r="AE16" s="58"/>
      <c r="AF16" s="58"/>
      <c r="AG16" s="58"/>
      <c r="AH16" s="58"/>
      <c r="AI16" s="34"/>
      <c r="AJ16" s="34"/>
      <c r="AK16" s="34"/>
      <c r="AL16" s="34"/>
      <c r="AM16" s="34"/>
      <c r="AN16" s="34"/>
      <c r="AO16" s="34"/>
      <c r="AP16" s="34"/>
      <c r="AQ16" s="34"/>
      <c r="AR16" s="34"/>
      <c r="AS16" s="34"/>
      <c r="AT16" s="34"/>
      <c r="AU16" s="34"/>
      <c r="AV16" s="34"/>
      <c r="AW16" s="34"/>
      <c r="AX16" s="34"/>
      <c r="AY16" s="34"/>
      <c r="AZ16" s="34"/>
      <c r="BA16" s="34"/>
      <c r="BB16" s="34"/>
      <c r="BC16" s="34"/>
      <c r="BD16" s="34"/>
      <c r="BE16" s="34"/>
      <c r="BF16" s="34"/>
      <c r="BG16" s="34"/>
      <c r="BH16" s="34"/>
      <c r="BI16" s="34"/>
      <c r="BJ16" s="34"/>
      <c r="BK16" s="34"/>
      <c r="BL16" s="34"/>
      <c r="BM16" s="34"/>
      <c r="BN16" s="34"/>
      <c r="BO16" s="34"/>
      <c r="BP16" s="34"/>
      <c r="BQ16" s="34"/>
      <c r="BR16" s="34"/>
      <c r="BS16" s="34"/>
      <c r="BT16" s="34"/>
      <c r="BU16" s="34"/>
      <c r="BV16" s="34"/>
      <c r="BW16" s="34"/>
      <c r="BX16" s="34"/>
      <c r="BY16" s="34"/>
      <c r="BZ16" s="34"/>
      <c r="CA16" s="34"/>
      <c r="CB16" s="34"/>
      <c r="CC16" s="34"/>
      <c r="CD16" s="34"/>
      <c r="CE16" s="34"/>
      <c r="CF16" s="34"/>
      <c r="CG16" s="34"/>
      <c r="CH16" s="34"/>
      <c r="CI16" s="34"/>
      <c r="CJ16" s="34"/>
      <c r="CK16" s="34"/>
      <c r="CL16" s="34"/>
      <c r="CM16" s="34"/>
      <c r="CN16" s="34"/>
      <c r="CO16" s="34"/>
      <c r="CP16" s="34"/>
      <c r="CQ16" s="34"/>
      <c r="CR16" s="34"/>
      <c r="CS16" s="34"/>
      <c r="CT16" s="34"/>
      <c r="CU16" s="34"/>
      <c r="CV16" s="34"/>
      <c r="CW16" s="34"/>
      <c r="CX16" s="34"/>
      <c r="CY16" s="34"/>
      <c r="CZ16" s="34"/>
      <c r="DA16" s="34"/>
      <c r="DB16" s="34"/>
      <c r="DC16" s="34"/>
      <c r="DD16" s="34"/>
      <c r="DE16" s="34"/>
      <c r="DF16" s="34"/>
      <c r="DG16" s="34"/>
      <c r="DH16" s="34"/>
      <c r="DI16" s="34"/>
      <c r="DJ16" s="34"/>
      <c r="DK16" s="34"/>
      <c r="DL16" s="34"/>
      <c r="DM16" s="34"/>
      <c r="DN16" s="34"/>
      <c r="DO16" s="34"/>
      <c r="DP16" s="34"/>
      <c r="DQ16" s="34"/>
      <c r="DR16" s="34"/>
      <c r="DS16" s="34"/>
      <c r="DT16" s="34"/>
      <c r="DU16" s="34"/>
      <c r="DV16" s="34"/>
      <c r="DW16" s="34"/>
      <c r="DX16" s="34"/>
      <c r="DY16" s="34"/>
      <c r="DZ16" s="34"/>
      <c r="EA16" s="34"/>
      <c r="EB16" s="34"/>
      <c r="EC16" s="34"/>
      <c r="ED16" s="34"/>
      <c r="EE16" s="34"/>
      <c r="EF16" s="34"/>
      <c r="EG16" s="34"/>
      <c r="EH16" s="34"/>
      <c r="EI16" s="34"/>
      <c r="EJ16" s="34"/>
      <c r="EK16" s="34"/>
      <c r="EL16" s="34"/>
      <c r="EM16" s="34"/>
      <c r="EN16" s="34"/>
      <c r="EO16" s="34"/>
      <c r="EP16" s="34"/>
      <c r="EQ16" s="34"/>
      <c r="ER16" s="34"/>
      <c r="ES16" s="34"/>
      <c r="ET16" s="34"/>
      <c r="EU16" s="34"/>
      <c r="EV16" s="34"/>
      <c r="EW16" s="34"/>
      <c r="EX16" s="34"/>
      <c r="EY16" s="34"/>
      <c r="EZ16" s="34"/>
      <c r="FA16" s="34"/>
      <c r="FB16" s="34"/>
      <c r="FC16" s="34"/>
      <c r="FD16" s="34"/>
      <c r="FE16" s="34"/>
      <c r="FF16" s="34"/>
      <c r="FG16" s="34"/>
      <c r="FH16" s="34"/>
      <c r="FI16" s="34"/>
      <c r="FJ16" s="34"/>
      <c r="FK16" s="34"/>
      <c r="FL16" s="34"/>
      <c r="FM16" s="34"/>
      <c r="FN16" s="34"/>
      <c r="FO16" s="34"/>
      <c r="FP16" s="34"/>
      <c r="FQ16" s="34"/>
      <c r="FR16" s="34"/>
      <c r="FS16" s="34"/>
      <c r="FT16" s="34"/>
      <c r="FU16" s="34"/>
      <c r="FV16" s="34"/>
      <c r="FW16" s="34"/>
      <c r="FX16" s="34"/>
      <c r="FY16" s="34"/>
      <c r="FZ16" s="34"/>
      <c r="GA16" s="34"/>
      <c r="GB16" s="34"/>
      <c r="GC16" s="34"/>
      <c r="GD16" s="34"/>
      <c r="GE16" s="34"/>
      <c r="GF16" s="34"/>
      <c r="GG16" s="34"/>
      <c r="GH16" s="34"/>
      <c r="GI16" s="34"/>
      <c r="GJ16" s="34"/>
      <c r="GK16" s="34"/>
      <c r="GL16" s="34"/>
      <c r="GM16" s="34"/>
      <c r="GN16" s="34"/>
      <c r="GO16" s="34"/>
      <c r="GP16" s="34"/>
      <c r="GQ16" s="34"/>
      <c r="GR16" s="34"/>
    </row>
    <row r="17" spans="1:200" s="38" customFormat="1" ht="15" customHeight="1" x14ac:dyDescent="0.3">
      <c r="A17" s="34" t="s">
        <v>248</v>
      </c>
      <c r="B17" s="34">
        <v>115</v>
      </c>
      <c r="C17" s="34">
        <v>168</v>
      </c>
      <c r="D17" s="34">
        <v>5</v>
      </c>
      <c r="E17" s="34">
        <v>7</v>
      </c>
      <c r="F17" s="34">
        <v>2</v>
      </c>
      <c r="G17" s="34">
        <v>17</v>
      </c>
      <c r="H17" s="34">
        <v>314</v>
      </c>
      <c r="I17" s="34"/>
      <c r="J17" s="34"/>
      <c r="K17" s="34"/>
      <c r="L17" s="34"/>
      <c r="M17" s="34"/>
      <c r="N17" s="34"/>
      <c r="O17" s="34"/>
      <c r="P17" s="34"/>
      <c r="Q17" s="34"/>
      <c r="R17" s="34"/>
      <c r="S17" s="34"/>
      <c r="T17" s="34"/>
      <c r="U17" s="34"/>
      <c r="V17" s="58"/>
      <c r="W17" s="58"/>
      <c r="X17" s="58"/>
      <c r="Y17" s="58"/>
      <c r="Z17" s="58"/>
      <c r="AA17" s="58"/>
      <c r="AB17" s="58"/>
      <c r="AC17" s="58"/>
      <c r="AD17" s="58"/>
      <c r="AE17" s="58"/>
      <c r="AF17" s="58"/>
      <c r="AG17" s="58"/>
      <c r="AH17" s="58"/>
      <c r="AI17" s="34"/>
      <c r="AJ17" s="34"/>
      <c r="AK17" s="34"/>
      <c r="AL17" s="34"/>
      <c r="AM17" s="34"/>
      <c r="AN17" s="34"/>
      <c r="AO17" s="34"/>
      <c r="AP17" s="34"/>
      <c r="AQ17" s="34"/>
      <c r="AR17" s="34"/>
      <c r="AS17" s="34"/>
      <c r="AT17" s="34"/>
      <c r="AU17" s="34"/>
      <c r="AV17" s="34"/>
      <c r="AW17" s="34"/>
      <c r="AX17" s="34"/>
      <c r="AY17" s="34"/>
      <c r="AZ17" s="34"/>
      <c r="BA17" s="34"/>
      <c r="BB17" s="34"/>
      <c r="BC17" s="34"/>
      <c r="BD17" s="34"/>
      <c r="BE17" s="34"/>
      <c r="BF17" s="34"/>
      <c r="BG17" s="34"/>
      <c r="BH17" s="34"/>
      <c r="BI17" s="34"/>
      <c r="BJ17" s="34"/>
      <c r="BK17" s="34"/>
      <c r="BL17" s="34"/>
      <c r="BM17" s="34"/>
      <c r="BN17" s="34"/>
      <c r="BO17" s="34"/>
      <c r="BP17" s="34"/>
      <c r="BQ17" s="34"/>
      <c r="BR17" s="34"/>
      <c r="BS17" s="34"/>
      <c r="BT17" s="34"/>
      <c r="BU17" s="34"/>
      <c r="BV17" s="34"/>
      <c r="BW17" s="34"/>
      <c r="BX17" s="34"/>
      <c r="BY17" s="34"/>
      <c r="BZ17" s="34"/>
      <c r="CA17" s="34"/>
      <c r="CB17" s="34"/>
      <c r="CC17" s="34"/>
      <c r="CD17" s="34"/>
      <c r="CE17" s="34"/>
      <c r="CF17" s="34"/>
      <c r="CG17" s="34"/>
      <c r="CH17" s="34"/>
      <c r="CI17" s="34"/>
      <c r="CJ17" s="34"/>
      <c r="CK17" s="34"/>
      <c r="CL17" s="34"/>
      <c r="CM17" s="34"/>
      <c r="CN17" s="34"/>
      <c r="CO17" s="34"/>
      <c r="CP17" s="34"/>
      <c r="CQ17" s="34"/>
      <c r="CR17" s="34"/>
      <c r="CS17" s="34"/>
      <c r="CT17" s="34"/>
      <c r="CU17" s="34"/>
      <c r="CV17" s="34"/>
      <c r="CW17" s="34"/>
      <c r="CX17" s="34"/>
      <c r="CY17" s="34"/>
      <c r="CZ17" s="34"/>
      <c r="DA17" s="34"/>
      <c r="DB17" s="34"/>
      <c r="DC17" s="34"/>
      <c r="DD17" s="34"/>
      <c r="DE17" s="34"/>
      <c r="DF17" s="34"/>
      <c r="DG17" s="34"/>
      <c r="DH17" s="34"/>
      <c r="DI17" s="34"/>
      <c r="DJ17" s="34"/>
      <c r="DK17" s="34"/>
      <c r="DL17" s="34"/>
      <c r="DM17" s="34"/>
      <c r="DN17" s="34"/>
      <c r="DO17" s="34"/>
      <c r="DP17" s="34"/>
      <c r="DQ17" s="34"/>
      <c r="DR17" s="34"/>
      <c r="DS17" s="34"/>
      <c r="DT17" s="34"/>
      <c r="DU17" s="34"/>
      <c r="DV17" s="34"/>
      <c r="DW17" s="34"/>
      <c r="DX17" s="34"/>
      <c r="DY17" s="34"/>
      <c r="DZ17" s="34"/>
      <c r="EA17" s="34"/>
      <c r="EB17" s="34"/>
      <c r="EC17" s="34"/>
      <c r="ED17" s="34"/>
      <c r="EE17" s="34"/>
      <c r="EF17" s="34"/>
      <c r="EG17" s="34"/>
      <c r="EH17" s="34"/>
      <c r="EI17" s="34"/>
      <c r="EJ17" s="34"/>
      <c r="EK17" s="34"/>
      <c r="EL17" s="34"/>
      <c r="EM17" s="34"/>
      <c r="EN17" s="34"/>
      <c r="EO17" s="34"/>
      <c r="EP17" s="34"/>
      <c r="EQ17" s="34"/>
      <c r="ER17" s="34"/>
      <c r="ES17" s="34"/>
      <c r="ET17" s="34"/>
      <c r="EU17" s="34"/>
      <c r="EV17" s="34"/>
      <c r="EW17" s="34"/>
      <c r="EX17" s="34"/>
      <c r="EY17" s="34"/>
      <c r="EZ17" s="34"/>
      <c r="FA17" s="34"/>
      <c r="FB17" s="34"/>
      <c r="FC17" s="34"/>
      <c r="FD17" s="34"/>
      <c r="FE17" s="34"/>
      <c r="FF17" s="34"/>
      <c r="FG17" s="34"/>
      <c r="FH17" s="34"/>
      <c r="FI17" s="34"/>
      <c r="FJ17" s="34"/>
      <c r="FK17" s="34"/>
      <c r="FL17" s="34"/>
      <c r="FM17" s="34"/>
      <c r="FN17" s="34"/>
      <c r="FO17" s="34"/>
      <c r="FP17" s="34"/>
      <c r="FQ17" s="34"/>
      <c r="FR17" s="34"/>
      <c r="FS17" s="34"/>
      <c r="FT17" s="34"/>
      <c r="FU17" s="34"/>
      <c r="FV17" s="34"/>
      <c r="FW17" s="34"/>
      <c r="FX17" s="34"/>
      <c r="FY17" s="34"/>
      <c r="FZ17" s="34"/>
      <c r="GA17" s="34"/>
      <c r="GB17" s="34"/>
      <c r="GC17" s="34"/>
      <c r="GD17" s="34"/>
      <c r="GE17" s="34"/>
      <c r="GF17" s="34"/>
      <c r="GG17" s="34"/>
      <c r="GH17" s="34"/>
      <c r="GI17" s="34"/>
      <c r="GJ17" s="34"/>
      <c r="GK17" s="34"/>
      <c r="GL17" s="34"/>
      <c r="GM17" s="34"/>
      <c r="GN17" s="34"/>
      <c r="GO17" s="34"/>
      <c r="GP17" s="34"/>
      <c r="GQ17" s="34"/>
      <c r="GR17" s="34"/>
    </row>
    <row r="18" spans="1:200" s="38" customFormat="1" ht="15" customHeight="1" x14ac:dyDescent="0.3">
      <c r="A18" s="34" t="s">
        <v>258</v>
      </c>
      <c r="B18" s="34">
        <v>86</v>
      </c>
      <c r="C18" s="34">
        <v>118</v>
      </c>
      <c r="D18" s="34">
        <v>2</v>
      </c>
      <c r="E18" s="34">
        <v>5</v>
      </c>
      <c r="F18" s="34">
        <v>3</v>
      </c>
      <c r="G18" s="34">
        <v>8</v>
      </c>
      <c r="H18" s="34">
        <v>222</v>
      </c>
      <c r="I18" s="34"/>
      <c r="J18" s="34"/>
      <c r="K18" s="34"/>
      <c r="L18" s="34"/>
      <c r="M18" s="34"/>
      <c r="N18" s="34"/>
      <c r="O18" s="34"/>
      <c r="P18" s="34"/>
      <c r="Q18" s="34"/>
      <c r="R18" s="34"/>
      <c r="S18" s="34"/>
      <c r="T18" s="34"/>
      <c r="U18" s="34"/>
      <c r="V18" s="58"/>
      <c r="W18" s="58"/>
      <c r="X18" s="58"/>
      <c r="Y18" s="58"/>
      <c r="Z18" s="58"/>
      <c r="AA18" s="58"/>
      <c r="AB18" s="58"/>
      <c r="AC18" s="58"/>
      <c r="AD18" s="58"/>
      <c r="AE18" s="58"/>
      <c r="AF18" s="58"/>
      <c r="AG18" s="58"/>
      <c r="AH18" s="58"/>
      <c r="AI18" s="34"/>
      <c r="AJ18" s="34"/>
      <c r="AK18" s="34"/>
      <c r="AL18" s="34"/>
      <c r="AM18" s="34"/>
      <c r="AN18" s="34"/>
      <c r="AO18" s="34"/>
      <c r="AP18" s="34"/>
      <c r="AQ18" s="34"/>
      <c r="AR18" s="34"/>
      <c r="AS18" s="34"/>
      <c r="AT18" s="34"/>
      <c r="AU18" s="34"/>
      <c r="AV18" s="34"/>
      <c r="AW18" s="34"/>
      <c r="AX18" s="34"/>
      <c r="AY18" s="34"/>
      <c r="AZ18" s="34"/>
      <c r="BA18" s="34"/>
      <c r="BB18" s="34"/>
      <c r="BC18" s="34"/>
      <c r="BD18" s="34"/>
      <c r="BE18" s="34"/>
      <c r="BF18" s="34"/>
      <c r="BG18" s="34"/>
      <c r="BH18" s="34"/>
      <c r="BI18" s="34"/>
      <c r="BJ18" s="34"/>
      <c r="BK18" s="34"/>
      <c r="BL18" s="34"/>
      <c r="BM18" s="34"/>
      <c r="BN18" s="34"/>
      <c r="BO18" s="34"/>
      <c r="BP18" s="34"/>
      <c r="BQ18" s="34"/>
      <c r="BR18" s="34"/>
      <c r="BS18" s="34"/>
      <c r="BT18" s="34"/>
      <c r="BU18" s="34"/>
      <c r="BV18" s="34"/>
      <c r="BW18" s="34"/>
      <c r="BX18" s="34"/>
      <c r="BY18" s="34"/>
      <c r="BZ18" s="34"/>
      <c r="CA18" s="34"/>
      <c r="CB18" s="34"/>
      <c r="CC18" s="34"/>
      <c r="CD18" s="34"/>
      <c r="CE18" s="34"/>
      <c r="CF18" s="34"/>
      <c r="CG18" s="34"/>
      <c r="CH18" s="34"/>
      <c r="CI18" s="34"/>
      <c r="CJ18" s="34"/>
      <c r="CK18" s="34"/>
      <c r="CL18" s="34"/>
      <c r="CM18" s="34"/>
      <c r="CN18" s="34"/>
      <c r="CO18" s="34"/>
      <c r="CP18" s="34"/>
      <c r="CQ18" s="34"/>
      <c r="CR18" s="34"/>
      <c r="CS18" s="34"/>
      <c r="CT18" s="34"/>
      <c r="CU18" s="34"/>
      <c r="CV18" s="34"/>
      <c r="CW18" s="34"/>
      <c r="CX18" s="34"/>
      <c r="CY18" s="34"/>
      <c r="CZ18" s="34"/>
      <c r="DA18" s="34"/>
      <c r="DB18" s="34"/>
      <c r="DC18" s="34"/>
      <c r="DD18" s="34"/>
      <c r="DE18" s="34"/>
      <c r="DF18" s="34"/>
      <c r="DG18" s="34"/>
      <c r="DH18" s="34"/>
      <c r="DI18" s="34"/>
      <c r="DJ18" s="34"/>
      <c r="DK18" s="34"/>
      <c r="DL18" s="34"/>
      <c r="DM18" s="34"/>
      <c r="DN18" s="34"/>
      <c r="DO18" s="34"/>
      <c r="DP18" s="34"/>
      <c r="DQ18" s="34"/>
      <c r="DR18" s="34"/>
      <c r="DS18" s="34"/>
      <c r="DT18" s="34"/>
      <c r="DU18" s="34"/>
      <c r="DV18" s="34"/>
      <c r="DW18" s="34"/>
      <c r="DX18" s="34"/>
      <c r="DY18" s="34"/>
      <c r="DZ18" s="34"/>
      <c r="EA18" s="34"/>
      <c r="EB18" s="34"/>
      <c r="EC18" s="34"/>
      <c r="ED18" s="34"/>
      <c r="EE18" s="34"/>
      <c r="EF18" s="34"/>
      <c r="EG18" s="34"/>
      <c r="EH18" s="34"/>
      <c r="EI18" s="34"/>
      <c r="EJ18" s="34"/>
      <c r="EK18" s="34"/>
      <c r="EL18" s="34"/>
      <c r="EM18" s="34"/>
      <c r="EN18" s="34"/>
      <c r="EO18" s="34"/>
      <c r="EP18" s="34"/>
      <c r="EQ18" s="34"/>
      <c r="ER18" s="34"/>
      <c r="ES18" s="34"/>
      <c r="ET18" s="34"/>
      <c r="EU18" s="34"/>
      <c r="EV18" s="34"/>
      <c r="EW18" s="34"/>
      <c r="EX18" s="34"/>
      <c r="EY18" s="34"/>
      <c r="EZ18" s="34"/>
      <c r="FA18" s="34"/>
      <c r="FB18" s="34"/>
      <c r="FC18" s="34"/>
      <c r="FD18" s="34"/>
      <c r="FE18" s="34"/>
      <c r="FF18" s="34"/>
      <c r="FG18" s="34"/>
      <c r="FH18" s="34"/>
      <c r="FI18" s="34"/>
      <c r="FJ18" s="34"/>
      <c r="FK18" s="34"/>
      <c r="FL18" s="34"/>
      <c r="FM18" s="34"/>
      <c r="FN18" s="34"/>
      <c r="FO18" s="34"/>
      <c r="FP18" s="34"/>
      <c r="FQ18" s="34"/>
      <c r="FR18" s="34"/>
      <c r="FS18" s="34"/>
      <c r="FT18" s="34"/>
      <c r="FU18" s="34"/>
      <c r="FV18" s="34"/>
      <c r="FW18" s="34"/>
      <c r="FX18" s="34"/>
      <c r="FY18" s="34"/>
      <c r="FZ18" s="34"/>
      <c r="GA18" s="34"/>
      <c r="GB18" s="34"/>
      <c r="GC18" s="34"/>
      <c r="GD18" s="34"/>
      <c r="GE18" s="34"/>
      <c r="GF18" s="34"/>
      <c r="GG18" s="34"/>
      <c r="GH18" s="34"/>
      <c r="GI18" s="34"/>
      <c r="GJ18" s="34"/>
      <c r="GK18" s="34"/>
      <c r="GL18" s="34"/>
      <c r="GM18" s="34"/>
      <c r="GN18" s="34"/>
      <c r="GO18" s="34"/>
      <c r="GP18" s="34"/>
      <c r="GQ18" s="34"/>
      <c r="GR18" s="34"/>
    </row>
    <row r="19" spans="1:200" s="38" customFormat="1" ht="15" customHeight="1" x14ac:dyDescent="0.3">
      <c r="A19" s="34" t="s">
        <v>242</v>
      </c>
      <c r="B19" s="34">
        <v>111</v>
      </c>
      <c r="C19" s="34">
        <v>128</v>
      </c>
      <c r="D19" s="34">
        <v>2</v>
      </c>
      <c r="E19" s="34">
        <v>1</v>
      </c>
      <c r="F19" s="34">
        <v>2</v>
      </c>
      <c r="G19" s="34">
        <v>13</v>
      </c>
      <c r="H19" s="34">
        <v>257</v>
      </c>
      <c r="I19" s="34"/>
      <c r="J19" s="34"/>
      <c r="K19" s="34"/>
      <c r="L19" s="34"/>
      <c r="M19" s="34"/>
      <c r="N19" s="34"/>
      <c r="O19" s="34"/>
      <c r="P19" s="34"/>
      <c r="Q19" s="34"/>
      <c r="R19" s="34"/>
      <c r="S19" s="34"/>
      <c r="T19" s="34"/>
      <c r="U19" s="34"/>
      <c r="V19" s="58"/>
      <c r="W19" s="58"/>
      <c r="X19" s="58"/>
      <c r="Y19" s="58"/>
      <c r="Z19" s="58"/>
      <c r="AA19" s="58"/>
      <c r="AB19" s="58"/>
      <c r="AC19" s="58"/>
      <c r="AD19" s="58"/>
      <c r="AE19" s="58"/>
      <c r="AF19" s="58"/>
      <c r="AG19" s="58"/>
      <c r="AH19" s="58"/>
      <c r="AI19" s="34"/>
      <c r="AJ19" s="34"/>
      <c r="AK19" s="34"/>
      <c r="AL19" s="34"/>
      <c r="AM19" s="34"/>
      <c r="AN19" s="34"/>
      <c r="AO19" s="34"/>
      <c r="AP19" s="34"/>
      <c r="AQ19" s="34"/>
      <c r="AR19" s="34"/>
      <c r="AS19" s="34"/>
      <c r="AT19" s="34"/>
      <c r="AU19" s="34"/>
      <c r="AV19" s="34"/>
      <c r="AW19" s="34"/>
      <c r="AX19" s="34"/>
      <c r="AY19" s="34"/>
      <c r="AZ19" s="34"/>
      <c r="BA19" s="34"/>
      <c r="BB19" s="34"/>
      <c r="BC19" s="34"/>
      <c r="BD19" s="34"/>
      <c r="BE19" s="34"/>
      <c r="BF19" s="34"/>
      <c r="BG19" s="34"/>
      <c r="BH19" s="34"/>
      <c r="BI19" s="34"/>
      <c r="BJ19" s="34"/>
      <c r="BK19" s="34"/>
      <c r="BL19" s="34"/>
      <c r="BM19" s="34"/>
      <c r="BN19" s="34"/>
      <c r="BO19" s="34"/>
      <c r="BP19" s="34"/>
      <c r="BQ19" s="34"/>
      <c r="BR19" s="34"/>
      <c r="BS19" s="34"/>
      <c r="BT19" s="34"/>
      <c r="BU19" s="34"/>
      <c r="BV19" s="34"/>
      <c r="BW19" s="34"/>
      <c r="BX19" s="34"/>
      <c r="BY19" s="34"/>
      <c r="BZ19" s="34"/>
      <c r="CA19" s="34"/>
      <c r="CB19" s="34"/>
      <c r="CC19" s="34"/>
      <c r="CD19" s="34"/>
      <c r="CE19" s="34"/>
      <c r="CF19" s="34"/>
      <c r="CG19" s="34"/>
      <c r="CH19" s="34"/>
      <c r="CI19" s="34"/>
      <c r="CJ19" s="34"/>
      <c r="CK19" s="34"/>
      <c r="CL19" s="34"/>
      <c r="CM19" s="34"/>
      <c r="CN19" s="34"/>
      <c r="CO19" s="34"/>
      <c r="CP19" s="34"/>
      <c r="CQ19" s="34"/>
      <c r="CR19" s="34"/>
      <c r="CS19" s="34"/>
      <c r="CT19" s="34"/>
      <c r="CU19" s="34"/>
      <c r="CV19" s="34"/>
      <c r="CW19" s="34"/>
      <c r="CX19" s="34"/>
      <c r="CY19" s="34"/>
      <c r="CZ19" s="34"/>
      <c r="DA19" s="34"/>
      <c r="DB19" s="34"/>
      <c r="DC19" s="34"/>
      <c r="DD19" s="34"/>
      <c r="DE19" s="34"/>
      <c r="DF19" s="34"/>
      <c r="DG19" s="34"/>
      <c r="DH19" s="34"/>
      <c r="DI19" s="34"/>
      <c r="DJ19" s="34"/>
      <c r="DK19" s="34"/>
      <c r="DL19" s="34"/>
      <c r="DM19" s="34"/>
      <c r="DN19" s="34"/>
      <c r="DO19" s="34"/>
      <c r="DP19" s="34"/>
      <c r="DQ19" s="34"/>
      <c r="DR19" s="34"/>
      <c r="DS19" s="34"/>
      <c r="DT19" s="34"/>
      <c r="DU19" s="34"/>
      <c r="DV19" s="34"/>
      <c r="DW19" s="34"/>
      <c r="DX19" s="34"/>
      <c r="DY19" s="34"/>
      <c r="DZ19" s="34"/>
      <c r="EA19" s="34"/>
      <c r="EB19" s="34"/>
      <c r="EC19" s="34"/>
      <c r="ED19" s="34"/>
      <c r="EE19" s="34"/>
      <c r="EF19" s="34"/>
      <c r="EG19" s="34"/>
      <c r="EH19" s="34"/>
      <c r="EI19" s="34"/>
      <c r="EJ19" s="34"/>
      <c r="EK19" s="34"/>
      <c r="EL19" s="34"/>
      <c r="EM19" s="34"/>
      <c r="EN19" s="34"/>
      <c r="EO19" s="34"/>
      <c r="EP19" s="34"/>
      <c r="EQ19" s="34"/>
      <c r="ER19" s="34"/>
      <c r="ES19" s="34"/>
      <c r="ET19" s="34"/>
      <c r="EU19" s="34"/>
      <c r="EV19" s="34"/>
      <c r="EW19" s="34"/>
      <c r="EX19" s="34"/>
      <c r="EY19" s="34"/>
      <c r="EZ19" s="34"/>
      <c r="FA19" s="34"/>
      <c r="FB19" s="34"/>
      <c r="FC19" s="34"/>
      <c r="FD19" s="34"/>
      <c r="FE19" s="34"/>
      <c r="FF19" s="34"/>
      <c r="FG19" s="34"/>
      <c r="FH19" s="34"/>
      <c r="FI19" s="34"/>
      <c r="FJ19" s="34"/>
      <c r="FK19" s="34"/>
      <c r="FL19" s="34"/>
      <c r="FM19" s="34"/>
      <c r="FN19" s="34"/>
      <c r="FO19" s="34"/>
      <c r="FP19" s="34"/>
      <c r="FQ19" s="34"/>
      <c r="FR19" s="34"/>
      <c r="FS19" s="34"/>
      <c r="FT19" s="34"/>
      <c r="FU19" s="34"/>
      <c r="FV19" s="34"/>
      <c r="FW19" s="34"/>
      <c r="FX19" s="34"/>
      <c r="FY19" s="34"/>
      <c r="FZ19" s="34"/>
      <c r="GA19" s="34"/>
      <c r="GB19" s="34"/>
      <c r="GC19" s="34"/>
      <c r="GD19" s="34"/>
      <c r="GE19" s="34"/>
      <c r="GF19" s="34"/>
      <c r="GG19" s="34"/>
      <c r="GH19" s="34"/>
      <c r="GI19" s="34"/>
      <c r="GJ19" s="34"/>
      <c r="GK19" s="34"/>
      <c r="GL19" s="34"/>
      <c r="GM19" s="34"/>
      <c r="GN19" s="34"/>
      <c r="GO19" s="34"/>
      <c r="GP19" s="34"/>
      <c r="GQ19" s="34"/>
      <c r="GR19" s="34"/>
    </row>
    <row r="20" spans="1:200" s="38" customFormat="1" ht="16.5" customHeight="1" x14ac:dyDescent="0.3">
      <c r="A20" s="34" t="s">
        <v>259</v>
      </c>
      <c r="B20" s="34">
        <v>107</v>
      </c>
      <c r="C20" s="34">
        <v>135</v>
      </c>
      <c r="D20" s="34">
        <v>2</v>
      </c>
      <c r="E20" s="34">
        <v>3</v>
      </c>
      <c r="F20" s="34">
        <v>1</v>
      </c>
      <c r="G20" s="34">
        <v>8</v>
      </c>
      <c r="H20" s="34">
        <v>256</v>
      </c>
      <c r="I20" s="34"/>
      <c r="J20" s="34"/>
      <c r="K20" s="34"/>
      <c r="L20" s="34"/>
      <c r="M20" s="34"/>
      <c r="N20" s="34"/>
      <c r="O20" s="34"/>
      <c r="P20" s="34"/>
      <c r="Q20" s="34"/>
      <c r="R20" s="34"/>
      <c r="S20" s="34"/>
      <c r="T20" s="34"/>
      <c r="U20" s="34"/>
      <c r="V20" s="58"/>
      <c r="W20" s="58"/>
      <c r="X20" s="58"/>
      <c r="Y20" s="58"/>
      <c r="Z20" s="58"/>
      <c r="AA20" s="58"/>
      <c r="AB20" s="58"/>
      <c r="AC20" s="58"/>
      <c r="AD20" s="58"/>
      <c r="AE20" s="58"/>
      <c r="AF20" s="58"/>
      <c r="AG20" s="58"/>
      <c r="AH20" s="58"/>
      <c r="AI20" s="34"/>
      <c r="AJ20" s="34"/>
      <c r="AK20" s="34"/>
      <c r="AL20" s="34"/>
      <c r="AM20" s="34"/>
      <c r="AN20" s="34"/>
      <c r="AO20" s="34"/>
      <c r="AP20" s="34"/>
      <c r="AQ20" s="34"/>
      <c r="AR20" s="34"/>
      <c r="AS20" s="34"/>
      <c r="AT20" s="34"/>
      <c r="AU20" s="34"/>
      <c r="AV20" s="34"/>
      <c r="AW20" s="34"/>
      <c r="AX20" s="34"/>
      <c r="AY20" s="34"/>
      <c r="AZ20" s="34"/>
      <c r="BA20" s="34"/>
      <c r="BB20" s="34"/>
      <c r="BC20" s="34"/>
      <c r="BD20" s="34"/>
      <c r="BE20" s="34"/>
      <c r="BF20" s="34"/>
      <c r="BG20" s="34"/>
      <c r="BH20" s="34"/>
      <c r="BI20" s="34"/>
      <c r="BJ20" s="34"/>
      <c r="BK20" s="34"/>
      <c r="BL20" s="34"/>
      <c r="BM20" s="34"/>
      <c r="BN20" s="34"/>
      <c r="BO20" s="34"/>
      <c r="BP20" s="34"/>
      <c r="BQ20" s="34"/>
      <c r="BR20" s="34"/>
      <c r="BS20" s="34"/>
      <c r="BT20" s="34"/>
      <c r="BU20" s="34"/>
      <c r="BV20" s="34"/>
      <c r="BW20" s="34"/>
      <c r="BX20" s="34"/>
      <c r="BY20" s="34"/>
      <c r="BZ20" s="34"/>
      <c r="CA20" s="34"/>
      <c r="CB20" s="34"/>
      <c r="CC20" s="34"/>
      <c r="CD20" s="34"/>
      <c r="CE20" s="34"/>
      <c r="CF20" s="34"/>
      <c r="CG20" s="34"/>
      <c r="CH20" s="34"/>
      <c r="CI20" s="34"/>
      <c r="CJ20" s="34"/>
      <c r="CK20" s="34"/>
      <c r="CL20" s="34"/>
      <c r="CM20" s="34"/>
      <c r="CN20" s="34"/>
      <c r="CO20" s="34"/>
      <c r="CP20" s="34"/>
      <c r="CQ20" s="34"/>
      <c r="CR20" s="34"/>
      <c r="CS20" s="34"/>
      <c r="CT20" s="34"/>
      <c r="CU20" s="34"/>
      <c r="CV20" s="34"/>
      <c r="CW20" s="34"/>
      <c r="CX20" s="34"/>
      <c r="CY20" s="34"/>
      <c r="CZ20" s="34"/>
      <c r="DA20" s="34"/>
      <c r="DB20" s="34"/>
      <c r="DC20" s="34"/>
      <c r="DD20" s="34"/>
      <c r="DE20" s="34"/>
      <c r="DF20" s="34"/>
      <c r="DG20" s="34"/>
      <c r="DH20" s="34"/>
      <c r="DI20" s="34"/>
      <c r="DJ20" s="34"/>
      <c r="DK20" s="34"/>
      <c r="DL20" s="34"/>
      <c r="DM20" s="34"/>
      <c r="DN20" s="34"/>
      <c r="DO20" s="34"/>
      <c r="DP20" s="34"/>
      <c r="DQ20" s="34"/>
      <c r="DR20" s="34"/>
      <c r="DS20" s="34"/>
      <c r="DT20" s="34"/>
      <c r="DU20" s="34"/>
      <c r="DV20" s="34"/>
      <c r="DW20" s="34"/>
      <c r="DX20" s="34"/>
      <c r="DY20" s="34"/>
      <c r="DZ20" s="34"/>
      <c r="EA20" s="34"/>
      <c r="EB20" s="34"/>
      <c r="EC20" s="34"/>
      <c r="ED20" s="34"/>
      <c r="EE20" s="34"/>
      <c r="EF20" s="34"/>
      <c r="EG20" s="34"/>
      <c r="EH20" s="34"/>
      <c r="EI20" s="34"/>
      <c r="EJ20" s="34"/>
      <c r="EK20" s="34"/>
      <c r="EL20" s="34"/>
      <c r="EM20" s="34"/>
      <c r="EN20" s="34"/>
      <c r="EO20" s="34"/>
      <c r="EP20" s="34"/>
      <c r="EQ20" s="34"/>
      <c r="ER20" s="34"/>
      <c r="ES20" s="34"/>
      <c r="ET20" s="34"/>
      <c r="EU20" s="34"/>
      <c r="EV20" s="34"/>
      <c r="EW20" s="34"/>
      <c r="EX20" s="34"/>
      <c r="EY20" s="34"/>
      <c r="EZ20" s="34"/>
      <c r="FA20" s="34"/>
      <c r="FB20" s="34"/>
      <c r="FC20" s="34"/>
      <c r="FD20" s="34"/>
      <c r="FE20" s="34"/>
      <c r="FF20" s="34"/>
      <c r="FG20" s="34"/>
      <c r="FH20" s="34"/>
      <c r="FI20" s="34"/>
      <c r="FJ20" s="34"/>
      <c r="FK20" s="34"/>
      <c r="FL20" s="34"/>
      <c r="FM20" s="34"/>
      <c r="FN20" s="34"/>
      <c r="FO20" s="34"/>
      <c r="FP20" s="34"/>
      <c r="FQ20" s="34"/>
      <c r="FR20" s="34"/>
      <c r="FS20" s="34"/>
      <c r="FT20" s="34"/>
      <c r="FU20" s="34"/>
      <c r="FV20" s="34"/>
      <c r="FW20" s="34"/>
      <c r="FX20" s="34"/>
      <c r="FY20" s="34"/>
      <c r="FZ20" s="34"/>
      <c r="GA20" s="34"/>
      <c r="GB20" s="34"/>
      <c r="GC20" s="34"/>
      <c r="GD20" s="34"/>
      <c r="GE20" s="34"/>
      <c r="GF20" s="34"/>
      <c r="GG20" s="34"/>
      <c r="GH20" s="34"/>
      <c r="GI20" s="34"/>
      <c r="GJ20" s="34"/>
      <c r="GK20" s="34"/>
      <c r="GL20" s="34"/>
      <c r="GM20" s="34"/>
      <c r="GN20" s="34"/>
      <c r="GO20" s="34"/>
      <c r="GP20" s="34"/>
      <c r="GQ20" s="34"/>
      <c r="GR20" s="34"/>
    </row>
    <row r="21" spans="1:200" s="38" customFormat="1" ht="15" customHeight="1" x14ac:dyDescent="0.3">
      <c r="A21" s="34" t="s">
        <v>239</v>
      </c>
      <c r="B21" s="34">
        <v>137</v>
      </c>
      <c r="C21" s="34">
        <v>202</v>
      </c>
      <c r="D21" s="34">
        <v>1</v>
      </c>
      <c r="E21" s="34">
        <v>11</v>
      </c>
      <c r="F21" s="34">
        <v>5</v>
      </c>
      <c r="G21" s="34">
        <v>20</v>
      </c>
      <c r="H21" s="34">
        <v>376</v>
      </c>
      <c r="I21" s="34"/>
      <c r="J21" s="34"/>
      <c r="K21" s="34"/>
      <c r="L21" s="34"/>
      <c r="M21" s="34"/>
      <c r="N21" s="34"/>
      <c r="O21" s="34"/>
      <c r="P21" s="34"/>
      <c r="Q21" s="34"/>
      <c r="R21" s="34"/>
      <c r="S21" s="34"/>
      <c r="T21" s="34"/>
      <c r="U21" s="34"/>
      <c r="V21" s="58"/>
      <c r="W21" s="58"/>
      <c r="X21" s="58"/>
      <c r="Y21" s="58"/>
      <c r="Z21" s="58"/>
      <c r="AA21" s="58"/>
      <c r="AB21" s="58"/>
      <c r="AC21" s="58"/>
      <c r="AD21" s="58"/>
      <c r="AE21" s="58"/>
      <c r="AF21" s="58"/>
      <c r="AG21" s="58"/>
      <c r="AH21" s="58"/>
      <c r="AI21" s="34"/>
      <c r="AJ21" s="34"/>
      <c r="AK21" s="34"/>
      <c r="AL21" s="34"/>
      <c r="AM21" s="34"/>
      <c r="AN21" s="34"/>
      <c r="AO21" s="34"/>
      <c r="AP21" s="34"/>
      <c r="AQ21" s="34"/>
      <c r="AR21" s="34"/>
      <c r="AS21" s="34"/>
      <c r="AT21" s="34"/>
      <c r="AU21" s="34"/>
      <c r="AV21" s="34"/>
      <c r="AW21" s="34"/>
      <c r="AX21" s="34"/>
      <c r="AY21" s="34"/>
      <c r="AZ21" s="34"/>
      <c r="BA21" s="34"/>
      <c r="BB21" s="34"/>
      <c r="BC21" s="34"/>
      <c r="BD21" s="34"/>
      <c r="BE21" s="34"/>
      <c r="BF21" s="34"/>
      <c r="BG21" s="34"/>
      <c r="BH21" s="34"/>
      <c r="BI21" s="34"/>
      <c r="BJ21" s="34"/>
      <c r="BK21" s="34"/>
      <c r="BL21" s="34"/>
      <c r="BM21" s="34"/>
      <c r="BN21" s="34"/>
      <c r="BO21" s="34"/>
      <c r="BP21" s="34"/>
      <c r="BQ21" s="34"/>
      <c r="BR21" s="34"/>
      <c r="BS21" s="34"/>
      <c r="BT21" s="34"/>
      <c r="BU21" s="34"/>
      <c r="BV21" s="34"/>
      <c r="BW21" s="34"/>
      <c r="BX21" s="34"/>
      <c r="BY21" s="34"/>
      <c r="BZ21" s="34"/>
      <c r="CA21" s="34"/>
      <c r="CB21" s="34"/>
      <c r="CC21" s="34"/>
      <c r="CD21" s="34"/>
      <c r="CE21" s="34"/>
      <c r="CF21" s="34"/>
      <c r="CG21" s="34"/>
      <c r="CH21" s="34"/>
      <c r="CI21" s="34"/>
      <c r="CJ21" s="34"/>
      <c r="CK21" s="34"/>
      <c r="CL21" s="34"/>
      <c r="CM21" s="34"/>
      <c r="CN21" s="34"/>
      <c r="CO21" s="34"/>
      <c r="CP21" s="34"/>
      <c r="CQ21" s="34"/>
      <c r="CR21" s="34"/>
      <c r="CS21" s="34"/>
      <c r="CT21" s="34"/>
      <c r="CU21" s="34"/>
      <c r="CV21" s="34"/>
      <c r="CW21" s="34"/>
      <c r="CX21" s="34"/>
      <c r="CY21" s="34"/>
      <c r="CZ21" s="34"/>
      <c r="DA21" s="34"/>
      <c r="DB21" s="34"/>
      <c r="DC21" s="34"/>
      <c r="DD21" s="34"/>
      <c r="DE21" s="34"/>
      <c r="DF21" s="34"/>
      <c r="DG21" s="34"/>
      <c r="DH21" s="34"/>
      <c r="DI21" s="34"/>
      <c r="DJ21" s="34"/>
      <c r="DK21" s="34"/>
      <c r="DL21" s="34"/>
      <c r="DM21" s="34"/>
      <c r="DN21" s="34"/>
      <c r="DO21" s="34"/>
      <c r="DP21" s="34"/>
      <c r="DQ21" s="34"/>
      <c r="DR21" s="34"/>
      <c r="DS21" s="34"/>
      <c r="DT21" s="34"/>
      <c r="DU21" s="34"/>
      <c r="DV21" s="34"/>
      <c r="DW21" s="34"/>
      <c r="DX21" s="34"/>
      <c r="DY21" s="34"/>
      <c r="DZ21" s="34"/>
      <c r="EA21" s="34"/>
      <c r="EB21" s="34"/>
      <c r="EC21" s="34"/>
      <c r="ED21" s="34"/>
      <c r="EE21" s="34"/>
      <c r="EF21" s="34"/>
      <c r="EG21" s="34"/>
      <c r="EH21" s="34"/>
      <c r="EI21" s="34"/>
      <c r="EJ21" s="34"/>
      <c r="EK21" s="34"/>
      <c r="EL21" s="34"/>
      <c r="EM21" s="34"/>
      <c r="EN21" s="34"/>
      <c r="EO21" s="34"/>
      <c r="EP21" s="34"/>
      <c r="EQ21" s="34"/>
      <c r="ER21" s="34"/>
      <c r="ES21" s="34"/>
      <c r="ET21" s="34"/>
      <c r="EU21" s="34"/>
      <c r="EV21" s="34"/>
      <c r="EW21" s="34"/>
      <c r="EX21" s="34"/>
      <c r="EY21" s="34"/>
      <c r="EZ21" s="34"/>
      <c r="FA21" s="34"/>
      <c r="FB21" s="34"/>
      <c r="FC21" s="34"/>
      <c r="FD21" s="34"/>
      <c r="FE21" s="34"/>
      <c r="FF21" s="34"/>
      <c r="FG21" s="34"/>
      <c r="FH21" s="34"/>
      <c r="FI21" s="34"/>
      <c r="FJ21" s="34"/>
      <c r="FK21" s="34"/>
      <c r="FL21" s="34"/>
      <c r="FM21" s="34"/>
      <c r="FN21" s="34"/>
      <c r="FO21" s="34"/>
      <c r="FP21" s="34"/>
      <c r="FQ21" s="34"/>
      <c r="FR21" s="34"/>
      <c r="FS21" s="34"/>
      <c r="FT21" s="34"/>
      <c r="FU21" s="34"/>
      <c r="FV21" s="34"/>
      <c r="FW21" s="34"/>
      <c r="FX21" s="34"/>
      <c r="FY21" s="34"/>
      <c r="FZ21" s="34"/>
      <c r="GA21" s="34"/>
      <c r="GB21" s="34"/>
      <c r="GC21" s="34"/>
      <c r="GD21" s="34"/>
      <c r="GE21" s="34"/>
      <c r="GF21" s="34"/>
      <c r="GG21" s="34"/>
      <c r="GH21" s="34"/>
      <c r="GI21" s="34"/>
      <c r="GJ21" s="34"/>
      <c r="GK21" s="34"/>
      <c r="GL21" s="34"/>
      <c r="GM21" s="34"/>
      <c r="GN21" s="34"/>
      <c r="GO21" s="34"/>
      <c r="GP21" s="34"/>
      <c r="GQ21" s="34"/>
      <c r="GR21" s="34"/>
    </row>
    <row r="22" spans="1:200" s="38" customFormat="1" ht="15" customHeight="1" x14ac:dyDescent="0.3">
      <c r="A22" s="34" t="s">
        <v>253</v>
      </c>
      <c r="B22" s="34">
        <v>203</v>
      </c>
      <c r="C22" s="34">
        <v>291</v>
      </c>
      <c r="D22" s="34">
        <v>1</v>
      </c>
      <c r="E22" s="34">
        <v>8</v>
      </c>
      <c r="F22" s="34">
        <v>10</v>
      </c>
      <c r="G22" s="34">
        <v>35</v>
      </c>
      <c r="H22" s="34">
        <v>548</v>
      </c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58"/>
      <c r="W22" s="58"/>
      <c r="X22" s="58"/>
      <c r="Y22" s="58"/>
      <c r="Z22" s="58"/>
      <c r="AA22" s="58"/>
      <c r="AB22" s="58"/>
      <c r="AC22" s="58"/>
      <c r="AD22" s="58"/>
      <c r="AE22" s="58"/>
      <c r="AF22" s="58"/>
      <c r="AG22" s="58"/>
      <c r="AH22" s="58"/>
      <c r="AI22" s="34"/>
      <c r="AJ22" s="34"/>
      <c r="AK22" s="34"/>
      <c r="AL22" s="34"/>
      <c r="AM22" s="34"/>
      <c r="AN22" s="34"/>
      <c r="AO22" s="34"/>
      <c r="AP22" s="34"/>
      <c r="AQ22" s="34"/>
      <c r="AR22" s="34"/>
      <c r="AS22" s="34"/>
      <c r="AT22" s="34"/>
      <c r="AU22" s="34"/>
      <c r="AV22" s="34"/>
      <c r="AW22" s="34"/>
      <c r="AX22" s="34"/>
      <c r="AY22" s="34"/>
      <c r="AZ22" s="34"/>
      <c r="BA22" s="34"/>
      <c r="BB22" s="34"/>
      <c r="BC22" s="34"/>
      <c r="BD22" s="34"/>
      <c r="BE22" s="34"/>
      <c r="BF22" s="34"/>
      <c r="BG22" s="34"/>
      <c r="BH22" s="34"/>
      <c r="BI22" s="34"/>
      <c r="BJ22" s="34"/>
      <c r="BK22" s="34"/>
      <c r="BL22" s="34"/>
      <c r="BM22" s="34"/>
      <c r="BN22" s="34"/>
      <c r="BO22" s="34"/>
      <c r="BP22" s="34"/>
      <c r="BQ22" s="34"/>
      <c r="BR22" s="34"/>
      <c r="BS22" s="34"/>
      <c r="BT22" s="34"/>
      <c r="BU22" s="34"/>
      <c r="BV22" s="34"/>
      <c r="BW22" s="34"/>
      <c r="BX22" s="34"/>
      <c r="BY22" s="34"/>
      <c r="BZ22" s="34"/>
      <c r="CA22" s="34"/>
      <c r="CB22" s="34"/>
      <c r="CC22" s="34"/>
      <c r="CD22" s="34"/>
      <c r="CE22" s="34"/>
      <c r="CF22" s="34"/>
      <c r="CG22" s="34"/>
      <c r="CH22" s="34"/>
      <c r="CI22" s="34"/>
      <c r="CJ22" s="34"/>
      <c r="CK22" s="34"/>
      <c r="CL22" s="34"/>
      <c r="CM22" s="34"/>
      <c r="CN22" s="34"/>
      <c r="CO22" s="34"/>
      <c r="CP22" s="34"/>
      <c r="CQ22" s="34"/>
      <c r="CR22" s="34"/>
      <c r="CS22" s="34"/>
      <c r="CT22" s="34"/>
      <c r="CU22" s="34"/>
      <c r="CV22" s="34"/>
      <c r="CW22" s="34"/>
      <c r="CX22" s="34"/>
      <c r="CY22" s="34"/>
      <c r="CZ22" s="34"/>
      <c r="DA22" s="34"/>
      <c r="DB22" s="34"/>
      <c r="DC22" s="34"/>
      <c r="DD22" s="34"/>
      <c r="DE22" s="34"/>
      <c r="DF22" s="34"/>
      <c r="DG22" s="34"/>
      <c r="DH22" s="34"/>
      <c r="DI22" s="34"/>
      <c r="DJ22" s="34"/>
      <c r="DK22" s="34"/>
      <c r="DL22" s="34"/>
      <c r="DM22" s="34"/>
      <c r="DN22" s="34"/>
      <c r="DO22" s="34"/>
      <c r="DP22" s="34"/>
      <c r="DQ22" s="34"/>
      <c r="DR22" s="34"/>
      <c r="DS22" s="34"/>
      <c r="DT22" s="34"/>
      <c r="DU22" s="34"/>
      <c r="DV22" s="34"/>
      <c r="DW22" s="34"/>
      <c r="DX22" s="34"/>
      <c r="DY22" s="34"/>
      <c r="DZ22" s="34"/>
      <c r="EA22" s="34"/>
      <c r="EB22" s="34"/>
      <c r="EC22" s="34"/>
      <c r="ED22" s="34"/>
      <c r="EE22" s="34"/>
      <c r="EF22" s="34"/>
      <c r="EG22" s="34"/>
      <c r="EH22" s="34"/>
      <c r="EI22" s="34"/>
      <c r="EJ22" s="34"/>
      <c r="EK22" s="34"/>
      <c r="EL22" s="34"/>
      <c r="EM22" s="34"/>
      <c r="EN22" s="34"/>
      <c r="EO22" s="34"/>
      <c r="EP22" s="34"/>
      <c r="EQ22" s="34"/>
      <c r="ER22" s="34"/>
      <c r="ES22" s="34"/>
      <c r="ET22" s="34"/>
      <c r="EU22" s="34"/>
      <c r="EV22" s="34"/>
      <c r="EW22" s="34"/>
      <c r="EX22" s="34"/>
      <c r="EY22" s="34"/>
      <c r="EZ22" s="34"/>
      <c r="FA22" s="34"/>
      <c r="FB22" s="34"/>
      <c r="FC22" s="34"/>
      <c r="FD22" s="34"/>
      <c r="FE22" s="34"/>
      <c r="FF22" s="34"/>
      <c r="FG22" s="34"/>
      <c r="FH22" s="34"/>
      <c r="FI22" s="34"/>
      <c r="FJ22" s="34"/>
      <c r="FK22" s="34"/>
      <c r="FL22" s="34"/>
      <c r="FM22" s="34"/>
      <c r="FN22" s="34"/>
      <c r="FO22" s="34"/>
      <c r="FP22" s="34"/>
      <c r="FQ22" s="34"/>
      <c r="FR22" s="34"/>
      <c r="FS22" s="34"/>
      <c r="FT22" s="34"/>
      <c r="FU22" s="34"/>
      <c r="FV22" s="34"/>
      <c r="FW22" s="34"/>
      <c r="FX22" s="34"/>
      <c r="FY22" s="34"/>
      <c r="FZ22" s="34"/>
      <c r="GA22" s="34"/>
      <c r="GB22" s="34"/>
      <c r="GC22" s="34"/>
      <c r="GD22" s="34"/>
      <c r="GE22" s="34"/>
      <c r="GF22" s="34"/>
      <c r="GG22" s="34"/>
      <c r="GH22" s="34"/>
      <c r="GI22" s="34"/>
      <c r="GJ22" s="34"/>
      <c r="GK22" s="34"/>
      <c r="GL22" s="34"/>
      <c r="GM22" s="34"/>
      <c r="GN22" s="34"/>
      <c r="GO22" s="34"/>
      <c r="GP22" s="34"/>
      <c r="GQ22" s="34"/>
      <c r="GR22" s="34"/>
    </row>
    <row r="23" spans="1:200" s="38" customFormat="1" ht="15" customHeight="1" x14ac:dyDescent="0.3">
      <c r="A23" s="34" t="s">
        <v>238</v>
      </c>
      <c r="B23" s="34">
        <v>97</v>
      </c>
      <c r="C23" s="34">
        <v>137</v>
      </c>
      <c r="D23" s="34">
        <v>1</v>
      </c>
      <c r="E23" s="34">
        <v>1</v>
      </c>
      <c r="F23" s="34">
        <v>3</v>
      </c>
      <c r="G23" s="34">
        <v>13</v>
      </c>
      <c r="H23" s="34">
        <v>252</v>
      </c>
      <c r="I23" s="34"/>
      <c r="J23" s="34"/>
      <c r="K23" s="34"/>
      <c r="L23" s="34"/>
      <c r="M23" s="34"/>
      <c r="N23" s="34"/>
      <c r="O23" s="34"/>
      <c r="P23" s="34"/>
      <c r="Q23" s="34"/>
      <c r="R23" s="34"/>
      <c r="S23" s="34"/>
      <c r="T23" s="34"/>
      <c r="U23" s="34"/>
      <c r="V23" s="58"/>
      <c r="W23" s="58"/>
      <c r="X23" s="58"/>
      <c r="Y23" s="58"/>
      <c r="Z23" s="58"/>
      <c r="AA23" s="58"/>
      <c r="AB23" s="58"/>
      <c r="AC23" s="58"/>
      <c r="AD23" s="58"/>
      <c r="AE23" s="58"/>
      <c r="AF23" s="58"/>
      <c r="AG23" s="58"/>
      <c r="AH23" s="58"/>
      <c r="AI23" s="34"/>
      <c r="AJ23" s="34"/>
      <c r="AK23" s="34"/>
      <c r="AL23" s="34"/>
      <c r="AM23" s="34"/>
      <c r="AN23" s="34"/>
      <c r="AO23" s="34"/>
      <c r="AP23" s="34"/>
      <c r="AQ23" s="34"/>
      <c r="AR23" s="34"/>
      <c r="AS23" s="34"/>
      <c r="AT23" s="34"/>
      <c r="AU23" s="34"/>
      <c r="AV23" s="34"/>
      <c r="AW23" s="34"/>
      <c r="AX23" s="34"/>
      <c r="AY23" s="34"/>
      <c r="AZ23" s="34"/>
      <c r="BA23" s="34"/>
      <c r="BB23" s="34"/>
      <c r="BC23" s="34"/>
      <c r="BD23" s="34"/>
      <c r="BE23" s="34"/>
      <c r="BF23" s="34"/>
      <c r="BG23" s="34"/>
      <c r="BH23" s="34"/>
      <c r="BI23" s="34"/>
      <c r="BJ23" s="34"/>
      <c r="BK23" s="34"/>
      <c r="BL23" s="34"/>
      <c r="BM23" s="34"/>
      <c r="BN23" s="34"/>
      <c r="BO23" s="34"/>
      <c r="BP23" s="34"/>
      <c r="BQ23" s="34"/>
      <c r="BR23" s="34"/>
      <c r="BS23" s="34"/>
      <c r="BT23" s="34"/>
      <c r="BU23" s="34"/>
      <c r="BV23" s="34"/>
      <c r="BW23" s="34"/>
      <c r="BX23" s="34"/>
      <c r="BY23" s="34"/>
      <c r="BZ23" s="34"/>
      <c r="CA23" s="34"/>
      <c r="CB23" s="34"/>
      <c r="CC23" s="34"/>
      <c r="CD23" s="34"/>
      <c r="CE23" s="34"/>
      <c r="CF23" s="34"/>
      <c r="CG23" s="34"/>
      <c r="CH23" s="34"/>
      <c r="CI23" s="34"/>
      <c r="CJ23" s="34"/>
      <c r="CK23" s="34"/>
      <c r="CL23" s="34"/>
      <c r="CM23" s="34"/>
      <c r="CN23" s="34"/>
      <c r="CO23" s="34"/>
      <c r="CP23" s="34"/>
      <c r="CQ23" s="34"/>
      <c r="CR23" s="34"/>
      <c r="CS23" s="34"/>
      <c r="CT23" s="34"/>
      <c r="CU23" s="34"/>
      <c r="CV23" s="34"/>
      <c r="CW23" s="34"/>
      <c r="CX23" s="34"/>
      <c r="CY23" s="34"/>
      <c r="CZ23" s="34"/>
      <c r="DA23" s="34"/>
      <c r="DB23" s="34"/>
      <c r="DC23" s="34"/>
      <c r="DD23" s="34"/>
      <c r="DE23" s="34"/>
      <c r="DF23" s="34"/>
      <c r="DG23" s="34"/>
      <c r="DH23" s="34"/>
      <c r="DI23" s="34"/>
      <c r="DJ23" s="34"/>
      <c r="DK23" s="34"/>
      <c r="DL23" s="34"/>
      <c r="DM23" s="34"/>
      <c r="DN23" s="34"/>
      <c r="DO23" s="34"/>
      <c r="DP23" s="34"/>
      <c r="DQ23" s="34"/>
      <c r="DR23" s="34"/>
      <c r="DS23" s="34"/>
      <c r="DT23" s="34"/>
      <c r="DU23" s="34"/>
      <c r="DV23" s="34"/>
      <c r="DW23" s="34"/>
      <c r="DX23" s="34"/>
      <c r="DY23" s="34"/>
      <c r="DZ23" s="34"/>
      <c r="EA23" s="34"/>
      <c r="EB23" s="34"/>
      <c r="EC23" s="34"/>
      <c r="ED23" s="34"/>
      <c r="EE23" s="34"/>
      <c r="EF23" s="34"/>
      <c r="EG23" s="34"/>
      <c r="EH23" s="34"/>
      <c r="EI23" s="34"/>
      <c r="EJ23" s="34"/>
      <c r="EK23" s="34"/>
      <c r="EL23" s="34"/>
      <c r="EM23" s="34"/>
      <c r="EN23" s="34"/>
      <c r="EO23" s="34"/>
      <c r="EP23" s="34"/>
      <c r="EQ23" s="34"/>
      <c r="ER23" s="34"/>
      <c r="ES23" s="34"/>
      <c r="ET23" s="34"/>
      <c r="EU23" s="34"/>
      <c r="EV23" s="34"/>
      <c r="EW23" s="34"/>
      <c r="EX23" s="34"/>
      <c r="EY23" s="34"/>
      <c r="EZ23" s="34"/>
      <c r="FA23" s="34"/>
      <c r="FB23" s="34"/>
      <c r="FC23" s="34"/>
      <c r="FD23" s="34"/>
      <c r="FE23" s="34"/>
      <c r="FF23" s="34"/>
      <c r="FG23" s="34"/>
      <c r="FH23" s="34"/>
      <c r="FI23" s="34"/>
      <c r="FJ23" s="34"/>
      <c r="FK23" s="34"/>
      <c r="FL23" s="34"/>
      <c r="FM23" s="34"/>
      <c r="FN23" s="34"/>
      <c r="FO23" s="34"/>
      <c r="FP23" s="34"/>
      <c r="FQ23" s="34"/>
      <c r="FR23" s="34"/>
      <c r="FS23" s="34"/>
      <c r="FT23" s="34"/>
      <c r="FU23" s="34"/>
      <c r="FV23" s="34"/>
      <c r="FW23" s="34"/>
      <c r="FX23" s="34"/>
      <c r="FY23" s="34"/>
      <c r="FZ23" s="34"/>
      <c r="GA23" s="34"/>
      <c r="GB23" s="34"/>
      <c r="GC23" s="34"/>
      <c r="GD23" s="34"/>
      <c r="GE23" s="34"/>
      <c r="GF23" s="34"/>
      <c r="GG23" s="34"/>
      <c r="GH23" s="34"/>
      <c r="GI23" s="34"/>
      <c r="GJ23" s="34"/>
      <c r="GK23" s="34"/>
      <c r="GL23" s="34"/>
      <c r="GM23" s="34"/>
      <c r="GN23" s="34"/>
      <c r="GO23" s="34"/>
      <c r="GP23" s="34"/>
      <c r="GQ23" s="34"/>
      <c r="GR23" s="34"/>
    </row>
    <row r="24" spans="1:200" s="38" customFormat="1" ht="15" customHeight="1" x14ac:dyDescent="0.3">
      <c r="A24" s="34" t="s">
        <v>252</v>
      </c>
      <c r="B24" s="34">
        <v>218</v>
      </c>
      <c r="C24" s="34">
        <v>268</v>
      </c>
      <c r="D24" s="34">
        <v>2</v>
      </c>
      <c r="E24" s="34">
        <v>10</v>
      </c>
      <c r="F24" s="34">
        <v>7</v>
      </c>
      <c r="G24" s="34">
        <v>33</v>
      </c>
      <c r="H24" s="34">
        <v>538</v>
      </c>
      <c r="I24" s="34"/>
      <c r="J24" s="34"/>
      <c r="K24" s="34"/>
      <c r="L24" s="34"/>
      <c r="M24" s="34"/>
      <c r="N24" s="34"/>
      <c r="O24" s="34"/>
      <c r="P24" s="34"/>
      <c r="Q24" s="34"/>
      <c r="R24" s="34"/>
      <c r="S24" s="34"/>
      <c r="T24" s="34"/>
      <c r="U24" s="34"/>
      <c r="V24" s="58"/>
      <c r="W24" s="58"/>
      <c r="X24" s="58"/>
      <c r="Y24" s="58"/>
      <c r="Z24" s="58"/>
      <c r="AA24" s="58"/>
      <c r="AB24" s="58"/>
      <c r="AC24" s="58"/>
      <c r="AD24" s="58"/>
      <c r="AE24" s="58"/>
      <c r="AF24" s="58"/>
      <c r="AG24" s="58"/>
      <c r="AH24" s="58"/>
      <c r="AI24" s="34"/>
      <c r="AJ24" s="34"/>
      <c r="AK24" s="34"/>
      <c r="AL24" s="34"/>
      <c r="AM24" s="34"/>
      <c r="AN24" s="34"/>
      <c r="AO24" s="34"/>
      <c r="AP24" s="34"/>
      <c r="AQ24" s="34"/>
      <c r="AR24" s="34"/>
      <c r="AS24" s="34"/>
      <c r="AT24" s="34"/>
      <c r="AU24" s="34"/>
      <c r="AV24" s="34"/>
      <c r="AW24" s="34"/>
      <c r="AX24" s="34"/>
      <c r="AY24" s="34"/>
      <c r="AZ24" s="34"/>
      <c r="BA24" s="34"/>
      <c r="BB24" s="34"/>
      <c r="BC24" s="34"/>
      <c r="BD24" s="34"/>
      <c r="BE24" s="34"/>
      <c r="BF24" s="34"/>
      <c r="BG24" s="34"/>
      <c r="BH24" s="34"/>
      <c r="BI24" s="34"/>
      <c r="BJ24" s="34"/>
      <c r="BK24" s="34"/>
      <c r="BL24" s="34"/>
      <c r="BM24" s="34"/>
      <c r="BN24" s="34"/>
      <c r="BO24" s="34"/>
      <c r="BP24" s="34"/>
      <c r="BQ24" s="34"/>
      <c r="BR24" s="34"/>
      <c r="BS24" s="34"/>
      <c r="BT24" s="34"/>
      <c r="BU24" s="34"/>
      <c r="BV24" s="34"/>
      <c r="BW24" s="34"/>
      <c r="BX24" s="34"/>
      <c r="BY24" s="34"/>
      <c r="BZ24" s="34"/>
      <c r="CA24" s="34"/>
      <c r="CB24" s="34"/>
      <c r="CC24" s="34"/>
      <c r="CD24" s="34"/>
      <c r="CE24" s="34"/>
      <c r="CF24" s="34"/>
      <c r="CG24" s="34"/>
      <c r="CH24" s="34"/>
      <c r="CI24" s="34"/>
      <c r="CJ24" s="34"/>
      <c r="CK24" s="34"/>
      <c r="CL24" s="34"/>
      <c r="CM24" s="34"/>
      <c r="CN24" s="34"/>
      <c r="CO24" s="34"/>
      <c r="CP24" s="34"/>
      <c r="CQ24" s="34"/>
      <c r="CR24" s="34"/>
      <c r="CS24" s="34"/>
      <c r="CT24" s="34"/>
      <c r="CU24" s="34"/>
      <c r="CV24" s="34"/>
      <c r="CW24" s="34"/>
      <c r="CX24" s="34"/>
      <c r="CY24" s="34"/>
      <c r="CZ24" s="34"/>
      <c r="DA24" s="34"/>
      <c r="DB24" s="34"/>
      <c r="DC24" s="34"/>
      <c r="DD24" s="34"/>
      <c r="DE24" s="34"/>
      <c r="DF24" s="34"/>
      <c r="DG24" s="34"/>
      <c r="DH24" s="34"/>
      <c r="DI24" s="34"/>
      <c r="DJ24" s="34"/>
      <c r="DK24" s="34"/>
      <c r="DL24" s="34"/>
      <c r="DM24" s="34"/>
      <c r="DN24" s="34"/>
      <c r="DO24" s="34"/>
      <c r="DP24" s="34"/>
      <c r="DQ24" s="34"/>
      <c r="DR24" s="34"/>
      <c r="DS24" s="34"/>
      <c r="DT24" s="34"/>
      <c r="DU24" s="34"/>
      <c r="DV24" s="34"/>
      <c r="DW24" s="34"/>
      <c r="DX24" s="34"/>
      <c r="DY24" s="34"/>
      <c r="DZ24" s="34"/>
      <c r="EA24" s="34"/>
      <c r="EB24" s="34"/>
      <c r="EC24" s="34"/>
      <c r="ED24" s="34"/>
      <c r="EE24" s="34"/>
      <c r="EF24" s="34"/>
      <c r="EG24" s="34"/>
      <c r="EH24" s="34"/>
      <c r="EI24" s="34"/>
      <c r="EJ24" s="34"/>
      <c r="EK24" s="34"/>
      <c r="EL24" s="34"/>
      <c r="EM24" s="34"/>
      <c r="EN24" s="34"/>
      <c r="EO24" s="34"/>
      <c r="EP24" s="34"/>
      <c r="EQ24" s="34"/>
      <c r="ER24" s="34"/>
      <c r="ES24" s="34"/>
      <c r="ET24" s="34"/>
      <c r="EU24" s="34"/>
      <c r="EV24" s="34"/>
      <c r="EW24" s="34"/>
      <c r="EX24" s="34"/>
      <c r="EY24" s="34"/>
      <c r="EZ24" s="34"/>
      <c r="FA24" s="34"/>
      <c r="FB24" s="34"/>
      <c r="FC24" s="34"/>
      <c r="FD24" s="34"/>
      <c r="FE24" s="34"/>
      <c r="FF24" s="34"/>
      <c r="FG24" s="34"/>
      <c r="FH24" s="34"/>
      <c r="FI24" s="34"/>
      <c r="FJ24" s="34"/>
      <c r="FK24" s="34"/>
      <c r="FL24" s="34"/>
      <c r="FM24" s="34"/>
      <c r="FN24" s="34"/>
      <c r="FO24" s="34"/>
      <c r="FP24" s="34"/>
      <c r="FQ24" s="34"/>
      <c r="FR24" s="34"/>
      <c r="FS24" s="34"/>
      <c r="FT24" s="34"/>
      <c r="FU24" s="34"/>
      <c r="FV24" s="34"/>
      <c r="FW24" s="34"/>
      <c r="FX24" s="34"/>
      <c r="FY24" s="34"/>
      <c r="FZ24" s="34"/>
      <c r="GA24" s="34"/>
      <c r="GB24" s="34"/>
      <c r="GC24" s="34"/>
      <c r="GD24" s="34"/>
      <c r="GE24" s="34"/>
      <c r="GF24" s="34"/>
      <c r="GG24" s="34"/>
      <c r="GH24" s="34"/>
      <c r="GI24" s="34"/>
      <c r="GJ24" s="34"/>
      <c r="GK24" s="34"/>
      <c r="GL24" s="34"/>
      <c r="GM24" s="34"/>
      <c r="GN24" s="34"/>
      <c r="GO24" s="34"/>
      <c r="GP24" s="34"/>
      <c r="GQ24" s="34"/>
      <c r="GR24" s="34"/>
    </row>
    <row r="25" spans="1:200" s="38" customFormat="1" ht="15" customHeight="1" x14ac:dyDescent="0.3">
      <c r="A25" s="34" t="s">
        <v>251</v>
      </c>
      <c r="B25" s="34">
        <v>247</v>
      </c>
      <c r="C25" s="34">
        <v>288</v>
      </c>
      <c r="D25" s="34">
        <v>2</v>
      </c>
      <c r="E25" s="34">
        <v>3</v>
      </c>
      <c r="F25" s="34">
        <v>14</v>
      </c>
      <c r="G25" s="34">
        <v>33</v>
      </c>
      <c r="H25" s="34">
        <v>587</v>
      </c>
      <c r="I25" s="34"/>
      <c r="J25" s="34"/>
      <c r="K25" s="34"/>
      <c r="L25" s="34"/>
      <c r="M25" s="34"/>
      <c r="N25" s="34"/>
      <c r="O25" s="34"/>
      <c r="P25" s="34"/>
      <c r="Q25" s="34"/>
      <c r="R25" s="34"/>
      <c r="S25" s="34"/>
      <c r="T25" s="34"/>
      <c r="U25" s="34"/>
      <c r="V25" s="58"/>
      <c r="W25" s="58"/>
      <c r="X25" s="58"/>
      <c r="Y25" s="58"/>
      <c r="Z25" s="58"/>
      <c r="AA25" s="58"/>
      <c r="AB25" s="58"/>
      <c r="AC25" s="58"/>
      <c r="AD25" s="58"/>
      <c r="AE25" s="58"/>
      <c r="AF25" s="58"/>
      <c r="AG25" s="58"/>
      <c r="AH25" s="58"/>
      <c r="AI25" s="34"/>
      <c r="AJ25" s="34"/>
      <c r="AK25" s="34"/>
      <c r="AL25" s="34"/>
      <c r="AM25" s="34"/>
      <c r="AN25" s="34"/>
      <c r="AO25" s="34"/>
      <c r="AP25" s="34"/>
      <c r="AQ25" s="34"/>
      <c r="AR25" s="34"/>
      <c r="AS25" s="34"/>
      <c r="AT25" s="34"/>
      <c r="AU25" s="34"/>
      <c r="AV25" s="34"/>
      <c r="AW25" s="34"/>
      <c r="AX25" s="34"/>
      <c r="AY25" s="34"/>
      <c r="AZ25" s="34"/>
      <c r="BA25" s="34"/>
      <c r="BB25" s="34"/>
      <c r="BC25" s="34"/>
      <c r="BD25" s="34"/>
      <c r="BE25" s="34"/>
      <c r="BF25" s="34"/>
      <c r="BG25" s="34"/>
      <c r="BH25" s="34"/>
      <c r="BI25" s="34"/>
      <c r="BJ25" s="34"/>
      <c r="BK25" s="34"/>
      <c r="BL25" s="34"/>
      <c r="BM25" s="34"/>
      <c r="BN25" s="34"/>
      <c r="BO25" s="34"/>
      <c r="BP25" s="34"/>
      <c r="BQ25" s="34"/>
      <c r="BR25" s="34"/>
      <c r="BS25" s="34"/>
      <c r="BT25" s="34"/>
      <c r="BU25" s="34"/>
      <c r="BV25" s="34"/>
      <c r="BW25" s="34"/>
      <c r="BX25" s="34"/>
      <c r="BY25" s="34"/>
      <c r="BZ25" s="34"/>
      <c r="CA25" s="34"/>
      <c r="CB25" s="34"/>
      <c r="CC25" s="34"/>
      <c r="CD25" s="34"/>
      <c r="CE25" s="34"/>
      <c r="CF25" s="34"/>
      <c r="CG25" s="34"/>
      <c r="CH25" s="34"/>
      <c r="CI25" s="34"/>
      <c r="CJ25" s="34"/>
      <c r="CK25" s="34"/>
      <c r="CL25" s="34"/>
      <c r="CM25" s="34"/>
      <c r="CN25" s="34"/>
      <c r="CO25" s="34"/>
      <c r="CP25" s="34"/>
      <c r="CQ25" s="34"/>
      <c r="CR25" s="34"/>
      <c r="CS25" s="34"/>
      <c r="CT25" s="34"/>
      <c r="CU25" s="34"/>
      <c r="CV25" s="34"/>
      <c r="CW25" s="34"/>
      <c r="CX25" s="34"/>
      <c r="CY25" s="34"/>
      <c r="CZ25" s="34"/>
      <c r="DA25" s="34"/>
      <c r="DB25" s="34"/>
      <c r="DC25" s="34"/>
      <c r="DD25" s="34"/>
      <c r="DE25" s="34"/>
      <c r="DF25" s="34"/>
      <c r="DG25" s="34"/>
      <c r="DH25" s="34"/>
      <c r="DI25" s="34"/>
      <c r="DJ25" s="34"/>
      <c r="DK25" s="34"/>
      <c r="DL25" s="34"/>
      <c r="DM25" s="34"/>
      <c r="DN25" s="34"/>
      <c r="DO25" s="34"/>
      <c r="DP25" s="34"/>
      <c r="DQ25" s="34"/>
      <c r="DR25" s="34"/>
      <c r="DS25" s="34"/>
      <c r="DT25" s="34"/>
      <c r="DU25" s="34"/>
      <c r="DV25" s="34"/>
      <c r="DW25" s="34"/>
      <c r="DX25" s="34"/>
      <c r="DY25" s="34"/>
      <c r="DZ25" s="34"/>
      <c r="EA25" s="34"/>
      <c r="EB25" s="34"/>
      <c r="EC25" s="34"/>
      <c r="ED25" s="34"/>
      <c r="EE25" s="34"/>
      <c r="EF25" s="34"/>
      <c r="EG25" s="34"/>
      <c r="EH25" s="34"/>
      <c r="EI25" s="34"/>
      <c r="EJ25" s="34"/>
      <c r="EK25" s="34"/>
      <c r="EL25" s="34"/>
      <c r="EM25" s="34"/>
      <c r="EN25" s="34"/>
      <c r="EO25" s="34"/>
      <c r="EP25" s="34"/>
      <c r="EQ25" s="34"/>
      <c r="ER25" s="34"/>
      <c r="ES25" s="34"/>
      <c r="ET25" s="34"/>
      <c r="EU25" s="34"/>
      <c r="EV25" s="34"/>
      <c r="EW25" s="34"/>
      <c r="EX25" s="34"/>
      <c r="EY25" s="34"/>
      <c r="EZ25" s="34"/>
      <c r="FA25" s="34"/>
      <c r="FB25" s="34"/>
      <c r="FC25" s="34"/>
      <c r="FD25" s="34"/>
      <c r="FE25" s="34"/>
      <c r="FF25" s="34"/>
      <c r="FG25" s="34"/>
      <c r="FH25" s="34"/>
      <c r="FI25" s="34"/>
      <c r="FJ25" s="34"/>
      <c r="FK25" s="34"/>
      <c r="FL25" s="34"/>
      <c r="FM25" s="34"/>
      <c r="FN25" s="34"/>
      <c r="FO25" s="34"/>
      <c r="FP25" s="34"/>
      <c r="FQ25" s="34"/>
      <c r="FR25" s="34"/>
      <c r="FS25" s="34"/>
      <c r="FT25" s="34"/>
      <c r="FU25" s="34"/>
      <c r="FV25" s="34"/>
      <c r="FW25" s="34"/>
      <c r="FX25" s="34"/>
      <c r="FY25" s="34"/>
      <c r="FZ25" s="34"/>
      <c r="GA25" s="34"/>
      <c r="GB25" s="34"/>
      <c r="GC25" s="34"/>
      <c r="GD25" s="34"/>
      <c r="GE25" s="34"/>
      <c r="GF25" s="34"/>
      <c r="GG25" s="34"/>
      <c r="GH25" s="34"/>
      <c r="GI25" s="34"/>
      <c r="GJ25" s="34"/>
      <c r="GK25" s="34"/>
      <c r="GL25" s="34"/>
      <c r="GM25" s="34"/>
      <c r="GN25" s="34"/>
      <c r="GO25" s="34"/>
      <c r="GP25" s="34"/>
      <c r="GQ25" s="34"/>
      <c r="GR25" s="34"/>
    </row>
    <row r="26" spans="1:200" s="38" customFormat="1" ht="15" customHeight="1" x14ac:dyDescent="0.3">
      <c r="A26" s="34" t="s">
        <v>241</v>
      </c>
      <c r="B26" s="34">
        <v>171</v>
      </c>
      <c r="C26" s="34">
        <v>247</v>
      </c>
      <c r="D26" s="34">
        <v>1</v>
      </c>
      <c r="E26" s="34">
        <v>6</v>
      </c>
      <c r="F26" s="34">
        <v>5</v>
      </c>
      <c r="G26" s="34">
        <v>15</v>
      </c>
      <c r="H26" s="34">
        <v>445</v>
      </c>
      <c r="I26" s="34"/>
      <c r="J26" s="34"/>
      <c r="K26" s="34"/>
      <c r="L26" s="34"/>
      <c r="M26" s="34"/>
      <c r="N26" s="34"/>
      <c r="O26" s="34"/>
      <c r="P26" s="34"/>
      <c r="Q26" s="34"/>
      <c r="R26" s="34"/>
      <c r="S26" s="34"/>
      <c r="T26" s="34"/>
      <c r="U26" s="34"/>
      <c r="V26" s="58"/>
      <c r="W26" s="58"/>
      <c r="X26" s="58"/>
      <c r="Y26" s="58"/>
      <c r="Z26" s="58"/>
      <c r="AA26" s="58"/>
      <c r="AB26" s="58"/>
      <c r="AC26" s="58"/>
      <c r="AD26" s="58"/>
      <c r="AE26" s="58"/>
      <c r="AF26" s="58"/>
      <c r="AG26" s="58"/>
      <c r="AH26" s="58"/>
      <c r="AI26" s="34"/>
      <c r="AJ26" s="34"/>
      <c r="AK26" s="34"/>
      <c r="AL26" s="34"/>
      <c r="AM26" s="34"/>
      <c r="AN26" s="34"/>
      <c r="AO26" s="34"/>
      <c r="AP26" s="34"/>
      <c r="AQ26" s="34"/>
      <c r="AR26" s="34"/>
      <c r="AS26" s="34"/>
      <c r="AT26" s="34"/>
      <c r="AU26" s="34"/>
      <c r="AV26" s="34"/>
      <c r="AW26" s="34"/>
      <c r="AX26" s="34"/>
      <c r="AY26" s="34"/>
      <c r="AZ26" s="34"/>
      <c r="BA26" s="34"/>
      <c r="BB26" s="34"/>
      <c r="BC26" s="34"/>
      <c r="BD26" s="34"/>
      <c r="BE26" s="34"/>
      <c r="BF26" s="34"/>
      <c r="BG26" s="34"/>
      <c r="BH26" s="34"/>
      <c r="BI26" s="34"/>
      <c r="BJ26" s="34"/>
      <c r="BK26" s="34"/>
      <c r="BL26" s="34"/>
      <c r="BM26" s="34"/>
      <c r="BN26" s="34"/>
      <c r="BO26" s="34"/>
      <c r="BP26" s="34"/>
      <c r="BQ26" s="34"/>
      <c r="BR26" s="34"/>
      <c r="BS26" s="34"/>
      <c r="BT26" s="34"/>
      <c r="BU26" s="34"/>
      <c r="BV26" s="34"/>
      <c r="BW26" s="34"/>
      <c r="BX26" s="34"/>
      <c r="BY26" s="34"/>
      <c r="BZ26" s="34"/>
      <c r="CA26" s="34"/>
      <c r="CB26" s="34"/>
      <c r="CC26" s="34"/>
      <c r="CD26" s="34"/>
      <c r="CE26" s="34"/>
      <c r="CF26" s="34"/>
      <c r="CG26" s="34"/>
      <c r="CH26" s="34"/>
      <c r="CI26" s="34"/>
      <c r="CJ26" s="34"/>
      <c r="CK26" s="34"/>
      <c r="CL26" s="34"/>
      <c r="CM26" s="34"/>
      <c r="CN26" s="34"/>
      <c r="CO26" s="34"/>
      <c r="CP26" s="34"/>
      <c r="CQ26" s="34"/>
      <c r="CR26" s="34"/>
      <c r="CS26" s="34"/>
      <c r="CT26" s="34"/>
      <c r="CU26" s="34"/>
      <c r="CV26" s="34"/>
      <c r="CW26" s="34"/>
      <c r="CX26" s="34"/>
      <c r="CY26" s="34"/>
      <c r="CZ26" s="34"/>
      <c r="DA26" s="34"/>
      <c r="DB26" s="34"/>
      <c r="DC26" s="34"/>
      <c r="DD26" s="34"/>
      <c r="DE26" s="34"/>
      <c r="DF26" s="34"/>
      <c r="DG26" s="34"/>
      <c r="DH26" s="34"/>
      <c r="DI26" s="34"/>
      <c r="DJ26" s="34"/>
      <c r="DK26" s="34"/>
      <c r="DL26" s="34"/>
      <c r="DM26" s="34"/>
      <c r="DN26" s="34"/>
      <c r="DO26" s="34"/>
      <c r="DP26" s="34"/>
      <c r="DQ26" s="34"/>
      <c r="DR26" s="34"/>
      <c r="DS26" s="34"/>
      <c r="DT26" s="34"/>
      <c r="DU26" s="34"/>
      <c r="DV26" s="34"/>
      <c r="DW26" s="34"/>
      <c r="DX26" s="34"/>
      <c r="DY26" s="34"/>
      <c r="DZ26" s="34"/>
      <c r="EA26" s="34"/>
      <c r="EB26" s="34"/>
      <c r="EC26" s="34"/>
      <c r="ED26" s="34"/>
      <c r="EE26" s="34"/>
      <c r="EF26" s="34"/>
      <c r="EG26" s="34"/>
      <c r="EH26" s="34"/>
      <c r="EI26" s="34"/>
      <c r="EJ26" s="34"/>
      <c r="EK26" s="34"/>
      <c r="EL26" s="34"/>
      <c r="EM26" s="34"/>
      <c r="EN26" s="34"/>
      <c r="EO26" s="34"/>
      <c r="EP26" s="34"/>
      <c r="EQ26" s="34"/>
      <c r="ER26" s="34"/>
      <c r="ES26" s="34"/>
      <c r="ET26" s="34"/>
      <c r="EU26" s="34"/>
      <c r="EV26" s="34"/>
      <c r="EW26" s="34"/>
      <c r="EX26" s="34"/>
      <c r="EY26" s="34"/>
      <c r="EZ26" s="34"/>
      <c r="FA26" s="34"/>
      <c r="FB26" s="34"/>
      <c r="FC26" s="34"/>
      <c r="FD26" s="34"/>
      <c r="FE26" s="34"/>
      <c r="FF26" s="34"/>
      <c r="FG26" s="34"/>
      <c r="FH26" s="34"/>
      <c r="FI26" s="34"/>
      <c r="FJ26" s="34"/>
      <c r="FK26" s="34"/>
      <c r="FL26" s="34"/>
      <c r="FM26" s="34"/>
      <c r="FN26" s="34"/>
      <c r="FO26" s="34"/>
      <c r="FP26" s="34"/>
      <c r="FQ26" s="34"/>
      <c r="FR26" s="34"/>
      <c r="FS26" s="34"/>
      <c r="FT26" s="34"/>
      <c r="FU26" s="34"/>
      <c r="FV26" s="34"/>
      <c r="FW26" s="34"/>
      <c r="FX26" s="34"/>
      <c r="FY26" s="34"/>
      <c r="FZ26" s="34"/>
      <c r="GA26" s="34"/>
      <c r="GB26" s="34"/>
      <c r="GC26" s="34"/>
      <c r="GD26" s="34"/>
      <c r="GE26" s="34"/>
      <c r="GF26" s="34"/>
      <c r="GG26" s="34"/>
      <c r="GH26" s="34"/>
      <c r="GI26" s="34"/>
      <c r="GJ26" s="34"/>
      <c r="GK26" s="34"/>
      <c r="GL26" s="34"/>
      <c r="GM26" s="34"/>
      <c r="GN26" s="34"/>
      <c r="GO26" s="34"/>
      <c r="GP26" s="34"/>
      <c r="GQ26" s="34"/>
      <c r="GR26" s="34"/>
    </row>
    <row r="27" spans="1:200" s="38" customFormat="1" ht="15" customHeight="1" x14ac:dyDescent="0.3">
      <c r="A27" s="34" t="s">
        <v>237</v>
      </c>
      <c r="B27" s="34">
        <v>94</v>
      </c>
      <c r="C27" s="34">
        <v>138</v>
      </c>
      <c r="D27" s="34">
        <v>1</v>
      </c>
      <c r="E27" s="34">
        <v>4</v>
      </c>
      <c r="F27" s="34">
        <v>1</v>
      </c>
      <c r="G27" s="34">
        <v>7</v>
      </c>
      <c r="H27" s="34">
        <v>245</v>
      </c>
      <c r="I27" s="34"/>
      <c r="J27" s="34"/>
      <c r="K27" s="34"/>
      <c r="L27" s="34"/>
      <c r="M27" s="34"/>
      <c r="N27" s="34"/>
      <c r="O27" s="34"/>
      <c r="P27" s="34"/>
      <c r="Q27" s="34"/>
      <c r="R27" s="34"/>
      <c r="S27" s="34"/>
      <c r="T27" s="34"/>
      <c r="U27" s="34"/>
      <c r="V27" s="58"/>
      <c r="W27" s="58"/>
      <c r="X27" s="58"/>
      <c r="Y27" s="58"/>
      <c r="Z27" s="58"/>
      <c r="AA27" s="58"/>
      <c r="AB27" s="58"/>
      <c r="AC27" s="58"/>
      <c r="AD27" s="58"/>
      <c r="AE27" s="58"/>
      <c r="AF27" s="58"/>
      <c r="AG27" s="58"/>
      <c r="AH27" s="58"/>
      <c r="AI27" s="34"/>
      <c r="AJ27" s="34"/>
      <c r="AK27" s="34"/>
      <c r="AL27" s="34"/>
      <c r="AM27" s="34"/>
      <c r="AN27" s="34"/>
      <c r="AO27" s="34"/>
      <c r="AP27" s="34"/>
      <c r="AQ27" s="34"/>
      <c r="AR27" s="34"/>
      <c r="AS27" s="34"/>
      <c r="AT27" s="34"/>
      <c r="AU27" s="34"/>
      <c r="AV27" s="34"/>
      <c r="AW27" s="34"/>
      <c r="AX27" s="34"/>
      <c r="AY27" s="34"/>
      <c r="AZ27" s="34"/>
      <c r="BA27" s="34"/>
      <c r="BB27" s="34"/>
      <c r="BC27" s="34"/>
      <c r="BD27" s="34"/>
      <c r="BE27" s="34"/>
      <c r="BF27" s="34"/>
      <c r="BG27" s="34"/>
      <c r="BH27" s="34"/>
      <c r="BI27" s="34"/>
      <c r="BJ27" s="34"/>
      <c r="BK27" s="34"/>
      <c r="BL27" s="34"/>
      <c r="BM27" s="34"/>
      <c r="BN27" s="34"/>
      <c r="BO27" s="34"/>
      <c r="BP27" s="34"/>
      <c r="BQ27" s="34"/>
      <c r="BR27" s="34"/>
      <c r="BS27" s="34"/>
      <c r="BT27" s="34"/>
      <c r="BU27" s="34"/>
      <c r="BV27" s="34"/>
      <c r="BW27" s="34"/>
      <c r="BX27" s="34"/>
      <c r="BY27" s="34"/>
      <c r="BZ27" s="34"/>
      <c r="CA27" s="34"/>
      <c r="CB27" s="34"/>
      <c r="CC27" s="34"/>
      <c r="CD27" s="34"/>
      <c r="CE27" s="34"/>
      <c r="CF27" s="34"/>
      <c r="CG27" s="34"/>
      <c r="CH27" s="34"/>
      <c r="CI27" s="34"/>
      <c r="CJ27" s="34"/>
      <c r="CK27" s="34"/>
      <c r="CL27" s="34"/>
      <c r="CM27" s="34"/>
      <c r="CN27" s="34"/>
      <c r="CO27" s="34"/>
      <c r="CP27" s="34"/>
      <c r="CQ27" s="34"/>
      <c r="CR27" s="34"/>
      <c r="CS27" s="34"/>
      <c r="CT27" s="34"/>
      <c r="CU27" s="34"/>
      <c r="CV27" s="34"/>
      <c r="CW27" s="34"/>
      <c r="CX27" s="34"/>
      <c r="CY27" s="34"/>
      <c r="CZ27" s="34"/>
      <c r="DA27" s="34"/>
      <c r="DB27" s="34"/>
      <c r="DC27" s="34"/>
      <c r="DD27" s="34"/>
      <c r="DE27" s="34"/>
      <c r="DF27" s="34"/>
      <c r="DG27" s="34"/>
      <c r="DH27" s="34"/>
      <c r="DI27" s="34"/>
      <c r="DJ27" s="34"/>
      <c r="DK27" s="34"/>
      <c r="DL27" s="34"/>
      <c r="DM27" s="34"/>
      <c r="DN27" s="34"/>
      <c r="DO27" s="34"/>
      <c r="DP27" s="34"/>
      <c r="DQ27" s="34"/>
      <c r="DR27" s="34"/>
      <c r="DS27" s="34"/>
      <c r="DT27" s="34"/>
      <c r="DU27" s="34"/>
      <c r="DV27" s="34"/>
      <c r="DW27" s="34"/>
      <c r="DX27" s="34"/>
      <c r="DY27" s="34"/>
      <c r="DZ27" s="34"/>
      <c r="EA27" s="34"/>
      <c r="EB27" s="34"/>
      <c r="EC27" s="34"/>
      <c r="ED27" s="34"/>
      <c r="EE27" s="34"/>
      <c r="EF27" s="34"/>
      <c r="EG27" s="34"/>
      <c r="EH27" s="34"/>
      <c r="EI27" s="34"/>
      <c r="EJ27" s="34"/>
      <c r="EK27" s="34"/>
      <c r="EL27" s="34"/>
      <c r="EM27" s="34"/>
      <c r="EN27" s="34"/>
      <c r="EO27" s="34"/>
      <c r="EP27" s="34"/>
      <c r="EQ27" s="34"/>
      <c r="ER27" s="34"/>
      <c r="ES27" s="34"/>
      <c r="ET27" s="34"/>
      <c r="EU27" s="34"/>
      <c r="EV27" s="34"/>
      <c r="EW27" s="34"/>
      <c r="EX27" s="34"/>
      <c r="EY27" s="34"/>
      <c r="EZ27" s="34"/>
      <c r="FA27" s="34"/>
      <c r="FB27" s="34"/>
      <c r="FC27" s="34"/>
      <c r="FD27" s="34"/>
      <c r="FE27" s="34"/>
      <c r="FF27" s="34"/>
      <c r="FG27" s="34"/>
      <c r="FH27" s="34"/>
      <c r="FI27" s="34"/>
      <c r="FJ27" s="34"/>
      <c r="FK27" s="34"/>
      <c r="FL27" s="34"/>
      <c r="FM27" s="34"/>
      <c r="FN27" s="34"/>
      <c r="FO27" s="34"/>
      <c r="FP27" s="34"/>
      <c r="FQ27" s="34"/>
      <c r="FR27" s="34"/>
      <c r="FS27" s="34"/>
      <c r="FT27" s="34"/>
      <c r="FU27" s="34"/>
      <c r="FV27" s="34"/>
      <c r="FW27" s="34"/>
      <c r="FX27" s="34"/>
      <c r="FY27" s="34"/>
      <c r="FZ27" s="34"/>
      <c r="GA27" s="34"/>
      <c r="GB27" s="34"/>
      <c r="GC27" s="34"/>
      <c r="GD27" s="34"/>
      <c r="GE27" s="34"/>
      <c r="GF27" s="34"/>
      <c r="GG27" s="34"/>
      <c r="GH27" s="34"/>
      <c r="GI27" s="34"/>
      <c r="GJ27" s="34"/>
      <c r="GK27" s="34"/>
      <c r="GL27" s="34"/>
      <c r="GM27" s="34"/>
      <c r="GN27" s="34"/>
      <c r="GO27" s="34"/>
      <c r="GP27" s="34"/>
      <c r="GQ27" s="34"/>
      <c r="GR27" s="34"/>
    </row>
    <row r="28" spans="1:200" ht="15" customHeight="1" x14ac:dyDescent="0.3">
      <c r="A28" s="34" t="s">
        <v>247</v>
      </c>
      <c r="B28" s="34">
        <v>130</v>
      </c>
      <c r="C28" s="34">
        <v>193</v>
      </c>
      <c r="E28" s="34">
        <v>4</v>
      </c>
      <c r="F28" s="34">
        <v>3</v>
      </c>
      <c r="G28" s="34">
        <v>12</v>
      </c>
      <c r="H28" s="34">
        <v>342</v>
      </c>
      <c r="V28" s="58"/>
      <c r="W28" s="58"/>
      <c r="X28" s="58"/>
      <c r="Y28" s="58"/>
      <c r="Z28" s="58"/>
      <c r="AA28" s="58"/>
      <c r="AB28" s="58"/>
      <c r="AC28" s="58"/>
      <c r="AD28" s="58"/>
      <c r="AE28" s="58"/>
      <c r="AF28" s="58"/>
      <c r="AG28" s="58"/>
    </row>
    <row r="29" spans="1:200" ht="15" customHeight="1" x14ac:dyDescent="0.3">
      <c r="A29" s="34" t="s">
        <v>3</v>
      </c>
      <c r="B29" s="34">
        <v>3756</v>
      </c>
      <c r="C29" s="34">
        <v>5126</v>
      </c>
      <c r="D29" s="34">
        <v>61</v>
      </c>
      <c r="E29" s="34">
        <v>125</v>
      </c>
      <c r="F29" s="34">
        <v>150</v>
      </c>
      <c r="G29" s="34">
        <v>496</v>
      </c>
      <c r="H29" s="34">
        <v>9714</v>
      </c>
      <c r="V29" s="58"/>
      <c r="W29" s="58"/>
      <c r="X29" s="58"/>
      <c r="Y29" s="58"/>
      <c r="Z29" s="58"/>
      <c r="AA29" s="58"/>
      <c r="AB29" s="58"/>
      <c r="AC29" s="58"/>
      <c r="AD29" s="58"/>
      <c r="AE29" s="58"/>
      <c r="AF29" s="58"/>
      <c r="AG29" s="58"/>
      <c r="AH29" s="58"/>
    </row>
    <row r="30" spans="1:200" ht="15" customHeight="1" x14ac:dyDescent="0.3">
      <c r="V30" s="58"/>
      <c r="W30" s="58"/>
      <c r="X30" s="58"/>
      <c r="Y30" s="58"/>
      <c r="Z30" s="58"/>
      <c r="AA30" s="58"/>
      <c r="AB30" s="58"/>
      <c r="AC30" s="58"/>
      <c r="AD30" s="58"/>
      <c r="AE30" s="58"/>
      <c r="AF30" s="58"/>
      <c r="AG30" s="58"/>
      <c r="AH30" s="58"/>
    </row>
    <row r="31" spans="1:200" ht="15" customHeight="1" x14ac:dyDescent="0.3">
      <c r="V31" s="58"/>
      <c r="W31" s="58"/>
      <c r="X31" s="58"/>
      <c r="Y31" s="58"/>
      <c r="Z31" s="58"/>
      <c r="AA31" s="58"/>
      <c r="AB31" s="58"/>
      <c r="AC31" s="58"/>
      <c r="AD31" s="58"/>
      <c r="AE31" s="58"/>
      <c r="AF31" s="58"/>
      <c r="AG31" s="58"/>
      <c r="AH31" s="58"/>
    </row>
    <row r="32" spans="1:200" ht="15" customHeight="1" x14ac:dyDescent="0.3">
      <c r="V32" s="58"/>
      <c r="W32" s="58"/>
      <c r="X32" s="58"/>
      <c r="Y32" s="58"/>
      <c r="Z32" s="58"/>
      <c r="AA32" s="58"/>
      <c r="AB32" s="58"/>
      <c r="AC32" s="58"/>
      <c r="AD32" s="58"/>
      <c r="AE32" s="58"/>
      <c r="AF32" s="58"/>
      <c r="AG32" s="58"/>
      <c r="AH32" s="58"/>
    </row>
    <row r="33" spans="22:36" ht="15" customHeight="1" x14ac:dyDescent="0.3">
      <c r="V33" s="58"/>
      <c r="W33" s="58"/>
      <c r="X33" s="58"/>
      <c r="Y33" s="58"/>
      <c r="Z33" s="58"/>
      <c r="AA33" s="58"/>
      <c r="AB33" s="58"/>
      <c r="AC33" s="58"/>
      <c r="AD33" s="58"/>
      <c r="AE33" s="58"/>
      <c r="AF33" s="58"/>
      <c r="AG33" s="58"/>
      <c r="AH33" s="58"/>
      <c r="AJ33" s="39"/>
    </row>
    <row r="34" spans="22:36" ht="15" customHeight="1" x14ac:dyDescent="0.3">
      <c r="V34" s="58"/>
      <c r="W34" s="58"/>
      <c r="X34" s="58"/>
      <c r="Y34" s="58"/>
      <c r="Z34" s="58"/>
      <c r="AA34" s="58"/>
      <c r="AB34" s="58"/>
      <c r="AC34" s="58"/>
      <c r="AD34" s="58"/>
      <c r="AE34" s="58"/>
      <c r="AF34" s="58"/>
      <c r="AG34" s="58"/>
      <c r="AH34" s="58"/>
    </row>
  </sheetData>
  <phoneticPr fontId="13" type="noConversion"/>
  <printOptions horizontalCentered="1" verticalCentered="1"/>
  <pageMargins left="0" right="0" top="0" bottom="0" header="0" footer="0"/>
  <pageSetup paperSize="9" scale="75" orientation="landscape" r:id="rId1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BAC137-C03C-494F-91FD-4975C430C691}">
  <sheetPr>
    <tabColor rgb="FFE977DB"/>
    <pageSetUpPr fitToPage="1"/>
  </sheetPr>
  <dimension ref="A1:H49"/>
  <sheetViews>
    <sheetView zoomScale="40" zoomScaleNormal="40" zoomScaleSheetLayoutView="75" workbookViewId="0">
      <selection activeCell="A2" sqref="A2:F47"/>
    </sheetView>
  </sheetViews>
  <sheetFormatPr defaultColWidth="9" defaultRowHeight="16.5" x14ac:dyDescent="0.3"/>
  <cols>
    <col min="1" max="1" width="24.75" style="34" customWidth="1"/>
    <col min="2" max="2" width="7.625" style="38" customWidth="1"/>
    <col min="3" max="3" width="30.625" style="34" customWidth="1"/>
    <col min="4" max="4" width="9.875" style="2" customWidth="1"/>
    <col min="5" max="5" width="11.375" style="34" customWidth="1"/>
    <col min="6" max="6" width="11.125" style="2" customWidth="1"/>
    <col min="7" max="7" width="8.375" style="34" customWidth="1"/>
    <col min="8" max="8" width="9" style="34" customWidth="1"/>
    <col min="9" max="13" width="9" style="34"/>
    <col min="14" max="14" width="10.625" style="34" customWidth="1"/>
    <col min="15" max="17" width="9" style="34"/>
    <col min="18" max="18" width="36.5" style="34" bestFit="1" customWidth="1"/>
    <col min="19" max="16384" width="9" style="34"/>
  </cols>
  <sheetData>
    <row r="1" spans="1:8" ht="25.9" customHeight="1" thickBot="1" x14ac:dyDescent="0.35">
      <c r="A1" s="270"/>
      <c r="B1" s="270"/>
      <c r="C1" s="270"/>
      <c r="D1" s="270"/>
      <c r="E1" s="270"/>
      <c r="F1" s="270"/>
    </row>
    <row r="2" spans="1:8" ht="25.9" customHeight="1" x14ac:dyDescent="0.3">
      <c r="A2" s="215">
        <f ca="1">TODAY()</f>
        <v>46314</v>
      </c>
      <c r="B2" s="256" t="s">
        <v>384</v>
      </c>
      <c r="C2" s="256"/>
      <c r="D2" s="256"/>
      <c r="E2" s="256"/>
      <c r="F2" s="257"/>
      <c r="G2" s="67"/>
      <c r="H2" s="67"/>
    </row>
    <row r="3" spans="1:8" ht="40.5" customHeight="1" x14ac:dyDescent="0.3">
      <c r="A3" s="222" t="s">
        <v>67</v>
      </c>
      <c r="B3" s="223" t="s">
        <v>13</v>
      </c>
      <c r="C3" s="235" t="s">
        <v>370</v>
      </c>
      <c r="D3" s="230" t="s">
        <v>2</v>
      </c>
      <c r="E3" s="229" t="s">
        <v>23</v>
      </c>
      <c r="F3" s="231" t="s">
        <v>14</v>
      </c>
      <c r="G3" s="67"/>
      <c r="H3" s="67"/>
    </row>
    <row r="4" spans="1:8" ht="25.35" customHeight="1" x14ac:dyDescent="0.3">
      <c r="A4" s="220" t="s">
        <v>260</v>
      </c>
      <c r="B4" s="224">
        <v>40</v>
      </c>
      <c r="C4" s="227">
        <f>IFERROR(VLOOKUP(A4,네이처몬스터피벗!A:SD,2,FALSE),0)</f>
        <v>59</v>
      </c>
      <c r="D4" s="227">
        <f t="shared" ref="D4:D18" si="0">IFERROR(ROUNDDOWN(C4/B4,0),"")</f>
        <v>1</v>
      </c>
      <c r="E4" s="51" t="s">
        <v>109</v>
      </c>
      <c r="F4" s="228">
        <f t="shared" ref="F4:F18" si="1">IFERROR(C4-(D4*B4),"")</f>
        <v>19</v>
      </c>
      <c r="G4" s="67"/>
      <c r="H4" s="67"/>
    </row>
    <row r="5" spans="1:8" ht="25.35" customHeight="1" x14ac:dyDescent="0.3">
      <c r="A5" s="221" t="s">
        <v>255</v>
      </c>
      <c r="B5" s="224">
        <f t="shared" ref="B5:B18" si="2">$B$4</f>
        <v>40</v>
      </c>
      <c r="C5" s="227">
        <f>IFERROR(VLOOKUP(A5,네이처몬스터피벗!A:SD,2,FALSE),0)</f>
        <v>400</v>
      </c>
      <c r="D5" s="227">
        <f t="shared" si="0"/>
        <v>10</v>
      </c>
      <c r="E5" s="51" t="s">
        <v>335</v>
      </c>
      <c r="F5" s="228">
        <f t="shared" si="1"/>
        <v>0</v>
      </c>
      <c r="G5" s="67"/>
      <c r="H5" s="67"/>
    </row>
    <row r="6" spans="1:8" ht="25.35" customHeight="1" x14ac:dyDescent="0.3">
      <c r="A6" s="221" t="s">
        <v>249</v>
      </c>
      <c r="B6" s="224">
        <f t="shared" si="2"/>
        <v>40</v>
      </c>
      <c r="C6" s="227">
        <f>IFERROR(VLOOKUP(A6,네이처몬스터피벗!A:SD,2,FALSE),0)</f>
        <v>188</v>
      </c>
      <c r="D6" s="227">
        <f>IFERROR(ROUNDDOWN(C6/B6,0),"")</f>
        <v>4</v>
      </c>
      <c r="E6" s="51" t="s">
        <v>272</v>
      </c>
      <c r="F6" s="228">
        <f>IFERROR(C6-(D6*B6),"")</f>
        <v>28</v>
      </c>
      <c r="G6" s="67"/>
      <c r="H6" s="67"/>
    </row>
    <row r="7" spans="1:8" ht="25.35" customHeight="1" x14ac:dyDescent="0.3">
      <c r="A7" s="221" t="s">
        <v>250</v>
      </c>
      <c r="B7" s="224">
        <f t="shared" si="2"/>
        <v>40</v>
      </c>
      <c r="C7" s="227">
        <f>IFERROR(VLOOKUP(A7,네이처몬스터피벗!A:SD,2,FALSE),0)</f>
        <v>248</v>
      </c>
      <c r="D7" s="227">
        <f>IFERROR(ROUNDDOWN(C7/B7,0),"")</f>
        <v>6</v>
      </c>
      <c r="E7" s="51" t="s">
        <v>273</v>
      </c>
      <c r="F7" s="228">
        <f>IFERROR(C7-(D7*B7),"")</f>
        <v>8</v>
      </c>
      <c r="G7" s="67"/>
      <c r="H7" s="67"/>
    </row>
    <row r="8" spans="1:8" ht="25.35" customHeight="1" x14ac:dyDescent="0.3">
      <c r="A8" s="221" t="s">
        <v>248</v>
      </c>
      <c r="B8" s="224">
        <f t="shared" si="2"/>
        <v>40</v>
      </c>
      <c r="C8" s="227">
        <f>IFERROR(VLOOKUP(A8,네이처몬스터피벗!A:SD,2,FALSE),0)</f>
        <v>115</v>
      </c>
      <c r="D8" s="227">
        <f>IFERROR(ROUNDDOWN(C8/B8,0),"")</f>
        <v>2</v>
      </c>
      <c r="E8" s="51" t="s">
        <v>271</v>
      </c>
      <c r="F8" s="228">
        <f>IFERROR(C8-(D8*B8),"")</f>
        <v>35</v>
      </c>
      <c r="G8" s="67"/>
      <c r="H8" s="67"/>
    </row>
    <row r="9" spans="1:8" ht="25.35" customHeight="1" x14ac:dyDescent="0.3">
      <c r="A9" s="221" t="s">
        <v>246</v>
      </c>
      <c r="B9" s="224">
        <f t="shared" si="2"/>
        <v>40</v>
      </c>
      <c r="C9" s="227">
        <f>IFERROR(VLOOKUP(A9,네이처몬스터피벗!A:SD,2,FALSE),0)</f>
        <v>115</v>
      </c>
      <c r="D9" s="227">
        <f t="shared" si="0"/>
        <v>2</v>
      </c>
      <c r="E9" s="51" t="s">
        <v>270</v>
      </c>
      <c r="F9" s="228">
        <f t="shared" si="1"/>
        <v>35</v>
      </c>
      <c r="G9" s="67"/>
      <c r="H9" s="67"/>
    </row>
    <row r="10" spans="1:8" ht="25.35" customHeight="1" x14ac:dyDescent="0.3">
      <c r="A10" s="221" t="s">
        <v>256</v>
      </c>
      <c r="B10" s="224">
        <f t="shared" si="2"/>
        <v>40</v>
      </c>
      <c r="C10" s="227">
        <f>IFERROR(VLOOKUP(A10,네이처몬스터피벗!A:SD,2,FALSE),0)</f>
        <v>82</v>
      </c>
      <c r="D10" s="227">
        <f>IFERROR(ROUNDDOWN(C10/B10,0),"")</f>
        <v>2</v>
      </c>
      <c r="E10" s="51" t="s">
        <v>278</v>
      </c>
      <c r="F10" s="228">
        <f>IFERROR(C10-(D10*B10),"")</f>
        <v>2</v>
      </c>
      <c r="G10" s="67"/>
      <c r="H10" s="67"/>
    </row>
    <row r="11" spans="1:8" ht="25.35" customHeight="1" x14ac:dyDescent="0.3">
      <c r="A11" s="221" t="s">
        <v>247</v>
      </c>
      <c r="B11" s="224">
        <f t="shared" si="2"/>
        <v>40</v>
      </c>
      <c r="C11" s="227">
        <f>IFERROR(VLOOKUP(A11,네이처몬스터피벗!A:SD,2,FALSE),0)</f>
        <v>130</v>
      </c>
      <c r="D11" s="227">
        <f t="shared" si="0"/>
        <v>3</v>
      </c>
      <c r="E11" s="51" t="s">
        <v>334</v>
      </c>
      <c r="F11" s="228">
        <f t="shared" si="1"/>
        <v>10</v>
      </c>
      <c r="G11" s="67"/>
      <c r="H11" s="67"/>
    </row>
    <row r="12" spans="1:8" ht="25.35" customHeight="1" x14ac:dyDescent="0.3">
      <c r="A12" s="221" t="s">
        <v>251</v>
      </c>
      <c r="B12" s="224">
        <f t="shared" si="2"/>
        <v>40</v>
      </c>
      <c r="C12" s="227">
        <f>IFERROR(VLOOKUP(A12,네이처몬스터피벗!A:SD,2,FALSE),0)</f>
        <v>247</v>
      </c>
      <c r="D12" s="227">
        <f t="shared" si="0"/>
        <v>6</v>
      </c>
      <c r="E12" s="51" t="s">
        <v>274</v>
      </c>
      <c r="F12" s="228">
        <f t="shared" si="1"/>
        <v>7</v>
      </c>
      <c r="G12" s="67"/>
      <c r="H12" s="67"/>
    </row>
    <row r="13" spans="1:8" ht="25.35" customHeight="1" x14ac:dyDescent="0.3">
      <c r="A13" s="220" t="s">
        <v>252</v>
      </c>
      <c r="B13" s="224">
        <f t="shared" si="2"/>
        <v>40</v>
      </c>
      <c r="C13" s="227">
        <f>IFERROR(VLOOKUP(A13,네이처몬스터피벗!A:SD,2,FALSE),0)</f>
        <v>218</v>
      </c>
      <c r="D13" s="227">
        <f t="shared" si="0"/>
        <v>5</v>
      </c>
      <c r="E13" s="51" t="s">
        <v>275</v>
      </c>
      <c r="F13" s="228">
        <f t="shared" si="1"/>
        <v>18</v>
      </c>
      <c r="G13" s="67"/>
      <c r="H13" s="67"/>
    </row>
    <row r="14" spans="1:8" ht="25.35" customHeight="1" x14ac:dyDescent="0.3">
      <c r="A14" s="221" t="s">
        <v>253</v>
      </c>
      <c r="B14" s="224">
        <f t="shared" si="2"/>
        <v>40</v>
      </c>
      <c r="C14" s="227">
        <f>IFERROR(VLOOKUP(A14,네이처몬스터피벗!A:SD,2,FALSE),0)</f>
        <v>203</v>
      </c>
      <c r="D14" s="227">
        <f t="shared" si="0"/>
        <v>5</v>
      </c>
      <c r="E14" s="51" t="s">
        <v>276</v>
      </c>
      <c r="F14" s="228">
        <f t="shared" si="1"/>
        <v>3</v>
      </c>
      <c r="G14" s="67"/>
      <c r="H14" s="67"/>
    </row>
    <row r="15" spans="1:8" ht="25.35" customHeight="1" x14ac:dyDescent="0.3">
      <c r="A15" s="221" t="s">
        <v>254</v>
      </c>
      <c r="B15" s="224">
        <f t="shared" si="2"/>
        <v>40</v>
      </c>
      <c r="C15" s="227">
        <f>IFERROR(VLOOKUP(A15,네이처몬스터피벗!A:SD,2,FALSE),0)</f>
        <v>278</v>
      </c>
      <c r="D15" s="227">
        <f t="shared" si="0"/>
        <v>6</v>
      </c>
      <c r="E15" s="51" t="s">
        <v>277</v>
      </c>
      <c r="F15" s="228">
        <f t="shared" si="1"/>
        <v>38</v>
      </c>
      <c r="G15" s="67"/>
      <c r="H15" s="67"/>
    </row>
    <row r="16" spans="1:8" ht="25.35" customHeight="1" x14ac:dyDescent="0.3">
      <c r="A16" s="221" t="s">
        <v>257</v>
      </c>
      <c r="B16" s="224">
        <f t="shared" si="2"/>
        <v>40</v>
      </c>
      <c r="C16" s="227">
        <f>IFERROR(VLOOKUP(A16,네이처몬스터피벗!A:SD,2,FALSE),0)</f>
        <v>103</v>
      </c>
      <c r="D16" s="227">
        <f t="shared" si="0"/>
        <v>2</v>
      </c>
      <c r="E16" s="51" t="s">
        <v>279</v>
      </c>
      <c r="F16" s="228">
        <f t="shared" si="1"/>
        <v>23</v>
      </c>
      <c r="G16" s="67"/>
      <c r="H16" s="67"/>
    </row>
    <row r="17" spans="1:8" ht="25.35" customHeight="1" x14ac:dyDescent="0.3">
      <c r="A17" s="221" t="s">
        <v>258</v>
      </c>
      <c r="B17" s="224">
        <f t="shared" si="2"/>
        <v>40</v>
      </c>
      <c r="C17" s="227">
        <f>IFERROR(VLOOKUP(A17,네이처몬스터피벗!A:SD,2,FALSE),0)</f>
        <v>86</v>
      </c>
      <c r="D17" s="227">
        <f t="shared" si="0"/>
        <v>2</v>
      </c>
      <c r="E17" s="51" t="s">
        <v>280</v>
      </c>
      <c r="F17" s="228">
        <f t="shared" si="1"/>
        <v>6</v>
      </c>
      <c r="G17" s="67"/>
      <c r="H17" s="67"/>
    </row>
    <row r="18" spans="1:8" ht="25.35" customHeight="1" x14ac:dyDescent="0.3">
      <c r="A18" s="221" t="s">
        <v>259</v>
      </c>
      <c r="B18" s="224">
        <f t="shared" si="2"/>
        <v>40</v>
      </c>
      <c r="C18" s="227">
        <f>IFERROR(VLOOKUP(A18,네이처몬스터피벗!A:SD,2,FALSE),0)</f>
        <v>107</v>
      </c>
      <c r="D18" s="227">
        <f t="shared" si="0"/>
        <v>2</v>
      </c>
      <c r="E18" s="51" t="s">
        <v>336</v>
      </c>
      <c r="F18" s="228">
        <f t="shared" si="1"/>
        <v>27</v>
      </c>
      <c r="G18" s="67"/>
      <c r="H18" s="67"/>
    </row>
    <row r="19" spans="1:8" ht="4.5" customHeight="1" x14ac:dyDescent="0.3">
      <c r="A19" s="183"/>
      <c r="B19" s="50"/>
      <c r="C19" s="50"/>
      <c r="D19" s="50"/>
      <c r="E19" s="50"/>
      <c r="F19" s="184"/>
    </row>
    <row r="20" spans="1:8" ht="32.450000000000003" customHeight="1" x14ac:dyDescent="0.3">
      <c r="A20" s="211" t="s">
        <v>122</v>
      </c>
      <c r="B20" s="225">
        <f>$B$4</f>
        <v>40</v>
      </c>
      <c r="C20" s="212">
        <f>SUM(C4:C18)</f>
        <v>2579</v>
      </c>
      <c r="D20" s="55">
        <f>IFERROR(ROUNDDOWN(C20/B20,0),"")</f>
        <v>64</v>
      </c>
      <c r="E20" s="213"/>
      <c r="F20" s="214">
        <f>IFERROR(C20-(D20*B20),"")</f>
        <v>19</v>
      </c>
    </row>
    <row r="21" spans="1:8" ht="4.5" customHeight="1" x14ac:dyDescent="0.3">
      <c r="A21" s="183"/>
      <c r="B21" s="224"/>
      <c r="C21" s="50"/>
      <c r="D21" s="50"/>
      <c r="E21" s="50"/>
      <c r="F21" s="184"/>
    </row>
    <row r="22" spans="1:8" ht="25.35" customHeight="1" x14ac:dyDescent="0.3">
      <c r="A22" s="221" t="s">
        <v>241</v>
      </c>
      <c r="B22" s="224">
        <f t="shared" ref="B22:B26" si="3">$B$4</f>
        <v>40</v>
      </c>
      <c r="C22" s="227">
        <f>IFERROR(VLOOKUP(A22,네이처몬스터피벗!A:SD,2,FALSE),0)</f>
        <v>171</v>
      </c>
      <c r="D22" s="227">
        <f>IFERROR(ROUNDDOWN(C22/B22,0),"")</f>
        <v>4</v>
      </c>
      <c r="E22" s="51" t="s">
        <v>268</v>
      </c>
      <c r="F22" s="228">
        <f>IFERROR(C22-(D22*B22),"")</f>
        <v>11</v>
      </c>
      <c r="G22" s="67"/>
      <c r="H22" s="67"/>
    </row>
    <row r="23" spans="1:8" ht="25.35" customHeight="1" x14ac:dyDescent="0.3">
      <c r="A23" s="221" t="s">
        <v>242</v>
      </c>
      <c r="B23" s="224">
        <f t="shared" si="3"/>
        <v>40</v>
      </c>
      <c r="C23" s="227">
        <f>IFERROR(VLOOKUP(A23,네이처몬스터피벗!A:SD,2,FALSE),0)</f>
        <v>111</v>
      </c>
      <c r="D23" s="227">
        <f>IFERROR(ROUNDDOWN(C23/B23,0),"")</f>
        <v>2</v>
      </c>
      <c r="E23" s="51" t="s">
        <v>337</v>
      </c>
      <c r="F23" s="228">
        <f>IFERROR(C23-(D23*B23),"")</f>
        <v>31</v>
      </c>
      <c r="G23" s="67"/>
      <c r="H23" s="67"/>
    </row>
    <row r="24" spans="1:8" ht="25.35" customHeight="1" x14ac:dyDescent="0.3">
      <c r="A24" s="221" t="s">
        <v>243</v>
      </c>
      <c r="B24" s="224">
        <f t="shared" si="3"/>
        <v>40</v>
      </c>
      <c r="C24" s="227">
        <f>IFERROR(VLOOKUP(A24,네이처몬스터피벗!A:SD,2,FALSE),0)</f>
        <v>0</v>
      </c>
      <c r="D24" s="227">
        <f>IFERROR(ROUNDDOWN(C24/B24,0),"")</f>
        <v>0</v>
      </c>
      <c r="E24" s="51" t="s">
        <v>106</v>
      </c>
      <c r="F24" s="228">
        <f>IFERROR(C24-(D24*B24),"")</f>
        <v>0</v>
      </c>
      <c r="G24" s="67"/>
      <c r="H24" s="67"/>
    </row>
    <row r="25" spans="1:8" ht="25.35" customHeight="1" x14ac:dyDescent="0.3">
      <c r="A25" s="221" t="s">
        <v>244</v>
      </c>
      <c r="B25" s="224">
        <f t="shared" si="3"/>
        <v>40</v>
      </c>
      <c r="C25" s="227">
        <f>IFERROR(VLOOKUP(A25,네이처몬스터피벗!A:SD,2,FALSE),0)</f>
        <v>128</v>
      </c>
      <c r="D25" s="227">
        <f>IFERROR(ROUNDDOWN(C25/B25,0),"")</f>
        <v>3</v>
      </c>
      <c r="E25" s="51" t="s">
        <v>269</v>
      </c>
      <c r="F25" s="228">
        <f>IFERROR(C25-(D25*B25),"")</f>
        <v>8</v>
      </c>
      <c r="G25" s="67"/>
      <c r="H25" s="67"/>
    </row>
    <row r="26" spans="1:8" ht="25.35" customHeight="1" x14ac:dyDescent="0.3">
      <c r="A26" s="221" t="s">
        <v>245</v>
      </c>
      <c r="B26" s="224">
        <f t="shared" si="3"/>
        <v>40</v>
      </c>
      <c r="C26" s="227">
        <f>IFERROR(VLOOKUP(A26,네이처몬스터피벗!A:SD,2,FALSE),0)</f>
        <v>93</v>
      </c>
      <c r="D26" s="227">
        <f>IFERROR(ROUNDDOWN(C26/B26,0),"")</f>
        <v>2</v>
      </c>
      <c r="E26" s="51" t="s">
        <v>118</v>
      </c>
      <c r="F26" s="228">
        <f>IFERROR(C26-(D26*B26),"")</f>
        <v>13</v>
      </c>
      <c r="G26" s="67"/>
      <c r="H26" s="67"/>
    </row>
    <row r="27" spans="1:8" ht="4.5" customHeight="1" x14ac:dyDescent="0.3">
      <c r="A27" s="183"/>
      <c r="B27" s="50"/>
      <c r="C27" s="50"/>
      <c r="D27" s="50"/>
      <c r="E27" s="50"/>
      <c r="F27" s="184"/>
      <c r="G27" s="67"/>
      <c r="H27" s="67"/>
    </row>
    <row r="28" spans="1:8" ht="32.450000000000003" customHeight="1" x14ac:dyDescent="0.3">
      <c r="A28" s="211" t="s">
        <v>285</v>
      </c>
      <c r="B28" s="225">
        <f>$B$4</f>
        <v>40</v>
      </c>
      <c r="C28" s="212">
        <f>SUM(C22:C26)</f>
        <v>503</v>
      </c>
      <c r="D28" s="55">
        <f>IFERROR(ROUNDDOWN(C28/B28,0),"")</f>
        <v>12</v>
      </c>
      <c r="E28" s="213"/>
      <c r="F28" s="214">
        <f>IFERROR(C28-(D28*B28),"")</f>
        <v>23</v>
      </c>
      <c r="G28" s="67"/>
      <c r="H28" s="67"/>
    </row>
    <row r="29" spans="1:8" ht="4.5" customHeight="1" x14ac:dyDescent="0.3">
      <c r="A29" s="183"/>
      <c r="B29" s="50"/>
      <c r="C29" s="50"/>
      <c r="D29" s="50"/>
      <c r="E29" s="50"/>
      <c r="F29" s="184"/>
      <c r="G29" s="67"/>
      <c r="H29" s="67"/>
    </row>
    <row r="30" spans="1:8" ht="25.35" customHeight="1" x14ac:dyDescent="0.3">
      <c r="A30" s="221" t="s">
        <v>239</v>
      </c>
      <c r="B30" s="224">
        <f t="shared" ref="B30:B31" si="4">$B$4</f>
        <v>40</v>
      </c>
      <c r="C30" s="227">
        <f>IFERROR(VLOOKUP(A30,네이처몬스터피벗!A:SD,2,FALSE),0)</f>
        <v>137</v>
      </c>
      <c r="D30" s="227">
        <f t="shared" ref="D30:D31" si="5">IFERROR(ROUNDDOWN(C30/B30,0),"")</f>
        <v>3</v>
      </c>
      <c r="E30" s="51" t="s">
        <v>266</v>
      </c>
      <c r="F30" s="228">
        <f t="shared" ref="F30:F31" si="6">IFERROR(C30-(D30*B30),"")</f>
        <v>17</v>
      </c>
      <c r="G30" s="67"/>
      <c r="H30" s="67"/>
    </row>
    <row r="31" spans="1:8" ht="25.35" customHeight="1" x14ac:dyDescent="0.3">
      <c r="A31" s="221" t="s">
        <v>240</v>
      </c>
      <c r="B31" s="224">
        <f t="shared" si="4"/>
        <v>40</v>
      </c>
      <c r="C31" s="227">
        <f>IFERROR(VLOOKUP(A31,네이처몬스터피벗!A:SD,2,FALSE),0)</f>
        <v>134</v>
      </c>
      <c r="D31" s="227">
        <f t="shared" si="5"/>
        <v>3</v>
      </c>
      <c r="E31" s="51" t="s">
        <v>267</v>
      </c>
      <c r="F31" s="228">
        <f t="shared" si="6"/>
        <v>14</v>
      </c>
      <c r="G31" s="67"/>
      <c r="H31" s="67"/>
    </row>
    <row r="32" spans="1:8" ht="4.5" customHeight="1" x14ac:dyDescent="0.3">
      <c r="A32" s="183"/>
      <c r="B32" s="50"/>
      <c r="C32" s="50"/>
      <c r="D32" s="50"/>
      <c r="E32" s="50"/>
      <c r="F32" s="184"/>
      <c r="G32" s="67"/>
      <c r="H32" s="67"/>
    </row>
    <row r="33" spans="1:8" ht="32.450000000000003" customHeight="1" x14ac:dyDescent="0.3">
      <c r="A33" s="211" t="s">
        <v>284</v>
      </c>
      <c r="B33" s="225">
        <f>$B$4</f>
        <v>40</v>
      </c>
      <c r="C33" s="212">
        <f>SUM(C30:C31)</f>
        <v>271</v>
      </c>
      <c r="D33" s="55">
        <f>IFERROR(ROUNDDOWN(C33/B33,0),"")</f>
        <v>6</v>
      </c>
      <c r="E33" s="213"/>
      <c r="F33" s="214">
        <f>IFERROR(C33-(D33*B33),"")</f>
        <v>31</v>
      </c>
      <c r="G33" s="67"/>
      <c r="H33" s="67"/>
    </row>
    <row r="34" spans="1:8" ht="4.5" customHeight="1" x14ac:dyDescent="0.3">
      <c r="A34" s="183"/>
      <c r="B34" s="224"/>
      <c r="C34" s="50"/>
      <c r="D34" s="50"/>
      <c r="E34" s="50"/>
      <c r="F34" s="184"/>
      <c r="G34" s="67"/>
      <c r="H34" s="67"/>
    </row>
    <row r="35" spans="1:8" ht="25.35" customHeight="1" x14ac:dyDescent="0.3">
      <c r="A35" s="221" t="s">
        <v>236</v>
      </c>
      <c r="B35" s="224">
        <f t="shared" ref="B35:B37" si="7">$B$4</f>
        <v>40</v>
      </c>
      <c r="C35" s="227">
        <f>IFERROR(VLOOKUP(A35,네이처몬스터피벗!A:SD,2,FALSE),0)</f>
        <v>145</v>
      </c>
      <c r="D35" s="227">
        <f t="shared" ref="D35:D37" si="8">IFERROR(ROUNDDOWN(C35/B35,0),"")</f>
        <v>3</v>
      </c>
      <c r="E35" s="51" t="s">
        <v>264</v>
      </c>
      <c r="F35" s="228">
        <f t="shared" ref="F35:F37" si="9">IFERROR(C35-(D35*B35),"")</f>
        <v>25</v>
      </c>
      <c r="G35" s="67"/>
      <c r="H35" s="67"/>
    </row>
    <row r="36" spans="1:8" ht="25.35" customHeight="1" x14ac:dyDescent="0.3">
      <c r="A36" s="221" t="s">
        <v>237</v>
      </c>
      <c r="B36" s="224">
        <f t="shared" si="7"/>
        <v>40</v>
      </c>
      <c r="C36" s="227">
        <f>IFERROR(VLOOKUP(A36,네이처몬스터피벗!A:SD,2,FALSE),0)</f>
        <v>94</v>
      </c>
      <c r="D36" s="227">
        <f t="shared" si="8"/>
        <v>2</v>
      </c>
      <c r="E36" s="51" t="s">
        <v>338</v>
      </c>
      <c r="F36" s="228">
        <f t="shared" si="9"/>
        <v>14</v>
      </c>
      <c r="G36" s="67"/>
      <c r="H36" s="67"/>
    </row>
    <row r="37" spans="1:8" ht="25.35" customHeight="1" x14ac:dyDescent="0.3">
      <c r="A37" s="221" t="s">
        <v>238</v>
      </c>
      <c r="B37" s="224">
        <f t="shared" si="7"/>
        <v>40</v>
      </c>
      <c r="C37" s="227">
        <f>IFERROR(VLOOKUP(A37,네이처몬스터피벗!A:SD,2,FALSE),0)</f>
        <v>97</v>
      </c>
      <c r="D37" s="227">
        <f t="shared" si="8"/>
        <v>2</v>
      </c>
      <c r="E37" s="51" t="s">
        <v>265</v>
      </c>
      <c r="F37" s="228">
        <f t="shared" si="9"/>
        <v>17</v>
      </c>
      <c r="G37" s="67"/>
      <c r="H37" s="67"/>
    </row>
    <row r="38" spans="1:8" ht="4.5" customHeight="1" x14ac:dyDescent="0.3">
      <c r="A38" s="183"/>
      <c r="B38" s="50"/>
      <c r="C38" s="50"/>
      <c r="D38" s="50"/>
      <c r="E38" s="50"/>
      <c r="F38" s="184"/>
      <c r="G38" s="67"/>
      <c r="H38" s="67"/>
    </row>
    <row r="39" spans="1:8" ht="32.450000000000003" customHeight="1" x14ac:dyDescent="0.3">
      <c r="A39" s="211" t="s">
        <v>283</v>
      </c>
      <c r="B39" s="225">
        <f>$B$4</f>
        <v>40</v>
      </c>
      <c r="C39" s="212">
        <f>SUM(C35:C37)</f>
        <v>336</v>
      </c>
      <c r="D39" s="55">
        <f>IFERROR(ROUNDDOWN(C39/B39,0),"")</f>
        <v>8</v>
      </c>
      <c r="E39" s="213"/>
      <c r="F39" s="214">
        <f>IFERROR(C39-(D39*B39),"")</f>
        <v>16</v>
      </c>
      <c r="G39" s="67"/>
      <c r="H39" s="67"/>
    </row>
    <row r="40" spans="1:8" ht="4.5" customHeight="1" x14ac:dyDescent="0.3">
      <c r="A40" s="183"/>
      <c r="B40" s="224"/>
      <c r="C40" s="50"/>
      <c r="D40" s="50"/>
      <c r="E40" s="50"/>
      <c r="F40" s="184"/>
      <c r="G40" s="67"/>
      <c r="H40" s="67"/>
    </row>
    <row r="41" spans="1:8" ht="25.35" customHeight="1" x14ac:dyDescent="0.3">
      <c r="A41" s="221" t="s">
        <v>261</v>
      </c>
      <c r="B41" s="224">
        <f t="shared" ref="B41:B42" si="10">$B$4</f>
        <v>40</v>
      </c>
      <c r="C41" s="227">
        <f>IFERROR(VLOOKUP(A41,네이처몬스터피벗!A:SD,2,FALSE),0)</f>
        <v>21</v>
      </c>
      <c r="D41" s="227">
        <f t="shared" ref="D41:D42" si="11">IFERROR(ROUNDDOWN(C41/B41,0),"")</f>
        <v>0</v>
      </c>
      <c r="E41" s="51" t="s">
        <v>281</v>
      </c>
      <c r="F41" s="228">
        <f t="shared" ref="F41:F42" si="12">IFERROR(C41-(D41*B41),"")</f>
        <v>21</v>
      </c>
      <c r="G41" s="67"/>
      <c r="H41" s="67"/>
    </row>
    <row r="42" spans="1:8" ht="25.35" customHeight="1" x14ac:dyDescent="0.3">
      <c r="A42" s="221" t="s">
        <v>262</v>
      </c>
      <c r="B42" s="224">
        <f t="shared" si="10"/>
        <v>40</v>
      </c>
      <c r="C42" s="227">
        <f>IFERROR(VLOOKUP(A42,네이처몬스터피벗!A:SD,2,FALSE),0)</f>
        <v>46</v>
      </c>
      <c r="D42" s="227">
        <f t="shared" si="11"/>
        <v>1</v>
      </c>
      <c r="E42" s="51" t="s">
        <v>282</v>
      </c>
      <c r="F42" s="228">
        <f t="shared" si="12"/>
        <v>6</v>
      </c>
      <c r="G42" s="67"/>
      <c r="H42" s="67"/>
    </row>
    <row r="43" spans="1:8" ht="4.5" customHeight="1" x14ac:dyDescent="0.3">
      <c r="A43" s="183"/>
      <c r="B43" s="50"/>
      <c r="C43" s="50"/>
      <c r="D43" s="50"/>
      <c r="E43" s="50"/>
      <c r="F43" s="184"/>
      <c r="G43" s="67"/>
      <c r="H43" s="67"/>
    </row>
    <row r="44" spans="1:8" ht="32.450000000000003" customHeight="1" x14ac:dyDescent="0.3">
      <c r="A44" s="211" t="s">
        <v>339</v>
      </c>
      <c r="B44" s="225">
        <f>$B$4</f>
        <v>40</v>
      </c>
      <c r="C44" s="212">
        <f>SUM(C41:C42)</f>
        <v>67</v>
      </c>
      <c r="D44" s="55">
        <f>IFERROR(ROUNDDOWN(C44/B44,0),"")</f>
        <v>1</v>
      </c>
      <c r="E44" s="213"/>
      <c r="F44" s="214">
        <f>IFERROR(C44-(D44*B44),"")</f>
        <v>27</v>
      </c>
      <c r="G44" s="67"/>
      <c r="H44" s="67"/>
    </row>
    <row r="45" spans="1:8" ht="4.5" customHeight="1" thickBot="1" x14ac:dyDescent="0.35">
      <c r="A45" s="183"/>
      <c r="B45" s="50"/>
      <c r="C45" s="50"/>
      <c r="D45" s="50"/>
      <c r="E45" s="50"/>
      <c r="F45" s="184"/>
      <c r="G45" s="67"/>
      <c r="H45" s="67"/>
    </row>
    <row r="46" spans="1:8" ht="26.25" x14ac:dyDescent="0.3">
      <c r="A46" s="87" t="s">
        <v>3</v>
      </c>
      <c r="B46" s="226">
        <f>$B$4</f>
        <v>40</v>
      </c>
      <c r="C46" s="55">
        <f>SUM(C4:C18,C35:C37,C30:C31,C22:C26,C41:C42)</f>
        <v>3756</v>
      </c>
      <c r="D46" s="54">
        <f>IFERROR(ROUNDDOWN(C46/B46,0),"")</f>
        <v>93</v>
      </c>
      <c r="E46" s="56"/>
      <c r="F46" s="121">
        <f>IFERROR(C46-(D46*B46),"")</f>
        <v>36</v>
      </c>
      <c r="G46" s="232" t="s">
        <v>110</v>
      </c>
      <c r="H46" s="233" t="s">
        <v>111</v>
      </c>
    </row>
    <row r="47" spans="1:8" ht="27" thickBot="1" x14ac:dyDescent="0.35">
      <c r="A47" s="42" t="s">
        <v>286</v>
      </c>
      <c r="B47" s="43" t="s">
        <v>173</v>
      </c>
      <c r="C47" s="40"/>
      <c r="D47" s="41">
        <f>SUM(D4:D18,D35:D37,D30:D31,D22:D26,D41:D42)</f>
        <v>83</v>
      </c>
      <c r="E47" s="48"/>
      <c r="F47" s="93">
        <f>SUM(F4:F18,F35:F37,F30:F31,F22:F26,F41:F42)</f>
        <v>436</v>
      </c>
      <c r="G47" s="216">
        <f>IFERROR(ROUNDDOWN(F47/B35,0),"")</f>
        <v>10</v>
      </c>
      <c r="H47" s="217">
        <f>IFERROR(F47-(G47*B35),"")</f>
        <v>36</v>
      </c>
    </row>
    <row r="48" spans="1:8" ht="22.5" customHeight="1" x14ac:dyDescent="0.3">
      <c r="C48" s="77">
        <f>C20+C28+C33+C39+C44</f>
        <v>3756</v>
      </c>
      <c r="G48" s="199"/>
      <c r="H48" s="34" t="s">
        <v>174</v>
      </c>
    </row>
    <row r="49" spans="3:3" x14ac:dyDescent="0.3">
      <c r="C49" s="34" t="b">
        <f>C48=C46</f>
        <v>1</v>
      </c>
    </row>
  </sheetData>
  <mergeCells count="1">
    <mergeCell ref="A1:F1"/>
  </mergeCells>
  <phoneticPr fontId="13" type="noConversion"/>
  <printOptions horizontalCentered="1" verticalCentered="1"/>
  <pageMargins left="0" right="0" top="0" bottom="0" header="0" footer="0"/>
  <pageSetup paperSize="9" scale="77" orientation="portrait" r:id="rId1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017EA4-2079-492E-B2EC-6C1B9FC995E6}">
  <sheetPr>
    <tabColor rgb="FFE977DB"/>
    <pageSetUpPr fitToPage="1"/>
  </sheetPr>
  <dimension ref="A1:H49"/>
  <sheetViews>
    <sheetView zoomScale="40" zoomScaleNormal="40" zoomScaleSheetLayoutView="75" workbookViewId="0">
      <selection activeCell="A2" sqref="A2:F47"/>
    </sheetView>
  </sheetViews>
  <sheetFormatPr defaultColWidth="9" defaultRowHeight="16.5" x14ac:dyDescent="0.3"/>
  <cols>
    <col min="1" max="1" width="24.75" style="34" customWidth="1"/>
    <col min="2" max="2" width="7.625" style="38" customWidth="1"/>
    <col min="3" max="3" width="30.625" style="34" customWidth="1"/>
    <col min="4" max="4" width="9.875" style="2" customWidth="1"/>
    <col min="5" max="5" width="11.375" style="34" customWidth="1"/>
    <col min="6" max="6" width="11.125" style="2" customWidth="1"/>
    <col min="7" max="7" width="8.375" style="34" customWidth="1"/>
    <col min="8" max="8" width="9" style="34" customWidth="1"/>
    <col min="9" max="13" width="9" style="34"/>
    <col min="14" max="14" width="10.625" style="34" customWidth="1"/>
    <col min="15" max="17" width="9" style="34"/>
    <col min="18" max="18" width="36.5" style="34" bestFit="1" customWidth="1"/>
    <col min="19" max="16384" width="9" style="34"/>
  </cols>
  <sheetData>
    <row r="1" spans="1:8" ht="25.9" customHeight="1" thickBot="1" x14ac:dyDescent="0.35">
      <c r="A1" s="270"/>
      <c r="B1" s="270"/>
      <c r="C1" s="270"/>
      <c r="D1" s="270"/>
      <c r="E1" s="270"/>
      <c r="F1" s="270"/>
    </row>
    <row r="2" spans="1:8" ht="25.9" customHeight="1" x14ac:dyDescent="0.3">
      <c r="A2" s="215">
        <f ca="1">TODAY()</f>
        <v>46314</v>
      </c>
      <c r="B2" s="256" t="s">
        <v>384</v>
      </c>
      <c r="C2" s="256"/>
      <c r="D2" s="256"/>
      <c r="E2" s="256"/>
      <c r="F2" s="257"/>
      <c r="G2" s="67"/>
      <c r="H2" s="67"/>
    </row>
    <row r="3" spans="1:8" ht="40.5" customHeight="1" x14ac:dyDescent="0.3">
      <c r="A3" s="222" t="s">
        <v>67</v>
      </c>
      <c r="B3" s="223" t="s">
        <v>13</v>
      </c>
      <c r="C3" s="235" t="s">
        <v>371</v>
      </c>
      <c r="D3" s="230" t="s">
        <v>2</v>
      </c>
      <c r="E3" s="229" t="s">
        <v>23</v>
      </c>
      <c r="F3" s="231" t="s">
        <v>14</v>
      </c>
      <c r="G3" s="67"/>
      <c r="H3" s="67"/>
    </row>
    <row r="4" spans="1:8" ht="25.35" customHeight="1" x14ac:dyDescent="0.3">
      <c r="A4" s="220" t="s">
        <v>260</v>
      </c>
      <c r="B4" s="224">
        <v>40</v>
      </c>
      <c r="C4" s="227">
        <f>IFERROR(VLOOKUP(A4,네이처몬스터피벗!A:SD,3,FALSE),0)</f>
        <v>77</v>
      </c>
      <c r="D4" s="227">
        <f t="shared" ref="D4:D18" si="0">IFERROR(ROUNDDOWN(C4/B4,0),"")</f>
        <v>1</v>
      </c>
      <c r="E4" s="51" t="s">
        <v>109</v>
      </c>
      <c r="F4" s="228">
        <f t="shared" ref="F4:F18" si="1">IFERROR(C4-(D4*B4),"")</f>
        <v>37</v>
      </c>
      <c r="G4" s="67"/>
      <c r="H4" s="67"/>
    </row>
    <row r="5" spans="1:8" ht="25.35" customHeight="1" x14ac:dyDescent="0.3">
      <c r="A5" s="221" t="s">
        <v>255</v>
      </c>
      <c r="B5" s="224">
        <f t="shared" ref="B5:B18" si="2">$B$4</f>
        <v>40</v>
      </c>
      <c r="C5" s="227">
        <f>IFERROR(VLOOKUP(A5,네이처몬스터피벗!A:SD,3,FALSE),0)</f>
        <v>525</v>
      </c>
      <c r="D5" s="227">
        <f t="shared" si="0"/>
        <v>13</v>
      </c>
      <c r="E5" s="51" t="s">
        <v>335</v>
      </c>
      <c r="F5" s="228">
        <f t="shared" si="1"/>
        <v>5</v>
      </c>
      <c r="G5" s="67"/>
      <c r="H5" s="67"/>
    </row>
    <row r="6" spans="1:8" ht="25.35" customHeight="1" x14ac:dyDescent="0.3">
      <c r="A6" s="221" t="s">
        <v>249</v>
      </c>
      <c r="B6" s="224">
        <f t="shared" si="2"/>
        <v>40</v>
      </c>
      <c r="C6" s="227">
        <f>IFERROR(VLOOKUP(A6,네이처몬스터피벗!A:SD,3,FALSE),0)</f>
        <v>246</v>
      </c>
      <c r="D6" s="227">
        <f>IFERROR(ROUNDDOWN(C6/B6,0),"")</f>
        <v>6</v>
      </c>
      <c r="E6" s="51" t="s">
        <v>272</v>
      </c>
      <c r="F6" s="228">
        <f>IFERROR(C6-(D6*B6),"")</f>
        <v>6</v>
      </c>
      <c r="G6" s="67"/>
      <c r="H6" s="67"/>
    </row>
    <row r="7" spans="1:8" ht="25.35" customHeight="1" x14ac:dyDescent="0.3">
      <c r="A7" s="221" t="s">
        <v>250</v>
      </c>
      <c r="B7" s="224">
        <f t="shared" si="2"/>
        <v>40</v>
      </c>
      <c r="C7" s="227">
        <f>IFERROR(VLOOKUP(A7,네이처몬스터피벗!A:SD,3,FALSE),0)</f>
        <v>300</v>
      </c>
      <c r="D7" s="227">
        <f>IFERROR(ROUNDDOWN(C7/B7,0),"")</f>
        <v>7</v>
      </c>
      <c r="E7" s="51" t="s">
        <v>273</v>
      </c>
      <c r="F7" s="228">
        <f>IFERROR(C7-(D7*B7),"")</f>
        <v>20</v>
      </c>
      <c r="G7" s="67"/>
      <c r="H7" s="67"/>
    </row>
    <row r="8" spans="1:8" ht="25.35" customHeight="1" x14ac:dyDescent="0.3">
      <c r="A8" s="221" t="s">
        <v>248</v>
      </c>
      <c r="B8" s="224">
        <f t="shared" si="2"/>
        <v>40</v>
      </c>
      <c r="C8" s="227">
        <f>IFERROR(VLOOKUP(A8,네이처몬스터피벗!A:SD,3,FALSE),0)</f>
        <v>168</v>
      </c>
      <c r="D8" s="227">
        <f>IFERROR(ROUNDDOWN(C8/B8,0),"")</f>
        <v>4</v>
      </c>
      <c r="E8" s="51" t="s">
        <v>271</v>
      </c>
      <c r="F8" s="228">
        <f>IFERROR(C8-(D8*B8),"")</f>
        <v>8</v>
      </c>
      <c r="G8" s="67"/>
      <c r="H8" s="67"/>
    </row>
    <row r="9" spans="1:8" ht="25.35" customHeight="1" x14ac:dyDescent="0.3">
      <c r="A9" s="221" t="s">
        <v>246</v>
      </c>
      <c r="B9" s="224">
        <f t="shared" si="2"/>
        <v>40</v>
      </c>
      <c r="C9" s="227">
        <f>IFERROR(VLOOKUP(A9,네이처몬스터피벗!A:SD,3,FALSE),0)</f>
        <v>156</v>
      </c>
      <c r="D9" s="227">
        <f t="shared" si="0"/>
        <v>3</v>
      </c>
      <c r="E9" s="51" t="s">
        <v>270</v>
      </c>
      <c r="F9" s="228">
        <f t="shared" si="1"/>
        <v>36</v>
      </c>
      <c r="G9" s="67"/>
      <c r="H9" s="67"/>
    </row>
    <row r="10" spans="1:8" ht="25.35" customHeight="1" x14ac:dyDescent="0.3">
      <c r="A10" s="221" t="s">
        <v>256</v>
      </c>
      <c r="B10" s="224">
        <f t="shared" si="2"/>
        <v>40</v>
      </c>
      <c r="C10" s="227">
        <f>IFERROR(VLOOKUP(A10,네이처몬스터피벗!A:SD,3,FALSE),0)</f>
        <v>127</v>
      </c>
      <c r="D10" s="227">
        <f>IFERROR(ROUNDDOWN(C10/B10,0),"")</f>
        <v>3</v>
      </c>
      <c r="E10" s="51" t="s">
        <v>278</v>
      </c>
      <c r="F10" s="228">
        <f>IFERROR(C10-(D10*B10),"")</f>
        <v>7</v>
      </c>
      <c r="G10" s="67"/>
      <c r="H10" s="67"/>
    </row>
    <row r="11" spans="1:8" ht="25.35" customHeight="1" x14ac:dyDescent="0.3">
      <c r="A11" s="221" t="s">
        <v>247</v>
      </c>
      <c r="B11" s="224">
        <f t="shared" si="2"/>
        <v>40</v>
      </c>
      <c r="C11" s="227">
        <f>IFERROR(VLOOKUP(A11,네이처몬스터피벗!A:SD,3,FALSE),0)</f>
        <v>193</v>
      </c>
      <c r="D11" s="227">
        <f t="shared" si="0"/>
        <v>4</v>
      </c>
      <c r="E11" s="51" t="s">
        <v>334</v>
      </c>
      <c r="F11" s="228">
        <f t="shared" si="1"/>
        <v>33</v>
      </c>
      <c r="G11" s="67"/>
      <c r="H11" s="67"/>
    </row>
    <row r="12" spans="1:8" ht="25.35" customHeight="1" x14ac:dyDescent="0.3">
      <c r="A12" s="221" t="s">
        <v>251</v>
      </c>
      <c r="B12" s="224">
        <f t="shared" si="2"/>
        <v>40</v>
      </c>
      <c r="C12" s="227">
        <f>IFERROR(VLOOKUP(A12,네이처몬스터피벗!A:SD,3,FALSE),0)</f>
        <v>288</v>
      </c>
      <c r="D12" s="227">
        <f t="shared" si="0"/>
        <v>7</v>
      </c>
      <c r="E12" s="51" t="s">
        <v>274</v>
      </c>
      <c r="F12" s="228">
        <f t="shared" si="1"/>
        <v>8</v>
      </c>
      <c r="G12" s="67"/>
      <c r="H12" s="67"/>
    </row>
    <row r="13" spans="1:8" ht="25.35" customHeight="1" x14ac:dyDescent="0.3">
      <c r="A13" s="220" t="s">
        <v>252</v>
      </c>
      <c r="B13" s="224">
        <f t="shared" si="2"/>
        <v>40</v>
      </c>
      <c r="C13" s="227">
        <f>IFERROR(VLOOKUP(A13,네이처몬스터피벗!A:SD,3,FALSE),0)</f>
        <v>268</v>
      </c>
      <c r="D13" s="227">
        <f t="shared" si="0"/>
        <v>6</v>
      </c>
      <c r="E13" s="51" t="s">
        <v>275</v>
      </c>
      <c r="F13" s="228">
        <f t="shared" si="1"/>
        <v>28</v>
      </c>
      <c r="G13" s="67"/>
      <c r="H13" s="67"/>
    </row>
    <row r="14" spans="1:8" ht="25.35" customHeight="1" x14ac:dyDescent="0.3">
      <c r="A14" s="221" t="s">
        <v>253</v>
      </c>
      <c r="B14" s="224">
        <f t="shared" si="2"/>
        <v>40</v>
      </c>
      <c r="C14" s="227">
        <f>IFERROR(VLOOKUP(A14,네이처몬스터피벗!A:SD,3,FALSE),0)</f>
        <v>291</v>
      </c>
      <c r="D14" s="227">
        <f t="shared" si="0"/>
        <v>7</v>
      </c>
      <c r="E14" s="51" t="s">
        <v>276</v>
      </c>
      <c r="F14" s="228">
        <f t="shared" si="1"/>
        <v>11</v>
      </c>
      <c r="G14" s="67"/>
      <c r="H14" s="67"/>
    </row>
    <row r="15" spans="1:8" ht="25.35" customHeight="1" x14ac:dyDescent="0.3">
      <c r="A15" s="265" t="s">
        <v>254</v>
      </c>
      <c r="B15" s="266">
        <f t="shared" si="2"/>
        <v>40</v>
      </c>
      <c r="C15" s="267">
        <f>IFERROR(VLOOKUP(A15,네이처몬스터피벗!A:SD,3,FALSE),0)</f>
        <v>377</v>
      </c>
      <c r="D15" s="267">
        <f t="shared" si="0"/>
        <v>9</v>
      </c>
      <c r="E15" s="268" t="s">
        <v>277</v>
      </c>
      <c r="F15" s="269">
        <f t="shared" si="1"/>
        <v>17</v>
      </c>
      <c r="G15" s="67"/>
      <c r="H15" s="67"/>
    </row>
    <row r="16" spans="1:8" ht="25.35" customHeight="1" x14ac:dyDescent="0.3">
      <c r="A16" s="221" t="s">
        <v>257</v>
      </c>
      <c r="B16" s="224">
        <f t="shared" si="2"/>
        <v>40</v>
      </c>
      <c r="C16" s="227">
        <f>IFERROR(VLOOKUP(A16,네이처몬스터피벗!A:SD,3,FALSE),0)</f>
        <v>132</v>
      </c>
      <c r="D16" s="227">
        <f t="shared" si="0"/>
        <v>3</v>
      </c>
      <c r="E16" s="51" t="s">
        <v>279</v>
      </c>
      <c r="F16" s="228">
        <f t="shared" si="1"/>
        <v>12</v>
      </c>
      <c r="G16" s="67"/>
      <c r="H16" s="67"/>
    </row>
    <row r="17" spans="1:8" ht="25.35" customHeight="1" x14ac:dyDescent="0.3">
      <c r="A17" s="221" t="s">
        <v>258</v>
      </c>
      <c r="B17" s="224">
        <f t="shared" si="2"/>
        <v>40</v>
      </c>
      <c r="C17" s="227">
        <f>IFERROR(VLOOKUP(A17,네이처몬스터피벗!A:SD,3,FALSE),0)</f>
        <v>118</v>
      </c>
      <c r="D17" s="227">
        <f t="shared" si="0"/>
        <v>2</v>
      </c>
      <c r="E17" s="51" t="s">
        <v>280</v>
      </c>
      <c r="F17" s="228">
        <f t="shared" si="1"/>
        <v>38</v>
      </c>
      <c r="G17" s="67"/>
      <c r="H17" s="67"/>
    </row>
    <row r="18" spans="1:8" ht="25.35" customHeight="1" x14ac:dyDescent="0.3">
      <c r="A18" s="221" t="s">
        <v>259</v>
      </c>
      <c r="B18" s="224">
        <f t="shared" si="2"/>
        <v>40</v>
      </c>
      <c r="C18" s="227">
        <f>IFERROR(VLOOKUP(A18,네이처몬스터피벗!A:SD,3,FALSE),0)</f>
        <v>135</v>
      </c>
      <c r="D18" s="227">
        <f t="shared" si="0"/>
        <v>3</v>
      </c>
      <c r="E18" s="51" t="s">
        <v>336</v>
      </c>
      <c r="F18" s="228">
        <f t="shared" si="1"/>
        <v>15</v>
      </c>
      <c r="G18" s="67"/>
      <c r="H18" s="67"/>
    </row>
    <row r="19" spans="1:8" ht="4.5" customHeight="1" x14ac:dyDescent="0.3">
      <c r="A19" s="183"/>
      <c r="B19" s="50"/>
      <c r="C19" s="50"/>
      <c r="D19" s="50"/>
      <c r="E19" s="50"/>
      <c r="F19" s="184"/>
    </row>
    <row r="20" spans="1:8" ht="32.450000000000003" customHeight="1" x14ac:dyDescent="0.3">
      <c r="A20" s="211" t="s">
        <v>122</v>
      </c>
      <c r="B20" s="225">
        <f>$B$4</f>
        <v>40</v>
      </c>
      <c r="C20" s="212">
        <f>SUM(C4:C18)</f>
        <v>3401</v>
      </c>
      <c r="D20" s="55">
        <f>IFERROR(ROUNDDOWN(C20/B20,0),"")</f>
        <v>85</v>
      </c>
      <c r="E20" s="213"/>
      <c r="F20" s="214">
        <f>IFERROR(C20-(D20*B20),"")</f>
        <v>1</v>
      </c>
    </row>
    <row r="21" spans="1:8" ht="4.5" customHeight="1" x14ac:dyDescent="0.3">
      <c r="A21" s="183"/>
      <c r="B21" s="224"/>
      <c r="C21" s="50"/>
      <c r="D21" s="50"/>
      <c r="E21" s="50"/>
      <c r="F21" s="184"/>
    </row>
    <row r="22" spans="1:8" ht="25.35" customHeight="1" x14ac:dyDescent="0.3">
      <c r="A22" s="221" t="s">
        <v>241</v>
      </c>
      <c r="B22" s="224">
        <f t="shared" ref="B22:B26" si="3">$B$4</f>
        <v>40</v>
      </c>
      <c r="C22" s="227">
        <f>IFERROR(VLOOKUP(A22,네이처몬스터피벗!A:SD,3,FALSE),0)</f>
        <v>247</v>
      </c>
      <c r="D22" s="227">
        <f>IFERROR(ROUNDDOWN(C22/B22,0),"")</f>
        <v>6</v>
      </c>
      <c r="E22" s="51" t="s">
        <v>268</v>
      </c>
      <c r="F22" s="228">
        <f>IFERROR(C22-(D22*B22),"")</f>
        <v>7</v>
      </c>
      <c r="G22" s="67"/>
      <c r="H22" s="67"/>
    </row>
    <row r="23" spans="1:8" ht="25.35" customHeight="1" x14ac:dyDescent="0.3">
      <c r="A23" s="221" t="s">
        <v>242</v>
      </c>
      <c r="B23" s="224">
        <f t="shared" si="3"/>
        <v>40</v>
      </c>
      <c r="C23" s="227">
        <f>IFERROR(VLOOKUP(A23,네이처몬스터피벗!A:SD,3,FALSE),0)</f>
        <v>128</v>
      </c>
      <c r="D23" s="227">
        <f>IFERROR(ROUNDDOWN(C23/B23,0),"")</f>
        <v>3</v>
      </c>
      <c r="E23" s="51" t="s">
        <v>337</v>
      </c>
      <c r="F23" s="228">
        <f>IFERROR(C23-(D23*B23),"")</f>
        <v>8</v>
      </c>
      <c r="G23" s="67"/>
      <c r="H23" s="67"/>
    </row>
    <row r="24" spans="1:8" ht="25.35" customHeight="1" x14ac:dyDescent="0.3">
      <c r="A24" s="221" t="s">
        <v>243</v>
      </c>
      <c r="B24" s="224">
        <f t="shared" si="3"/>
        <v>40</v>
      </c>
      <c r="C24" s="227">
        <f>IFERROR(VLOOKUP(A24,네이처몬스터피벗!A:SD,3,FALSE),0)</f>
        <v>0</v>
      </c>
      <c r="D24" s="227">
        <f>IFERROR(ROUNDDOWN(C24/B24,0),"")</f>
        <v>0</v>
      </c>
      <c r="E24" s="51" t="s">
        <v>106</v>
      </c>
      <c r="F24" s="228">
        <f>IFERROR(C24-(D24*B24),"")</f>
        <v>0</v>
      </c>
      <c r="G24" s="67"/>
      <c r="H24" s="67"/>
    </row>
    <row r="25" spans="1:8" ht="25.35" customHeight="1" x14ac:dyDescent="0.3">
      <c r="A25" s="221" t="s">
        <v>244</v>
      </c>
      <c r="B25" s="224">
        <f t="shared" si="3"/>
        <v>40</v>
      </c>
      <c r="C25" s="227">
        <f>IFERROR(VLOOKUP(A25,네이처몬스터피벗!A:SD,3,FALSE),0)</f>
        <v>180</v>
      </c>
      <c r="D25" s="227">
        <f>IFERROR(ROUNDDOWN(C25/B25,0),"")</f>
        <v>4</v>
      </c>
      <c r="E25" s="51" t="s">
        <v>269</v>
      </c>
      <c r="F25" s="228">
        <f>IFERROR(C25-(D25*B25),"")</f>
        <v>20</v>
      </c>
      <c r="G25" s="67"/>
      <c r="H25" s="67"/>
    </row>
    <row r="26" spans="1:8" ht="25.35" customHeight="1" x14ac:dyDescent="0.3">
      <c r="A26" s="221" t="s">
        <v>245</v>
      </c>
      <c r="B26" s="224">
        <f t="shared" si="3"/>
        <v>40</v>
      </c>
      <c r="C26" s="227">
        <f>IFERROR(VLOOKUP(A26,네이처몬스터피벗!A:SD,3,FALSE),0)</f>
        <v>122</v>
      </c>
      <c r="D26" s="227">
        <f>IFERROR(ROUNDDOWN(C26/B26,0),"")</f>
        <v>3</v>
      </c>
      <c r="E26" s="51" t="s">
        <v>118</v>
      </c>
      <c r="F26" s="228">
        <f>IFERROR(C26-(D26*B26),"")</f>
        <v>2</v>
      </c>
      <c r="G26" s="67"/>
      <c r="H26" s="67"/>
    </row>
    <row r="27" spans="1:8" ht="4.5" customHeight="1" x14ac:dyDescent="0.3">
      <c r="A27" s="183"/>
      <c r="B27" s="50"/>
      <c r="C27" s="50"/>
      <c r="D27" s="50"/>
      <c r="E27" s="50"/>
      <c r="F27" s="184"/>
      <c r="G27" s="67"/>
      <c r="H27" s="67"/>
    </row>
    <row r="28" spans="1:8" ht="32.450000000000003" customHeight="1" x14ac:dyDescent="0.3">
      <c r="A28" s="211" t="s">
        <v>285</v>
      </c>
      <c r="B28" s="225">
        <f>$B$4</f>
        <v>40</v>
      </c>
      <c r="C28" s="212">
        <f>SUM(C22:C26)</f>
        <v>677</v>
      </c>
      <c r="D28" s="55">
        <f>IFERROR(ROUNDDOWN(C28/B28,0),"")</f>
        <v>16</v>
      </c>
      <c r="E28" s="213"/>
      <c r="F28" s="214">
        <f>IFERROR(C28-(D28*B28),"")</f>
        <v>37</v>
      </c>
      <c r="G28" s="67"/>
      <c r="H28" s="67"/>
    </row>
    <row r="29" spans="1:8" ht="4.5" customHeight="1" x14ac:dyDescent="0.3">
      <c r="A29" s="183"/>
      <c r="B29" s="50"/>
      <c r="C29" s="50"/>
      <c r="D29" s="50"/>
      <c r="E29" s="50"/>
      <c r="F29" s="184"/>
      <c r="G29" s="67"/>
      <c r="H29" s="67"/>
    </row>
    <row r="30" spans="1:8" ht="25.35" customHeight="1" x14ac:dyDescent="0.3">
      <c r="A30" s="221" t="s">
        <v>239</v>
      </c>
      <c r="B30" s="224">
        <f t="shared" ref="B30:B31" si="4">$B$4</f>
        <v>40</v>
      </c>
      <c r="C30" s="227">
        <f>IFERROR(VLOOKUP(A30,네이처몬스터피벗!A:SD,3,FALSE),0)</f>
        <v>202</v>
      </c>
      <c r="D30" s="227">
        <f t="shared" ref="D30:D31" si="5">IFERROR(ROUNDDOWN(C30/B30,0),"")</f>
        <v>5</v>
      </c>
      <c r="E30" s="51" t="s">
        <v>266</v>
      </c>
      <c r="F30" s="228">
        <f t="shared" ref="F30:F31" si="6">IFERROR(C30-(D30*B30),"")</f>
        <v>2</v>
      </c>
      <c r="G30" s="67"/>
      <c r="H30" s="67"/>
    </row>
    <row r="31" spans="1:8" ht="25.35" customHeight="1" x14ac:dyDescent="0.3">
      <c r="A31" s="221" t="s">
        <v>240</v>
      </c>
      <c r="B31" s="224">
        <f t="shared" si="4"/>
        <v>40</v>
      </c>
      <c r="C31" s="227">
        <f>IFERROR(VLOOKUP(A31,네이처몬스터피벗!A:SD,3,FALSE),0)</f>
        <v>193</v>
      </c>
      <c r="D31" s="227">
        <f t="shared" si="5"/>
        <v>4</v>
      </c>
      <c r="E31" s="51" t="s">
        <v>267</v>
      </c>
      <c r="F31" s="228">
        <f t="shared" si="6"/>
        <v>33</v>
      </c>
      <c r="G31" s="67"/>
      <c r="H31" s="67"/>
    </row>
    <row r="32" spans="1:8" ht="4.5" customHeight="1" x14ac:dyDescent="0.3">
      <c r="A32" s="183"/>
      <c r="B32" s="50"/>
      <c r="C32" s="50"/>
      <c r="D32" s="50"/>
      <c r="E32" s="50"/>
      <c r="F32" s="184"/>
      <c r="G32" s="67"/>
      <c r="H32" s="67"/>
    </row>
    <row r="33" spans="1:8" ht="32.450000000000003" customHeight="1" x14ac:dyDescent="0.3">
      <c r="A33" s="211" t="s">
        <v>284</v>
      </c>
      <c r="B33" s="225">
        <f>$B$4</f>
        <v>40</v>
      </c>
      <c r="C33" s="212">
        <f>SUM(C30:C31)</f>
        <v>395</v>
      </c>
      <c r="D33" s="55">
        <f>IFERROR(ROUNDDOWN(C33/B33,0),"")</f>
        <v>9</v>
      </c>
      <c r="E33" s="213"/>
      <c r="F33" s="214">
        <f>IFERROR(C33-(D33*B33),"")</f>
        <v>35</v>
      </c>
      <c r="G33" s="67"/>
      <c r="H33" s="67"/>
    </row>
    <row r="34" spans="1:8" ht="4.5" customHeight="1" x14ac:dyDescent="0.3">
      <c r="A34" s="183"/>
      <c r="B34" s="224"/>
      <c r="C34" s="50"/>
      <c r="D34" s="50"/>
      <c r="E34" s="50"/>
      <c r="F34" s="184"/>
      <c r="G34" s="67"/>
      <c r="H34" s="67"/>
    </row>
    <row r="35" spans="1:8" ht="25.35" customHeight="1" x14ac:dyDescent="0.3">
      <c r="A35" s="221" t="s">
        <v>236</v>
      </c>
      <c r="B35" s="224">
        <f t="shared" ref="B35:B37" si="7">$B$4</f>
        <v>40</v>
      </c>
      <c r="C35" s="227">
        <f>IFERROR(VLOOKUP(A35,네이처몬스터피벗!A:SD,3,FALSE),0)</f>
        <v>182</v>
      </c>
      <c r="D35" s="227">
        <f t="shared" ref="D35:D37" si="8">IFERROR(ROUNDDOWN(C35/B35,0),"")</f>
        <v>4</v>
      </c>
      <c r="E35" s="51" t="s">
        <v>264</v>
      </c>
      <c r="F35" s="228">
        <f t="shared" ref="F35:F37" si="9">IFERROR(C35-(D35*B35),"")</f>
        <v>22</v>
      </c>
      <c r="G35" s="67"/>
      <c r="H35" s="67"/>
    </row>
    <row r="36" spans="1:8" ht="25.35" customHeight="1" x14ac:dyDescent="0.3">
      <c r="A36" s="221" t="s">
        <v>237</v>
      </c>
      <c r="B36" s="224">
        <f t="shared" si="7"/>
        <v>40</v>
      </c>
      <c r="C36" s="227">
        <f>IFERROR(VLOOKUP(A36,네이처몬스터피벗!A:SD,3,FALSE),0)</f>
        <v>138</v>
      </c>
      <c r="D36" s="227">
        <f t="shared" si="8"/>
        <v>3</v>
      </c>
      <c r="E36" s="51" t="s">
        <v>338</v>
      </c>
      <c r="F36" s="228">
        <f t="shared" si="9"/>
        <v>18</v>
      </c>
      <c r="G36" s="67"/>
      <c r="H36" s="67"/>
    </row>
    <row r="37" spans="1:8" ht="25.35" customHeight="1" x14ac:dyDescent="0.3">
      <c r="A37" s="221" t="s">
        <v>238</v>
      </c>
      <c r="B37" s="224">
        <f t="shared" si="7"/>
        <v>40</v>
      </c>
      <c r="C37" s="227">
        <f>IFERROR(VLOOKUP(A37,네이처몬스터피벗!A:SD,3,FALSE),0)</f>
        <v>137</v>
      </c>
      <c r="D37" s="227">
        <f t="shared" si="8"/>
        <v>3</v>
      </c>
      <c r="E37" s="51" t="s">
        <v>265</v>
      </c>
      <c r="F37" s="228">
        <f t="shared" si="9"/>
        <v>17</v>
      </c>
      <c r="G37" s="67"/>
      <c r="H37" s="67"/>
    </row>
    <row r="38" spans="1:8" ht="4.5" customHeight="1" x14ac:dyDescent="0.3">
      <c r="A38" s="183"/>
      <c r="B38" s="50"/>
      <c r="C38" s="50"/>
      <c r="D38" s="50"/>
      <c r="E38" s="50"/>
      <c r="F38" s="184"/>
      <c r="G38" s="67"/>
      <c r="H38" s="67"/>
    </row>
    <row r="39" spans="1:8" ht="32.450000000000003" customHeight="1" x14ac:dyDescent="0.3">
      <c r="A39" s="211" t="s">
        <v>283</v>
      </c>
      <c r="B39" s="225">
        <f>$B$4</f>
        <v>40</v>
      </c>
      <c r="C39" s="212">
        <f>SUM(C35:C37)</f>
        <v>457</v>
      </c>
      <c r="D39" s="55">
        <f>IFERROR(ROUNDDOWN(C39/B39,0),"")</f>
        <v>11</v>
      </c>
      <c r="E39" s="213"/>
      <c r="F39" s="214">
        <f>IFERROR(C39-(D39*B39),"")</f>
        <v>17</v>
      </c>
      <c r="G39" s="67"/>
      <c r="H39" s="67"/>
    </row>
    <row r="40" spans="1:8" ht="4.5" customHeight="1" x14ac:dyDescent="0.3">
      <c r="A40" s="183"/>
      <c r="B40" s="224"/>
      <c r="C40" s="50"/>
      <c r="D40" s="50"/>
      <c r="E40" s="50"/>
      <c r="F40" s="184"/>
      <c r="G40" s="67"/>
      <c r="H40" s="67"/>
    </row>
    <row r="41" spans="1:8" ht="25.35" customHeight="1" x14ac:dyDescent="0.3">
      <c r="A41" s="221" t="s">
        <v>261</v>
      </c>
      <c r="B41" s="224">
        <f t="shared" ref="B41:B42" si="10">$B$4</f>
        <v>40</v>
      </c>
      <c r="C41" s="227">
        <f>IFERROR(VLOOKUP(A41,네이처몬스터피벗!A:SD,3,FALSE),0)</f>
        <v>41</v>
      </c>
      <c r="D41" s="227">
        <f t="shared" ref="D41:D42" si="11">IFERROR(ROUNDDOWN(C41/B41,0),"")</f>
        <v>1</v>
      </c>
      <c r="E41" s="51" t="s">
        <v>281</v>
      </c>
      <c r="F41" s="228">
        <f t="shared" ref="F41:F42" si="12">IFERROR(C41-(D41*B41),"")</f>
        <v>1</v>
      </c>
      <c r="G41" s="67"/>
      <c r="H41" s="67"/>
    </row>
    <row r="42" spans="1:8" ht="25.35" customHeight="1" x14ac:dyDescent="0.3">
      <c r="A42" s="221" t="s">
        <v>262</v>
      </c>
      <c r="B42" s="224">
        <f t="shared" si="10"/>
        <v>40</v>
      </c>
      <c r="C42" s="227">
        <f>IFERROR(VLOOKUP(A42,네이처몬스터피벗!A:SD,3,FALSE),0)</f>
        <v>68</v>
      </c>
      <c r="D42" s="227">
        <f t="shared" si="11"/>
        <v>1</v>
      </c>
      <c r="E42" s="51" t="s">
        <v>282</v>
      </c>
      <c r="F42" s="228">
        <f t="shared" si="12"/>
        <v>28</v>
      </c>
      <c r="G42" s="67"/>
      <c r="H42" s="67"/>
    </row>
    <row r="43" spans="1:8" ht="4.5" customHeight="1" x14ac:dyDescent="0.3">
      <c r="A43" s="183"/>
      <c r="B43" s="50"/>
      <c r="C43" s="50"/>
      <c r="D43" s="50"/>
      <c r="E43" s="50"/>
      <c r="F43" s="184"/>
      <c r="G43" s="67"/>
      <c r="H43" s="67"/>
    </row>
    <row r="44" spans="1:8" ht="32.450000000000003" customHeight="1" x14ac:dyDescent="0.3">
      <c r="A44" s="211" t="s">
        <v>339</v>
      </c>
      <c r="B44" s="225">
        <f>$B$4</f>
        <v>40</v>
      </c>
      <c r="C44" s="212">
        <f>SUM(C41:C42)</f>
        <v>109</v>
      </c>
      <c r="D44" s="55">
        <f>IFERROR(ROUNDDOWN(C44/B44,0),"")</f>
        <v>2</v>
      </c>
      <c r="E44" s="213"/>
      <c r="F44" s="214">
        <f>IFERROR(C44-(D44*B44),"")</f>
        <v>29</v>
      </c>
      <c r="G44" s="67"/>
      <c r="H44" s="67"/>
    </row>
    <row r="45" spans="1:8" ht="4.5" customHeight="1" thickBot="1" x14ac:dyDescent="0.35">
      <c r="A45" s="183"/>
      <c r="B45" s="50"/>
      <c r="C45" s="50"/>
      <c r="D45" s="50"/>
      <c r="E45" s="50"/>
      <c r="F45" s="184"/>
      <c r="G45" s="67"/>
      <c r="H45" s="67"/>
    </row>
    <row r="46" spans="1:8" ht="26.25" x14ac:dyDescent="0.3">
      <c r="A46" s="87" t="s">
        <v>3</v>
      </c>
      <c r="B46" s="226">
        <f>$B$4</f>
        <v>40</v>
      </c>
      <c r="C46" s="55">
        <f>SUM(C4:C18,C35:C37,C30:C31,C22:C26,C41:C42)</f>
        <v>5039</v>
      </c>
      <c r="D46" s="54">
        <f>IFERROR(ROUNDDOWN(C46/B46,0),"")</f>
        <v>125</v>
      </c>
      <c r="E46" s="56"/>
      <c r="F46" s="121">
        <f>IFERROR(C46-(D46*B46),"")</f>
        <v>39</v>
      </c>
      <c r="G46" s="232" t="s">
        <v>110</v>
      </c>
      <c r="H46" s="233" t="s">
        <v>111</v>
      </c>
    </row>
    <row r="47" spans="1:8" ht="27" thickBot="1" x14ac:dyDescent="0.35">
      <c r="A47" s="42" t="s">
        <v>286</v>
      </c>
      <c r="B47" s="43" t="s">
        <v>173</v>
      </c>
      <c r="C47" s="40"/>
      <c r="D47" s="41">
        <f>SUM(D4:D18,D35:D37,D30:D31,D22:D26,D41:D42)</f>
        <v>115</v>
      </c>
      <c r="E47" s="48"/>
      <c r="F47" s="93">
        <f>SUM(F4:F18,F35:F37,F30:F31,F22:F26,F41:F42)</f>
        <v>439</v>
      </c>
      <c r="G47" s="216">
        <f>IFERROR(ROUNDDOWN(F47/B35,0),"")</f>
        <v>10</v>
      </c>
      <c r="H47" s="217">
        <f>IFERROR(F47-(G47*B35),"")</f>
        <v>39</v>
      </c>
    </row>
    <row r="48" spans="1:8" ht="22.5" customHeight="1" x14ac:dyDescent="0.3">
      <c r="C48" s="77">
        <f>C20+C28+C33+C39+C44</f>
        <v>5039</v>
      </c>
      <c r="G48" s="199"/>
      <c r="H48" s="34" t="s">
        <v>174</v>
      </c>
    </row>
    <row r="49" spans="3:3" x14ac:dyDescent="0.3">
      <c r="C49" s="34" t="b">
        <f>C48=C46</f>
        <v>1</v>
      </c>
    </row>
  </sheetData>
  <mergeCells count="1">
    <mergeCell ref="A1:F1"/>
  </mergeCells>
  <phoneticPr fontId="13" type="noConversion"/>
  <printOptions horizontalCentered="1" verticalCentered="1"/>
  <pageMargins left="0" right="0" top="0" bottom="0" header="0" footer="0"/>
  <pageSetup paperSize="9" scale="77" orientation="portrait" r:id="rId1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BF5599-69DE-4E04-BEA1-C99604CD3DB0}">
  <sheetPr>
    <tabColor rgb="FFE977DB"/>
    <pageSetUpPr fitToPage="1"/>
  </sheetPr>
  <dimension ref="A1:H49"/>
  <sheetViews>
    <sheetView zoomScale="40" zoomScaleNormal="40" zoomScaleSheetLayoutView="75" workbookViewId="0">
      <selection activeCell="A2" sqref="A2:F47"/>
    </sheetView>
  </sheetViews>
  <sheetFormatPr defaultColWidth="9" defaultRowHeight="16.5" x14ac:dyDescent="0.3"/>
  <cols>
    <col min="1" max="1" width="24.75" style="34" customWidth="1"/>
    <col min="2" max="2" width="7.625" style="38" customWidth="1"/>
    <col min="3" max="3" width="30.625" style="34" customWidth="1"/>
    <col min="4" max="4" width="9.875" style="2" customWidth="1"/>
    <col min="5" max="5" width="11.375" style="34" customWidth="1"/>
    <col min="6" max="6" width="11.125" style="2" customWidth="1"/>
    <col min="7" max="7" width="8.375" style="34" customWidth="1"/>
    <col min="8" max="8" width="9" style="34" customWidth="1"/>
    <col min="9" max="13" width="9" style="34"/>
    <col min="14" max="14" width="10.625" style="34" customWidth="1"/>
    <col min="15" max="17" width="9" style="34"/>
    <col min="18" max="18" width="36.5" style="34" bestFit="1" customWidth="1"/>
    <col min="19" max="16384" width="9" style="34"/>
  </cols>
  <sheetData>
    <row r="1" spans="1:8" ht="25.9" customHeight="1" thickBot="1" x14ac:dyDescent="0.35">
      <c r="A1" s="270"/>
      <c r="B1" s="270"/>
      <c r="C1" s="270"/>
      <c r="D1" s="270"/>
      <c r="E1" s="270"/>
      <c r="F1" s="270"/>
    </row>
    <row r="2" spans="1:8" ht="25.9" customHeight="1" x14ac:dyDescent="0.3">
      <c r="A2" s="215">
        <f ca="1">TODAY()</f>
        <v>46314</v>
      </c>
      <c r="B2" s="256" t="s">
        <v>384</v>
      </c>
      <c r="C2" s="256"/>
      <c r="D2" s="256"/>
      <c r="E2" s="256"/>
      <c r="F2" s="257"/>
      <c r="G2" s="67"/>
      <c r="H2" s="67"/>
    </row>
    <row r="3" spans="1:8" ht="40.5" customHeight="1" x14ac:dyDescent="0.3">
      <c r="A3" s="222" t="s">
        <v>67</v>
      </c>
      <c r="B3" s="223" t="s">
        <v>13</v>
      </c>
      <c r="C3" s="229" t="s">
        <v>341</v>
      </c>
      <c r="D3" s="230" t="s">
        <v>2</v>
      </c>
      <c r="E3" s="229" t="s">
        <v>23</v>
      </c>
      <c r="F3" s="231" t="s">
        <v>14</v>
      </c>
      <c r="G3" s="67"/>
      <c r="H3" s="67"/>
    </row>
    <row r="4" spans="1:8" ht="25.35" customHeight="1" x14ac:dyDescent="0.3">
      <c r="A4" s="220" t="s">
        <v>260</v>
      </c>
      <c r="B4" s="224">
        <v>36</v>
      </c>
      <c r="C4" s="227">
        <f>IFERROR(VLOOKUP(A4,네이처몬스터피벗!A:SD,4,FALSE),0)</f>
        <v>2</v>
      </c>
      <c r="D4" s="227">
        <f t="shared" ref="D4:D18" si="0">IFERROR(ROUNDDOWN(C4/B4,0),"")</f>
        <v>0</v>
      </c>
      <c r="E4" s="51" t="s">
        <v>109</v>
      </c>
      <c r="F4" s="228">
        <f t="shared" ref="F4:F18" si="1">IFERROR(C4-(D4*B4),"")</f>
        <v>2</v>
      </c>
      <c r="G4" s="67"/>
      <c r="H4" s="67"/>
    </row>
    <row r="5" spans="1:8" ht="25.35" customHeight="1" x14ac:dyDescent="0.3">
      <c r="A5" s="221" t="s">
        <v>255</v>
      </c>
      <c r="B5" s="224">
        <f t="shared" ref="B5:B18" si="2">$B$4</f>
        <v>36</v>
      </c>
      <c r="C5" s="227">
        <f>IFERROR(VLOOKUP(A5,네이처몬스터피벗!A:SD,4,FALSE),0)</f>
        <v>7</v>
      </c>
      <c r="D5" s="227">
        <f t="shared" si="0"/>
        <v>0</v>
      </c>
      <c r="E5" s="51" t="s">
        <v>335</v>
      </c>
      <c r="F5" s="228">
        <f t="shared" si="1"/>
        <v>7</v>
      </c>
      <c r="G5" s="67"/>
      <c r="H5" s="67"/>
    </row>
    <row r="6" spans="1:8" ht="25.35" customHeight="1" x14ac:dyDescent="0.3">
      <c r="A6" s="221" t="s">
        <v>249</v>
      </c>
      <c r="B6" s="224">
        <f t="shared" si="2"/>
        <v>36</v>
      </c>
      <c r="C6" s="227">
        <f>IFERROR(VLOOKUP(A6,네이처몬스터피벗!A:SD,4,FALSE),0)</f>
        <v>1</v>
      </c>
      <c r="D6" s="227">
        <f>IFERROR(ROUNDDOWN(C6/B6,0),"")</f>
        <v>0</v>
      </c>
      <c r="E6" s="51" t="s">
        <v>272</v>
      </c>
      <c r="F6" s="228">
        <f>IFERROR(C6-(D6*B6),"")</f>
        <v>1</v>
      </c>
      <c r="G6" s="67"/>
      <c r="H6" s="67"/>
    </row>
    <row r="7" spans="1:8" ht="25.35" customHeight="1" x14ac:dyDescent="0.3">
      <c r="A7" s="221" t="s">
        <v>250</v>
      </c>
      <c r="B7" s="224">
        <f t="shared" si="2"/>
        <v>36</v>
      </c>
      <c r="C7" s="227">
        <f>IFERROR(VLOOKUP(A7,네이처몬스터피벗!A:SD,4,FALSE),0)</f>
        <v>7</v>
      </c>
      <c r="D7" s="227">
        <f>IFERROR(ROUNDDOWN(C7/B7,0),"")</f>
        <v>0</v>
      </c>
      <c r="E7" s="51" t="s">
        <v>273</v>
      </c>
      <c r="F7" s="228">
        <f>IFERROR(C7-(D7*B7),"")</f>
        <v>7</v>
      </c>
      <c r="G7" s="67"/>
      <c r="H7" s="67"/>
    </row>
    <row r="8" spans="1:8" ht="25.35" customHeight="1" x14ac:dyDescent="0.3">
      <c r="A8" s="221" t="s">
        <v>248</v>
      </c>
      <c r="B8" s="224">
        <f t="shared" si="2"/>
        <v>36</v>
      </c>
      <c r="C8" s="227">
        <f>IFERROR(VLOOKUP(A8,네이처몬스터피벗!A:SD,4,FALSE),0)</f>
        <v>5</v>
      </c>
      <c r="D8" s="227">
        <f>IFERROR(ROUNDDOWN(C8/B8,0),"")</f>
        <v>0</v>
      </c>
      <c r="E8" s="51" t="s">
        <v>271</v>
      </c>
      <c r="F8" s="228">
        <f>IFERROR(C8-(D8*B8),"")</f>
        <v>5</v>
      </c>
      <c r="G8" s="67"/>
      <c r="H8" s="67"/>
    </row>
    <row r="9" spans="1:8" ht="25.35" customHeight="1" x14ac:dyDescent="0.3">
      <c r="A9" s="221" t="s">
        <v>246</v>
      </c>
      <c r="B9" s="224">
        <f t="shared" si="2"/>
        <v>36</v>
      </c>
      <c r="C9" s="227">
        <f>IFERROR(VLOOKUP(A9,네이처몬스터피벗!A:SD,4,FALSE),0)</f>
        <v>4</v>
      </c>
      <c r="D9" s="227">
        <f t="shared" si="0"/>
        <v>0</v>
      </c>
      <c r="E9" s="51" t="s">
        <v>270</v>
      </c>
      <c r="F9" s="228">
        <f t="shared" si="1"/>
        <v>4</v>
      </c>
      <c r="G9" s="67"/>
      <c r="H9" s="67"/>
    </row>
    <row r="10" spans="1:8" ht="25.35" customHeight="1" x14ac:dyDescent="0.3">
      <c r="A10" s="221" t="s">
        <v>256</v>
      </c>
      <c r="B10" s="224">
        <f t="shared" si="2"/>
        <v>36</v>
      </c>
      <c r="C10" s="227">
        <f>IFERROR(VLOOKUP(A10,네이처몬스터피벗!A:SD,4,FALSE),0)</f>
        <v>3</v>
      </c>
      <c r="D10" s="227">
        <f>IFERROR(ROUNDDOWN(C10/B10,0),"")</f>
        <v>0</v>
      </c>
      <c r="E10" s="51" t="s">
        <v>278</v>
      </c>
      <c r="F10" s="228">
        <f>IFERROR(C10-(D10*B10),"")</f>
        <v>3</v>
      </c>
      <c r="G10" s="67"/>
      <c r="H10" s="67"/>
    </row>
    <row r="11" spans="1:8" ht="25.35" customHeight="1" x14ac:dyDescent="0.3">
      <c r="A11" s="221" t="s">
        <v>247</v>
      </c>
      <c r="B11" s="224">
        <f t="shared" si="2"/>
        <v>36</v>
      </c>
      <c r="C11" s="227">
        <f>IFERROR(VLOOKUP(A11,네이처몬스터피벗!A:SD,4,FALSE),0)</f>
        <v>0</v>
      </c>
      <c r="D11" s="227">
        <f t="shared" si="0"/>
        <v>0</v>
      </c>
      <c r="E11" s="51" t="s">
        <v>334</v>
      </c>
      <c r="F11" s="228">
        <f t="shared" si="1"/>
        <v>0</v>
      </c>
      <c r="G11" s="67"/>
      <c r="H11" s="67"/>
    </row>
    <row r="12" spans="1:8" ht="25.35" customHeight="1" x14ac:dyDescent="0.3">
      <c r="A12" s="221" t="s">
        <v>251</v>
      </c>
      <c r="B12" s="224">
        <f t="shared" si="2"/>
        <v>36</v>
      </c>
      <c r="C12" s="227">
        <f>IFERROR(VLOOKUP(A12,네이처몬스터피벗!A:SD,4,FALSE),0)</f>
        <v>2</v>
      </c>
      <c r="D12" s="227">
        <f t="shared" si="0"/>
        <v>0</v>
      </c>
      <c r="E12" s="51" t="s">
        <v>274</v>
      </c>
      <c r="F12" s="228">
        <f t="shared" si="1"/>
        <v>2</v>
      </c>
      <c r="G12" s="67"/>
      <c r="H12" s="67"/>
    </row>
    <row r="13" spans="1:8" ht="25.35" customHeight="1" x14ac:dyDescent="0.3">
      <c r="A13" s="220" t="s">
        <v>252</v>
      </c>
      <c r="B13" s="224">
        <f t="shared" si="2"/>
        <v>36</v>
      </c>
      <c r="C13" s="227">
        <f>IFERROR(VLOOKUP(A13,네이처몬스터피벗!A:SD,4,FALSE),0)</f>
        <v>2</v>
      </c>
      <c r="D13" s="227">
        <f t="shared" si="0"/>
        <v>0</v>
      </c>
      <c r="E13" s="51" t="s">
        <v>275</v>
      </c>
      <c r="F13" s="228">
        <f t="shared" si="1"/>
        <v>2</v>
      </c>
      <c r="G13" s="67"/>
      <c r="H13" s="67"/>
    </row>
    <row r="14" spans="1:8" ht="25.35" customHeight="1" x14ac:dyDescent="0.3">
      <c r="A14" s="221" t="s">
        <v>253</v>
      </c>
      <c r="B14" s="224">
        <f t="shared" si="2"/>
        <v>36</v>
      </c>
      <c r="C14" s="227">
        <f>IFERROR(VLOOKUP(A14,네이처몬스터피벗!A:SD,4,FALSE),0)</f>
        <v>1</v>
      </c>
      <c r="D14" s="227">
        <f t="shared" si="0"/>
        <v>0</v>
      </c>
      <c r="E14" s="51" t="s">
        <v>276</v>
      </c>
      <c r="F14" s="228">
        <f t="shared" si="1"/>
        <v>1</v>
      </c>
      <c r="G14" s="67"/>
      <c r="H14" s="67"/>
    </row>
    <row r="15" spans="1:8" ht="25.35" customHeight="1" x14ac:dyDescent="0.3">
      <c r="A15" s="221" t="s">
        <v>254</v>
      </c>
      <c r="B15" s="224">
        <f t="shared" si="2"/>
        <v>36</v>
      </c>
      <c r="C15" s="227">
        <f>IFERROR(VLOOKUP(A15,네이처몬스터피벗!A:SD,4,FALSE),0)</f>
        <v>2</v>
      </c>
      <c r="D15" s="227">
        <f t="shared" si="0"/>
        <v>0</v>
      </c>
      <c r="E15" s="51" t="s">
        <v>277</v>
      </c>
      <c r="F15" s="228">
        <f t="shared" si="1"/>
        <v>2</v>
      </c>
      <c r="G15" s="67"/>
      <c r="H15" s="67"/>
    </row>
    <row r="16" spans="1:8" ht="25.35" customHeight="1" x14ac:dyDescent="0.3">
      <c r="A16" s="221" t="s">
        <v>257</v>
      </c>
      <c r="B16" s="224">
        <f t="shared" si="2"/>
        <v>36</v>
      </c>
      <c r="C16" s="227">
        <f>IFERROR(VLOOKUP(A16,네이처몬스터피벗!A:SD,4,FALSE),0)</f>
        <v>4</v>
      </c>
      <c r="D16" s="227">
        <f t="shared" si="0"/>
        <v>0</v>
      </c>
      <c r="E16" s="51" t="s">
        <v>279</v>
      </c>
      <c r="F16" s="228">
        <f t="shared" si="1"/>
        <v>4</v>
      </c>
      <c r="G16" s="67"/>
      <c r="H16" s="67"/>
    </row>
    <row r="17" spans="1:8" ht="25.35" customHeight="1" x14ac:dyDescent="0.3">
      <c r="A17" s="221" t="s">
        <v>258</v>
      </c>
      <c r="B17" s="224">
        <f t="shared" si="2"/>
        <v>36</v>
      </c>
      <c r="C17" s="227">
        <f>IFERROR(VLOOKUP(A17,네이처몬스터피벗!A:SD,4,FALSE),0)</f>
        <v>2</v>
      </c>
      <c r="D17" s="227">
        <f t="shared" si="0"/>
        <v>0</v>
      </c>
      <c r="E17" s="51" t="s">
        <v>280</v>
      </c>
      <c r="F17" s="228">
        <f t="shared" si="1"/>
        <v>2</v>
      </c>
      <c r="G17" s="67"/>
      <c r="H17" s="67"/>
    </row>
    <row r="18" spans="1:8" ht="25.35" customHeight="1" x14ac:dyDescent="0.3">
      <c r="A18" s="221" t="s">
        <v>259</v>
      </c>
      <c r="B18" s="224">
        <f t="shared" si="2"/>
        <v>36</v>
      </c>
      <c r="C18" s="227">
        <f>IFERROR(VLOOKUP(A18,네이처몬스터피벗!A:SD,4,FALSE),0)</f>
        <v>2</v>
      </c>
      <c r="D18" s="227">
        <f t="shared" si="0"/>
        <v>0</v>
      </c>
      <c r="E18" s="51" t="s">
        <v>336</v>
      </c>
      <c r="F18" s="228">
        <f t="shared" si="1"/>
        <v>2</v>
      </c>
      <c r="G18" s="67"/>
      <c r="H18" s="67"/>
    </row>
    <row r="19" spans="1:8" ht="4.5" customHeight="1" x14ac:dyDescent="0.3">
      <c r="A19" s="183"/>
      <c r="B19" s="50"/>
      <c r="C19" s="50"/>
      <c r="D19" s="50"/>
      <c r="E19" s="50"/>
      <c r="F19" s="184"/>
    </row>
    <row r="20" spans="1:8" ht="32.450000000000003" customHeight="1" x14ac:dyDescent="0.3">
      <c r="A20" s="211" t="s">
        <v>122</v>
      </c>
      <c r="B20" s="225">
        <f>$B$4</f>
        <v>36</v>
      </c>
      <c r="C20" s="212">
        <f>SUM(C4:C18)</f>
        <v>44</v>
      </c>
      <c r="D20" s="55">
        <f>IFERROR(ROUNDDOWN(C20/B20,0),"")</f>
        <v>1</v>
      </c>
      <c r="E20" s="213"/>
      <c r="F20" s="214">
        <f>IFERROR(C20-(D20*B20),"")</f>
        <v>8</v>
      </c>
    </row>
    <row r="21" spans="1:8" ht="4.5" customHeight="1" x14ac:dyDescent="0.3">
      <c r="A21" s="183"/>
      <c r="B21" s="224"/>
      <c r="C21" s="50"/>
      <c r="D21" s="50"/>
      <c r="E21" s="50"/>
      <c r="F21" s="184"/>
    </row>
    <row r="22" spans="1:8" ht="25.35" customHeight="1" x14ac:dyDescent="0.3">
      <c r="A22" s="221" t="s">
        <v>241</v>
      </c>
      <c r="B22" s="224">
        <f t="shared" ref="B22:B26" si="3">$B$4</f>
        <v>36</v>
      </c>
      <c r="C22" s="227">
        <f>IFERROR(VLOOKUP(A22,네이처몬스터피벗!A:SD,4,FALSE),0)</f>
        <v>1</v>
      </c>
      <c r="D22" s="227">
        <f>IFERROR(ROUNDDOWN(C22/B22,0),"")</f>
        <v>0</v>
      </c>
      <c r="E22" s="51" t="s">
        <v>268</v>
      </c>
      <c r="F22" s="228">
        <f>IFERROR(C22-(D22*B22),"")</f>
        <v>1</v>
      </c>
      <c r="G22" s="67"/>
      <c r="H22" s="67"/>
    </row>
    <row r="23" spans="1:8" ht="25.35" customHeight="1" x14ac:dyDescent="0.3">
      <c r="A23" s="221" t="s">
        <v>242</v>
      </c>
      <c r="B23" s="224">
        <f t="shared" si="3"/>
        <v>36</v>
      </c>
      <c r="C23" s="227">
        <f>IFERROR(VLOOKUP(A23,네이처몬스터피벗!A:SD,4,FALSE),0)</f>
        <v>2</v>
      </c>
      <c r="D23" s="227">
        <f>IFERROR(ROUNDDOWN(C23/B23,0),"")</f>
        <v>0</v>
      </c>
      <c r="E23" s="51" t="s">
        <v>337</v>
      </c>
      <c r="F23" s="228">
        <f>IFERROR(C23-(D23*B23),"")</f>
        <v>2</v>
      </c>
      <c r="G23" s="67"/>
      <c r="H23" s="67"/>
    </row>
    <row r="24" spans="1:8" ht="25.35" customHeight="1" x14ac:dyDescent="0.3">
      <c r="A24" s="221" t="s">
        <v>243</v>
      </c>
      <c r="B24" s="224">
        <f t="shared" si="3"/>
        <v>36</v>
      </c>
      <c r="C24" s="227">
        <f>IFERROR(VLOOKUP(A24,네이처몬스터피벗!A:SD,4,FALSE),0)</f>
        <v>0</v>
      </c>
      <c r="D24" s="227">
        <f>IFERROR(ROUNDDOWN(C24/B24,0),"")</f>
        <v>0</v>
      </c>
      <c r="E24" s="51" t="s">
        <v>106</v>
      </c>
      <c r="F24" s="228">
        <f>IFERROR(C24-(D24*B24),"")</f>
        <v>0</v>
      </c>
      <c r="G24" s="67"/>
      <c r="H24" s="67"/>
    </row>
    <row r="25" spans="1:8" ht="25.35" customHeight="1" x14ac:dyDescent="0.3">
      <c r="A25" s="221" t="s">
        <v>244</v>
      </c>
      <c r="B25" s="224">
        <f t="shared" si="3"/>
        <v>36</v>
      </c>
      <c r="C25" s="227">
        <f>IFERROR(VLOOKUP(A25,네이처몬스터피벗!A:SD,4,FALSE),0)</f>
        <v>3</v>
      </c>
      <c r="D25" s="227">
        <f>IFERROR(ROUNDDOWN(C25/B25,0),"")</f>
        <v>0</v>
      </c>
      <c r="E25" s="51" t="s">
        <v>269</v>
      </c>
      <c r="F25" s="228">
        <f>IFERROR(C25-(D25*B25),"")</f>
        <v>3</v>
      </c>
      <c r="G25" s="67"/>
      <c r="H25" s="67"/>
    </row>
    <row r="26" spans="1:8" ht="25.35" customHeight="1" x14ac:dyDescent="0.3">
      <c r="A26" s="221" t="s">
        <v>245</v>
      </c>
      <c r="B26" s="224">
        <f t="shared" si="3"/>
        <v>36</v>
      </c>
      <c r="C26" s="227">
        <f>IFERROR(VLOOKUP(A26,네이처몬스터피벗!A:SD,4,FALSE),0)</f>
        <v>1</v>
      </c>
      <c r="D26" s="227">
        <f>IFERROR(ROUNDDOWN(C26/B26,0),"")</f>
        <v>0</v>
      </c>
      <c r="E26" s="51" t="s">
        <v>118</v>
      </c>
      <c r="F26" s="228">
        <f>IFERROR(C26-(D26*B26),"")</f>
        <v>1</v>
      </c>
      <c r="G26" s="67"/>
      <c r="H26" s="67"/>
    </row>
    <row r="27" spans="1:8" ht="4.5" customHeight="1" x14ac:dyDescent="0.3">
      <c r="A27" s="183"/>
      <c r="B27" s="50"/>
      <c r="C27" s="50"/>
      <c r="D27" s="50"/>
      <c r="E27" s="50"/>
      <c r="F27" s="184"/>
      <c r="G27" s="67"/>
      <c r="H27" s="67"/>
    </row>
    <row r="28" spans="1:8" ht="32.450000000000003" customHeight="1" x14ac:dyDescent="0.3">
      <c r="A28" s="211" t="s">
        <v>285</v>
      </c>
      <c r="B28" s="225">
        <f>$B$4</f>
        <v>36</v>
      </c>
      <c r="C28" s="212">
        <f>SUM(C22:C26)</f>
        <v>7</v>
      </c>
      <c r="D28" s="55">
        <f>IFERROR(ROUNDDOWN(C28/B28,0),"")</f>
        <v>0</v>
      </c>
      <c r="E28" s="213"/>
      <c r="F28" s="214">
        <f>IFERROR(C28-(D28*B28),"")</f>
        <v>7</v>
      </c>
      <c r="G28" s="67"/>
      <c r="H28" s="67"/>
    </row>
    <row r="29" spans="1:8" ht="4.5" customHeight="1" x14ac:dyDescent="0.3">
      <c r="A29" s="183"/>
      <c r="B29" s="50"/>
      <c r="C29" s="50"/>
      <c r="D29" s="50"/>
      <c r="E29" s="50"/>
      <c r="F29" s="184"/>
      <c r="G29" s="67"/>
      <c r="H29" s="67"/>
    </row>
    <row r="30" spans="1:8" ht="25.35" customHeight="1" x14ac:dyDescent="0.3">
      <c r="A30" s="221" t="s">
        <v>239</v>
      </c>
      <c r="B30" s="224">
        <f t="shared" ref="B30:B31" si="4">$B$4</f>
        <v>36</v>
      </c>
      <c r="C30" s="227">
        <f>IFERROR(VLOOKUP(A30,네이처몬스터피벗!A:SD,4,FALSE),0)</f>
        <v>1</v>
      </c>
      <c r="D30" s="227">
        <f t="shared" ref="D30:D31" si="5">IFERROR(ROUNDDOWN(C30/B30,0),"")</f>
        <v>0</v>
      </c>
      <c r="E30" s="51" t="s">
        <v>266</v>
      </c>
      <c r="F30" s="228">
        <f t="shared" ref="F30:F31" si="6">IFERROR(C30-(D30*B30),"")</f>
        <v>1</v>
      </c>
      <c r="G30" s="67"/>
      <c r="H30" s="67"/>
    </row>
    <row r="31" spans="1:8" ht="25.35" customHeight="1" x14ac:dyDescent="0.3">
      <c r="A31" s="221" t="s">
        <v>240</v>
      </c>
      <c r="B31" s="224">
        <f t="shared" si="4"/>
        <v>36</v>
      </c>
      <c r="C31" s="227">
        <f>IFERROR(VLOOKUP(A31,네이처몬스터피벗!A:SD,4,FALSE),0)</f>
        <v>3</v>
      </c>
      <c r="D31" s="227">
        <f t="shared" si="5"/>
        <v>0</v>
      </c>
      <c r="E31" s="51" t="s">
        <v>267</v>
      </c>
      <c r="F31" s="228">
        <f t="shared" si="6"/>
        <v>3</v>
      </c>
      <c r="G31" s="67"/>
      <c r="H31" s="67"/>
    </row>
    <row r="32" spans="1:8" ht="4.5" customHeight="1" x14ac:dyDescent="0.3">
      <c r="A32" s="183"/>
      <c r="B32" s="50"/>
      <c r="C32" s="50"/>
      <c r="D32" s="50"/>
      <c r="E32" s="50"/>
      <c r="F32" s="184"/>
      <c r="G32" s="67"/>
      <c r="H32" s="67"/>
    </row>
    <row r="33" spans="1:8" ht="32.450000000000003" customHeight="1" x14ac:dyDescent="0.3">
      <c r="A33" s="211" t="s">
        <v>284</v>
      </c>
      <c r="B33" s="225">
        <f>$B$4</f>
        <v>36</v>
      </c>
      <c r="C33" s="212">
        <f>SUM(C30:C31)</f>
        <v>4</v>
      </c>
      <c r="D33" s="55">
        <f>IFERROR(ROUNDDOWN(C33/B33,0),"")</f>
        <v>0</v>
      </c>
      <c r="E33" s="213"/>
      <c r="F33" s="214">
        <f>IFERROR(C33-(D33*B33),"")</f>
        <v>4</v>
      </c>
      <c r="G33" s="67"/>
      <c r="H33" s="67"/>
    </row>
    <row r="34" spans="1:8" ht="4.5" customHeight="1" x14ac:dyDescent="0.3">
      <c r="A34" s="183"/>
      <c r="B34" s="224"/>
      <c r="C34" s="50"/>
      <c r="D34" s="50"/>
      <c r="E34" s="50"/>
      <c r="F34" s="184"/>
      <c r="G34" s="67"/>
      <c r="H34" s="67"/>
    </row>
    <row r="35" spans="1:8" ht="25.35" customHeight="1" x14ac:dyDescent="0.3">
      <c r="A35" s="221" t="s">
        <v>236</v>
      </c>
      <c r="B35" s="224">
        <f t="shared" ref="B35:B37" si="7">$B$4</f>
        <v>36</v>
      </c>
      <c r="C35" s="227">
        <f>IFERROR(VLOOKUP(A35,네이처몬스터피벗!A:SD,4,FALSE),0)</f>
        <v>2</v>
      </c>
      <c r="D35" s="227">
        <f t="shared" ref="D35:D37" si="8">IFERROR(ROUNDDOWN(C35/B35,0),"")</f>
        <v>0</v>
      </c>
      <c r="E35" s="51" t="s">
        <v>264</v>
      </c>
      <c r="F35" s="228">
        <f t="shared" ref="F35:F37" si="9">IFERROR(C35-(D35*B35),"")</f>
        <v>2</v>
      </c>
      <c r="G35" s="67"/>
      <c r="H35" s="67"/>
    </row>
    <row r="36" spans="1:8" ht="25.35" customHeight="1" x14ac:dyDescent="0.3">
      <c r="A36" s="221" t="s">
        <v>237</v>
      </c>
      <c r="B36" s="224">
        <f t="shared" si="7"/>
        <v>36</v>
      </c>
      <c r="C36" s="227">
        <f>IFERROR(VLOOKUP(A36,네이처몬스터피벗!A:SD,4,FALSE),0)</f>
        <v>1</v>
      </c>
      <c r="D36" s="227">
        <f t="shared" si="8"/>
        <v>0</v>
      </c>
      <c r="E36" s="51" t="s">
        <v>338</v>
      </c>
      <c r="F36" s="228">
        <f t="shared" si="9"/>
        <v>1</v>
      </c>
      <c r="G36" s="67"/>
      <c r="H36" s="67"/>
    </row>
    <row r="37" spans="1:8" ht="25.35" customHeight="1" x14ac:dyDescent="0.3">
      <c r="A37" s="221" t="s">
        <v>238</v>
      </c>
      <c r="B37" s="224">
        <f t="shared" si="7"/>
        <v>36</v>
      </c>
      <c r="C37" s="227">
        <f>IFERROR(VLOOKUP(A37,네이처몬스터피벗!A:SD,4,FALSE),0)</f>
        <v>1</v>
      </c>
      <c r="D37" s="227">
        <f t="shared" si="8"/>
        <v>0</v>
      </c>
      <c r="E37" s="51" t="s">
        <v>265</v>
      </c>
      <c r="F37" s="228">
        <f t="shared" si="9"/>
        <v>1</v>
      </c>
      <c r="G37" s="67"/>
      <c r="H37" s="67"/>
    </row>
    <row r="38" spans="1:8" ht="4.5" customHeight="1" x14ac:dyDescent="0.3">
      <c r="A38" s="183"/>
      <c r="B38" s="50"/>
      <c r="C38" s="50"/>
      <c r="D38" s="50"/>
      <c r="E38" s="50"/>
      <c r="F38" s="184"/>
      <c r="G38" s="67"/>
      <c r="H38" s="67"/>
    </row>
    <row r="39" spans="1:8" ht="32.450000000000003" customHeight="1" x14ac:dyDescent="0.3">
      <c r="A39" s="211" t="s">
        <v>283</v>
      </c>
      <c r="B39" s="225">
        <f>$B$4</f>
        <v>36</v>
      </c>
      <c r="C39" s="212">
        <f>SUM(C35:C37)</f>
        <v>4</v>
      </c>
      <c r="D39" s="55">
        <f>IFERROR(ROUNDDOWN(C39/B39,0),"")</f>
        <v>0</v>
      </c>
      <c r="E39" s="213"/>
      <c r="F39" s="214">
        <f>IFERROR(C39-(D39*B39),"")</f>
        <v>4</v>
      </c>
      <c r="G39" s="67"/>
      <c r="H39" s="67"/>
    </row>
    <row r="40" spans="1:8" ht="4.5" customHeight="1" x14ac:dyDescent="0.3">
      <c r="A40" s="183"/>
      <c r="B40" s="224"/>
      <c r="C40" s="50"/>
      <c r="D40" s="50"/>
      <c r="E40" s="50"/>
      <c r="F40" s="184"/>
      <c r="G40" s="67"/>
      <c r="H40" s="67"/>
    </row>
    <row r="41" spans="1:8" ht="25.35" customHeight="1" x14ac:dyDescent="0.3">
      <c r="A41" s="221" t="s">
        <v>261</v>
      </c>
      <c r="B41" s="224">
        <f t="shared" ref="B41:B42" si="10">$B$4</f>
        <v>36</v>
      </c>
      <c r="C41" s="227">
        <f>IFERROR(VLOOKUP(A41,네이처몬스터피벗!A:SD,4,FALSE),0)</f>
        <v>0</v>
      </c>
      <c r="D41" s="227">
        <f t="shared" ref="D41:D42" si="11">IFERROR(ROUNDDOWN(C41/B41,0),"")</f>
        <v>0</v>
      </c>
      <c r="E41" s="51" t="s">
        <v>281</v>
      </c>
      <c r="F41" s="228">
        <f t="shared" ref="F41:F42" si="12">IFERROR(C41-(D41*B41),"")</f>
        <v>0</v>
      </c>
      <c r="G41" s="67"/>
      <c r="H41" s="67"/>
    </row>
    <row r="42" spans="1:8" ht="25.35" customHeight="1" x14ac:dyDescent="0.3">
      <c r="A42" s="221" t="s">
        <v>262</v>
      </c>
      <c r="B42" s="224">
        <f t="shared" si="10"/>
        <v>36</v>
      </c>
      <c r="C42" s="227">
        <f>IFERROR(VLOOKUP(A42,네이처몬스터피벗!A:SD,4,FALSE),0)</f>
        <v>2</v>
      </c>
      <c r="D42" s="227">
        <f t="shared" si="11"/>
        <v>0</v>
      </c>
      <c r="E42" s="51" t="s">
        <v>282</v>
      </c>
      <c r="F42" s="228">
        <f t="shared" si="12"/>
        <v>2</v>
      </c>
      <c r="G42" s="67"/>
      <c r="H42" s="67"/>
    </row>
    <row r="43" spans="1:8" ht="4.5" customHeight="1" x14ac:dyDescent="0.3">
      <c r="A43" s="183"/>
      <c r="B43" s="50"/>
      <c r="C43" s="50"/>
      <c r="D43" s="50"/>
      <c r="E43" s="50"/>
      <c r="F43" s="184"/>
      <c r="G43" s="67"/>
      <c r="H43" s="67"/>
    </row>
    <row r="44" spans="1:8" ht="32.450000000000003" customHeight="1" x14ac:dyDescent="0.3">
      <c r="A44" s="211" t="s">
        <v>339</v>
      </c>
      <c r="B44" s="225">
        <f>$B$4</f>
        <v>36</v>
      </c>
      <c r="C44" s="212">
        <f>SUM(C41:C42)</f>
        <v>2</v>
      </c>
      <c r="D44" s="55">
        <f>IFERROR(ROUNDDOWN(C44/B44,0),"")</f>
        <v>0</v>
      </c>
      <c r="E44" s="213"/>
      <c r="F44" s="214">
        <f>IFERROR(C44-(D44*B44),"")</f>
        <v>2</v>
      </c>
      <c r="G44" s="67"/>
      <c r="H44" s="67"/>
    </row>
    <row r="45" spans="1:8" ht="4.5" customHeight="1" thickBot="1" x14ac:dyDescent="0.35">
      <c r="A45" s="183"/>
      <c r="B45" s="50"/>
      <c r="C45" s="50"/>
      <c r="D45" s="50"/>
      <c r="E45" s="50"/>
      <c r="F45" s="184"/>
      <c r="G45" s="67"/>
      <c r="H45" s="67"/>
    </row>
    <row r="46" spans="1:8" ht="26.25" x14ac:dyDescent="0.3">
      <c r="A46" s="87" t="s">
        <v>3</v>
      </c>
      <c r="B46" s="226">
        <f>$B$4</f>
        <v>36</v>
      </c>
      <c r="C46" s="55">
        <f>SUM(C4:C18,C35:C37,C30:C31,C22:C26,C41:C42)</f>
        <v>61</v>
      </c>
      <c r="D46" s="54">
        <f>IFERROR(ROUNDDOWN(C46/B46,0),"")</f>
        <v>1</v>
      </c>
      <c r="E46" s="56"/>
      <c r="F46" s="121">
        <f>IFERROR(C46-(D46*B46),"")</f>
        <v>25</v>
      </c>
      <c r="G46" s="232" t="s">
        <v>110</v>
      </c>
      <c r="H46" s="233" t="s">
        <v>111</v>
      </c>
    </row>
    <row r="47" spans="1:8" ht="27" thickBot="1" x14ac:dyDescent="0.35">
      <c r="A47" s="42" t="s">
        <v>286</v>
      </c>
      <c r="B47" s="43" t="s">
        <v>173</v>
      </c>
      <c r="C47" s="40"/>
      <c r="D47" s="41">
        <f>SUM(D4:D18,D35:D37,D30:D31,D22:D26,D41:D42)</f>
        <v>0</v>
      </c>
      <c r="E47" s="48"/>
      <c r="F47" s="93">
        <f>SUM(F4:F18,F35:F37,F30:F31,F22:F26,F41:F42)</f>
        <v>61</v>
      </c>
      <c r="G47" s="216">
        <f>IFERROR(ROUNDDOWN(F47/B35,0),"")</f>
        <v>1</v>
      </c>
      <c r="H47" s="217">
        <f>IFERROR(F47-(G47*B35),"")</f>
        <v>25</v>
      </c>
    </row>
    <row r="48" spans="1:8" ht="22.5" customHeight="1" x14ac:dyDescent="0.3">
      <c r="C48" s="77">
        <f>C20+C28+C33+C39+C44</f>
        <v>61</v>
      </c>
      <c r="G48" s="199"/>
      <c r="H48" s="34" t="s">
        <v>174</v>
      </c>
    </row>
    <row r="49" spans="3:3" x14ac:dyDescent="0.3">
      <c r="C49" s="34" t="b">
        <f>C48=C46</f>
        <v>1</v>
      </c>
    </row>
  </sheetData>
  <mergeCells count="1">
    <mergeCell ref="A1:F1"/>
  </mergeCells>
  <phoneticPr fontId="13" type="noConversion"/>
  <printOptions horizontalCentered="1" verticalCentered="1"/>
  <pageMargins left="0" right="0" top="0" bottom="0" header="0" footer="0"/>
  <pageSetup paperSize="9" scale="77" orientation="portrait" r:id="rId1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BB070F-D80F-4128-B2FF-6A5EA46EA01D}">
  <sheetPr>
    <tabColor rgb="FFE977DB"/>
    <pageSetUpPr fitToPage="1"/>
  </sheetPr>
  <dimension ref="A1:H49"/>
  <sheetViews>
    <sheetView zoomScale="40" zoomScaleNormal="40" zoomScaleSheetLayoutView="75" workbookViewId="0">
      <selection activeCell="A2" sqref="A2:F47"/>
    </sheetView>
  </sheetViews>
  <sheetFormatPr defaultColWidth="9" defaultRowHeight="16.5" x14ac:dyDescent="0.3"/>
  <cols>
    <col min="1" max="1" width="24.75" style="34" customWidth="1"/>
    <col min="2" max="2" width="7.625" style="38" customWidth="1"/>
    <col min="3" max="3" width="30.625" style="34" customWidth="1"/>
    <col min="4" max="4" width="9.875" style="2" customWidth="1"/>
    <col min="5" max="5" width="11.375" style="34" customWidth="1"/>
    <col min="6" max="6" width="11.125" style="2" customWidth="1"/>
    <col min="7" max="7" width="8.375" style="34" customWidth="1"/>
    <col min="8" max="8" width="9" style="34" customWidth="1"/>
    <col min="9" max="13" width="9" style="34"/>
    <col min="14" max="14" width="10.625" style="34" customWidth="1"/>
    <col min="15" max="17" width="9" style="34"/>
    <col min="18" max="18" width="36.5" style="34" bestFit="1" customWidth="1"/>
    <col min="19" max="16384" width="9" style="34"/>
  </cols>
  <sheetData>
    <row r="1" spans="1:8" ht="25.9" customHeight="1" thickBot="1" x14ac:dyDescent="0.35">
      <c r="A1" s="270"/>
      <c r="B1" s="270"/>
      <c r="C1" s="270"/>
      <c r="D1" s="270"/>
      <c r="E1" s="270"/>
      <c r="F1" s="270"/>
    </row>
    <row r="2" spans="1:8" ht="25.9" customHeight="1" x14ac:dyDescent="0.3">
      <c r="A2" s="215">
        <f ca="1">TODAY()</f>
        <v>46314</v>
      </c>
      <c r="B2" s="256" t="s">
        <v>384</v>
      </c>
      <c r="C2" s="256"/>
      <c r="D2" s="256"/>
      <c r="E2" s="256"/>
      <c r="F2" s="257"/>
      <c r="G2" s="67"/>
      <c r="H2" s="67"/>
    </row>
    <row r="3" spans="1:8" ht="40.5" customHeight="1" x14ac:dyDescent="0.3">
      <c r="A3" s="222" t="s">
        <v>67</v>
      </c>
      <c r="B3" s="223" t="s">
        <v>13</v>
      </c>
      <c r="C3" s="235" t="s">
        <v>363</v>
      </c>
      <c r="D3" s="230" t="s">
        <v>2</v>
      </c>
      <c r="E3" s="229" t="s">
        <v>23</v>
      </c>
      <c r="F3" s="231" t="s">
        <v>14</v>
      </c>
      <c r="G3" s="67"/>
      <c r="H3" s="67"/>
    </row>
    <row r="4" spans="1:8" ht="25.35" customHeight="1" x14ac:dyDescent="0.3">
      <c r="A4" s="220" t="s">
        <v>260</v>
      </c>
      <c r="B4" s="224">
        <v>36</v>
      </c>
      <c r="C4" s="227">
        <f>IFERROR(VLOOKUP(A4,네이처몬스터피벗!A:SD,5,FALSE),0)</f>
        <v>1</v>
      </c>
      <c r="D4" s="227">
        <f t="shared" ref="D4:D18" si="0">IFERROR(ROUNDDOWN(C4/B4,0),"")</f>
        <v>0</v>
      </c>
      <c r="E4" s="51" t="s">
        <v>109</v>
      </c>
      <c r="F4" s="228">
        <f t="shared" ref="F4:F18" si="1">IFERROR(C4-(D4*B4),"")</f>
        <v>1</v>
      </c>
      <c r="G4" s="67"/>
      <c r="H4" s="67"/>
    </row>
    <row r="5" spans="1:8" ht="25.35" customHeight="1" x14ac:dyDescent="0.3">
      <c r="A5" s="221" t="s">
        <v>255</v>
      </c>
      <c r="B5" s="224">
        <f t="shared" ref="B5:B18" si="2">$B$4</f>
        <v>36</v>
      </c>
      <c r="C5" s="227">
        <f>IFERROR(VLOOKUP(A5,네이처몬스터피벗!A:SD,5,FALSE),0)</f>
        <v>12</v>
      </c>
      <c r="D5" s="227">
        <f t="shared" si="0"/>
        <v>0</v>
      </c>
      <c r="E5" s="51" t="s">
        <v>335</v>
      </c>
      <c r="F5" s="228">
        <f t="shared" si="1"/>
        <v>12</v>
      </c>
      <c r="G5" s="67"/>
      <c r="H5" s="67"/>
    </row>
    <row r="6" spans="1:8" ht="25.35" customHeight="1" x14ac:dyDescent="0.3">
      <c r="A6" s="221" t="s">
        <v>249</v>
      </c>
      <c r="B6" s="224">
        <f t="shared" si="2"/>
        <v>36</v>
      </c>
      <c r="C6" s="227">
        <f>IFERROR(VLOOKUP(A6,네이처몬스터피벗!A:SD,5,FALSE),0)</f>
        <v>4</v>
      </c>
      <c r="D6" s="227">
        <f>IFERROR(ROUNDDOWN(C6/B6,0),"")</f>
        <v>0</v>
      </c>
      <c r="E6" s="51" t="s">
        <v>272</v>
      </c>
      <c r="F6" s="228">
        <f>IFERROR(C6-(D6*B6),"")</f>
        <v>4</v>
      </c>
      <c r="G6" s="67"/>
      <c r="H6" s="67"/>
    </row>
    <row r="7" spans="1:8" ht="25.35" customHeight="1" x14ac:dyDescent="0.3">
      <c r="A7" s="221" t="s">
        <v>250</v>
      </c>
      <c r="B7" s="224">
        <f t="shared" si="2"/>
        <v>36</v>
      </c>
      <c r="C7" s="227">
        <f>IFERROR(VLOOKUP(A7,네이처몬스터피벗!A:SD,5,FALSE),0)</f>
        <v>6</v>
      </c>
      <c r="D7" s="227">
        <f>IFERROR(ROUNDDOWN(C7/B7,0),"")</f>
        <v>0</v>
      </c>
      <c r="E7" s="51" t="s">
        <v>273</v>
      </c>
      <c r="F7" s="228">
        <f>IFERROR(C7-(D7*B7),"")</f>
        <v>6</v>
      </c>
      <c r="G7" s="67"/>
      <c r="H7" s="67"/>
    </row>
    <row r="8" spans="1:8" ht="25.35" customHeight="1" x14ac:dyDescent="0.3">
      <c r="A8" s="221" t="s">
        <v>248</v>
      </c>
      <c r="B8" s="224">
        <f t="shared" si="2"/>
        <v>36</v>
      </c>
      <c r="C8" s="227">
        <f>IFERROR(VLOOKUP(A8,네이처몬스터피벗!A:SD,5,FALSE),0)</f>
        <v>7</v>
      </c>
      <c r="D8" s="227">
        <f>IFERROR(ROUNDDOWN(C8/B8,0),"")</f>
        <v>0</v>
      </c>
      <c r="E8" s="51" t="s">
        <v>271</v>
      </c>
      <c r="F8" s="228">
        <f>IFERROR(C8-(D8*B8),"")</f>
        <v>7</v>
      </c>
      <c r="G8" s="67"/>
      <c r="H8" s="67"/>
    </row>
    <row r="9" spans="1:8" ht="25.35" customHeight="1" x14ac:dyDescent="0.3">
      <c r="A9" s="221" t="s">
        <v>246</v>
      </c>
      <c r="B9" s="224">
        <f t="shared" si="2"/>
        <v>36</v>
      </c>
      <c r="C9" s="227">
        <f>IFERROR(VLOOKUP(A9,네이처몬스터피벗!A:SD,5,FALSE),0)</f>
        <v>4</v>
      </c>
      <c r="D9" s="227">
        <f t="shared" si="0"/>
        <v>0</v>
      </c>
      <c r="E9" s="51" t="s">
        <v>270</v>
      </c>
      <c r="F9" s="228">
        <f t="shared" si="1"/>
        <v>4</v>
      </c>
      <c r="G9" s="67"/>
      <c r="H9" s="67"/>
    </row>
    <row r="10" spans="1:8" ht="25.35" customHeight="1" x14ac:dyDescent="0.3">
      <c r="A10" s="221" t="s">
        <v>256</v>
      </c>
      <c r="B10" s="224">
        <f t="shared" si="2"/>
        <v>36</v>
      </c>
      <c r="C10" s="227">
        <f>IFERROR(VLOOKUP(A10,네이처몬스터피벗!A:SD,5,FALSE),0)</f>
        <v>3</v>
      </c>
      <c r="D10" s="227">
        <f>IFERROR(ROUNDDOWN(C10/B10,0),"")</f>
        <v>0</v>
      </c>
      <c r="E10" s="51" t="s">
        <v>278</v>
      </c>
      <c r="F10" s="228">
        <f>IFERROR(C10-(D10*B10),"")</f>
        <v>3</v>
      </c>
      <c r="G10" s="67"/>
      <c r="H10" s="67"/>
    </row>
    <row r="11" spans="1:8" ht="25.35" customHeight="1" x14ac:dyDescent="0.3">
      <c r="A11" s="221" t="s">
        <v>247</v>
      </c>
      <c r="B11" s="224">
        <f t="shared" si="2"/>
        <v>36</v>
      </c>
      <c r="C11" s="227">
        <f>IFERROR(VLOOKUP(A11,네이처몬스터피벗!A:SD,5,FALSE),0)</f>
        <v>4</v>
      </c>
      <c r="D11" s="227">
        <f t="shared" si="0"/>
        <v>0</v>
      </c>
      <c r="E11" s="51" t="s">
        <v>334</v>
      </c>
      <c r="F11" s="228">
        <f t="shared" si="1"/>
        <v>4</v>
      </c>
      <c r="G11" s="67"/>
      <c r="H11" s="67"/>
    </row>
    <row r="12" spans="1:8" ht="25.35" customHeight="1" x14ac:dyDescent="0.3">
      <c r="A12" s="221" t="s">
        <v>251</v>
      </c>
      <c r="B12" s="224">
        <f t="shared" si="2"/>
        <v>36</v>
      </c>
      <c r="C12" s="227">
        <f>IFERROR(VLOOKUP(A12,네이처몬스터피벗!A:SD,5,FALSE),0)</f>
        <v>3</v>
      </c>
      <c r="D12" s="227">
        <f t="shared" si="0"/>
        <v>0</v>
      </c>
      <c r="E12" s="51" t="s">
        <v>274</v>
      </c>
      <c r="F12" s="228">
        <f t="shared" si="1"/>
        <v>3</v>
      </c>
      <c r="G12" s="67"/>
      <c r="H12" s="67"/>
    </row>
    <row r="13" spans="1:8" ht="25.35" customHeight="1" x14ac:dyDescent="0.3">
      <c r="A13" s="220" t="s">
        <v>252</v>
      </c>
      <c r="B13" s="224">
        <f t="shared" si="2"/>
        <v>36</v>
      </c>
      <c r="C13" s="227">
        <f>IFERROR(VLOOKUP(A13,네이처몬스터피벗!A:SD,5,FALSE),0)</f>
        <v>10</v>
      </c>
      <c r="D13" s="227">
        <f t="shared" si="0"/>
        <v>0</v>
      </c>
      <c r="E13" s="51" t="s">
        <v>275</v>
      </c>
      <c r="F13" s="228">
        <f t="shared" si="1"/>
        <v>10</v>
      </c>
      <c r="G13" s="67"/>
      <c r="H13" s="67"/>
    </row>
    <row r="14" spans="1:8" ht="25.35" customHeight="1" x14ac:dyDescent="0.3">
      <c r="A14" s="221" t="s">
        <v>253</v>
      </c>
      <c r="B14" s="224">
        <f t="shared" si="2"/>
        <v>36</v>
      </c>
      <c r="C14" s="227">
        <f>IFERROR(VLOOKUP(A14,네이처몬스터피벗!A:SD,5,FALSE),0)</f>
        <v>8</v>
      </c>
      <c r="D14" s="227">
        <f t="shared" si="0"/>
        <v>0</v>
      </c>
      <c r="E14" s="51" t="s">
        <v>276</v>
      </c>
      <c r="F14" s="228">
        <f t="shared" si="1"/>
        <v>8</v>
      </c>
      <c r="G14" s="67"/>
      <c r="H14" s="67"/>
    </row>
    <row r="15" spans="1:8" ht="25.35" customHeight="1" x14ac:dyDescent="0.3">
      <c r="A15" s="221" t="s">
        <v>254</v>
      </c>
      <c r="B15" s="224">
        <f t="shared" si="2"/>
        <v>36</v>
      </c>
      <c r="C15" s="227">
        <f>IFERROR(VLOOKUP(A15,네이처몬스터피벗!A:SD,5,FALSE),0)</f>
        <v>10</v>
      </c>
      <c r="D15" s="227">
        <f t="shared" si="0"/>
        <v>0</v>
      </c>
      <c r="E15" s="51" t="s">
        <v>277</v>
      </c>
      <c r="F15" s="228">
        <f t="shared" si="1"/>
        <v>10</v>
      </c>
      <c r="G15" s="67"/>
      <c r="H15" s="67"/>
    </row>
    <row r="16" spans="1:8" ht="25.35" customHeight="1" x14ac:dyDescent="0.3">
      <c r="A16" s="221" t="s">
        <v>257</v>
      </c>
      <c r="B16" s="224">
        <f t="shared" si="2"/>
        <v>36</v>
      </c>
      <c r="C16" s="227">
        <f>IFERROR(VLOOKUP(A16,네이처몬스터피벗!A:SD,5,FALSE),0)</f>
        <v>3</v>
      </c>
      <c r="D16" s="227">
        <f t="shared" si="0"/>
        <v>0</v>
      </c>
      <c r="E16" s="51" t="s">
        <v>279</v>
      </c>
      <c r="F16" s="228">
        <f t="shared" si="1"/>
        <v>3</v>
      </c>
      <c r="G16" s="67"/>
      <c r="H16" s="67"/>
    </row>
    <row r="17" spans="1:8" ht="25.35" customHeight="1" x14ac:dyDescent="0.3">
      <c r="A17" s="221" t="s">
        <v>258</v>
      </c>
      <c r="B17" s="224">
        <f t="shared" si="2"/>
        <v>36</v>
      </c>
      <c r="C17" s="227">
        <f>IFERROR(VLOOKUP(A17,네이처몬스터피벗!A:SD,5,FALSE),0)</f>
        <v>5</v>
      </c>
      <c r="D17" s="227">
        <f t="shared" si="0"/>
        <v>0</v>
      </c>
      <c r="E17" s="51" t="s">
        <v>280</v>
      </c>
      <c r="F17" s="228">
        <f t="shared" si="1"/>
        <v>5</v>
      </c>
      <c r="G17" s="67"/>
      <c r="H17" s="67"/>
    </row>
    <row r="18" spans="1:8" ht="25.35" customHeight="1" x14ac:dyDescent="0.3">
      <c r="A18" s="221" t="s">
        <v>259</v>
      </c>
      <c r="B18" s="224">
        <f t="shared" si="2"/>
        <v>36</v>
      </c>
      <c r="C18" s="227">
        <f>IFERROR(VLOOKUP(A18,네이처몬스터피벗!A:SD,5,FALSE),0)</f>
        <v>3</v>
      </c>
      <c r="D18" s="227">
        <f t="shared" si="0"/>
        <v>0</v>
      </c>
      <c r="E18" s="51" t="s">
        <v>336</v>
      </c>
      <c r="F18" s="228">
        <f t="shared" si="1"/>
        <v>3</v>
      </c>
      <c r="G18" s="67"/>
      <c r="H18" s="67"/>
    </row>
    <row r="19" spans="1:8" ht="4.5" customHeight="1" x14ac:dyDescent="0.3">
      <c r="A19" s="183"/>
      <c r="B19" s="50"/>
      <c r="C19" s="50"/>
      <c r="D19" s="50"/>
      <c r="E19" s="50"/>
      <c r="F19" s="184"/>
    </row>
    <row r="20" spans="1:8" ht="32.450000000000003" customHeight="1" x14ac:dyDescent="0.3">
      <c r="A20" s="211" t="s">
        <v>122</v>
      </c>
      <c r="B20" s="225">
        <f>$B$4</f>
        <v>36</v>
      </c>
      <c r="C20" s="212">
        <f>SUM(C4:C18)</f>
        <v>83</v>
      </c>
      <c r="D20" s="55">
        <f>IFERROR(ROUNDDOWN(C20/B20,0),"")</f>
        <v>2</v>
      </c>
      <c r="E20" s="213"/>
      <c r="F20" s="214">
        <f>IFERROR(C20-(D20*B20),"")</f>
        <v>11</v>
      </c>
    </row>
    <row r="21" spans="1:8" ht="4.5" customHeight="1" x14ac:dyDescent="0.3">
      <c r="A21" s="183"/>
      <c r="B21" s="224"/>
      <c r="C21" s="50"/>
      <c r="D21" s="50"/>
      <c r="E21" s="50"/>
      <c r="F21" s="184"/>
    </row>
    <row r="22" spans="1:8" ht="25.35" customHeight="1" x14ac:dyDescent="0.3">
      <c r="A22" s="221" t="s">
        <v>241</v>
      </c>
      <c r="B22" s="224">
        <f t="shared" ref="B22:B26" si="3">$B$4</f>
        <v>36</v>
      </c>
      <c r="C22" s="227">
        <f>IFERROR(VLOOKUP(A22,네이처몬스터피벗!A:SD,5,FALSE),0)</f>
        <v>6</v>
      </c>
      <c r="D22" s="227">
        <f>IFERROR(ROUNDDOWN(C22/B22,0),"")</f>
        <v>0</v>
      </c>
      <c r="E22" s="51" t="s">
        <v>268</v>
      </c>
      <c r="F22" s="228">
        <f>IFERROR(C22-(D22*B22),"")</f>
        <v>6</v>
      </c>
      <c r="G22" s="67"/>
      <c r="H22" s="67"/>
    </row>
    <row r="23" spans="1:8" ht="25.35" customHeight="1" x14ac:dyDescent="0.3">
      <c r="A23" s="221" t="s">
        <v>242</v>
      </c>
      <c r="B23" s="224">
        <f t="shared" si="3"/>
        <v>36</v>
      </c>
      <c r="C23" s="227">
        <f>IFERROR(VLOOKUP(A23,네이처몬스터피벗!A:SD,5,FALSE),0)</f>
        <v>1</v>
      </c>
      <c r="D23" s="227">
        <f>IFERROR(ROUNDDOWN(C23/B23,0),"")</f>
        <v>0</v>
      </c>
      <c r="E23" s="51" t="s">
        <v>337</v>
      </c>
      <c r="F23" s="228">
        <f>IFERROR(C23-(D23*B23),"")</f>
        <v>1</v>
      </c>
      <c r="G23" s="67"/>
      <c r="H23" s="67"/>
    </row>
    <row r="24" spans="1:8" ht="25.35" customHeight="1" x14ac:dyDescent="0.3">
      <c r="A24" s="221" t="s">
        <v>243</v>
      </c>
      <c r="B24" s="224">
        <f t="shared" si="3"/>
        <v>36</v>
      </c>
      <c r="C24" s="227">
        <f>IFERROR(VLOOKUP(A24,네이처몬스터피벗!A:SD,5,FALSE),0)</f>
        <v>0</v>
      </c>
      <c r="D24" s="227">
        <f>IFERROR(ROUNDDOWN(C24/B24,0),"")</f>
        <v>0</v>
      </c>
      <c r="E24" s="51" t="s">
        <v>106</v>
      </c>
      <c r="F24" s="228">
        <f>IFERROR(C24-(D24*B24),"")</f>
        <v>0</v>
      </c>
      <c r="G24" s="67"/>
      <c r="H24" s="67"/>
    </row>
    <row r="25" spans="1:8" ht="25.35" customHeight="1" x14ac:dyDescent="0.3">
      <c r="A25" s="221" t="s">
        <v>244</v>
      </c>
      <c r="B25" s="224">
        <f t="shared" si="3"/>
        <v>36</v>
      </c>
      <c r="C25" s="227">
        <f>IFERROR(VLOOKUP(A25,네이처몬스터피벗!A:SD,5,FALSE),0)</f>
        <v>5</v>
      </c>
      <c r="D25" s="227">
        <f>IFERROR(ROUNDDOWN(C25/B25,0),"")</f>
        <v>0</v>
      </c>
      <c r="E25" s="51" t="s">
        <v>269</v>
      </c>
      <c r="F25" s="228">
        <f>IFERROR(C25-(D25*B25),"")</f>
        <v>5</v>
      </c>
      <c r="G25" s="67"/>
      <c r="H25" s="67"/>
    </row>
    <row r="26" spans="1:8" ht="25.35" customHeight="1" x14ac:dyDescent="0.3">
      <c r="A26" s="221" t="s">
        <v>245</v>
      </c>
      <c r="B26" s="224">
        <f t="shared" si="3"/>
        <v>36</v>
      </c>
      <c r="C26" s="227">
        <f>IFERROR(VLOOKUP(A26,네이처몬스터피벗!A:SD,5,FALSE),0)</f>
        <v>3</v>
      </c>
      <c r="D26" s="227">
        <f>IFERROR(ROUNDDOWN(C26/B26,0),"")</f>
        <v>0</v>
      </c>
      <c r="E26" s="51" t="s">
        <v>118</v>
      </c>
      <c r="F26" s="228">
        <f>IFERROR(C26-(D26*B26),"")</f>
        <v>3</v>
      </c>
      <c r="G26" s="67"/>
      <c r="H26" s="67"/>
    </row>
    <row r="27" spans="1:8" ht="4.5" customHeight="1" x14ac:dyDescent="0.3">
      <c r="A27" s="183"/>
      <c r="B27" s="50"/>
      <c r="C27" s="50"/>
      <c r="D27" s="50"/>
      <c r="E27" s="50"/>
      <c r="F27" s="184"/>
      <c r="G27" s="67"/>
      <c r="H27" s="67"/>
    </row>
    <row r="28" spans="1:8" ht="32.450000000000003" customHeight="1" x14ac:dyDescent="0.3">
      <c r="A28" s="211" t="s">
        <v>285</v>
      </c>
      <c r="B28" s="225">
        <f>$B$4</f>
        <v>36</v>
      </c>
      <c r="C28" s="212">
        <f>SUM(C22:C26)</f>
        <v>15</v>
      </c>
      <c r="D28" s="55">
        <f>IFERROR(ROUNDDOWN(C28/B28,0),"")</f>
        <v>0</v>
      </c>
      <c r="E28" s="213"/>
      <c r="F28" s="214">
        <f>IFERROR(C28-(D28*B28),"")</f>
        <v>15</v>
      </c>
      <c r="G28" s="67"/>
      <c r="H28" s="67"/>
    </row>
    <row r="29" spans="1:8" ht="4.5" customHeight="1" x14ac:dyDescent="0.3">
      <c r="A29" s="183"/>
      <c r="B29" s="50"/>
      <c r="C29" s="50"/>
      <c r="D29" s="50"/>
      <c r="E29" s="50"/>
      <c r="F29" s="184"/>
      <c r="G29" s="67"/>
      <c r="H29" s="67"/>
    </row>
    <row r="30" spans="1:8" ht="25.35" customHeight="1" x14ac:dyDescent="0.3">
      <c r="A30" s="221" t="s">
        <v>239</v>
      </c>
      <c r="B30" s="224">
        <f t="shared" ref="B30:B31" si="4">$B$4</f>
        <v>36</v>
      </c>
      <c r="C30" s="227">
        <f>IFERROR(VLOOKUP(A30,네이처몬스터피벗!A:SD,5,FALSE),0)</f>
        <v>11</v>
      </c>
      <c r="D30" s="227">
        <f t="shared" ref="D30:D31" si="5">IFERROR(ROUNDDOWN(C30/B30,0),"")</f>
        <v>0</v>
      </c>
      <c r="E30" s="51" t="s">
        <v>266</v>
      </c>
      <c r="F30" s="228">
        <f t="shared" ref="F30:F31" si="6">IFERROR(C30-(D30*B30),"")</f>
        <v>11</v>
      </c>
      <c r="G30" s="67"/>
      <c r="H30" s="67"/>
    </row>
    <row r="31" spans="1:8" ht="25.35" customHeight="1" x14ac:dyDescent="0.3">
      <c r="A31" s="221" t="s">
        <v>240</v>
      </c>
      <c r="B31" s="224">
        <f t="shared" si="4"/>
        <v>36</v>
      </c>
      <c r="C31" s="227">
        <f>IFERROR(VLOOKUP(A31,네이처몬스터피벗!A:SD,5,FALSE),0)</f>
        <v>7</v>
      </c>
      <c r="D31" s="227">
        <f t="shared" si="5"/>
        <v>0</v>
      </c>
      <c r="E31" s="51" t="s">
        <v>267</v>
      </c>
      <c r="F31" s="228">
        <f t="shared" si="6"/>
        <v>7</v>
      </c>
      <c r="G31" s="67"/>
      <c r="H31" s="67"/>
    </row>
    <row r="32" spans="1:8" ht="4.5" customHeight="1" x14ac:dyDescent="0.3">
      <c r="A32" s="183"/>
      <c r="B32" s="50"/>
      <c r="C32" s="50"/>
      <c r="D32" s="50"/>
      <c r="E32" s="50"/>
      <c r="F32" s="184"/>
      <c r="G32" s="67"/>
      <c r="H32" s="67"/>
    </row>
    <row r="33" spans="1:8" ht="32.450000000000003" customHeight="1" x14ac:dyDescent="0.3">
      <c r="A33" s="211" t="s">
        <v>284</v>
      </c>
      <c r="B33" s="225">
        <f>$B$4</f>
        <v>36</v>
      </c>
      <c r="C33" s="212">
        <f>SUM(C30:C31)</f>
        <v>18</v>
      </c>
      <c r="D33" s="55">
        <f>IFERROR(ROUNDDOWN(C33/B33,0),"")</f>
        <v>0</v>
      </c>
      <c r="E33" s="213"/>
      <c r="F33" s="214">
        <f>IFERROR(C33-(D33*B33),"")</f>
        <v>18</v>
      </c>
      <c r="G33" s="67"/>
      <c r="H33" s="67"/>
    </row>
    <row r="34" spans="1:8" ht="4.5" customHeight="1" x14ac:dyDescent="0.3">
      <c r="A34" s="183"/>
      <c r="B34" s="224"/>
      <c r="C34" s="50"/>
      <c r="D34" s="50"/>
      <c r="E34" s="50"/>
      <c r="F34" s="184"/>
      <c r="G34" s="67"/>
      <c r="H34" s="67"/>
    </row>
    <row r="35" spans="1:8" ht="25.35" customHeight="1" x14ac:dyDescent="0.3">
      <c r="A35" s="221" t="s">
        <v>236</v>
      </c>
      <c r="B35" s="224">
        <f t="shared" ref="B35:B37" si="7">$B$4</f>
        <v>36</v>
      </c>
      <c r="C35" s="227">
        <f>IFERROR(VLOOKUP(A35,네이처몬스터피벗!A:SD,5,FALSE),0)</f>
        <v>0</v>
      </c>
      <c r="D35" s="227">
        <f t="shared" ref="D35:D37" si="8">IFERROR(ROUNDDOWN(C35/B35,0),"")</f>
        <v>0</v>
      </c>
      <c r="E35" s="51" t="s">
        <v>264</v>
      </c>
      <c r="F35" s="228">
        <f t="shared" ref="F35:F37" si="9">IFERROR(C35-(D35*B35),"")</f>
        <v>0</v>
      </c>
      <c r="G35" s="67"/>
      <c r="H35" s="67"/>
    </row>
    <row r="36" spans="1:8" ht="25.35" customHeight="1" x14ac:dyDescent="0.3">
      <c r="A36" s="221" t="s">
        <v>237</v>
      </c>
      <c r="B36" s="224">
        <f t="shared" si="7"/>
        <v>36</v>
      </c>
      <c r="C36" s="227">
        <f>IFERROR(VLOOKUP(A36,네이처몬스터피벗!A:SD,5,FALSE),0)</f>
        <v>4</v>
      </c>
      <c r="D36" s="227">
        <f t="shared" si="8"/>
        <v>0</v>
      </c>
      <c r="E36" s="51" t="s">
        <v>338</v>
      </c>
      <c r="F36" s="228">
        <f t="shared" si="9"/>
        <v>4</v>
      </c>
      <c r="G36" s="67"/>
      <c r="H36" s="67"/>
    </row>
    <row r="37" spans="1:8" ht="25.35" customHeight="1" x14ac:dyDescent="0.3">
      <c r="A37" s="221" t="s">
        <v>238</v>
      </c>
      <c r="B37" s="224">
        <f t="shared" si="7"/>
        <v>36</v>
      </c>
      <c r="C37" s="227">
        <f>IFERROR(VLOOKUP(A37,네이처몬스터피벗!A:SD,5,FALSE),0)</f>
        <v>1</v>
      </c>
      <c r="D37" s="227">
        <f t="shared" si="8"/>
        <v>0</v>
      </c>
      <c r="E37" s="51" t="s">
        <v>265</v>
      </c>
      <c r="F37" s="228">
        <f t="shared" si="9"/>
        <v>1</v>
      </c>
      <c r="G37" s="67"/>
      <c r="H37" s="67"/>
    </row>
    <row r="38" spans="1:8" ht="4.5" customHeight="1" x14ac:dyDescent="0.3">
      <c r="A38" s="183"/>
      <c r="B38" s="50"/>
      <c r="C38" s="50"/>
      <c r="D38" s="50"/>
      <c r="E38" s="50"/>
      <c r="F38" s="184"/>
      <c r="G38" s="67"/>
      <c r="H38" s="67"/>
    </row>
    <row r="39" spans="1:8" ht="32.450000000000003" customHeight="1" x14ac:dyDescent="0.3">
      <c r="A39" s="211" t="s">
        <v>283</v>
      </c>
      <c r="B39" s="225">
        <f>$B$4</f>
        <v>36</v>
      </c>
      <c r="C39" s="212">
        <f>SUM(C35:C37)</f>
        <v>5</v>
      </c>
      <c r="D39" s="55">
        <f>IFERROR(ROUNDDOWN(C39/B39,0),"")</f>
        <v>0</v>
      </c>
      <c r="E39" s="213"/>
      <c r="F39" s="214">
        <f>IFERROR(C39-(D39*B39),"")</f>
        <v>5</v>
      </c>
      <c r="G39" s="67"/>
      <c r="H39" s="67"/>
    </row>
    <row r="40" spans="1:8" ht="4.5" customHeight="1" x14ac:dyDescent="0.3">
      <c r="A40" s="183"/>
      <c r="B40" s="224"/>
      <c r="C40" s="50"/>
      <c r="D40" s="50"/>
      <c r="E40" s="50"/>
      <c r="F40" s="184"/>
      <c r="G40" s="67"/>
      <c r="H40" s="67"/>
    </row>
    <row r="41" spans="1:8" ht="25.35" customHeight="1" x14ac:dyDescent="0.3">
      <c r="A41" s="221" t="s">
        <v>261</v>
      </c>
      <c r="B41" s="224">
        <f t="shared" ref="B41:B42" si="10">$B$4</f>
        <v>36</v>
      </c>
      <c r="C41" s="227">
        <f>IFERROR(VLOOKUP(A41,네이처몬스터피벗!A:SD,5,FALSE),0)</f>
        <v>0</v>
      </c>
      <c r="D41" s="227">
        <f t="shared" ref="D41:D42" si="11">IFERROR(ROUNDDOWN(C41/B41,0),"")</f>
        <v>0</v>
      </c>
      <c r="E41" s="51" t="s">
        <v>281</v>
      </c>
      <c r="F41" s="228">
        <f t="shared" ref="F41:F42" si="12">IFERROR(C41-(D41*B41),"")</f>
        <v>0</v>
      </c>
      <c r="G41" s="67"/>
      <c r="H41" s="67"/>
    </row>
    <row r="42" spans="1:8" ht="25.35" customHeight="1" x14ac:dyDescent="0.3">
      <c r="A42" s="221" t="s">
        <v>262</v>
      </c>
      <c r="B42" s="224">
        <f t="shared" si="10"/>
        <v>36</v>
      </c>
      <c r="C42" s="227">
        <f>IFERROR(VLOOKUP(A42,네이처몬스터피벗!A:SD,5,FALSE),0)</f>
        <v>4</v>
      </c>
      <c r="D42" s="227">
        <f t="shared" si="11"/>
        <v>0</v>
      </c>
      <c r="E42" s="51" t="s">
        <v>282</v>
      </c>
      <c r="F42" s="228">
        <f t="shared" si="12"/>
        <v>4</v>
      </c>
      <c r="G42" s="67"/>
      <c r="H42" s="67"/>
    </row>
    <row r="43" spans="1:8" ht="4.5" customHeight="1" x14ac:dyDescent="0.3">
      <c r="A43" s="183"/>
      <c r="B43" s="50"/>
      <c r="C43" s="50"/>
      <c r="D43" s="50"/>
      <c r="E43" s="50"/>
      <c r="F43" s="184"/>
      <c r="G43" s="67"/>
      <c r="H43" s="67"/>
    </row>
    <row r="44" spans="1:8" ht="32.450000000000003" customHeight="1" x14ac:dyDescent="0.3">
      <c r="A44" s="211" t="s">
        <v>339</v>
      </c>
      <c r="B44" s="225">
        <f>$B$4</f>
        <v>36</v>
      </c>
      <c r="C44" s="212">
        <f>SUM(C41:C42)</f>
        <v>4</v>
      </c>
      <c r="D44" s="55">
        <f>IFERROR(ROUNDDOWN(C44/B44,0),"")</f>
        <v>0</v>
      </c>
      <c r="E44" s="213"/>
      <c r="F44" s="214">
        <f>IFERROR(C44-(D44*B44),"")</f>
        <v>4</v>
      </c>
      <c r="G44" s="67"/>
      <c r="H44" s="67"/>
    </row>
    <row r="45" spans="1:8" ht="4.5" customHeight="1" thickBot="1" x14ac:dyDescent="0.35">
      <c r="A45" s="183"/>
      <c r="B45" s="50"/>
      <c r="C45" s="50"/>
      <c r="D45" s="50"/>
      <c r="E45" s="50"/>
      <c r="F45" s="184"/>
      <c r="G45" s="67"/>
      <c r="H45" s="67"/>
    </row>
    <row r="46" spans="1:8" ht="26.25" x14ac:dyDescent="0.3">
      <c r="A46" s="87" t="s">
        <v>3</v>
      </c>
      <c r="B46" s="226">
        <f>$B$4</f>
        <v>36</v>
      </c>
      <c r="C46" s="55">
        <f>SUM(C4:C18,C35:C37,C30:C31,C22:C26,C41:C42)</f>
        <v>125</v>
      </c>
      <c r="D46" s="54">
        <f>IFERROR(ROUNDDOWN(C46/B46,0),"")</f>
        <v>3</v>
      </c>
      <c r="E46" s="56"/>
      <c r="F46" s="121">
        <f>IFERROR(C46-(D46*B46),"")</f>
        <v>17</v>
      </c>
      <c r="G46" s="232" t="s">
        <v>110</v>
      </c>
      <c r="H46" s="233" t="s">
        <v>111</v>
      </c>
    </row>
    <row r="47" spans="1:8" ht="27" thickBot="1" x14ac:dyDescent="0.35">
      <c r="A47" s="42" t="s">
        <v>286</v>
      </c>
      <c r="B47" s="43" t="s">
        <v>173</v>
      </c>
      <c r="C47" s="40"/>
      <c r="D47" s="41">
        <f>SUM(D4:D18,D35:D37,D30:D31,D22:D26,D41:D42)</f>
        <v>0</v>
      </c>
      <c r="E47" s="48"/>
      <c r="F47" s="93">
        <f>SUM(F4:F18,F35:F37,F30:F31,F22:F26,F41:F42)</f>
        <v>125</v>
      </c>
      <c r="G47" s="216">
        <f>IFERROR(ROUNDDOWN(F47/B35,0),"")</f>
        <v>3</v>
      </c>
      <c r="H47" s="217">
        <f>IFERROR(F47-(G47*B35),"")</f>
        <v>17</v>
      </c>
    </row>
    <row r="48" spans="1:8" ht="22.5" customHeight="1" x14ac:dyDescent="0.3">
      <c r="C48" s="77">
        <f>C20+C28+C33+C39+C44</f>
        <v>125</v>
      </c>
      <c r="G48" s="199"/>
      <c r="H48" s="34" t="s">
        <v>174</v>
      </c>
    </row>
    <row r="49" spans="3:3" x14ac:dyDescent="0.3">
      <c r="C49" s="34" t="b">
        <f>C48=C46</f>
        <v>1</v>
      </c>
    </row>
  </sheetData>
  <mergeCells count="1">
    <mergeCell ref="A1:F1"/>
  </mergeCells>
  <phoneticPr fontId="13" type="noConversion"/>
  <printOptions horizontalCentered="1" verticalCentered="1"/>
  <pageMargins left="0" right="0" top="0" bottom="0" header="0" footer="0"/>
  <pageSetup paperSize="9" scale="77" orientation="portrait" r:id="rId1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F6B9C2-33B3-46DD-BEEE-87855B7EB140}">
  <sheetPr>
    <tabColor rgb="FFE977DB"/>
    <pageSetUpPr fitToPage="1"/>
  </sheetPr>
  <dimension ref="A1:K49"/>
  <sheetViews>
    <sheetView zoomScale="40" zoomScaleNormal="40" zoomScaleSheetLayoutView="75" workbookViewId="0">
      <selection activeCell="A2" sqref="A2:F47"/>
    </sheetView>
  </sheetViews>
  <sheetFormatPr defaultColWidth="9" defaultRowHeight="16.5" x14ac:dyDescent="0.3"/>
  <cols>
    <col min="1" max="1" width="24.75" style="34" customWidth="1"/>
    <col min="2" max="2" width="7.625" style="38" customWidth="1"/>
    <col min="3" max="3" width="30.625" style="34" customWidth="1"/>
    <col min="4" max="4" width="9.875" style="2" customWidth="1"/>
    <col min="5" max="5" width="11.375" style="34" customWidth="1"/>
    <col min="6" max="6" width="11.125" style="2" customWidth="1"/>
    <col min="7" max="7" width="8.375" style="34" customWidth="1"/>
    <col min="8" max="8" width="9" style="34" customWidth="1"/>
    <col min="9" max="13" width="9" style="34"/>
    <col min="14" max="14" width="10.625" style="34" customWidth="1"/>
    <col min="15" max="17" width="9" style="34"/>
    <col min="18" max="18" width="36.5" style="34" bestFit="1" customWidth="1"/>
    <col min="19" max="16384" width="9" style="34"/>
  </cols>
  <sheetData>
    <row r="1" spans="1:11" ht="25.9" customHeight="1" thickBot="1" x14ac:dyDescent="0.35">
      <c r="A1" s="270"/>
      <c r="B1" s="270"/>
      <c r="C1" s="270"/>
      <c r="D1" s="270"/>
      <c r="E1" s="270"/>
      <c r="F1" s="270"/>
    </row>
    <row r="2" spans="1:11" ht="25.9" customHeight="1" x14ac:dyDescent="0.3">
      <c r="A2" s="215">
        <f ca="1">TODAY()</f>
        <v>46314</v>
      </c>
      <c r="B2" s="256" t="s">
        <v>384</v>
      </c>
      <c r="C2" s="256"/>
      <c r="D2" s="256"/>
      <c r="E2" s="256"/>
      <c r="F2" s="257"/>
      <c r="G2" s="67"/>
      <c r="H2" s="67"/>
    </row>
    <row r="3" spans="1:11" ht="40.5" customHeight="1" x14ac:dyDescent="0.3">
      <c r="A3" s="222" t="s">
        <v>67</v>
      </c>
      <c r="B3" s="223" t="s">
        <v>13</v>
      </c>
      <c r="C3" s="229" t="s">
        <v>309</v>
      </c>
      <c r="D3" s="230" t="s">
        <v>2</v>
      </c>
      <c r="E3" s="229" t="s">
        <v>23</v>
      </c>
      <c r="F3" s="231" t="s">
        <v>14</v>
      </c>
      <c r="G3" s="67"/>
      <c r="H3" s="67"/>
    </row>
    <row r="4" spans="1:11" ht="25.35" customHeight="1" x14ac:dyDescent="0.3">
      <c r="A4" s="220" t="s">
        <v>260</v>
      </c>
      <c r="B4" s="224">
        <v>40</v>
      </c>
      <c r="C4" s="227">
        <f>IFERROR(VLOOKUP(A4,네이처몬스터피벗!A:SD,6,FALSE),0)</f>
        <v>5</v>
      </c>
      <c r="D4" s="227">
        <f t="shared" ref="D4:D18" si="0">IFERROR(ROUNDDOWN(C4/B4,0),"")</f>
        <v>0</v>
      </c>
      <c r="E4" s="51" t="s">
        <v>109</v>
      </c>
      <c r="F4" s="228">
        <f t="shared" ref="F4:F18" si="1">IFERROR(C4-(D4*B4),"")</f>
        <v>5</v>
      </c>
      <c r="G4" s="67"/>
      <c r="H4" s="67"/>
      <c r="J4" s="73"/>
      <c r="K4" s="73"/>
    </row>
    <row r="5" spans="1:11" ht="25.35" customHeight="1" x14ac:dyDescent="0.3">
      <c r="A5" s="221" t="s">
        <v>255</v>
      </c>
      <c r="B5" s="224">
        <f t="shared" ref="B5:B18" si="2">$B$4</f>
        <v>40</v>
      </c>
      <c r="C5" s="227">
        <f>IFERROR(VLOOKUP(A5,네이처몬스터피벗!A:SD,6,FALSE),0)</f>
        <v>17</v>
      </c>
      <c r="D5" s="227">
        <f t="shared" ref="D5" si="3">IFERROR(ROUNDDOWN(C5/B5,0),"")</f>
        <v>0</v>
      </c>
      <c r="E5" s="51" t="s">
        <v>335</v>
      </c>
      <c r="F5" s="228">
        <f t="shared" ref="F5" si="4">IFERROR(C5-(D5*B5),"")</f>
        <v>17</v>
      </c>
      <c r="G5" s="67"/>
      <c r="H5" s="67"/>
      <c r="J5" s="73"/>
      <c r="K5" s="73"/>
    </row>
    <row r="6" spans="1:11" ht="25.35" customHeight="1" x14ac:dyDescent="0.3">
      <c r="A6" s="221" t="s">
        <v>249</v>
      </c>
      <c r="B6" s="224">
        <f t="shared" si="2"/>
        <v>40</v>
      </c>
      <c r="C6" s="227">
        <f>IFERROR(VLOOKUP(A6,네이처몬스터피벗!A:SD,6,FALSE),0)</f>
        <v>9</v>
      </c>
      <c r="D6" s="227">
        <f>IFERROR(ROUNDDOWN(C6/B6,0),"")</f>
        <v>0</v>
      </c>
      <c r="E6" s="51" t="s">
        <v>272</v>
      </c>
      <c r="F6" s="228">
        <f>IFERROR(C6-(D6*B6),"")</f>
        <v>9</v>
      </c>
      <c r="G6" s="67"/>
      <c r="H6" s="67"/>
      <c r="J6" s="73"/>
      <c r="K6" s="73"/>
    </row>
    <row r="7" spans="1:11" ht="25.35" customHeight="1" x14ac:dyDescent="0.3">
      <c r="A7" s="221" t="s">
        <v>250</v>
      </c>
      <c r="B7" s="224">
        <f t="shared" si="2"/>
        <v>40</v>
      </c>
      <c r="C7" s="227">
        <f>IFERROR(VLOOKUP(A7,네이처몬스터피벗!A:SD,6,FALSE),0)</f>
        <v>9</v>
      </c>
      <c r="D7" s="227">
        <f>IFERROR(ROUNDDOWN(C7/B7,0),"")</f>
        <v>0</v>
      </c>
      <c r="E7" s="51" t="s">
        <v>273</v>
      </c>
      <c r="F7" s="228">
        <f>IFERROR(C7-(D7*B7),"")</f>
        <v>9</v>
      </c>
      <c r="G7" s="67"/>
      <c r="H7" s="67"/>
      <c r="J7" s="73"/>
      <c r="K7" s="73"/>
    </row>
    <row r="8" spans="1:11" ht="25.35" customHeight="1" x14ac:dyDescent="0.3">
      <c r="A8" s="221" t="s">
        <v>248</v>
      </c>
      <c r="B8" s="224">
        <f t="shared" si="2"/>
        <v>40</v>
      </c>
      <c r="C8" s="227">
        <f>IFERROR(VLOOKUP(A8,네이처몬스터피벗!A:SD,6,FALSE),0)</f>
        <v>2</v>
      </c>
      <c r="D8" s="227">
        <f>IFERROR(ROUNDDOWN(C8/B8,0),"")</f>
        <v>0</v>
      </c>
      <c r="E8" s="51" t="s">
        <v>271</v>
      </c>
      <c r="F8" s="228">
        <f>IFERROR(C8-(D8*B8),"")</f>
        <v>2</v>
      </c>
      <c r="G8" s="67"/>
      <c r="H8" s="67"/>
      <c r="J8" s="73"/>
      <c r="K8" s="73"/>
    </row>
    <row r="9" spans="1:11" ht="25.35" customHeight="1" x14ac:dyDescent="0.3">
      <c r="A9" s="221" t="s">
        <v>246</v>
      </c>
      <c r="B9" s="224">
        <f t="shared" si="2"/>
        <v>40</v>
      </c>
      <c r="C9" s="227">
        <f>IFERROR(VLOOKUP(A9,네이처몬스터피벗!A:SD,6,FALSE),0)</f>
        <v>7</v>
      </c>
      <c r="D9" s="227">
        <f t="shared" si="0"/>
        <v>0</v>
      </c>
      <c r="E9" s="51" t="s">
        <v>270</v>
      </c>
      <c r="F9" s="228">
        <f t="shared" si="1"/>
        <v>7</v>
      </c>
      <c r="G9" s="67"/>
      <c r="H9" s="67"/>
      <c r="J9" s="73"/>
      <c r="K9" s="73"/>
    </row>
    <row r="10" spans="1:11" ht="25.35" customHeight="1" x14ac:dyDescent="0.3">
      <c r="A10" s="221" t="s">
        <v>256</v>
      </c>
      <c r="B10" s="224">
        <f t="shared" si="2"/>
        <v>40</v>
      </c>
      <c r="C10" s="227">
        <f>IFERROR(VLOOKUP(A10,네이처몬스터피벗!A:SD,6,FALSE),0)</f>
        <v>2</v>
      </c>
      <c r="D10" s="227">
        <f>IFERROR(ROUNDDOWN(C10/B10,0),"")</f>
        <v>0</v>
      </c>
      <c r="E10" s="51" t="s">
        <v>278</v>
      </c>
      <c r="F10" s="228">
        <f>IFERROR(C10-(D10*B10),"")</f>
        <v>2</v>
      </c>
      <c r="G10" s="67"/>
      <c r="H10" s="67"/>
      <c r="J10" s="73"/>
      <c r="K10" s="73"/>
    </row>
    <row r="11" spans="1:11" ht="25.35" customHeight="1" x14ac:dyDescent="0.3">
      <c r="A11" s="221" t="s">
        <v>247</v>
      </c>
      <c r="B11" s="224">
        <f t="shared" si="2"/>
        <v>40</v>
      </c>
      <c r="C11" s="227">
        <f>IFERROR(VLOOKUP(A11,네이처몬스터피벗!A:SD,6,FALSE),0)</f>
        <v>3</v>
      </c>
      <c r="D11" s="227">
        <f t="shared" si="0"/>
        <v>0</v>
      </c>
      <c r="E11" s="51" t="s">
        <v>334</v>
      </c>
      <c r="F11" s="228">
        <f t="shared" si="1"/>
        <v>3</v>
      </c>
      <c r="G11" s="67"/>
      <c r="H11" s="67"/>
      <c r="J11" s="73"/>
      <c r="K11" s="73"/>
    </row>
    <row r="12" spans="1:11" ht="25.35" customHeight="1" x14ac:dyDescent="0.3">
      <c r="A12" s="221" t="s">
        <v>251</v>
      </c>
      <c r="B12" s="224">
        <f t="shared" si="2"/>
        <v>40</v>
      </c>
      <c r="C12" s="227">
        <f>IFERROR(VLOOKUP(A12,네이처몬스터피벗!A:SD,6,FALSE),0)</f>
        <v>14</v>
      </c>
      <c r="D12" s="227">
        <f t="shared" si="0"/>
        <v>0</v>
      </c>
      <c r="E12" s="51" t="s">
        <v>274</v>
      </c>
      <c r="F12" s="228">
        <f t="shared" si="1"/>
        <v>14</v>
      </c>
      <c r="G12" s="67"/>
      <c r="H12" s="67"/>
      <c r="J12" s="73"/>
      <c r="K12" s="73"/>
    </row>
    <row r="13" spans="1:11" ht="25.35" customHeight="1" x14ac:dyDescent="0.3">
      <c r="A13" s="220" t="s">
        <v>252</v>
      </c>
      <c r="B13" s="224">
        <f t="shared" si="2"/>
        <v>40</v>
      </c>
      <c r="C13" s="227">
        <f>IFERROR(VLOOKUP(A13,네이처몬스터피벗!A:SD,6,FALSE),0)</f>
        <v>7</v>
      </c>
      <c r="D13" s="227">
        <f t="shared" si="0"/>
        <v>0</v>
      </c>
      <c r="E13" s="51" t="s">
        <v>275</v>
      </c>
      <c r="F13" s="228">
        <f t="shared" si="1"/>
        <v>7</v>
      </c>
      <c r="G13" s="67"/>
      <c r="H13" s="67"/>
      <c r="J13" s="73"/>
      <c r="K13" s="73"/>
    </row>
    <row r="14" spans="1:11" ht="25.35" customHeight="1" x14ac:dyDescent="0.3">
      <c r="A14" s="221" t="s">
        <v>253</v>
      </c>
      <c r="B14" s="224">
        <f t="shared" si="2"/>
        <v>40</v>
      </c>
      <c r="C14" s="227">
        <f>IFERROR(VLOOKUP(A14,네이처몬스터피벗!A:SD,6,FALSE),0)</f>
        <v>10</v>
      </c>
      <c r="D14" s="227">
        <f t="shared" si="0"/>
        <v>0</v>
      </c>
      <c r="E14" s="51" t="s">
        <v>276</v>
      </c>
      <c r="F14" s="228">
        <f t="shared" si="1"/>
        <v>10</v>
      </c>
      <c r="G14" s="67"/>
      <c r="H14" s="67"/>
      <c r="J14" s="73"/>
      <c r="K14" s="73"/>
    </row>
    <row r="15" spans="1:11" ht="25.35" customHeight="1" x14ac:dyDescent="0.3">
      <c r="A15" s="221" t="s">
        <v>254</v>
      </c>
      <c r="B15" s="224">
        <f t="shared" si="2"/>
        <v>40</v>
      </c>
      <c r="C15" s="227">
        <f>IFERROR(VLOOKUP(A15,네이처몬스터피벗!A:SD,6,FALSE),0)</f>
        <v>12</v>
      </c>
      <c r="D15" s="227">
        <f t="shared" si="0"/>
        <v>0</v>
      </c>
      <c r="E15" s="51" t="s">
        <v>277</v>
      </c>
      <c r="F15" s="228">
        <f t="shared" si="1"/>
        <v>12</v>
      </c>
      <c r="G15" s="67"/>
      <c r="H15" s="67"/>
      <c r="J15" s="73"/>
      <c r="K15" s="73"/>
    </row>
    <row r="16" spans="1:11" ht="25.35" customHeight="1" x14ac:dyDescent="0.3">
      <c r="A16" s="221" t="s">
        <v>257</v>
      </c>
      <c r="B16" s="224">
        <f t="shared" si="2"/>
        <v>40</v>
      </c>
      <c r="C16" s="227">
        <f>IFERROR(VLOOKUP(A16,네이처몬스터피벗!A:SD,6,FALSE),0)</f>
        <v>6</v>
      </c>
      <c r="D16" s="227">
        <f t="shared" si="0"/>
        <v>0</v>
      </c>
      <c r="E16" s="51" t="s">
        <v>279</v>
      </c>
      <c r="F16" s="228">
        <f t="shared" si="1"/>
        <v>6</v>
      </c>
      <c r="G16" s="67"/>
      <c r="H16" s="67"/>
      <c r="J16" s="73"/>
      <c r="K16" s="73"/>
    </row>
    <row r="17" spans="1:11" ht="25.35" customHeight="1" x14ac:dyDescent="0.3">
      <c r="A17" s="221" t="s">
        <v>258</v>
      </c>
      <c r="B17" s="224">
        <f t="shared" si="2"/>
        <v>40</v>
      </c>
      <c r="C17" s="227">
        <f>IFERROR(VLOOKUP(A17,네이처몬스터피벗!A:SD,6,FALSE),0)</f>
        <v>3</v>
      </c>
      <c r="D17" s="227">
        <f t="shared" si="0"/>
        <v>0</v>
      </c>
      <c r="E17" s="51" t="s">
        <v>280</v>
      </c>
      <c r="F17" s="228">
        <f t="shared" si="1"/>
        <v>3</v>
      </c>
      <c r="G17" s="67"/>
      <c r="H17" s="67"/>
      <c r="J17" s="73"/>
      <c r="K17" s="73"/>
    </row>
    <row r="18" spans="1:11" ht="25.35" customHeight="1" x14ac:dyDescent="0.3">
      <c r="A18" s="221" t="s">
        <v>259</v>
      </c>
      <c r="B18" s="224">
        <f t="shared" si="2"/>
        <v>40</v>
      </c>
      <c r="C18" s="227">
        <f>IFERROR(VLOOKUP(A18,네이처몬스터피벗!A:SD,6,FALSE),0)</f>
        <v>1</v>
      </c>
      <c r="D18" s="227">
        <f t="shared" si="0"/>
        <v>0</v>
      </c>
      <c r="E18" s="51" t="s">
        <v>336</v>
      </c>
      <c r="F18" s="228">
        <f t="shared" si="1"/>
        <v>1</v>
      </c>
      <c r="G18" s="67"/>
      <c r="H18" s="67"/>
      <c r="J18" s="73"/>
      <c r="K18" s="73"/>
    </row>
    <row r="19" spans="1:11" ht="4.5" customHeight="1" x14ac:dyDescent="0.3">
      <c r="A19" s="183"/>
      <c r="B19" s="50"/>
      <c r="C19" s="50"/>
      <c r="D19" s="50"/>
      <c r="E19" s="50"/>
      <c r="F19" s="184"/>
      <c r="J19" s="73"/>
      <c r="K19" s="73"/>
    </row>
    <row r="20" spans="1:11" ht="32.450000000000003" customHeight="1" x14ac:dyDescent="0.3">
      <c r="A20" s="211" t="s">
        <v>122</v>
      </c>
      <c r="B20" s="225">
        <f>$B$4</f>
        <v>40</v>
      </c>
      <c r="C20" s="212">
        <f>SUM(C4:C18)</f>
        <v>107</v>
      </c>
      <c r="D20" s="55">
        <f>IFERROR(ROUNDDOWN(C20/B20,0),"")</f>
        <v>2</v>
      </c>
      <c r="E20" s="213"/>
      <c r="F20" s="214">
        <f>IFERROR(C20-(D20*B20),"")</f>
        <v>27</v>
      </c>
      <c r="J20" s="73"/>
      <c r="K20" s="73"/>
    </row>
    <row r="21" spans="1:11" ht="4.5" customHeight="1" x14ac:dyDescent="0.3">
      <c r="A21" s="183"/>
      <c r="B21" s="224"/>
      <c r="C21" s="50"/>
      <c r="D21" s="50"/>
      <c r="E21" s="50"/>
      <c r="F21" s="184"/>
      <c r="J21" s="73"/>
      <c r="K21" s="73"/>
    </row>
    <row r="22" spans="1:11" ht="25.35" customHeight="1" x14ac:dyDescent="0.3">
      <c r="A22" s="221" t="s">
        <v>241</v>
      </c>
      <c r="B22" s="224">
        <f t="shared" ref="B22:B26" si="5">$B$4</f>
        <v>40</v>
      </c>
      <c r="C22" s="227">
        <f>IFERROR(VLOOKUP(A22,네이처몬스터피벗!A:SD,6,FALSE),0)</f>
        <v>5</v>
      </c>
      <c r="D22" s="227">
        <f>IFERROR(ROUNDDOWN(C22/B22,0),"")</f>
        <v>0</v>
      </c>
      <c r="E22" s="51" t="s">
        <v>268</v>
      </c>
      <c r="F22" s="228">
        <f>IFERROR(C22-(D22*B22),"")</f>
        <v>5</v>
      </c>
      <c r="G22" s="67"/>
      <c r="H22" s="67"/>
      <c r="J22" s="73"/>
      <c r="K22" s="73"/>
    </row>
    <row r="23" spans="1:11" ht="25.35" customHeight="1" x14ac:dyDescent="0.3">
      <c r="A23" s="221" t="s">
        <v>242</v>
      </c>
      <c r="B23" s="224">
        <f t="shared" si="5"/>
        <v>40</v>
      </c>
      <c r="C23" s="227">
        <f>IFERROR(VLOOKUP(A23,네이처몬스터피벗!A:SD,6,FALSE),0)</f>
        <v>2</v>
      </c>
      <c r="D23" s="227">
        <f>IFERROR(ROUNDDOWN(C23/B23,0),"")</f>
        <v>0</v>
      </c>
      <c r="E23" s="51" t="s">
        <v>337</v>
      </c>
      <c r="F23" s="228">
        <f>IFERROR(C23-(D23*B23),"")</f>
        <v>2</v>
      </c>
      <c r="G23" s="67"/>
      <c r="H23" s="67"/>
      <c r="J23" s="73"/>
      <c r="K23" s="73"/>
    </row>
    <row r="24" spans="1:11" ht="25.35" customHeight="1" x14ac:dyDescent="0.3">
      <c r="A24" s="221" t="s">
        <v>243</v>
      </c>
      <c r="B24" s="224">
        <f t="shared" si="5"/>
        <v>40</v>
      </c>
      <c r="C24" s="227">
        <f>IFERROR(VLOOKUP(A24,네이처몬스터피벗!A:SD,6,FALSE),0)</f>
        <v>0</v>
      </c>
      <c r="D24" s="227">
        <f>IFERROR(ROUNDDOWN(C24/B24,0),"")</f>
        <v>0</v>
      </c>
      <c r="E24" s="51" t="s">
        <v>106</v>
      </c>
      <c r="F24" s="228">
        <f>IFERROR(C24-(D24*B24),"")</f>
        <v>0</v>
      </c>
      <c r="G24" s="67"/>
      <c r="H24" s="67"/>
      <c r="J24" s="73"/>
      <c r="K24" s="73"/>
    </row>
    <row r="25" spans="1:11" ht="25.35" customHeight="1" x14ac:dyDescent="0.3">
      <c r="A25" s="221" t="s">
        <v>244</v>
      </c>
      <c r="B25" s="224">
        <f t="shared" si="5"/>
        <v>40</v>
      </c>
      <c r="C25" s="227">
        <f>IFERROR(VLOOKUP(A25,네이처몬스터피벗!A:SD,6,FALSE),0)</f>
        <v>14</v>
      </c>
      <c r="D25" s="227">
        <f>IFERROR(ROUNDDOWN(C25/B25,0),"")</f>
        <v>0</v>
      </c>
      <c r="E25" s="51" t="s">
        <v>269</v>
      </c>
      <c r="F25" s="228">
        <f>IFERROR(C25-(D25*B25),"")</f>
        <v>14</v>
      </c>
      <c r="G25" s="67"/>
      <c r="H25" s="67"/>
      <c r="J25" s="73"/>
      <c r="K25" s="73"/>
    </row>
    <row r="26" spans="1:11" ht="25.35" customHeight="1" x14ac:dyDescent="0.3">
      <c r="A26" s="221" t="s">
        <v>245</v>
      </c>
      <c r="B26" s="224">
        <f t="shared" si="5"/>
        <v>40</v>
      </c>
      <c r="C26" s="227">
        <f>IFERROR(VLOOKUP(A26,네이처몬스터피벗!A:SD,6,FALSE),0)</f>
        <v>3</v>
      </c>
      <c r="D26" s="227">
        <f>IFERROR(ROUNDDOWN(C26/B26,0),"")</f>
        <v>0</v>
      </c>
      <c r="E26" s="51" t="s">
        <v>118</v>
      </c>
      <c r="F26" s="228">
        <f>IFERROR(C26-(D26*B26),"")</f>
        <v>3</v>
      </c>
      <c r="G26" s="67"/>
      <c r="H26" s="67"/>
      <c r="J26" s="73"/>
      <c r="K26" s="73"/>
    </row>
    <row r="27" spans="1:11" ht="4.5" customHeight="1" x14ac:dyDescent="0.3">
      <c r="A27" s="183"/>
      <c r="B27" s="50"/>
      <c r="C27" s="50"/>
      <c r="D27" s="50"/>
      <c r="E27" s="50"/>
      <c r="F27" s="184"/>
      <c r="G27" s="67"/>
      <c r="H27" s="67"/>
      <c r="J27" s="73"/>
      <c r="K27" s="73"/>
    </row>
    <row r="28" spans="1:11" ht="32.450000000000003" customHeight="1" x14ac:dyDescent="0.3">
      <c r="A28" s="211" t="s">
        <v>285</v>
      </c>
      <c r="B28" s="225">
        <f>$B$4</f>
        <v>40</v>
      </c>
      <c r="C28" s="212">
        <f>SUM(C22:C26)</f>
        <v>24</v>
      </c>
      <c r="D28" s="55">
        <f>IFERROR(ROUNDDOWN(C28/B28,0),"")</f>
        <v>0</v>
      </c>
      <c r="E28" s="213"/>
      <c r="F28" s="214">
        <f>IFERROR(C28-(D28*B28),"")</f>
        <v>24</v>
      </c>
      <c r="G28" s="67"/>
      <c r="H28" s="67"/>
      <c r="J28" s="73"/>
      <c r="K28" s="73"/>
    </row>
    <row r="29" spans="1:11" ht="4.5" customHeight="1" x14ac:dyDescent="0.3">
      <c r="A29" s="183"/>
      <c r="B29" s="50"/>
      <c r="C29" s="50"/>
      <c r="D29" s="50"/>
      <c r="E29" s="50"/>
      <c r="F29" s="184"/>
      <c r="G29" s="67"/>
      <c r="H29" s="67"/>
      <c r="J29" s="73"/>
      <c r="K29" s="73"/>
    </row>
    <row r="30" spans="1:11" ht="25.35" customHeight="1" x14ac:dyDescent="0.3">
      <c r="A30" s="221" t="s">
        <v>239</v>
      </c>
      <c r="B30" s="224">
        <f t="shared" ref="B30:B31" si="6">$B$4</f>
        <v>40</v>
      </c>
      <c r="C30" s="227">
        <f>IFERROR(VLOOKUP(A30,네이처몬스터피벗!A:SD,6,FALSE),0)</f>
        <v>5</v>
      </c>
      <c r="D30" s="227">
        <f t="shared" ref="D30:D31" si="7">IFERROR(ROUNDDOWN(C30/B30,0),"")</f>
        <v>0</v>
      </c>
      <c r="E30" s="51" t="s">
        <v>266</v>
      </c>
      <c r="F30" s="228">
        <f t="shared" ref="F30:F31" si="8">IFERROR(C30-(D30*B30),"")</f>
        <v>5</v>
      </c>
      <c r="G30" s="67"/>
      <c r="H30" s="67"/>
      <c r="J30" s="73"/>
      <c r="K30" s="73"/>
    </row>
    <row r="31" spans="1:11" ht="25.35" customHeight="1" x14ac:dyDescent="0.3">
      <c r="A31" s="221" t="s">
        <v>240</v>
      </c>
      <c r="B31" s="224">
        <f t="shared" si="6"/>
        <v>40</v>
      </c>
      <c r="C31" s="227">
        <f>IFERROR(VLOOKUP(A31,네이처몬스터피벗!A:SD,6,FALSE),0)</f>
        <v>5</v>
      </c>
      <c r="D31" s="227">
        <f t="shared" si="7"/>
        <v>0</v>
      </c>
      <c r="E31" s="51" t="s">
        <v>267</v>
      </c>
      <c r="F31" s="228">
        <f t="shared" si="8"/>
        <v>5</v>
      </c>
      <c r="G31" s="67"/>
      <c r="H31" s="67"/>
      <c r="J31" s="73"/>
      <c r="K31" s="73"/>
    </row>
    <row r="32" spans="1:11" ht="4.5" customHeight="1" x14ac:dyDescent="0.3">
      <c r="A32" s="183"/>
      <c r="B32" s="50"/>
      <c r="C32" s="50"/>
      <c r="D32" s="50"/>
      <c r="E32" s="50"/>
      <c r="F32" s="184"/>
      <c r="G32" s="67"/>
      <c r="H32" s="67"/>
      <c r="J32" s="73"/>
      <c r="K32" s="73"/>
    </row>
    <row r="33" spans="1:11" ht="32.450000000000003" customHeight="1" x14ac:dyDescent="0.3">
      <c r="A33" s="211" t="s">
        <v>284</v>
      </c>
      <c r="B33" s="225">
        <f>$B$4</f>
        <v>40</v>
      </c>
      <c r="C33" s="212">
        <f>SUM(C30:C31)</f>
        <v>10</v>
      </c>
      <c r="D33" s="55">
        <f>IFERROR(ROUNDDOWN(C33/B33,0),"")</f>
        <v>0</v>
      </c>
      <c r="E33" s="213"/>
      <c r="F33" s="214">
        <f>IFERROR(C33-(D33*B33),"")</f>
        <v>10</v>
      </c>
      <c r="G33" s="67"/>
      <c r="H33" s="67"/>
      <c r="J33" s="73"/>
      <c r="K33" s="73"/>
    </row>
    <row r="34" spans="1:11" ht="4.5" customHeight="1" x14ac:dyDescent="0.3">
      <c r="A34" s="183"/>
      <c r="B34" s="224"/>
      <c r="C34" s="50"/>
      <c r="D34" s="50"/>
      <c r="E34" s="50"/>
      <c r="F34" s="184"/>
      <c r="G34" s="67"/>
      <c r="H34" s="67"/>
      <c r="J34" s="73"/>
      <c r="K34" s="73"/>
    </row>
    <row r="35" spans="1:11" ht="25.35" customHeight="1" x14ac:dyDescent="0.3">
      <c r="A35" s="221" t="s">
        <v>236</v>
      </c>
      <c r="B35" s="224">
        <f t="shared" ref="B35:B37" si="9">$B$4</f>
        <v>40</v>
      </c>
      <c r="C35" s="227">
        <f>IFERROR(VLOOKUP(A35,네이처몬스터피벗!A:SD,6,FALSE),0)</f>
        <v>5</v>
      </c>
      <c r="D35" s="227">
        <f>IFERROR(ROUNDDOWN(C35/B35,0),"")</f>
        <v>0</v>
      </c>
      <c r="E35" s="51" t="s">
        <v>264</v>
      </c>
      <c r="F35" s="228">
        <f>IFERROR(C35-(D35*B35),"")</f>
        <v>5</v>
      </c>
      <c r="G35" s="67"/>
      <c r="H35" s="67"/>
      <c r="J35" s="73"/>
      <c r="K35" s="73"/>
    </row>
    <row r="36" spans="1:11" ht="25.35" customHeight="1" x14ac:dyDescent="0.3">
      <c r="A36" s="221" t="s">
        <v>237</v>
      </c>
      <c r="B36" s="224">
        <f t="shared" si="9"/>
        <v>40</v>
      </c>
      <c r="C36" s="227">
        <f>IFERROR(VLOOKUP(A36,네이처몬스터피벗!A:SD,6,FALSE),0)</f>
        <v>1</v>
      </c>
      <c r="D36" s="227">
        <f t="shared" ref="D36:D37" si="10">IFERROR(ROUNDDOWN(C36/B36,0),"")</f>
        <v>0</v>
      </c>
      <c r="E36" s="51" t="s">
        <v>338</v>
      </c>
      <c r="F36" s="228">
        <f t="shared" ref="F36:F37" si="11">IFERROR(C36-(D36*B36),"")</f>
        <v>1</v>
      </c>
      <c r="G36" s="67"/>
      <c r="H36" s="67"/>
      <c r="J36" s="73"/>
      <c r="K36" s="73"/>
    </row>
    <row r="37" spans="1:11" ht="25.35" customHeight="1" x14ac:dyDescent="0.3">
      <c r="A37" s="221" t="s">
        <v>238</v>
      </c>
      <c r="B37" s="224">
        <f t="shared" si="9"/>
        <v>40</v>
      </c>
      <c r="C37" s="227">
        <f>IFERROR(VLOOKUP(A37,네이처몬스터피벗!A:SD,6,FALSE),0)</f>
        <v>3</v>
      </c>
      <c r="D37" s="227">
        <f t="shared" si="10"/>
        <v>0</v>
      </c>
      <c r="E37" s="51" t="s">
        <v>265</v>
      </c>
      <c r="F37" s="228">
        <f t="shared" si="11"/>
        <v>3</v>
      </c>
      <c r="G37" s="67"/>
      <c r="H37" s="67"/>
      <c r="J37" s="73"/>
      <c r="K37" s="73"/>
    </row>
    <row r="38" spans="1:11" ht="4.5" customHeight="1" x14ac:dyDescent="0.3">
      <c r="A38" s="183"/>
      <c r="B38" s="50"/>
      <c r="C38" s="50"/>
      <c r="D38" s="50"/>
      <c r="E38" s="50"/>
      <c r="F38" s="184"/>
      <c r="G38" s="67"/>
      <c r="H38" s="67"/>
      <c r="J38" s="73"/>
      <c r="K38" s="73"/>
    </row>
    <row r="39" spans="1:11" ht="32.450000000000003" customHeight="1" x14ac:dyDescent="0.3">
      <c r="A39" s="211" t="s">
        <v>283</v>
      </c>
      <c r="B39" s="225">
        <f>$B$4</f>
        <v>40</v>
      </c>
      <c r="C39" s="212">
        <f>SUM(C35:C37)</f>
        <v>9</v>
      </c>
      <c r="D39" s="55">
        <f>IFERROR(ROUNDDOWN(C39/B39,0),"")</f>
        <v>0</v>
      </c>
      <c r="E39" s="213"/>
      <c r="F39" s="214">
        <f>IFERROR(C39-(D39*B39),"")</f>
        <v>9</v>
      </c>
      <c r="G39" s="67"/>
      <c r="H39" s="67"/>
      <c r="J39" s="73"/>
      <c r="K39" s="73"/>
    </row>
    <row r="40" spans="1:11" ht="4.5" customHeight="1" x14ac:dyDescent="0.3">
      <c r="A40" s="183"/>
      <c r="B40" s="224"/>
      <c r="C40" s="50"/>
      <c r="D40" s="50"/>
      <c r="E40" s="50"/>
      <c r="F40" s="184"/>
      <c r="G40" s="67"/>
      <c r="H40" s="67"/>
      <c r="J40" s="73"/>
      <c r="K40" s="73"/>
    </row>
    <row r="41" spans="1:11" ht="25.35" customHeight="1" x14ac:dyDescent="0.3">
      <c r="A41" s="221" t="s">
        <v>261</v>
      </c>
      <c r="B41" s="224">
        <f t="shared" ref="B41:B42" si="12">$B$4</f>
        <v>40</v>
      </c>
      <c r="C41" s="227">
        <f>IFERROR(VLOOKUP(A41,네이처몬스터피벗!A:SD,6,FALSE),0)</f>
        <v>0</v>
      </c>
      <c r="D41" s="227">
        <f t="shared" ref="D41:D42" si="13">IFERROR(ROUNDDOWN(C41/B41,0),"")</f>
        <v>0</v>
      </c>
      <c r="E41" s="51" t="s">
        <v>281</v>
      </c>
      <c r="F41" s="228">
        <f t="shared" ref="F41:F42" si="14">IFERROR(C41-(D41*B41),"")</f>
        <v>0</v>
      </c>
      <c r="G41" s="67"/>
      <c r="H41" s="67"/>
      <c r="J41" s="73"/>
      <c r="K41" s="73"/>
    </row>
    <row r="42" spans="1:11" ht="25.35" customHeight="1" x14ac:dyDescent="0.3">
      <c r="A42" s="221" t="s">
        <v>262</v>
      </c>
      <c r="B42" s="224">
        <f t="shared" si="12"/>
        <v>40</v>
      </c>
      <c r="C42" s="227">
        <f>IFERROR(VLOOKUP(A42,네이처몬스터피벗!A:SD,6,FALSE),0)</f>
        <v>0</v>
      </c>
      <c r="D42" s="227">
        <f t="shared" si="13"/>
        <v>0</v>
      </c>
      <c r="E42" s="51" t="s">
        <v>282</v>
      </c>
      <c r="F42" s="228">
        <f t="shared" si="14"/>
        <v>0</v>
      </c>
      <c r="G42" s="67"/>
      <c r="H42" s="67"/>
      <c r="J42" s="73"/>
      <c r="K42" s="73"/>
    </row>
    <row r="43" spans="1:11" ht="4.5" customHeight="1" x14ac:dyDescent="0.3">
      <c r="A43" s="183"/>
      <c r="B43" s="50"/>
      <c r="C43" s="50"/>
      <c r="D43" s="50"/>
      <c r="E43" s="50"/>
      <c r="F43" s="184"/>
      <c r="G43" s="67"/>
      <c r="H43" s="67"/>
      <c r="J43" s="73"/>
      <c r="K43" s="73"/>
    </row>
    <row r="44" spans="1:11" ht="32.450000000000003" customHeight="1" x14ac:dyDescent="0.3">
      <c r="A44" s="211" t="s">
        <v>339</v>
      </c>
      <c r="B44" s="225">
        <f>$B$4</f>
        <v>40</v>
      </c>
      <c r="C44" s="212">
        <f>SUM(C41:C42)</f>
        <v>0</v>
      </c>
      <c r="D44" s="55">
        <f>IFERROR(ROUNDDOWN(C44/B44,0),"")</f>
        <v>0</v>
      </c>
      <c r="E44" s="213"/>
      <c r="F44" s="214">
        <f>IFERROR(C44-(D44*B44),"")</f>
        <v>0</v>
      </c>
      <c r="G44" s="67"/>
      <c r="H44" s="67"/>
      <c r="J44" s="73"/>
      <c r="K44" s="73"/>
    </row>
    <row r="45" spans="1:11" ht="4.5" customHeight="1" thickBot="1" x14ac:dyDescent="0.35">
      <c r="A45" s="183"/>
      <c r="B45" s="50"/>
      <c r="C45" s="50"/>
      <c r="D45" s="50"/>
      <c r="E45" s="50"/>
      <c r="F45" s="184"/>
      <c r="G45" s="67"/>
      <c r="H45" s="67"/>
      <c r="J45" s="73"/>
      <c r="K45" s="73"/>
    </row>
    <row r="46" spans="1:11" ht="26.25" x14ac:dyDescent="0.3">
      <c r="A46" s="87" t="s">
        <v>3</v>
      </c>
      <c r="B46" s="226">
        <f>$B$4</f>
        <v>40</v>
      </c>
      <c r="C46" s="55">
        <f>SUM(C4:C18,C35:C37,C30:C31,C22:C26,C41:C42)</f>
        <v>150</v>
      </c>
      <c r="D46" s="54">
        <f>IFERROR(ROUNDDOWN(C46/B46,0),"")</f>
        <v>3</v>
      </c>
      <c r="E46" s="56"/>
      <c r="F46" s="121">
        <f>IFERROR(C46-(D46*B46),"")</f>
        <v>30</v>
      </c>
      <c r="G46" s="232" t="s">
        <v>110</v>
      </c>
      <c r="H46" s="233" t="s">
        <v>111</v>
      </c>
      <c r="J46" s="73"/>
      <c r="K46" s="73"/>
    </row>
    <row r="47" spans="1:11" ht="27" thickBot="1" x14ac:dyDescent="0.35">
      <c r="A47" s="42" t="s">
        <v>286</v>
      </c>
      <c r="B47" s="43" t="s">
        <v>173</v>
      </c>
      <c r="C47" s="40"/>
      <c r="D47" s="41">
        <f>SUM(D4:D18,D35:D37,D30:D31,D22:D26,D41:D42)</f>
        <v>0</v>
      </c>
      <c r="E47" s="48"/>
      <c r="F47" s="93">
        <f>SUM(F4:F18,F35:F37,F30:F31,F22:F26,F41:F42)</f>
        <v>150</v>
      </c>
      <c r="G47" s="216">
        <f>IFERROR(ROUNDDOWN(F47/B35,0),"")</f>
        <v>3</v>
      </c>
      <c r="H47" s="217">
        <f>IFERROR(F47-(G47*B35),"")</f>
        <v>30</v>
      </c>
    </row>
    <row r="48" spans="1:11" ht="22.5" customHeight="1" x14ac:dyDescent="0.3">
      <c r="C48" s="77">
        <f>C20+C28+C33+C39+C44</f>
        <v>150</v>
      </c>
      <c r="G48" s="199"/>
      <c r="H48" s="34" t="s">
        <v>174</v>
      </c>
    </row>
    <row r="49" spans="3:3" x14ac:dyDescent="0.3">
      <c r="C49" s="34" t="b">
        <f>C48=C46</f>
        <v>1</v>
      </c>
    </row>
  </sheetData>
  <mergeCells count="1">
    <mergeCell ref="A1:F1"/>
  </mergeCells>
  <phoneticPr fontId="13" type="noConversion"/>
  <printOptions horizontalCentered="1" verticalCentered="1"/>
  <pageMargins left="0" right="0" top="0" bottom="0" header="0" footer="0"/>
  <pageSetup paperSize="9" scale="77" orientation="portrait" r:id="rId1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0ABC7D-DE9B-4A45-AA33-44266FCCF590}">
  <sheetPr>
    <tabColor rgb="FFE977DB"/>
    <pageSetUpPr fitToPage="1"/>
  </sheetPr>
  <dimension ref="A1:L49"/>
  <sheetViews>
    <sheetView zoomScale="40" zoomScaleNormal="40" zoomScaleSheetLayoutView="75" workbookViewId="0">
      <selection activeCell="A2" sqref="A2:F47"/>
    </sheetView>
  </sheetViews>
  <sheetFormatPr defaultColWidth="9" defaultRowHeight="16.5" x14ac:dyDescent="0.3"/>
  <cols>
    <col min="1" max="1" width="24.75" style="34" customWidth="1"/>
    <col min="2" max="2" width="7.625" style="38" customWidth="1"/>
    <col min="3" max="3" width="30.625" style="34" customWidth="1"/>
    <col min="4" max="4" width="9.875" style="2" customWidth="1"/>
    <col min="5" max="5" width="11.375" style="34" customWidth="1"/>
    <col min="6" max="6" width="11.125" style="2" customWidth="1"/>
    <col min="7" max="7" width="8.375" style="34" customWidth="1"/>
    <col min="8" max="8" width="9" style="34" customWidth="1"/>
    <col min="9" max="13" width="9" style="34"/>
    <col min="14" max="14" width="10.625" style="34" customWidth="1"/>
    <col min="15" max="17" width="9" style="34"/>
    <col min="18" max="18" width="36.5" style="34" bestFit="1" customWidth="1"/>
    <col min="19" max="16384" width="9" style="34"/>
  </cols>
  <sheetData>
    <row r="1" spans="1:12" ht="25.9" customHeight="1" thickBot="1" x14ac:dyDescent="0.35">
      <c r="A1" s="270"/>
      <c r="B1" s="270"/>
      <c r="C1" s="270"/>
      <c r="D1" s="270"/>
      <c r="E1" s="270"/>
      <c r="F1" s="270"/>
    </row>
    <row r="2" spans="1:12" ht="25.9" customHeight="1" x14ac:dyDescent="0.3">
      <c r="A2" s="215">
        <f ca="1">TODAY()</f>
        <v>46314</v>
      </c>
      <c r="B2" s="256" t="s">
        <v>384</v>
      </c>
      <c r="C2" s="256"/>
      <c r="D2" s="256"/>
      <c r="E2" s="256"/>
      <c r="F2" s="257"/>
      <c r="G2" s="67"/>
      <c r="H2" s="67"/>
    </row>
    <row r="3" spans="1:12" ht="40.5" customHeight="1" x14ac:dyDescent="0.3">
      <c r="A3" s="222" t="s">
        <v>67</v>
      </c>
      <c r="B3" s="223" t="s">
        <v>13</v>
      </c>
      <c r="C3" s="229" t="s">
        <v>310</v>
      </c>
      <c r="D3" s="230" t="s">
        <v>2</v>
      </c>
      <c r="E3" s="229" t="s">
        <v>23</v>
      </c>
      <c r="F3" s="231" t="s">
        <v>14</v>
      </c>
      <c r="G3" s="67"/>
      <c r="H3" s="67"/>
      <c r="K3" s="73"/>
      <c r="L3" s="73"/>
    </row>
    <row r="4" spans="1:12" ht="25.35" customHeight="1" x14ac:dyDescent="0.3">
      <c r="A4" s="220" t="s">
        <v>260</v>
      </c>
      <c r="B4" s="224">
        <v>40</v>
      </c>
      <c r="C4" s="227">
        <f>IFERROR(VLOOKUP(A4,네이처몬스터피벗!A:SD,7,FALSE),0)</f>
        <v>13</v>
      </c>
      <c r="D4" s="227">
        <f t="shared" ref="D4:D18" si="0">IFERROR(ROUNDDOWN(C4/B4,0),"")</f>
        <v>0</v>
      </c>
      <c r="E4" s="51" t="s">
        <v>109</v>
      </c>
      <c r="F4" s="228">
        <f t="shared" ref="F4:F18" si="1">IFERROR(C4-(D4*B4),"")</f>
        <v>13</v>
      </c>
      <c r="G4" s="67"/>
      <c r="H4" s="67"/>
      <c r="K4" s="73"/>
      <c r="L4" s="73"/>
    </row>
    <row r="5" spans="1:12" ht="25.35" customHeight="1" x14ac:dyDescent="0.3">
      <c r="A5" s="221" t="s">
        <v>255</v>
      </c>
      <c r="B5" s="224">
        <f t="shared" ref="B5:B18" si="2">$B$4</f>
        <v>40</v>
      </c>
      <c r="C5" s="227">
        <f>IFERROR(VLOOKUP(A5,네이처몬스터피벗!A:SD,7,FALSE),0)</f>
        <v>45</v>
      </c>
      <c r="D5" s="227">
        <f t="shared" ref="D5" si="3">IFERROR(ROUNDDOWN(C5/B5,0),"")</f>
        <v>1</v>
      </c>
      <c r="E5" s="51" t="s">
        <v>335</v>
      </c>
      <c r="F5" s="228">
        <f t="shared" ref="F5" si="4">IFERROR(C5-(D5*B5),"")</f>
        <v>5</v>
      </c>
      <c r="G5" s="67"/>
      <c r="H5" s="67"/>
      <c r="K5" s="73"/>
      <c r="L5" s="73"/>
    </row>
    <row r="6" spans="1:12" ht="25.35" customHeight="1" x14ac:dyDescent="0.3">
      <c r="A6" s="221" t="s">
        <v>249</v>
      </c>
      <c r="B6" s="224">
        <f t="shared" si="2"/>
        <v>40</v>
      </c>
      <c r="C6" s="227">
        <f>IFERROR(VLOOKUP(A6,네이처몬스터피벗!A:SD,7,FALSE),0)</f>
        <v>18</v>
      </c>
      <c r="D6" s="227">
        <f>IFERROR(ROUNDDOWN(C6/B6,0),"")</f>
        <v>0</v>
      </c>
      <c r="E6" s="51" t="s">
        <v>272</v>
      </c>
      <c r="F6" s="228">
        <f>IFERROR(C6-(D6*B6),"")</f>
        <v>18</v>
      </c>
      <c r="G6" s="67"/>
      <c r="H6" s="67"/>
      <c r="K6" s="73"/>
      <c r="L6" s="73"/>
    </row>
    <row r="7" spans="1:12" ht="25.35" customHeight="1" x14ac:dyDescent="0.3">
      <c r="A7" s="221" t="s">
        <v>250</v>
      </c>
      <c r="B7" s="224">
        <f t="shared" si="2"/>
        <v>40</v>
      </c>
      <c r="C7" s="227">
        <f>IFERROR(VLOOKUP(A7,네이처몬스터피벗!A:SD,7,FALSE),0)</f>
        <v>29</v>
      </c>
      <c r="D7" s="227">
        <f>IFERROR(ROUNDDOWN(C7/B7,0),"")</f>
        <v>0</v>
      </c>
      <c r="E7" s="51" t="s">
        <v>273</v>
      </c>
      <c r="F7" s="228">
        <f>IFERROR(C7-(D7*B7),"")</f>
        <v>29</v>
      </c>
      <c r="G7" s="67"/>
      <c r="H7" s="67"/>
      <c r="K7" s="73"/>
      <c r="L7" s="73"/>
    </row>
    <row r="8" spans="1:12" ht="25.35" customHeight="1" x14ac:dyDescent="0.3">
      <c r="A8" s="221" t="s">
        <v>248</v>
      </c>
      <c r="B8" s="224">
        <f t="shared" si="2"/>
        <v>40</v>
      </c>
      <c r="C8" s="227">
        <f>IFERROR(VLOOKUP(A8,네이처몬스터피벗!A:SD,7,FALSE),0)</f>
        <v>17</v>
      </c>
      <c r="D8" s="227">
        <f>IFERROR(ROUNDDOWN(C8/B8,0),"")</f>
        <v>0</v>
      </c>
      <c r="E8" s="51" t="s">
        <v>271</v>
      </c>
      <c r="F8" s="228">
        <f>IFERROR(C8-(D8*B8),"")</f>
        <v>17</v>
      </c>
      <c r="G8" s="67"/>
      <c r="H8" s="67"/>
      <c r="K8" s="73"/>
      <c r="L8" s="73"/>
    </row>
    <row r="9" spans="1:12" ht="25.35" customHeight="1" x14ac:dyDescent="0.3">
      <c r="A9" s="221" t="s">
        <v>246</v>
      </c>
      <c r="B9" s="224">
        <f t="shared" si="2"/>
        <v>40</v>
      </c>
      <c r="C9" s="227">
        <f>IFERROR(VLOOKUP(A9,네이처몬스터피벗!A:SD,7,FALSE),0)</f>
        <v>27</v>
      </c>
      <c r="D9" s="227">
        <f t="shared" si="0"/>
        <v>0</v>
      </c>
      <c r="E9" s="51" t="s">
        <v>270</v>
      </c>
      <c r="F9" s="228">
        <f t="shared" si="1"/>
        <v>27</v>
      </c>
      <c r="G9" s="67"/>
      <c r="H9" s="67"/>
      <c r="K9" s="73"/>
      <c r="L9" s="73"/>
    </row>
    <row r="10" spans="1:12" ht="25.35" customHeight="1" x14ac:dyDescent="0.3">
      <c r="A10" s="221" t="s">
        <v>256</v>
      </c>
      <c r="B10" s="224">
        <f t="shared" si="2"/>
        <v>40</v>
      </c>
      <c r="C10" s="227">
        <f>IFERROR(VLOOKUP(A10,네이처몬스터피벗!A:SD,7,FALSE),0)</f>
        <v>8</v>
      </c>
      <c r="D10" s="227">
        <f>IFERROR(ROUNDDOWN(C10/B10,0),"")</f>
        <v>0</v>
      </c>
      <c r="E10" s="51" t="s">
        <v>278</v>
      </c>
      <c r="F10" s="228">
        <f>IFERROR(C10-(D10*B10),"")</f>
        <v>8</v>
      </c>
      <c r="G10" s="67"/>
      <c r="H10" s="67"/>
      <c r="K10" s="73"/>
      <c r="L10" s="73"/>
    </row>
    <row r="11" spans="1:12" ht="25.35" customHeight="1" x14ac:dyDescent="0.3">
      <c r="A11" s="221" t="s">
        <v>247</v>
      </c>
      <c r="B11" s="224">
        <f t="shared" si="2"/>
        <v>40</v>
      </c>
      <c r="C11" s="227">
        <f>IFERROR(VLOOKUP(A11,네이처몬스터피벗!A:SD,7,FALSE),0)</f>
        <v>12</v>
      </c>
      <c r="D11" s="227">
        <f t="shared" si="0"/>
        <v>0</v>
      </c>
      <c r="E11" s="51" t="s">
        <v>334</v>
      </c>
      <c r="F11" s="228">
        <f t="shared" si="1"/>
        <v>12</v>
      </c>
      <c r="G11" s="67"/>
      <c r="H11" s="67"/>
      <c r="K11" s="73"/>
      <c r="L11" s="73"/>
    </row>
    <row r="12" spans="1:12" ht="25.35" customHeight="1" x14ac:dyDescent="0.3">
      <c r="A12" s="221" t="s">
        <v>251</v>
      </c>
      <c r="B12" s="224">
        <f t="shared" si="2"/>
        <v>40</v>
      </c>
      <c r="C12" s="227">
        <f>IFERROR(VLOOKUP(A12,네이처몬스터피벗!A:SD,7,FALSE),0)</f>
        <v>33</v>
      </c>
      <c r="D12" s="227">
        <f t="shared" si="0"/>
        <v>0</v>
      </c>
      <c r="E12" s="51" t="s">
        <v>274</v>
      </c>
      <c r="F12" s="228">
        <f t="shared" si="1"/>
        <v>33</v>
      </c>
      <c r="G12" s="67"/>
      <c r="H12" s="67"/>
      <c r="K12" s="73"/>
      <c r="L12" s="73"/>
    </row>
    <row r="13" spans="1:12" ht="25.35" customHeight="1" x14ac:dyDescent="0.3">
      <c r="A13" s="220" t="s">
        <v>252</v>
      </c>
      <c r="B13" s="224">
        <f t="shared" si="2"/>
        <v>40</v>
      </c>
      <c r="C13" s="227">
        <f>IFERROR(VLOOKUP(A13,네이처몬스터피벗!A:SD,7,FALSE),0)</f>
        <v>33</v>
      </c>
      <c r="D13" s="227">
        <f t="shared" si="0"/>
        <v>0</v>
      </c>
      <c r="E13" s="51" t="s">
        <v>275</v>
      </c>
      <c r="F13" s="228">
        <f t="shared" si="1"/>
        <v>33</v>
      </c>
      <c r="G13" s="67"/>
      <c r="H13" s="67"/>
      <c r="K13" s="73"/>
      <c r="L13" s="73"/>
    </row>
    <row r="14" spans="1:12" ht="25.35" customHeight="1" x14ac:dyDescent="0.3">
      <c r="A14" s="221" t="s">
        <v>253</v>
      </c>
      <c r="B14" s="224">
        <f t="shared" si="2"/>
        <v>40</v>
      </c>
      <c r="C14" s="227">
        <f>IFERROR(VLOOKUP(A14,네이처몬스터피벗!A:SD,7,FALSE),0)</f>
        <v>35</v>
      </c>
      <c r="D14" s="227">
        <f t="shared" si="0"/>
        <v>0</v>
      </c>
      <c r="E14" s="51" t="s">
        <v>276</v>
      </c>
      <c r="F14" s="228">
        <f t="shared" si="1"/>
        <v>35</v>
      </c>
      <c r="G14" s="67"/>
      <c r="H14" s="67"/>
      <c r="K14" s="73"/>
      <c r="L14" s="73"/>
    </row>
    <row r="15" spans="1:12" ht="25.35" customHeight="1" x14ac:dyDescent="0.3">
      <c r="A15" s="221" t="s">
        <v>254</v>
      </c>
      <c r="B15" s="224">
        <f t="shared" si="2"/>
        <v>40</v>
      </c>
      <c r="C15" s="227">
        <f>IFERROR(VLOOKUP(A15,네이처몬스터피벗!A:SD,7,FALSE),0)</f>
        <v>38</v>
      </c>
      <c r="D15" s="227">
        <f t="shared" si="0"/>
        <v>0</v>
      </c>
      <c r="E15" s="51" t="s">
        <v>277</v>
      </c>
      <c r="F15" s="228">
        <f t="shared" si="1"/>
        <v>38</v>
      </c>
      <c r="G15" s="67"/>
      <c r="H15" s="67"/>
      <c r="K15" s="73"/>
      <c r="L15" s="73"/>
    </row>
    <row r="16" spans="1:12" ht="25.35" customHeight="1" x14ac:dyDescent="0.3">
      <c r="A16" s="221" t="s">
        <v>257</v>
      </c>
      <c r="B16" s="224">
        <f t="shared" si="2"/>
        <v>40</v>
      </c>
      <c r="C16" s="227">
        <f>IFERROR(VLOOKUP(A16,네이처몬스터피벗!A:SD,7,FALSE),0)</f>
        <v>25</v>
      </c>
      <c r="D16" s="227">
        <f t="shared" si="0"/>
        <v>0</v>
      </c>
      <c r="E16" s="51" t="s">
        <v>279</v>
      </c>
      <c r="F16" s="228">
        <f t="shared" si="1"/>
        <v>25</v>
      </c>
      <c r="G16" s="67"/>
      <c r="H16" s="67"/>
      <c r="K16" s="73"/>
      <c r="L16" s="73"/>
    </row>
    <row r="17" spans="1:12" ht="25.35" customHeight="1" x14ac:dyDescent="0.3">
      <c r="A17" s="221" t="s">
        <v>258</v>
      </c>
      <c r="B17" s="224">
        <f t="shared" si="2"/>
        <v>40</v>
      </c>
      <c r="C17" s="227">
        <f>IFERROR(VLOOKUP(A17,네이처몬스터피벗!A:SD,7,FALSE),0)</f>
        <v>8</v>
      </c>
      <c r="D17" s="227">
        <f t="shared" si="0"/>
        <v>0</v>
      </c>
      <c r="E17" s="51" t="s">
        <v>280</v>
      </c>
      <c r="F17" s="228">
        <f t="shared" si="1"/>
        <v>8</v>
      </c>
      <c r="G17" s="67"/>
      <c r="H17" s="67"/>
      <c r="K17" s="73"/>
      <c r="L17" s="73"/>
    </row>
    <row r="18" spans="1:12" ht="25.35" customHeight="1" x14ac:dyDescent="0.3">
      <c r="A18" s="221" t="s">
        <v>259</v>
      </c>
      <c r="B18" s="224">
        <f t="shared" si="2"/>
        <v>40</v>
      </c>
      <c r="C18" s="227">
        <f>IFERROR(VLOOKUP(A18,네이처몬스터피벗!A:SD,7,FALSE),0)</f>
        <v>8</v>
      </c>
      <c r="D18" s="227">
        <f t="shared" si="0"/>
        <v>0</v>
      </c>
      <c r="E18" s="51" t="s">
        <v>336</v>
      </c>
      <c r="F18" s="228">
        <f t="shared" si="1"/>
        <v>8</v>
      </c>
      <c r="G18" s="67"/>
      <c r="H18" s="67"/>
      <c r="K18" s="73"/>
      <c r="L18" s="73"/>
    </row>
    <row r="19" spans="1:12" ht="4.5" customHeight="1" x14ac:dyDescent="0.3">
      <c r="A19" s="183"/>
      <c r="B19" s="50"/>
      <c r="C19" s="50"/>
      <c r="D19" s="50"/>
      <c r="E19" s="50"/>
      <c r="F19" s="184"/>
      <c r="K19" s="73"/>
      <c r="L19" s="73"/>
    </row>
    <row r="20" spans="1:12" ht="32.450000000000003" customHeight="1" x14ac:dyDescent="0.3">
      <c r="A20" s="211" t="s">
        <v>122</v>
      </c>
      <c r="B20" s="225">
        <f>$B$4</f>
        <v>40</v>
      </c>
      <c r="C20" s="212">
        <f>SUM(C4:C18)</f>
        <v>349</v>
      </c>
      <c r="D20" s="55">
        <f>IFERROR(ROUNDDOWN(C20/B20,0),"")</f>
        <v>8</v>
      </c>
      <c r="E20" s="213"/>
      <c r="F20" s="214">
        <f>IFERROR(C20-(D20*B20),"")</f>
        <v>29</v>
      </c>
      <c r="K20" s="73"/>
      <c r="L20" s="73"/>
    </row>
    <row r="21" spans="1:12" ht="4.5" customHeight="1" x14ac:dyDescent="0.3">
      <c r="A21" s="183"/>
      <c r="B21" s="224"/>
      <c r="C21" s="50"/>
      <c r="D21" s="50"/>
      <c r="E21" s="50"/>
      <c r="F21" s="184"/>
      <c r="K21" s="73"/>
      <c r="L21" s="73"/>
    </row>
    <row r="22" spans="1:12" ht="25.35" customHeight="1" x14ac:dyDescent="0.3">
      <c r="A22" s="221" t="s">
        <v>241</v>
      </c>
      <c r="B22" s="224">
        <f t="shared" ref="B22:B26" si="5">$B$4</f>
        <v>40</v>
      </c>
      <c r="C22" s="227">
        <f>IFERROR(VLOOKUP(A22,네이처몬스터피벗!A:SD,7,FALSE),0)</f>
        <v>15</v>
      </c>
      <c r="D22" s="227">
        <f>IFERROR(ROUNDDOWN(C22/B22,0),"")</f>
        <v>0</v>
      </c>
      <c r="E22" s="51" t="s">
        <v>268</v>
      </c>
      <c r="F22" s="228">
        <f>IFERROR(C22-(D22*B22),"")</f>
        <v>15</v>
      </c>
      <c r="G22" s="67"/>
      <c r="H22" s="67"/>
      <c r="K22" s="73"/>
      <c r="L22" s="73"/>
    </row>
    <row r="23" spans="1:12" ht="25.35" customHeight="1" x14ac:dyDescent="0.3">
      <c r="A23" s="221" t="s">
        <v>242</v>
      </c>
      <c r="B23" s="224">
        <f t="shared" si="5"/>
        <v>40</v>
      </c>
      <c r="C23" s="227">
        <f>IFERROR(VLOOKUP(A23,네이처몬스터피벗!A:SD,7,FALSE),0)</f>
        <v>13</v>
      </c>
      <c r="D23" s="227">
        <f>IFERROR(ROUNDDOWN(C23/B23,0),"")</f>
        <v>0</v>
      </c>
      <c r="E23" s="51" t="s">
        <v>337</v>
      </c>
      <c r="F23" s="228">
        <f>IFERROR(C23-(D23*B23),"")</f>
        <v>13</v>
      </c>
      <c r="G23" s="67"/>
      <c r="H23" s="67"/>
      <c r="K23" s="73"/>
      <c r="L23" s="73"/>
    </row>
    <row r="24" spans="1:12" ht="25.35" customHeight="1" x14ac:dyDescent="0.3">
      <c r="A24" s="221" t="s">
        <v>243</v>
      </c>
      <c r="B24" s="224">
        <f t="shared" si="5"/>
        <v>40</v>
      </c>
      <c r="C24" s="227">
        <f>IFERROR(VLOOKUP(A24,네이처몬스터피벗!A:SD,7,FALSE),0)</f>
        <v>0</v>
      </c>
      <c r="D24" s="227">
        <f>IFERROR(ROUNDDOWN(C24/B24,0),"")</f>
        <v>0</v>
      </c>
      <c r="E24" s="51" t="s">
        <v>106</v>
      </c>
      <c r="F24" s="228">
        <f>IFERROR(C24-(D24*B24),"")</f>
        <v>0</v>
      </c>
      <c r="G24" s="67"/>
      <c r="H24" s="67"/>
      <c r="K24" s="73"/>
      <c r="L24" s="73"/>
    </row>
    <row r="25" spans="1:12" ht="25.35" customHeight="1" x14ac:dyDescent="0.3">
      <c r="A25" s="221" t="s">
        <v>244</v>
      </c>
      <c r="B25" s="224">
        <f t="shared" si="5"/>
        <v>40</v>
      </c>
      <c r="C25" s="227">
        <f>IFERROR(VLOOKUP(A25,네이처몬스터피벗!A:SD,7,FALSE),0)</f>
        <v>28</v>
      </c>
      <c r="D25" s="227">
        <f>IFERROR(ROUNDDOWN(C25/B25,0),"")</f>
        <v>0</v>
      </c>
      <c r="E25" s="51" t="s">
        <v>269</v>
      </c>
      <c r="F25" s="228">
        <f>IFERROR(C25-(D25*B25),"")</f>
        <v>28</v>
      </c>
      <c r="G25" s="67"/>
      <c r="H25" s="67"/>
      <c r="K25" s="73"/>
      <c r="L25" s="73"/>
    </row>
    <row r="26" spans="1:12" ht="25.35" customHeight="1" x14ac:dyDescent="0.3">
      <c r="A26" s="221" t="s">
        <v>245</v>
      </c>
      <c r="B26" s="224">
        <f t="shared" si="5"/>
        <v>40</v>
      </c>
      <c r="C26" s="227">
        <f>IFERROR(VLOOKUP(A26,네이처몬스터피벗!A:SD,7,FALSE),0)</f>
        <v>14</v>
      </c>
      <c r="D26" s="227">
        <f>IFERROR(ROUNDDOWN(C26/B26,0),"")</f>
        <v>0</v>
      </c>
      <c r="E26" s="51" t="s">
        <v>118</v>
      </c>
      <c r="F26" s="228">
        <f>IFERROR(C26-(D26*B26),"")</f>
        <v>14</v>
      </c>
      <c r="G26" s="67"/>
      <c r="H26" s="67"/>
      <c r="K26" s="73"/>
      <c r="L26" s="73"/>
    </row>
    <row r="27" spans="1:12" ht="4.5" customHeight="1" x14ac:dyDescent="0.3">
      <c r="A27" s="183"/>
      <c r="B27" s="50"/>
      <c r="C27" s="50"/>
      <c r="D27" s="50"/>
      <c r="E27" s="50"/>
      <c r="F27" s="184"/>
      <c r="G27" s="67"/>
      <c r="H27" s="67"/>
      <c r="K27" s="73"/>
      <c r="L27" s="73"/>
    </row>
    <row r="28" spans="1:12" ht="32.450000000000003" customHeight="1" x14ac:dyDescent="0.3">
      <c r="A28" s="211" t="s">
        <v>285</v>
      </c>
      <c r="B28" s="225">
        <f>$B$4</f>
        <v>40</v>
      </c>
      <c r="C28" s="212">
        <f>SUM(C22:C26)</f>
        <v>70</v>
      </c>
      <c r="D28" s="55">
        <f>IFERROR(ROUNDDOWN(C28/B28,0),"")</f>
        <v>1</v>
      </c>
      <c r="E28" s="213"/>
      <c r="F28" s="214">
        <f>IFERROR(C28-(D28*B28),"")</f>
        <v>30</v>
      </c>
      <c r="G28" s="67"/>
      <c r="H28" s="67"/>
      <c r="K28" s="73"/>
      <c r="L28" s="73"/>
    </row>
    <row r="29" spans="1:12" ht="4.5" customHeight="1" x14ac:dyDescent="0.3">
      <c r="A29" s="183"/>
      <c r="B29" s="50"/>
      <c r="C29" s="50"/>
      <c r="D29" s="50"/>
      <c r="E29" s="50"/>
      <c r="F29" s="184"/>
      <c r="G29" s="67"/>
      <c r="H29" s="67"/>
      <c r="K29" s="73"/>
      <c r="L29" s="73"/>
    </row>
    <row r="30" spans="1:12" ht="25.35" customHeight="1" x14ac:dyDescent="0.3">
      <c r="A30" s="221" t="s">
        <v>239</v>
      </c>
      <c r="B30" s="224">
        <f t="shared" ref="B30:B31" si="6">$B$4</f>
        <v>40</v>
      </c>
      <c r="C30" s="227">
        <f>IFERROR(VLOOKUP(A30,네이처몬스터피벗!A:SD,7,FALSE),0)</f>
        <v>20</v>
      </c>
      <c r="D30" s="227">
        <f t="shared" ref="D30:D31" si="7">IFERROR(ROUNDDOWN(C30/B30,0),"")</f>
        <v>0</v>
      </c>
      <c r="E30" s="51" t="s">
        <v>266</v>
      </c>
      <c r="F30" s="228">
        <f t="shared" ref="F30:F31" si="8">IFERROR(C30-(D30*B30),"")</f>
        <v>20</v>
      </c>
      <c r="G30" s="67"/>
      <c r="H30" s="67"/>
      <c r="K30" s="73"/>
      <c r="L30" s="73"/>
    </row>
    <row r="31" spans="1:12" ht="25.35" customHeight="1" x14ac:dyDescent="0.3">
      <c r="A31" s="221" t="s">
        <v>240</v>
      </c>
      <c r="B31" s="224">
        <f t="shared" si="6"/>
        <v>40</v>
      </c>
      <c r="C31" s="227">
        <f>IFERROR(VLOOKUP(A31,네이처몬스터피벗!A:SD,7,FALSE),0)</f>
        <v>13</v>
      </c>
      <c r="D31" s="227">
        <f t="shared" si="7"/>
        <v>0</v>
      </c>
      <c r="E31" s="51" t="s">
        <v>267</v>
      </c>
      <c r="F31" s="228">
        <f t="shared" si="8"/>
        <v>13</v>
      </c>
      <c r="G31" s="67"/>
      <c r="H31" s="67"/>
      <c r="K31" s="73"/>
      <c r="L31" s="73"/>
    </row>
    <row r="32" spans="1:12" ht="4.5" customHeight="1" x14ac:dyDescent="0.3">
      <c r="A32" s="183"/>
      <c r="B32" s="50"/>
      <c r="C32" s="50"/>
      <c r="D32" s="50"/>
      <c r="E32" s="50"/>
      <c r="F32" s="184"/>
      <c r="G32" s="67"/>
      <c r="H32" s="67"/>
      <c r="K32" s="73"/>
      <c r="L32" s="73"/>
    </row>
    <row r="33" spans="1:12" ht="32.450000000000003" customHeight="1" x14ac:dyDescent="0.3">
      <c r="A33" s="211" t="s">
        <v>284</v>
      </c>
      <c r="B33" s="225">
        <f>$B$4</f>
        <v>40</v>
      </c>
      <c r="C33" s="212">
        <f>SUM(C30:C31)</f>
        <v>33</v>
      </c>
      <c r="D33" s="55">
        <f>IFERROR(ROUNDDOWN(C33/B33,0),"")</f>
        <v>0</v>
      </c>
      <c r="E33" s="213"/>
      <c r="F33" s="214">
        <f>IFERROR(C33-(D33*B33),"")</f>
        <v>33</v>
      </c>
      <c r="G33" s="67"/>
      <c r="H33" s="67"/>
      <c r="K33" s="73"/>
      <c r="L33" s="73"/>
    </row>
    <row r="34" spans="1:12" ht="4.5" customHeight="1" x14ac:dyDescent="0.3">
      <c r="A34" s="183"/>
      <c r="B34" s="224"/>
      <c r="C34" s="50"/>
      <c r="D34" s="50"/>
      <c r="E34" s="50"/>
      <c r="F34" s="184"/>
      <c r="G34" s="67"/>
      <c r="H34" s="67"/>
      <c r="K34" s="73"/>
      <c r="L34" s="73"/>
    </row>
    <row r="35" spans="1:12" ht="25.35" customHeight="1" x14ac:dyDescent="0.3">
      <c r="A35" s="221" t="s">
        <v>236</v>
      </c>
      <c r="B35" s="224">
        <f t="shared" ref="B35:B37" si="9">$B$4</f>
        <v>40</v>
      </c>
      <c r="C35" s="227">
        <f>IFERROR(VLOOKUP(A35,네이처몬스터피벗!A:SD,7,FALSE),0)</f>
        <v>24</v>
      </c>
      <c r="D35" s="227">
        <f>IFERROR(ROUNDDOWN(C35/B35,0),"")</f>
        <v>0</v>
      </c>
      <c r="E35" s="51" t="s">
        <v>264</v>
      </c>
      <c r="F35" s="228">
        <f>IFERROR(C35-(D35*B35),"")</f>
        <v>24</v>
      </c>
      <c r="G35" s="67"/>
      <c r="H35" s="67"/>
      <c r="K35" s="73"/>
      <c r="L35" s="73"/>
    </row>
    <row r="36" spans="1:12" ht="25.35" customHeight="1" x14ac:dyDescent="0.3">
      <c r="A36" s="221" t="s">
        <v>237</v>
      </c>
      <c r="B36" s="224">
        <f t="shared" si="9"/>
        <v>40</v>
      </c>
      <c r="C36" s="227">
        <f>IFERROR(VLOOKUP(A36,네이처몬스터피벗!A:SD,7,FALSE),0)</f>
        <v>7</v>
      </c>
      <c r="D36" s="227">
        <f t="shared" ref="D36:D37" si="10">IFERROR(ROUNDDOWN(C36/B36,0),"")</f>
        <v>0</v>
      </c>
      <c r="E36" s="51" t="s">
        <v>338</v>
      </c>
      <c r="F36" s="228">
        <f t="shared" ref="F36:F37" si="11">IFERROR(C36-(D36*B36),"")</f>
        <v>7</v>
      </c>
      <c r="G36" s="67"/>
      <c r="H36" s="67"/>
      <c r="K36" s="73"/>
      <c r="L36" s="73"/>
    </row>
    <row r="37" spans="1:12" ht="25.35" customHeight="1" x14ac:dyDescent="0.3">
      <c r="A37" s="221" t="s">
        <v>238</v>
      </c>
      <c r="B37" s="224">
        <f t="shared" si="9"/>
        <v>40</v>
      </c>
      <c r="C37" s="227">
        <f>IFERROR(VLOOKUP(A37,네이처몬스터피벗!A:SD,7,FALSE),0)</f>
        <v>13</v>
      </c>
      <c r="D37" s="227">
        <f t="shared" si="10"/>
        <v>0</v>
      </c>
      <c r="E37" s="51" t="s">
        <v>265</v>
      </c>
      <c r="F37" s="228">
        <f t="shared" si="11"/>
        <v>13</v>
      </c>
      <c r="G37" s="67"/>
      <c r="H37" s="67"/>
      <c r="K37" s="73"/>
      <c r="L37" s="73"/>
    </row>
    <row r="38" spans="1:12" ht="4.5" customHeight="1" x14ac:dyDescent="0.3">
      <c r="A38" s="183"/>
      <c r="B38" s="50"/>
      <c r="C38" s="50"/>
      <c r="D38" s="50"/>
      <c r="E38" s="50"/>
      <c r="F38" s="184"/>
      <c r="G38" s="67"/>
      <c r="H38" s="67"/>
      <c r="K38" s="73"/>
      <c r="L38" s="73"/>
    </row>
    <row r="39" spans="1:12" ht="32.450000000000003" customHeight="1" x14ac:dyDescent="0.3">
      <c r="A39" s="211" t="s">
        <v>283</v>
      </c>
      <c r="B39" s="225">
        <f>$B$4</f>
        <v>40</v>
      </c>
      <c r="C39" s="212">
        <f>SUM(C35:C37)</f>
        <v>44</v>
      </c>
      <c r="D39" s="55">
        <f>IFERROR(ROUNDDOWN(C39/B39,0),"")</f>
        <v>1</v>
      </c>
      <c r="E39" s="213"/>
      <c r="F39" s="214">
        <f>IFERROR(C39-(D39*B39),"")</f>
        <v>4</v>
      </c>
      <c r="G39" s="67"/>
      <c r="H39" s="67"/>
      <c r="K39" s="73"/>
      <c r="L39" s="73"/>
    </row>
    <row r="40" spans="1:12" ht="4.5" customHeight="1" x14ac:dyDescent="0.3">
      <c r="A40" s="183"/>
      <c r="B40" s="224"/>
      <c r="C40" s="50"/>
      <c r="D40" s="50"/>
      <c r="E40" s="50"/>
      <c r="F40" s="184"/>
      <c r="G40" s="67"/>
      <c r="H40" s="67"/>
      <c r="K40" s="73"/>
      <c r="L40" s="73"/>
    </row>
    <row r="41" spans="1:12" ht="25.35" customHeight="1" x14ac:dyDescent="0.3">
      <c r="A41" s="221" t="s">
        <v>261</v>
      </c>
      <c r="B41" s="224">
        <f t="shared" ref="B41:B42" si="12">$B$4</f>
        <v>40</v>
      </c>
      <c r="C41" s="227">
        <f>IFERROR(VLOOKUP(A41,네이처몬스터피벗!A:SD,7,FALSE),0)</f>
        <v>0</v>
      </c>
      <c r="D41" s="227">
        <f t="shared" ref="D41:D42" si="13">IFERROR(ROUNDDOWN(C41/B41,0),"")</f>
        <v>0</v>
      </c>
      <c r="E41" s="51" t="s">
        <v>281</v>
      </c>
      <c r="F41" s="228">
        <f t="shared" ref="F41:F42" si="14">IFERROR(C41-(D41*B41),"")</f>
        <v>0</v>
      </c>
      <c r="G41" s="67"/>
      <c r="H41" s="67"/>
      <c r="K41" s="73"/>
      <c r="L41" s="73"/>
    </row>
    <row r="42" spans="1:12" ht="25.35" customHeight="1" x14ac:dyDescent="0.3">
      <c r="A42" s="221" t="s">
        <v>262</v>
      </c>
      <c r="B42" s="224">
        <f t="shared" si="12"/>
        <v>40</v>
      </c>
      <c r="C42" s="227">
        <f>IFERROR(VLOOKUP(A42,네이처몬스터피벗!A:SD,7,FALSE),0)</f>
        <v>0</v>
      </c>
      <c r="D42" s="227">
        <f t="shared" si="13"/>
        <v>0</v>
      </c>
      <c r="E42" s="51" t="s">
        <v>282</v>
      </c>
      <c r="F42" s="228">
        <f t="shared" si="14"/>
        <v>0</v>
      </c>
      <c r="G42" s="67"/>
      <c r="H42" s="67"/>
      <c r="K42" s="73"/>
      <c r="L42" s="73"/>
    </row>
    <row r="43" spans="1:12" ht="4.5" customHeight="1" x14ac:dyDescent="0.3">
      <c r="A43" s="183"/>
      <c r="B43" s="50"/>
      <c r="C43" s="50"/>
      <c r="D43" s="50"/>
      <c r="E43" s="50"/>
      <c r="F43" s="184"/>
      <c r="G43" s="67"/>
      <c r="H43" s="67"/>
      <c r="K43" s="73"/>
      <c r="L43" s="73"/>
    </row>
    <row r="44" spans="1:12" ht="32.450000000000003" customHeight="1" x14ac:dyDescent="0.3">
      <c r="A44" s="211" t="s">
        <v>339</v>
      </c>
      <c r="B44" s="225">
        <f>$B$4</f>
        <v>40</v>
      </c>
      <c r="C44" s="212">
        <f>SUM(C41:C42)</f>
        <v>0</v>
      </c>
      <c r="D44" s="55">
        <f>IFERROR(ROUNDDOWN(C44/B44,0),"")</f>
        <v>0</v>
      </c>
      <c r="E44" s="213"/>
      <c r="F44" s="214">
        <f>IFERROR(C44-(D44*B44),"")</f>
        <v>0</v>
      </c>
      <c r="G44" s="67"/>
      <c r="H44" s="67"/>
      <c r="K44" s="73"/>
      <c r="L44" s="73"/>
    </row>
    <row r="45" spans="1:12" ht="4.5" customHeight="1" thickBot="1" x14ac:dyDescent="0.35">
      <c r="A45" s="183"/>
      <c r="B45" s="50"/>
      <c r="C45" s="50"/>
      <c r="D45" s="50"/>
      <c r="E45" s="50"/>
      <c r="F45" s="184"/>
      <c r="G45" s="67"/>
      <c r="H45" s="67"/>
      <c r="K45" s="73"/>
      <c r="L45" s="73"/>
    </row>
    <row r="46" spans="1:12" ht="26.25" x14ac:dyDescent="0.3">
      <c r="A46" s="87" t="s">
        <v>3</v>
      </c>
      <c r="B46" s="226">
        <f>$B$4</f>
        <v>40</v>
      </c>
      <c r="C46" s="55">
        <f>SUM(C4:C18,C35:C37,C30:C31,C22:C26,C41:C42)</f>
        <v>496</v>
      </c>
      <c r="D46" s="54">
        <f>IFERROR(ROUNDDOWN(C46/B46,0),"")</f>
        <v>12</v>
      </c>
      <c r="E46" s="56"/>
      <c r="F46" s="121">
        <f>IFERROR(C46-(D46*B46),"")</f>
        <v>16</v>
      </c>
      <c r="G46" s="232" t="s">
        <v>110</v>
      </c>
      <c r="H46" s="233" t="s">
        <v>111</v>
      </c>
      <c r="K46" s="73"/>
      <c r="L46" s="73"/>
    </row>
    <row r="47" spans="1:12" ht="27" thickBot="1" x14ac:dyDescent="0.35">
      <c r="A47" s="42" t="s">
        <v>286</v>
      </c>
      <c r="B47" s="43" t="s">
        <v>173</v>
      </c>
      <c r="C47" s="40"/>
      <c r="D47" s="41">
        <f>SUM(D4:D18,D35:D37,D30:D31,D22:D26,D41:D42)</f>
        <v>1</v>
      </c>
      <c r="E47" s="48"/>
      <c r="F47" s="93">
        <f>SUM(F4:F18,F35:F37,F30:F31,F22:F26,F41:F42)</f>
        <v>456</v>
      </c>
      <c r="G47" s="216">
        <f>IFERROR(ROUNDDOWN(F47/B35,0),"")</f>
        <v>11</v>
      </c>
      <c r="H47" s="217">
        <f>IFERROR(F47-(G47*B35),"")</f>
        <v>16</v>
      </c>
    </row>
    <row r="48" spans="1:12" ht="22.5" customHeight="1" x14ac:dyDescent="0.3">
      <c r="C48" s="77">
        <f>C20+C28+C33+C39+C44</f>
        <v>496</v>
      </c>
      <c r="G48" s="199"/>
      <c r="H48" s="34" t="s">
        <v>174</v>
      </c>
    </row>
    <row r="49" spans="3:3" x14ac:dyDescent="0.3">
      <c r="C49" s="34" t="b">
        <f>C48=C46</f>
        <v>1</v>
      </c>
    </row>
  </sheetData>
  <mergeCells count="1">
    <mergeCell ref="A1:F1"/>
  </mergeCells>
  <phoneticPr fontId="13" type="noConversion"/>
  <printOptions horizontalCentered="1" verticalCentered="1"/>
  <pageMargins left="0" right="0" top="0" bottom="0" header="0" footer="0"/>
  <pageSetup paperSize="9" scale="77" orientation="portrait" r:id="rId1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89C059-9EF0-4D44-8197-17234815162E}">
  <sheetPr>
    <tabColor theme="8" tint="0.59999389629810485"/>
  </sheetPr>
  <dimension ref="A1:SP37"/>
  <sheetViews>
    <sheetView zoomScale="55" zoomScaleNormal="55" zoomScaleSheetLayoutView="75" workbookViewId="0">
      <selection activeCell="B29" sqref="B29:E29"/>
    </sheetView>
  </sheetViews>
  <sheetFormatPr defaultColWidth="9" defaultRowHeight="15" customHeight="1" x14ac:dyDescent="0.3"/>
  <cols>
    <col min="1" max="20" width="37.625" style="34" customWidth="1"/>
    <col min="21" max="21" width="22.25" style="34" bestFit="1" customWidth="1"/>
    <col min="22" max="24" width="18.375" style="34" customWidth="1"/>
    <col min="25" max="25" width="27.625" style="34" bestFit="1" customWidth="1"/>
    <col min="26" max="27" width="18.375" style="34" customWidth="1"/>
    <col min="28" max="28" width="27.625" style="34" bestFit="1" customWidth="1"/>
    <col min="29" max="29" width="18.375" style="34" customWidth="1"/>
    <col min="30" max="30" width="25.375" style="34" bestFit="1" customWidth="1"/>
    <col min="31" max="31" width="21" style="34" bestFit="1" customWidth="1"/>
    <col min="32" max="32" width="27.625" style="34" bestFit="1" customWidth="1"/>
    <col min="33" max="33" width="18.375" style="34" customWidth="1"/>
    <col min="34" max="34" width="27.625" style="34" bestFit="1" customWidth="1"/>
    <col min="35" max="388" width="30.375" style="34" customWidth="1"/>
    <col min="389" max="390" width="21.25" style="34" customWidth="1"/>
    <col min="391" max="406" width="20.5" style="34" customWidth="1"/>
    <col min="407" max="407" width="21" style="34" bestFit="1" customWidth="1"/>
    <col min="408" max="408" width="25.125" style="34" bestFit="1" customWidth="1"/>
    <col min="409" max="409" width="23" style="34" bestFit="1" customWidth="1"/>
    <col min="410" max="410" width="33.375" style="34" bestFit="1" customWidth="1"/>
    <col min="411" max="411" width="25.125" style="34" bestFit="1" customWidth="1"/>
    <col min="412" max="412" width="28.875" style="34" bestFit="1" customWidth="1"/>
    <col min="413" max="413" width="23" style="34" bestFit="1" customWidth="1"/>
    <col min="414" max="414" width="18.875" style="34" customWidth="1"/>
    <col min="415" max="415" width="23" style="34" bestFit="1" customWidth="1"/>
    <col min="416" max="416" width="25.125" style="34" bestFit="1" customWidth="1"/>
    <col min="417" max="417" width="18.875" style="34" customWidth="1"/>
    <col min="418" max="418" width="19.125" style="34" customWidth="1"/>
    <col min="419" max="419" width="18.125" style="34" customWidth="1"/>
    <col min="420" max="420" width="18.875" style="34" customWidth="1"/>
    <col min="421" max="421" width="26.625" style="34" customWidth="1"/>
    <col min="422" max="422" width="22.125" style="34" customWidth="1"/>
    <col min="423" max="423" width="24.125" style="34" customWidth="1"/>
    <col min="424" max="424" width="21.375" style="34" customWidth="1"/>
    <col min="425" max="425" width="19.375" style="34" customWidth="1"/>
    <col min="426" max="426" width="20" style="34" customWidth="1"/>
    <col min="427" max="427" width="23.25" style="34" customWidth="1"/>
    <col min="428" max="428" width="18" style="34" customWidth="1"/>
    <col min="429" max="459" width="19" style="34" customWidth="1"/>
    <col min="460" max="464" width="20.25" style="34" customWidth="1"/>
    <col min="465" max="465" width="17.25" style="34" customWidth="1"/>
    <col min="466" max="466" width="17.75" style="34" customWidth="1"/>
    <col min="467" max="467" width="16.5" style="34" customWidth="1"/>
    <col min="468" max="470" width="21" style="34" customWidth="1"/>
    <col min="471" max="471" width="18.5" style="34" customWidth="1"/>
    <col min="472" max="476" width="21" style="34" customWidth="1"/>
    <col min="477" max="477" width="15.125" style="34" customWidth="1"/>
    <col min="478" max="493" width="21" style="34" customWidth="1"/>
    <col min="494" max="494" width="24.25" style="34" customWidth="1"/>
    <col min="495" max="495" width="18.875" style="34" bestFit="1" customWidth="1"/>
    <col min="496" max="496" width="21" style="34" bestFit="1" customWidth="1"/>
    <col min="497" max="497" width="23" style="38" bestFit="1" customWidth="1"/>
    <col min="498" max="498" width="8.625" style="38" bestFit="1" customWidth="1"/>
    <col min="499" max="499" width="21" style="38" bestFit="1" customWidth="1"/>
    <col min="500" max="500" width="23" style="38" bestFit="1" customWidth="1"/>
    <col min="501" max="501" width="8.625" style="38" bestFit="1" customWidth="1"/>
    <col min="502" max="502" width="22.875" style="34" customWidth="1"/>
    <col min="503" max="509" width="20.875" style="38" customWidth="1"/>
    <col min="510" max="510" width="23.25" style="38" customWidth="1"/>
    <col min="511" max="16384" width="9" style="34"/>
  </cols>
  <sheetData>
    <row r="1" spans="1:502" s="38" customFormat="1" ht="15" customHeight="1" x14ac:dyDescent="0.3">
      <c r="A1" s="62" t="s">
        <v>391</v>
      </c>
      <c r="B1" s="62" t="s">
        <v>89</v>
      </c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2"/>
      <c r="AJ1" s="2"/>
      <c r="AK1" s="2"/>
      <c r="AL1" s="2"/>
      <c r="AM1" s="2"/>
      <c r="AN1" s="2"/>
      <c r="AO1" s="2"/>
      <c r="AP1" s="2"/>
      <c r="AQ1" s="29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2"/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2"/>
      <c r="EV1" s="2"/>
      <c r="EW1" s="2"/>
      <c r="EX1" s="2"/>
      <c r="EY1" s="2"/>
      <c r="EZ1" s="2"/>
      <c r="FA1" s="2"/>
      <c r="FB1" s="2"/>
      <c r="FC1" s="2"/>
      <c r="FD1" s="2"/>
      <c r="FE1" s="2"/>
      <c r="FF1" s="2"/>
      <c r="FG1" s="2"/>
      <c r="FH1" s="2"/>
      <c r="FI1" s="2"/>
      <c r="FJ1" s="2"/>
      <c r="FK1" s="2"/>
      <c r="FL1" s="2"/>
      <c r="FM1" s="2"/>
      <c r="FN1" s="2"/>
      <c r="FO1" s="2"/>
      <c r="FP1" s="2"/>
      <c r="FQ1" s="2"/>
      <c r="FR1" s="2"/>
      <c r="FS1" s="2"/>
      <c r="FT1" s="2"/>
      <c r="FU1" s="2"/>
      <c r="FV1" s="2"/>
      <c r="FW1" s="2"/>
      <c r="FX1" s="2"/>
      <c r="FY1" s="2"/>
      <c r="FZ1" s="2"/>
      <c r="GA1" s="2"/>
      <c r="GB1" s="2"/>
      <c r="GC1" s="2"/>
      <c r="GD1" s="2"/>
      <c r="GE1" s="2"/>
      <c r="GF1" s="2"/>
      <c r="GG1" s="2"/>
      <c r="GH1" s="2"/>
      <c r="GI1" s="2"/>
      <c r="GJ1" s="2"/>
      <c r="GK1" s="2"/>
      <c r="GL1" s="2"/>
      <c r="GM1" s="2"/>
      <c r="GN1" s="2"/>
      <c r="GO1" s="2"/>
      <c r="GP1" s="2"/>
      <c r="GQ1" s="2"/>
      <c r="GR1" s="2"/>
      <c r="GS1" s="23"/>
      <c r="GT1" s="23"/>
      <c r="GU1" s="23"/>
      <c r="GV1" s="23"/>
      <c r="GW1" s="23"/>
      <c r="GX1" s="23"/>
      <c r="GY1" s="23"/>
      <c r="GZ1" s="23"/>
      <c r="HA1" s="23"/>
      <c r="HB1" s="23"/>
      <c r="HC1" s="23"/>
      <c r="HD1" s="23"/>
      <c r="HE1" s="23"/>
      <c r="HF1" s="23"/>
      <c r="HG1" s="23"/>
      <c r="HH1" s="23"/>
      <c r="HI1" s="23"/>
      <c r="HJ1" s="23"/>
      <c r="HK1" s="23"/>
      <c r="HL1" s="23"/>
      <c r="HM1" s="23"/>
      <c r="HN1" s="23"/>
      <c r="HO1" s="23"/>
      <c r="HP1" s="23"/>
      <c r="HQ1" s="23"/>
      <c r="HR1" s="23"/>
      <c r="HS1" s="23"/>
      <c r="HT1" s="23"/>
      <c r="HU1" s="23"/>
      <c r="HV1" s="23"/>
      <c r="HW1" s="23"/>
      <c r="HX1" s="23"/>
      <c r="HY1" s="23"/>
      <c r="HZ1" s="23"/>
      <c r="IA1" s="23"/>
      <c r="IB1" s="23"/>
      <c r="IC1" s="23"/>
      <c r="ID1" s="23"/>
      <c r="IE1" s="23"/>
      <c r="IF1" s="23"/>
      <c r="IG1" s="23"/>
      <c r="IH1" s="23"/>
      <c r="II1" s="23"/>
      <c r="IJ1" s="23"/>
      <c r="IK1" s="23"/>
      <c r="IL1" s="23"/>
      <c r="IM1" s="23"/>
      <c r="IN1" s="23"/>
      <c r="IO1" s="23"/>
      <c r="IP1" s="23"/>
      <c r="IQ1" s="23"/>
      <c r="IR1" s="23"/>
      <c r="IS1" s="23"/>
      <c r="IT1" s="23"/>
      <c r="IU1" s="23"/>
      <c r="IV1" s="23"/>
      <c r="IW1" s="23"/>
      <c r="IX1" s="23"/>
      <c r="IY1" s="23"/>
      <c r="IZ1" s="23"/>
      <c r="JA1" s="23"/>
      <c r="JB1" s="23"/>
      <c r="JC1" s="23"/>
      <c r="JD1" s="23"/>
      <c r="JE1" s="23"/>
      <c r="JF1" s="23"/>
      <c r="JG1" s="23"/>
      <c r="JH1" s="23"/>
      <c r="JI1" s="23"/>
      <c r="JJ1" s="23"/>
      <c r="JK1" s="23"/>
      <c r="JL1" s="23"/>
      <c r="JM1" s="23"/>
      <c r="JN1" s="23"/>
      <c r="JO1" s="23"/>
      <c r="JP1" s="23"/>
      <c r="JQ1" s="23"/>
      <c r="JR1" s="23"/>
      <c r="JS1" s="23"/>
      <c r="JT1" s="23"/>
      <c r="JU1" s="23"/>
      <c r="JV1" s="23"/>
      <c r="JW1" s="23"/>
      <c r="JX1" s="23"/>
      <c r="JY1" s="23"/>
      <c r="JZ1" s="23"/>
      <c r="KA1" s="23"/>
      <c r="KB1" s="23"/>
      <c r="KC1" s="23"/>
      <c r="KD1" s="23"/>
      <c r="KE1" s="23"/>
      <c r="KF1" s="23"/>
      <c r="KG1" s="23"/>
      <c r="KH1" s="23"/>
      <c r="KI1" s="23"/>
      <c r="KJ1" s="23"/>
      <c r="KK1" s="23"/>
      <c r="KL1" s="23"/>
      <c r="KM1" s="23"/>
      <c r="KN1" s="23"/>
      <c r="KO1" s="23"/>
      <c r="KP1" s="23"/>
      <c r="KQ1" s="23"/>
      <c r="KR1" s="23"/>
      <c r="KS1" s="23"/>
      <c r="KT1" s="23"/>
      <c r="KU1" s="23"/>
      <c r="KV1" s="23"/>
      <c r="KW1" s="23"/>
      <c r="KX1" s="23"/>
      <c r="KY1" s="23"/>
      <c r="KZ1" s="23"/>
      <c r="LA1" s="23"/>
      <c r="LB1" s="23"/>
      <c r="LC1" s="23"/>
      <c r="LD1" s="23"/>
      <c r="LE1" s="23"/>
      <c r="LF1" s="23"/>
      <c r="LG1" s="23"/>
      <c r="LH1" s="23"/>
      <c r="LI1" s="23"/>
      <c r="LJ1" s="23"/>
      <c r="LK1" s="23"/>
      <c r="LL1" s="23"/>
      <c r="LM1" s="23"/>
      <c r="LN1" s="23"/>
      <c r="LO1" s="23"/>
      <c r="LP1" s="23"/>
      <c r="LQ1" s="23"/>
      <c r="LR1" s="23"/>
      <c r="LS1" s="23"/>
      <c r="LT1" s="23"/>
      <c r="LU1" s="23"/>
      <c r="LV1" s="23"/>
      <c r="LW1" s="23"/>
      <c r="LX1" s="23"/>
      <c r="LY1" s="23"/>
      <c r="LZ1" s="23"/>
      <c r="MA1" s="23"/>
      <c r="MB1" s="23"/>
      <c r="MC1" s="23"/>
      <c r="MD1" s="23"/>
      <c r="ME1" s="23"/>
      <c r="MF1" s="32"/>
      <c r="MG1" s="23"/>
      <c r="MH1" s="23"/>
      <c r="MI1" s="23"/>
      <c r="MJ1" s="23"/>
      <c r="MK1" s="32"/>
      <c r="ML1" s="32"/>
      <c r="MM1" s="23"/>
      <c r="MN1" s="23"/>
      <c r="MO1" s="23"/>
      <c r="MP1" s="23"/>
      <c r="MQ1" s="23"/>
      <c r="MR1" s="23"/>
      <c r="MS1" s="23"/>
      <c r="MT1" s="23"/>
      <c r="MU1" s="23"/>
      <c r="MV1" s="23"/>
      <c r="MW1" s="23"/>
      <c r="MX1" s="23"/>
      <c r="MY1" s="23"/>
      <c r="MZ1" s="23"/>
      <c r="NA1" s="23"/>
      <c r="NB1" s="23"/>
      <c r="NC1" s="23"/>
      <c r="ND1" s="23"/>
      <c r="NE1" s="23"/>
      <c r="NF1" s="23"/>
      <c r="NG1" s="23"/>
      <c r="NH1" s="23"/>
      <c r="NI1" s="23"/>
      <c r="NJ1" s="23"/>
      <c r="NK1" s="23"/>
      <c r="NL1" s="23"/>
      <c r="NM1" s="23"/>
      <c r="NN1" s="23"/>
      <c r="NO1" s="23"/>
      <c r="NP1" s="23"/>
      <c r="NQ1" s="23"/>
      <c r="NR1" s="23"/>
      <c r="NS1" s="23"/>
      <c r="NT1" s="23"/>
      <c r="NU1" s="23"/>
      <c r="NV1" s="23"/>
      <c r="NW1" s="23"/>
      <c r="NX1" s="23"/>
      <c r="NY1" s="23"/>
      <c r="NZ1" s="23"/>
      <c r="OA1" s="23"/>
      <c r="OB1" s="23"/>
      <c r="OC1" s="23"/>
      <c r="OD1" s="23"/>
      <c r="OE1" s="23"/>
      <c r="OF1" s="23"/>
      <c r="OG1" s="23"/>
      <c r="OH1" s="23"/>
      <c r="OI1" s="23"/>
      <c r="OJ1" s="23"/>
      <c r="OK1" s="23"/>
      <c r="OL1" s="23"/>
      <c r="OM1" s="23"/>
      <c r="ON1" s="23"/>
      <c r="OO1" s="23"/>
      <c r="OP1" s="23"/>
      <c r="OQ1" s="32"/>
      <c r="OR1" s="23"/>
      <c r="OS1" s="23"/>
      <c r="OT1" s="23"/>
      <c r="OU1" s="23"/>
      <c r="OV1" s="23"/>
      <c r="OW1" s="23"/>
      <c r="OX1" s="23"/>
      <c r="OY1" s="23"/>
      <c r="OZ1" s="23"/>
      <c r="PA1" s="23"/>
      <c r="PB1" s="23"/>
      <c r="PC1" s="23"/>
      <c r="PD1" s="23"/>
      <c r="PE1" s="23"/>
      <c r="PF1" s="23"/>
      <c r="PG1" s="23"/>
      <c r="PH1" s="23"/>
      <c r="PI1" s="23"/>
      <c r="PJ1" s="23"/>
      <c r="PK1" s="23"/>
      <c r="PL1" s="23"/>
      <c r="PM1" s="32"/>
      <c r="PN1" s="23"/>
      <c r="PO1" s="23"/>
      <c r="PP1" s="23"/>
      <c r="PQ1" s="23"/>
      <c r="PR1" s="23"/>
      <c r="PS1" s="23"/>
      <c r="PT1" s="23"/>
      <c r="PU1" s="23"/>
      <c r="PV1" s="23"/>
      <c r="PW1" s="23"/>
      <c r="PX1" s="23"/>
      <c r="PY1" s="23"/>
      <c r="PZ1" s="23"/>
      <c r="QA1" s="32"/>
      <c r="QB1" s="23"/>
      <c r="QC1" s="23"/>
      <c r="QD1" s="23"/>
      <c r="QE1" s="23"/>
      <c r="QF1" s="23"/>
      <c r="QG1" s="23"/>
      <c r="QH1" s="23"/>
      <c r="QI1" s="23"/>
      <c r="QJ1" s="23"/>
      <c r="QK1" s="23"/>
      <c r="QL1" s="23"/>
      <c r="QM1" s="23"/>
      <c r="QN1" s="23"/>
      <c r="QO1" s="23"/>
      <c r="QP1" s="23"/>
      <c r="QQ1" s="23"/>
      <c r="QR1" s="23"/>
      <c r="QS1" s="23"/>
      <c r="QT1" s="23"/>
      <c r="QU1" s="23"/>
      <c r="QV1" s="23"/>
      <c r="QW1" s="23"/>
      <c r="QX1" s="23"/>
      <c r="QY1" s="23"/>
      <c r="QZ1" s="23"/>
      <c r="RA1" s="23"/>
      <c r="RB1" s="23"/>
      <c r="RC1" s="23"/>
      <c r="RD1" s="23"/>
      <c r="RE1" s="23"/>
      <c r="RF1" s="23"/>
      <c r="RG1" s="23"/>
      <c r="RH1" s="23"/>
      <c r="RI1" s="23"/>
      <c r="RJ1" s="23"/>
      <c r="RK1" s="23"/>
      <c r="RL1" s="23"/>
      <c r="RM1" s="23"/>
      <c r="RN1" s="23"/>
      <c r="RO1" s="23"/>
      <c r="RP1" s="23"/>
      <c r="RQ1" s="23"/>
      <c r="RR1" s="23"/>
      <c r="RS1" s="23"/>
      <c r="RT1" s="23"/>
      <c r="RU1" s="23"/>
      <c r="RV1" s="23"/>
      <c r="RW1" s="23"/>
      <c r="RX1" s="23"/>
      <c r="RY1" s="23"/>
      <c r="RZ1" s="23"/>
      <c r="SA1" s="23"/>
      <c r="SB1" s="23"/>
      <c r="SC1" s="23"/>
      <c r="SD1" s="23"/>
      <c r="SE1" s="23"/>
      <c r="SF1" s="23"/>
      <c r="SG1" s="23"/>
      <c r="SH1" s="23"/>
    </row>
    <row r="2" spans="1:502" s="38" customFormat="1" ht="15" customHeight="1" x14ac:dyDescent="0.3">
      <c r="A2" s="53" t="s">
        <v>67</v>
      </c>
      <c r="B2" s="53" t="s">
        <v>368</v>
      </c>
      <c r="C2" s="53" t="s">
        <v>387</v>
      </c>
      <c r="D2" s="53" t="s">
        <v>348</v>
      </c>
      <c r="E2" s="53" t="s">
        <v>376</v>
      </c>
      <c r="F2" s="53" t="s">
        <v>3</v>
      </c>
      <c r="G2" s="53"/>
      <c r="H2" s="53"/>
      <c r="I2" s="53"/>
      <c r="J2" s="53"/>
      <c r="K2" s="53"/>
      <c r="L2" s="53"/>
      <c r="M2" s="53"/>
      <c r="N2" s="53"/>
      <c r="O2" s="53"/>
      <c r="P2" s="53"/>
      <c r="Q2" s="53"/>
      <c r="R2" s="53"/>
      <c r="S2" s="53"/>
      <c r="T2" s="53"/>
      <c r="U2" s="53"/>
      <c r="V2" s="53"/>
      <c r="W2" s="53"/>
      <c r="X2" s="53"/>
      <c r="Y2" s="53"/>
      <c r="Z2" s="53"/>
      <c r="AA2" s="53"/>
      <c r="AB2" s="53"/>
      <c r="AC2" s="53"/>
      <c r="AD2" s="53"/>
      <c r="AE2" s="53"/>
      <c r="AF2" s="53"/>
      <c r="AG2" s="53"/>
      <c r="AH2" s="53"/>
      <c r="AI2" s="34"/>
      <c r="AJ2" s="34"/>
      <c r="AK2" s="34"/>
      <c r="AL2" s="34"/>
      <c r="AM2" s="34"/>
      <c r="AN2" s="34"/>
      <c r="AO2" s="34"/>
      <c r="AP2" s="34"/>
      <c r="AQ2" s="34"/>
      <c r="AR2" s="34"/>
      <c r="AS2" s="34"/>
      <c r="AT2" s="34"/>
      <c r="AU2" s="34"/>
      <c r="AV2" s="34"/>
      <c r="AW2" s="34"/>
      <c r="AX2" s="34"/>
      <c r="AY2" s="34"/>
      <c r="AZ2" s="34"/>
      <c r="BA2" s="34"/>
      <c r="BB2" s="34"/>
      <c r="BC2" s="34"/>
      <c r="BD2" s="34"/>
      <c r="BE2" s="34"/>
      <c r="BF2" s="34"/>
      <c r="BG2" s="34"/>
      <c r="BH2" s="34"/>
      <c r="BI2" s="34"/>
      <c r="BJ2" s="34"/>
      <c r="BK2" s="34"/>
      <c r="BL2" s="34"/>
      <c r="BM2" s="34"/>
      <c r="BN2" s="34"/>
      <c r="BO2" s="34"/>
      <c r="BP2" s="34"/>
      <c r="BQ2" s="34"/>
      <c r="BR2" s="34"/>
      <c r="BS2" s="34"/>
      <c r="BT2" s="34"/>
      <c r="BU2" s="34"/>
      <c r="BV2" s="34"/>
      <c r="BW2" s="34"/>
      <c r="BX2" s="34"/>
      <c r="BY2" s="34"/>
      <c r="BZ2" s="34"/>
      <c r="CA2" s="34"/>
      <c r="CB2" s="34"/>
      <c r="CC2" s="34"/>
      <c r="CD2" s="34"/>
      <c r="CE2" s="34"/>
      <c r="CF2" s="34"/>
      <c r="CG2" s="34"/>
      <c r="CH2" s="34"/>
      <c r="CI2" s="34"/>
      <c r="CJ2" s="34"/>
      <c r="CK2" s="34"/>
      <c r="CL2" s="34"/>
      <c r="CM2" s="34"/>
      <c r="CN2" s="34"/>
      <c r="CO2" s="34"/>
      <c r="CP2" s="34"/>
      <c r="CQ2" s="34"/>
      <c r="CR2" s="34"/>
      <c r="CS2" s="34"/>
      <c r="CT2" s="34"/>
      <c r="CU2" s="34"/>
      <c r="CV2" s="34"/>
      <c r="CW2" s="34"/>
      <c r="CX2" s="34"/>
      <c r="CY2" s="34"/>
      <c r="CZ2" s="34"/>
      <c r="DA2" s="34"/>
      <c r="DB2" s="34"/>
      <c r="DC2" s="34"/>
      <c r="DD2" s="34"/>
      <c r="DE2" s="34"/>
      <c r="DF2" s="34"/>
      <c r="DG2" s="34"/>
      <c r="DH2" s="34"/>
      <c r="DI2" s="34"/>
      <c r="DJ2" s="34"/>
      <c r="DK2" s="34"/>
      <c r="DL2" s="34"/>
      <c r="DM2" s="34"/>
      <c r="DN2" s="34"/>
      <c r="DO2" s="34"/>
      <c r="DP2" s="34"/>
      <c r="DQ2" s="34"/>
      <c r="DR2" s="34"/>
      <c r="DS2" s="34"/>
      <c r="DT2" s="34"/>
      <c r="DU2" s="34"/>
      <c r="DV2" s="34"/>
      <c r="DW2" s="34"/>
      <c r="DX2" s="34"/>
      <c r="DY2" s="34"/>
      <c r="DZ2" s="34"/>
      <c r="EA2" s="34"/>
      <c r="EB2" s="34"/>
      <c r="EC2" s="34"/>
      <c r="ED2" s="34"/>
      <c r="EE2" s="34"/>
      <c r="EF2" s="34"/>
      <c r="EG2" s="34"/>
      <c r="EH2" s="34"/>
      <c r="EI2" s="34"/>
      <c r="EJ2" s="34"/>
      <c r="EK2" s="34"/>
      <c r="EL2" s="34"/>
      <c r="EM2" s="34"/>
      <c r="EN2" s="34"/>
      <c r="EO2" s="34"/>
      <c r="EP2" s="34"/>
      <c r="EQ2" s="34"/>
      <c r="ER2" s="34"/>
      <c r="ES2" s="34"/>
      <c r="ET2" s="34"/>
      <c r="EU2" s="34"/>
      <c r="EV2" s="34"/>
      <c r="EW2" s="34"/>
      <c r="EX2" s="34"/>
      <c r="EY2" s="34"/>
      <c r="EZ2" s="34"/>
      <c r="FA2" s="34"/>
      <c r="FB2" s="34"/>
      <c r="FC2" s="34"/>
      <c r="FD2" s="34"/>
      <c r="FE2" s="34"/>
      <c r="FF2" s="34"/>
      <c r="FG2" s="34"/>
      <c r="FH2" s="34"/>
      <c r="FI2" s="34"/>
      <c r="FJ2" s="34"/>
      <c r="FK2" s="34"/>
      <c r="FL2" s="34"/>
      <c r="FM2" s="34"/>
      <c r="FN2" s="34"/>
      <c r="FO2" s="34"/>
      <c r="FP2" s="34"/>
      <c r="FQ2" s="34"/>
      <c r="FR2" s="34"/>
      <c r="FS2" s="34"/>
      <c r="FT2" s="34"/>
      <c r="FU2" s="34"/>
      <c r="FV2" s="34"/>
      <c r="FW2" s="34"/>
      <c r="FX2" s="34"/>
      <c r="FY2" s="34"/>
      <c r="FZ2" s="34"/>
      <c r="GA2" s="34"/>
      <c r="GB2" s="34"/>
      <c r="GC2" s="34"/>
      <c r="GD2" s="34"/>
      <c r="GE2" s="34"/>
      <c r="GF2" s="34"/>
      <c r="GG2" s="34"/>
      <c r="GH2" s="34"/>
      <c r="GI2" s="34"/>
      <c r="GJ2" s="34"/>
      <c r="GK2" s="34"/>
      <c r="GL2" s="34"/>
      <c r="GM2" s="34"/>
      <c r="GN2" s="34"/>
      <c r="GO2" s="34"/>
      <c r="GP2" s="34"/>
      <c r="GQ2" s="34"/>
      <c r="GR2" s="34"/>
    </row>
    <row r="3" spans="1:502" s="38" customFormat="1" ht="15" customHeight="1" x14ac:dyDescent="0.3">
      <c r="A3" s="34" t="s">
        <v>260</v>
      </c>
      <c r="B3" s="34">
        <v>10</v>
      </c>
      <c r="C3" s="34">
        <v>7</v>
      </c>
      <c r="D3" s="34">
        <v>15</v>
      </c>
      <c r="E3" s="34">
        <v>60</v>
      </c>
      <c r="F3" s="34">
        <v>92</v>
      </c>
      <c r="G3" s="34"/>
      <c r="H3" s="34"/>
      <c r="I3" s="34"/>
      <c r="J3" s="34"/>
      <c r="K3" s="34"/>
      <c r="L3" s="34"/>
      <c r="M3" s="34"/>
      <c r="N3" s="34"/>
      <c r="O3" s="34"/>
      <c r="P3" s="34"/>
      <c r="Q3" s="34"/>
      <c r="R3" s="34"/>
      <c r="S3" s="34"/>
      <c r="T3" s="34"/>
      <c r="U3" s="34"/>
      <c r="V3" s="58"/>
      <c r="W3" s="58"/>
      <c r="X3" s="58"/>
      <c r="Y3" s="58"/>
      <c r="Z3" s="58"/>
      <c r="AA3" s="58"/>
      <c r="AB3" s="58"/>
      <c r="AC3" s="58"/>
      <c r="AD3" s="58"/>
      <c r="AE3" s="58"/>
      <c r="AF3" s="58"/>
      <c r="AG3" s="58"/>
      <c r="AH3" s="58"/>
      <c r="AI3" s="34"/>
      <c r="AJ3" s="34"/>
      <c r="AK3" s="34"/>
      <c r="AL3" s="34"/>
      <c r="AM3" s="34"/>
      <c r="AN3" s="34"/>
      <c r="AO3" s="34"/>
      <c r="AP3" s="34"/>
      <c r="AQ3" s="34"/>
      <c r="AR3" s="34"/>
      <c r="AS3" s="34"/>
      <c r="AT3" s="34"/>
      <c r="AU3" s="34"/>
      <c r="AV3" s="34"/>
      <c r="AW3" s="34"/>
      <c r="AX3" s="34"/>
      <c r="AY3" s="34"/>
      <c r="AZ3" s="34"/>
      <c r="BA3" s="34"/>
      <c r="BB3" s="34"/>
      <c r="BC3" s="34"/>
      <c r="BD3" s="34"/>
      <c r="BE3" s="34"/>
      <c r="BF3" s="34"/>
      <c r="BG3" s="34"/>
      <c r="BH3" s="34"/>
      <c r="BI3" s="34"/>
      <c r="BJ3" s="34"/>
      <c r="BK3" s="34"/>
      <c r="BL3" s="34"/>
      <c r="BM3" s="34"/>
      <c r="BN3" s="34"/>
      <c r="BO3" s="34"/>
      <c r="BP3" s="34"/>
      <c r="BQ3" s="34"/>
      <c r="BR3" s="34"/>
      <c r="BS3" s="34"/>
      <c r="BT3" s="34"/>
      <c r="BU3" s="34"/>
      <c r="BV3" s="34"/>
      <c r="BW3" s="34"/>
      <c r="BX3" s="34"/>
      <c r="BY3" s="34"/>
      <c r="BZ3" s="34"/>
      <c r="CA3" s="34"/>
      <c r="CB3" s="34"/>
      <c r="CC3" s="34"/>
      <c r="CD3" s="34"/>
      <c r="CE3" s="34"/>
      <c r="CF3" s="34"/>
      <c r="CG3" s="34"/>
      <c r="CH3" s="34"/>
      <c r="CI3" s="34"/>
      <c r="CJ3" s="34"/>
      <c r="CK3" s="34"/>
      <c r="CL3" s="34"/>
      <c r="CM3" s="34"/>
      <c r="CN3" s="34"/>
      <c r="CO3" s="34"/>
      <c r="CP3" s="34"/>
      <c r="CQ3" s="34"/>
      <c r="CR3" s="34"/>
      <c r="CS3" s="34"/>
      <c r="CT3" s="34"/>
      <c r="CU3" s="34"/>
      <c r="CV3" s="34"/>
      <c r="CW3" s="34"/>
      <c r="CX3" s="34"/>
      <c r="CY3" s="34"/>
      <c r="CZ3" s="34"/>
      <c r="DA3" s="34"/>
      <c r="DB3" s="34"/>
      <c r="DC3" s="34"/>
      <c r="DD3" s="34"/>
      <c r="DE3" s="34"/>
      <c r="DF3" s="34"/>
      <c r="DG3" s="34"/>
      <c r="DH3" s="34"/>
      <c r="DI3" s="34"/>
      <c r="DJ3" s="34"/>
      <c r="DK3" s="34"/>
      <c r="DL3" s="34"/>
      <c r="DM3" s="34"/>
      <c r="DN3" s="34"/>
      <c r="DO3" s="34"/>
      <c r="DP3" s="34"/>
      <c r="DQ3" s="34"/>
      <c r="DR3" s="34"/>
      <c r="DS3" s="34"/>
      <c r="DT3" s="34"/>
      <c r="DU3" s="34"/>
      <c r="DV3" s="34"/>
      <c r="DW3" s="34"/>
      <c r="DX3" s="34"/>
      <c r="DY3" s="34"/>
      <c r="DZ3" s="34"/>
      <c r="EA3" s="34"/>
      <c r="EB3" s="34"/>
      <c r="EC3" s="34"/>
      <c r="ED3" s="34"/>
      <c r="EE3" s="34"/>
      <c r="EF3" s="34"/>
      <c r="EG3" s="34"/>
      <c r="EH3" s="34"/>
      <c r="EI3" s="34"/>
      <c r="EJ3" s="34"/>
      <c r="EK3" s="34"/>
      <c r="EL3" s="34"/>
      <c r="EM3" s="34"/>
      <c r="EN3" s="34"/>
      <c r="EO3" s="34"/>
      <c r="EP3" s="34"/>
      <c r="EQ3" s="34"/>
      <c r="ER3" s="34"/>
      <c r="ES3" s="34"/>
      <c r="ET3" s="34"/>
      <c r="EU3" s="34"/>
      <c r="EV3" s="34"/>
      <c r="EW3" s="34"/>
      <c r="EX3" s="34"/>
      <c r="EY3" s="34"/>
      <c r="EZ3" s="34"/>
      <c r="FA3" s="34"/>
      <c r="FB3" s="34"/>
      <c r="FC3" s="34"/>
      <c r="FD3" s="34"/>
      <c r="FE3" s="34"/>
      <c r="FF3" s="34"/>
      <c r="FG3" s="34"/>
      <c r="FH3" s="34"/>
      <c r="FI3" s="34"/>
      <c r="FJ3" s="34"/>
      <c r="FK3" s="34"/>
      <c r="FL3" s="34"/>
      <c r="FM3" s="34"/>
      <c r="FN3" s="34"/>
      <c r="FO3" s="34"/>
      <c r="FP3" s="34"/>
      <c r="FQ3" s="34"/>
      <c r="FR3" s="34"/>
      <c r="FS3" s="34"/>
      <c r="FT3" s="34"/>
      <c r="FU3" s="34"/>
      <c r="FV3" s="34"/>
      <c r="FW3" s="34"/>
      <c r="FX3" s="34"/>
      <c r="FY3" s="34"/>
      <c r="FZ3" s="34"/>
      <c r="GA3" s="34"/>
      <c r="GB3" s="34"/>
      <c r="GC3" s="34"/>
      <c r="GD3" s="34"/>
      <c r="GE3" s="34"/>
      <c r="GF3" s="34"/>
      <c r="GG3" s="34"/>
      <c r="GH3" s="34"/>
      <c r="GI3" s="34"/>
      <c r="GJ3" s="34"/>
      <c r="GK3" s="34"/>
      <c r="GL3" s="34"/>
      <c r="GM3" s="34"/>
      <c r="GN3" s="34"/>
      <c r="GO3" s="34"/>
      <c r="GP3" s="34"/>
      <c r="GQ3" s="34"/>
      <c r="GR3" s="34"/>
    </row>
    <row r="4" spans="1:502" s="38" customFormat="1" ht="20.25" customHeight="1" x14ac:dyDescent="0.3">
      <c r="A4" s="34" t="s">
        <v>255</v>
      </c>
      <c r="B4" s="34">
        <v>47</v>
      </c>
      <c r="C4" s="34">
        <v>43</v>
      </c>
      <c r="D4" s="34">
        <v>23</v>
      </c>
      <c r="E4" s="34">
        <v>90</v>
      </c>
      <c r="F4" s="34">
        <v>203</v>
      </c>
      <c r="G4" s="34"/>
      <c r="H4" s="34"/>
      <c r="I4" s="34"/>
      <c r="J4" s="34"/>
      <c r="K4" s="34"/>
      <c r="L4" s="34"/>
      <c r="M4" s="34"/>
      <c r="N4" s="34"/>
      <c r="O4" s="34"/>
      <c r="P4" s="34"/>
      <c r="Q4" s="34"/>
      <c r="R4" s="34"/>
      <c r="S4" s="34"/>
      <c r="T4" s="34"/>
      <c r="U4" s="34"/>
      <c r="V4" s="58"/>
      <c r="W4" s="58"/>
      <c r="X4" s="58"/>
      <c r="Y4" s="58"/>
      <c r="Z4" s="58"/>
      <c r="AA4" s="58"/>
      <c r="AB4" s="58"/>
      <c r="AC4" s="58"/>
      <c r="AD4" s="58"/>
      <c r="AE4" s="58"/>
      <c r="AF4" s="58"/>
      <c r="AG4" s="58"/>
      <c r="AH4" s="58"/>
      <c r="AI4" s="34"/>
      <c r="AJ4" s="34"/>
      <c r="AK4" s="34"/>
      <c r="AL4" s="34"/>
      <c r="AM4" s="34"/>
      <c r="AN4" s="34"/>
      <c r="AO4" s="34"/>
      <c r="AP4" s="34"/>
      <c r="AQ4" s="34"/>
      <c r="AR4" s="34"/>
      <c r="AS4" s="34"/>
      <c r="AT4" s="34"/>
      <c r="AU4" s="34"/>
      <c r="AV4" s="34"/>
      <c r="AW4" s="34"/>
      <c r="AX4" s="34"/>
      <c r="AY4" s="34"/>
      <c r="AZ4" s="34"/>
      <c r="BA4" s="34"/>
      <c r="BB4" s="34"/>
      <c r="BC4" s="34"/>
      <c r="BD4" s="34"/>
      <c r="BE4" s="34"/>
      <c r="BF4" s="34"/>
      <c r="BG4" s="34"/>
      <c r="BH4" s="34"/>
      <c r="BI4" s="34"/>
      <c r="BJ4" s="34"/>
      <c r="BK4" s="34"/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4"/>
      <c r="BZ4" s="34"/>
      <c r="CA4" s="34"/>
      <c r="CB4" s="34"/>
      <c r="CC4" s="34"/>
      <c r="CD4" s="34"/>
      <c r="CE4" s="34"/>
      <c r="CF4" s="34"/>
      <c r="CG4" s="34"/>
      <c r="CH4" s="34"/>
      <c r="CI4" s="34"/>
      <c r="CJ4" s="34"/>
      <c r="CK4" s="34"/>
      <c r="CL4" s="34"/>
      <c r="CM4" s="34"/>
      <c r="CN4" s="34"/>
      <c r="CO4" s="34"/>
      <c r="CP4" s="34"/>
      <c r="CQ4" s="34"/>
      <c r="CR4" s="34"/>
      <c r="CS4" s="34"/>
      <c r="CT4" s="34"/>
      <c r="CU4" s="34"/>
      <c r="CV4" s="34"/>
      <c r="CW4" s="34"/>
      <c r="CX4" s="34"/>
      <c r="CY4" s="34"/>
      <c r="CZ4" s="34"/>
      <c r="DA4" s="34"/>
      <c r="DB4" s="34"/>
      <c r="DC4" s="34"/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4"/>
      <c r="DO4" s="34"/>
      <c r="DP4" s="34"/>
      <c r="DQ4" s="34"/>
      <c r="DR4" s="34"/>
      <c r="DS4" s="34"/>
      <c r="DT4" s="34"/>
      <c r="DU4" s="34"/>
      <c r="DV4" s="34"/>
      <c r="DW4" s="34"/>
      <c r="DX4" s="34"/>
      <c r="DY4" s="34"/>
      <c r="DZ4" s="34"/>
      <c r="EA4" s="34"/>
      <c r="EB4" s="34"/>
      <c r="EC4" s="34"/>
      <c r="ED4" s="34"/>
      <c r="EE4" s="34"/>
      <c r="EF4" s="34"/>
      <c r="EG4" s="34"/>
      <c r="EH4" s="34"/>
      <c r="EI4" s="34"/>
      <c r="EJ4" s="34"/>
      <c r="EK4" s="34"/>
      <c r="EL4" s="34"/>
      <c r="EM4" s="34"/>
      <c r="EN4" s="34"/>
      <c r="EO4" s="34"/>
      <c r="EP4" s="34"/>
      <c r="EQ4" s="34"/>
      <c r="ER4" s="34"/>
      <c r="ES4" s="34"/>
      <c r="ET4" s="34"/>
      <c r="EU4" s="34"/>
      <c r="EV4" s="34"/>
      <c r="EW4" s="34"/>
      <c r="EX4" s="34"/>
      <c r="EY4" s="34"/>
      <c r="EZ4" s="34"/>
      <c r="FA4" s="34"/>
      <c r="FB4" s="34"/>
      <c r="FC4" s="34"/>
      <c r="FD4" s="34"/>
      <c r="FE4" s="34"/>
      <c r="FF4" s="34"/>
      <c r="FG4" s="34"/>
      <c r="FH4" s="34"/>
      <c r="FI4" s="34"/>
      <c r="FJ4" s="34"/>
      <c r="FK4" s="34"/>
      <c r="FL4" s="34"/>
      <c r="FM4" s="34"/>
      <c r="FN4" s="34"/>
      <c r="FO4" s="34"/>
      <c r="FP4" s="34"/>
      <c r="FQ4" s="34"/>
      <c r="FR4" s="34"/>
      <c r="FS4" s="34"/>
      <c r="FT4" s="34"/>
      <c r="FU4" s="34"/>
      <c r="FV4" s="34"/>
      <c r="FW4" s="34"/>
      <c r="FX4" s="34"/>
      <c r="FY4" s="34"/>
      <c r="FZ4" s="34"/>
      <c r="GA4" s="34"/>
      <c r="GB4" s="34"/>
      <c r="GC4" s="34"/>
      <c r="GD4" s="34"/>
      <c r="GE4" s="34"/>
      <c r="GF4" s="34"/>
      <c r="GG4" s="34"/>
      <c r="GH4" s="34"/>
      <c r="GI4" s="34"/>
      <c r="GJ4" s="34"/>
      <c r="GK4" s="34"/>
      <c r="GL4" s="34"/>
      <c r="GM4" s="34"/>
      <c r="GN4" s="34"/>
      <c r="GO4" s="34"/>
      <c r="GP4" s="34"/>
      <c r="GQ4" s="34"/>
      <c r="GR4" s="34"/>
    </row>
    <row r="5" spans="1:502" s="38" customFormat="1" ht="20.25" customHeight="1" x14ac:dyDescent="0.3">
      <c r="A5" s="34" t="s">
        <v>254</v>
      </c>
      <c r="B5" s="34">
        <v>55</v>
      </c>
      <c r="C5" s="34">
        <v>46</v>
      </c>
      <c r="D5" s="34">
        <v>27</v>
      </c>
      <c r="E5" s="34">
        <v>75</v>
      </c>
      <c r="F5" s="34">
        <v>203</v>
      </c>
      <c r="G5" s="34"/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  <c r="S5" s="34"/>
      <c r="T5" s="34"/>
      <c r="U5" s="34"/>
      <c r="V5" s="58"/>
      <c r="W5" s="58"/>
      <c r="X5" s="58"/>
      <c r="Y5" s="58"/>
      <c r="Z5" s="58"/>
      <c r="AA5" s="58"/>
      <c r="AB5" s="58"/>
      <c r="AC5" s="58"/>
      <c r="AD5" s="58"/>
      <c r="AE5" s="58"/>
      <c r="AF5" s="58"/>
      <c r="AG5" s="58"/>
      <c r="AH5" s="58"/>
      <c r="AI5" s="34"/>
      <c r="AJ5" s="34"/>
      <c r="AK5" s="34"/>
      <c r="AL5" s="34"/>
      <c r="AM5" s="34"/>
      <c r="AN5" s="34"/>
      <c r="AO5" s="34"/>
      <c r="AP5" s="34"/>
      <c r="AQ5" s="34"/>
      <c r="AR5" s="34"/>
      <c r="AS5" s="34"/>
      <c r="AT5" s="34"/>
      <c r="AU5" s="34"/>
      <c r="AV5" s="34"/>
      <c r="AW5" s="34"/>
      <c r="AX5" s="34"/>
      <c r="AY5" s="34"/>
      <c r="AZ5" s="34"/>
      <c r="BA5" s="34"/>
      <c r="BB5" s="34"/>
      <c r="BC5" s="34"/>
      <c r="BD5" s="34"/>
      <c r="BE5" s="34"/>
      <c r="BF5" s="34"/>
      <c r="BG5" s="34"/>
      <c r="BH5" s="34"/>
      <c r="BI5" s="34"/>
      <c r="BJ5" s="34"/>
      <c r="BK5" s="34"/>
      <c r="BL5" s="34"/>
      <c r="BM5" s="34"/>
      <c r="BN5" s="34"/>
      <c r="BO5" s="34"/>
      <c r="BP5" s="34"/>
      <c r="BQ5" s="34"/>
      <c r="BR5" s="34"/>
      <c r="BS5" s="34"/>
      <c r="BT5" s="34"/>
      <c r="BU5" s="34"/>
      <c r="BV5" s="34"/>
      <c r="BW5" s="34"/>
      <c r="BX5" s="34"/>
      <c r="BY5" s="34"/>
      <c r="BZ5" s="34"/>
      <c r="CA5" s="34"/>
      <c r="CB5" s="34"/>
      <c r="CC5" s="34"/>
      <c r="CD5" s="34"/>
      <c r="CE5" s="34"/>
      <c r="CF5" s="34"/>
      <c r="CG5" s="34"/>
      <c r="CH5" s="34"/>
      <c r="CI5" s="34"/>
      <c r="CJ5" s="34"/>
      <c r="CK5" s="34"/>
      <c r="CL5" s="34"/>
      <c r="CM5" s="34"/>
      <c r="CN5" s="34"/>
      <c r="CO5" s="34"/>
      <c r="CP5" s="34"/>
      <c r="CQ5" s="34"/>
      <c r="CR5" s="34"/>
      <c r="CS5" s="34"/>
      <c r="CT5" s="34"/>
      <c r="CU5" s="34"/>
      <c r="CV5" s="34"/>
      <c r="CW5" s="34"/>
      <c r="CX5" s="34"/>
      <c r="CY5" s="34"/>
      <c r="CZ5" s="34"/>
      <c r="DA5" s="34"/>
      <c r="DB5" s="34"/>
      <c r="DC5" s="34"/>
      <c r="DD5" s="34"/>
      <c r="DE5" s="34"/>
      <c r="DF5" s="34"/>
      <c r="DG5" s="34"/>
      <c r="DH5" s="34"/>
      <c r="DI5" s="34"/>
      <c r="DJ5" s="34"/>
      <c r="DK5" s="34"/>
      <c r="DL5" s="34"/>
      <c r="DM5" s="34"/>
      <c r="DN5" s="34"/>
      <c r="DO5" s="34"/>
      <c r="DP5" s="34"/>
      <c r="DQ5" s="34"/>
      <c r="DR5" s="34"/>
      <c r="DS5" s="34"/>
      <c r="DT5" s="34"/>
      <c r="DU5" s="34"/>
      <c r="DV5" s="34"/>
      <c r="DW5" s="34"/>
      <c r="DX5" s="34"/>
      <c r="DY5" s="34"/>
      <c r="DZ5" s="34"/>
      <c r="EA5" s="34"/>
      <c r="EB5" s="34"/>
      <c r="EC5" s="34"/>
      <c r="ED5" s="34"/>
      <c r="EE5" s="34"/>
      <c r="EF5" s="34"/>
      <c r="EG5" s="34"/>
      <c r="EH5" s="34"/>
      <c r="EI5" s="34"/>
      <c r="EJ5" s="34"/>
      <c r="EK5" s="34"/>
      <c r="EL5" s="34"/>
      <c r="EM5" s="34"/>
      <c r="EN5" s="34"/>
      <c r="EO5" s="34"/>
      <c r="EP5" s="34"/>
      <c r="EQ5" s="34"/>
      <c r="ER5" s="34"/>
      <c r="ES5" s="34"/>
      <c r="ET5" s="34"/>
      <c r="EU5" s="34"/>
      <c r="EV5" s="34"/>
      <c r="EW5" s="34"/>
      <c r="EX5" s="34"/>
      <c r="EY5" s="34"/>
      <c r="EZ5" s="34"/>
      <c r="FA5" s="34"/>
      <c r="FB5" s="34"/>
      <c r="FC5" s="34"/>
      <c r="FD5" s="34"/>
      <c r="FE5" s="34"/>
      <c r="FF5" s="34"/>
      <c r="FG5" s="34"/>
      <c r="FH5" s="34"/>
      <c r="FI5" s="34"/>
      <c r="FJ5" s="34"/>
      <c r="FK5" s="34"/>
      <c r="FL5" s="34"/>
      <c r="FM5" s="34"/>
      <c r="FN5" s="34"/>
      <c r="FO5" s="34"/>
      <c r="FP5" s="34"/>
      <c r="FQ5" s="34"/>
      <c r="FR5" s="34"/>
      <c r="FS5" s="34"/>
      <c r="FT5" s="34"/>
      <c r="FU5" s="34"/>
      <c r="FV5" s="34"/>
      <c r="FW5" s="34"/>
      <c r="FX5" s="34"/>
      <c r="FY5" s="34"/>
      <c r="FZ5" s="34"/>
      <c r="GA5" s="34"/>
      <c r="GB5" s="34"/>
      <c r="GC5" s="34"/>
      <c r="GD5" s="34"/>
      <c r="GE5" s="34"/>
      <c r="GF5" s="34"/>
      <c r="GG5" s="34"/>
      <c r="GH5" s="34"/>
      <c r="GI5" s="34"/>
      <c r="GJ5" s="34"/>
      <c r="GK5" s="34"/>
      <c r="GL5" s="34"/>
      <c r="GM5" s="34"/>
      <c r="GN5" s="34"/>
      <c r="GO5" s="34"/>
      <c r="GP5" s="34"/>
      <c r="GQ5" s="34"/>
      <c r="GR5" s="34"/>
    </row>
    <row r="6" spans="1:502" s="38" customFormat="1" ht="15" customHeight="1" x14ac:dyDescent="0.3">
      <c r="A6" s="34" t="s">
        <v>236</v>
      </c>
      <c r="B6" s="34">
        <v>18</v>
      </c>
      <c r="C6" s="34">
        <v>17</v>
      </c>
      <c r="D6" s="34">
        <v>5</v>
      </c>
      <c r="E6" s="34">
        <v>74</v>
      </c>
      <c r="F6" s="34">
        <v>114</v>
      </c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58"/>
      <c r="W6" s="58"/>
      <c r="X6" s="58"/>
      <c r="Y6" s="58"/>
      <c r="Z6" s="58"/>
      <c r="AA6" s="58"/>
      <c r="AB6" s="58"/>
      <c r="AC6" s="58"/>
      <c r="AD6" s="58"/>
      <c r="AE6" s="58"/>
      <c r="AF6" s="58"/>
      <c r="AG6" s="58"/>
      <c r="AH6" s="58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  <c r="EY6" s="34"/>
      <c r="EZ6" s="34"/>
      <c r="FA6" s="34"/>
      <c r="FB6" s="34"/>
      <c r="FC6" s="34"/>
      <c r="FD6" s="34"/>
      <c r="FE6" s="34"/>
      <c r="FF6" s="34"/>
      <c r="FG6" s="34"/>
      <c r="FH6" s="34"/>
      <c r="FI6" s="34"/>
      <c r="FJ6" s="34"/>
      <c r="FK6" s="34"/>
      <c r="FL6" s="34"/>
      <c r="FM6" s="34"/>
      <c r="FN6" s="34"/>
      <c r="FO6" s="34"/>
      <c r="FP6" s="34"/>
      <c r="FQ6" s="34"/>
      <c r="FR6" s="34"/>
      <c r="FS6" s="34"/>
      <c r="FT6" s="34"/>
      <c r="FU6" s="34"/>
      <c r="FV6" s="34"/>
      <c r="FW6" s="34"/>
      <c r="FX6" s="34"/>
      <c r="FY6" s="34"/>
      <c r="FZ6" s="34"/>
      <c r="GA6" s="34"/>
      <c r="GB6" s="34"/>
      <c r="GC6" s="34"/>
      <c r="GD6" s="34"/>
      <c r="GE6" s="34"/>
      <c r="GF6" s="34"/>
      <c r="GG6" s="34"/>
      <c r="GH6" s="34"/>
      <c r="GI6" s="34"/>
      <c r="GJ6" s="34"/>
      <c r="GK6" s="34"/>
      <c r="GL6" s="34"/>
      <c r="GM6" s="34"/>
      <c r="GN6" s="34"/>
      <c r="GO6" s="34"/>
      <c r="GP6" s="34"/>
      <c r="GQ6" s="34"/>
      <c r="GR6" s="34"/>
    </row>
    <row r="7" spans="1:502" s="38" customFormat="1" ht="15" customHeight="1" x14ac:dyDescent="0.3">
      <c r="A7" s="34" t="s">
        <v>240</v>
      </c>
      <c r="B7" s="34">
        <v>18</v>
      </c>
      <c r="C7" s="34">
        <v>8</v>
      </c>
      <c r="D7" s="34">
        <v>2</v>
      </c>
      <c r="E7" s="34">
        <v>41</v>
      </c>
      <c r="F7" s="34">
        <v>69</v>
      </c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58"/>
      <c r="W7" s="58"/>
      <c r="X7" s="58"/>
      <c r="Y7" s="58"/>
      <c r="Z7" s="58"/>
      <c r="AA7" s="58"/>
      <c r="AB7" s="58"/>
      <c r="AC7" s="58"/>
      <c r="AD7" s="58"/>
      <c r="AE7" s="58"/>
      <c r="AF7" s="58"/>
      <c r="AG7" s="58"/>
      <c r="AH7" s="58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  <c r="EY7" s="34"/>
      <c r="EZ7" s="34"/>
      <c r="FA7" s="34"/>
      <c r="FB7" s="34"/>
      <c r="FC7" s="34"/>
      <c r="FD7" s="34"/>
      <c r="FE7" s="34"/>
      <c r="FF7" s="34"/>
      <c r="FG7" s="34"/>
      <c r="FH7" s="34"/>
      <c r="FI7" s="34"/>
      <c r="FJ7" s="34"/>
      <c r="FK7" s="34"/>
      <c r="FL7" s="34"/>
      <c r="FM7" s="34"/>
      <c r="FN7" s="34"/>
      <c r="FO7" s="34"/>
      <c r="FP7" s="34"/>
      <c r="FQ7" s="34"/>
      <c r="FR7" s="34"/>
      <c r="FS7" s="34"/>
      <c r="FT7" s="34"/>
      <c r="FU7" s="34"/>
      <c r="FV7" s="34"/>
      <c r="FW7" s="34"/>
      <c r="FX7" s="34"/>
      <c r="FY7" s="34"/>
      <c r="FZ7" s="34"/>
      <c r="GA7" s="34"/>
      <c r="GB7" s="34"/>
      <c r="GC7" s="34"/>
      <c r="GD7" s="34"/>
      <c r="GE7" s="34"/>
      <c r="GF7" s="34"/>
      <c r="GG7" s="34"/>
      <c r="GH7" s="34"/>
      <c r="GI7" s="34"/>
      <c r="GJ7" s="34"/>
      <c r="GK7" s="34"/>
      <c r="GL7" s="34"/>
      <c r="GM7" s="34"/>
      <c r="GN7" s="34"/>
      <c r="GO7" s="34"/>
      <c r="GP7" s="34"/>
      <c r="GQ7" s="34"/>
      <c r="GR7" s="34"/>
    </row>
    <row r="8" spans="1:502" s="38" customFormat="1" ht="15" customHeight="1" x14ac:dyDescent="0.3">
      <c r="A8" s="34" t="s">
        <v>244</v>
      </c>
      <c r="B8" s="34">
        <v>18</v>
      </c>
      <c r="C8" s="34">
        <v>16</v>
      </c>
      <c r="D8" s="34">
        <v>4</v>
      </c>
      <c r="E8" s="34">
        <v>41</v>
      </c>
      <c r="F8" s="34">
        <v>79</v>
      </c>
      <c r="G8" s="34"/>
      <c r="H8" s="34"/>
      <c r="I8" s="34"/>
      <c r="J8" s="34"/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58"/>
      <c r="W8" s="58"/>
      <c r="X8" s="58"/>
      <c r="Y8" s="58"/>
      <c r="Z8" s="58"/>
      <c r="AA8" s="58"/>
      <c r="AB8" s="58"/>
      <c r="AC8" s="58"/>
      <c r="AD8" s="58"/>
      <c r="AE8" s="58"/>
      <c r="AF8" s="58"/>
      <c r="AG8" s="58"/>
      <c r="AH8" s="58"/>
      <c r="AI8" s="34"/>
      <c r="AJ8" s="34"/>
      <c r="AK8" s="34"/>
      <c r="AL8" s="34"/>
      <c r="AM8" s="34"/>
      <c r="AN8" s="34"/>
      <c r="AO8" s="34"/>
      <c r="AP8" s="34"/>
      <c r="AQ8" s="34"/>
      <c r="AR8" s="34"/>
      <c r="AS8" s="34"/>
      <c r="AT8" s="34"/>
      <c r="AU8" s="34"/>
      <c r="AV8" s="34"/>
      <c r="AW8" s="34"/>
      <c r="AX8" s="34"/>
      <c r="AY8" s="34"/>
      <c r="AZ8" s="34"/>
      <c r="BA8" s="34"/>
      <c r="BB8" s="34"/>
      <c r="BC8" s="34"/>
      <c r="BD8" s="34"/>
      <c r="BE8" s="34"/>
      <c r="BF8" s="34"/>
      <c r="BG8" s="34"/>
      <c r="BH8" s="34"/>
      <c r="BI8" s="34"/>
      <c r="BJ8" s="34"/>
      <c r="BK8" s="34"/>
      <c r="BL8" s="34"/>
      <c r="BM8" s="34"/>
      <c r="BN8" s="34"/>
      <c r="BO8" s="34"/>
      <c r="BP8" s="34"/>
      <c r="BQ8" s="34"/>
      <c r="BR8" s="34"/>
      <c r="BS8" s="34"/>
      <c r="BT8" s="34"/>
      <c r="BU8" s="34"/>
      <c r="BV8" s="34"/>
      <c r="BW8" s="34"/>
      <c r="BX8" s="34"/>
      <c r="BY8" s="34"/>
      <c r="BZ8" s="34"/>
      <c r="CA8" s="34"/>
      <c r="CB8" s="34"/>
      <c r="CC8" s="34"/>
      <c r="CD8" s="34"/>
      <c r="CE8" s="34"/>
      <c r="CF8" s="34"/>
      <c r="CG8" s="34"/>
      <c r="CH8" s="34"/>
      <c r="CI8" s="34"/>
      <c r="CJ8" s="34"/>
      <c r="CK8" s="34"/>
      <c r="CL8" s="34"/>
      <c r="CM8" s="34"/>
      <c r="CN8" s="34"/>
      <c r="CO8" s="34"/>
      <c r="CP8" s="34"/>
      <c r="CQ8" s="34"/>
      <c r="CR8" s="34"/>
      <c r="CS8" s="34"/>
      <c r="CT8" s="34"/>
      <c r="CU8" s="34"/>
      <c r="CV8" s="34"/>
      <c r="CW8" s="34"/>
      <c r="CX8" s="34"/>
      <c r="CY8" s="34"/>
      <c r="CZ8" s="34"/>
      <c r="DA8" s="34"/>
      <c r="DB8" s="34"/>
      <c r="DC8" s="34"/>
      <c r="DD8" s="34"/>
      <c r="DE8" s="34"/>
      <c r="DF8" s="34"/>
      <c r="DG8" s="34"/>
      <c r="DH8" s="34"/>
      <c r="DI8" s="34"/>
      <c r="DJ8" s="34"/>
      <c r="DK8" s="34"/>
      <c r="DL8" s="34"/>
      <c r="DM8" s="34"/>
      <c r="DN8" s="34"/>
      <c r="DO8" s="34"/>
      <c r="DP8" s="34"/>
      <c r="DQ8" s="34"/>
      <c r="DR8" s="34"/>
      <c r="DS8" s="34"/>
      <c r="DT8" s="34"/>
      <c r="DU8" s="34"/>
      <c r="DV8" s="34"/>
      <c r="DW8" s="34"/>
      <c r="DX8" s="34"/>
      <c r="DY8" s="34"/>
      <c r="DZ8" s="34"/>
      <c r="EA8" s="34"/>
      <c r="EB8" s="34"/>
      <c r="EC8" s="34"/>
      <c r="ED8" s="34"/>
      <c r="EE8" s="34"/>
      <c r="EF8" s="34"/>
      <c r="EG8" s="34"/>
      <c r="EH8" s="34"/>
      <c r="EI8" s="34"/>
      <c r="EJ8" s="34"/>
      <c r="EK8" s="34"/>
      <c r="EL8" s="34"/>
      <c r="EM8" s="34"/>
      <c r="EN8" s="34"/>
      <c r="EO8" s="34"/>
      <c r="EP8" s="34"/>
      <c r="EQ8" s="34"/>
      <c r="ER8" s="34"/>
      <c r="ES8" s="34"/>
      <c r="ET8" s="34"/>
      <c r="EU8" s="34"/>
      <c r="EV8" s="34"/>
      <c r="EW8" s="34"/>
      <c r="EX8" s="34"/>
      <c r="EY8" s="34"/>
      <c r="EZ8" s="34"/>
      <c r="FA8" s="34"/>
      <c r="FB8" s="34"/>
      <c r="FC8" s="34"/>
      <c r="FD8" s="34"/>
      <c r="FE8" s="34"/>
      <c r="FF8" s="34"/>
      <c r="FG8" s="34"/>
      <c r="FH8" s="34"/>
      <c r="FI8" s="34"/>
      <c r="FJ8" s="34"/>
      <c r="FK8" s="34"/>
      <c r="FL8" s="34"/>
      <c r="FM8" s="34"/>
      <c r="FN8" s="34"/>
      <c r="FO8" s="34"/>
      <c r="FP8" s="34"/>
      <c r="FQ8" s="34"/>
      <c r="FR8" s="34"/>
      <c r="FS8" s="34"/>
      <c r="FT8" s="34"/>
      <c r="FU8" s="34"/>
      <c r="FV8" s="34"/>
      <c r="FW8" s="34"/>
      <c r="FX8" s="34"/>
      <c r="FY8" s="34"/>
      <c r="FZ8" s="34"/>
      <c r="GA8" s="34"/>
      <c r="GB8" s="34"/>
      <c r="GC8" s="34"/>
      <c r="GD8" s="34"/>
      <c r="GE8" s="34"/>
      <c r="GF8" s="34"/>
      <c r="GG8" s="34"/>
      <c r="GH8" s="34"/>
      <c r="GI8" s="34"/>
      <c r="GJ8" s="34"/>
      <c r="GK8" s="34"/>
      <c r="GL8" s="34"/>
      <c r="GM8" s="34"/>
      <c r="GN8" s="34"/>
      <c r="GO8" s="34"/>
      <c r="GP8" s="34"/>
      <c r="GQ8" s="34"/>
      <c r="GR8" s="34"/>
    </row>
    <row r="9" spans="1:502" s="38" customFormat="1" ht="15" customHeight="1" x14ac:dyDescent="0.3">
      <c r="A9" s="234" t="s">
        <v>261</v>
      </c>
      <c r="B9" s="234">
        <v>7</v>
      </c>
      <c r="C9" s="234">
        <v>4</v>
      </c>
      <c r="D9" s="234">
        <v>1</v>
      </c>
      <c r="E9" s="234">
        <v>17</v>
      </c>
      <c r="F9" s="234">
        <v>29</v>
      </c>
      <c r="G9" s="34"/>
      <c r="H9" s="34"/>
      <c r="I9" s="34"/>
      <c r="J9" s="34"/>
      <c r="K9" s="34"/>
      <c r="L9" s="34"/>
      <c r="M9" s="34"/>
      <c r="N9" s="34"/>
      <c r="O9" s="34"/>
      <c r="P9" s="34"/>
      <c r="Q9" s="34"/>
      <c r="R9" s="34"/>
      <c r="S9" s="34"/>
      <c r="T9" s="34"/>
      <c r="U9" s="34"/>
      <c r="V9" s="58"/>
      <c r="W9" s="58"/>
      <c r="X9" s="58"/>
      <c r="Y9" s="58"/>
      <c r="Z9" s="58"/>
      <c r="AA9" s="58"/>
      <c r="AB9" s="58"/>
      <c r="AC9" s="58"/>
      <c r="AD9" s="58"/>
      <c r="AE9" s="58"/>
      <c r="AF9" s="58"/>
      <c r="AG9" s="58"/>
      <c r="AH9" s="58"/>
      <c r="AI9" s="34"/>
      <c r="AJ9" s="34"/>
      <c r="AK9" s="34"/>
      <c r="AL9" s="34"/>
      <c r="AM9" s="34"/>
      <c r="AN9" s="34"/>
      <c r="AO9" s="34"/>
      <c r="AP9" s="34"/>
      <c r="AQ9" s="34"/>
      <c r="AR9" s="34"/>
      <c r="AS9" s="34"/>
      <c r="AT9" s="34"/>
      <c r="AU9" s="34"/>
      <c r="AV9" s="34"/>
      <c r="AW9" s="34"/>
      <c r="AX9" s="34"/>
      <c r="AY9" s="34"/>
      <c r="AZ9" s="34"/>
      <c r="BA9" s="34"/>
      <c r="BB9" s="34"/>
      <c r="BC9" s="34"/>
      <c r="BD9" s="34"/>
      <c r="BE9" s="34"/>
      <c r="BF9" s="34"/>
      <c r="BG9" s="34"/>
      <c r="BH9" s="34"/>
      <c r="BI9" s="34"/>
      <c r="BJ9" s="34"/>
      <c r="BK9" s="34"/>
      <c r="BL9" s="34"/>
      <c r="BM9" s="34"/>
      <c r="BN9" s="34"/>
      <c r="BO9" s="34"/>
      <c r="BP9" s="34"/>
      <c r="BQ9" s="34"/>
      <c r="BR9" s="34"/>
      <c r="BS9" s="34"/>
      <c r="BT9" s="34"/>
      <c r="BU9" s="34"/>
      <c r="BV9" s="34"/>
      <c r="BW9" s="34"/>
      <c r="BX9" s="34"/>
      <c r="BY9" s="34"/>
      <c r="BZ9" s="34"/>
      <c r="CA9" s="34"/>
      <c r="CB9" s="34"/>
      <c r="CC9" s="34"/>
      <c r="CD9" s="34"/>
      <c r="CE9" s="34"/>
      <c r="CF9" s="34"/>
      <c r="CG9" s="34"/>
      <c r="CH9" s="34"/>
      <c r="CI9" s="34"/>
      <c r="CJ9" s="34"/>
      <c r="CK9" s="34"/>
      <c r="CL9" s="34"/>
      <c r="CM9" s="34"/>
      <c r="CN9" s="34"/>
      <c r="CO9" s="34"/>
      <c r="CP9" s="34"/>
      <c r="CQ9" s="34"/>
      <c r="CR9" s="34"/>
      <c r="CS9" s="34"/>
      <c r="CT9" s="34"/>
      <c r="CU9" s="34"/>
      <c r="CV9" s="34"/>
      <c r="CW9" s="34"/>
      <c r="CX9" s="34"/>
      <c r="CY9" s="34"/>
      <c r="CZ9" s="34"/>
      <c r="DA9" s="34"/>
      <c r="DB9" s="34"/>
      <c r="DC9" s="34"/>
      <c r="DD9" s="34"/>
      <c r="DE9" s="34"/>
      <c r="DF9" s="34"/>
      <c r="DG9" s="34"/>
      <c r="DH9" s="34"/>
      <c r="DI9" s="34"/>
      <c r="DJ9" s="34"/>
      <c r="DK9" s="34"/>
      <c r="DL9" s="34"/>
      <c r="DM9" s="34"/>
      <c r="DN9" s="34"/>
      <c r="DO9" s="34"/>
      <c r="DP9" s="34"/>
      <c r="DQ9" s="34"/>
      <c r="DR9" s="34"/>
      <c r="DS9" s="34"/>
      <c r="DT9" s="34"/>
      <c r="DU9" s="34"/>
      <c r="DV9" s="34"/>
      <c r="DW9" s="34"/>
      <c r="DX9" s="34"/>
      <c r="DY9" s="34"/>
      <c r="DZ9" s="34"/>
      <c r="EA9" s="34"/>
      <c r="EB9" s="34"/>
      <c r="EC9" s="34"/>
      <c r="ED9" s="34"/>
      <c r="EE9" s="34"/>
      <c r="EF9" s="34"/>
      <c r="EG9" s="34"/>
      <c r="EH9" s="34"/>
      <c r="EI9" s="34"/>
      <c r="EJ9" s="34"/>
      <c r="EK9" s="34"/>
      <c r="EL9" s="34"/>
      <c r="EM9" s="34"/>
      <c r="EN9" s="34"/>
      <c r="EO9" s="34"/>
      <c r="EP9" s="34"/>
      <c r="EQ9" s="34"/>
      <c r="ER9" s="34"/>
      <c r="ES9" s="34"/>
      <c r="ET9" s="34"/>
      <c r="EU9" s="34"/>
      <c r="EV9" s="34"/>
      <c r="EW9" s="34"/>
      <c r="EX9" s="34"/>
      <c r="EY9" s="34"/>
      <c r="EZ9" s="34"/>
      <c r="FA9" s="34"/>
      <c r="FB9" s="34"/>
      <c r="FC9" s="34"/>
      <c r="FD9" s="34"/>
      <c r="FE9" s="34"/>
      <c r="FF9" s="34"/>
      <c r="FG9" s="34"/>
      <c r="FH9" s="34"/>
      <c r="FI9" s="34"/>
      <c r="FJ9" s="34"/>
      <c r="FK9" s="34"/>
      <c r="FL9" s="34"/>
      <c r="FM9" s="34"/>
      <c r="FN9" s="34"/>
      <c r="FO9" s="34"/>
      <c r="FP9" s="34"/>
      <c r="FQ9" s="34"/>
      <c r="FR9" s="34"/>
      <c r="FS9" s="34"/>
      <c r="FT9" s="34"/>
      <c r="FU9" s="34"/>
      <c r="FV9" s="34"/>
      <c r="FW9" s="34"/>
      <c r="FX9" s="34"/>
      <c r="FY9" s="34"/>
      <c r="FZ9" s="34"/>
      <c r="GA9" s="34"/>
      <c r="GB9" s="34"/>
      <c r="GC9" s="34"/>
      <c r="GD9" s="34"/>
      <c r="GE9" s="34"/>
      <c r="GF9" s="34"/>
      <c r="GG9" s="34"/>
      <c r="GH9" s="34"/>
      <c r="GI9" s="34"/>
      <c r="GJ9" s="34"/>
      <c r="GK9" s="34"/>
      <c r="GL9" s="34"/>
      <c r="GM9" s="34"/>
      <c r="GN9" s="34"/>
      <c r="GO9" s="34"/>
      <c r="GP9" s="34"/>
      <c r="GQ9" s="34"/>
      <c r="GR9" s="34"/>
    </row>
    <row r="10" spans="1:502" s="38" customFormat="1" ht="15" customHeight="1" x14ac:dyDescent="0.3">
      <c r="A10" s="34" t="s">
        <v>249</v>
      </c>
      <c r="B10" s="34">
        <v>40</v>
      </c>
      <c r="C10" s="34">
        <v>24</v>
      </c>
      <c r="D10" s="34">
        <v>15</v>
      </c>
      <c r="E10" s="34">
        <v>55</v>
      </c>
      <c r="F10" s="34">
        <v>134</v>
      </c>
      <c r="G10" s="34"/>
      <c r="H10" s="34"/>
      <c r="I10" s="34"/>
      <c r="J10" s="34"/>
      <c r="K10" s="34"/>
      <c r="L10" s="34"/>
      <c r="M10" s="34"/>
      <c r="N10" s="34"/>
      <c r="O10" s="34"/>
      <c r="P10" s="34"/>
      <c r="Q10" s="34"/>
      <c r="R10" s="34"/>
      <c r="S10" s="34"/>
      <c r="T10" s="34"/>
      <c r="U10" s="34"/>
      <c r="V10" s="58"/>
      <c r="W10" s="58"/>
      <c r="X10" s="58"/>
      <c r="Y10" s="58"/>
      <c r="Z10" s="58"/>
      <c r="AA10" s="58"/>
      <c r="AB10" s="58"/>
      <c r="AC10" s="58"/>
      <c r="AD10" s="58"/>
      <c r="AE10" s="58"/>
      <c r="AF10" s="58"/>
      <c r="AG10" s="58"/>
      <c r="AH10" s="58"/>
      <c r="AI10" s="34"/>
      <c r="AJ10" s="34"/>
      <c r="AK10" s="34"/>
      <c r="AL10" s="34"/>
      <c r="AM10" s="34"/>
      <c r="AN10" s="34"/>
      <c r="AO10" s="34"/>
      <c r="AP10" s="34"/>
      <c r="AQ10" s="34"/>
      <c r="AR10" s="34"/>
      <c r="AS10" s="34"/>
      <c r="AT10" s="34"/>
      <c r="AU10" s="34"/>
      <c r="AV10" s="34"/>
      <c r="AW10" s="34"/>
      <c r="AX10" s="34"/>
      <c r="AY10" s="34"/>
      <c r="AZ10" s="34"/>
      <c r="BA10" s="34"/>
      <c r="BB10" s="34"/>
      <c r="BC10" s="34"/>
      <c r="BD10" s="34"/>
      <c r="BE10" s="34"/>
      <c r="BF10" s="34"/>
      <c r="BG10" s="34"/>
      <c r="BH10" s="34"/>
      <c r="BI10" s="34"/>
      <c r="BJ10" s="34"/>
      <c r="BK10" s="34"/>
      <c r="BL10" s="34"/>
      <c r="BM10" s="34"/>
      <c r="BN10" s="34"/>
      <c r="BO10" s="34"/>
      <c r="BP10" s="34"/>
      <c r="BQ10" s="34"/>
      <c r="BR10" s="34"/>
      <c r="BS10" s="34"/>
      <c r="BT10" s="34"/>
      <c r="BU10" s="34"/>
      <c r="BV10" s="34"/>
      <c r="BW10" s="34"/>
      <c r="BX10" s="34"/>
      <c r="BY10" s="34"/>
      <c r="BZ10" s="34"/>
      <c r="CA10" s="34"/>
      <c r="CB10" s="34"/>
      <c r="CC10" s="34"/>
      <c r="CD10" s="34"/>
      <c r="CE10" s="34"/>
      <c r="CF10" s="34"/>
      <c r="CG10" s="34"/>
      <c r="CH10" s="34"/>
      <c r="CI10" s="34"/>
      <c r="CJ10" s="34"/>
      <c r="CK10" s="34"/>
      <c r="CL10" s="34"/>
      <c r="CM10" s="34"/>
      <c r="CN10" s="34"/>
      <c r="CO10" s="34"/>
      <c r="CP10" s="34"/>
      <c r="CQ10" s="34"/>
      <c r="CR10" s="34"/>
      <c r="CS10" s="34"/>
      <c r="CT10" s="34"/>
      <c r="CU10" s="34"/>
      <c r="CV10" s="34"/>
      <c r="CW10" s="34"/>
      <c r="CX10" s="34"/>
      <c r="CY10" s="34"/>
      <c r="CZ10" s="34"/>
      <c r="DA10" s="34"/>
      <c r="DB10" s="34"/>
      <c r="DC10" s="34"/>
      <c r="DD10" s="34"/>
      <c r="DE10" s="34"/>
      <c r="DF10" s="34"/>
      <c r="DG10" s="34"/>
      <c r="DH10" s="34"/>
      <c r="DI10" s="34"/>
      <c r="DJ10" s="34"/>
      <c r="DK10" s="34"/>
      <c r="DL10" s="34"/>
      <c r="DM10" s="34"/>
      <c r="DN10" s="34"/>
      <c r="DO10" s="34"/>
      <c r="DP10" s="34"/>
      <c r="DQ10" s="34"/>
      <c r="DR10" s="34"/>
      <c r="DS10" s="34"/>
      <c r="DT10" s="34"/>
      <c r="DU10" s="34"/>
      <c r="DV10" s="34"/>
      <c r="DW10" s="34"/>
      <c r="DX10" s="34"/>
      <c r="DY10" s="34"/>
      <c r="DZ10" s="34"/>
      <c r="EA10" s="34"/>
      <c r="EB10" s="34"/>
      <c r="EC10" s="34"/>
      <c r="ED10" s="34"/>
      <c r="EE10" s="34"/>
      <c r="EF10" s="34"/>
      <c r="EG10" s="34"/>
      <c r="EH10" s="34"/>
      <c r="EI10" s="34"/>
      <c r="EJ10" s="34"/>
      <c r="EK10" s="34"/>
      <c r="EL10" s="34"/>
      <c r="EM10" s="34"/>
      <c r="EN10" s="34"/>
      <c r="EO10" s="34"/>
      <c r="EP10" s="34"/>
      <c r="EQ10" s="34"/>
      <c r="ER10" s="34"/>
      <c r="ES10" s="34"/>
      <c r="ET10" s="34"/>
      <c r="EU10" s="34"/>
      <c r="EV10" s="34"/>
      <c r="EW10" s="34"/>
      <c r="EX10" s="34"/>
      <c r="EY10" s="34"/>
      <c r="EZ10" s="34"/>
      <c r="FA10" s="34"/>
      <c r="FB10" s="34"/>
      <c r="FC10" s="34"/>
      <c r="FD10" s="34"/>
      <c r="FE10" s="34"/>
      <c r="FF10" s="34"/>
      <c r="FG10" s="34"/>
      <c r="FH10" s="34"/>
      <c r="FI10" s="34"/>
      <c r="FJ10" s="34"/>
      <c r="FK10" s="34"/>
      <c r="FL10" s="34"/>
      <c r="FM10" s="34"/>
      <c r="FN10" s="34"/>
      <c r="FO10" s="34"/>
      <c r="FP10" s="34"/>
      <c r="FQ10" s="34"/>
      <c r="FR10" s="34"/>
      <c r="FS10" s="34"/>
      <c r="FT10" s="34"/>
      <c r="FU10" s="34"/>
      <c r="FV10" s="34"/>
      <c r="FW10" s="34"/>
      <c r="FX10" s="34"/>
      <c r="FY10" s="34"/>
      <c r="FZ10" s="34"/>
      <c r="GA10" s="34"/>
      <c r="GB10" s="34"/>
      <c r="GC10" s="34"/>
      <c r="GD10" s="34"/>
      <c r="GE10" s="34"/>
      <c r="GF10" s="34"/>
      <c r="GG10" s="34"/>
      <c r="GH10" s="34"/>
      <c r="GI10" s="34"/>
      <c r="GJ10" s="34"/>
      <c r="GK10" s="34"/>
      <c r="GL10" s="34"/>
      <c r="GM10" s="34"/>
      <c r="GN10" s="34"/>
      <c r="GO10" s="34"/>
      <c r="GP10" s="34"/>
      <c r="GQ10" s="34"/>
      <c r="GR10" s="34"/>
      <c r="OT10" s="63"/>
    </row>
    <row r="11" spans="1:502" s="38" customFormat="1" ht="15" customHeight="1" x14ac:dyDescent="0.3">
      <c r="A11" s="34" t="s">
        <v>250</v>
      </c>
      <c r="B11" s="34">
        <v>28</v>
      </c>
      <c r="C11" s="34">
        <v>32</v>
      </c>
      <c r="D11" s="34">
        <v>5</v>
      </c>
      <c r="E11" s="34">
        <v>59</v>
      </c>
      <c r="F11" s="34">
        <v>124</v>
      </c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58"/>
      <c r="W11" s="58"/>
      <c r="X11" s="58"/>
      <c r="Y11" s="58"/>
      <c r="Z11" s="58"/>
      <c r="AA11" s="58"/>
      <c r="AB11" s="58"/>
      <c r="AC11" s="58"/>
      <c r="AD11" s="58"/>
      <c r="AE11" s="58"/>
      <c r="AF11" s="58"/>
      <c r="AG11" s="58"/>
      <c r="AH11" s="58"/>
      <c r="AI11" s="34"/>
      <c r="AJ11" s="34"/>
      <c r="AK11" s="34"/>
      <c r="AL11" s="34"/>
      <c r="AM11" s="34"/>
      <c r="AN11" s="34"/>
      <c r="AO11" s="34"/>
      <c r="AP11" s="34"/>
      <c r="AQ11" s="34"/>
      <c r="AR11" s="34"/>
      <c r="AS11" s="34"/>
      <c r="AT11" s="34"/>
      <c r="AU11" s="34"/>
      <c r="AV11" s="34"/>
      <c r="AW11" s="34"/>
      <c r="AX11" s="34"/>
      <c r="AY11" s="34"/>
      <c r="AZ11" s="34"/>
      <c r="BA11" s="34"/>
      <c r="BB11" s="34"/>
      <c r="BC11" s="34"/>
      <c r="BD11" s="34"/>
      <c r="BE11" s="34"/>
      <c r="BF11" s="34"/>
      <c r="BG11" s="34"/>
      <c r="BH11" s="34"/>
      <c r="BI11" s="34"/>
      <c r="BJ11" s="34"/>
      <c r="BK11" s="34"/>
      <c r="BL11" s="34"/>
      <c r="BM11" s="34"/>
      <c r="BN11" s="34"/>
      <c r="BO11" s="34"/>
      <c r="BP11" s="34"/>
      <c r="BQ11" s="34"/>
      <c r="BR11" s="34"/>
      <c r="BS11" s="34"/>
      <c r="BT11" s="34"/>
      <c r="BU11" s="34"/>
      <c r="BV11" s="34"/>
      <c r="BW11" s="34"/>
      <c r="BX11" s="34"/>
      <c r="BY11" s="34"/>
      <c r="BZ11" s="34"/>
      <c r="CA11" s="34"/>
      <c r="CB11" s="34"/>
      <c r="CC11" s="34"/>
      <c r="CD11" s="34"/>
      <c r="CE11" s="34"/>
      <c r="CF11" s="34"/>
      <c r="CG11" s="34"/>
      <c r="CH11" s="34"/>
      <c r="CI11" s="34"/>
      <c r="CJ11" s="34"/>
      <c r="CK11" s="34"/>
      <c r="CL11" s="34"/>
      <c r="CM11" s="34"/>
      <c r="CN11" s="34"/>
      <c r="CO11" s="34"/>
      <c r="CP11" s="34"/>
      <c r="CQ11" s="34"/>
      <c r="CR11" s="34"/>
      <c r="CS11" s="34"/>
      <c r="CT11" s="34"/>
      <c r="CU11" s="34"/>
      <c r="CV11" s="34"/>
      <c r="CW11" s="34"/>
      <c r="CX11" s="34"/>
      <c r="CY11" s="34"/>
      <c r="CZ11" s="34"/>
      <c r="DA11" s="34"/>
      <c r="DB11" s="34"/>
      <c r="DC11" s="34"/>
      <c r="DD11" s="34"/>
      <c r="DE11" s="34"/>
      <c r="DF11" s="34"/>
      <c r="DG11" s="34"/>
      <c r="DH11" s="34"/>
      <c r="DI11" s="34"/>
      <c r="DJ11" s="34"/>
      <c r="DK11" s="34"/>
      <c r="DL11" s="34"/>
      <c r="DM11" s="34"/>
      <c r="DN11" s="34"/>
      <c r="DO11" s="34"/>
      <c r="DP11" s="34"/>
      <c r="DQ11" s="34"/>
      <c r="DR11" s="34"/>
      <c r="DS11" s="34"/>
      <c r="DT11" s="34"/>
      <c r="DU11" s="34"/>
      <c r="DV11" s="34"/>
      <c r="DW11" s="34"/>
      <c r="DX11" s="34"/>
      <c r="DY11" s="34"/>
      <c r="DZ11" s="34"/>
      <c r="EA11" s="34"/>
      <c r="EB11" s="34"/>
      <c r="EC11" s="34"/>
      <c r="ED11" s="34"/>
      <c r="EE11" s="34"/>
      <c r="EF11" s="34"/>
      <c r="EG11" s="34"/>
      <c r="EH11" s="34"/>
      <c r="EI11" s="34"/>
      <c r="EJ11" s="34"/>
      <c r="EK11" s="34"/>
      <c r="EL11" s="34"/>
      <c r="EM11" s="34"/>
      <c r="EN11" s="34"/>
      <c r="EO11" s="34"/>
      <c r="EP11" s="34"/>
      <c r="EQ11" s="34"/>
      <c r="ER11" s="34"/>
      <c r="ES11" s="34"/>
      <c r="ET11" s="34"/>
      <c r="EU11" s="34"/>
      <c r="EV11" s="34"/>
      <c r="EW11" s="34"/>
      <c r="EX11" s="34"/>
      <c r="EY11" s="34"/>
      <c r="EZ11" s="34"/>
      <c r="FA11" s="34"/>
      <c r="FB11" s="34"/>
      <c r="FC11" s="34"/>
      <c r="FD11" s="34"/>
      <c r="FE11" s="34"/>
      <c r="FF11" s="34"/>
      <c r="FG11" s="34"/>
      <c r="FH11" s="34"/>
      <c r="FI11" s="34"/>
      <c r="FJ11" s="34"/>
      <c r="FK11" s="34"/>
      <c r="FL11" s="34"/>
      <c r="FM11" s="34"/>
      <c r="FN11" s="34"/>
      <c r="FO11" s="34"/>
      <c r="FP11" s="34"/>
      <c r="FQ11" s="34"/>
      <c r="FR11" s="34"/>
      <c r="FS11" s="34"/>
      <c r="FT11" s="34"/>
      <c r="FU11" s="34"/>
      <c r="FV11" s="34"/>
      <c r="FW11" s="34"/>
      <c r="FX11" s="34"/>
      <c r="FY11" s="34"/>
      <c r="FZ11" s="34"/>
      <c r="GA11" s="34"/>
      <c r="GB11" s="34"/>
      <c r="GC11" s="34"/>
      <c r="GD11" s="34"/>
      <c r="GE11" s="34"/>
      <c r="GF11" s="34"/>
      <c r="GG11" s="34"/>
      <c r="GH11" s="34"/>
      <c r="GI11" s="34"/>
      <c r="GJ11" s="34"/>
      <c r="GK11" s="34"/>
      <c r="GL11" s="34"/>
      <c r="GM11" s="34"/>
      <c r="GN11" s="34"/>
      <c r="GO11" s="34"/>
      <c r="GP11" s="34"/>
      <c r="GQ11" s="34"/>
      <c r="GR11" s="34"/>
      <c r="OQ11" s="64"/>
      <c r="OT11" s="63"/>
    </row>
    <row r="12" spans="1:502" s="38" customFormat="1" ht="15" customHeight="1" x14ac:dyDescent="0.3">
      <c r="A12" s="34" t="s">
        <v>256</v>
      </c>
      <c r="B12" s="34">
        <v>16</v>
      </c>
      <c r="C12" s="34">
        <v>15</v>
      </c>
      <c r="D12" s="34">
        <v>3</v>
      </c>
      <c r="E12" s="34">
        <v>31</v>
      </c>
      <c r="F12" s="34">
        <v>65</v>
      </c>
      <c r="G12" s="34"/>
      <c r="H12" s="34"/>
      <c r="I12" s="34"/>
      <c r="J12" s="34"/>
      <c r="K12" s="34"/>
      <c r="L12" s="34"/>
      <c r="M12" s="34"/>
      <c r="N12" s="34"/>
      <c r="O12" s="34"/>
      <c r="P12" s="34"/>
      <c r="Q12" s="34"/>
      <c r="R12" s="34"/>
      <c r="S12" s="34"/>
      <c r="T12" s="34"/>
      <c r="U12" s="34"/>
      <c r="V12" s="58"/>
      <c r="W12" s="58"/>
      <c r="X12" s="58"/>
      <c r="Y12" s="58"/>
      <c r="Z12" s="58"/>
      <c r="AA12" s="58"/>
      <c r="AB12" s="58"/>
      <c r="AC12" s="58"/>
      <c r="AD12" s="58"/>
      <c r="AE12" s="58"/>
      <c r="AF12" s="58"/>
      <c r="AG12" s="58"/>
      <c r="AH12" s="58"/>
      <c r="AI12" s="34"/>
      <c r="AJ12" s="34"/>
      <c r="AK12" s="34"/>
      <c r="AL12" s="34"/>
      <c r="AM12" s="34"/>
      <c r="AN12" s="34"/>
      <c r="AO12" s="34"/>
      <c r="AP12" s="34"/>
      <c r="AQ12" s="34"/>
      <c r="AR12" s="34"/>
      <c r="AS12" s="34"/>
      <c r="AT12" s="34"/>
      <c r="AU12" s="34"/>
      <c r="AV12" s="34"/>
      <c r="AW12" s="34"/>
      <c r="AX12" s="34"/>
      <c r="AY12" s="34"/>
      <c r="AZ12" s="34"/>
      <c r="BA12" s="34"/>
      <c r="BB12" s="34"/>
      <c r="BC12" s="34"/>
      <c r="BD12" s="34"/>
      <c r="BE12" s="34"/>
      <c r="BF12" s="34"/>
      <c r="BG12" s="34"/>
      <c r="BH12" s="34"/>
      <c r="BI12" s="34"/>
      <c r="BJ12" s="34"/>
      <c r="BK12" s="34"/>
      <c r="BL12" s="34"/>
      <c r="BM12" s="34"/>
      <c r="BN12" s="34"/>
      <c r="BO12" s="34"/>
      <c r="BP12" s="34"/>
      <c r="BQ12" s="34"/>
      <c r="BR12" s="34"/>
      <c r="BS12" s="34"/>
      <c r="BT12" s="34"/>
      <c r="BU12" s="34"/>
      <c r="BV12" s="34"/>
      <c r="BW12" s="34"/>
      <c r="BX12" s="34"/>
      <c r="BY12" s="34"/>
      <c r="BZ12" s="34"/>
      <c r="CA12" s="34"/>
      <c r="CB12" s="34"/>
      <c r="CC12" s="34"/>
      <c r="CD12" s="34"/>
      <c r="CE12" s="34"/>
      <c r="CF12" s="34"/>
      <c r="CG12" s="34"/>
      <c r="CH12" s="34"/>
      <c r="CI12" s="34"/>
      <c r="CJ12" s="34"/>
      <c r="CK12" s="34"/>
      <c r="CL12" s="34"/>
      <c r="CM12" s="34"/>
      <c r="CN12" s="34"/>
      <c r="CO12" s="34"/>
      <c r="CP12" s="34"/>
      <c r="CQ12" s="34"/>
      <c r="CR12" s="34"/>
      <c r="CS12" s="34"/>
      <c r="CT12" s="34"/>
      <c r="CU12" s="34"/>
      <c r="CV12" s="34"/>
      <c r="CW12" s="34"/>
      <c r="CX12" s="34"/>
      <c r="CY12" s="34"/>
      <c r="CZ12" s="34"/>
      <c r="DA12" s="34"/>
      <c r="DB12" s="34"/>
      <c r="DC12" s="34"/>
      <c r="DD12" s="34"/>
      <c r="DE12" s="34"/>
      <c r="DF12" s="34"/>
      <c r="DG12" s="34"/>
      <c r="DH12" s="34"/>
      <c r="DI12" s="34"/>
      <c r="DJ12" s="34"/>
      <c r="DK12" s="34"/>
      <c r="DL12" s="34"/>
      <c r="DM12" s="34"/>
      <c r="DN12" s="34"/>
      <c r="DO12" s="34"/>
      <c r="DP12" s="34"/>
      <c r="DQ12" s="34"/>
      <c r="DR12" s="34"/>
      <c r="DS12" s="34"/>
      <c r="DT12" s="34"/>
      <c r="DU12" s="34"/>
      <c r="DV12" s="34"/>
      <c r="DW12" s="34"/>
      <c r="DX12" s="34"/>
      <c r="DY12" s="34"/>
      <c r="DZ12" s="34"/>
      <c r="EA12" s="34"/>
      <c r="EB12" s="34"/>
      <c r="EC12" s="34"/>
      <c r="ED12" s="34"/>
      <c r="EE12" s="34"/>
      <c r="EF12" s="34"/>
      <c r="EG12" s="34"/>
      <c r="EH12" s="34"/>
      <c r="EI12" s="34"/>
      <c r="EJ12" s="34"/>
      <c r="EK12" s="34"/>
      <c r="EL12" s="34"/>
      <c r="EM12" s="34"/>
      <c r="EN12" s="34"/>
      <c r="EO12" s="34"/>
      <c r="EP12" s="34"/>
      <c r="EQ12" s="34"/>
      <c r="ER12" s="34"/>
      <c r="ES12" s="34"/>
      <c r="ET12" s="34"/>
      <c r="EU12" s="34"/>
      <c r="EV12" s="34"/>
      <c r="EW12" s="34"/>
      <c r="EX12" s="34"/>
      <c r="EY12" s="34"/>
      <c r="EZ12" s="34"/>
      <c r="FA12" s="34"/>
      <c r="FB12" s="34"/>
      <c r="FC12" s="34"/>
      <c r="FD12" s="34"/>
      <c r="FE12" s="34"/>
      <c r="FF12" s="34"/>
      <c r="FG12" s="34"/>
      <c r="FH12" s="34"/>
      <c r="FI12" s="34"/>
      <c r="FJ12" s="34"/>
      <c r="FK12" s="34"/>
      <c r="FL12" s="34"/>
      <c r="FM12" s="34"/>
      <c r="FN12" s="34"/>
      <c r="FO12" s="34"/>
      <c r="FP12" s="34"/>
      <c r="FQ12" s="34"/>
      <c r="FR12" s="34"/>
      <c r="FS12" s="34"/>
      <c r="FT12" s="34"/>
      <c r="FU12" s="34"/>
      <c r="FV12" s="34"/>
      <c r="FW12" s="34"/>
      <c r="FX12" s="34"/>
      <c r="FY12" s="34"/>
      <c r="FZ12" s="34"/>
      <c r="GA12" s="34"/>
      <c r="GB12" s="34"/>
      <c r="GC12" s="34"/>
      <c r="GD12" s="34"/>
      <c r="GE12" s="34"/>
      <c r="GF12" s="34"/>
      <c r="GG12" s="34"/>
      <c r="GH12" s="34"/>
      <c r="GI12" s="34"/>
      <c r="GJ12" s="34"/>
      <c r="GK12" s="34"/>
      <c r="GL12" s="34"/>
      <c r="GM12" s="34"/>
      <c r="GN12" s="34"/>
      <c r="GO12" s="34"/>
      <c r="GP12" s="34"/>
      <c r="GQ12" s="34"/>
      <c r="GR12" s="34"/>
      <c r="OQ12" s="64"/>
      <c r="OT12" s="63"/>
    </row>
    <row r="13" spans="1:502" s="38" customFormat="1" ht="15" customHeight="1" x14ac:dyDescent="0.3">
      <c r="A13" s="34" t="s">
        <v>246</v>
      </c>
      <c r="B13" s="34">
        <v>10</v>
      </c>
      <c r="C13" s="34">
        <v>13</v>
      </c>
      <c r="D13" s="34">
        <v>3</v>
      </c>
      <c r="E13" s="34">
        <v>34</v>
      </c>
      <c r="F13" s="34">
        <v>60</v>
      </c>
      <c r="G13" s="34"/>
      <c r="H13" s="34"/>
      <c r="I13" s="34"/>
      <c r="J13" s="34"/>
      <c r="K13" s="34"/>
      <c r="L13" s="34"/>
      <c r="M13" s="34"/>
      <c r="N13" s="34"/>
      <c r="O13" s="34"/>
      <c r="P13" s="34"/>
      <c r="Q13" s="34"/>
      <c r="R13" s="34"/>
      <c r="S13" s="34"/>
      <c r="T13" s="34"/>
      <c r="U13" s="136"/>
      <c r="V13" s="58"/>
      <c r="W13" s="58"/>
      <c r="X13" s="58"/>
      <c r="Y13" s="58"/>
      <c r="Z13" s="58"/>
      <c r="AA13" s="58"/>
      <c r="AB13" s="58"/>
      <c r="AC13" s="58"/>
      <c r="AD13" s="58"/>
      <c r="AE13" s="58"/>
      <c r="AF13" s="58"/>
      <c r="AG13" s="58"/>
      <c r="AH13" s="58"/>
      <c r="AI13" s="34"/>
      <c r="AJ13" s="34"/>
      <c r="AK13" s="34"/>
      <c r="AL13" s="34"/>
      <c r="AM13" s="34"/>
      <c r="AN13" s="34"/>
      <c r="AO13" s="34"/>
      <c r="AP13" s="34"/>
      <c r="AQ13" s="34"/>
      <c r="AR13" s="34"/>
      <c r="AS13" s="34"/>
      <c r="AT13" s="34"/>
      <c r="AU13" s="34"/>
      <c r="AV13" s="34"/>
      <c r="AW13" s="34"/>
      <c r="AX13" s="34"/>
      <c r="AY13" s="34"/>
      <c r="AZ13" s="34"/>
      <c r="BA13" s="34"/>
      <c r="BB13" s="34"/>
      <c r="BC13" s="34"/>
      <c r="BD13" s="34"/>
      <c r="BE13" s="34"/>
      <c r="BF13" s="34"/>
      <c r="BG13" s="34"/>
      <c r="BH13" s="34"/>
      <c r="BI13" s="34"/>
      <c r="BJ13" s="34"/>
      <c r="BK13" s="34"/>
      <c r="BL13" s="34"/>
      <c r="BM13" s="34"/>
      <c r="BN13" s="34"/>
      <c r="BO13" s="34"/>
      <c r="BP13" s="34"/>
      <c r="BQ13" s="34"/>
      <c r="BR13" s="34"/>
      <c r="BS13" s="34"/>
      <c r="BT13" s="34"/>
      <c r="BU13" s="34"/>
      <c r="BV13" s="34"/>
      <c r="BW13" s="34"/>
      <c r="BX13" s="34"/>
      <c r="BY13" s="34"/>
      <c r="BZ13" s="34"/>
      <c r="CA13" s="34"/>
      <c r="CB13" s="34"/>
      <c r="CC13" s="34"/>
      <c r="CD13" s="34"/>
      <c r="CE13" s="34"/>
      <c r="CF13" s="34"/>
      <c r="CG13" s="34"/>
      <c r="CH13" s="34"/>
      <c r="CI13" s="34"/>
      <c r="CJ13" s="34"/>
      <c r="CK13" s="34"/>
      <c r="CL13" s="34"/>
      <c r="CM13" s="34"/>
      <c r="CN13" s="34"/>
      <c r="CO13" s="34"/>
      <c r="CP13" s="34"/>
      <c r="CQ13" s="34"/>
      <c r="CR13" s="34"/>
      <c r="CS13" s="34"/>
      <c r="CT13" s="34"/>
      <c r="CU13" s="34"/>
      <c r="CV13" s="34"/>
      <c r="CW13" s="34"/>
      <c r="CX13" s="34"/>
      <c r="CY13" s="34"/>
      <c r="CZ13" s="34"/>
      <c r="DA13" s="34"/>
      <c r="DB13" s="34"/>
      <c r="DC13" s="34"/>
      <c r="DD13" s="34"/>
      <c r="DE13" s="34"/>
      <c r="DF13" s="34"/>
      <c r="DG13" s="34"/>
      <c r="DH13" s="34"/>
      <c r="DI13" s="34"/>
      <c r="DJ13" s="34"/>
      <c r="DK13" s="34"/>
      <c r="DL13" s="34"/>
      <c r="DM13" s="34"/>
      <c r="DN13" s="34"/>
      <c r="DO13" s="34"/>
      <c r="DP13" s="34"/>
      <c r="DQ13" s="34"/>
      <c r="DR13" s="34"/>
      <c r="DS13" s="34"/>
      <c r="DT13" s="34"/>
      <c r="DU13" s="34"/>
      <c r="DV13" s="34"/>
      <c r="DW13" s="34"/>
      <c r="DX13" s="34"/>
      <c r="DY13" s="34"/>
      <c r="DZ13" s="34"/>
      <c r="EA13" s="34"/>
      <c r="EB13" s="34"/>
      <c r="EC13" s="34"/>
      <c r="ED13" s="34"/>
      <c r="EE13" s="34"/>
      <c r="EF13" s="34"/>
      <c r="EG13" s="34"/>
      <c r="EH13" s="34"/>
      <c r="EI13" s="34"/>
      <c r="EJ13" s="34"/>
      <c r="EK13" s="34"/>
      <c r="EL13" s="34"/>
      <c r="EM13" s="34"/>
      <c r="EN13" s="34"/>
      <c r="EO13" s="34"/>
      <c r="EP13" s="34"/>
      <c r="EQ13" s="34"/>
      <c r="ER13" s="34"/>
      <c r="ES13" s="34"/>
      <c r="ET13" s="34"/>
      <c r="EU13" s="34"/>
      <c r="EV13" s="34"/>
      <c r="EW13" s="34"/>
      <c r="EX13" s="34"/>
      <c r="EY13" s="34"/>
      <c r="EZ13" s="34"/>
      <c r="FA13" s="34"/>
      <c r="FB13" s="34"/>
      <c r="FC13" s="34"/>
      <c r="FD13" s="34"/>
      <c r="FE13" s="34"/>
      <c r="FF13" s="34"/>
      <c r="FG13" s="34"/>
      <c r="FH13" s="34"/>
      <c r="FI13" s="34"/>
      <c r="FJ13" s="34"/>
      <c r="FK13" s="34"/>
      <c r="FL13" s="34"/>
      <c r="FM13" s="34"/>
      <c r="FN13" s="34"/>
      <c r="FO13" s="34"/>
      <c r="FP13" s="34"/>
      <c r="FQ13" s="34"/>
      <c r="FR13" s="34"/>
      <c r="FS13" s="34"/>
      <c r="FT13" s="34"/>
      <c r="FU13" s="34"/>
      <c r="FV13" s="34"/>
      <c r="FW13" s="34"/>
      <c r="FX13" s="34"/>
      <c r="FY13" s="34"/>
      <c r="FZ13" s="34"/>
      <c r="GA13" s="34"/>
      <c r="GB13" s="34"/>
      <c r="GC13" s="34"/>
      <c r="GD13" s="34"/>
      <c r="GE13" s="34"/>
      <c r="GF13" s="34"/>
      <c r="GG13" s="34"/>
      <c r="GH13" s="34"/>
      <c r="GI13" s="34"/>
      <c r="GJ13" s="34"/>
      <c r="GK13" s="34"/>
      <c r="GL13" s="34"/>
      <c r="GM13" s="34"/>
      <c r="GN13" s="34"/>
      <c r="GO13" s="34"/>
      <c r="GP13" s="34"/>
      <c r="GQ13" s="34"/>
      <c r="GR13" s="34"/>
      <c r="OT13" s="63"/>
    </row>
    <row r="14" spans="1:502" s="38" customFormat="1" ht="15" customHeight="1" x14ac:dyDescent="0.3">
      <c r="A14" s="34" t="s">
        <v>257</v>
      </c>
      <c r="B14" s="34">
        <v>12</v>
      </c>
      <c r="C14" s="34">
        <v>5</v>
      </c>
      <c r="D14" s="34">
        <v>2</v>
      </c>
      <c r="E14" s="34">
        <v>38</v>
      </c>
      <c r="F14" s="34">
        <v>57</v>
      </c>
      <c r="G14" s="34"/>
      <c r="H14" s="34"/>
      <c r="I14" s="34"/>
      <c r="J14" s="34"/>
      <c r="K14" s="34"/>
      <c r="L14" s="34"/>
      <c r="M14" s="34"/>
      <c r="N14" s="34"/>
      <c r="O14" s="34"/>
      <c r="P14" s="34"/>
      <c r="Q14" s="34"/>
      <c r="R14" s="34"/>
      <c r="S14" s="34"/>
      <c r="T14" s="34"/>
      <c r="U14" s="148"/>
      <c r="V14" s="58"/>
      <c r="W14" s="58"/>
      <c r="X14" s="58"/>
      <c r="Y14" s="58"/>
      <c r="Z14" s="58"/>
      <c r="AA14" s="58"/>
      <c r="AB14" s="58"/>
      <c r="AC14" s="58"/>
      <c r="AD14" s="58"/>
      <c r="AE14" s="58"/>
      <c r="AF14" s="58"/>
      <c r="AG14" s="58"/>
      <c r="AH14" s="58"/>
      <c r="AI14" s="34"/>
      <c r="AJ14" s="34"/>
      <c r="AK14" s="34"/>
      <c r="AL14" s="34"/>
      <c r="AM14" s="34"/>
      <c r="AN14" s="34"/>
      <c r="AO14" s="34"/>
      <c r="AP14" s="34"/>
      <c r="AQ14" s="34"/>
      <c r="AR14" s="34"/>
      <c r="AS14" s="34"/>
      <c r="AT14" s="34"/>
      <c r="AU14" s="34"/>
      <c r="AV14" s="34"/>
      <c r="AW14" s="34"/>
      <c r="AX14" s="34"/>
      <c r="AY14" s="34"/>
      <c r="AZ14" s="34"/>
      <c r="BA14" s="34"/>
      <c r="BB14" s="34"/>
      <c r="BC14" s="34"/>
      <c r="BD14" s="34"/>
      <c r="BE14" s="34"/>
      <c r="BF14" s="34"/>
      <c r="BG14" s="34"/>
      <c r="BH14" s="34"/>
      <c r="BI14" s="34"/>
      <c r="BJ14" s="34"/>
      <c r="BK14" s="34"/>
      <c r="BL14" s="34"/>
      <c r="BM14" s="34"/>
      <c r="BN14" s="34"/>
      <c r="BO14" s="34"/>
      <c r="BP14" s="34"/>
      <c r="BQ14" s="34"/>
      <c r="BR14" s="34"/>
      <c r="BS14" s="34"/>
      <c r="BT14" s="34"/>
      <c r="BU14" s="34"/>
      <c r="BV14" s="34"/>
      <c r="BW14" s="34"/>
      <c r="BX14" s="34"/>
      <c r="BY14" s="34"/>
      <c r="BZ14" s="34"/>
      <c r="CA14" s="34"/>
      <c r="CB14" s="34"/>
      <c r="CC14" s="34"/>
      <c r="CD14" s="34"/>
      <c r="CE14" s="34"/>
      <c r="CF14" s="34"/>
      <c r="CG14" s="34"/>
      <c r="CH14" s="34"/>
      <c r="CI14" s="34"/>
      <c r="CJ14" s="34"/>
      <c r="CK14" s="34"/>
      <c r="CL14" s="34"/>
      <c r="CM14" s="34"/>
      <c r="CN14" s="34"/>
      <c r="CO14" s="34"/>
      <c r="CP14" s="34"/>
      <c r="CQ14" s="34"/>
      <c r="CR14" s="34"/>
      <c r="CS14" s="34"/>
      <c r="CT14" s="34"/>
      <c r="CU14" s="34"/>
      <c r="CV14" s="34"/>
      <c r="CW14" s="34"/>
      <c r="CX14" s="34"/>
      <c r="CY14" s="34"/>
      <c r="CZ14" s="34"/>
      <c r="DA14" s="34"/>
      <c r="DB14" s="34"/>
      <c r="DC14" s="34"/>
      <c r="DD14" s="34"/>
      <c r="DE14" s="34"/>
      <c r="DF14" s="34"/>
      <c r="DG14" s="34"/>
      <c r="DH14" s="34"/>
      <c r="DI14" s="34"/>
      <c r="DJ14" s="34"/>
      <c r="DK14" s="34"/>
      <c r="DL14" s="34"/>
      <c r="DM14" s="34"/>
      <c r="DN14" s="34"/>
      <c r="DO14" s="34"/>
      <c r="DP14" s="34"/>
      <c r="DQ14" s="34"/>
      <c r="DR14" s="34"/>
      <c r="DS14" s="34"/>
      <c r="DT14" s="34"/>
      <c r="DU14" s="34"/>
      <c r="DV14" s="34"/>
      <c r="DW14" s="34"/>
      <c r="DX14" s="34"/>
      <c r="DY14" s="34"/>
      <c r="DZ14" s="34"/>
      <c r="EA14" s="34"/>
      <c r="EB14" s="34"/>
      <c r="EC14" s="34"/>
      <c r="ED14" s="34"/>
      <c r="EE14" s="34"/>
      <c r="EF14" s="34"/>
      <c r="EG14" s="34"/>
      <c r="EH14" s="34"/>
      <c r="EI14" s="34"/>
      <c r="EJ14" s="34"/>
      <c r="EK14" s="34"/>
      <c r="EL14" s="34"/>
      <c r="EM14" s="34"/>
      <c r="EN14" s="34"/>
      <c r="EO14" s="34"/>
      <c r="EP14" s="34"/>
      <c r="EQ14" s="34"/>
      <c r="ER14" s="34"/>
      <c r="ES14" s="34"/>
      <c r="ET14" s="34"/>
      <c r="EU14" s="34"/>
      <c r="EV14" s="34"/>
      <c r="EW14" s="34"/>
      <c r="EX14" s="34"/>
      <c r="EY14" s="34"/>
      <c r="EZ14" s="34"/>
      <c r="FA14" s="34"/>
      <c r="FB14" s="34"/>
      <c r="FC14" s="34"/>
      <c r="FD14" s="34"/>
      <c r="FE14" s="34"/>
      <c r="FF14" s="34"/>
      <c r="FG14" s="34"/>
      <c r="FH14" s="34"/>
      <c r="FI14" s="34"/>
      <c r="FJ14" s="34"/>
      <c r="FK14" s="34"/>
      <c r="FL14" s="34"/>
      <c r="FM14" s="34"/>
      <c r="FN14" s="34"/>
      <c r="FO14" s="34"/>
      <c r="FP14" s="34"/>
      <c r="FQ14" s="34"/>
      <c r="FR14" s="34"/>
      <c r="FS14" s="34"/>
      <c r="FT14" s="34"/>
      <c r="FU14" s="34"/>
      <c r="FV14" s="34"/>
      <c r="FW14" s="34"/>
      <c r="FX14" s="34"/>
      <c r="FY14" s="34"/>
      <c r="FZ14" s="34"/>
      <c r="GA14" s="34"/>
      <c r="GB14" s="34"/>
      <c r="GC14" s="34"/>
      <c r="GD14" s="34"/>
      <c r="GE14" s="34"/>
      <c r="GF14" s="34"/>
      <c r="GG14" s="34"/>
      <c r="GH14" s="34"/>
      <c r="GI14" s="34"/>
      <c r="GJ14" s="34"/>
      <c r="GK14" s="34"/>
      <c r="GL14" s="34"/>
      <c r="GM14" s="34"/>
      <c r="GN14" s="34"/>
      <c r="GO14" s="34"/>
      <c r="GP14" s="34"/>
      <c r="GQ14" s="34"/>
      <c r="GR14" s="34"/>
      <c r="OT14" s="63"/>
    </row>
    <row r="15" spans="1:502" s="38" customFormat="1" ht="15" customHeight="1" x14ac:dyDescent="0.3">
      <c r="A15" s="234" t="s">
        <v>262</v>
      </c>
      <c r="B15" s="234">
        <v>5</v>
      </c>
      <c r="C15" s="234">
        <v>6</v>
      </c>
      <c r="D15" s="234">
        <v>1</v>
      </c>
      <c r="E15" s="234">
        <v>8</v>
      </c>
      <c r="F15" s="234">
        <v>20</v>
      </c>
      <c r="G15" s="34"/>
      <c r="H15" s="34"/>
      <c r="I15" s="34"/>
      <c r="J15" s="34"/>
      <c r="K15" s="34"/>
      <c r="L15" s="34"/>
      <c r="M15" s="34"/>
      <c r="N15" s="34"/>
      <c r="O15" s="34"/>
      <c r="P15" s="34"/>
      <c r="Q15" s="34"/>
      <c r="R15" s="34"/>
      <c r="S15" s="34"/>
      <c r="T15" s="34"/>
      <c r="U15" s="34"/>
      <c r="V15" s="58"/>
      <c r="W15" s="58"/>
      <c r="X15" s="58"/>
      <c r="Y15" s="58"/>
      <c r="Z15" s="58"/>
      <c r="AA15" s="58"/>
      <c r="AB15" s="58"/>
      <c r="AC15" s="58"/>
      <c r="AD15" s="58"/>
      <c r="AE15" s="58"/>
      <c r="AF15" s="58"/>
      <c r="AG15" s="58"/>
      <c r="AH15" s="58"/>
      <c r="AI15" s="34"/>
      <c r="AJ15" s="34"/>
      <c r="AK15" s="34"/>
      <c r="AL15" s="34"/>
      <c r="AM15" s="34"/>
      <c r="AN15" s="34"/>
      <c r="AO15" s="34"/>
      <c r="AP15" s="34"/>
      <c r="AQ15" s="34"/>
      <c r="AR15" s="34"/>
      <c r="AS15" s="34"/>
      <c r="AT15" s="34"/>
      <c r="AU15" s="34"/>
      <c r="AV15" s="34"/>
      <c r="AW15" s="34"/>
      <c r="AX15" s="34"/>
      <c r="AY15" s="34"/>
      <c r="AZ15" s="34"/>
      <c r="BA15" s="34"/>
      <c r="BB15" s="34"/>
      <c r="BC15" s="34"/>
      <c r="BD15" s="34"/>
      <c r="BE15" s="34"/>
      <c r="BF15" s="34"/>
      <c r="BG15" s="34"/>
      <c r="BH15" s="34"/>
      <c r="BI15" s="34"/>
      <c r="BJ15" s="34"/>
      <c r="BK15" s="34"/>
      <c r="BL15" s="34"/>
      <c r="BM15" s="34"/>
      <c r="BN15" s="34"/>
      <c r="BO15" s="34"/>
      <c r="BP15" s="34"/>
      <c r="BQ15" s="34"/>
      <c r="BR15" s="34"/>
      <c r="BS15" s="34"/>
      <c r="BT15" s="34"/>
      <c r="BU15" s="34"/>
      <c r="BV15" s="34"/>
      <c r="BW15" s="34"/>
      <c r="BX15" s="34"/>
      <c r="BY15" s="34"/>
      <c r="BZ15" s="34"/>
      <c r="CA15" s="34"/>
      <c r="CB15" s="34"/>
      <c r="CC15" s="34"/>
      <c r="CD15" s="34"/>
      <c r="CE15" s="34"/>
      <c r="CF15" s="34"/>
      <c r="CG15" s="34"/>
      <c r="CH15" s="34"/>
      <c r="CI15" s="34"/>
      <c r="CJ15" s="34"/>
      <c r="CK15" s="34"/>
      <c r="CL15" s="34"/>
      <c r="CM15" s="34"/>
      <c r="CN15" s="34"/>
      <c r="CO15" s="34"/>
      <c r="CP15" s="34"/>
      <c r="CQ15" s="34"/>
      <c r="CR15" s="34"/>
      <c r="CS15" s="34"/>
      <c r="CT15" s="34"/>
      <c r="CU15" s="34"/>
      <c r="CV15" s="34"/>
      <c r="CW15" s="34"/>
      <c r="CX15" s="34"/>
      <c r="CY15" s="34"/>
      <c r="CZ15" s="34"/>
      <c r="DA15" s="34"/>
      <c r="DB15" s="34"/>
      <c r="DC15" s="34"/>
      <c r="DD15" s="34"/>
      <c r="DE15" s="34"/>
      <c r="DF15" s="34"/>
      <c r="DG15" s="34"/>
      <c r="DH15" s="34"/>
      <c r="DI15" s="34"/>
      <c r="DJ15" s="34"/>
      <c r="DK15" s="34"/>
      <c r="DL15" s="34"/>
      <c r="DM15" s="34"/>
      <c r="DN15" s="34"/>
      <c r="DO15" s="34"/>
      <c r="DP15" s="34"/>
      <c r="DQ15" s="34"/>
      <c r="DR15" s="34"/>
      <c r="DS15" s="34"/>
      <c r="DT15" s="34"/>
      <c r="DU15" s="34"/>
      <c r="DV15" s="34"/>
      <c r="DW15" s="34"/>
      <c r="DX15" s="34"/>
      <c r="DY15" s="34"/>
      <c r="DZ15" s="34"/>
      <c r="EA15" s="34"/>
      <c r="EB15" s="34"/>
      <c r="EC15" s="34"/>
      <c r="ED15" s="34"/>
      <c r="EE15" s="34"/>
      <c r="EF15" s="34"/>
      <c r="EG15" s="34"/>
      <c r="EH15" s="34"/>
      <c r="EI15" s="34"/>
      <c r="EJ15" s="34"/>
      <c r="EK15" s="34"/>
      <c r="EL15" s="34"/>
      <c r="EM15" s="34"/>
      <c r="EN15" s="34"/>
      <c r="EO15" s="34"/>
      <c r="EP15" s="34"/>
      <c r="EQ15" s="34"/>
      <c r="ER15" s="34"/>
      <c r="ES15" s="34"/>
      <c r="ET15" s="34"/>
      <c r="EU15" s="34"/>
      <c r="EV15" s="34"/>
      <c r="EW15" s="34"/>
      <c r="EX15" s="34"/>
      <c r="EY15" s="34"/>
      <c r="EZ15" s="34"/>
      <c r="FA15" s="34"/>
      <c r="FB15" s="34"/>
      <c r="FC15" s="34"/>
      <c r="FD15" s="34"/>
      <c r="FE15" s="34"/>
      <c r="FF15" s="34"/>
      <c r="FG15" s="34"/>
      <c r="FH15" s="34"/>
      <c r="FI15" s="34"/>
      <c r="FJ15" s="34"/>
      <c r="FK15" s="34"/>
      <c r="FL15" s="34"/>
      <c r="FM15" s="34"/>
      <c r="FN15" s="34"/>
      <c r="FO15" s="34"/>
      <c r="FP15" s="34"/>
      <c r="FQ15" s="34"/>
      <c r="FR15" s="34"/>
      <c r="FS15" s="34"/>
      <c r="FT15" s="34"/>
      <c r="FU15" s="34"/>
      <c r="FV15" s="34"/>
      <c r="FW15" s="34"/>
      <c r="FX15" s="34"/>
      <c r="FY15" s="34"/>
      <c r="FZ15" s="34"/>
      <c r="GA15" s="34"/>
      <c r="GB15" s="34"/>
      <c r="GC15" s="34"/>
      <c r="GD15" s="34"/>
      <c r="GE15" s="34"/>
      <c r="GF15" s="34"/>
      <c r="GG15" s="34"/>
      <c r="GH15" s="34"/>
      <c r="GI15" s="34"/>
      <c r="GJ15" s="34"/>
      <c r="GK15" s="34"/>
      <c r="GL15" s="34"/>
      <c r="GM15" s="34"/>
      <c r="GN15" s="34"/>
      <c r="GO15" s="34"/>
      <c r="GP15" s="34"/>
      <c r="GQ15" s="34"/>
      <c r="GR15" s="34"/>
    </row>
    <row r="16" spans="1:502" s="38" customFormat="1" ht="15" customHeight="1" x14ac:dyDescent="0.3">
      <c r="A16" s="34" t="s">
        <v>245</v>
      </c>
      <c r="B16" s="34">
        <v>11</v>
      </c>
      <c r="C16" s="34">
        <v>16</v>
      </c>
      <c r="D16" s="34">
        <v>4</v>
      </c>
      <c r="E16" s="34">
        <v>39</v>
      </c>
      <c r="F16" s="34">
        <v>70</v>
      </c>
      <c r="G16" s="34"/>
      <c r="H16" s="34"/>
      <c r="I16" s="34"/>
      <c r="J16" s="34"/>
      <c r="K16" s="34"/>
      <c r="L16" s="34"/>
      <c r="M16" s="34"/>
      <c r="N16" s="34"/>
      <c r="O16" s="34"/>
      <c r="P16" s="34"/>
      <c r="Q16" s="34"/>
      <c r="R16" s="34"/>
      <c r="S16" s="34"/>
      <c r="T16" s="34"/>
      <c r="U16" s="34"/>
      <c r="V16" s="58"/>
      <c r="W16" s="58"/>
      <c r="X16" s="58"/>
      <c r="Y16" s="58"/>
      <c r="Z16" s="58"/>
      <c r="AA16" s="58"/>
      <c r="AB16" s="58"/>
      <c r="AC16" s="58"/>
      <c r="AD16" s="58"/>
      <c r="AE16" s="58"/>
      <c r="AF16" s="58"/>
      <c r="AG16" s="58"/>
      <c r="AH16" s="58"/>
      <c r="AI16" s="34"/>
      <c r="AJ16" s="34"/>
      <c r="AK16" s="34"/>
      <c r="AL16" s="34"/>
      <c r="AM16" s="34"/>
      <c r="AN16" s="34"/>
      <c r="AO16" s="34"/>
      <c r="AP16" s="34"/>
      <c r="AQ16" s="34"/>
      <c r="AR16" s="34"/>
      <c r="AS16" s="34"/>
      <c r="AT16" s="34"/>
      <c r="AU16" s="34"/>
      <c r="AV16" s="34"/>
      <c r="AW16" s="34"/>
      <c r="AX16" s="34"/>
      <c r="AY16" s="34"/>
      <c r="AZ16" s="34"/>
      <c r="BA16" s="34"/>
      <c r="BB16" s="34"/>
      <c r="BC16" s="34"/>
      <c r="BD16" s="34"/>
      <c r="BE16" s="34"/>
      <c r="BF16" s="34"/>
      <c r="BG16" s="34"/>
      <c r="BH16" s="34"/>
      <c r="BI16" s="34"/>
      <c r="BJ16" s="34"/>
      <c r="BK16" s="34"/>
      <c r="BL16" s="34"/>
      <c r="BM16" s="34"/>
      <c r="BN16" s="34"/>
      <c r="BO16" s="34"/>
      <c r="BP16" s="34"/>
      <c r="BQ16" s="34"/>
      <c r="BR16" s="34"/>
      <c r="BS16" s="34"/>
      <c r="BT16" s="34"/>
      <c r="BU16" s="34"/>
      <c r="BV16" s="34"/>
      <c r="BW16" s="34"/>
      <c r="BX16" s="34"/>
      <c r="BY16" s="34"/>
      <c r="BZ16" s="34"/>
      <c r="CA16" s="34"/>
      <c r="CB16" s="34"/>
      <c r="CC16" s="34"/>
      <c r="CD16" s="34"/>
      <c r="CE16" s="34"/>
      <c r="CF16" s="34"/>
      <c r="CG16" s="34"/>
      <c r="CH16" s="34"/>
      <c r="CI16" s="34"/>
      <c r="CJ16" s="34"/>
      <c r="CK16" s="34"/>
      <c r="CL16" s="34"/>
      <c r="CM16" s="34"/>
      <c r="CN16" s="34"/>
      <c r="CO16" s="34"/>
      <c r="CP16" s="34"/>
      <c r="CQ16" s="34"/>
      <c r="CR16" s="34"/>
      <c r="CS16" s="34"/>
      <c r="CT16" s="34"/>
      <c r="CU16" s="34"/>
      <c r="CV16" s="34"/>
      <c r="CW16" s="34"/>
      <c r="CX16" s="34"/>
      <c r="CY16" s="34"/>
      <c r="CZ16" s="34"/>
      <c r="DA16" s="34"/>
      <c r="DB16" s="34"/>
      <c r="DC16" s="34"/>
      <c r="DD16" s="34"/>
      <c r="DE16" s="34"/>
      <c r="DF16" s="34"/>
      <c r="DG16" s="34"/>
      <c r="DH16" s="34"/>
      <c r="DI16" s="34"/>
      <c r="DJ16" s="34"/>
      <c r="DK16" s="34"/>
      <c r="DL16" s="34"/>
      <c r="DM16" s="34"/>
      <c r="DN16" s="34"/>
      <c r="DO16" s="34"/>
      <c r="DP16" s="34"/>
      <c r="DQ16" s="34"/>
      <c r="DR16" s="34"/>
      <c r="DS16" s="34"/>
      <c r="DT16" s="34"/>
      <c r="DU16" s="34"/>
      <c r="DV16" s="34"/>
      <c r="DW16" s="34"/>
      <c r="DX16" s="34"/>
      <c r="DY16" s="34"/>
      <c r="DZ16" s="34"/>
      <c r="EA16" s="34"/>
      <c r="EB16" s="34"/>
      <c r="EC16" s="34"/>
      <c r="ED16" s="34"/>
      <c r="EE16" s="34"/>
      <c r="EF16" s="34"/>
      <c r="EG16" s="34"/>
      <c r="EH16" s="34"/>
      <c r="EI16" s="34"/>
      <c r="EJ16" s="34"/>
      <c r="EK16" s="34"/>
      <c r="EL16" s="34"/>
      <c r="EM16" s="34"/>
      <c r="EN16" s="34"/>
      <c r="EO16" s="34"/>
      <c r="EP16" s="34"/>
      <c r="EQ16" s="34"/>
      <c r="ER16" s="34"/>
      <c r="ES16" s="34"/>
      <c r="ET16" s="34"/>
      <c r="EU16" s="34"/>
      <c r="EV16" s="34"/>
      <c r="EW16" s="34"/>
      <c r="EX16" s="34"/>
      <c r="EY16" s="34"/>
      <c r="EZ16" s="34"/>
      <c r="FA16" s="34"/>
      <c r="FB16" s="34"/>
      <c r="FC16" s="34"/>
      <c r="FD16" s="34"/>
      <c r="FE16" s="34"/>
      <c r="FF16" s="34"/>
      <c r="FG16" s="34"/>
      <c r="FH16" s="34"/>
      <c r="FI16" s="34"/>
      <c r="FJ16" s="34"/>
      <c r="FK16" s="34"/>
      <c r="FL16" s="34"/>
      <c r="FM16" s="34"/>
      <c r="FN16" s="34"/>
      <c r="FO16" s="34"/>
      <c r="FP16" s="34"/>
      <c r="FQ16" s="34"/>
      <c r="FR16" s="34"/>
      <c r="FS16" s="34"/>
      <c r="FT16" s="34"/>
      <c r="FU16" s="34"/>
      <c r="FV16" s="34"/>
      <c r="FW16" s="34"/>
      <c r="FX16" s="34"/>
      <c r="FY16" s="34"/>
      <c r="FZ16" s="34"/>
      <c r="GA16" s="34"/>
      <c r="GB16" s="34"/>
      <c r="GC16" s="34"/>
      <c r="GD16" s="34"/>
      <c r="GE16" s="34"/>
      <c r="GF16" s="34"/>
      <c r="GG16" s="34"/>
      <c r="GH16" s="34"/>
      <c r="GI16" s="34"/>
      <c r="GJ16" s="34"/>
      <c r="GK16" s="34"/>
      <c r="GL16" s="34"/>
      <c r="GM16" s="34"/>
      <c r="GN16" s="34"/>
      <c r="GO16" s="34"/>
      <c r="GP16" s="34"/>
      <c r="GQ16" s="34"/>
      <c r="GR16" s="34"/>
    </row>
    <row r="17" spans="1:200" s="38" customFormat="1" ht="15" customHeight="1" x14ac:dyDescent="0.3">
      <c r="A17" s="34" t="s">
        <v>248</v>
      </c>
      <c r="B17" s="34">
        <v>14</v>
      </c>
      <c r="C17" s="34">
        <v>15</v>
      </c>
      <c r="D17" s="34">
        <v>3</v>
      </c>
      <c r="E17" s="34">
        <v>43</v>
      </c>
      <c r="F17" s="34">
        <v>75</v>
      </c>
      <c r="G17" s="34"/>
      <c r="H17" s="34"/>
      <c r="I17" s="34"/>
      <c r="J17" s="34"/>
      <c r="K17" s="34"/>
      <c r="L17" s="34"/>
      <c r="M17" s="34"/>
      <c r="N17" s="34"/>
      <c r="O17" s="34"/>
      <c r="P17" s="34"/>
      <c r="Q17" s="34"/>
      <c r="R17" s="34"/>
      <c r="S17" s="34"/>
      <c r="T17" s="34"/>
      <c r="U17" s="34"/>
      <c r="V17" s="58"/>
      <c r="W17" s="58"/>
      <c r="X17" s="58"/>
      <c r="Y17" s="58"/>
      <c r="Z17" s="58"/>
      <c r="AA17" s="58"/>
      <c r="AB17" s="58"/>
      <c r="AC17" s="58"/>
      <c r="AD17" s="58"/>
      <c r="AE17" s="58"/>
      <c r="AF17" s="58"/>
      <c r="AG17" s="58"/>
      <c r="AH17" s="58"/>
      <c r="AI17" s="34"/>
      <c r="AJ17" s="34"/>
      <c r="AK17" s="34"/>
      <c r="AL17" s="34"/>
      <c r="AM17" s="34"/>
      <c r="AN17" s="34"/>
      <c r="AO17" s="34"/>
      <c r="AP17" s="34"/>
      <c r="AQ17" s="34"/>
      <c r="AR17" s="34"/>
      <c r="AS17" s="34"/>
      <c r="AT17" s="34"/>
      <c r="AU17" s="34"/>
      <c r="AV17" s="34"/>
      <c r="AW17" s="34"/>
      <c r="AX17" s="34"/>
      <c r="AY17" s="34"/>
      <c r="AZ17" s="34"/>
      <c r="BA17" s="34"/>
      <c r="BB17" s="34"/>
      <c r="BC17" s="34"/>
      <c r="BD17" s="34"/>
      <c r="BE17" s="34"/>
      <c r="BF17" s="34"/>
      <c r="BG17" s="34"/>
      <c r="BH17" s="34"/>
      <c r="BI17" s="34"/>
      <c r="BJ17" s="34"/>
      <c r="BK17" s="34"/>
      <c r="BL17" s="34"/>
      <c r="BM17" s="34"/>
      <c r="BN17" s="34"/>
      <c r="BO17" s="34"/>
      <c r="BP17" s="34"/>
      <c r="BQ17" s="34"/>
      <c r="BR17" s="34"/>
      <c r="BS17" s="34"/>
      <c r="BT17" s="34"/>
      <c r="BU17" s="34"/>
      <c r="BV17" s="34"/>
      <c r="BW17" s="34"/>
      <c r="BX17" s="34"/>
      <c r="BY17" s="34"/>
      <c r="BZ17" s="34"/>
      <c r="CA17" s="34"/>
      <c r="CB17" s="34"/>
      <c r="CC17" s="34"/>
      <c r="CD17" s="34"/>
      <c r="CE17" s="34"/>
      <c r="CF17" s="34"/>
      <c r="CG17" s="34"/>
      <c r="CH17" s="34"/>
      <c r="CI17" s="34"/>
      <c r="CJ17" s="34"/>
      <c r="CK17" s="34"/>
      <c r="CL17" s="34"/>
      <c r="CM17" s="34"/>
      <c r="CN17" s="34"/>
      <c r="CO17" s="34"/>
      <c r="CP17" s="34"/>
      <c r="CQ17" s="34"/>
      <c r="CR17" s="34"/>
      <c r="CS17" s="34"/>
      <c r="CT17" s="34"/>
      <c r="CU17" s="34"/>
      <c r="CV17" s="34"/>
      <c r="CW17" s="34"/>
      <c r="CX17" s="34"/>
      <c r="CY17" s="34"/>
      <c r="CZ17" s="34"/>
      <c r="DA17" s="34"/>
      <c r="DB17" s="34"/>
      <c r="DC17" s="34"/>
      <c r="DD17" s="34"/>
      <c r="DE17" s="34"/>
      <c r="DF17" s="34"/>
      <c r="DG17" s="34"/>
      <c r="DH17" s="34"/>
      <c r="DI17" s="34"/>
      <c r="DJ17" s="34"/>
      <c r="DK17" s="34"/>
      <c r="DL17" s="34"/>
      <c r="DM17" s="34"/>
      <c r="DN17" s="34"/>
      <c r="DO17" s="34"/>
      <c r="DP17" s="34"/>
      <c r="DQ17" s="34"/>
      <c r="DR17" s="34"/>
      <c r="DS17" s="34"/>
      <c r="DT17" s="34"/>
      <c r="DU17" s="34"/>
      <c r="DV17" s="34"/>
      <c r="DW17" s="34"/>
      <c r="DX17" s="34"/>
      <c r="DY17" s="34"/>
      <c r="DZ17" s="34"/>
      <c r="EA17" s="34"/>
      <c r="EB17" s="34"/>
      <c r="EC17" s="34"/>
      <c r="ED17" s="34"/>
      <c r="EE17" s="34"/>
      <c r="EF17" s="34"/>
      <c r="EG17" s="34"/>
      <c r="EH17" s="34"/>
      <c r="EI17" s="34"/>
      <c r="EJ17" s="34"/>
      <c r="EK17" s="34"/>
      <c r="EL17" s="34"/>
      <c r="EM17" s="34"/>
      <c r="EN17" s="34"/>
      <c r="EO17" s="34"/>
      <c r="EP17" s="34"/>
      <c r="EQ17" s="34"/>
      <c r="ER17" s="34"/>
      <c r="ES17" s="34"/>
      <c r="ET17" s="34"/>
      <c r="EU17" s="34"/>
      <c r="EV17" s="34"/>
      <c r="EW17" s="34"/>
      <c r="EX17" s="34"/>
      <c r="EY17" s="34"/>
      <c r="EZ17" s="34"/>
      <c r="FA17" s="34"/>
      <c r="FB17" s="34"/>
      <c r="FC17" s="34"/>
      <c r="FD17" s="34"/>
      <c r="FE17" s="34"/>
      <c r="FF17" s="34"/>
      <c r="FG17" s="34"/>
      <c r="FH17" s="34"/>
      <c r="FI17" s="34"/>
      <c r="FJ17" s="34"/>
      <c r="FK17" s="34"/>
      <c r="FL17" s="34"/>
      <c r="FM17" s="34"/>
      <c r="FN17" s="34"/>
      <c r="FO17" s="34"/>
      <c r="FP17" s="34"/>
      <c r="FQ17" s="34"/>
      <c r="FR17" s="34"/>
      <c r="FS17" s="34"/>
      <c r="FT17" s="34"/>
      <c r="FU17" s="34"/>
      <c r="FV17" s="34"/>
      <c r="FW17" s="34"/>
      <c r="FX17" s="34"/>
      <c r="FY17" s="34"/>
      <c r="FZ17" s="34"/>
      <c r="GA17" s="34"/>
      <c r="GB17" s="34"/>
      <c r="GC17" s="34"/>
      <c r="GD17" s="34"/>
      <c r="GE17" s="34"/>
      <c r="GF17" s="34"/>
      <c r="GG17" s="34"/>
      <c r="GH17" s="34"/>
      <c r="GI17" s="34"/>
      <c r="GJ17" s="34"/>
      <c r="GK17" s="34"/>
      <c r="GL17" s="34"/>
      <c r="GM17" s="34"/>
      <c r="GN17" s="34"/>
      <c r="GO17" s="34"/>
      <c r="GP17" s="34"/>
      <c r="GQ17" s="34"/>
      <c r="GR17" s="34"/>
    </row>
    <row r="18" spans="1:200" s="38" customFormat="1" ht="15" customHeight="1" x14ac:dyDescent="0.3">
      <c r="A18" s="34" t="s">
        <v>258</v>
      </c>
      <c r="B18" s="34">
        <v>24</v>
      </c>
      <c r="C18" s="34">
        <v>13</v>
      </c>
      <c r="D18" s="34">
        <v>3</v>
      </c>
      <c r="E18" s="34">
        <v>28</v>
      </c>
      <c r="F18" s="34">
        <v>68</v>
      </c>
      <c r="G18" s="34"/>
      <c r="H18" s="34"/>
      <c r="I18" s="34"/>
      <c r="J18" s="34"/>
      <c r="K18" s="34"/>
      <c r="L18" s="34"/>
      <c r="M18" s="34"/>
      <c r="N18" s="34"/>
      <c r="O18" s="34"/>
      <c r="P18" s="34"/>
      <c r="Q18" s="34"/>
      <c r="R18" s="34"/>
      <c r="S18" s="34"/>
      <c r="T18" s="34"/>
      <c r="U18" s="34"/>
      <c r="V18" s="58"/>
      <c r="W18" s="58"/>
      <c r="X18" s="58"/>
      <c r="Y18" s="58"/>
      <c r="Z18" s="58"/>
      <c r="AA18" s="58"/>
      <c r="AB18" s="58"/>
      <c r="AC18" s="58"/>
      <c r="AD18" s="58"/>
      <c r="AE18" s="58"/>
      <c r="AF18" s="58"/>
      <c r="AG18" s="58"/>
      <c r="AH18" s="58"/>
      <c r="AI18" s="34"/>
      <c r="AJ18" s="34"/>
      <c r="AK18" s="34"/>
      <c r="AL18" s="34"/>
      <c r="AM18" s="34"/>
      <c r="AN18" s="34"/>
      <c r="AO18" s="34"/>
      <c r="AP18" s="34"/>
      <c r="AQ18" s="34"/>
      <c r="AR18" s="34"/>
      <c r="AS18" s="34"/>
      <c r="AT18" s="34"/>
      <c r="AU18" s="34"/>
      <c r="AV18" s="34"/>
      <c r="AW18" s="34"/>
      <c r="AX18" s="34"/>
      <c r="AY18" s="34"/>
      <c r="AZ18" s="34"/>
      <c r="BA18" s="34"/>
      <c r="BB18" s="34"/>
      <c r="BC18" s="34"/>
      <c r="BD18" s="34"/>
      <c r="BE18" s="34"/>
      <c r="BF18" s="34"/>
      <c r="BG18" s="34"/>
      <c r="BH18" s="34"/>
      <c r="BI18" s="34"/>
      <c r="BJ18" s="34"/>
      <c r="BK18" s="34"/>
      <c r="BL18" s="34"/>
      <c r="BM18" s="34"/>
      <c r="BN18" s="34"/>
      <c r="BO18" s="34"/>
      <c r="BP18" s="34"/>
      <c r="BQ18" s="34"/>
      <c r="BR18" s="34"/>
      <c r="BS18" s="34"/>
      <c r="BT18" s="34"/>
      <c r="BU18" s="34"/>
      <c r="BV18" s="34"/>
      <c r="BW18" s="34"/>
      <c r="BX18" s="34"/>
      <c r="BY18" s="34"/>
      <c r="BZ18" s="34"/>
      <c r="CA18" s="34"/>
      <c r="CB18" s="34"/>
      <c r="CC18" s="34"/>
      <c r="CD18" s="34"/>
      <c r="CE18" s="34"/>
      <c r="CF18" s="34"/>
      <c r="CG18" s="34"/>
      <c r="CH18" s="34"/>
      <c r="CI18" s="34"/>
      <c r="CJ18" s="34"/>
      <c r="CK18" s="34"/>
      <c r="CL18" s="34"/>
      <c r="CM18" s="34"/>
      <c r="CN18" s="34"/>
      <c r="CO18" s="34"/>
      <c r="CP18" s="34"/>
      <c r="CQ18" s="34"/>
      <c r="CR18" s="34"/>
      <c r="CS18" s="34"/>
      <c r="CT18" s="34"/>
      <c r="CU18" s="34"/>
      <c r="CV18" s="34"/>
      <c r="CW18" s="34"/>
      <c r="CX18" s="34"/>
      <c r="CY18" s="34"/>
      <c r="CZ18" s="34"/>
      <c r="DA18" s="34"/>
      <c r="DB18" s="34"/>
      <c r="DC18" s="34"/>
      <c r="DD18" s="34"/>
      <c r="DE18" s="34"/>
      <c r="DF18" s="34"/>
      <c r="DG18" s="34"/>
      <c r="DH18" s="34"/>
      <c r="DI18" s="34"/>
      <c r="DJ18" s="34"/>
      <c r="DK18" s="34"/>
      <c r="DL18" s="34"/>
      <c r="DM18" s="34"/>
      <c r="DN18" s="34"/>
      <c r="DO18" s="34"/>
      <c r="DP18" s="34"/>
      <c r="DQ18" s="34"/>
      <c r="DR18" s="34"/>
      <c r="DS18" s="34"/>
      <c r="DT18" s="34"/>
      <c r="DU18" s="34"/>
      <c r="DV18" s="34"/>
      <c r="DW18" s="34"/>
      <c r="DX18" s="34"/>
      <c r="DY18" s="34"/>
      <c r="DZ18" s="34"/>
      <c r="EA18" s="34"/>
      <c r="EB18" s="34"/>
      <c r="EC18" s="34"/>
      <c r="ED18" s="34"/>
      <c r="EE18" s="34"/>
      <c r="EF18" s="34"/>
      <c r="EG18" s="34"/>
      <c r="EH18" s="34"/>
      <c r="EI18" s="34"/>
      <c r="EJ18" s="34"/>
      <c r="EK18" s="34"/>
      <c r="EL18" s="34"/>
      <c r="EM18" s="34"/>
      <c r="EN18" s="34"/>
      <c r="EO18" s="34"/>
      <c r="EP18" s="34"/>
      <c r="EQ18" s="34"/>
      <c r="ER18" s="34"/>
      <c r="ES18" s="34"/>
      <c r="ET18" s="34"/>
      <c r="EU18" s="34"/>
      <c r="EV18" s="34"/>
      <c r="EW18" s="34"/>
      <c r="EX18" s="34"/>
      <c r="EY18" s="34"/>
      <c r="EZ18" s="34"/>
      <c r="FA18" s="34"/>
      <c r="FB18" s="34"/>
      <c r="FC18" s="34"/>
      <c r="FD18" s="34"/>
      <c r="FE18" s="34"/>
      <c r="FF18" s="34"/>
      <c r="FG18" s="34"/>
      <c r="FH18" s="34"/>
      <c r="FI18" s="34"/>
      <c r="FJ18" s="34"/>
      <c r="FK18" s="34"/>
      <c r="FL18" s="34"/>
      <c r="FM18" s="34"/>
      <c r="FN18" s="34"/>
      <c r="FO18" s="34"/>
      <c r="FP18" s="34"/>
      <c r="FQ18" s="34"/>
      <c r="FR18" s="34"/>
      <c r="FS18" s="34"/>
      <c r="FT18" s="34"/>
      <c r="FU18" s="34"/>
      <c r="FV18" s="34"/>
      <c r="FW18" s="34"/>
      <c r="FX18" s="34"/>
      <c r="FY18" s="34"/>
      <c r="FZ18" s="34"/>
      <c r="GA18" s="34"/>
      <c r="GB18" s="34"/>
      <c r="GC18" s="34"/>
      <c r="GD18" s="34"/>
      <c r="GE18" s="34"/>
      <c r="GF18" s="34"/>
      <c r="GG18" s="34"/>
      <c r="GH18" s="34"/>
      <c r="GI18" s="34"/>
      <c r="GJ18" s="34"/>
      <c r="GK18" s="34"/>
      <c r="GL18" s="34"/>
      <c r="GM18" s="34"/>
      <c r="GN18" s="34"/>
      <c r="GO18" s="34"/>
      <c r="GP18" s="34"/>
      <c r="GQ18" s="34"/>
      <c r="GR18" s="34"/>
    </row>
    <row r="19" spans="1:200" s="38" customFormat="1" ht="15" customHeight="1" x14ac:dyDescent="0.3">
      <c r="A19" s="34" t="s">
        <v>242</v>
      </c>
      <c r="B19" s="34">
        <v>8</v>
      </c>
      <c r="C19" s="34">
        <v>9</v>
      </c>
      <c r="D19" s="34">
        <v>4</v>
      </c>
      <c r="E19" s="34">
        <v>28</v>
      </c>
      <c r="F19" s="34">
        <v>49</v>
      </c>
      <c r="G19" s="34"/>
      <c r="H19" s="34"/>
      <c r="I19" s="34"/>
      <c r="J19" s="34"/>
      <c r="K19" s="34"/>
      <c r="L19" s="34"/>
      <c r="M19" s="34"/>
      <c r="N19" s="34"/>
      <c r="O19" s="34"/>
      <c r="P19" s="34"/>
      <c r="Q19" s="34"/>
      <c r="R19" s="34"/>
      <c r="S19" s="34"/>
      <c r="T19" s="34"/>
      <c r="U19" s="34"/>
      <c r="V19" s="58"/>
      <c r="W19" s="58"/>
      <c r="X19" s="58"/>
      <c r="Y19" s="58"/>
      <c r="Z19" s="58"/>
      <c r="AA19" s="58"/>
      <c r="AB19" s="58"/>
      <c r="AC19" s="58"/>
      <c r="AD19" s="58"/>
      <c r="AE19" s="58"/>
      <c r="AF19" s="58"/>
      <c r="AG19" s="58"/>
      <c r="AH19" s="58"/>
      <c r="AI19" s="34"/>
      <c r="AJ19" s="34"/>
      <c r="AK19" s="34"/>
      <c r="AL19" s="34"/>
      <c r="AM19" s="34"/>
      <c r="AN19" s="34"/>
      <c r="AO19" s="34"/>
      <c r="AP19" s="34"/>
      <c r="AQ19" s="34"/>
      <c r="AR19" s="34"/>
      <c r="AS19" s="34"/>
      <c r="AT19" s="34"/>
      <c r="AU19" s="34"/>
      <c r="AV19" s="34"/>
      <c r="AW19" s="34"/>
      <c r="AX19" s="34"/>
      <c r="AY19" s="34"/>
      <c r="AZ19" s="34"/>
      <c r="BA19" s="34"/>
      <c r="BB19" s="34"/>
      <c r="BC19" s="34"/>
      <c r="BD19" s="34"/>
      <c r="BE19" s="34"/>
      <c r="BF19" s="34"/>
      <c r="BG19" s="34"/>
      <c r="BH19" s="34"/>
      <c r="BI19" s="34"/>
      <c r="BJ19" s="34"/>
      <c r="BK19" s="34"/>
      <c r="BL19" s="34"/>
      <c r="BM19" s="34"/>
      <c r="BN19" s="34"/>
      <c r="BO19" s="34"/>
      <c r="BP19" s="34"/>
      <c r="BQ19" s="34"/>
      <c r="BR19" s="34"/>
      <c r="BS19" s="34"/>
      <c r="BT19" s="34"/>
      <c r="BU19" s="34"/>
      <c r="BV19" s="34"/>
      <c r="BW19" s="34"/>
      <c r="BX19" s="34"/>
      <c r="BY19" s="34"/>
      <c r="BZ19" s="34"/>
      <c r="CA19" s="34"/>
      <c r="CB19" s="34"/>
      <c r="CC19" s="34"/>
      <c r="CD19" s="34"/>
      <c r="CE19" s="34"/>
      <c r="CF19" s="34"/>
      <c r="CG19" s="34"/>
      <c r="CH19" s="34"/>
      <c r="CI19" s="34"/>
      <c r="CJ19" s="34"/>
      <c r="CK19" s="34"/>
      <c r="CL19" s="34"/>
      <c r="CM19" s="34"/>
      <c r="CN19" s="34"/>
      <c r="CO19" s="34"/>
      <c r="CP19" s="34"/>
      <c r="CQ19" s="34"/>
      <c r="CR19" s="34"/>
      <c r="CS19" s="34"/>
      <c r="CT19" s="34"/>
      <c r="CU19" s="34"/>
      <c r="CV19" s="34"/>
      <c r="CW19" s="34"/>
      <c r="CX19" s="34"/>
      <c r="CY19" s="34"/>
      <c r="CZ19" s="34"/>
      <c r="DA19" s="34"/>
      <c r="DB19" s="34"/>
      <c r="DC19" s="34"/>
      <c r="DD19" s="34"/>
      <c r="DE19" s="34"/>
      <c r="DF19" s="34"/>
      <c r="DG19" s="34"/>
      <c r="DH19" s="34"/>
      <c r="DI19" s="34"/>
      <c r="DJ19" s="34"/>
      <c r="DK19" s="34"/>
      <c r="DL19" s="34"/>
      <c r="DM19" s="34"/>
      <c r="DN19" s="34"/>
      <c r="DO19" s="34"/>
      <c r="DP19" s="34"/>
      <c r="DQ19" s="34"/>
      <c r="DR19" s="34"/>
      <c r="DS19" s="34"/>
      <c r="DT19" s="34"/>
      <c r="DU19" s="34"/>
      <c r="DV19" s="34"/>
      <c r="DW19" s="34"/>
      <c r="DX19" s="34"/>
      <c r="DY19" s="34"/>
      <c r="DZ19" s="34"/>
      <c r="EA19" s="34"/>
      <c r="EB19" s="34"/>
      <c r="EC19" s="34"/>
      <c r="ED19" s="34"/>
      <c r="EE19" s="34"/>
      <c r="EF19" s="34"/>
      <c r="EG19" s="34"/>
      <c r="EH19" s="34"/>
      <c r="EI19" s="34"/>
      <c r="EJ19" s="34"/>
      <c r="EK19" s="34"/>
      <c r="EL19" s="34"/>
      <c r="EM19" s="34"/>
      <c r="EN19" s="34"/>
      <c r="EO19" s="34"/>
      <c r="EP19" s="34"/>
      <c r="EQ19" s="34"/>
      <c r="ER19" s="34"/>
      <c r="ES19" s="34"/>
      <c r="ET19" s="34"/>
      <c r="EU19" s="34"/>
      <c r="EV19" s="34"/>
      <c r="EW19" s="34"/>
      <c r="EX19" s="34"/>
      <c r="EY19" s="34"/>
      <c r="EZ19" s="34"/>
      <c r="FA19" s="34"/>
      <c r="FB19" s="34"/>
      <c r="FC19" s="34"/>
      <c r="FD19" s="34"/>
      <c r="FE19" s="34"/>
      <c r="FF19" s="34"/>
      <c r="FG19" s="34"/>
      <c r="FH19" s="34"/>
      <c r="FI19" s="34"/>
      <c r="FJ19" s="34"/>
      <c r="FK19" s="34"/>
      <c r="FL19" s="34"/>
      <c r="FM19" s="34"/>
      <c r="FN19" s="34"/>
      <c r="FO19" s="34"/>
      <c r="FP19" s="34"/>
      <c r="FQ19" s="34"/>
      <c r="FR19" s="34"/>
      <c r="FS19" s="34"/>
      <c r="FT19" s="34"/>
      <c r="FU19" s="34"/>
      <c r="FV19" s="34"/>
      <c r="FW19" s="34"/>
      <c r="FX19" s="34"/>
      <c r="FY19" s="34"/>
      <c r="FZ19" s="34"/>
      <c r="GA19" s="34"/>
      <c r="GB19" s="34"/>
      <c r="GC19" s="34"/>
      <c r="GD19" s="34"/>
      <c r="GE19" s="34"/>
      <c r="GF19" s="34"/>
      <c r="GG19" s="34"/>
      <c r="GH19" s="34"/>
      <c r="GI19" s="34"/>
      <c r="GJ19" s="34"/>
      <c r="GK19" s="34"/>
      <c r="GL19" s="34"/>
      <c r="GM19" s="34"/>
      <c r="GN19" s="34"/>
      <c r="GO19" s="34"/>
      <c r="GP19" s="34"/>
      <c r="GQ19" s="34"/>
      <c r="GR19" s="34"/>
    </row>
    <row r="20" spans="1:200" s="38" customFormat="1" ht="16.5" customHeight="1" x14ac:dyDescent="0.3">
      <c r="A20" s="34" t="s">
        <v>259</v>
      </c>
      <c r="B20" s="34">
        <v>17</v>
      </c>
      <c r="C20" s="34">
        <v>18</v>
      </c>
      <c r="D20" s="34">
        <v>8</v>
      </c>
      <c r="E20" s="34">
        <v>35</v>
      </c>
      <c r="F20" s="34">
        <v>78</v>
      </c>
      <c r="G20" s="34"/>
      <c r="H20" s="34"/>
      <c r="I20" s="34"/>
      <c r="J20" s="34"/>
      <c r="K20" s="34"/>
      <c r="L20" s="34"/>
      <c r="M20" s="34"/>
      <c r="N20" s="34"/>
      <c r="O20" s="34"/>
      <c r="P20" s="34"/>
      <c r="Q20" s="34"/>
      <c r="R20" s="34"/>
      <c r="S20" s="34"/>
      <c r="T20" s="34"/>
      <c r="U20" s="34"/>
      <c r="V20" s="58"/>
      <c r="W20" s="58"/>
      <c r="X20" s="58"/>
      <c r="Y20" s="58"/>
      <c r="Z20" s="58"/>
      <c r="AA20" s="58"/>
      <c r="AB20" s="58"/>
      <c r="AC20" s="58"/>
      <c r="AD20" s="58"/>
      <c r="AE20" s="58"/>
      <c r="AF20" s="58"/>
      <c r="AG20" s="58"/>
      <c r="AH20" s="58"/>
      <c r="AI20" s="34"/>
      <c r="AJ20" s="34"/>
      <c r="AK20" s="34"/>
      <c r="AL20" s="34"/>
      <c r="AM20" s="34"/>
      <c r="AN20" s="34"/>
      <c r="AO20" s="34"/>
      <c r="AP20" s="34"/>
      <c r="AQ20" s="34"/>
      <c r="AR20" s="34"/>
      <c r="AS20" s="34"/>
      <c r="AT20" s="34"/>
      <c r="AU20" s="34"/>
      <c r="AV20" s="34"/>
      <c r="AW20" s="34"/>
      <c r="AX20" s="34"/>
      <c r="AY20" s="34"/>
      <c r="AZ20" s="34"/>
      <c r="BA20" s="34"/>
      <c r="BB20" s="34"/>
      <c r="BC20" s="34"/>
      <c r="BD20" s="34"/>
      <c r="BE20" s="34"/>
      <c r="BF20" s="34"/>
      <c r="BG20" s="34"/>
      <c r="BH20" s="34"/>
      <c r="BI20" s="34"/>
      <c r="BJ20" s="34"/>
      <c r="BK20" s="34"/>
      <c r="BL20" s="34"/>
      <c r="BM20" s="34"/>
      <c r="BN20" s="34"/>
      <c r="BO20" s="34"/>
      <c r="BP20" s="34"/>
      <c r="BQ20" s="34"/>
      <c r="BR20" s="34"/>
      <c r="BS20" s="34"/>
      <c r="BT20" s="34"/>
      <c r="BU20" s="34"/>
      <c r="BV20" s="34"/>
      <c r="BW20" s="34"/>
      <c r="BX20" s="34"/>
      <c r="BY20" s="34"/>
      <c r="BZ20" s="34"/>
      <c r="CA20" s="34"/>
      <c r="CB20" s="34"/>
      <c r="CC20" s="34"/>
      <c r="CD20" s="34"/>
      <c r="CE20" s="34"/>
      <c r="CF20" s="34"/>
      <c r="CG20" s="34"/>
      <c r="CH20" s="34"/>
      <c r="CI20" s="34"/>
      <c r="CJ20" s="34"/>
      <c r="CK20" s="34"/>
      <c r="CL20" s="34"/>
      <c r="CM20" s="34"/>
      <c r="CN20" s="34"/>
      <c r="CO20" s="34"/>
      <c r="CP20" s="34"/>
      <c r="CQ20" s="34"/>
      <c r="CR20" s="34"/>
      <c r="CS20" s="34"/>
      <c r="CT20" s="34"/>
      <c r="CU20" s="34"/>
      <c r="CV20" s="34"/>
      <c r="CW20" s="34"/>
      <c r="CX20" s="34"/>
      <c r="CY20" s="34"/>
      <c r="CZ20" s="34"/>
      <c r="DA20" s="34"/>
      <c r="DB20" s="34"/>
      <c r="DC20" s="34"/>
      <c r="DD20" s="34"/>
      <c r="DE20" s="34"/>
      <c r="DF20" s="34"/>
      <c r="DG20" s="34"/>
      <c r="DH20" s="34"/>
      <c r="DI20" s="34"/>
      <c r="DJ20" s="34"/>
      <c r="DK20" s="34"/>
      <c r="DL20" s="34"/>
      <c r="DM20" s="34"/>
      <c r="DN20" s="34"/>
      <c r="DO20" s="34"/>
      <c r="DP20" s="34"/>
      <c r="DQ20" s="34"/>
      <c r="DR20" s="34"/>
      <c r="DS20" s="34"/>
      <c r="DT20" s="34"/>
      <c r="DU20" s="34"/>
      <c r="DV20" s="34"/>
      <c r="DW20" s="34"/>
      <c r="DX20" s="34"/>
      <c r="DY20" s="34"/>
      <c r="DZ20" s="34"/>
      <c r="EA20" s="34"/>
      <c r="EB20" s="34"/>
      <c r="EC20" s="34"/>
      <c r="ED20" s="34"/>
      <c r="EE20" s="34"/>
      <c r="EF20" s="34"/>
      <c r="EG20" s="34"/>
      <c r="EH20" s="34"/>
      <c r="EI20" s="34"/>
      <c r="EJ20" s="34"/>
      <c r="EK20" s="34"/>
      <c r="EL20" s="34"/>
      <c r="EM20" s="34"/>
      <c r="EN20" s="34"/>
      <c r="EO20" s="34"/>
      <c r="EP20" s="34"/>
      <c r="EQ20" s="34"/>
      <c r="ER20" s="34"/>
      <c r="ES20" s="34"/>
      <c r="ET20" s="34"/>
      <c r="EU20" s="34"/>
      <c r="EV20" s="34"/>
      <c r="EW20" s="34"/>
      <c r="EX20" s="34"/>
      <c r="EY20" s="34"/>
      <c r="EZ20" s="34"/>
      <c r="FA20" s="34"/>
      <c r="FB20" s="34"/>
      <c r="FC20" s="34"/>
      <c r="FD20" s="34"/>
      <c r="FE20" s="34"/>
      <c r="FF20" s="34"/>
      <c r="FG20" s="34"/>
      <c r="FH20" s="34"/>
      <c r="FI20" s="34"/>
      <c r="FJ20" s="34"/>
      <c r="FK20" s="34"/>
      <c r="FL20" s="34"/>
      <c r="FM20" s="34"/>
      <c r="FN20" s="34"/>
      <c r="FO20" s="34"/>
      <c r="FP20" s="34"/>
      <c r="FQ20" s="34"/>
      <c r="FR20" s="34"/>
      <c r="FS20" s="34"/>
      <c r="FT20" s="34"/>
      <c r="FU20" s="34"/>
      <c r="FV20" s="34"/>
      <c r="FW20" s="34"/>
      <c r="FX20" s="34"/>
      <c r="FY20" s="34"/>
      <c r="FZ20" s="34"/>
      <c r="GA20" s="34"/>
      <c r="GB20" s="34"/>
      <c r="GC20" s="34"/>
      <c r="GD20" s="34"/>
      <c r="GE20" s="34"/>
      <c r="GF20" s="34"/>
      <c r="GG20" s="34"/>
      <c r="GH20" s="34"/>
      <c r="GI20" s="34"/>
      <c r="GJ20" s="34"/>
      <c r="GK20" s="34"/>
      <c r="GL20" s="34"/>
      <c r="GM20" s="34"/>
      <c r="GN20" s="34"/>
      <c r="GO20" s="34"/>
      <c r="GP20" s="34"/>
      <c r="GQ20" s="34"/>
      <c r="GR20" s="34"/>
    </row>
    <row r="21" spans="1:200" s="38" customFormat="1" ht="15" customHeight="1" x14ac:dyDescent="0.3">
      <c r="A21" s="34" t="s">
        <v>239</v>
      </c>
      <c r="B21" s="34">
        <v>11</v>
      </c>
      <c r="C21" s="34">
        <v>17</v>
      </c>
      <c r="D21" s="34">
        <v>5</v>
      </c>
      <c r="E21" s="34">
        <v>44</v>
      </c>
      <c r="F21" s="34">
        <v>77</v>
      </c>
      <c r="G21" s="34"/>
      <c r="H21" s="34"/>
      <c r="I21" s="34"/>
      <c r="J21" s="34"/>
      <c r="K21" s="34"/>
      <c r="L21" s="34"/>
      <c r="M21" s="34"/>
      <c r="N21" s="34"/>
      <c r="O21" s="34"/>
      <c r="P21" s="34"/>
      <c r="Q21" s="34"/>
      <c r="R21" s="34"/>
      <c r="S21" s="34"/>
      <c r="T21" s="34"/>
      <c r="U21" s="34"/>
      <c r="V21" s="58"/>
      <c r="W21" s="58"/>
      <c r="X21" s="58"/>
      <c r="Y21" s="58"/>
      <c r="Z21" s="58"/>
      <c r="AA21" s="58"/>
      <c r="AB21" s="58"/>
      <c r="AC21" s="58"/>
      <c r="AD21" s="58"/>
      <c r="AE21" s="58"/>
      <c r="AF21" s="58"/>
      <c r="AG21" s="58"/>
      <c r="AH21" s="58"/>
      <c r="AI21" s="34"/>
      <c r="AJ21" s="34"/>
      <c r="AK21" s="34"/>
      <c r="AL21" s="34"/>
      <c r="AM21" s="34"/>
      <c r="AN21" s="34"/>
      <c r="AO21" s="34"/>
      <c r="AP21" s="34"/>
      <c r="AQ21" s="34"/>
      <c r="AR21" s="34"/>
      <c r="AS21" s="34"/>
      <c r="AT21" s="34"/>
      <c r="AU21" s="34"/>
      <c r="AV21" s="34"/>
      <c r="AW21" s="34"/>
      <c r="AX21" s="34"/>
      <c r="AY21" s="34"/>
      <c r="AZ21" s="34"/>
      <c r="BA21" s="34"/>
      <c r="BB21" s="34"/>
      <c r="BC21" s="34"/>
      <c r="BD21" s="34"/>
      <c r="BE21" s="34"/>
      <c r="BF21" s="34"/>
      <c r="BG21" s="34"/>
      <c r="BH21" s="34"/>
      <c r="BI21" s="34"/>
      <c r="BJ21" s="34"/>
      <c r="BK21" s="34"/>
      <c r="BL21" s="34"/>
      <c r="BM21" s="34"/>
      <c r="BN21" s="34"/>
      <c r="BO21" s="34"/>
      <c r="BP21" s="34"/>
      <c r="BQ21" s="34"/>
      <c r="BR21" s="34"/>
      <c r="BS21" s="34"/>
      <c r="BT21" s="34"/>
      <c r="BU21" s="34"/>
      <c r="BV21" s="34"/>
      <c r="BW21" s="34"/>
      <c r="BX21" s="34"/>
      <c r="BY21" s="34"/>
      <c r="BZ21" s="34"/>
      <c r="CA21" s="34"/>
      <c r="CB21" s="34"/>
      <c r="CC21" s="34"/>
      <c r="CD21" s="34"/>
      <c r="CE21" s="34"/>
      <c r="CF21" s="34"/>
      <c r="CG21" s="34"/>
      <c r="CH21" s="34"/>
      <c r="CI21" s="34"/>
      <c r="CJ21" s="34"/>
      <c r="CK21" s="34"/>
      <c r="CL21" s="34"/>
      <c r="CM21" s="34"/>
      <c r="CN21" s="34"/>
      <c r="CO21" s="34"/>
      <c r="CP21" s="34"/>
      <c r="CQ21" s="34"/>
      <c r="CR21" s="34"/>
      <c r="CS21" s="34"/>
      <c r="CT21" s="34"/>
      <c r="CU21" s="34"/>
      <c r="CV21" s="34"/>
      <c r="CW21" s="34"/>
      <c r="CX21" s="34"/>
      <c r="CY21" s="34"/>
      <c r="CZ21" s="34"/>
      <c r="DA21" s="34"/>
      <c r="DB21" s="34"/>
      <c r="DC21" s="34"/>
      <c r="DD21" s="34"/>
      <c r="DE21" s="34"/>
      <c r="DF21" s="34"/>
      <c r="DG21" s="34"/>
      <c r="DH21" s="34"/>
      <c r="DI21" s="34"/>
      <c r="DJ21" s="34"/>
      <c r="DK21" s="34"/>
      <c r="DL21" s="34"/>
      <c r="DM21" s="34"/>
      <c r="DN21" s="34"/>
      <c r="DO21" s="34"/>
      <c r="DP21" s="34"/>
      <c r="DQ21" s="34"/>
      <c r="DR21" s="34"/>
      <c r="DS21" s="34"/>
      <c r="DT21" s="34"/>
      <c r="DU21" s="34"/>
      <c r="DV21" s="34"/>
      <c r="DW21" s="34"/>
      <c r="DX21" s="34"/>
      <c r="DY21" s="34"/>
      <c r="DZ21" s="34"/>
      <c r="EA21" s="34"/>
      <c r="EB21" s="34"/>
      <c r="EC21" s="34"/>
      <c r="ED21" s="34"/>
      <c r="EE21" s="34"/>
      <c r="EF21" s="34"/>
      <c r="EG21" s="34"/>
      <c r="EH21" s="34"/>
      <c r="EI21" s="34"/>
      <c r="EJ21" s="34"/>
      <c r="EK21" s="34"/>
      <c r="EL21" s="34"/>
      <c r="EM21" s="34"/>
      <c r="EN21" s="34"/>
      <c r="EO21" s="34"/>
      <c r="EP21" s="34"/>
      <c r="EQ21" s="34"/>
      <c r="ER21" s="34"/>
      <c r="ES21" s="34"/>
      <c r="ET21" s="34"/>
      <c r="EU21" s="34"/>
      <c r="EV21" s="34"/>
      <c r="EW21" s="34"/>
      <c r="EX21" s="34"/>
      <c r="EY21" s="34"/>
      <c r="EZ21" s="34"/>
      <c r="FA21" s="34"/>
      <c r="FB21" s="34"/>
      <c r="FC21" s="34"/>
      <c r="FD21" s="34"/>
      <c r="FE21" s="34"/>
      <c r="FF21" s="34"/>
      <c r="FG21" s="34"/>
      <c r="FH21" s="34"/>
      <c r="FI21" s="34"/>
      <c r="FJ21" s="34"/>
      <c r="FK21" s="34"/>
      <c r="FL21" s="34"/>
      <c r="FM21" s="34"/>
      <c r="FN21" s="34"/>
      <c r="FO21" s="34"/>
      <c r="FP21" s="34"/>
      <c r="FQ21" s="34"/>
      <c r="FR21" s="34"/>
      <c r="FS21" s="34"/>
      <c r="FT21" s="34"/>
      <c r="FU21" s="34"/>
      <c r="FV21" s="34"/>
      <c r="FW21" s="34"/>
      <c r="FX21" s="34"/>
      <c r="FY21" s="34"/>
      <c r="FZ21" s="34"/>
      <c r="GA21" s="34"/>
      <c r="GB21" s="34"/>
      <c r="GC21" s="34"/>
      <c r="GD21" s="34"/>
      <c r="GE21" s="34"/>
      <c r="GF21" s="34"/>
      <c r="GG21" s="34"/>
      <c r="GH21" s="34"/>
      <c r="GI21" s="34"/>
      <c r="GJ21" s="34"/>
      <c r="GK21" s="34"/>
      <c r="GL21" s="34"/>
      <c r="GM21" s="34"/>
      <c r="GN21" s="34"/>
      <c r="GO21" s="34"/>
      <c r="GP21" s="34"/>
      <c r="GQ21" s="34"/>
      <c r="GR21" s="34"/>
    </row>
    <row r="22" spans="1:200" s="38" customFormat="1" ht="15" customHeight="1" x14ac:dyDescent="0.3">
      <c r="A22" s="34" t="s">
        <v>253</v>
      </c>
      <c r="B22" s="34">
        <v>37</v>
      </c>
      <c r="C22" s="34">
        <v>30</v>
      </c>
      <c r="D22" s="34">
        <v>16</v>
      </c>
      <c r="E22" s="34">
        <v>82</v>
      </c>
      <c r="F22" s="34">
        <v>165</v>
      </c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58"/>
      <c r="W22" s="58"/>
      <c r="X22" s="58"/>
      <c r="Y22" s="58"/>
      <c r="Z22" s="58"/>
      <c r="AA22" s="58"/>
      <c r="AB22" s="58"/>
      <c r="AC22" s="58"/>
      <c r="AD22" s="58"/>
      <c r="AE22" s="58"/>
      <c r="AF22" s="58"/>
      <c r="AG22" s="58"/>
      <c r="AH22" s="58"/>
      <c r="AI22" s="34"/>
      <c r="AJ22" s="34"/>
      <c r="AK22" s="34"/>
      <c r="AL22" s="34"/>
      <c r="AM22" s="34"/>
      <c r="AN22" s="34"/>
      <c r="AO22" s="34"/>
      <c r="AP22" s="34"/>
      <c r="AQ22" s="34"/>
      <c r="AR22" s="34"/>
      <c r="AS22" s="34"/>
      <c r="AT22" s="34"/>
      <c r="AU22" s="34"/>
      <c r="AV22" s="34"/>
      <c r="AW22" s="34"/>
      <c r="AX22" s="34"/>
      <c r="AY22" s="34"/>
      <c r="AZ22" s="34"/>
      <c r="BA22" s="34"/>
      <c r="BB22" s="34"/>
      <c r="BC22" s="34"/>
      <c r="BD22" s="34"/>
      <c r="BE22" s="34"/>
      <c r="BF22" s="34"/>
      <c r="BG22" s="34"/>
      <c r="BH22" s="34"/>
      <c r="BI22" s="34"/>
      <c r="BJ22" s="34"/>
      <c r="BK22" s="34"/>
      <c r="BL22" s="34"/>
      <c r="BM22" s="34"/>
      <c r="BN22" s="34"/>
      <c r="BO22" s="34"/>
      <c r="BP22" s="34"/>
      <c r="BQ22" s="34"/>
      <c r="BR22" s="34"/>
      <c r="BS22" s="34"/>
      <c r="BT22" s="34"/>
      <c r="BU22" s="34"/>
      <c r="BV22" s="34"/>
      <c r="BW22" s="34"/>
      <c r="BX22" s="34"/>
      <c r="BY22" s="34"/>
      <c r="BZ22" s="34"/>
      <c r="CA22" s="34"/>
      <c r="CB22" s="34"/>
      <c r="CC22" s="34"/>
      <c r="CD22" s="34"/>
      <c r="CE22" s="34"/>
      <c r="CF22" s="34"/>
      <c r="CG22" s="34"/>
      <c r="CH22" s="34"/>
      <c r="CI22" s="34"/>
      <c r="CJ22" s="34"/>
      <c r="CK22" s="34"/>
      <c r="CL22" s="34"/>
      <c r="CM22" s="34"/>
      <c r="CN22" s="34"/>
      <c r="CO22" s="34"/>
      <c r="CP22" s="34"/>
      <c r="CQ22" s="34"/>
      <c r="CR22" s="34"/>
      <c r="CS22" s="34"/>
      <c r="CT22" s="34"/>
      <c r="CU22" s="34"/>
      <c r="CV22" s="34"/>
      <c r="CW22" s="34"/>
      <c r="CX22" s="34"/>
      <c r="CY22" s="34"/>
      <c r="CZ22" s="34"/>
      <c r="DA22" s="34"/>
      <c r="DB22" s="34"/>
      <c r="DC22" s="34"/>
      <c r="DD22" s="34"/>
      <c r="DE22" s="34"/>
      <c r="DF22" s="34"/>
      <c r="DG22" s="34"/>
      <c r="DH22" s="34"/>
      <c r="DI22" s="34"/>
      <c r="DJ22" s="34"/>
      <c r="DK22" s="34"/>
      <c r="DL22" s="34"/>
      <c r="DM22" s="34"/>
      <c r="DN22" s="34"/>
      <c r="DO22" s="34"/>
      <c r="DP22" s="34"/>
      <c r="DQ22" s="34"/>
      <c r="DR22" s="34"/>
      <c r="DS22" s="34"/>
      <c r="DT22" s="34"/>
      <c r="DU22" s="34"/>
      <c r="DV22" s="34"/>
      <c r="DW22" s="34"/>
      <c r="DX22" s="34"/>
      <c r="DY22" s="34"/>
      <c r="DZ22" s="34"/>
      <c r="EA22" s="34"/>
      <c r="EB22" s="34"/>
      <c r="EC22" s="34"/>
      <c r="ED22" s="34"/>
      <c r="EE22" s="34"/>
      <c r="EF22" s="34"/>
      <c r="EG22" s="34"/>
      <c r="EH22" s="34"/>
      <c r="EI22" s="34"/>
      <c r="EJ22" s="34"/>
      <c r="EK22" s="34"/>
      <c r="EL22" s="34"/>
      <c r="EM22" s="34"/>
      <c r="EN22" s="34"/>
      <c r="EO22" s="34"/>
      <c r="EP22" s="34"/>
      <c r="EQ22" s="34"/>
      <c r="ER22" s="34"/>
      <c r="ES22" s="34"/>
      <c r="ET22" s="34"/>
      <c r="EU22" s="34"/>
      <c r="EV22" s="34"/>
      <c r="EW22" s="34"/>
      <c r="EX22" s="34"/>
      <c r="EY22" s="34"/>
      <c r="EZ22" s="34"/>
      <c r="FA22" s="34"/>
      <c r="FB22" s="34"/>
      <c r="FC22" s="34"/>
      <c r="FD22" s="34"/>
      <c r="FE22" s="34"/>
      <c r="FF22" s="34"/>
      <c r="FG22" s="34"/>
      <c r="FH22" s="34"/>
      <c r="FI22" s="34"/>
      <c r="FJ22" s="34"/>
      <c r="FK22" s="34"/>
      <c r="FL22" s="34"/>
      <c r="FM22" s="34"/>
      <c r="FN22" s="34"/>
      <c r="FO22" s="34"/>
      <c r="FP22" s="34"/>
      <c r="FQ22" s="34"/>
      <c r="FR22" s="34"/>
      <c r="FS22" s="34"/>
      <c r="FT22" s="34"/>
      <c r="FU22" s="34"/>
      <c r="FV22" s="34"/>
      <c r="FW22" s="34"/>
      <c r="FX22" s="34"/>
      <c r="FY22" s="34"/>
      <c r="FZ22" s="34"/>
      <c r="GA22" s="34"/>
      <c r="GB22" s="34"/>
      <c r="GC22" s="34"/>
      <c r="GD22" s="34"/>
      <c r="GE22" s="34"/>
      <c r="GF22" s="34"/>
      <c r="GG22" s="34"/>
      <c r="GH22" s="34"/>
      <c r="GI22" s="34"/>
      <c r="GJ22" s="34"/>
      <c r="GK22" s="34"/>
      <c r="GL22" s="34"/>
      <c r="GM22" s="34"/>
      <c r="GN22" s="34"/>
      <c r="GO22" s="34"/>
      <c r="GP22" s="34"/>
      <c r="GQ22" s="34"/>
      <c r="GR22" s="34"/>
    </row>
    <row r="23" spans="1:200" s="38" customFormat="1" ht="15" customHeight="1" x14ac:dyDescent="0.3">
      <c r="A23" s="34" t="s">
        <v>238</v>
      </c>
      <c r="B23" s="34">
        <v>12</v>
      </c>
      <c r="C23" s="34">
        <v>12</v>
      </c>
      <c r="D23" s="34">
        <v>3</v>
      </c>
      <c r="E23" s="34">
        <v>19</v>
      </c>
      <c r="F23" s="34">
        <v>46</v>
      </c>
      <c r="G23" s="34"/>
      <c r="H23" s="34"/>
      <c r="I23" s="34"/>
      <c r="J23" s="34"/>
      <c r="K23" s="34"/>
      <c r="L23" s="34"/>
      <c r="M23" s="34"/>
      <c r="N23" s="34"/>
      <c r="O23" s="34"/>
      <c r="P23" s="34"/>
      <c r="Q23" s="34"/>
      <c r="R23" s="34"/>
      <c r="S23" s="34"/>
      <c r="T23" s="34"/>
      <c r="U23" s="34"/>
      <c r="V23" s="58"/>
      <c r="W23" s="58"/>
      <c r="X23" s="58"/>
      <c r="Y23" s="58"/>
      <c r="Z23" s="58"/>
      <c r="AA23" s="58"/>
      <c r="AB23" s="58"/>
      <c r="AC23" s="58"/>
      <c r="AD23" s="58"/>
      <c r="AE23" s="58"/>
      <c r="AF23" s="58"/>
      <c r="AG23" s="58"/>
      <c r="AH23" s="58"/>
      <c r="AI23" s="34"/>
      <c r="AJ23" s="34"/>
      <c r="AK23" s="34"/>
      <c r="AL23" s="34"/>
      <c r="AM23" s="34"/>
      <c r="AN23" s="34"/>
      <c r="AO23" s="34"/>
      <c r="AP23" s="34"/>
      <c r="AQ23" s="34"/>
      <c r="AR23" s="34"/>
      <c r="AS23" s="34"/>
      <c r="AT23" s="34"/>
      <c r="AU23" s="34"/>
      <c r="AV23" s="34"/>
      <c r="AW23" s="34"/>
      <c r="AX23" s="34"/>
      <c r="AY23" s="34"/>
      <c r="AZ23" s="34"/>
      <c r="BA23" s="34"/>
      <c r="BB23" s="34"/>
      <c r="BC23" s="34"/>
      <c r="BD23" s="34"/>
      <c r="BE23" s="34"/>
      <c r="BF23" s="34"/>
      <c r="BG23" s="34"/>
      <c r="BH23" s="34"/>
      <c r="BI23" s="34"/>
      <c r="BJ23" s="34"/>
      <c r="BK23" s="34"/>
      <c r="BL23" s="34"/>
      <c r="BM23" s="34"/>
      <c r="BN23" s="34"/>
      <c r="BO23" s="34"/>
      <c r="BP23" s="34"/>
      <c r="BQ23" s="34"/>
      <c r="BR23" s="34"/>
      <c r="BS23" s="34"/>
      <c r="BT23" s="34"/>
      <c r="BU23" s="34"/>
      <c r="BV23" s="34"/>
      <c r="BW23" s="34"/>
      <c r="BX23" s="34"/>
      <c r="BY23" s="34"/>
      <c r="BZ23" s="34"/>
      <c r="CA23" s="34"/>
      <c r="CB23" s="34"/>
      <c r="CC23" s="34"/>
      <c r="CD23" s="34"/>
      <c r="CE23" s="34"/>
      <c r="CF23" s="34"/>
      <c r="CG23" s="34"/>
      <c r="CH23" s="34"/>
      <c r="CI23" s="34"/>
      <c r="CJ23" s="34"/>
      <c r="CK23" s="34"/>
      <c r="CL23" s="34"/>
      <c r="CM23" s="34"/>
      <c r="CN23" s="34"/>
      <c r="CO23" s="34"/>
      <c r="CP23" s="34"/>
      <c r="CQ23" s="34"/>
      <c r="CR23" s="34"/>
      <c r="CS23" s="34"/>
      <c r="CT23" s="34"/>
      <c r="CU23" s="34"/>
      <c r="CV23" s="34"/>
      <c r="CW23" s="34"/>
      <c r="CX23" s="34"/>
      <c r="CY23" s="34"/>
      <c r="CZ23" s="34"/>
      <c r="DA23" s="34"/>
      <c r="DB23" s="34"/>
      <c r="DC23" s="34"/>
      <c r="DD23" s="34"/>
      <c r="DE23" s="34"/>
      <c r="DF23" s="34"/>
      <c r="DG23" s="34"/>
      <c r="DH23" s="34"/>
      <c r="DI23" s="34"/>
      <c r="DJ23" s="34"/>
      <c r="DK23" s="34"/>
      <c r="DL23" s="34"/>
      <c r="DM23" s="34"/>
      <c r="DN23" s="34"/>
      <c r="DO23" s="34"/>
      <c r="DP23" s="34"/>
      <c r="DQ23" s="34"/>
      <c r="DR23" s="34"/>
      <c r="DS23" s="34"/>
      <c r="DT23" s="34"/>
      <c r="DU23" s="34"/>
      <c r="DV23" s="34"/>
      <c r="DW23" s="34"/>
      <c r="DX23" s="34"/>
      <c r="DY23" s="34"/>
      <c r="DZ23" s="34"/>
      <c r="EA23" s="34"/>
      <c r="EB23" s="34"/>
      <c r="EC23" s="34"/>
      <c r="ED23" s="34"/>
      <c r="EE23" s="34"/>
      <c r="EF23" s="34"/>
      <c r="EG23" s="34"/>
      <c r="EH23" s="34"/>
      <c r="EI23" s="34"/>
      <c r="EJ23" s="34"/>
      <c r="EK23" s="34"/>
      <c r="EL23" s="34"/>
      <c r="EM23" s="34"/>
      <c r="EN23" s="34"/>
      <c r="EO23" s="34"/>
      <c r="EP23" s="34"/>
      <c r="EQ23" s="34"/>
      <c r="ER23" s="34"/>
      <c r="ES23" s="34"/>
      <c r="ET23" s="34"/>
      <c r="EU23" s="34"/>
      <c r="EV23" s="34"/>
      <c r="EW23" s="34"/>
      <c r="EX23" s="34"/>
      <c r="EY23" s="34"/>
      <c r="EZ23" s="34"/>
      <c r="FA23" s="34"/>
      <c r="FB23" s="34"/>
      <c r="FC23" s="34"/>
      <c r="FD23" s="34"/>
      <c r="FE23" s="34"/>
      <c r="FF23" s="34"/>
      <c r="FG23" s="34"/>
      <c r="FH23" s="34"/>
      <c r="FI23" s="34"/>
      <c r="FJ23" s="34"/>
      <c r="FK23" s="34"/>
      <c r="FL23" s="34"/>
      <c r="FM23" s="34"/>
      <c r="FN23" s="34"/>
      <c r="FO23" s="34"/>
      <c r="FP23" s="34"/>
      <c r="FQ23" s="34"/>
      <c r="FR23" s="34"/>
      <c r="FS23" s="34"/>
      <c r="FT23" s="34"/>
      <c r="FU23" s="34"/>
      <c r="FV23" s="34"/>
      <c r="FW23" s="34"/>
      <c r="FX23" s="34"/>
      <c r="FY23" s="34"/>
      <c r="FZ23" s="34"/>
      <c r="GA23" s="34"/>
      <c r="GB23" s="34"/>
      <c r="GC23" s="34"/>
      <c r="GD23" s="34"/>
      <c r="GE23" s="34"/>
      <c r="GF23" s="34"/>
      <c r="GG23" s="34"/>
      <c r="GH23" s="34"/>
      <c r="GI23" s="34"/>
      <c r="GJ23" s="34"/>
      <c r="GK23" s="34"/>
      <c r="GL23" s="34"/>
      <c r="GM23" s="34"/>
      <c r="GN23" s="34"/>
      <c r="GO23" s="34"/>
      <c r="GP23" s="34"/>
      <c r="GQ23" s="34"/>
      <c r="GR23" s="34"/>
    </row>
    <row r="24" spans="1:200" s="38" customFormat="1" ht="15" customHeight="1" x14ac:dyDescent="0.3">
      <c r="A24" s="34" t="s">
        <v>252</v>
      </c>
      <c r="B24" s="34">
        <v>30</v>
      </c>
      <c r="C24" s="34">
        <v>39</v>
      </c>
      <c r="D24" s="34">
        <v>17</v>
      </c>
      <c r="E24" s="34">
        <v>73</v>
      </c>
      <c r="F24" s="34">
        <v>159</v>
      </c>
      <c r="G24" s="34"/>
      <c r="H24" s="34"/>
      <c r="I24" s="34"/>
      <c r="J24" s="34"/>
      <c r="K24" s="34"/>
      <c r="L24" s="34"/>
      <c r="M24" s="34"/>
      <c r="N24" s="34"/>
      <c r="O24" s="34"/>
      <c r="P24" s="34"/>
      <c r="Q24" s="34"/>
      <c r="R24" s="34"/>
      <c r="S24" s="34"/>
      <c r="T24" s="34"/>
      <c r="U24" s="34"/>
      <c r="V24" s="58"/>
      <c r="W24" s="58"/>
      <c r="X24" s="58"/>
      <c r="Y24" s="58"/>
      <c r="Z24" s="58"/>
      <c r="AA24" s="58"/>
      <c r="AB24" s="58"/>
      <c r="AC24" s="58"/>
      <c r="AD24" s="58"/>
      <c r="AE24" s="58"/>
      <c r="AF24" s="58"/>
      <c r="AG24" s="58"/>
      <c r="AH24" s="58"/>
      <c r="AI24" s="34"/>
      <c r="AJ24" s="34"/>
      <c r="AK24" s="34"/>
      <c r="AL24" s="34"/>
      <c r="AM24" s="34"/>
      <c r="AN24" s="34"/>
      <c r="AO24" s="34"/>
      <c r="AP24" s="34"/>
      <c r="AQ24" s="34"/>
      <c r="AR24" s="34"/>
      <c r="AS24" s="34"/>
      <c r="AT24" s="34"/>
      <c r="AU24" s="34"/>
      <c r="AV24" s="34"/>
      <c r="AW24" s="34"/>
      <c r="AX24" s="34"/>
      <c r="AY24" s="34"/>
      <c r="AZ24" s="34"/>
      <c r="BA24" s="34"/>
      <c r="BB24" s="34"/>
      <c r="BC24" s="34"/>
      <c r="BD24" s="34"/>
      <c r="BE24" s="34"/>
      <c r="BF24" s="34"/>
      <c r="BG24" s="34"/>
      <c r="BH24" s="34"/>
      <c r="BI24" s="34"/>
      <c r="BJ24" s="34"/>
      <c r="BK24" s="34"/>
      <c r="BL24" s="34"/>
      <c r="BM24" s="34"/>
      <c r="BN24" s="34"/>
      <c r="BO24" s="34"/>
      <c r="BP24" s="34"/>
      <c r="BQ24" s="34"/>
      <c r="BR24" s="34"/>
      <c r="BS24" s="34"/>
      <c r="BT24" s="34"/>
      <c r="BU24" s="34"/>
      <c r="BV24" s="34"/>
      <c r="BW24" s="34"/>
      <c r="BX24" s="34"/>
      <c r="BY24" s="34"/>
      <c r="BZ24" s="34"/>
      <c r="CA24" s="34"/>
      <c r="CB24" s="34"/>
      <c r="CC24" s="34"/>
      <c r="CD24" s="34"/>
      <c r="CE24" s="34"/>
      <c r="CF24" s="34"/>
      <c r="CG24" s="34"/>
      <c r="CH24" s="34"/>
      <c r="CI24" s="34"/>
      <c r="CJ24" s="34"/>
      <c r="CK24" s="34"/>
      <c r="CL24" s="34"/>
      <c r="CM24" s="34"/>
      <c r="CN24" s="34"/>
      <c r="CO24" s="34"/>
      <c r="CP24" s="34"/>
      <c r="CQ24" s="34"/>
      <c r="CR24" s="34"/>
      <c r="CS24" s="34"/>
      <c r="CT24" s="34"/>
      <c r="CU24" s="34"/>
      <c r="CV24" s="34"/>
      <c r="CW24" s="34"/>
      <c r="CX24" s="34"/>
      <c r="CY24" s="34"/>
      <c r="CZ24" s="34"/>
      <c r="DA24" s="34"/>
      <c r="DB24" s="34"/>
      <c r="DC24" s="34"/>
      <c r="DD24" s="34"/>
      <c r="DE24" s="34"/>
      <c r="DF24" s="34"/>
      <c r="DG24" s="34"/>
      <c r="DH24" s="34"/>
      <c r="DI24" s="34"/>
      <c r="DJ24" s="34"/>
      <c r="DK24" s="34"/>
      <c r="DL24" s="34"/>
      <c r="DM24" s="34"/>
      <c r="DN24" s="34"/>
      <c r="DO24" s="34"/>
      <c r="DP24" s="34"/>
      <c r="DQ24" s="34"/>
      <c r="DR24" s="34"/>
      <c r="DS24" s="34"/>
      <c r="DT24" s="34"/>
      <c r="DU24" s="34"/>
      <c r="DV24" s="34"/>
      <c r="DW24" s="34"/>
      <c r="DX24" s="34"/>
      <c r="DY24" s="34"/>
      <c r="DZ24" s="34"/>
      <c r="EA24" s="34"/>
      <c r="EB24" s="34"/>
      <c r="EC24" s="34"/>
      <c r="ED24" s="34"/>
      <c r="EE24" s="34"/>
      <c r="EF24" s="34"/>
      <c r="EG24" s="34"/>
      <c r="EH24" s="34"/>
      <c r="EI24" s="34"/>
      <c r="EJ24" s="34"/>
      <c r="EK24" s="34"/>
      <c r="EL24" s="34"/>
      <c r="EM24" s="34"/>
      <c r="EN24" s="34"/>
      <c r="EO24" s="34"/>
      <c r="EP24" s="34"/>
      <c r="EQ24" s="34"/>
      <c r="ER24" s="34"/>
      <c r="ES24" s="34"/>
      <c r="ET24" s="34"/>
      <c r="EU24" s="34"/>
      <c r="EV24" s="34"/>
      <c r="EW24" s="34"/>
      <c r="EX24" s="34"/>
      <c r="EY24" s="34"/>
      <c r="EZ24" s="34"/>
      <c r="FA24" s="34"/>
      <c r="FB24" s="34"/>
      <c r="FC24" s="34"/>
      <c r="FD24" s="34"/>
      <c r="FE24" s="34"/>
      <c r="FF24" s="34"/>
      <c r="FG24" s="34"/>
      <c r="FH24" s="34"/>
      <c r="FI24" s="34"/>
      <c r="FJ24" s="34"/>
      <c r="FK24" s="34"/>
      <c r="FL24" s="34"/>
      <c r="FM24" s="34"/>
      <c r="FN24" s="34"/>
      <c r="FO24" s="34"/>
      <c r="FP24" s="34"/>
      <c r="FQ24" s="34"/>
      <c r="FR24" s="34"/>
      <c r="FS24" s="34"/>
      <c r="FT24" s="34"/>
      <c r="FU24" s="34"/>
      <c r="FV24" s="34"/>
      <c r="FW24" s="34"/>
      <c r="FX24" s="34"/>
      <c r="FY24" s="34"/>
      <c r="FZ24" s="34"/>
      <c r="GA24" s="34"/>
      <c r="GB24" s="34"/>
      <c r="GC24" s="34"/>
      <c r="GD24" s="34"/>
      <c r="GE24" s="34"/>
      <c r="GF24" s="34"/>
      <c r="GG24" s="34"/>
      <c r="GH24" s="34"/>
      <c r="GI24" s="34"/>
      <c r="GJ24" s="34"/>
      <c r="GK24" s="34"/>
      <c r="GL24" s="34"/>
      <c r="GM24" s="34"/>
      <c r="GN24" s="34"/>
      <c r="GO24" s="34"/>
      <c r="GP24" s="34"/>
      <c r="GQ24" s="34"/>
      <c r="GR24" s="34"/>
    </row>
    <row r="25" spans="1:200" s="38" customFormat="1" ht="15" customHeight="1" x14ac:dyDescent="0.3">
      <c r="A25" s="34" t="s">
        <v>251</v>
      </c>
      <c r="B25" s="34">
        <v>17</v>
      </c>
      <c r="C25" s="34">
        <v>25</v>
      </c>
      <c r="D25" s="34">
        <v>9</v>
      </c>
      <c r="E25" s="34">
        <v>55</v>
      </c>
      <c r="F25" s="34">
        <v>106</v>
      </c>
      <c r="G25" s="34"/>
      <c r="H25" s="34"/>
      <c r="I25" s="34"/>
      <c r="J25" s="34"/>
      <c r="K25" s="34"/>
      <c r="L25" s="34"/>
      <c r="M25" s="34"/>
      <c r="N25" s="34"/>
      <c r="O25" s="34"/>
      <c r="P25" s="34"/>
      <c r="Q25" s="34"/>
      <c r="R25" s="34"/>
      <c r="S25" s="34"/>
      <c r="T25" s="34"/>
      <c r="U25" s="34"/>
      <c r="V25" s="58"/>
      <c r="W25" s="58"/>
      <c r="X25" s="58"/>
      <c r="Y25" s="58"/>
      <c r="Z25" s="58"/>
      <c r="AA25" s="58"/>
      <c r="AB25" s="58"/>
      <c r="AC25" s="58"/>
      <c r="AD25" s="58"/>
      <c r="AE25" s="58"/>
      <c r="AF25" s="58"/>
      <c r="AG25" s="58"/>
      <c r="AH25" s="58"/>
      <c r="AI25" s="34"/>
      <c r="AJ25" s="34"/>
      <c r="AK25" s="34"/>
      <c r="AL25" s="34"/>
      <c r="AM25" s="34"/>
      <c r="AN25" s="34"/>
      <c r="AO25" s="34"/>
      <c r="AP25" s="34"/>
      <c r="AQ25" s="34"/>
      <c r="AR25" s="34"/>
      <c r="AS25" s="34"/>
      <c r="AT25" s="34"/>
      <c r="AU25" s="34"/>
      <c r="AV25" s="34"/>
      <c r="AW25" s="34"/>
      <c r="AX25" s="34"/>
      <c r="AY25" s="34"/>
      <c r="AZ25" s="34"/>
      <c r="BA25" s="34"/>
      <c r="BB25" s="34"/>
      <c r="BC25" s="34"/>
      <c r="BD25" s="34"/>
      <c r="BE25" s="34"/>
      <c r="BF25" s="34"/>
      <c r="BG25" s="34"/>
      <c r="BH25" s="34"/>
      <c r="BI25" s="34"/>
      <c r="BJ25" s="34"/>
      <c r="BK25" s="34"/>
      <c r="BL25" s="34"/>
      <c r="BM25" s="34"/>
      <c r="BN25" s="34"/>
      <c r="BO25" s="34"/>
      <c r="BP25" s="34"/>
      <c r="BQ25" s="34"/>
      <c r="BR25" s="34"/>
      <c r="BS25" s="34"/>
      <c r="BT25" s="34"/>
      <c r="BU25" s="34"/>
      <c r="BV25" s="34"/>
      <c r="BW25" s="34"/>
      <c r="BX25" s="34"/>
      <c r="BY25" s="34"/>
      <c r="BZ25" s="34"/>
      <c r="CA25" s="34"/>
      <c r="CB25" s="34"/>
      <c r="CC25" s="34"/>
      <c r="CD25" s="34"/>
      <c r="CE25" s="34"/>
      <c r="CF25" s="34"/>
      <c r="CG25" s="34"/>
      <c r="CH25" s="34"/>
      <c r="CI25" s="34"/>
      <c r="CJ25" s="34"/>
      <c r="CK25" s="34"/>
      <c r="CL25" s="34"/>
      <c r="CM25" s="34"/>
      <c r="CN25" s="34"/>
      <c r="CO25" s="34"/>
      <c r="CP25" s="34"/>
      <c r="CQ25" s="34"/>
      <c r="CR25" s="34"/>
      <c r="CS25" s="34"/>
      <c r="CT25" s="34"/>
      <c r="CU25" s="34"/>
      <c r="CV25" s="34"/>
      <c r="CW25" s="34"/>
      <c r="CX25" s="34"/>
      <c r="CY25" s="34"/>
      <c r="CZ25" s="34"/>
      <c r="DA25" s="34"/>
      <c r="DB25" s="34"/>
      <c r="DC25" s="34"/>
      <c r="DD25" s="34"/>
      <c r="DE25" s="34"/>
      <c r="DF25" s="34"/>
      <c r="DG25" s="34"/>
      <c r="DH25" s="34"/>
      <c r="DI25" s="34"/>
      <c r="DJ25" s="34"/>
      <c r="DK25" s="34"/>
      <c r="DL25" s="34"/>
      <c r="DM25" s="34"/>
      <c r="DN25" s="34"/>
      <c r="DO25" s="34"/>
      <c r="DP25" s="34"/>
      <c r="DQ25" s="34"/>
      <c r="DR25" s="34"/>
      <c r="DS25" s="34"/>
      <c r="DT25" s="34"/>
      <c r="DU25" s="34"/>
      <c r="DV25" s="34"/>
      <c r="DW25" s="34"/>
      <c r="DX25" s="34"/>
      <c r="DY25" s="34"/>
      <c r="DZ25" s="34"/>
      <c r="EA25" s="34"/>
      <c r="EB25" s="34"/>
      <c r="EC25" s="34"/>
      <c r="ED25" s="34"/>
      <c r="EE25" s="34"/>
      <c r="EF25" s="34"/>
      <c r="EG25" s="34"/>
      <c r="EH25" s="34"/>
      <c r="EI25" s="34"/>
      <c r="EJ25" s="34"/>
      <c r="EK25" s="34"/>
      <c r="EL25" s="34"/>
      <c r="EM25" s="34"/>
      <c r="EN25" s="34"/>
      <c r="EO25" s="34"/>
      <c r="EP25" s="34"/>
      <c r="EQ25" s="34"/>
      <c r="ER25" s="34"/>
      <c r="ES25" s="34"/>
      <c r="ET25" s="34"/>
      <c r="EU25" s="34"/>
      <c r="EV25" s="34"/>
      <c r="EW25" s="34"/>
      <c r="EX25" s="34"/>
      <c r="EY25" s="34"/>
      <c r="EZ25" s="34"/>
      <c r="FA25" s="34"/>
      <c r="FB25" s="34"/>
      <c r="FC25" s="34"/>
      <c r="FD25" s="34"/>
      <c r="FE25" s="34"/>
      <c r="FF25" s="34"/>
      <c r="FG25" s="34"/>
      <c r="FH25" s="34"/>
      <c r="FI25" s="34"/>
      <c r="FJ25" s="34"/>
      <c r="FK25" s="34"/>
      <c r="FL25" s="34"/>
      <c r="FM25" s="34"/>
      <c r="FN25" s="34"/>
      <c r="FO25" s="34"/>
      <c r="FP25" s="34"/>
      <c r="FQ25" s="34"/>
      <c r="FR25" s="34"/>
      <c r="FS25" s="34"/>
      <c r="FT25" s="34"/>
      <c r="FU25" s="34"/>
      <c r="FV25" s="34"/>
      <c r="FW25" s="34"/>
      <c r="FX25" s="34"/>
      <c r="FY25" s="34"/>
      <c r="FZ25" s="34"/>
      <c r="GA25" s="34"/>
      <c r="GB25" s="34"/>
      <c r="GC25" s="34"/>
      <c r="GD25" s="34"/>
      <c r="GE25" s="34"/>
      <c r="GF25" s="34"/>
      <c r="GG25" s="34"/>
      <c r="GH25" s="34"/>
      <c r="GI25" s="34"/>
      <c r="GJ25" s="34"/>
      <c r="GK25" s="34"/>
      <c r="GL25" s="34"/>
      <c r="GM25" s="34"/>
      <c r="GN25" s="34"/>
      <c r="GO25" s="34"/>
      <c r="GP25" s="34"/>
      <c r="GQ25" s="34"/>
      <c r="GR25" s="34"/>
    </row>
    <row r="26" spans="1:200" s="38" customFormat="1" ht="15" customHeight="1" x14ac:dyDescent="0.3">
      <c r="A26" s="34" t="s">
        <v>241</v>
      </c>
      <c r="B26" s="34">
        <v>15</v>
      </c>
      <c r="C26" s="34">
        <v>12</v>
      </c>
      <c r="D26" s="34">
        <v>3</v>
      </c>
      <c r="E26" s="34">
        <v>37</v>
      </c>
      <c r="F26" s="34">
        <v>67</v>
      </c>
      <c r="G26" s="34"/>
      <c r="H26" s="34"/>
      <c r="I26" s="34"/>
      <c r="J26" s="34"/>
      <c r="K26" s="34"/>
      <c r="L26" s="34"/>
      <c r="M26" s="34"/>
      <c r="N26" s="34"/>
      <c r="O26" s="34"/>
      <c r="P26" s="34"/>
      <c r="Q26" s="34"/>
      <c r="R26" s="34"/>
      <c r="S26" s="34"/>
      <c r="T26" s="34"/>
      <c r="U26" s="34"/>
      <c r="V26" s="58"/>
      <c r="W26" s="58"/>
      <c r="X26" s="58"/>
      <c r="Y26" s="58"/>
      <c r="Z26" s="58"/>
      <c r="AA26" s="58"/>
      <c r="AB26" s="58"/>
      <c r="AC26" s="58"/>
      <c r="AD26" s="58"/>
      <c r="AE26" s="58"/>
      <c r="AF26" s="58"/>
      <c r="AG26" s="58"/>
      <c r="AH26" s="58"/>
      <c r="AI26" s="34"/>
      <c r="AJ26" s="34"/>
      <c r="AK26" s="34"/>
      <c r="AL26" s="34"/>
      <c r="AM26" s="34"/>
      <c r="AN26" s="34"/>
      <c r="AO26" s="34"/>
      <c r="AP26" s="34"/>
      <c r="AQ26" s="34"/>
      <c r="AR26" s="34"/>
      <c r="AS26" s="34"/>
      <c r="AT26" s="34"/>
      <c r="AU26" s="34"/>
      <c r="AV26" s="34"/>
      <c r="AW26" s="34"/>
      <c r="AX26" s="34"/>
      <c r="AY26" s="34"/>
      <c r="AZ26" s="34"/>
      <c r="BA26" s="34"/>
      <c r="BB26" s="34"/>
      <c r="BC26" s="34"/>
      <c r="BD26" s="34"/>
      <c r="BE26" s="34"/>
      <c r="BF26" s="34"/>
      <c r="BG26" s="34"/>
      <c r="BH26" s="34"/>
      <c r="BI26" s="34"/>
      <c r="BJ26" s="34"/>
      <c r="BK26" s="34"/>
      <c r="BL26" s="34"/>
      <c r="BM26" s="34"/>
      <c r="BN26" s="34"/>
      <c r="BO26" s="34"/>
      <c r="BP26" s="34"/>
      <c r="BQ26" s="34"/>
      <c r="BR26" s="34"/>
      <c r="BS26" s="34"/>
      <c r="BT26" s="34"/>
      <c r="BU26" s="34"/>
      <c r="BV26" s="34"/>
      <c r="BW26" s="34"/>
      <c r="BX26" s="34"/>
      <c r="BY26" s="34"/>
      <c r="BZ26" s="34"/>
      <c r="CA26" s="34"/>
      <c r="CB26" s="34"/>
      <c r="CC26" s="34"/>
      <c r="CD26" s="34"/>
      <c r="CE26" s="34"/>
      <c r="CF26" s="34"/>
      <c r="CG26" s="34"/>
      <c r="CH26" s="34"/>
      <c r="CI26" s="34"/>
      <c r="CJ26" s="34"/>
      <c r="CK26" s="34"/>
      <c r="CL26" s="34"/>
      <c r="CM26" s="34"/>
      <c r="CN26" s="34"/>
      <c r="CO26" s="34"/>
      <c r="CP26" s="34"/>
      <c r="CQ26" s="34"/>
      <c r="CR26" s="34"/>
      <c r="CS26" s="34"/>
      <c r="CT26" s="34"/>
      <c r="CU26" s="34"/>
      <c r="CV26" s="34"/>
      <c r="CW26" s="34"/>
      <c r="CX26" s="34"/>
      <c r="CY26" s="34"/>
      <c r="CZ26" s="34"/>
      <c r="DA26" s="34"/>
      <c r="DB26" s="34"/>
      <c r="DC26" s="34"/>
      <c r="DD26" s="34"/>
      <c r="DE26" s="34"/>
      <c r="DF26" s="34"/>
      <c r="DG26" s="34"/>
      <c r="DH26" s="34"/>
      <c r="DI26" s="34"/>
      <c r="DJ26" s="34"/>
      <c r="DK26" s="34"/>
      <c r="DL26" s="34"/>
      <c r="DM26" s="34"/>
      <c r="DN26" s="34"/>
      <c r="DO26" s="34"/>
      <c r="DP26" s="34"/>
      <c r="DQ26" s="34"/>
      <c r="DR26" s="34"/>
      <c r="DS26" s="34"/>
      <c r="DT26" s="34"/>
      <c r="DU26" s="34"/>
      <c r="DV26" s="34"/>
      <c r="DW26" s="34"/>
      <c r="DX26" s="34"/>
      <c r="DY26" s="34"/>
      <c r="DZ26" s="34"/>
      <c r="EA26" s="34"/>
      <c r="EB26" s="34"/>
      <c r="EC26" s="34"/>
      <c r="ED26" s="34"/>
      <c r="EE26" s="34"/>
      <c r="EF26" s="34"/>
      <c r="EG26" s="34"/>
      <c r="EH26" s="34"/>
      <c r="EI26" s="34"/>
      <c r="EJ26" s="34"/>
      <c r="EK26" s="34"/>
      <c r="EL26" s="34"/>
      <c r="EM26" s="34"/>
      <c r="EN26" s="34"/>
      <c r="EO26" s="34"/>
      <c r="EP26" s="34"/>
      <c r="EQ26" s="34"/>
      <c r="ER26" s="34"/>
      <c r="ES26" s="34"/>
      <c r="ET26" s="34"/>
      <c r="EU26" s="34"/>
      <c r="EV26" s="34"/>
      <c r="EW26" s="34"/>
      <c r="EX26" s="34"/>
      <c r="EY26" s="34"/>
      <c r="EZ26" s="34"/>
      <c r="FA26" s="34"/>
      <c r="FB26" s="34"/>
      <c r="FC26" s="34"/>
      <c r="FD26" s="34"/>
      <c r="FE26" s="34"/>
      <c r="FF26" s="34"/>
      <c r="FG26" s="34"/>
      <c r="FH26" s="34"/>
      <c r="FI26" s="34"/>
      <c r="FJ26" s="34"/>
      <c r="FK26" s="34"/>
      <c r="FL26" s="34"/>
      <c r="FM26" s="34"/>
      <c r="FN26" s="34"/>
      <c r="FO26" s="34"/>
      <c r="FP26" s="34"/>
      <c r="FQ26" s="34"/>
      <c r="FR26" s="34"/>
      <c r="FS26" s="34"/>
      <c r="FT26" s="34"/>
      <c r="FU26" s="34"/>
      <c r="FV26" s="34"/>
      <c r="FW26" s="34"/>
      <c r="FX26" s="34"/>
      <c r="FY26" s="34"/>
      <c r="FZ26" s="34"/>
      <c r="GA26" s="34"/>
      <c r="GB26" s="34"/>
      <c r="GC26" s="34"/>
      <c r="GD26" s="34"/>
      <c r="GE26" s="34"/>
      <c r="GF26" s="34"/>
      <c r="GG26" s="34"/>
      <c r="GH26" s="34"/>
      <c r="GI26" s="34"/>
      <c r="GJ26" s="34"/>
      <c r="GK26" s="34"/>
      <c r="GL26" s="34"/>
      <c r="GM26" s="34"/>
      <c r="GN26" s="34"/>
      <c r="GO26" s="34"/>
      <c r="GP26" s="34"/>
      <c r="GQ26" s="34"/>
      <c r="GR26" s="34"/>
    </row>
    <row r="27" spans="1:200" s="38" customFormat="1" ht="15" customHeight="1" x14ac:dyDescent="0.3">
      <c r="A27" s="34" t="s">
        <v>237</v>
      </c>
      <c r="B27" s="34">
        <v>8</v>
      </c>
      <c r="C27" s="34">
        <v>18</v>
      </c>
      <c r="D27" s="34">
        <v>3</v>
      </c>
      <c r="E27" s="34">
        <v>25</v>
      </c>
      <c r="F27" s="34">
        <v>54</v>
      </c>
      <c r="G27" s="34"/>
      <c r="H27" s="34"/>
      <c r="I27" s="34"/>
      <c r="J27" s="34"/>
      <c r="K27" s="34"/>
      <c r="L27" s="34"/>
      <c r="M27" s="34"/>
      <c r="N27" s="34"/>
      <c r="O27" s="34"/>
      <c r="P27" s="34"/>
      <c r="Q27" s="34"/>
      <c r="R27" s="34"/>
      <c r="S27" s="34"/>
      <c r="T27" s="34"/>
      <c r="U27" s="34"/>
      <c r="V27" s="58"/>
      <c r="W27" s="58"/>
      <c r="X27" s="58"/>
      <c r="Y27" s="58"/>
      <c r="Z27" s="58"/>
      <c r="AA27" s="58"/>
      <c r="AB27" s="58"/>
      <c r="AC27" s="58"/>
      <c r="AD27" s="58"/>
      <c r="AE27" s="58"/>
      <c r="AF27" s="58"/>
      <c r="AG27" s="58"/>
      <c r="AH27" s="58"/>
      <c r="AI27" s="34"/>
      <c r="AJ27" s="34"/>
      <c r="AK27" s="34"/>
      <c r="AL27" s="34"/>
      <c r="AM27" s="34"/>
      <c r="AN27" s="34"/>
      <c r="AO27" s="34"/>
      <c r="AP27" s="34"/>
      <c r="AQ27" s="34"/>
      <c r="AR27" s="34"/>
      <c r="AS27" s="34"/>
      <c r="AT27" s="34"/>
      <c r="AU27" s="34"/>
      <c r="AV27" s="34"/>
      <c r="AW27" s="34"/>
      <c r="AX27" s="34"/>
      <c r="AY27" s="34"/>
      <c r="AZ27" s="34"/>
      <c r="BA27" s="34"/>
      <c r="BB27" s="34"/>
      <c r="BC27" s="34"/>
      <c r="BD27" s="34"/>
      <c r="BE27" s="34"/>
      <c r="BF27" s="34"/>
      <c r="BG27" s="34"/>
      <c r="BH27" s="34"/>
      <c r="BI27" s="34"/>
      <c r="BJ27" s="34"/>
      <c r="BK27" s="34"/>
      <c r="BL27" s="34"/>
      <c r="BM27" s="34"/>
      <c r="BN27" s="34"/>
      <c r="BO27" s="34"/>
      <c r="BP27" s="34"/>
      <c r="BQ27" s="34"/>
      <c r="BR27" s="34"/>
      <c r="BS27" s="34"/>
      <c r="BT27" s="34"/>
      <c r="BU27" s="34"/>
      <c r="BV27" s="34"/>
      <c r="BW27" s="34"/>
      <c r="BX27" s="34"/>
      <c r="BY27" s="34"/>
      <c r="BZ27" s="34"/>
      <c r="CA27" s="34"/>
      <c r="CB27" s="34"/>
      <c r="CC27" s="34"/>
      <c r="CD27" s="34"/>
      <c r="CE27" s="34"/>
      <c r="CF27" s="34"/>
      <c r="CG27" s="34"/>
      <c r="CH27" s="34"/>
      <c r="CI27" s="34"/>
      <c r="CJ27" s="34"/>
      <c r="CK27" s="34"/>
      <c r="CL27" s="34"/>
      <c r="CM27" s="34"/>
      <c r="CN27" s="34"/>
      <c r="CO27" s="34"/>
      <c r="CP27" s="34"/>
      <c r="CQ27" s="34"/>
      <c r="CR27" s="34"/>
      <c r="CS27" s="34"/>
      <c r="CT27" s="34"/>
      <c r="CU27" s="34"/>
      <c r="CV27" s="34"/>
      <c r="CW27" s="34"/>
      <c r="CX27" s="34"/>
      <c r="CY27" s="34"/>
      <c r="CZ27" s="34"/>
      <c r="DA27" s="34"/>
      <c r="DB27" s="34"/>
      <c r="DC27" s="34"/>
      <c r="DD27" s="34"/>
      <c r="DE27" s="34"/>
      <c r="DF27" s="34"/>
      <c r="DG27" s="34"/>
      <c r="DH27" s="34"/>
      <c r="DI27" s="34"/>
      <c r="DJ27" s="34"/>
      <c r="DK27" s="34"/>
      <c r="DL27" s="34"/>
      <c r="DM27" s="34"/>
      <c r="DN27" s="34"/>
      <c r="DO27" s="34"/>
      <c r="DP27" s="34"/>
      <c r="DQ27" s="34"/>
      <c r="DR27" s="34"/>
      <c r="DS27" s="34"/>
      <c r="DT27" s="34"/>
      <c r="DU27" s="34"/>
      <c r="DV27" s="34"/>
      <c r="DW27" s="34"/>
      <c r="DX27" s="34"/>
      <c r="DY27" s="34"/>
      <c r="DZ27" s="34"/>
      <c r="EA27" s="34"/>
      <c r="EB27" s="34"/>
      <c r="EC27" s="34"/>
      <c r="ED27" s="34"/>
      <c r="EE27" s="34"/>
      <c r="EF27" s="34"/>
      <c r="EG27" s="34"/>
      <c r="EH27" s="34"/>
      <c r="EI27" s="34"/>
      <c r="EJ27" s="34"/>
      <c r="EK27" s="34"/>
      <c r="EL27" s="34"/>
      <c r="EM27" s="34"/>
      <c r="EN27" s="34"/>
      <c r="EO27" s="34"/>
      <c r="EP27" s="34"/>
      <c r="EQ27" s="34"/>
      <c r="ER27" s="34"/>
      <c r="ES27" s="34"/>
      <c r="ET27" s="34"/>
      <c r="EU27" s="34"/>
      <c r="EV27" s="34"/>
      <c r="EW27" s="34"/>
      <c r="EX27" s="34"/>
      <c r="EY27" s="34"/>
      <c r="EZ27" s="34"/>
      <c r="FA27" s="34"/>
      <c r="FB27" s="34"/>
      <c r="FC27" s="34"/>
      <c r="FD27" s="34"/>
      <c r="FE27" s="34"/>
      <c r="FF27" s="34"/>
      <c r="FG27" s="34"/>
      <c r="FH27" s="34"/>
      <c r="FI27" s="34"/>
      <c r="FJ27" s="34"/>
      <c r="FK27" s="34"/>
      <c r="FL27" s="34"/>
      <c r="FM27" s="34"/>
      <c r="FN27" s="34"/>
      <c r="FO27" s="34"/>
      <c r="FP27" s="34"/>
      <c r="FQ27" s="34"/>
      <c r="FR27" s="34"/>
      <c r="FS27" s="34"/>
      <c r="FT27" s="34"/>
      <c r="FU27" s="34"/>
      <c r="FV27" s="34"/>
      <c r="FW27" s="34"/>
      <c r="FX27" s="34"/>
      <c r="FY27" s="34"/>
      <c r="FZ27" s="34"/>
      <c r="GA27" s="34"/>
      <c r="GB27" s="34"/>
      <c r="GC27" s="34"/>
      <c r="GD27" s="34"/>
      <c r="GE27" s="34"/>
      <c r="GF27" s="34"/>
      <c r="GG27" s="34"/>
      <c r="GH27" s="34"/>
      <c r="GI27" s="34"/>
      <c r="GJ27" s="34"/>
      <c r="GK27" s="34"/>
      <c r="GL27" s="34"/>
      <c r="GM27" s="34"/>
      <c r="GN27" s="34"/>
      <c r="GO27" s="34"/>
      <c r="GP27" s="34"/>
      <c r="GQ27" s="34"/>
      <c r="GR27" s="34"/>
    </row>
    <row r="28" spans="1:200" s="38" customFormat="1" ht="15" customHeight="1" x14ac:dyDescent="0.3">
      <c r="A28" s="34" t="s">
        <v>247</v>
      </c>
      <c r="B28" s="34">
        <v>21</v>
      </c>
      <c r="C28" s="34">
        <v>11</v>
      </c>
      <c r="D28" s="34">
        <v>2</v>
      </c>
      <c r="E28" s="34">
        <v>29</v>
      </c>
      <c r="F28" s="34">
        <v>63</v>
      </c>
      <c r="G28" s="34"/>
      <c r="H28" s="34"/>
      <c r="I28" s="34"/>
      <c r="J28" s="34"/>
      <c r="K28" s="34"/>
      <c r="L28" s="34"/>
      <c r="M28" s="34"/>
      <c r="N28" s="34"/>
      <c r="O28" s="34"/>
      <c r="P28" s="34"/>
      <c r="Q28" s="34"/>
      <c r="R28" s="34"/>
      <c r="S28" s="34"/>
      <c r="T28" s="34"/>
      <c r="U28" s="34"/>
      <c r="V28" s="58"/>
      <c r="W28" s="58"/>
      <c r="X28" s="58"/>
      <c r="Y28" s="58"/>
      <c r="Z28" s="58"/>
      <c r="AA28" s="58"/>
      <c r="AB28" s="58"/>
      <c r="AC28" s="58"/>
      <c r="AD28" s="58"/>
      <c r="AE28" s="58"/>
      <c r="AF28" s="58"/>
      <c r="AG28" s="58"/>
      <c r="AH28" s="58"/>
      <c r="AI28" s="34"/>
      <c r="AJ28" s="34"/>
      <c r="AK28" s="34"/>
      <c r="AL28" s="34"/>
      <c r="AM28" s="34"/>
      <c r="AN28" s="34"/>
      <c r="AO28" s="34"/>
      <c r="AP28" s="34"/>
      <c r="AQ28" s="34"/>
      <c r="AR28" s="34"/>
      <c r="AS28" s="34"/>
      <c r="AT28" s="34"/>
      <c r="AU28" s="34"/>
      <c r="AV28" s="34"/>
      <c r="AW28" s="34"/>
      <c r="AX28" s="34"/>
      <c r="AY28" s="34"/>
      <c r="AZ28" s="34"/>
      <c r="BA28" s="34"/>
      <c r="BB28" s="34"/>
      <c r="BC28" s="34"/>
      <c r="BD28" s="34"/>
      <c r="BE28" s="34"/>
      <c r="BF28" s="34"/>
      <c r="BG28" s="34"/>
      <c r="BH28" s="34"/>
      <c r="BI28" s="34"/>
      <c r="BJ28" s="34"/>
      <c r="BK28" s="34"/>
      <c r="BL28" s="34"/>
      <c r="BM28" s="34"/>
      <c r="BN28" s="34"/>
      <c r="BO28" s="34"/>
      <c r="BP28" s="34"/>
      <c r="BQ28" s="34"/>
      <c r="BR28" s="34"/>
      <c r="BS28" s="34"/>
      <c r="BT28" s="34"/>
      <c r="BU28" s="34"/>
      <c r="BV28" s="34"/>
      <c r="BW28" s="34"/>
      <c r="BX28" s="34"/>
      <c r="BY28" s="34"/>
      <c r="BZ28" s="34"/>
      <c r="CA28" s="34"/>
      <c r="CB28" s="34"/>
      <c r="CC28" s="34"/>
      <c r="CD28" s="34"/>
      <c r="CE28" s="34"/>
      <c r="CF28" s="34"/>
      <c r="CG28" s="34"/>
      <c r="CH28" s="34"/>
      <c r="CI28" s="34"/>
      <c r="CJ28" s="34"/>
      <c r="CK28" s="34"/>
      <c r="CL28" s="34"/>
      <c r="CM28" s="34"/>
      <c r="CN28" s="34"/>
      <c r="CO28" s="34"/>
      <c r="CP28" s="34"/>
      <c r="CQ28" s="34"/>
      <c r="CR28" s="34"/>
      <c r="CS28" s="34"/>
      <c r="CT28" s="34"/>
      <c r="CU28" s="34"/>
      <c r="CV28" s="34"/>
      <c r="CW28" s="34"/>
      <c r="CX28" s="34"/>
      <c r="CY28" s="34"/>
      <c r="CZ28" s="34"/>
      <c r="DA28" s="34"/>
      <c r="DB28" s="34"/>
      <c r="DC28" s="34"/>
      <c r="DD28" s="34"/>
      <c r="DE28" s="34"/>
      <c r="DF28" s="34"/>
      <c r="DG28" s="34"/>
      <c r="DH28" s="34"/>
      <c r="DI28" s="34"/>
      <c r="DJ28" s="34"/>
      <c r="DK28" s="34"/>
      <c r="DL28" s="34"/>
      <c r="DM28" s="34"/>
      <c r="DN28" s="34"/>
      <c r="DO28" s="34"/>
      <c r="DP28" s="34"/>
      <c r="DQ28" s="34"/>
      <c r="DR28" s="34"/>
      <c r="DS28" s="34"/>
      <c r="DT28" s="34"/>
      <c r="DU28" s="34"/>
      <c r="DV28" s="34"/>
      <c r="DW28" s="34"/>
      <c r="DX28" s="34"/>
      <c r="DY28" s="34"/>
      <c r="DZ28" s="34"/>
      <c r="EA28" s="34"/>
      <c r="EB28" s="34"/>
      <c r="EC28" s="34"/>
      <c r="ED28" s="34"/>
      <c r="EE28" s="34"/>
      <c r="EF28" s="34"/>
      <c r="EG28" s="34"/>
      <c r="EH28" s="34"/>
      <c r="EI28" s="34"/>
      <c r="EJ28" s="34"/>
      <c r="EK28" s="34"/>
      <c r="EL28" s="34"/>
      <c r="EM28" s="34"/>
      <c r="EN28" s="34"/>
      <c r="EO28" s="34"/>
      <c r="EP28" s="34"/>
      <c r="EQ28" s="34"/>
      <c r="ER28" s="34"/>
      <c r="ES28" s="34"/>
      <c r="ET28" s="34"/>
      <c r="EU28" s="34"/>
      <c r="EV28" s="34"/>
      <c r="EW28" s="34"/>
      <c r="EX28" s="34"/>
      <c r="EY28" s="34"/>
      <c r="EZ28" s="34"/>
      <c r="FA28" s="34"/>
      <c r="FB28" s="34"/>
      <c r="FC28" s="34"/>
      <c r="FD28" s="34"/>
      <c r="FE28" s="34"/>
      <c r="FF28" s="34"/>
      <c r="FG28" s="34"/>
      <c r="FH28" s="34"/>
      <c r="FI28" s="34"/>
      <c r="FJ28" s="34"/>
      <c r="FK28" s="34"/>
      <c r="FL28" s="34"/>
      <c r="FM28" s="34"/>
      <c r="FN28" s="34"/>
      <c r="FO28" s="34"/>
      <c r="FP28" s="34"/>
      <c r="FQ28" s="34"/>
      <c r="FR28" s="34"/>
      <c r="FS28" s="34"/>
      <c r="FT28" s="34"/>
      <c r="FU28" s="34"/>
      <c r="FV28" s="34"/>
      <c r="FW28" s="34"/>
      <c r="FX28" s="34"/>
      <c r="FY28" s="34"/>
      <c r="FZ28" s="34"/>
      <c r="GA28" s="34"/>
      <c r="GB28" s="34"/>
      <c r="GC28" s="34"/>
      <c r="GD28" s="34"/>
      <c r="GE28" s="34"/>
      <c r="GF28" s="34"/>
      <c r="GG28" s="34"/>
      <c r="GH28" s="34"/>
      <c r="GI28" s="34"/>
      <c r="GJ28" s="34"/>
      <c r="GK28" s="34"/>
      <c r="GL28" s="34"/>
      <c r="GM28" s="34"/>
      <c r="GN28" s="34"/>
      <c r="GO28" s="34"/>
      <c r="GP28" s="34"/>
      <c r="GQ28" s="34"/>
      <c r="GR28" s="34"/>
    </row>
    <row r="29" spans="1:200" ht="15" customHeight="1" x14ac:dyDescent="0.3">
      <c r="A29" s="34" t="s">
        <v>3</v>
      </c>
      <c r="B29" s="34">
        <v>509</v>
      </c>
      <c r="C29" s="34">
        <v>471</v>
      </c>
      <c r="D29" s="34">
        <v>186</v>
      </c>
      <c r="E29" s="34">
        <v>1160</v>
      </c>
      <c r="F29" s="34">
        <v>2326</v>
      </c>
      <c r="V29" s="58"/>
      <c r="W29" s="58"/>
      <c r="X29" s="58"/>
      <c r="Y29" s="58"/>
      <c r="Z29" s="58"/>
      <c r="AA29" s="58"/>
      <c r="AB29" s="58"/>
      <c r="AC29" s="58"/>
      <c r="AD29" s="58"/>
      <c r="AE29" s="58"/>
      <c r="AF29" s="58"/>
      <c r="AG29" s="58"/>
    </row>
    <row r="30" spans="1:200" ht="15" customHeight="1" x14ac:dyDescent="0.3">
      <c r="V30" s="58"/>
      <c r="W30" s="58"/>
      <c r="X30" s="58"/>
      <c r="Y30" s="58"/>
      <c r="Z30" s="58"/>
      <c r="AA30" s="58"/>
      <c r="AB30" s="58"/>
      <c r="AC30" s="58"/>
      <c r="AD30" s="58"/>
      <c r="AE30" s="58"/>
      <c r="AF30" s="58"/>
      <c r="AG30" s="58"/>
      <c r="AH30" s="58"/>
    </row>
    <row r="31" spans="1:200" ht="15" customHeight="1" x14ac:dyDescent="0.3">
      <c r="V31" s="58"/>
      <c r="W31" s="58"/>
      <c r="X31" s="58"/>
      <c r="Y31" s="58"/>
      <c r="Z31" s="58"/>
      <c r="AA31" s="58"/>
      <c r="AB31" s="58"/>
      <c r="AC31" s="58"/>
      <c r="AD31" s="58"/>
      <c r="AE31" s="58"/>
      <c r="AF31" s="58"/>
      <c r="AG31" s="58"/>
      <c r="AH31" s="58"/>
    </row>
    <row r="32" spans="1:200" ht="15" customHeight="1" x14ac:dyDescent="0.3">
      <c r="V32" s="58"/>
      <c r="W32" s="58"/>
      <c r="X32" s="58"/>
      <c r="Y32" s="58"/>
      <c r="Z32" s="58"/>
      <c r="AA32" s="58"/>
      <c r="AB32" s="58"/>
      <c r="AC32" s="58"/>
      <c r="AD32" s="58"/>
      <c r="AE32" s="58"/>
      <c r="AF32" s="58"/>
      <c r="AG32" s="58"/>
      <c r="AH32" s="58"/>
    </row>
    <row r="33" spans="22:36" ht="15" customHeight="1" x14ac:dyDescent="0.3">
      <c r="V33" s="58"/>
      <c r="W33" s="58"/>
      <c r="X33" s="58"/>
      <c r="Y33" s="58"/>
      <c r="Z33" s="58"/>
      <c r="AA33" s="58"/>
      <c r="AB33" s="58"/>
      <c r="AC33" s="58"/>
      <c r="AD33" s="58"/>
      <c r="AE33" s="58"/>
      <c r="AF33" s="58"/>
      <c r="AG33" s="58"/>
      <c r="AH33" s="58"/>
    </row>
    <row r="34" spans="22:36" ht="15" customHeight="1" x14ac:dyDescent="0.3">
      <c r="V34" s="58"/>
      <c r="W34" s="58"/>
      <c r="X34" s="58"/>
      <c r="Y34" s="58"/>
      <c r="Z34" s="58"/>
      <c r="AA34" s="58"/>
      <c r="AB34" s="58"/>
      <c r="AC34" s="58"/>
      <c r="AD34" s="58"/>
      <c r="AE34" s="58"/>
      <c r="AF34" s="58"/>
      <c r="AG34" s="58"/>
      <c r="AH34" s="58"/>
    </row>
    <row r="35" spans="22:36" ht="15" customHeight="1" x14ac:dyDescent="0.3">
      <c r="V35" s="58"/>
      <c r="W35" s="58"/>
      <c r="X35" s="58"/>
      <c r="Y35" s="58"/>
      <c r="Z35" s="58"/>
      <c r="AA35" s="58"/>
      <c r="AB35" s="58"/>
      <c r="AC35" s="58"/>
      <c r="AD35" s="58"/>
      <c r="AE35" s="58"/>
      <c r="AF35" s="58"/>
      <c r="AG35" s="58"/>
      <c r="AH35" s="58"/>
    </row>
    <row r="36" spans="22:36" ht="15" customHeight="1" x14ac:dyDescent="0.3">
      <c r="V36" s="58"/>
      <c r="W36" s="58"/>
      <c r="X36" s="58"/>
      <c r="Y36" s="58"/>
      <c r="Z36" s="58"/>
      <c r="AA36" s="58"/>
      <c r="AB36" s="58"/>
      <c r="AC36" s="58"/>
      <c r="AD36" s="58"/>
      <c r="AE36" s="58"/>
      <c r="AF36" s="58"/>
      <c r="AG36" s="58"/>
      <c r="AH36" s="58"/>
      <c r="AJ36" s="39"/>
    </row>
    <row r="37" spans="22:36" ht="15" customHeight="1" x14ac:dyDescent="0.3">
      <c r="V37" s="58"/>
      <c r="W37" s="58"/>
      <c r="X37" s="58"/>
      <c r="Y37" s="58"/>
      <c r="Z37" s="58"/>
      <c r="AA37" s="58"/>
      <c r="AB37" s="58"/>
      <c r="AC37" s="58"/>
      <c r="AD37" s="58"/>
      <c r="AE37" s="58"/>
      <c r="AF37" s="58"/>
      <c r="AG37" s="58"/>
      <c r="AH37" s="58"/>
    </row>
  </sheetData>
  <phoneticPr fontId="13" type="noConversion"/>
  <printOptions horizontalCentered="1" verticalCentered="1"/>
  <pageMargins left="0" right="0" top="0" bottom="0" header="0" footer="0"/>
  <pageSetup paperSize="9" scale="75" orientation="landscape" r:id="rId1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D69309-5175-41CE-A963-CBAD53D18A38}">
  <sheetPr>
    <tabColor theme="8" tint="0.59999389629810485"/>
    <pageSetUpPr fitToPage="1"/>
  </sheetPr>
  <dimension ref="A1:K49"/>
  <sheetViews>
    <sheetView zoomScale="40" zoomScaleNormal="40" zoomScaleSheetLayoutView="75" workbookViewId="0">
      <selection activeCell="A2" sqref="A2:F47"/>
    </sheetView>
  </sheetViews>
  <sheetFormatPr defaultColWidth="9" defaultRowHeight="16.5" x14ac:dyDescent="0.3"/>
  <cols>
    <col min="1" max="1" width="24.75" style="34" customWidth="1"/>
    <col min="2" max="2" width="7.625" style="38" customWidth="1"/>
    <col min="3" max="3" width="30.625" style="34" customWidth="1"/>
    <col min="4" max="4" width="12.125" style="2" bestFit="1" customWidth="1"/>
    <col min="5" max="5" width="11.375" style="34" customWidth="1"/>
    <col min="6" max="6" width="11.125" style="2" customWidth="1"/>
    <col min="7" max="7" width="8.375" style="34" customWidth="1"/>
    <col min="8" max="8" width="9" style="34" customWidth="1"/>
    <col min="9" max="13" width="9" style="34"/>
    <col min="14" max="14" width="10.625" style="34" customWidth="1"/>
    <col min="15" max="17" width="9" style="34"/>
    <col min="18" max="18" width="36.5" style="34" bestFit="1" customWidth="1"/>
    <col min="19" max="16384" width="9" style="34"/>
  </cols>
  <sheetData>
    <row r="1" spans="1:11" ht="25.9" customHeight="1" thickBot="1" x14ac:dyDescent="0.35">
      <c r="A1" s="270"/>
      <c r="B1" s="270"/>
      <c r="C1" s="270"/>
      <c r="D1" s="270"/>
      <c r="E1" s="270"/>
      <c r="F1" s="270"/>
    </row>
    <row r="2" spans="1:11" ht="25.9" customHeight="1" x14ac:dyDescent="0.3">
      <c r="A2" s="215">
        <f ca="1">TODAY()</f>
        <v>46314</v>
      </c>
      <c r="B2" s="256" t="s">
        <v>383</v>
      </c>
      <c r="C2" s="256"/>
      <c r="D2" s="256"/>
      <c r="E2" s="256"/>
      <c r="F2" s="257"/>
      <c r="G2" s="67"/>
      <c r="H2" s="67"/>
    </row>
    <row r="3" spans="1:11" ht="40.5" customHeight="1" x14ac:dyDescent="0.3">
      <c r="A3" s="222" t="s">
        <v>67</v>
      </c>
      <c r="B3" s="223" t="s">
        <v>13</v>
      </c>
      <c r="C3" s="229" t="s">
        <v>368</v>
      </c>
      <c r="D3" s="230" t="s">
        <v>2</v>
      </c>
      <c r="E3" s="229" t="s">
        <v>23</v>
      </c>
      <c r="F3" s="231" t="s">
        <v>14</v>
      </c>
      <c r="G3" s="67"/>
      <c r="H3" s="67"/>
    </row>
    <row r="4" spans="1:11" ht="25.35" customHeight="1" x14ac:dyDescent="0.3">
      <c r="A4" s="220" t="s">
        <v>260</v>
      </c>
      <c r="B4" s="224">
        <v>6</v>
      </c>
      <c r="C4" s="227">
        <f>IFERROR(VLOOKUP(A4,'스윗밸런스 피벗'!A:SD,2,FALSE),0)</f>
        <v>10</v>
      </c>
      <c r="D4" s="227">
        <f t="shared" ref="D4:D18" si="0">IFERROR(ROUNDDOWN(C4/B4,0),"")</f>
        <v>1</v>
      </c>
      <c r="E4" s="51" t="s">
        <v>109</v>
      </c>
      <c r="F4" s="228">
        <f t="shared" ref="F4:F18" si="1">IFERROR(C4-(D4*B4),"")</f>
        <v>4</v>
      </c>
      <c r="G4" s="67"/>
      <c r="H4" s="67"/>
      <c r="J4" s="73"/>
      <c r="K4" s="73"/>
    </row>
    <row r="5" spans="1:11" ht="25.35" customHeight="1" x14ac:dyDescent="0.3">
      <c r="A5" s="221" t="s">
        <v>255</v>
      </c>
      <c r="B5" s="224">
        <f t="shared" ref="B5:B18" si="2">$B$4</f>
        <v>6</v>
      </c>
      <c r="C5" s="227">
        <f>IFERROR(VLOOKUP(A5,'스윗밸런스 피벗'!A:SD,2,FALSE),0)</f>
        <v>47</v>
      </c>
      <c r="D5" s="227">
        <f t="shared" si="0"/>
        <v>7</v>
      </c>
      <c r="E5" s="51" t="s">
        <v>335</v>
      </c>
      <c r="F5" s="228">
        <f t="shared" si="1"/>
        <v>5</v>
      </c>
      <c r="G5" s="67"/>
      <c r="H5" s="67"/>
      <c r="J5" s="73"/>
      <c r="K5" s="73"/>
    </row>
    <row r="6" spans="1:11" ht="25.35" customHeight="1" x14ac:dyDescent="0.3">
      <c r="A6" s="221" t="s">
        <v>249</v>
      </c>
      <c r="B6" s="224">
        <f t="shared" si="2"/>
        <v>6</v>
      </c>
      <c r="C6" s="227">
        <f>IFERROR(VLOOKUP(A6,'스윗밸런스 피벗'!A:SD,2,FALSE),0)</f>
        <v>40</v>
      </c>
      <c r="D6" s="227">
        <f>IFERROR(ROUNDDOWN(C6/B6,0),"")</f>
        <v>6</v>
      </c>
      <c r="E6" s="51" t="s">
        <v>272</v>
      </c>
      <c r="F6" s="228">
        <f>IFERROR(C6-(D6*B6),"")</f>
        <v>4</v>
      </c>
      <c r="G6" s="67"/>
      <c r="H6" s="67"/>
      <c r="J6" s="73"/>
      <c r="K6" s="73"/>
    </row>
    <row r="7" spans="1:11" ht="25.35" customHeight="1" x14ac:dyDescent="0.3">
      <c r="A7" s="221" t="s">
        <v>250</v>
      </c>
      <c r="B7" s="224">
        <f t="shared" si="2"/>
        <v>6</v>
      </c>
      <c r="C7" s="227">
        <f>IFERROR(VLOOKUP(A7,'스윗밸런스 피벗'!A:SD,2,FALSE),0)</f>
        <v>28</v>
      </c>
      <c r="D7" s="227">
        <f>IFERROR(ROUNDDOWN(C7/B7,0),"")</f>
        <v>4</v>
      </c>
      <c r="E7" s="51" t="s">
        <v>273</v>
      </c>
      <c r="F7" s="228">
        <f>IFERROR(C7-(D7*B7),"")</f>
        <v>4</v>
      </c>
      <c r="G7" s="67"/>
      <c r="H7" s="67"/>
      <c r="J7" s="73"/>
      <c r="K7" s="73"/>
    </row>
    <row r="8" spans="1:11" ht="25.35" customHeight="1" x14ac:dyDescent="0.3">
      <c r="A8" s="221" t="s">
        <v>248</v>
      </c>
      <c r="B8" s="224">
        <f t="shared" si="2"/>
        <v>6</v>
      </c>
      <c r="C8" s="227">
        <f>IFERROR(VLOOKUP(A8,'스윗밸런스 피벗'!A:SD,2,FALSE),0)</f>
        <v>14</v>
      </c>
      <c r="D8" s="227">
        <f>IFERROR(ROUNDDOWN(C8/B8,0),"")</f>
        <v>2</v>
      </c>
      <c r="E8" s="51" t="s">
        <v>271</v>
      </c>
      <c r="F8" s="228">
        <f>IFERROR(C8-(D8*B8),"")</f>
        <v>2</v>
      </c>
      <c r="G8" s="67"/>
      <c r="H8" s="67"/>
      <c r="J8" s="73"/>
      <c r="K8" s="73"/>
    </row>
    <row r="9" spans="1:11" ht="25.35" customHeight="1" x14ac:dyDescent="0.3">
      <c r="A9" s="221" t="s">
        <v>246</v>
      </c>
      <c r="B9" s="224">
        <f t="shared" si="2"/>
        <v>6</v>
      </c>
      <c r="C9" s="227">
        <f>IFERROR(VLOOKUP(A9,'스윗밸런스 피벗'!A:SD,2,FALSE),0)</f>
        <v>10</v>
      </c>
      <c r="D9" s="227">
        <f t="shared" si="0"/>
        <v>1</v>
      </c>
      <c r="E9" s="51" t="s">
        <v>270</v>
      </c>
      <c r="F9" s="228">
        <f t="shared" si="1"/>
        <v>4</v>
      </c>
      <c r="G9" s="67"/>
      <c r="H9" s="67"/>
      <c r="J9" s="73"/>
      <c r="K9" s="73"/>
    </row>
    <row r="10" spans="1:11" ht="25.35" customHeight="1" x14ac:dyDescent="0.3">
      <c r="A10" s="221" t="s">
        <v>256</v>
      </c>
      <c r="B10" s="224">
        <f t="shared" si="2"/>
        <v>6</v>
      </c>
      <c r="C10" s="227">
        <f>IFERROR(VLOOKUP(A10,'스윗밸런스 피벗'!A:SD,2,FALSE),0)</f>
        <v>16</v>
      </c>
      <c r="D10" s="227">
        <f>IFERROR(ROUNDDOWN(C10/B10,0),"")</f>
        <v>2</v>
      </c>
      <c r="E10" s="51" t="s">
        <v>278</v>
      </c>
      <c r="F10" s="228">
        <f>IFERROR(C10-(D10*B10),"")</f>
        <v>4</v>
      </c>
      <c r="G10" s="67"/>
      <c r="H10" s="67"/>
      <c r="J10" s="73"/>
      <c r="K10" s="73"/>
    </row>
    <row r="11" spans="1:11" ht="25.35" customHeight="1" x14ac:dyDescent="0.3">
      <c r="A11" s="221" t="s">
        <v>247</v>
      </c>
      <c r="B11" s="224">
        <f t="shared" si="2"/>
        <v>6</v>
      </c>
      <c r="C11" s="227">
        <f>IFERROR(VLOOKUP(A11,'스윗밸런스 피벗'!A:SD,2,FALSE),0)</f>
        <v>21</v>
      </c>
      <c r="D11" s="227">
        <f t="shared" si="0"/>
        <v>3</v>
      </c>
      <c r="E11" s="51" t="s">
        <v>334</v>
      </c>
      <c r="F11" s="228">
        <f t="shared" si="1"/>
        <v>3</v>
      </c>
      <c r="G11" s="67"/>
      <c r="H11" s="67"/>
      <c r="J11" s="73"/>
      <c r="K11" s="73"/>
    </row>
    <row r="12" spans="1:11" ht="25.35" customHeight="1" x14ac:dyDescent="0.3">
      <c r="A12" s="221" t="s">
        <v>251</v>
      </c>
      <c r="B12" s="224">
        <f t="shared" si="2"/>
        <v>6</v>
      </c>
      <c r="C12" s="227">
        <f>IFERROR(VLOOKUP(A12,'스윗밸런스 피벗'!A:SD,2,FALSE),0)</f>
        <v>17</v>
      </c>
      <c r="D12" s="227">
        <f t="shared" si="0"/>
        <v>2</v>
      </c>
      <c r="E12" s="51" t="s">
        <v>274</v>
      </c>
      <c r="F12" s="228">
        <f t="shared" si="1"/>
        <v>5</v>
      </c>
      <c r="G12" s="67"/>
      <c r="H12" s="67"/>
      <c r="J12" s="73"/>
      <c r="K12" s="73"/>
    </row>
    <row r="13" spans="1:11" ht="25.35" customHeight="1" x14ac:dyDescent="0.3">
      <c r="A13" s="220" t="s">
        <v>252</v>
      </c>
      <c r="B13" s="224">
        <f t="shared" si="2"/>
        <v>6</v>
      </c>
      <c r="C13" s="227">
        <f>IFERROR(VLOOKUP(A13,'스윗밸런스 피벗'!A:SD,2,FALSE),0)</f>
        <v>30</v>
      </c>
      <c r="D13" s="227">
        <f t="shared" si="0"/>
        <v>5</v>
      </c>
      <c r="E13" s="51" t="s">
        <v>275</v>
      </c>
      <c r="F13" s="228">
        <f t="shared" si="1"/>
        <v>0</v>
      </c>
      <c r="G13" s="67"/>
      <c r="H13" s="67"/>
      <c r="J13" s="73"/>
      <c r="K13" s="73"/>
    </row>
    <row r="14" spans="1:11" ht="25.35" customHeight="1" x14ac:dyDescent="0.3">
      <c r="A14" s="221" t="s">
        <v>253</v>
      </c>
      <c r="B14" s="224">
        <f t="shared" si="2"/>
        <v>6</v>
      </c>
      <c r="C14" s="227">
        <f>IFERROR(VLOOKUP(A14,'스윗밸런스 피벗'!A:SD,2,FALSE),0)</f>
        <v>37</v>
      </c>
      <c r="D14" s="227">
        <f t="shared" si="0"/>
        <v>6</v>
      </c>
      <c r="E14" s="51" t="s">
        <v>276</v>
      </c>
      <c r="F14" s="228">
        <f t="shared" si="1"/>
        <v>1</v>
      </c>
      <c r="G14" s="67"/>
      <c r="H14" s="67"/>
      <c r="J14" s="73"/>
      <c r="K14" s="73"/>
    </row>
    <row r="15" spans="1:11" ht="25.35" customHeight="1" x14ac:dyDescent="0.3">
      <c r="A15" s="221" t="s">
        <v>254</v>
      </c>
      <c r="B15" s="224">
        <f t="shared" si="2"/>
        <v>6</v>
      </c>
      <c r="C15" s="227">
        <f>IFERROR(VLOOKUP(A15,'스윗밸런스 피벗'!A:SD,2,FALSE),0)</f>
        <v>55</v>
      </c>
      <c r="D15" s="227">
        <f t="shared" si="0"/>
        <v>9</v>
      </c>
      <c r="E15" s="51" t="s">
        <v>277</v>
      </c>
      <c r="F15" s="228">
        <f t="shared" si="1"/>
        <v>1</v>
      </c>
      <c r="G15" s="67"/>
      <c r="H15" s="67"/>
      <c r="J15" s="73"/>
      <c r="K15" s="73"/>
    </row>
    <row r="16" spans="1:11" ht="25.35" customHeight="1" x14ac:dyDescent="0.3">
      <c r="A16" s="221" t="s">
        <v>257</v>
      </c>
      <c r="B16" s="224">
        <f t="shared" si="2"/>
        <v>6</v>
      </c>
      <c r="C16" s="227">
        <f>IFERROR(VLOOKUP(A16,'스윗밸런스 피벗'!A:SD,2,FALSE),0)</f>
        <v>12</v>
      </c>
      <c r="D16" s="227">
        <f t="shared" si="0"/>
        <v>2</v>
      </c>
      <c r="E16" s="51" t="s">
        <v>279</v>
      </c>
      <c r="F16" s="228">
        <f t="shared" si="1"/>
        <v>0</v>
      </c>
      <c r="G16" s="67"/>
      <c r="H16" s="67"/>
      <c r="J16" s="73"/>
      <c r="K16" s="73"/>
    </row>
    <row r="17" spans="1:11" ht="25.35" customHeight="1" x14ac:dyDescent="0.3">
      <c r="A17" s="221" t="s">
        <v>258</v>
      </c>
      <c r="B17" s="224">
        <f t="shared" si="2"/>
        <v>6</v>
      </c>
      <c r="C17" s="227">
        <f>IFERROR(VLOOKUP(A17,'스윗밸런스 피벗'!A:SD,2,FALSE),0)</f>
        <v>24</v>
      </c>
      <c r="D17" s="227">
        <f t="shared" si="0"/>
        <v>4</v>
      </c>
      <c r="E17" s="51" t="s">
        <v>280</v>
      </c>
      <c r="F17" s="228">
        <f t="shared" si="1"/>
        <v>0</v>
      </c>
      <c r="G17" s="67"/>
      <c r="H17" s="67"/>
      <c r="J17" s="73"/>
      <c r="K17" s="73"/>
    </row>
    <row r="18" spans="1:11" ht="25.35" customHeight="1" x14ac:dyDescent="0.3">
      <c r="A18" s="221" t="s">
        <v>259</v>
      </c>
      <c r="B18" s="224">
        <f t="shared" si="2"/>
        <v>6</v>
      </c>
      <c r="C18" s="227">
        <f>IFERROR(VLOOKUP(A18,'스윗밸런스 피벗'!A:SD,2,FALSE),0)</f>
        <v>17</v>
      </c>
      <c r="D18" s="227">
        <f t="shared" si="0"/>
        <v>2</v>
      </c>
      <c r="E18" s="51" t="s">
        <v>336</v>
      </c>
      <c r="F18" s="228">
        <f t="shared" si="1"/>
        <v>5</v>
      </c>
      <c r="G18" s="67"/>
      <c r="H18" s="67"/>
      <c r="J18" s="73"/>
      <c r="K18" s="73"/>
    </row>
    <row r="19" spans="1:11" ht="4.5" customHeight="1" x14ac:dyDescent="0.3">
      <c r="A19" s="183"/>
      <c r="B19" s="50"/>
      <c r="C19" s="50"/>
      <c r="D19" s="50"/>
      <c r="E19" s="50"/>
      <c r="F19" s="184"/>
      <c r="J19" s="73"/>
      <c r="K19" s="73"/>
    </row>
    <row r="20" spans="1:11" ht="32.450000000000003" customHeight="1" x14ac:dyDescent="0.3">
      <c r="A20" s="211" t="s">
        <v>122</v>
      </c>
      <c r="B20" s="225">
        <f>$B$4</f>
        <v>6</v>
      </c>
      <c r="C20" s="212">
        <f>SUM(C4:C18)</f>
        <v>378</v>
      </c>
      <c r="D20" s="55">
        <f>IFERROR(ROUNDDOWN(C20/B20,0),"")</f>
        <v>63</v>
      </c>
      <c r="E20" s="213"/>
      <c r="F20" s="214">
        <f>IFERROR(C20-(D20*B20),"")</f>
        <v>0</v>
      </c>
      <c r="J20" s="73"/>
      <c r="K20" s="73"/>
    </row>
    <row r="21" spans="1:11" ht="4.5" customHeight="1" x14ac:dyDescent="0.3">
      <c r="A21" s="183"/>
      <c r="B21" s="224"/>
      <c r="C21" s="50"/>
      <c r="D21" s="50"/>
      <c r="E21" s="50"/>
      <c r="F21" s="184"/>
      <c r="J21" s="73"/>
      <c r="K21" s="73"/>
    </row>
    <row r="22" spans="1:11" ht="25.35" customHeight="1" x14ac:dyDescent="0.3">
      <c r="A22" s="221" t="s">
        <v>241</v>
      </c>
      <c r="B22" s="224">
        <f t="shared" ref="B22:B26" si="3">$B$4</f>
        <v>6</v>
      </c>
      <c r="C22" s="227">
        <f>IFERROR(VLOOKUP(A22,'스윗밸런스 피벗'!A:SD,2,FALSE),0)</f>
        <v>15</v>
      </c>
      <c r="D22" s="227">
        <f>IFERROR(ROUNDDOWN(C22/B22,0),"")</f>
        <v>2</v>
      </c>
      <c r="E22" s="51" t="s">
        <v>268</v>
      </c>
      <c r="F22" s="228">
        <f>IFERROR(C22-(D22*B22),"")</f>
        <v>3</v>
      </c>
      <c r="G22" s="67"/>
      <c r="H22" s="67"/>
      <c r="J22" s="73"/>
      <c r="K22" s="73"/>
    </row>
    <row r="23" spans="1:11" ht="25.35" customHeight="1" x14ac:dyDescent="0.3">
      <c r="A23" s="221" t="s">
        <v>242</v>
      </c>
      <c r="B23" s="224">
        <f t="shared" si="3"/>
        <v>6</v>
      </c>
      <c r="C23" s="227">
        <f>IFERROR(VLOOKUP(A23,'스윗밸런스 피벗'!A:SD,2,FALSE),0)</f>
        <v>8</v>
      </c>
      <c r="D23" s="227">
        <f>IFERROR(ROUNDDOWN(C23/B23,0),"")</f>
        <v>1</v>
      </c>
      <c r="E23" s="51" t="s">
        <v>337</v>
      </c>
      <c r="F23" s="228">
        <f>IFERROR(C23-(D23*B23),"")</f>
        <v>2</v>
      </c>
      <c r="G23" s="67"/>
      <c r="H23" s="67"/>
      <c r="J23" s="73"/>
      <c r="K23" s="73"/>
    </row>
    <row r="24" spans="1:11" ht="25.35" customHeight="1" x14ac:dyDescent="0.3">
      <c r="A24" s="221" t="s">
        <v>243</v>
      </c>
      <c r="B24" s="224">
        <f t="shared" si="3"/>
        <v>6</v>
      </c>
      <c r="C24" s="227">
        <f>IFERROR(VLOOKUP(A24,'스윗밸런스 피벗'!A:SD,2,FALSE),0)</f>
        <v>0</v>
      </c>
      <c r="D24" s="227">
        <f>IFERROR(ROUNDDOWN(C24/B24,0),"")</f>
        <v>0</v>
      </c>
      <c r="E24" s="51" t="s">
        <v>106</v>
      </c>
      <c r="F24" s="228">
        <f>IFERROR(C24-(D24*B24),"")</f>
        <v>0</v>
      </c>
      <c r="G24" s="67"/>
      <c r="H24" s="67"/>
      <c r="J24" s="73"/>
      <c r="K24" s="73"/>
    </row>
    <row r="25" spans="1:11" ht="25.35" customHeight="1" x14ac:dyDescent="0.3">
      <c r="A25" s="221" t="s">
        <v>244</v>
      </c>
      <c r="B25" s="224">
        <f t="shared" si="3"/>
        <v>6</v>
      </c>
      <c r="C25" s="227">
        <f>IFERROR(VLOOKUP(A25,'스윗밸런스 피벗'!A:SD,2,FALSE),0)</f>
        <v>18</v>
      </c>
      <c r="D25" s="227">
        <f>IFERROR(ROUNDDOWN(C25/B25,0),"")</f>
        <v>3</v>
      </c>
      <c r="E25" s="51" t="s">
        <v>269</v>
      </c>
      <c r="F25" s="228">
        <f>IFERROR(C25-(D25*B25),"")</f>
        <v>0</v>
      </c>
      <c r="G25" s="67"/>
      <c r="H25" s="67"/>
      <c r="J25" s="73"/>
      <c r="K25" s="73"/>
    </row>
    <row r="26" spans="1:11" ht="25.35" customHeight="1" x14ac:dyDescent="0.3">
      <c r="A26" s="221" t="s">
        <v>245</v>
      </c>
      <c r="B26" s="224">
        <f t="shared" si="3"/>
        <v>6</v>
      </c>
      <c r="C26" s="227">
        <f>IFERROR(VLOOKUP(A26,'스윗밸런스 피벗'!A:SD,2,FALSE),0)</f>
        <v>11</v>
      </c>
      <c r="D26" s="227">
        <f>IFERROR(ROUNDDOWN(C26/B26,0),"")</f>
        <v>1</v>
      </c>
      <c r="E26" s="51" t="s">
        <v>118</v>
      </c>
      <c r="F26" s="228">
        <f>IFERROR(C26-(D26*B26),"")</f>
        <v>5</v>
      </c>
      <c r="G26" s="67"/>
      <c r="H26" s="67"/>
      <c r="J26" s="73"/>
      <c r="K26" s="73"/>
    </row>
    <row r="27" spans="1:11" ht="4.5" customHeight="1" x14ac:dyDescent="0.3">
      <c r="A27" s="183"/>
      <c r="B27" s="50"/>
      <c r="C27" s="50"/>
      <c r="D27" s="50"/>
      <c r="E27" s="50"/>
      <c r="F27" s="184"/>
      <c r="G27" s="67"/>
      <c r="H27" s="67"/>
      <c r="J27" s="73"/>
      <c r="K27" s="73"/>
    </row>
    <row r="28" spans="1:11" ht="32.450000000000003" customHeight="1" x14ac:dyDescent="0.3">
      <c r="A28" s="211" t="s">
        <v>285</v>
      </c>
      <c r="B28" s="225">
        <f>$B$4</f>
        <v>6</v>
      </c>
      <c r="C28" s="212">
        <f>SUM(C22:C26)</f>
        <v>52</v>
      </c>
      <c r="D28" s="55">
        <f>IFERROR(ROUNDDOWN(C28/B28,0),"")</f>
        <v>8</v>
      </c>
      <c r="E28" s="213"/>
      <c r="F28" s="214">
        <f>IFERROR(C28-(D28*B28),"")</f>
        <v>4</v>
      </c>
      <c r="G28" s="67"/>
      <c r="H28" s="67"/>
      <c r="J28" s="73"/>
      <c r="K28" s="73"/>
    </row>
    <row r="29" spans="1:11" ht="4.5" customHeight="1" x14ac:dyDescent="0.3">
      <c r="A29" s="183"/>
      <c r="B29" s="50"/>
      <c r="C29" s="50"/>
      <c r="D29" s="50"/>
      <c r="E29" s="50"/>
      <c r="F29" s="184"/>
      <c r="G29" s="67"/>
      <c r="H29" s="67"/>
      <c r="J29" s="73"/>
      <c r="K29" s="73"/>
    </row>
    <row r="30" spans="1:11" ht="25.35" customHeight="1" x14ac:dyDescent="0.3">
      <c r="A30" s="221" t="s">
        <v>239</v>
      </c>
      <c r="B30" s="224">
        <f t="shared" ref="B30:B31" si="4">$B$4</f>
        <v>6</v>
      </c>
      <c r="C30" s="227">
        <f>IFERROR(VLOOKUP(A30,'스윗밸런스 피벗'!A:SD,2,FALSE),0)</f>
        <v>11</v>
      </c>
      <c r="D30" s="227">
        <f t="shared" ref="D30:D31" si="5">IFERROR(ROUNDDOWN(C30/B30,0),"")</f>
        <v>1</v>
      </c>
      <c r="E30" s="51" t="s">
        <v>266</v>
      </c>
      <c r="F30" s="228">
        <f t="shared" ref="F30:F31" si="6">IFERROR(C30-(D30*B30),"")</f>
        <v>5</v>
      </c>
      <c r="G30" s="67"/>
      <c r="H30" s="67"/>
      <c r="J30" s="73"/>
      <c r="K30" s="73"/>
    </row>
    <row r="31" spans="1:11" ht="25.35" customHeight="1" x14ac:dyDescent="0.3">
      <c r="A31" s="221" t="s">
        <v>240</v>
      </c>
      <c r="B31" s="224">
        <f t="shared" si="4"/>
        <v>6</v>
      </c>
      <c r="C31" s="227">
        <f>IFERROR(VLOOKUP(A31,'스윗밸런스 피벗'!A:SD,2,FALSE),0)</f>
        <v>18</v>
      </c>
      <c r="D31" s="227">
        <f t="shared" si="5"/>
        <v>3</v>
      </c>
      <c r="E31" s="51" t="s">
        <v>267</v>
      </c>
      <c r="F31" s="228">
        <f t="shared" si="6"/>
        <v>0</v>
      </c>
      <c r="G31" s="67"/>
      <c r="H31" s="67"/>
      <c r="J31" s="73"/>
      <c r="K31" s="73"/>
    </row>
    <row r="32" spans="1:11" ht="4.5" customHeight="1" x14ac:dyDescent="0.3">
      <c r="A32" s="183"/>
      <c r="B32" s="50"/>
      <c r="C32" s="50"/>
      <c r="D32" s="50"/>
      <c r="E32" s="50"/>
      <c r="F32" s="184"/>
      <c r="G32" s="67"/>
      <c r="H32" s="67"/>
      <c r="J32" s="73"/>
      <c r="K32" s="73"/>
    </row>
    <row r="33" spans="1:11" ht="32.450000000000003" customHeight="1" x14ac:dyDescent="0.3">
      <c r="A33" s="211" t="s">
        <v>284</v>
      </c>
      <c r="B33" s="225">
        <f>$B$4</f>
        <v>6</v>
      </c>
      <c r="C33" s="212">
        <f>SUM(C30:C31)</f>
        <v>29</v>
      </c>
      <c r="D33" s="55">
        <f>IFERROR(ROUNDDOWN(C33/B33,0),"")</f>
        <v>4</v>
      </c>
      <c r="E33" s="213"/>
      <c r="F33" s="214">
        <f>IFERROR(C33-(D33*B33),"")</f>
        <v>5</v>
      </c>
      <c r="G33" s="67"/>
      <c r="H33" s="67"/>
      <c r="J33" s="73"/>
      <c r="K33" s="73"/>
    </row>
    <row r="34" spans="1:11" ht="4.5" customHeight="1" x14ac:dyDescent="0.3">
      <c r="A34" s="183"/>
      <c r="B34" s="224"/>
      <c r="C34" s="50"/>
      <c r="D34" s="50"/>
      <c r="E34" s="50"/>
      <c r="F34" s="184"/>
      <c r="G34" s="67"/>
      <c r="H34" s="67"/>
      <c r="J34" s="73"/>
      <c r="K34" s="73"/>
    </row>
    <row r="35" spans="1:11" ht="25.35" customHeight="1" x14ac:dyDescent="0.3">
      <c r="A35" s="221" t="s">
        <v>236</v>
      </c>
      <c r="B35" s="224">
        <f t="shared" ref="B35:B37" si="7">$B$4</f>
        <v>6</v>
      </c>
      <c r="C35" s="227">
        <f>IFERROR(VLOOKUP(A35,'스윗밸런스 피벗'!A:SD,2,FALSE),0)</f>
        <v>18</v>
      </c>
      <c r="D35" s="227">
        <f>IFERROR(ROUNDDOWN(C35/B35,0),"")</f>
        <v>3</v>
      </c>
      <c r="E35" s="51" t="s">
        <v>264</v>
      </c>
      <c r="F35" s="228">
        <f>IFERROR(C35-(D35*B35),"")</f>
        <v>0</v>
      </c>
      <c r="G35" s="67"/>
      <c r="H35" s="67"/>
      <c r="J35" s="73"/>
      <c r="K35" s="73"/>
    </row>
    <row r="36" spans="1:11" ht="25.35" customHeight="1" x14ac:dyDescent="0.3">
      <c r="A36" s="221" t="s">
        <v>237</v>
      </c>
      <c r="B36" s="224">
        <f t="shared" si="7"/>
        <v>6</v>
      </c>
      <c r="C36" s="227">
        <f>IFERROR(VLOOKUP(A36,'스윗밸런스 피벗'!A:SD,2,FALSE),0)</f>
        <v>8</v>
      </c>
      <c r="D36" s="227">
        <f t="shared" ref="D36:D37" si="8">IFERROR(ROUNDDOWN(C36/B36,0),"")</f>
        <v>1</v>
      </c>
      <c r="E36" s="51" t="s">
        <v>338</v>
      </c>
      <c r="F36" s="228">
        <f t="shared" ref="F36:F37" si="9">IFERROR(C36-(D36*B36),"")</f>
        <v>2</v>
      </c>
      <c r="G36" s="67"/>
      <c r="H36" s="67"/>
      <c r="J36" s="73"/>
      <c r="K36" s="73"/>
    </row>
    <row r="37" spans="1:11" ht="25.35" customHeight="1" x14ac:dyDescent="0.3">
      <c r="A37" s="221" t="s">
        <v>238</v>
      </c>
      <c r="B37" s="224">
        <f t="shared" si="7"/>
        <v>6</v>
      </c>
      <c r="C37" s="227">
        <f>IFERROR(VLOOKUP(A37,'스윗밸런스 피벗'!A:SD,2,FALSE),0)</f>
        <v>12</v>
      </c>
      <c r="D37" s="227">
        <f t="shared" si="8"/>
        <v>2</v>
      </c>
      <c r="E37" s="51" t="s">
        <v>265</v>
      </c>
      <c r="F37" s="228">
        <f t="shared" si="9"/>
        <v>0</v>
      </c>
      <c r="G37" s="67"/>
      <c r="H37" s="67"/>
      <c r="J37" s="73"/>
      <c r="K37" s="73"/>
    </row>
    <row r="38" spans="1:11" ht="4.5" customHeight="1" x14ac:dyDescent="0.3">
      <c r="A38" s="183"/>
      <c r="B38" s="50"/>
      <c r="C38" s="50"/>
      <c r="D38" s="50"/>
      <c r="E38" s="50"/>
      <c r="F38" s="184"/>
      <c r="G38" s="67"/>
      <c r="H38" s="67"/>
      <c r="J38" s="73"/>
      <c r="K38" s="73"/>
    </row>
    <row r="39" spans="1:11" ht="32.450000000000003" customHeight="1" x14ac:dyDescent="0.3">
      <c r="A39" s="211" t="s">
        <v>283</v>
      </c>
      <c r="B39" s="225">
        <f>$B$4</f>
        <v>6</v>
      </c>
      <c r="C39" s="212">
        <f>SUM(C35:C37)</f>
        <v>38</v>
      </c>
      <c r="D39" s="55">
        <f>IFERROR(ROUNDDOWN(C39/B39,0),"")</f>
        <v>6</v>
      </c>
      <c r="E39" s="213"/>
      <c r="F39" s="214">
        <f>IFERROR(C39-(D39*B39),"")</f>
        <v>2</v>
      </c>
      <c r="G39" s="67"/>
      <c r="H39" s="67"/>
      <c r="J39" s="73"/>
      <c r="K39" s="73"/>
    </row>
    <row r="40" spans="1:11" ht="4.5" customHeight="1" x14ac:dyDescent="0.3">
      <c r="A40" s="183"/>
      <c r="B40" s="224"/>
      <c r="C40" s="50"/>
      <c r="D40" s="50"/>
      <c r="E40" s="50"/>
      <c r="F40" s="184"/>
      <c r="G40" s="67"/>
      <c r="H40" s="67"/>
      <c r="J40" s="73"/>
      <c r="K40" s="73"/>
    </row>
    <row r="41" spans="1:11" ht="25.35" customHeight="1" x14ac:dyDescent="0.3">
      <c r="A41" s="221" t="s">
        <v>261</v>
      </c>
      <c r="B41" s="224">
        <f t="shared" ref="B41:B42" si="10">$B$4</f>
        <v>6</v>
      </c>
      <c r="C41" s="227">
        <f>IFERROR(VLOOKUP(A41,'스윗밸런스 피벗'!A:SD,2,FALSE),0)</f>
        <v>7</v>
      </c>
      <c r="D41" s="227">
        <f t="shared" ref="D41:D42" si="11">IFERROR(ROUNDDOWN(C41/B41,0),"")</f>
        <v>1</v>
      </c>
      <c r="E41" s="51" t="s">
        <v>281</v>
      </c>
      <c r="F41" s="228">
        <f t="shared" ref="F41:F42" si="12">IFERROR(C41-(D41*B41),"")</f>
        <v>1</v>
      </c>
      <c r="G41" s="67"/>
      <c r="H41" s="67"/>
      <c r="J41" s="73"/>
      <c r="K41" s="73"/>
    </row>
    <row r="42" spans="1:11" ht="25.35" customHeight="1" x14ac:dyDescent="0.3">
      <c r="A42" s="221" t="s">
        <v>262</v>
      </c>
      <c r="B42" s="224">
        <f t="shared" si="10"/>
        <v>6</v>
      </c>
      <c r="C42" s="227">
        <f>IFERROR(VLOOKUP(A42,'스윗밸런스 피벗'!A:SD,2,FALSE),0)</f>
        <v>5</v>
      </c>
      <c r="D42" s="227">
        <f t="shared" si="11"/>
        <v>0</v>
      </c>
      <c r="E42" s="51" t="s">
        <v>282</v>
      </c>
      <c r="F42" s="228">
        <f t="shared" si="12"/>
        <v>5</v>
      </c>
      <c r="G42" s="67"/>
      <c r="H42" s="67"/>
      <c r="J42" s="73"/>
      <c r="K42" s="73"/>
    </row>
    <row r="43" spans="1:11" ht="4.5" customHeight="1" x14ac:dyDescent="0.3">
      <c r="A43" s="183"/>
      <c r="B43" s="50"/>
      <c r="C43" s="50"/>
      <c r="D43" s="50"/>
      <c r="E43" s="50"/>
      <c r="F43" s="184"/>
      <c r="G43" s="67"/>
      <c r="H43" s="67"/>
      <c r="J43" s="73"/>
      <c r="K43" s="73"/>
    </row>
    <row r="44" spans="1:11" ht="32.450000000000003" customHeight="1" x14ac:dyDescent="0.3">
      <c r="A44" s="211" t="s">
        <v>339</v>
      </c>
      <c r="B44" s="225">
        <f>$B$4</f>
        <v>6</v>
      </c>
      <c r="C44" s="212">
        <f>SUM(C41:C42)</f>
        <v>12</v>
      </c>
      <c r="D44" s="55">
        <f>IFERROR(ROUNDDOWN(C44/B44,0),"")</f>
        <v>2</v>
      </c>
      <c r="E44" s="213"/>
      <c r="F44" s="214">
        <f>IFERROR(C44-(D44*B44),"")</f>
        <v>0</v>
      </c>
      <c r="G44" s="67"/>
      <c r="H44" s="67"/>
      <c r="J44" s="73"/>
      <c r="K44" s="73"/>
    </row>
    <row r="45" spans="1:11" ht="4.5" customHeight="1" thickBot="1" x14ac:dyDescent="0.35">
      <c r="A45" s="183"/>
      <c r="B45" s="50"/>
      <c r="C45" s="50"/>
      <c r="D45" s="50"/>
      <c r="E45" s="50"/>
      <c r="F45" s="184"/>
      <c r="G45" s="67"/>
      <c r="H45" s="67"/>
      <c r="J45" s="73"/>
      <c r="K45" s="73"/>
    </row>
    <row r="46" spans="1:11" ht="26.25" x14ac:dyDescent="0.3">
      <c r="A46" s="87" t="s">
        <v>3</v>
      </c>
      <c r="B46" s="226">
        <f>$B$4</f>
        <v>6</v>
      </c>
      <c r="C46" s="55">
        <f>SUM(C4:C18,C35:C37,C30:C31,C22:C26,C41:C42)</f>
        <v>509</v>
      </c>
      <c r="D46" s="54">
        <f>IFERROR(ROUNDDOWN(C46/B46,0),"")</f>
        <v>84</v>
      </c>
      <c r="E46" s="56"/>
      <c r="F46" s="121">
        <f>IFERROR(C46-(D46*B46),"")</f>
        <v>5</v>
      </c>
      <c r="G46" s="232" t="s">
        <v>110</v>
      </c>
      <c r="H46" s="233" t="s">
        <v>111</v>
      </c>
      <c r="J46" s="73"/>
      <c r="K46" s="73"/>
    </row>
    <row r="47" spans="1:11" ht="27" thickBot="1" x14ac:dyDescent="0.35">
      <c r="A47" s="42" t="s">
        <v>286</v>
      </c>
      <c r="B47" s="43" t="s">
        <v>173</v>
      </c>
      <c r="C47" s="40"/>
      <c r="D47" s="41">
        <f>SUM(D4:D18,D35:D37,D30:D31,D22:D26,D41:D42)</f>
        <v>74</v>
      </c>
      <c r="E47" s="48"/>
      <c r="F47" s="93">
        <f>SUM(F4:F18,F35:F37,F30:F31,F22:F26,F41:F42)</f>
        <v>65</v>
      </c>
      <c r="G47" s="216">
        <f>IFERROR(ROUNDDOWN(F47/B35,0),"")</f>
        <v>10</v>
      </c>
      <c r="H47" s="217">
        <f>IFERROR(F47-(G47*B35),"")</f>
        <v>5</v>
      </c>
    </row>
    <row r="48" spans="1:11" ht="22.5" customHeight="1" x14ac:dyDescent="0.3">
      <c r="C48" s="77">
        <f>C20+C28+C33+C39+C44</f>
        <v>509</v>
      </c>
      <c r="G48" s="199"/>
      <c r="H48" s="34" t="s">
        <v>174</v>
      </c>
    </row>
    <row r="49" spans="3:3" x14ac:dyDescent="0.3">
      <c r="C49" s="34" t="b">
        <f>C48=C46</f>
        <v>1</v>
      </c>
    </row>
  </sheetData>
  <mergeCells count="1">
    <mergeCell ref="A1:F1"/>
  </mergeCells>
  <phoneticPr fontId="13" type="noConversion"/>
  <printOptions horizontalCentered="1" verticalCentered="1"/>
  <pageMargins left="0" right="0" top="0" bottom="0" header="0" footer="0"/>
  <pageSetup paperSize="9" scale="77" orientation="portrait" r:id="rId1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5466B1-BD44-4355-AB1F-57D2B0EBD077}">
  <sheetPr>
    <tabColor theme="8" tint="0.59999389629810485"/>
    <pageSetUpPr fitToPage="1"/>
  </sheetPr>
  <dimension ref="A1:K49"/>
  <sheetViews>
    <sheetView zoomScale="40" zoomScaleNormal="40" zoomScaleSheetLayoutView="75" workbookViewId="0">
      <selection activeCell="A2" sqref="A2:F47"/>
    </sheetView>
  </sheetViews>
  <sheetFormatPr defaultColWidth="9" defaultRowHeight="16.5" x14ac:dyDescent="0.3"/>
  <cols>
    <col min="1" max="1" width="24.75" style="34" customWidth="1"/>
    <col min="2" max="2" width="7.625" style="38" customWidth="1"/>
    <col min="3" max="3" width="30.625" style="34" customWidth="1"/>
    <col min="4" max="4" width="12.125" style="2" bestFit="1" customWidth="1"/>
    <col min="5" max="5" width="11.375" style="34" customWidth="1"/>
    <col min="6" max="6" width="11.125" style="2" customWidth="1"/>
    <col min="7" max="7" width="8.375" style="34" customWidth="1"/>
    <col min="8" max="8" width="9" style="34" customWidth="1"/>
    <col min="9" max="13" width="9" style="34"/>
    <col min="14" max="14" width="10.625" style="34" customWidth="1"/>
    <col min="15" max="17" width="9" style="34"/>
    <col min="18" max="18" width="36.5" style="34" bestFit="1" customWidth="1"/>
    <col min="19" max="16384" width="9" style="34"/>
  </cols>
  <sheetData>
    <row r="1" spans="1:11" ht="25.9" customHeight="1" thickBot="1" x14ac:dyDescent="0.35">
      <c r="A1" s="270"/>
      <c r="B1" s="270"/>
      <c r="C1" s="270"/>
      <c r="D1" s="270"/>
      <c r="E1" s="270"/>
      <c r="F1" s="270"/>
    </row>
    <row r="2" spans="1:11" ht="25.9" customHeight="1" x14ac:dyDescent="0.3">
      <c r="A2" s="215">
        <f ca="1">TODAY()</f>
        <v>46314</v>
      </c>
      <c r="B2" s="256" t="s">
        <v>383</v>
      </c>
      <c r="C2" s="256"/>
      <c r="D2" s="256"/>
      <c r="E2" s="256"/>
      <c r="F2" s="257"/>
      <c r="G2" s="67"/>
      <c r="H2" s="67"/>
    </row>
    <row r="3" spans="1:11" ht="40.5" customHeight="1" x14ac:dyDescent="0.3">
      <c r="A3" s="222" t="s">
        <v>67</v>
      </c>
      <c r="B3" s="223" t="s">
        <v>13</v>
      </c>
      <c r="C3" s="235" t="s">
        <v>387</v>
      </c>
      <c r="D3" s="230" t="s">
        <v>2</v>
      </c>
      <c r="E3" s="229" t="s">
        <v>23</v>
      </c>
      <c r="F3" s="231" t="s">
        <v>14</v>
      </c>
      <c r="G3" s="67"/>
      <c r="H3" s="67"/>
    </row>
    <row r="4" spans="1:11" ht="25.35" customHeight="1" x14ac:dyDescent="0.3">
      <c r="A4" s="220" t="s">
        <v>260</v>
      </c>
      <c r="B4" s="224">
        <v>36</v>
      </c>
      <c r="C4" s="227">
        <f>IFERROR(VLOOKUP(A4,'스윗밸런스 피벗'!A:SD,3,FALSE),0)</f>
        <v>7</v>
      </c>
      <c r="D4" s="227">
        <f t="shared" ref="D4:D18" si="0">IFERROR(ROUNDDOWN(C4/B4,0),"")</f>
        <v>0</v>
      </c>
      <c r="E4" s="51" t="s">
        <v>109</v>
      </c>
      <c r="F4" s="228">
        <f t="shared" ref="F4:F18" si="1">IFERROR(C4-(D4*B4),"")</f>
        <v>7</v>
      </c>
      <c r="G4" s="67"/>
      <c r="H4" s="67"/>
      <c r="J4" s="73"/>
      <c r="K4" s="73"/>
    </row>
    <row r="5" spans="1:11" ht="25.35" customHeight="1" x14ac:dyDescent="0.3">
      <c r="A5" s="221" t="s">
        <v>255</v>
      </c>
      <c r="B5" s="224">
        <f t="shared" ref="B5:B18" si="2">$B$4</f>
        <v>36</v>
      </c>
      <c r="C5" s="227">
        <f>IFERROR(VLOOKUP(A5,'스윗밸런스 피벗'!A:SD,3,FALSE),0)</f>
        <v>43</v>
      </c>
      <c r="D5" s="227">
        <f t="shared" si="0"/>
        <v>1</v>
      </c>
      <c r="E5" s="51" t="s">
        <v>335</v>
      </c>
      <c r="F5" s="228">
        <f t="shared" si="1"/>
        <v>7</v>
      </c>
      <c r="G5" s="67"/>
      <c r="H5" s="67"/>
      <c r="J5" s="73"/>
      <c r="K5" s="73"/>
    </row>
    <row r="6" spans="1:11" ht="25.35" customHeight="1" x14ac:dyDescent="0.3">
      <c r="A6" s="221" t="s">
        <v>249</v>
      </c>
      <c r="B6" s="224">
        <f t="shared" si="2"/>
        <v>36</v>
      </c>
      <c r="C6" s="227">
        <f>IFERROR(VLOOKUP(A6,'스윗밸런스 피벗'!A:SD,3,FALSE),0)</f>
        <v>24</v>
      </c>
      <c r="D6" s="227">
        <f>IFERROR(ROUNDDOWN(C6/B6,0),"")</f>
        <v>0</v>
      </c>
      <c r="E6" s="51" t="s">
        <v>272</v>
      </c>
      <c r="F6" s="228">
        <f>IFERROR(C6-(D6*B6),"")</f>
        <v>24</v>
      </c>
      <c r="G6" s="67"/>
      <c r="H6" s="67"/>
      <c r="J6" s="73"/>
      <c r="K6" s="73"/>
    </row>
    <row r="7" spans="1:11" ht="25.35" customHeight="1" x14ac:dyDescent="0.3">
      <c r="A7" s="221" t="s">
        <v>250</v>
      </c>
      <c r="B7" s="224">
        <f t="shared" si="2"/>
        <v>36</v>
      </c>
      <c r="C7" s="227">
        <f>IFERROR(VLOOKUP(A7,'스윗밸런스 피벗'!A:SD,3,FALSE),0)</f>
        <v>32</v>
      </c>
      <c r="D7" s="227">
        <f>IFERROR(ROUNDDOWN(C7/B7,0),"")</f>
        <v>0</v>
      </c>
      <c r="E7" s="51" t="s">
        <v>273</v>
      </c>
      <c r="F7" s="228">
        <f>IFERROR(C7-(D7*B7),"")</f>
        <v>32</v>
      </c>
      <c r="G7" s="67"/>
      <c r="H7" s="67"/>
      <c r="J7" s="73"/>
      <c r="K7" s="73"/>
    </row>
    <row r="8" spans="1:11" ht="25.35" customHeight="1" x14ac:dyDescent="0.3">
      <c r="A8" s="221" t="s">
        <v>248</v>
      </c>
      <c r="B8" s="224">
        <f t="shared" si="2"/>
        <v>36</v>
      </c>
      <c r="C8" s="227">
        <f>IFERROR(VLOOKUP(A8,'스윗밸런스 피벗'!A:SD,3,FALSE),0)</f>
        <v>15</v>
      </c>
      <c r="D8" s="227">
        <f>IFERROR(ROUNDDOWN(C8/B8,0),"")</f>
        <v>0</v>
      </c>
      <c r="E8" s="51" t="s">
        <v>271</v>
      </c>
      <c r="F8" s="228">
        <f>IFERROR(C8-(D8*B8),"")</f>
        <v>15</v>
      </c>
      <c r="G8" s="67"/>
      <c r="H8" s="67"/>
      <c r="J8" s="73"/>
      <c r="K8" s="73"/>
    </row>
    <row r="9" spans="1:11" ht="25.35" customHeight="1" x14ac:dyDescent="0.3">
      <c r="A9" s="221" t="s">
        <v>246</v>
      </c>
      <c r="B9" s="224">
        <f t="shared" si="2"/>
        <v>36</v>
      </c>
      <c r="C9" s="227">
        <f>IFERROR(VLOOKUP(A9,'스윗밸런스 피벗'!A:SD,3,FALSE),0)</f>
        <v>13</v>
      </c>
      <c r="D9" s="227">
        <f t="shared" si="0"/>
        <v>0</v>
      </c>
      <c r="E9" s="51" t="s">
        <v>270</v>
      </c>
      <c r="F9" s="228">
        <f t="shared" si="1"/>
        <v>13</v>
      </c>
      <c r="G9" s="67"/>
      <c r="H9" s="67"/>
      <c r="J9" s="73"/>
      <c r="K9" s="73"/>
    </row>
    <row r="10" spans="1:11" ht="25.35" customHeight="1" x14ac:dyDescent="0.3">
      <c r="A10" s="221" t="s">
        <v>256</v>
      </c>
      <c r="B10" s="224">
        <f t="shared" si="2"/>
        <v>36</v>
      </c>
      <c r="C10" s="227">
        <f>IFERROR(VLOOKUP(A10,'스윗밸런스 피벗'!A:SD,3,FALSE),0)</f>
        <v>15</v>
      </c>
      <c r="D10" s="227">
        <f>IFERROR(ROUNDDOWN(C10/B10,0),"")</f>
        <v>0</v>
      </c>
      <c r="E10" s="51" t="s">
        <v>278</v>
      </c>
      <c r="F10" s="228">
        <f>IFERROR(C10-(D10*B10),"")</f>
        <v>15</v>
      </c>
      <c r="G10" s="67"/>
      <c r="H10" s="67"/>
      <c r="J10" s="73"/>
      <c r="K10" s="73"/>
    </row>
    <row r="11" spans="1:11" ht="25.35" customHeight="1" x14ac:dyDescent="0.3">
      <c r="A11" s="221" t="s">
        <v>247</v>
      </c>
      <c r="B11" s="224">
        <f t="shared" si="2"/>
        <v>36</v>
      </c>
      <c r="C11" s="227">
        <f>IFERROR(VLOOKUP(A11,'스윗밸런스 피벗'!A:SD,3,FALSE),0)</f>
        <v>11</v>
      </c>
      <c r="D11" s="227">
        <f t="shared" si="0"/>
        <v>0</v>
      </c>
      <c r="E11" s="51" t="s">
        <v>334</v>
      </c>
      <c r="F11" s="228">
        <f t="shared" si="1"/>
        <v>11</v>
      </c>
      <c r="G11" s="67"/>
      <c r="H11" s="67"/>
      <c r="J11" s="73"/>
      <c r="K11" s="73"/>
    </row>
    <row r="12" spans="1:11" ht="25.35" customHeight="1" x14ac:dyDescent="0.3">
      <c r="A12" s="221" t="s">
        <v>251</v>
      </c>
      <c r="B12" s="224">
        <f t="shared" si="2"/>
        <v>36</v>
      </c>
      <c r="C12" s="227">
        <f>IFERROR(VLOOKUP(A12,'스윗밸런스 피벗'!A:SD,3,FALSE),0)</f>
        <v>25</v>
      </c>
      <c r="D12" s="227">
        <f t="shared" si="0"/>
        <v>0</v>
      </c>
      <c r="E12" s="51" t="s">
        <v>274</v>
      </c>
      <c r="F12" s="228">
        <f t="shared" si="1"/>
        <v>25</v>
      </c>
      <c r="G12" s="67"/>
      <c r="H12" s="67"/>
      <c r="J12" s="73"/>
      <c r="K12" s="73"/>
    </row>
    <row r="13" spans="1:11" ht="25.35" customHeight="1" x14ac:dyDescent="0.3">
      <c r="A13" s="220" t="s">
        <v>252</v>
      </c>
      <c r="B13" s="224">
        <f t="shared" si="2"/>
        <v>36</v>
      </c>
      <c r="C13" s="227">
        <f>IFERROR(VLOOKUP(A13,'스윗밸런스 피벗'!A:SD,3,FALSE),0)</f>
        <v>39</v>
      </c>
      <c r="D13" s="227">
        <f t="shared" si="0"/>
        <v>1</v>
      </c>
      <c r="E13" s="51" t="s">
        <v>275</v>
      </c>
      <c r="F13" s="228">
        <f t="shared" si="1"/>
        <v>3</v>
      </c>
      <c r="G13" s="67"/>
      <c r="H13" s="67"/>
      <c r="J13" s="73"/>
      <c r="K13" s="73"/>
    </row>
    <row r="14" spans="1:11" ht="25.35" customHeight="1" x14ac:dyDescent="0.3">
      <c r="A14" s="221" t="s">
        <v>253</v>
      </c>
      <c r="B14" s="224">
        <f t="shared" si="2"/>
        <v>36</v>
      </c>
      <c r="C14" s="227">
        <f>IFERROR(VLOOKUP(A14,'스윗밸런스 피벗'!A:SD,3,FALSE),0)</f>
        <v>30</v>
      </c>
      <c r="D14" s="227">
        <f t="shared" si="0"/>
        <v>0</v>
      </c>
      <c r="E14" s="51" t="s">
        <v>276</v>
      </c>
      <c r="F14" s="228">
        <f t="shared" si="1"/>
        <v>30</v>
      </c>
      <c r="G14" s="67"/>
      <c r="H14" s="67"/>
      <c r="J14" s="73"/>
      <c r="K14" s="73"/>
    </row>
    <row r="15" spans="1:11" ht="25.35" customHeight="1" x14ac:dyDescent="0.3">
      <c r="A15" s="221" t="s">
        <v>254</v>
      </c>
      <c r="B15" s="224">
        <f t="shared" si="2"/>
        <v>36</v>
      </c>
      <c r="C15" s="227">
        <f>IFERROR(VLOOKUP(A15,'스윗밸런스 피벗'!A:SD,3,FALSE),0)</f>
        <v>46</v>
      </c>
      <c r="D15" s="227">
        <f t="shared" si="0"/>
        <v>1</v>
      </c>
      <c r="E15" s="51" t="s">
        <v>277</v>
      </c>
      <c r="F15" s="228">
        <f t="shared" si="1"/>
        <v>10</v>
      </c>
      <c r="G15" s="67"/>
      <c r="H15" s="67"/>
      <c r="J15" s="73"/>
      <c r="K15" s="73"/>
    </row>
    <row r="16" spans="1:11" ht="25.35" customHeight="1" x14ac:dyDescent="0.3">
      <c r="A16" s="221" t="s">
        <v>257</v>
      </c>
      <c r="B16" s="224">
        <f t="shared" si="2"/>
        <v>36</v>
      </c>
      <c r="C16" s="227">
        <f>IFERROR(VLOOKUP(A16,'스윗밸런스 피벗'!A:SD,3,FALSE),0)</f>
        <v>5</v>
      </c>
      <c r="D16" s="227">
        <f t="shared" si="0"/>
        <v>0</v>
      </c>
      <c r="E16" s="51" t="s">
        <v>279</v>
      </c>
      <c r="F16" s="228">
        <f t="shared" si="1"/>
        <v>5</v>
      </c>
      <c r="G16" s="67"/>
      <c r="H16" s="67"/>
      <c r="J16" s="73"/>
      <c r="K16" s="73"/>
    </row>
    <row r="17" spans="1:11" ht="25.35" customHeight="1" x14ac:dyDescent="0.3">
      <c r="A17" s="221" t="s">
        <v>258</v>
      </c>
      <c r="B17" s="224">
        <f t="shared" si="2"/>
        <v>36</v>
      </c>
      <c r="C17" s="227">
        <f>IFERROR(VLOOKUP(A17,'스윗밸런스 피벗'!A:SD,3,FALSE),0)</f>
        <v>13</v>
      </c>
      <c r="D17" s="227">
        <f t="shared" si="0"/>
        <v>0</v>
      </c>
      <c r="E17" s="51" t="s">
        <v>280</v>
      </c>
      <c r="F17" s="228">
        <f t="shared" si="1"/>
        <v>13</v>
      </c>
      <c r="G17" s="67"/>
      <c r="H17" s="67"/>
      <c r="J17" s="73"/>
      <c r="K17" s="73"/>
    </row>
    <row r="18" spans="1:11" ht="25.35" customHeight="1" x14ac:dyDescent="0.3">
      <c r="A18" s="221" t="s">
        <v>259</v>
      </c>
      <c r="B18" s="224">
        <f t="shared" si="2"/>
        <v>36</v>
      </c>
      <c r="C18" s="227">
        <f>IFERROR(VLOOKUP(A18,'스윗밸런스 피벗'!A:SD,3,FALSE),0)</f>
        <v>18</v>
      </c>
      <c r="D18" s="227">
        <f t="shared" si="0"/>
        <v>0</v>
      </c>
      <c r="E18" s="51" t="s">
        <v>336</v>
      </c>
      <c r="F18" s="228">
        <f t="shared" si="1"/>
        <v>18</v>
      </c>
      <c r="G18" s="67"/>
      <c r="H18" s="67"/>
      <c r="J18" s="73"/>
      <c r="K18" s="73"/>
    </row>
    <row r="19" spans="1:11" ht="4.5" customHeight="1" x14ac:dyDescent="0.3">
      <c r="A19" s="183"/>
      <c r="B19" s="50"/>
      <c r="C19" s="50"/>
      <c r="D19" s="50"/>
      <c r="E19" s="50"/>
      <c r="F19" s="184"/>
      <c r="J19" s="73"/>
      <c r="K19" s="73"/>
    </row>
    <row r="20" spans="1:11" ht="32.450000000000003" customHeight="1" x14ac:dyDescent="0.3">
      <c r="A20" s="211" t="s">
        <v>122</v>
      </c>
      <c r="B20" s="225">
        <f>$B$4</f>
        <v>36</v>
      </c>
      <c r="C20" s="212">
        <f>SUM(C4:C18)</f>
        <v>336</v>
      </c>
      <c r="D20" s="55">
        <f>IFERROR(ROUNDDOWN(C20/B20,0),"")</f>
        <v>9</v>
      </c>
      <c r="E20" s="213"/>
      <c r="F20" s="214">
        <f>IFERROR(C20-(D20*B20),"")</f>
        <v>12</v>
      </c>
      <c r="J20" s="73"/>
      <c r="K20" s="73"/>
    </row>
    <row r="21" spans="1:11" ht="4.5" customHeight="1" x14ac:dyDescent="0.3">
      <c r="A21" s="183"/>
      <c r="B21" s="224"/>
      <c r="C21" s="50"/>
      <c r="D21" s="50"/>
      <c r="E21" s="50"/>
      <c r="F21" s="184"/>
      <c r="J21" s="73"/>
      <c r="K21" s="73"/>
    </row>
    <row r="22" spans="1:11" ht="25.35" customHeight="1" x14ac:dyDescent="0.3">
      <c r="A22" s="221" t="s">
        <v>241</v>
      </c>
      <c r="B22" s="224">
        <f t="shared" ref="B22:B26" si="3">$B$4</f>
        <v>36</v>
      </c>
      <c r="C22" s="227">
        <f>IFERROR(VLOOKUP(A22,'스윗밸런스 피벗'!A:SD,3,FALSE),0)</f>
        <v>12</v>
      </c>
      <c r="D22" s="227">
        <f>IFERROR(ROUNDDOWN(C22/B22,0),"")</f>
        <v>0</v>
      </c>
      <c r="E22" s="51" t="s">
        <v>268</v>
      </c>
      <c r="F22" s="228">
        <f>IFERROR(C22-(D22*B22),"")</f>
        <v>12</v>
      </c>
      <c r="G22" s="67"/>
      <c r="H22" s="67"/>
      <c r="J22" s="73"/>
      <c r="K22" s="73"/>
    </row>
    <row r="23" spans="1:11" ht="25.35" customHeight="1" x14ac:dyDescent="0.3">
      <c r="A23" s="221" t="s">
        <v>242</v>
      </c>
      <c r="B23" s="224">
        <f t="shared" si="3"/>
        <v>36</v>
      </c>
      <c r="C23" s="227">
        <f>IFERROR(VLOOKUP(A23,'스윗밸런스 피벗'!A:SD,3,FALSE),0)</f>
        <v>9</v>
      </c>
      <c r="D23" s="227">
        <f>IFERROR(ROUNDDOWN(C23/B23,0),"")</f>
        <v>0</v>
      </c>
      <c r="E23" s="51" t="s">
        <v>337</v>
      </c>
      <c r="F23" s="228">
        <f>IFERROR(C23-(D23*B23),"")</f>
        <v>9</v>
      </c>
      <c r="G23" s="67"/>
      <c r="H23" s="67"/>
      <c r="J23" s="73"/>
      <c r="K23" s="73"/>
    </row>
    <row r="24" spans="1:11" ht="25.35" customHeight="1" x14ac:dyDescent="0.3">
      <c r="A24" s="221" t="s">
        <v>243</v>
      </c>
      <c r="B24" s="224">
        <f t="shared" si="3"/>
        <v>36</v>
      </c>
      <c r="C24" s="227">
        <f>IFERROR(VLOOKUP(A24,'스윗밸런스 피벗'!A:SD,3,FALSE),0)</f>
        <v>0</v>
      </c>
      <c r="D24" s="227">
        <f>IFERROR(ROUNDDOWN(C24/B24,0),"")</f>
        <v>0</v>
      </c>
      <c r="E24" s="51" t="s">
        <v>106</v>
      </c>
      <c r="F24" s="228">
        <f>IFERROR(C24-(D24*B24),"")</f>
        <v>0</v>
      </c>
      <c r="G24" s="67"/>
      <c r="H24" s="67"/>
      <c r="J24" s="73"/>
      <c r="K24" s="73"/>
    </row>
    <row r="25" spans="1:11" ht="25.35" customHeight="1" x14ac:dyDescent="0.3">
      <c r="A25" s="221" t="s">
        <v>244</v>
      </c>
      <c r="B25" s="224">
        <f t="shared" si="3"/>
        <v>36</v>
      </c>
      <c r="C25" s="227">
        <f>IFERROR(VLOOKUP(A25,'스윗밸런스 피벗'!A:SD,3,FALSE),0)</f>
        <v>16</v>
      </c>
      <c r="D25" s="227">
        <f>IFERROR(ROUNDDOWN(C25/B25,0),"")</f>
        <v>0</v>
      </c>
      <c r="E25" s="51" t="s">
        <v>269</v>
      </c>
      <c r="F25" s="228">
        <f>IFERROR(C25-(D25*B25),"")</f>
        <v>16</v>
      </c>
      <c r="G25" s="67"/>
      <c r="H25" s="67"/>
      <c r="J25" s="73"/>
      <c r="K25" s="73"/>
    </row>
    <row r="26" spans="1:11" ht="25.35" customHeight="1" x14ac:dyDescent="0.3">
      <c r="A26" s="221" t="s">
        <v>245</v>
      </c>
      <c r="B26" s="224">
        <f t="shared" si="3"/>
        <v>36</v>
      </c>
      <c r="C26" s="227">
        <f>IFERROR(VLOOKUP(A26,'스윗밸런스 피벗'!A:SD,3,FALSE),0)</f>
        <v>16</v>
      </c>
      <c r="D26" s="227">
        <f>IFERROR(ROUNDDOWN(C26/B26,0),"")</f>
        <v>0</v>
      </c>
      <c r="E26" s="51" t="s">
        <v>118</v>
      </c>
      <c r="F26" s="228">
        <f>IFERROR(C26-(D26*B26),"")</f>
        <v>16</v>
      </c>
      <c r="G26" s="67"/>
      <c r="H26" s="67"/>
      <c r="J26" s="73"/>
      <c r="K26" s="73"/>
    </row>
    <row r="27" spans="1:11" ht="4.5" customHeight="1" x14ac:dyDescent="0.3">
      <c r="A27" s="183"/>
      <c r="B27" s="50"/>
      <c r="C27" s="50"/>
      <c r="D27" s="50"/>
      <c r="E27" s="50"/>
      <c r="F27" s="184"/>
      <c r="G27" s="67"/>
      <c r="H27" s="67"/>
      <c r="J27" s="73"/>
      <c r="K27" s="73"/>
    </row>
    <row r="28" spans="1:11" ht="32.450000000000003" customHeight="1" x14ac:dyDescent="0.3">
      <c r="A28" s="211" t="s">
        <v>285</v>
      </c>
      <c r="B28" s="225">
        <f>$B$4</f>
        <v>36</v>
      </c>
      <c r="C28" s="212">
        <f>SUM(C22:C26)</f>
        <v>53</v>
      </c>
      <c r="D28" s="55">
        <f>IFERROR(ROUNDDOWN(C28/B28,0),"")</f>
        <v>1</v>
      </c>
      <c r="E28" s="213"/>
      <c r="F28" s="214">
        <f>IFERROR(C28-(D28*B28),"")</f>
        <v>17</v>
      </c>
      <c r="G28" s="67"/>
      <c r="H28" s="67"/>
      <c r="J28" s="73"/>
      <c r="K28" s="73"/>
    </row>
    <row r="29" spans="1:11" ht="4.5" customHeight="1" x14ac:dyDescent="0.3">
      <c r="A29" s="183"/>
      <c r="B29" s="50"/>
      <c r="C29" s="50"/>
      <c r="D29" s="50"/>
      <c r="E29" s="50"/>
      <c r="F29" s="184"/>
      <c r="G29" s="67"/>
      <c r="H29" s="67"/>
      <c r="J29" s="73"/>
      <c r="K29" s="73"/>
    </row>
    <row r="30" spans="1:11" ht="25.35" customHeight="1" x14ac:dyDescent="0.3">
      <c r="A30" s="221" t="s">
        <v>239</v>
      </c>
      <c r="B30" s="224">
        <f t="shared" ref="B30:B31" si="4">$B$4</f>
        <v>36</v>
      </c>
      <c r="C30" s="227">
        <f>IFERROR(VLOOKUP(A30,'스윗밸런스 피벗'!A:SD,3,FALSE),0)</f>
        <v>17</v>
      </c>
      <c r="D30" s="227">
        <f t="shared" ref="D30:D31" si="5">IFERROR(ROUNDDOWN(C30/B30,0),"")</f>
        <v>0</v>
      </c>
      <c r="E30" s="51" t="s">
        <v>266</v>
      </c>
      <c r="F30" s="228">
        <f t="shared" ref="F30:F31" si="6">IFERROR(C30-(D30*B30),"")</f>
        <v>17</v>
      </c>
      <c r="G30" s="67"/>
      <c r="H30" s="67"/>
      <c r="J30" s="73"/>
      <c r="K30" s="73"/>
    </row>
    <row r="31" spans="1:11" ht="25.35" customHeight="1" x14ac:dyDescent="0.3">
      <c r="A31" s="221" t="s">
        <v>240</v>
      </c>
      <c r="B31" s="224">
        <f t="shared" si="4"/>
        <v>36</v>
      </c>
      <c r="C31" s="227">
        <f>IFERROR(VLOOKUP(A31,'스윗밸런스 피벗'!A:SD,3,FALSE),0)</f>
        <v>8</v>
      </c>
      <c r="D31" s="227">
        <f t="shared" si="5"/>
        <v>0</v>
      </c>
      <c r="E31" s="51" t="s">
        <v>267</v>
      </c>
      <c r="F31" s="228">
        <f t="shared" si="6"/>
        <v>8</v>
      </c>
      <c r="G31" s="67"/>
      <c r="H31" s="67"/>
      <c r="J31" s="73"/>
      <c r="K31" s="73"/>
    </row>
    <row r="32" spans="1:11" ht="4.5" customHeight="1" x14ac:dyDescent="0.3">
      <c r="A32" s="183"/>
      <c r="B32" s="50"/>
      <c r="C32" s="50"/>
      <c r="D32" s="50"/>
      <c r="E32" s="50"/>
      <c r="F32" s="184"/>
      <c r="G32" s="67"/>
      <c r="H32" s="67"/>
      <c r="J32" s="73"/>
      <c r="K32" s="73"/>
    </row>
    <row r="33" spans="1:11" ht="32.450000000000003" customHeight="1" x14ac:dyDescent="0.3">
      <c r="A33" s="211" t="s">
        <v>284</v>
      </c>
      <c r="B33" s="225">
        <f>$B$4</f>
        <v>36</v>
      </c>
      <c r="C33" s="212">
        <f>SUM(C30:C31)</f>
        <v>25</v>
      </c>
      <c r="D33" s="55">
        <f>IFERROR(ROUNDDOWN(C33/B33,0),"")</f>
        <v>0</v>
      </c>
      <c r="E33" s="213"/>
      <c r="F33" s="214">
        <f>IFERROR(C33-(D33*B33),"")</f>
        <v>25</v>
      </c>
      <c r="G33" s="67"/>
      <c r="H33" s="67"/>
      <c r="J33" s="73"/>
      <c r="K33" s="73"/>
    </row>
    <row r="34" spans="1:11" ht="4.5" customHeight="1" x14ac:dyDescent="0.3">
      <c r="A34" s="183"/>
      <c r="B34" s="224"/>
      <c r="C34" s="50"/>
      <c r="D34" s="50"/>
      <c r="E34" s="50"/>
      <c r="F34" s="184"/>
      <c r="G34" s="67"/>
      <c r="H34" s="67"/>
      <c r="J34" s="73"/>
      <c r="K34" s="73"/>
    </row>
    <row r="35" spans="1:11" ht="25.35" customHeight="1" x14ac:dyDescent="0.3">
      <c r="A35" s="221" t="s">
        <v>236</v>
      </c>
      <c r="B35" s="224">
        <f t="shared" ref="B35:B37" si="7">$B$4</f>
        <v>36</v>
      </c>
      <c r="C35" s="227">
        <f>IFERROR(VLOOKUP(A35,'스윗밸런스 피벗'!A:SD,3,FALSE),0)</f>
        <v>17</v>
      </c>
      <c r="D35" s="227">
        <f>IFERROR(ROUNDDOWN(C35/B35,0),"")</f>
        <v>0</v>
      </c>
      <c r="E35" s="51" t="s">
        <v>264</v>
      </c>
      <c r="F35" s="228">
        <f>IFERROR(C35-(D35*B35),"")</f>
        <v>17</v>
      </c>
      <c r="G35" s="67"/>
      <c r="H35" s="67"/>
      <c r="J35" s="73"/>
      <c r="K35" s="73"/>
    </row>
    <row r="36" spans="1:11" ht="25.35" customHeight="1" x14ac:dyDescent="0.3">
      <c r="A36" s="221" t="s">
        <v>237</v>
      </c>
      <c r="B36" s="224">
        <f t="shared" si="7"/>
        <v>36</v>
      </c>
      <c r="C36" s="227">
        <f>IFERROR(VLOOKUP(A36,'스윗밸런스 피벗'!A:SD,3,FALSE),0)</f>
        <v>18</v>
      </c>
      <c r="D36" s="227">
        <f t="shared" ref="D36:D37" si="8">IFERROR(ROUNDDOWN(C36/B36,0),"")</f>
        <v>0</v>
      </c>
      <c r="E36" s="51" t="s">
        <v>338</v>
      </c>
      <c r="F36" s="228">
        <f t="shared" ref="F36:F37" si="9">IFERROR(C36-(D36*B36),"")</f>
        <v>18</v>
      </c>
      <c r="G36" s="67"/>
      <c r="H36" s="67"/>
      <c r="J36" s="73"/>
      <c r="K36" s="73"/>
    </row>
    <row r="37" spans="1:11" ht="25.35" customHeight="1" x14ac:dyDescent="0.3">
      <c r="A37" s="221" t="s">
        <v>238</v>
      </c>
      <c r="B37" s="224">
        <f t="shared" si="7"/>
        <v>36</v>
      </c>
      <c r="C37" s="227">
        <f>IFERROR(VLOOKUP(A37,'스윗밸런스 피벗'!A:SD,3,FALSE),0)</f>
        <v>12</v>
      </c>
      <c r="D37" s="227">
        <f t="shared" si="8"/>
        <v>0</v>
      </c>
      <c r="E37" s="51" t="s">
        <v>265</v>
      </c>
      <c r="F37" s="228">
        <f t="shared" si="9"/>
        <v>12</v>
      </c>
      <c r="G37" s="67"/>
      <c r="H37" s="67"/>
      <c r="J37" s="73"/>
      <c r="K37" s="73"/>
    </row>
    <row r="38" spans="1:11" ht="4.5" customHeight="1" x14ac:dyDescent="0.3">
      <c r="A38" s="183"/>
      <c r="B38" s="50"/>
      <c r="C38" s="50"/>
      <c r="D38" s="50"/>
      <c r="E38" s="50"/>
      <c r="F38" s="184"/>
      <c r="G38" s="67"/>
      <c r="H38" s="67"/>
      <c r="J38" s="73"/>
      <c r="K38" s="73"/>
    </row>
    <row r="39" spans="1:11" ht="32.450000000000003" customHeight="1" x14ac:dyDescent="0.3">
      <c r="A39" s="211" t="s">
        <v>283</v>
      </c>
      <c r="B39" s="225">
        <f>$B$4</f>
        <v>36</v>
      </c>
      <c r="C39" s="212">
        <f>SUM(C35:C37)</f>
        <v>47</v>
      </c>
      <c r="D39" s="55">
        <f>IFERROR(ROUNDDOWN(C39/B39,0),"")</f>
        <v>1</v>
      </c>
      <c r="E39" s="213"/>
      <c r="F39" s="214">
        <f>IFERROR(C39-(D39*B39),"")</f>
        <v>11</v>
      </c>
      <c r="G39" s="67"/>
      <c r="H39" s="67"/>
      <c r="J39" s="73"/>
      <c r="K39" s="73"/>
    </row>
    <row r="40" spans="1:11" ht="4.5" customHeight="1" x14ac:dyDescent="0.3">
      <c r="A40" s="183"/>
      <c r="B40" s="224"/>
      <c r="C40" s="50"/>
      <c r="D40" s="50"/>
      <c r="E40" s="50"/>
      <c r="F40" s="184"/>
      <c r="G40" s="67"/>
      <c r="H40" s="67"/>
      <c r="J40" s="73"/>
      <c r="K40" s="73"/>
    </row>
    <row r="41" spans="1:11" ht="25.35" customHeight="1" x14ac:dyDescent="0.3">
      <c r="A41" s="221" t="s">
        <v>261</v>
      </c>
      <c r="B41" s="224">
        <f t="shared" ref="B41:B42" si="10">$B$4</f>
        <v>36</v>
      </c>
      <c r="C41" s="227">
        <f>IFERROR(VLOOKUP(A41,'스윗밸런스 피벗'!A:SD,3,FALSE),0)</f>
        <v>4</v>
      </c>
      <c r="D41" s="227">
        <f t="shared" ref="D41:D42" si="11">IFERROR(ROUNDDOWN(C41/B41,0),"")</f>
        <v>0</v>
      </c>
      <c r="E41" s="51" t="s">
        <v>281</v>
      </c>
      <c r="F41" s="228">
        <f t="shared" ref="F41:F42" si="12">IFERROR(C41-(D41*B41),"")</f>
        <v>4</v>
      </c>
      <c r="G41" s="67"/>
      <c r="H41" s="67"/>
      <c r="J41" s="73"/>
      <c r="K41" s="73"/>
    </row>
    <row r="42" spans="1:11" ht="25.35" customHeight="1" x14ac:dyDescent="0.3">
      <c r="A42" s="221" t="s">
        <v>262</v>
      </c>
      <c r="B42" s="224">
        <f t="shared" si="10"/>
        <v>36</v>
      </c>
      <c r="C42" s="227">
        <f>IFERROR(VLOOKUP(A42,'스윗밸런스 피벗'!A:SD,3,FALSE),0)</f>
        <v>6</v>
      </c>
      <c r="D42" s="227">
        <f t="shared" si="11"/>
        <v>0</v>
      </c>
      <c r="E42" s="51" t="s">
        <v>282</v>
      </c>
      <c r="F42" s="228">
        <f t="shared" si="12"/>
        <v>6</v>
      </c>
      <c r="G42" s="67"/>
      <c r="H42" s="67"/>
      <c r="J42" s="73"/>
      <c r="K42" s="73"/>
    </row>
    <row r="43" spans="1:11" ht="4.5" customHeight="1" x14ac:dyDescent="0.3">
      <c r="A43" s="183"/>
      <c r="B43" s="50"/>
      <c r="C43" s="50"/>
      <c r="D43" s="50"/>
      <c r="E43" s="50"/>
      <c r="F43" s="184"/>
      <c r="G43" s="67"/>
      <c r="H43" s="67"/>
      <c r="J43" s="73"/>
      <c r="K43" s="73"/>
    </row>
    <row r="44" spans="1:11" ht="32.450000000000003" customHeight="1" x14ac:dyDescent="0.3">
      <c r="A44" s="211" t="s">
        <v>339</v>
      </c>
      <c r="B44" s="225">
        <f>$B$4</f>
        <v>36</v>
      </c>
      <c r="C44" s="212">
        <f>SUM(C41:C42)</f>
        <v>10</v>
      </c>
      <c r="D44" s="55">
        <f>IFERROR(ROUNDDOWN(C44/B44,0),"")</f>
        <v>0</v>
      </c>
      <c r="E44" s="213"/>
      <c r="F44" s="214">
        <f>IFERROR(C44-(D44*B44),"")</f>
        <v>10</v>
      </c>
      <c r="G44" s="67"/>
      <c r="H44" s="67"/>
      <c r="J44" s="73"/>
      <c r="K44" s="73"/>
    </row>
    <row r="45" spans="1:11" ht="4.5" customHeight="1" thickBot="1" x14ac:dyDescent="0.35">
      <c r="A45" s="183"/>
      <c r="B45" s="50"/>
      <c r="C45" s="50"/>
      <c r="D45" s="50"/>
      <c r="E45" s="50"/>
      <c r="F45" s="184"/>
      <c r="G45" s="67"/>
      <c r="H45" s="67"/>
      <c r="J45" s="73"/>
      <c r="K45" s="73"/>
    </row>
    <row r="46" spans="1:11" ht="26.25" x14ac:dyDescent="0.3">
      <c r="A46" s="87" t="s">
        <v>3</v>
      </c>
      <c r="B46" s="226">
        <f>$B$4</f>
        <v>36</v>
      </c>
      <c r="C46" s="55">
        <f>SUM(C4:C18,C35:C37,C30:C31,C22:C26,C41:C42)</f>
        <v>471</v>
      </c>
      <c r="D46" s="54">
        <f>IFERROR(ROUNDDOWN(C46/B46,0),"")</f>
        <v>13</v>
      </c>
      <c r="E46" s="56"/>
      <c r="F46" s="121">
        <f>IFERROR(C46-(D46*B46),"")</f>
        <v>3</v>
      </c>
      <c r="G46" s="232" t="s">
        <v>110</v>
      </c>
      <c r="H46" s="233" t="s">
        <v>111</v>
      </c>
      <c r="J46" s="73"/>
      <c r="K46" s="73"/>
    </row>
    <row r="47" spans="1:11" ht="27" thickBot="1" x14ac:dyDescent="0.35">
      <c r="A47" s="42" t="s">
        <v>286</v>
      </c>
      <c r="B47" s="43" t="s">
        <v>173</v>
      </c>
      <c r="C47" s="40"/>
      <c r="D47" s="41">
        <f>SUM(D4:D18,D35:D37,D30:D31,D22:D26,D41:D42)</f>
        <v>3</v>
      </c>
      <c r="E47" s="48"/>
      <c r="F47" s="93">
        <f>SUM(F4:F18,F35:F37,F30:F31,F22:F26,F41:F42)</f>
        <v>363</v>
      </c>
      <c r="G47" s="216">
        <f>IFERROR(ROUNDDOWN(F47/B35,0),"")</f>
        <v>10</v>
      </c>
      <c r="H47" s="217">
        <f>IFERROR(F47-(G47*B35),"")</f>
        <v>3</v>
      </c>
    </row>
    <row r="48" spans="1:11" ht="22.5" customHeight="1" x14ac:dyDescent="0.3">
      <c r="C48" s="77">
        <f>C20+C28+C33+C39+C44</f>
        <v>471</v>
      </c>
      <c r="G48" s="199"/>
      <c r="H48" s="34" t="s">
        <v>174</v>
      </c>
    </row>
    <row r="49" spans="3:3" x14ac:dyDescent="0.3">
      <c r="C49" s="34" t="b">
        <f>C48=C46</f>
        <v>1</v>
      </c>
    </row>
  </sheetData>
  <mergeCells count="1">
    <mergeCell ref="A1:F1"/>
  </mergeCells>
  <phoneticPr fontId="13" type="noConversion"/>
  <printOptions horizontalCentered="1" verticalCentered="1"/>
  <pageMargins left="0" right="0" top="0" bottom="0" header="0" footer="0"/>
  <pageSetup paperSize="9" scale="77" orientation="portrait" r:id="rId1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57741A-C6C8-4D9F-B063-0ED733DA6C61}">
  <sheetPr>
    <tabColor theme="8" tint="0.59999389629810485"/>
    <pageSetUpPr fitToPage="1"/>
  </sheetPr>
  <dimension ref="A1:K49"/>
  <sheetViews>
    <sheetView zoomScale="40" zoomScaleNormal="40" zoomScaleSheetLayoutView="75" workbookViewId="0">
      <selection activeCell="A2" sqref="A2:F47"/>
    </sheetView>
  </sheetViews>
  <sheetFormatPr defaultColWidth="9" defaultRowHeight="16.5" x14ac:dyDescent="0.3"/>
  <cols>
    <col min="1" max="1" width="24.75" style="34" customWidth="1"/>
    <col min="2" max="2" width="7.625" style="38" customWidth="1"/>
    <col min="3" max="3" width="30.625" style="34" customWidth="1"/>
    <col min="4" max="4" width="9.875" style="2" customWidth="1"/>
    <col min="5" max="5" width="11.375" style="34" customWidth="1"/>
    <col min="6" max="6" width="11.125" style="2" customWidth="1"/>
    <col min="7" max="7" width="8.375" style="34" customWidth="1"/>
    <col min="8" max="8" width="9" style="34" customWidth="1"/>
    <col min="9" max="13" width="9" style="34"/>
    <col min="14" max="14" width="10.625" style="34" customWidth="1"/>
    <col min="15" max="17" width="9" style="34"/>
    <col min="18" max="18" width="36.5" style="34" bestFit="1" customWidth="1"/>
    <col min="19" max="16384" width="9" style="34"/>
  </cols>
  <sheetData>
    <row r="1" spans="1:11" ht="25.9" customHeight="1" thickBot="1" x14ac:dyDescent="0.35">
      <c r="A1" s="270"/>
      <c r="B1" s="270"/>
      <c r="C1" s="270"/>
      <c r="D1" s="270"/>
      <c r="E1" s="270"/>
      <c r="F1" s="270"/>
    </row>
    <row r="2" spans="1:11" ht="25.9" customHeight="1" x14ac:dyDescent="0.3">
      <c r="A2" s="215">
        <f ca="1">TODAY()</f>
        <v>46314</v>
      </c>
      <c r="B2" s="261" t="s">
        <v>383</v>
      </c>
      <c r="C2" s="262"/>
      <c r="D2" s="262"/>
      <c r="E2" s="262"/>
      <c r="F2" s="263"/>
      <c r="G2" s="67"/>
      <c r="H2" s="67"/>
    </row>
    <row r="3" spans="1:11" ht="40.5" customHeight="1" x14ac:dyDescent="0.3">
      <c r="A3" s="222" t="s">
        <v>67</v>
      </c>
      <c r="B3" s="223" t="s">
        <v>13</v>
      </c>
      <c r="C3" s="229" t="s">
        <v>348</v>
      </c>
      <c r="D3" s="230" t="s">
        <v>2</v>
      </c>
      <c r="E3" s="229" t="s">
        <v>23</v>
      </c>
      <c r="F3" s="231" t="s">
        <v>14</v>
      </c>
      <c r="G3" s="67"/>
      <c r="H3" s="67"/>
    </row>
    <row r="4" spans="1:11" ht="25.35" customHeight="1" x14ac:dyDescent="0.3">
      <c r="A4" s="220" t="s">
        <v>260</v>
      </c>
      <c r="B4" s="224">
        <v>36</v>
      </c>
      <c r="C4" s="227">
        <f>IFERROR(VLOOKUP(A4,'스윗밸런스 피벗'!A:SD,4,FALSE),0)</f>
        <v>15</v>
      </c>
      <c r="D4" s="227">
        <f t="shared" ref="D4:D18" si="0">IFERROR(ROUNDDOWN(C4/B4,0),"")</f>
        <v>0</v>
      </c>
      <c r="E4" s="51" t="s">
        <v>109</v>
      </c>
      <c r="F4" s="228">
        <f t="shared" ref="F4:F18" si="1">IFERROR(C4-(D4*B4),"")</f>
        <v>15</v>
      </c>
      <c r="G4" s="67"/>
      <c r="H4" s="67"/>
      <c r="J4" s="73"/>
      <c r="K4" s="73"/>
    </row>
    <row r="5" spans="1:11" ht="25.35" customHeight="1" x14ac:dyDescent="0.3">
      <c r="A5" s="221" t="s">
        <v>255</v>
      </c>
      <c r="B5" s="224">
        <f t="shared" ref="B5:B18" si="2">$B$4</f>
        <v>36</v>
      </c>
      <c r="C5" s="227">
        <f>IFERROR(VLOOKUP(A5,'스윗밸런스 피벗'!A:SD,4,FALSE),0)</f>
        <v>23</v>
      </c>
      <c r="D5" s="227">
        <f t="shared" ref="D5" si="3">IFERROR(ROUNDDOWN(C5/B5,0),"")</f>
        <v>0</v>
      </c>
      <c r="E5" s="51" t="s">
        <v>335</v>
      </c>
      <c r="F5" s="228">
        <f t="shared" ref="F5" si="4">IFERROR(C5-(D5*B5),"")</f>
        <v>23</v>
      </c>
      <c r="G5" s="67"/>
      <c r="H5" s="67"/>
      <c r="J5" s="73"/>
      <c r="K5" s="73"/>
    </row>
    <row r="6" spans="1:11" ht="25.35" customHeight="1" x14ac:dyDescent="0.3">
      <c r="A6" s="221" t="s">
        <v>249</v>
      </c>
      <c r="B6" s="224">
        <f t="shared" si="2"/>
        <v>36</v>
      </c>
      <c r="C6" s="227">
        <f>IFERROR(VLOOKUP(A6,'스윗밸런스 피벗'!A:SD,4,FALSE),0)</f>
        <v>15</v>
      </c>
      <c r="D6" s="227">
        <f>IFERROR(ROUNDDOWN(C6/B6,0),"")</f>
        <v>0</v>
      </c>
      <c r="E6" s="51" t="s">
        <v>272</v>
      </c>
      <c r="F6" s="228">
        <f>IFERROR(C6-(D6*B6),"")</f>
        <v>15</v>
      </c>
      <c r="G6" s="67"/>
      <c r="H6" s="67"/>
      <c r="J6" s="73"/>
      <c r="K6" s="73"/>
    </row>
    <row r="7" spans="1:11" ht="25.35" customHeight="1" x14ac:dyDescent="0.3">
      <c r="A7" s="221" t="s">
        <v>250</v>
      </c>
      <c r="B7" s="224">
        <f t="shared" si="2"/>
        <v>36</v>
      </c>
      <c r="C7" s="227">
        <f>IFERROR(VLOOKUP(A7,'스윗밸런스 피벗'!A:SD,4,FALSE),0)</f>
        <v>5</v>
      </c>
      <c r="D7" s="227">
        <f>IFERROR(ROUNDDOWN(C7/B7,0),"")</f>
        <v>0</v>
      </c>
      <c r="E7" s="51" t="s">
        <v>273</v>
      </c>
      <c r="F7" s="228">
        <f>IFERROR(C7-(D7*B7),"")</f>
        <v>5</v>
      </c>
      <c r="G7" s="67"/>
      <c r="H7" s="67"/>
      <c r="J7" s="73"/>
      <c r="K7" s="73"/>
    </row>
    <row r="8" spans="1:11" ht="25.35" customHeight="1" x14ac:dyDescent="0.3">
      <c r="A8" s="221" t="s">
        <v>248</v>
      </c>
      <c r="B8" s="224">
        <f t="shared" si="2"/>
        <v>36</v>
      </c>
      <c r="C8" s="227">
        <f>IFERROR(VLOOKUP(A8,'스윗밸런스 피벗'!A:SD,4,FALSE),0)</f>
        <v>3</v>
      </c>
      <c r="D8" s="227">
        <f>IFERROR(ROUNDDOWN(C8/B8,0),"")</f>
        <v>0</v>
      </c>
      <c r="E8" s="51" t="s">
        <v>271</v>
      </c>
      <c r="F8" s="228">
        <f>IFERROR(C8-(D8*B8),"")</f>
        <v>3</v>
      </c>
      <c r="G8" s="67"/>
      <c r="H8" s="67"/>
      <c r="J8" s="73"/>
      <c r="K8" s="73"/>
    </row>
    <row r="9" spans="1:11" ht="25.35" customHeight="1" x14ac:dyDescent="0.3">
      <c r="A9" s="221" t="s">
        <v>246</v>
      </c>
      <c r="B9" s="224">
        <f t="shared" si="2"/>
        <v>36</v>
      </c>
      <c r="C9" s="227">
        <f>IFERROR(VLOOKUP(A9,'스윗밸런스 피벗'!A:SD,4,FALSE),0)</f>
        <v>3</v>
      </c>
      <c r="D9" s="227">
        <f t="shared" si="0"/>
        <v>0</v>
      </c>
      <c r="E9" s="51" t="s">
        <v>270</v>
      </c>
      <c r="F9" s="228">
        <f t="shared" si="1"/>
        <v>3</v>
      </c>
      <c r="G9" s="67"/>
      <c r="H9" s="67"/>
      <c r="J9" s="73"/>
      <c r="K9" s="73"/>
    </row>
    <row r="10" spans="1:11" ht="25.35" customHeight="1" x14ac:dyDescent="0.3">
      <c r="A10" s="221" t="s">
        <v>256</v>
      </c>
      <c r="B10" s="224">
        <f t="shared" si="2"/>
        <v>36</v>
      </c>
      <c r="C10" s="227">
        <f>IFERROR(VLOOKUP(A10,'스윗밸런스 피벗'!A:SD,4,FALSE),0)</f>
        <v>3</v>
      </c>
      <c r="D10" s="227">
        <f>IFERROR(ROUNDDOWN(C10/B10,0),"")</f>
        <v>0</v>
      </c>
      <c r="E10" s="51" t="s">
        <v>278</v>
      </c>
      <c r="F10" s="228">
        <f>IFERROR(C10-(D10*B10),"")</f>
        <v>3</v>
      </c>
      <c r="G10" s="67"/>
      <c r="H10" s="67"/>
      <c r="J10" s="73"/>
      <c r="K10" s="73"/>
    </row>
    <row r="11" spans="1:11" ht="25.35" customHeight="1" x14ac:dyDescent="0.3">
      <c r="A11" s="221" t="s">
        <v>247</v>
      </c>
      <c r="B11" s="224">
        <f t="shared" si="2"/>
        <v>36</v>
      </c>
      <c r="C11" s="227">
        <f>IFERROR(VLOOKUP(A11,'스윗밸런스 피벗'!A:SD,4,FALSE),0)</f>
        <v>2</v>
      </c>
      <c r="D11" s="227">
        <f t="shared" si="0"/>
        <v>0</v>
      </c>
      <c r="E11" s="51" t="s">
        <v>334</v>
      </c>
      <c r="F11" s="228">
        <f t="shared" si="1"/>
        <v>2</v>
      </c>
      <c r="G11" s="67"/>
      <c r="H11" s="67"/>
      <c r="J11" s="73"/>
      <c r="K11" s="73"/>
    </row>
    <row r="12" spans="1:11" ht="25.35" customHeight="1" x14ac:dyDescent="0.3">
      <c r="A12" s="221" t="s">
        <v>251</v>
      </c>
      <c r="B12" s="224">
        <f t="shared" si="2"/>
        <v>36</v>
      </c>
      <c r="C12" s="227">
        <f>IFERROR(VLOOKUP(A12,'스윗밸런스 피벗'!A:SD,4,FALSE),0)</f>
        <v>9</v>
      </c>
      <c r="D12" s="227">
        <f t="shared" si="0"/>
        <v>0</v>
      </c>
      <c r="E12" s="51" t="s">
        <v>274</v>
      </c>
      <c r="F12" s="228">
        <f t="shared" si="1"/>
        <v>9</v>
      </c>
      <c r="G12" s="67"/>
      <c r="H12" s="67"/>
      <c r="J12" s="73"/>
      <c r="K12" s="73"/>
    </row>
    <row r="13" spans="1:11" ht="25.35" customHeight="1" x14ac:dyDescent="0.3">
      <c r="A13" s="220" t="s">
        <v>252</v>
      </c>
      <c r="B13" s="224">
        <f t="shared" si="2"/>
        <v>36</v>
      </c>
      <c r="C13" s="227">
        <f>IFERROR(VLOOKUP(A13,'스윗밸런스 피벗'!A:SD,4,FALSE),0)</f>
        <v>17</v>
      </c>
      <c r="D13" s="227">
        <f t="shared" si="0"/>
        <v>0</v>
      </c>
      <c r="E13" s="51" t="s">
        <v>275</v>
      </c>
      <c r="F13" s="228">
        <f t="shared" si="1"/>
        <v>17</v>
      </c>
      <c r="G13" s="67"/>
      <c r="H13" s="67"/>
      <c r="J13" s="73"/>
      <c r="K13" s="73"/>
    </row>
    <row r="14" spans="1:11" ht="25.35" customHeight="1" x14ac:dyDescent="0.3">
      <c r="A14" s="221" t="s">
        <v>253</v>
      </c>
      <c r="B14" s="224">
        <f t="shared" si="2"/>
        <v>36</v>
      </c>
      <c r="C14" s="227">
        <f>IFERROR(VLOOKUP(A14,'스윗밸런스 피벗'!A:SD,4,FALSE),0)</f>
        <v>16</v>
      </c>
      <c r="D14" s="227">
        <f t="shared" si="0"/>
        <v>0</v>
      </c>
      <c r="E14" s="51" t="s">
        <v>276</v>
      </c>
      <c r="F14" s="228">
        <f t="shared" si="1"/>
        <v>16</v>
      </c>
      <c r="G14" s="67"/>
      <c r="H14" s="67"/>
      <c r="J14" s="73"/>
      <c r="K14" s="73"/>
    </row>
    <row r="15" spans="1:11" ht="25.35" customHeight="1" x14ac:dyDescent="0.3">
      <c r="A15" s="221" t="s">
        <v>254</v>
      </c>
      <c r="B15" s="224">
        <f t="shared" si="2"/>
        <v>36</v>
      </c>
      <c r="C15" s="227">
        <f>IFERROR(VLOOKUP(A15,'스윗밸런스 피벗'!A:SD,4,FALSE),0)</f>
        <v>27</v>
      </c>
      <c r="D15" s="227">
        <f t="shared" si="0"/>
        <v>0</v>
      </c>
      <c r="E15" s="51" t="s">
        <v>277</v>
      </c>
      <c r="F15" s="228">
        <f t="shared" si="1"/>
        <v>27</v>
      </c>
      <c r="G15" s="67"/>
      <c r="H15" s="67"/>
      <c r="J15" s="73"/>
      <c r="K15" s="73"/>
    </row>
    <row r="16" spans="1:11" ht="25.35" customHeight="1" x14ac:dyDescent="0.3">
      <c r="A16" s="221" t="s">
        <v>257</v>
      </c>
      <c r="B16" s="224">
        <f t="shared" si="2"/>
        <v>36</v>
      </c>
      <c r="C16" s="227">
        <f>IFERROR(VLOOKUP(A16,'스윗밸런스 피벗'!A:SD,4,FALSE),0)</f>
        <v>2</v>
      </c>
      <c r="D16" s="227">
        <f t="shared" si="0"/>
        <v>0</v>
      </c>
      <c r="E16" s="51" t="s">
        <v>279</v>
      </c>
      <c r="F16" s="228">
        <f t="shared" si="1"/>
        <v>2</v>
      </c>
      <c r="G16" s="67"/>
      <c r="H16" s="67"/>
      <c r="J16" s="73"/>
      <c r="K16" s="73"/>
    </row>
    <row r="17" spans="1:11" ht="25.35" customHeight="1" x14ac:dyDescent="0.3">
      <c r="A17" s="221" t="s">
        <v>258</v>
      </c>
      <c r="B17" s="224">
        <f t="shared" si="2"/>
        <v>36</v>
      </c>
      <c r="C17" s="227">
        <f>IFERROR(VLOOKUP(A17,'스윗밸런스 피벗'!A:SD,4,FALSE),0)</f>
        <v>3</v>
      </c>
      <c r="D17" s="227">
        <f t="shared" si="0"/>
        <v>0</v>
      </c>
      <c r="E17" s="51" t="s">
        <v>280</v>
      </c>
      <c r="F17" s="228">
        <f t="shared" si="1"/>
        <v>3</v>
      </c>
      <c r="G17" s="67"/>
      <c r="H17" s="67"/>
      <c r="J17" s="73"/>
      <c r="K17" s="73"/>
    </row>
    <row r="18" spans="1:11" ht="25.35" customHeight="1" x14ac:dyDescent="0.3">
      <c r="A18" s="221" t="s">
        <v>259</v>
      </c>
      <c r="B18" s="224">
        <f t="shared" si="2"/>
        <v>36</v>
      </c>
      <c r="C18" s="227">
        <f>IFERROR(VLOOKUP(A18,'스윗밸런스 피벗'!A:SD,4,FALSE),0)</f>
        <v>8</v>
      </c>
      <c r="D18" s="227">
        <f t="shared" si="0"/>
        <v>0</v>
      </c>
      <c r="E18" s="51" t="s">
        <v>336</v>
      </c>
      <c r="F18" s="228">
        <f t="shared" si="1"/>
        <v>8</v>
      </c>
      <c r="G18" s="67"/>
      <c r="H18" s="67"/>
      <c r="J18" s="73"/>
      <c r="K18" s="73"/>
    </row>
    <row r="19" spans="1:11" ht="4.5" customHeight="1" x14ac:dyDescent="0.3">
      <c r="A19" s="258"/>
      <c r="B19" s="259"/>
      <c r="C19" s="259"/>
      <c r="D19" s="259"/>
      <c r="E19" s="259"/>
      <c r="F19" s="260"/>
      <c r="J19" s="73"/>
      <c r="K19" s="73"/>
    </row>
    <row r="20" spans="1:11" ht="32.450000000000003" customHeight="1" x14ac:dyDescent="0.3">
      <c r="A20" s="211" t="s">
        <v>122</v>
      </c>
      <c r="B20" s="225">
        <f>$B$4</f>
        <v>36</v>
      </c>
      <c r="C20" s="212">
        <f>SUM(C4:C18)</f>
        <v>151</v>
      </c>
      <c r="D20" s="55">
        <f>IFERROR(ROUNDDOWN(C20/B20,0),"")</f>
        <v>4</v>
      </c>
      <c r="E20" s="213"/>
      <c r="F20" s="214">
        <f>IFERROR(C20-(D20*B20),"")</f>
        <v>7</v>
      </c>
      <c r="J20" s="73"/>
      <c r="K20" s="73"/>
    </row>
    <row r="21" spans="1:11" ht="4.5" customHeight="1" x14ac:dyDescent="0.3">
      <c r="A21" s="183"/>
      <c r="B21" s="224"/>
      <c r="C21" s="50"/>
      <c r="D21" s="50"/>
      <c r="E21" s="50"/>
      <c r="F21" s="184"/>
      <c r="J21" s="73"/>
      <c r="K21" s="73"/>
    </row>
    <row r="22" spans="1:11" ht="25.35" customHeight="1" x14ac:dyDescent="0.3">
      <c r="A22" s="221" t="s">
        <v>241</v>
      </c>
      <c r="B22" s="224">
        <f t="shared" ref="B22:B26" si="5">$B$4</f>
        <v>36</v>
      </c>
      <c r="C22" s="227">
        <f>IFERROR(VLOOKUP(A22,'스윗밸런스 피벗'!A:SD,4,FALSE),0)</f>
        <v>3</v>
      </c>
      <c r="D22" s="227">
        <f>IFERROR(ROUNDDOWN(C22/B22,0),"")</f>
        <v>0</v>
      </c>
      <c r="E22" s="51" t="s">
        <v>268</v>
      </c>
      <c r="F22" s="228">
        <f>IFERROR(C22-(D22*B22),"")</f>
        <v>3</v>
      </c>
      <c r="G22" s="67"/>
      <c r="H22" s="67"/>
      <c r="J22" s="73"/>
      <c r="K22" s="73"/>
    </row>
    <row r="23" spans="1:11" ht="25.35" customHeight="1" x14ac:dyDescent="0.3">
      <c r="A23" s="221" t="s">
        <v>242</v>
      </c>
      <c r="B23" s="224">
        <f t="shared" si="5"/>
        <v>36</v>
      </c>
      <c r="C23" s="227">
        <f>IFERROR(VLOOKUP(A23,'스윗밸런스 피벗'!A:SD,4,FALSE),0)</f>
        <v>4</v>
      </c>
      <c r="D23" s="227">
        <f>IFERROR(ROUNDDOWN(C23/B23,0),"")</f>
        <v>0</v>
      </c>
      <c r="E23" s="51" t="s">
        <v>337</v>
      </c>
      <c r="F23" s="228">
        <f>IFERROR(C23-(D23*B23),"")</f>
        <v>4</v>
      </c>
      <c r="G23" s="67"/>
      <c r="H23" s="67"/>
      <c r="J23" s="73"/>
      <c r="K23" s="73"/>
    </row>
    <row r="24" spans="1:11" ht="25.35" customHeight="1" x14ac:dyDescent="0.3">
      <c r="A24" s="221" t="s">
        <v>243</v>
      </c>
      <c r="B24" s="224">
        <f t="shared" si="5"/>
        <v>36</v>
      </c>
      <c r="C24" s="227">
        <f>IFERROR(VLOOKUP(A24,'스윗밸런스 피벗'!A:SD,4,FALSE),0)</f>
        <v>0</v>
      </c>
      <c r="D24" s="227">
        <f>IFERROR(ROUNDDOWN(C24/B24,0),"")</f>
        <v>0</v>
      </c>
      <c r="E24" s="51" t="s">
        <v>106</v>
      </c>
      <c r="F24" s="228">
        <f>IFERROR(C24-(D24*B24),"")</f>
        <v>0</v>
      </c>
      <c r="G24" s="67"/>
      <c r="H24" s="67"/>
      <c r="J24" s="73"/>
      <c r="K24" s="73"/>
    </row>
    <row r="25" spans="1:11" ht="25.35" customHeight="1" x14ac:dyDescent="0.3">
      <c r="A25" s="221" t="s">
        <v>244</v>
      </c>
      <c r="B25" s="224">
        <f t="shared" si="5"/>
        <v>36</v>
      </c>
      <c r="C25" s="227">
        <f>IFERROR(VLOOKUP(A25,'스윗밸런스 피벗'!A:SD,4,FALSE),0)</f>
        <v>4</v>
      </c>
      <c r="D25" s="227">
        <f>IFERROR(ROUNDDOWN(C25/B25,0),"")</f>
        <v>0</v>
      </c>
      <c r="E25" s="51" t="s">
        <v>269</v>
      </c>
      <c r="F25" s="228">
        <f>IFERROR(C25-(D25*B25),"")</f>
        <v>4</v>
      </c>
      <c r="G25" s="67"/>
      <c r="H25" s="67"/>
      <c r="J25" s="73"/>
      <c r="K25" s="73"/>
    </row>
    <row r="26" spans="1:11" ht="25.35" customHeight="1" x14ac:dyDescent="0.3">
      <c r="A26" s="221" t="s">
        <v>245</v>
      </c>
      <c r="B26" s="224">
        <f t="shared" si="5"/>
        <v>36</v>
      </c>
      <c r="C26" s="227">
        <f>IFERROR(VLOOKUP(A26,'스윗밸런스 피벗'!A:SD,4,FALSE),0)</f>
        <v>4</v>
      </c>
      <c r="D26" s="227">
        <f>IFERROR(ROUNDDOWN(C26/B26,0),"")</f>
        <v>0</v>
      </c>
      <c r="E26" s="51" t="s">
        <v>118</v>
      </c>
      <c r="F26" s="228">
        <f>IFERROR(C26-(D26*B26),"")</f>
        <v>4</v>
      </c>
      <c r="G26" s="67"/>
      <c r="H26" s="67"/>
      <c r="J26" s="73"/>
      <c r="K26" s="73"/>
    </row>
    <row r="27" spans="1:11" ht="4.5" customHeight="1" x14ac:dyDescent="0.3">
      <c r="A27" s="258"/>
      <c r="B27" s="259"/>
      <c r="C27" s="259"/>
      <c r="D27" s="259"/>
      <c r="E27" s="259"/>
      <c r="F27" s="260"/>
      <c r="G27" s="67"/>
      <c r="H27" s="67"/>
      <c r="J27" s="73"/>
      <c r="K27" s="73"/>
    </row>
    <row r="28" spans="1:11" ht="32.450000000000003" customHeight="1" x14ac:dyDescent="0.3">
      <c r="A28" s="211" t="s">
        <v>285</v>
      </c>
      <c r="B28" s="225">
        <f>$B$4</f>
        <v>36</v>
      </c>
      <c r="C28" s="212">
        <f>SUM(C22:C26)</f>
        <v>15</v>
      </c>
      <c r="D28" s="55">
        <f>IFERROR(ROUNDDOWN(C28/B28,0),"")</f>
        <v>0</v>
      </c>
      <c r="E28" s="213"/>
      <c r="F28" s="214">
        <f>IFERROR(C28-(D28*B28),"")</f>
        <v>15</v>
      </c>
      <c r="G28" s="67"/>
      <c r="H28" s="67"/>
      <c r="J28" s="73"/>
      <c r="K28" s="73"/>
    </row>
    <row r="29" spans="1:11" ht="4.5" customHeight="1" x14ac:dyDescent="0.3">
      <c r="A29" s="258"/>
      <c r="B29" s="259"/>
      <c r="C29" s="259"/>
      <c r="D29" s="259"/>
      <c r="E29" s="259"/>
      <c r="F29" s="260"/>
      <c r="G29" s="67"/>
      <c r="H29" s="67"/>
      <c r="J29" s="73"/>
      <c r="K29" s="73"/>
    </row>
    <row r="30" spans="1:11" ht="25.35" customHeight="1" x14ac:dyDescent="0.3">
      <c r="A30" s="221" t="s">
        <v>239</v>
      </c>
      <c r="B30" s="224">
        <f t="shared" ref="B30:B31" si="6">$B$4</f>
        <v>36</v>
      </c>
      <c r="C30" s="227">
        <f>IFERROR(VLOOKUP(A30,'스윗밸런스 피벗'!A:SD,4,FALSE),0)</f>
        <v>5</v>
      </c>
      <c r="D30" s="227">
        <f t="shared" ref="D30:D31" si="7">IFERROR(ROUNDDOWN(C30/B30,0),"")</f>
        <v>0</v>
      </c>
      <c r="E30" s="51" t="s">
        <v>266</v>
      </c>
      <c r="F30" s="228">
        <f t="shared" ref="F30:F31" si="8">IFERROR(C30-(D30*B30),"")</f>
        <v>5</v>
      </c>
      <c r="G30" s="67"/>
      <c r="H30" s="67"/>
      <c r="J30" s="73"/>
      <c r="K30" s="73"/>
    </row>
    <row r="31" spans="1:11" ht="25.35" customHeight="1" x14ac:dyDescent="0.3">
      <c r="A31" s="221" t="s">
        <v>240</v>
      </c>
      <c r="B31" s="224">
        <f t="shared" si="6"/>
        <v>36</v>
      </c>
      <c r="C31" s="227">
        <f>IFERROR(VLOOKUP(A31,'스윗밸런스 피벗'!A:SD,4,FALSE),0)</f>
        <v>2</v>
      </c>
      <c r="D31" s="227">
        <f t="shared" si="7"/>
        <v>0</v>
      </c>
      <c r="E31" s="51" t="s">
        <v>267</v>
      </c>
      <c r="F31" s="228">
        <f t="shared" si="8"/>
        <v>2</v>
      </c>
      <c r="G31" s="67"/>
      <c r="H31" s="67"/>
      <c r="J31" s="73"/>
      <c r="K31" s="73"/>
    </row>
    <row r="32" spans="1:11" ht="4.5" customHeight="1" x14ac:dyDescent="0.3">
      <c r="A32" s="258"/>
      <c r="B32" s="259"/>
      <c r="C32" s="259"/>
      <c r="D32" s="259"/>
      <c r="E32" s="259"/>
      <c r="F32" s="260"/>
      <c r="G32" s="67"/>
      <c r="H32" s="67"/>
      <c r="J32" s="73"/>
      <c r="K32" s="73"/>
    </row>
    <row r="33" spans="1:11" ht="32.450000000000003" customHeight="1" x14ac:dyDescent="0.3">
      <c r="A33" s="211" t="s">
        <v>284</v>
      </c>
      <c r="B33" s="225">
        <f>$B$4</f>
        <v>36</v>
      </c>
      <c r="C33" s="212">
        <f>SUM(C30:C31)</f>
        <v>7</v>
      </c>
      <c r="D33" s="55">
        <f>IFERROR(ROUNDDOWN(C33/B33,0),"")</f>
        <v>0</v>
      </c>
      <c r="E33" s="213"/>
      <c r="F33" s="214">
        <f>IFERROR(C33-(D33*B33),"")</f>
        <v>7</v>
      </c>
      <c r="G33" s="67"/>
      <c r="H33" s="67"/>
      <c r="J33" s="73"/>
      <c r="K33" s="73"/>
    </row>
    <row r="34" spans="1:11" ht="4.5" customHeight="1" x14ac:dyDescent="0.3">
      <c r="A34" s="183"/>
      <c r="B34" s="224"/>
      <c r="C34" s="50"/>
      <c r="D34" s="50"/>
      <c r="E34" s="50"/>
      <c r="F34" s="184"/>
      <c r="G34" s="67"/>
      <c r="H34" s="67"/>
      <c r="J34" s="73"/>
      <c r="K34" s="73"/>
    </row>
    <row r="35" spans="1:11" ht="25.35" customHeight="1" x14ac:dyDescent="0.3">
      <c r="A35" s="221" t="s">
        <v>236</v>
      </c>
      <c r="B35" s="224">
        <f t="shared" ref="B35:B37" si="9">$B$4</f>
        <v>36</v>
      </c>
      <c r="C35" s="227">
        <f>IFERROR(VLOOKUP(A35,'스윗밸런스 피벗'!A:SD,4,FALSE),0)</f>
        <v>5</v>
      </c>
      <c r="D35" s="227">
        <f>IFERROR(ROUNDDOWN(C35/B35,0),"")</f>
        <v>0</v>
      </c>
      <c r="E35" s="51" t="s">
        <v>264</v>
      </c>
      <c r="F35" s="228">
        <f>IFERROR(C35-(D35*B35),"")</f>
        <v>5</v>
      </c>
      <c r="G35" s="67"/>
      <c r="H35" s="67"/>
      <c r="J35" s="73"/>
      <c r="K35" s="73"/>
    </row>
    <row r="36" spans="1:11" ht="25.35" customHeight="1" x14ac:dyDescent="0.3">
      <c r="A36" s="221" t="s">
        <v>237</v>
      </c>
      <c r="B36" s="224">
        <f t="shared" si="9"/>
        <v>36</v>
      </c>
      <c r="C36" s="227">
        <f>IFERROR(VLOOKUP(A36,'스윗밸런스 피벗'!A:SD,4,FALSE),0)</f>
        <v>3</v>
      </c>
      <c r="D36" s="227">
        <f t="shared" ref="D36:D37" si="10">IFERROR(ROUNDDOWN(C36/B36,0),"")</f>
        <v>0</v>
      </c>
      <c r="E36" s="51" t="s">
        <v>338</v>
      </c>
      <c r="F36" s="228">
        <f t="shared" ref="F36:F37" si="11">IFERROR(C36-(D36*B36),"")</f>
        <v>3</v>
      </c>
      <c r="G36" s="67"/>
      <c r="H36" s="67"/>
      <c r="J36" s="73"/>
      <c r="K36" s="73"/>
    </row>
    <row r="37" spans="1:11" ht="25.35" customHeight="1" x14ac:dyDescent="0.3">
      <c r="A37" s="221" t="s">
        <v>238</v>
      </c>
      <c r="B37" s="224">
        <f t="shared" si="9"/>
        <v>36</v>
      </c>
      <c r="C37" s="227">
        <f>IFERROR(VLOOKUP(A37,'스윗밸런스 피벗'!A:SD,4,FALSE),0)</f>
        <v>3</v>
      </c>
      <c r="D37" s="227">
        <f t="shared" si="10"/>
        <v>0</v>
      </c>
      <c r="E37" s="51" t="s">
        <v>265</v>
      </c>
      <c r="F37" s="228">
        <f t="shared" si="11"/>
        <v>3</v>
      </c>
      <c r="G37" s="67"/>
      <c r="H37" s="67"/>
      <c r="J37" s="73"/>
      <c r="K37" s="73"/>
    </row>
    <row r="38" spans="1:11" ht="4.5" customHeight="1" x14ac:dyDescent="0.3">
      <c r="A38" s="258"/>
      <c r="B38" s="259"/>
      <c r="C38" s="259"/>
      <c r="D38" s="259"/>
      <c r="E38" s="259"/>
      <c r="F38" s="260"/>
      <c r="G38" s="67"/>
      <c r="H38" s="67"/>
      <c r="J38" s="73"/>
      <c r="K38" s="73"/>
    </row>
    <row r="39" spans="1:11" ht="32.450000000000003" customHeight="1" x14ac:dyDescent="0.3">
      <c r="A39" s="211" t="s">
        <v>283</v>
      </c>
      <c r="B39" s="225">
        <f>$B$4</f>
        <v>36</v>
      </c>
      <c r="C39" s="212">
        <f>SUM(C35:C37)</f>
        <v>11</v>
      </c>
      <c r="D39" s="55">
        <f>IFERROR(ROUNDDOWN(C39/B39,0),"")</f>
        <v>0</v>
      </c>
      <c r="E39" s="213"/>
      <c r="F39" s="214">
        <f>IFERROR(C39-(D39*B39),"")</f>
        <v>11</v>
      </c>
      <c r="G39" s="67"/>
      <c r="H39" s="67"/>
      <c r="J39" s="73"/>
      <c r="K39" s="73"/>
    </row>
    <row r="40" spans="1:11" ht="4.5" customHeight="1" x14ac:dyDescent="0.3">
      <c r="A40" s="183"/>
      <c r="B40" s="224"/>
      <c r="C40" s="50"/>
      <c r="D40" s="50"/>
      <c r="E40" s="50"/>
      <c r="F40" s="184"/>
      <c r="G40" s="67"/>
      <c r="H40" s="67"/>
      <c r="J40" s="73"/>
      <c r="K40" s="73"/>
    </row>
    <row r="41" spans="1:11" ht="25.35" customHeight="1" x14ac:dyDescent="0.3">
      <c r="A41" s="221" t="s">
        <v>261</v>
      </c>
      <c r="B41" s="224">
        <f t="shared" ref="B41:B42" si="12">$B$4</f>
        <v>36</v>
      </c>
      <c r="C41" s="227">
        <f>IFERROR(VLOOKUP(A41,'스윗밸런스 피벗'!A:SD,4,FALSE),0)</f>
        <v>1</v>
      </c>
      <c r="D41" s="227">
        <f t="shared" ref="D41:D42" si="13">IFERROR(ROUNDDOWN(C41/B41,0),"")</f>
        <v>0</v>
      </c>
      <c r="E41" s="51" t="s">
        <v>281</v>
      </c>
      <c r="F41" s="228">
        <f t="shared" ref="F41:F42" si="14">IFERROR(C41-(D41*B41),"")</f>
        <v>1</v>
      </c>
      <c r="G41" s="67"/>
      <c r="H41" s="67"/>
      <c r="J41" s="73"/>
      <c r="K41" s="73"/>
    </row>
    <row r="42" spans="1:11" ht="25.35" customHeight="1" x14ac:dyDescent="0.3">
      <c r="A42" s="221" t="s">
        <v>262</v>
      </c>
      <c r="B42" s="224">
        <f t="shared" si="12"/>
        <v>36</v>
      </c>
      <c r="C42" s="227">
        <f>IFERROR(VLOOKUP(A42,'스윗밸런스 피벗'!A:SD,4,FALSE),0)</f>
        <v>1</v>
      </c>
      <c r="D42" s="227">
        <f t="shared" si="13"/>
        <v>0</v>
      </c>
      <c r="E42" s="51" t="s">
        <v>282</v>
      </c>
      <c r="F42" s="228">
        <f t="shared" si="14"/>
        <v>1</v>
      </c>
      <c r="G42" s="67"/>
      <c r="H42" s="67"/>
      <c r="J42" s="73"/>
      <c r="K42" s="73"/>
    </row>
    <row r="43" spans="1:11" ht="4.5" customHeight="1" x14ac:dyDescent="0.3">
      <c r="A43" s="258"/>
      <c r="B43" s="259"/>
      <c r="C43" s="259"/>
      <c r="D43" s="259"/>
      <c r="E43" s="259"/>
      <c r="F43" s="260"/>
      <c r="G43" s="67"/>
      <c r="H43" s="67"/>
      <c r="J43" s="73"/>
      <c r="K43" s="73"/>
    </row>
    <row r="44" spans="1:11" ht="32.450000000000003" customHeight="1" x14ac:dyDescent="0.3">
      <c r="A44" s="211" t="s">
        <v>339</v>
      </c>
      <c r="B44" s="225">
        <f>$B$4</f>
        <v>36</v>
      </c>
      <c r="C44" s="212">
        <f>SUM(C41:C42)</f>
        <v>2</v>
      </c>
      <c r="D44" s="55">
        <f>IFERROR(ROUNDDOWN(C44/B44,0),"")</f>
        <v>0</v>
      </c>
      <c r="E44" s="213"/>
      <c r="F44" s="214">
        <f>IFERROR(C44-(D44*B44),"")</f>
        <v>2</v>
      </c>
      <c r="G44" s="67"/>
      <c r="H44" s="67"/>
      <c r="J44" s="73"/>
      <c r="K44" s="73"/>
    </row>
    <row r="45" spans="1:11" ht="4.5" customHeight="1" thickBot="1" x14ac:dyDescent="0.35">
      <c r="A45" s="183"/>
      <c r="B45" s="50"/>
      <c r="C45" s="50"/>
      <c r="D45" s="50"/>
      <c r="E45" s="50"/>
      <c r="F45" s="184"/>
      <c r="G45" s="67"/>
      <c r="H45" s="67"/>
      <c r="J45" s="73"/>
      <c r="K45" s="73"/>
    </row>
    <row r="46" spans="1:11" ht="26.25" x14ac:dyDescent="0.3">
      <c r="A46" s="87" t="s">
        <v>3</v>
      </c>
      <c r="B46" s="226">
        <f>$B$4</f>
        <v>36</v>
      </c>
      <c r="C46" s="55">
        <f>SUM(C4:C18,C35:C37,C30:C31,C22:C26,C41:C42)</f>
        <v>186</v>
      </c>
      <c r="D46" s="54">
        <f>IFERROR(ROUNDDOWN(C46/B46,0),"")</f>
        <v>5</v>
      </c>
      <c r="E46" s="56"/>
      <c r="F46" s="121">
        <f>IFERROR(C46-(D46*B46),"")</f>
        <v>6</v>
      </c>
      <c r="G46" s="232" t="s">
        <v>110</v>
      </c>
      <c r="H46" s="233" t="s">
        <v>111</v>
      </c>
      <c r="J46" s="73"/>
      <c r="K46" s="73"/>
    </row>
    <row r="47" spans="1:11" ht="27" thickBot="1" x14ac:dyDescent="0.35">
      <c r="A47" s="42" t="s">
        <v>286</v>
      </c>
      <c r="B47" s="43" t="s">
        <v>173</v>
      </c>
      <c r="C47" s="40"/>
      <c r="D47" s="41">
        <f>SUM(D4:D18,D35:D37,D30:D31,D22:D26,D41:D42)</f>
        <v>0</v>
      </c>
      <c r="E47" s="48"/>
      <c r="F47" s="93">
        <f>SUM(F4:F18,F35:F37,F30:F31,F22:F26,F41:F42)</f>
        <v>186</v>
      </c>
      <c r="G47" s="216">
        <f>IFERROR(ROUNDDOWN(F47/B35,0),"")</f>
        <v>5</v>
      </c>
      <c r="H47" s="217">
        <f>IFERROR(F47-(G47*B35),"")</f>
        <v>6</v>
      </c>
    </row>
    <row r="48" spans="1:11" ht="22.5" customHeight="1" x14ac:dyDescent="0.3">
      <c r="C48" s="77">
        <f>C20+C28+C33+C39+C44</f>
        <v>186</v>
      </c>
      <c r="G48" s="199"/>
      <c r="H48" s="34" t="s">
        <v>174</v>
      </c>
    </row>
    <row r="49" spans="3:3" x14ac:dyDescent="0.3">
      <c r="C49" s="34" t="b">
        <f>C48=C46</f>
        <v>1</v>
      </c>
    </row>
  </sheetData>
  <mergeCells count="1">
    <mergeCell ref="A1:F1"/>
  </mergeCells>
  <phoneticPr fontId="13" type="noConversion"/>
  <printOptions horizontalCentered="1" verticalCentered="1"/>
  <pageMargins left="0" right="0" top="0" bottom="0" header="0" footer="0"/>
  <pageSetup paperSize="9" scale="77" orientation="portrait" r:id="rId1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F66BD9-EF10-4506-9310-BC76EF0FF33D}">
  <sheetPr>
    <tabColor theme="8" tint="0.59999389629810485"/>
    <pageSetUpPr fitToPage="1"/>
  </sheetPr>
  <dimension ref="A1:K49"/>
  <sheetViews>
    <sheetView zoomScale="40" zoomScaleNormal="40" zoomScaleSheetLayoutView="75" workbookViewId="0">
      <selection activeCell="A2" sqref="A2:F47"/>
    </sheetView>
  </sheetViews>
  <sheetFormatPr defaultColWidth="9" defaultRowHeight="16.5" x14ac:dyDescent="0.3"/>
  <cols>
    <col min="1" max="1" width="24.75" style="34" customWidth="1"/>
    <col min="2" max="2" width="7.625" style="38" customWidth="1"/>
    <col min="3" max="3" width="30.625" style="34" customWidth="1"/>
    <col min="4" max="4" width="13.25" style="2" bestFit="1" customWidth="1"/>
    <col min="5" max="5" width="11.375" style="34" customWidth="1"/>
    <col min="6" max="6" width="11.125" style="2" customWidth="1"/>
    <col min="7" max="7" width="8.375" style="34" customWidth="1"/>
    <col min="8" max="8" width="9" style="34" customWidth="1"/>
    <col min="9" max="13" width="9" style="34"/>
    <col min="14" max="14" width="10.625" style="34" customWidth="1"/>
    <col min="15" max="17" width="9" style="34"/>
    <col min="18" max="18" width="36.5" style="34" bestFit="1" customWidth="1"/>
    <col min="19" max="16384" width="9" style="34"/>
  </cols>
  <sheetData>
    <row r="1" spans="1:11" ht="25.9" customHeight="1" thickBot="1" x14ac:dyDescent="0.35">
      <c r="A1" s="270"/>
      <c r="B1" s="270"/>
      <c r="C1" s="270"/>
      <c r="D1" s="270"/>
      <c r="E1" s="270"/>
      <c r="F1" s="270"/>
    </row>
    <row r="2" spans="1:11" ht="25.9" customHeight="1" x14ac:dyDescent="0.3">
      <c r="A2" s="215">
        <f ca="1">TODAY()</f>
        <v>46314</v>
      </c>
      <c r="B2" s="256" t="s">
        <v>383</v>
      </c>
      <c r="C2" s="256"/>
      <c r="D2" s="256"/>
      <c r="E2" s="256"/>
      <c r="F2" s="257"/>
      <c r="G2" s="67"/>
      <c r="H2" s="67"/>
    </row>
    <row r="3" spans="1:11" ht="40.5" customHeight="1" x14ac:dyDescent="0.3">
      <c r="A3" s="222" t="s">
        <v>67</v>
      </c>
      <c r="B3" s="223" t="s">
        <v>13</v>
      </c>
      <c r="C3" s="235" t="s">
        <v>376</v>
      </c>
      <c r="D3" s="230" t="s">
        <v>2</v>
      </c>
      <c r="E3" s="229" t="s">
        <v>23</v>
      </c>
      <c r="F3" s="231" t="s">
        <v>14</v>
      </c>
      <c r="G3" s="67"/>
      <c r="H3" s="67"/>
    </row>
    <row r="4" spans="1:11" ht="25.35" customHeight="1" x14ac:dyDescent="0.3">
      <c r="A4" s="220" t="s">
        <v>260</v>
      </c>
      <c r="B4" s="224">
        <v>6</v>
      </c>
      <c r="C4" s="227">
        <f>IFERROR(VLOOKUP(A4,'스윗밸런스 피벗'!A:SD,5,FALSE),0)</f>
        <v>60</v>
      </c>
      <c r="D4" s="227">
        <f t="shared" ref="D4:D18" si="0">IFERROR(ROUNDDOWN(C4/B4,0),"")</f>
        <v>10</v>
      </c>
      <c r="E4" s="51" t="s">
        <v>109</v>
      </c>
      <c r="F4" s="228">
        <f t="shared" ref="F4:F18" si="1">IFERROR(C4-(D4*B4),"")</f>
        <v>0</v>
      </c>
      <c r="G4" s="67"/>
      <c r="H4" s="67"/>
      <c r="J4" s="73"/>
      <c r="K4" s="73"/>
    </row>
    <row r="5" spans="1:11" ht="25.35" customHeight="1" x14ac:dyDescent="0.3">
      <c r="A5" s="221" t="s">
        <v>255</v>
      </c>
      <c r="B5" s="224">
        <f t="shared" ref="B5:B18" si="2">$B$4</f>
        <v>6</v>
      </c>
      <c r="C5" s="227">
        <f>IFERROR(VLOOKUP(A5,'스윗밸런스 피벗'!A:SD,5,FALSE),0)</f>
        <v>90</v>
      </c>
      <c r="D5" s="227">
        <f t="shared" si="0"/>
        <v>15</v>
      </c>
      <c r="E5" s="51" t="s">
        <v>335</v>
      </c>
      <c r="F5" s="228">
        <f t="shared" si="1"/>
        <v>0</v>
      </c>
      <c r="G5" s="67"/>
      <c r="H5" s="67"/>
      <c r="J5" s="73"/>
      <c r="K5" s="73"/>
    </row>
    <row r="6" spans="1:11" ht="25.35" customHeight="1" x14ac:dyDescent="0.3">
      <c r="A6" s="221" t="s">
        <v>249</v>
      </c>
      <c r="B6" s="224">
        <f t="shared" si="2"/>
        <v>6</v>
      </c>
      <c r="C6" s="227">
        <f>IFERROR(VLOOKUP(A6,'스윗밸런스 피벗'!A:SD,5,FALSE),0)</f>
        <v>55</v>
      </c>
      <c r="D6" s="227">
        <f>IFERROR(ROUNDDOWN(C6/B6,0),"")</f>
        <v>9</v>
      </c>
      <c r="E6" s="51" t="s">
        <v>272</v>
      </c>
      <c r="F6" s="228">
        <f>IFERROR(C6-(D6*B6),"")</f>
        <v>1</v>
      </c>
      <c r="G6" s="67"/>
      <c r="H6" s="67"/>
      <c r="J6" s="73"/>
      <c r="K6" s="73"/>
    </row>
    <row r="7" spans="1:11" ht="25.35" customHeight="1" x14ac:dyDescent="0.3">
      <c r="A7" s="221" t="s">
        <v>250</v>
      </c>
      <c r="B7" s="224">
        <f t="shared" si="2"/>
        <v>6</v>
      </c>
      <c r="C7" s="227">
        <f>IFERROR(VLOOKUP(A7,'스윗밸런스 피벗'!A:SD,5,FALSE),0)</f>
        <v>59</v>
      </c>
      <c r="D7" s="227">
        <f>IFERROR(ROUNDDOWN(C7/B7,0),"")</f>
        <v>9</v>
      </c>
      <c r="E7" s="51" t="s">
        <v>273</v>
      </c>
      <c r="F7" s="228">
        <f>IFERROR(C7-(D7*B7),"")</f>
        <v>5</v>
      </c>
      <c r="G7" s="67"/>
      <c r="H7" s="67"/>
      <c r="J7" s="73"/>
      <c r="K7" s="73"/>
    </row>
    <row r="8" spans="1:11" ht="25.35" customHeight="1" x14ac:dyDescent="0.3">
      <c r="A8" s="221" t="s">
        <v>248</v>
      </c>
      <c r="B8" s="224">
        <f t="shared" si="2"/>
        <v>6</v>
      </c>
      <c r="C8" s="227">
        <f>IFERROR(VLOOKUP(A8,'스윗밸런스 피벗'!A:SD,5,FALSE),0)</f>
        <v>43</v>
      </c>
      <c r="D8" s="227">
        <f>IFERROR(ROUNDDOWN(C8/B8,0),"")</f>
        <v>7</v>
      </c>
      <c r="E8" s="51" t="s">
        <v>271</v>
      </c>
      <c r="F8" s="228">
        <f>IFERROR(C8-(D8*B8),"")</f>
        <v>1</v>
      </c>
      <c r="G8" s="67"/>
      <c r="H8" s="67"/>
      <c r="J8" s="73"/>
      <c r="K8" s="73"/>
    </row>
    <row r="9" spans="1:11" ht="25.35" customHeight="1" x14ac:dyDescent="0.3">
      <c r="A9" s="221" t="s">
        <v>246</v>
      </c>
      <c r="B9" s="224">
        <f t="shared" si="2"/>
        <v>6</v>
      </c>
      <c r="C9" s="227">
        <f>IFERROR(VLOOKUP(A9,'스윗밸런스 피벗'!A:SD,5,FALSE),0)</f>
        <v>34</v>
      </c>
      <c r="D9" s="227">
        <f t="shared" si="0"/>
        <v>5</v>
      </c>
      <c r="E9" s="51" t="s">
        <v>270</v>
      </c>
      <c r="F9" s="228">
        <f t="shared" si="1"/>
        <v>4</v>
      </c>
      <c r="G9" s="67"/>
      <c r="H9" s="67"/>
      <c r="J9" s="73"/>
      <c r="K9" s="73"/>
    </row>
    <row r="10" spans="1:11" ht="25.35" customHeight="1" x14ac:dyDescent="0.3">
      <c r="A10" s="221" t="s">
        <v>256</v>
      </c>
      <c r="B10" s="224">
        <f t="shared" si="2"/>
        <v>6</v>
      </c>
      <c r="C10" s="227">
        <f>IFERROR(VLOOKUP(A10,'스윗밸런스 피벗'!A:SD,5,FALSE),0)</f>
        <v>31</v>
      </c>
      <c r="D10" s="227">
        <f>IFERROR(ROUNDDOWN(C10/B10,0),"")</f>
        <v>5</v>
      </c>
      <c r="E10" s="51" t="s">
        <v>278</v>
      </c>
      <c r="F10" s="228">
        <f>IFERROR(C10-(D10*B10),"")</f>
        <v>1</v>
      </c>
      <c r="G10" s="67"/>
      <c r="H10" s="67"/>
      <c r="J10" s="73"/>
      <c r="K10" s="73"/>
    </row>
    <row r="11" spans="1:11" ht="25.35" customHeight="1" x14ac:dyDescent="0.3">
      <c r="A11" s="221" t="s">
        <v>247</v>
      </c>
      <c r="B11" s="224">
        <f t="shared" si="2"/>
        <v>6</v>
      </c>
      <c r="C11" s="227">
        <f>IFERROR(VLOOKUP(A11,'스윗밸런스 피벗'!A:SD,5,FALSE),0)</f>
        <v>29</v>
      </c>
      <c r="D11" s="227">
        <f t="shared" si="0"/>
        <v>4</v>
      </c>
      <c r="E11" s="51" t="s">
        <v>334</v>
      </c>
      <c r="F11" s="228">
        <f t="shared" si="1"/>
        <v>5</v>
      </c>
      <c r="G11" s="67"/>
      <c r="H11" s="67"/>
      <c r="J11" s="73"/>
      <c r="K11" s="73"/>
    </row>
    <row r="12" spans="1:11" ht="25.35" customHeight="1" x14ac:dyDescent="0.3">
      <c r="A12" s="221" t="s">
        <v>251</v>
      </c>
      <c r="B12" s="224">
        <f t="shared" si="2"/>
        <v>6</v>
      </c>
      <c r="C12" s="227">
        <f>IFERROR(VLOOKUP(A12,'스윗밸런스 피벗'!A:SD,5,FALSE),0)</f>
        <v>55</v>
      </c>
      <c r="D12" s="227">
        <f t="shared" si="0"/>
        <v>9</v>
      </c>
      <c r="E12" s="51" t="s">
        <v>274</v>
      </c>
      <c r="F12" s="228">
        <f t="shared" si="1"/>
        <v>1</v>
      </c>
      <c r="G12" s="67"/>
      <c r="H12" s="67"/>
      <c r="J12" s="73"/>
      <c r="K12" s="73"/>
    </row>
    <row r="13" spans="1:11" ht="25.35" customHeight="1" x14ac:dyDescent="0.3">
      <c r="A13" s="220" t="s">
        <v>252</v>
      </c>
      <c r="B13" s="224">
        <f t="shared" si="2"/>
        <v>6</v>
      </c>
      <c r="C13" s="227">
        <f>IFERROR(VLOOKUP(A13,'스윗밸런스 피벗'!A:SD,5,FALSE),0)</f>
        <v>73</v>
      </c>
      <c r="D13" s="227">
        <f t="shared" si="0"/>
        <v>12</v>
      </c>
      <c r="E13" s="51" t="s">
        <v>275</v>
      </c>
      <c r="F13" s="228">
        <f t="shared" si="1"/>
        <v>1</v>
      </c>
      <c r="G13" s="67"/>
      <c r="H13" s="67"/>
      <c r="J13" s="73"/>
      <c r="K13" s="73"/>
    </row>
    <row r="14" spans="1:11" ht="25.35" customHeight="1" x14ac:dyDescent="0.3">
      <c r="A14" s="221" t="s">
        <v>253</v>
      </c>
      <c r="B14" s="224">
        <f t="shared" si="2"/>
        <v>6</v>
      </c>
      <c r="C14" s="227">
        <f>IFERROR(VLOOKUP(A14,'스윗밸런스 피벗'!A:SD,5,FALSE),0)</f>
        <v>82</v>
      </c>
      <c r="D14" s="227">
        <f t="shared" si="0"/>
        <v>13</v>
      </c>
      <c r="E14" s="51" t="s">
        <v>276</v>
      </c>
      <c r="F14" s="228">
        <f t="shared" si="1"/>
        <v>4</v>
      </c>
      <c r="G14" s="67"/>
      <c r="H14" s="67"/>
      <c r="J14" s="73"/>
      <c r="K14" s="73"/>
    </row>
    <row r="15" spans="1:11" ht="25.35" customHeight="1" x14ac:dyDescent="0.3">
      <c r="A15" s="221" t="s">
        <v>254</v>
      </c>
      <c r="B15" s="224">
        <f t="shared" si="2"/>
        <v>6</v>
      </c>
      <c r="C15" s="227">
        <f>IFERROR(VLOOKUP(A15,'스윗밸런스 피벗'!A:SD,5,FALSE),0)</f>
        <v>75</v>
      </c>
      <c r="D15" s="227">
        <f t="shared" si="0"/>
        <v>12</v>
      </c>
      <c r="E15" s="51" t="s">
        <v>277</v>
      </c>
      <c r="F15" s="228">
        <f t="shared" si="1"/>
        <v>3</v>
      </c>
      <c r="G15" s="67"/>
      <c r="H15" s="67"/>
      <c r="J15" s="73"/>
      <c r="K15" s="73"/>
    </row>
    <row r="16" spans="1:11" ht="25.35" customHeight="1" x14ac:dyDescent="0.3">
      <c r="A16" s="221" t="s">
        <v>257</v>
      </c>
      <c r="B16" s="224">
        <f t="shared" si="2"/>
        <v>6</v>
      </c>
      <c r="C16" s="227">
        <f>IFERROR(VLOOKUP(A16,'스윗밸런스 피벗'!A:SD,5,FALSE),0)</f>
        <v>38</v>
      </c>
      <c r="D16" s="227">
        <f t="shared" si="0"/>
        <v>6</v>
      </c>
      <c r="E16" s="51" t="s">
        <v>279</v>
      </c>
      <c r="F16" s="228">
        <f t="shared" si="1"/>
        <v>2</v>
      </c>
      <c r="G16" s="67"/>
      <c r="H16" s="67"/>
      <c r="J16" s="73"/>
      <c r="K16" s="73"/>
    </row>
    <row r="17" spans="1:11" ht="25.35" customHeight="1" x14ac:dyDescent="0.3">
      <c r="A17" s="221" t="s">
        <v>258</v>
      </c>
      <c r="B17" s="224">
        <f t="shared" si="2"/>
        <v>6</v>
      </c>
      <c r="C17" s="227">
        <f>IFERROR(VLOOKUP(A17,'스윗밸런스 피벗'!A:SD,5,FALSE),0)</f>
        <v>28</v>
      </c>
      <c r="D17" s="227">
        <f t="shared" si="0"/>
        <v>4</v>
      </c>
      <c r="E17" s="51" t="s">
        <v>280</v>
      </c>
      <c r="F17" s="228">
        <f t="shared" si="1"/>
        <v>4</v>
      </c>
      <c r="G17" s="67"/>
      <c r="H17" s="67"/>
      <c r="J17" s="73"/>
      <c r="K17" s="73"/>
    </row>
    <row r="18" spans="1:11" ht="25.35" customHeight="1" x14ac:dyDescent="0.3">
      <c r="A18" s="221" t="s">
        <v>259</v>
      </c>
      <c r="B18" s="224">
        <f t="shared" si="2"/>
        <v>6</v>
      </c>
      <c r="C18" s="227">
        <f>IFERROR(VLOOKUP(A18,'스윗밸런스 피벗'!A:SD,5,FALSE),0)</f>
        <v>35</v>
      </c>
      <c r="D18" s="227">
        <f t="shared" si="0"/>
        <v>5</v>
      </c>
      <c r="E18" s="51" t="s">
        <v>336</v>
      </c>
      <c r="F18" s="228">
        <f t="shared" si="1"/>
        <v>5</v>
      </c>
      <c r="G18" s="67"/>
      <c r="H18" s="67"/>
      <c r="J18" s="73"/>
      <c r="K18" s="73"/>
    </row>
    <row r="19" spans="1:11" ht="4.5" customHeight="1" x14ac:dyDescent="0.3">
      <c r="A19" s="183"/>
      <c r="B19" s="50"/>
      <c r="C19" s="50"/>
      <c r="D19" s="50"/>
      <c r="E19" s="50"/>
      <c r="F19" s="184"/>
      <c r="J19" s="73"/>
      <c r="K19" s="73"/>
    </row>
    <row r="20" spans="1:11" ht="32.450000000000003" customHeight="1" x14ac:dyDescent="0.3">
      <c r="A20" s="211" t="s">
        <v>122</v>
      </c>
      <c r="B20" s="225">
        <f>$B$4</f>
        <v>6</v>
      </c>
      <c r="C20" s="212">
        <f>SUM(C4:C18)</f>
        <v>787</v>
      </c>
      <c r="D20" s="55">
        <f>IFERROR(ROUNDDOWN(C20/B20,0),"")</f>
        <v>131</v>
      </c>
      <c r="E20" s="213"/>
      <c r="F20" s="214">
        <f>IFERROR(C20-(D20*B20),"")</f>
        <v>1</v>
      </c>
      <c r="J20" s="73"/>
      <c r="K20" s="73"/>
    </row>
    <row r="21" spans="1:11" ht="4.5" customHeight="1" x14ac:dyDescent="0.3">
      <c r="A21" s="183"/>
      <c r="B21" s="224"/>
      <c r="C21" s="50"/>
      <c r="D21" s="50"/>
      <c r="E21" s="50"/>
      <c r="F21" s="184"/>
      <c r="J21" s="73"/>
      <c r="K21" s="73"/>
    </row>
    <row r="22" spans="1:11" ht="25.35" customHeight="1" x14ac:dyDescent="0.3">
      <c r="A22" s="221" t="s">
        <v>241</v>
      </c>
      <c r="B22" s="224">
        <f t="shared" ref="B22:B26" si="3">$B$4</f>
        <v>6</v>
      </c>
      <c r="C22" s="227">
        <f>IFERROR(VLOOKUP(A22,'스윗밸런스 피벗'!A:SD,5,FALSE),0)</f>
        <v>37</v>
      </c>
      <c r="D22" s="227">
        <f>IFERROR(ROUNDDOWN(C22/B22,0),"")</f>
        <v>6</v>
      </c>
      <c r="E22" s="51" t="s">
        <v>268</v>
      </c>
      <c r="F22" s="228">
        <f>IFERROR(C22-(D22*B22),"")</f>
        <v>1</v>
      </c>
      <c r="G22" s="67"/>
      <c r="H22" s="67"/>
      <c r="J22" s="73"/>
      <c r="K22" s="73"/>
    </row>
    <row r="23" spans="1:11" ht="25.35" customHeight="1" x14ac:dyDescent="0.3">
      <c r="A23" s="221" t="s">
        <v>242</v>
      </c>
      <c r="B23" s="224">
        <f t="shared" si="3"/>
        <v>6</v>
      </c>
      <c r="C23" s="227">
        <f>IFERROR(VLOOKUP(A23,'스윗밸런스 피벗'!A:SD,5,FALSE),0)</f>
        <v>28</v>
      </c>
      <c r="D23" s="227">
        <f>IFERROR(ROUNDDOWN(C23/B23,0),"")</f>
        <v>4</v>
      </c>
      <c r="E23" s="51" t="s">
        <v>337</v>
      </c>
      <c r="F23" s="228">
        <f>IFERROR(C23-(D23*B23),"")</f>
        <v>4</v>
      </c>
      <c r="G23" s="67"/>
      <c r="H23" s="67"/>
      <c r="J23" s="73"/>
      <c r="K23" s="73"/>
    </row>
    <row r="24" spans="1:11" ht="25.35" customHeight="1" x14ac:dyDescent="0.3">
      <c r="A24" s="221" t="s">
        <v>243</v>
      </c>
      <c r="B24" s="224">
        <f t="shared" si="3"/>
        <v>6</v>
      </c>
      <c r="C24" s="227">
        <f>IFERROR(VLOOKUP(A24,'스윗밸런스 피벗'!A:SD,5,FALSE),0)</f>
        <v>0</v>
      </c>
      <c r="D24" s="227">
        <f>IFERROR(ROUNDDOWN(C24/B24,0),"")</f>
        <v>0</v>
      </c>
      <c r="E24" s="51" t="s">
        <v>106</v>
      </c>
      <c r="F24" s="228">
        <f>IFERROR(C24-(D24*B24),"")</f>
        <v>0</v>
      </c>
      <c r="G24" s="67"/>
      <c r="H24" s="67"/>
      <c r="J24" s="73"/>
      <c r="K24" s="73"/>
    </row>
    <row r="25" spans="1:11" ht="25.35" customHeight="1" x14ac:dyDescent="0.3">
      <c r="A25" s="221" t="s">
        <v>244</v>
      </c>
      <c r="B25" s="224">
        <f t="shared" si="3"/>
        <v>6</v>
      </c>
      <c r="C25" s="227">
        <f>IFERROR(VLOOKUP(A25,'스윗밸런스 피벗'!A:SD,5,FALSE),0)</f>
        <v>41</v>
      </c>
      <c r="D25" s="227">
        <f>IFERROR(ROUNDDOWN(C25/B25,0),"")</f>
        <v>6</v>
      </c>
      <c r="E25" s="51" t="s">
        <v>269</v>
      </c>
      <c r="F25" s="228">
        <f>IFERROR(C25-(D25*B25),"")</f>
        <v>5</v>
      </c>
      <c r="G25" s="67"/>
      <c r="H25" s="67"/>
      <c r="J25" s="73"/>
      <c r="K25" s="73"/>
    </row>
    <row r="26" spans="1:11" ht="25.35" customHeight="1" x14ac:dyDescent="0.3">
      <c r="A26" s="221" t="s">
        <v>245</v>
      </c>
      <c r="B26" s="224">
        <f t="shared" si="3"/>
        <v>6</v>
      </c>
      <c r="C26" s="227">
        <f>IFERROR(VLOOKUP(A26,'스윗밸런스 피벗'!A:SD,5,FALSE),0)</f>
        <v>39</v>
      </c>
      <c r="D26" s="227">
        <f>IFERROR(ROUNDDOWN(C26/B26,0),"")</f>
        <v>6</v>
      </c>
      <c r="E26" s="51" t="s">
        <v>118</v>
      </c>
      <c r="F26" s="228">
        <f>IFERROR(C26-(D26*B26),"")</f>
        <v>3</v>
      </c>
      <c r="G26" s="67"/>
      <c r="H26" s="67"/>
      <c r="J26" s="73"/>
      <c r="K26" s="73"/>
    </row>
    <row r="27" spans="1:11" ht="4.5" customHeight="1" x14ac:dyDescent="0.3">
      <c r="A27" s="183"/>
      <c r="B27" s="50"/>
      <c r="C27" s="50"/>
      <c r="D27" s="50"/>
      <c r="E27" s="50"/>
      <c r="F27" s="184"/>
      <c r="G27" s="67"/>
      <c r="H27" s="67"/>
      <c r="J27" s="73"/>
      <c r="K27" s="73"/>
    </row>
    <row r="28" spans="1:11" ht="32.450000000000003" customHeight="1" x14ac:dyDescent="0.3">
      <c r="A28" s="211" t="s">
        <v>285</v>
      </c>
      <c r="B28" s="225">
        <f>$B$4</f>
        <v>6</v>
      </c>
      <c r="C28" s="212">
        <f>SUM(C22:C26)</f>
        <v>145</v>
      </c>
      <c r="D28" s="55">
        <f>IFERROR(ROUNDDOWN(C28/B28,0),"")</f>
        <v>24</v>
      </c>
      <c r="E28" s="213"/>
      <c r="F28" s="214">
        <f>IFERROR(C28-(D28*B28),"")</f>
        <v>1</v>
      </c>
      <c r="G28" s="67"/>
      <c r="H28" s="67"/>
      <c r="J28" s="73"/>
      <c r="K28" s="73"/>
    </row>
    <row r="29" spans="1:11" ht="4.5" customHeight="1" x14ac:dyDescent="0.3">
      <c r="A29" s="183"/>
      <c r="B29" s="50"/>
      <c r="C29" s="50"/>
      <c r="D29" s="50"/>
      <c r="E29" s="50"/>
      <c r="F29" s="184"/>
      <c r="G29" s="67"/>
      <c r="H29" s="67"/>
      <c r="J29" s="73"/>
      <c r="K29" s="73"/>
    </row>
    <row r="30" spans="1:11" ht="25.35" customHeight="1" x14ac:dyDescent="0.3">
      <c r="A30" s="221" t="s">
        <v>239</v>
      </c>
      <c r="B30" s="224">
        <f t="shared" ref="B30:B31" si="4">$B$4</f>
        <v>6</v>
      </c>
      <c r="C30" s="227">
        <f>IFERROR(VLOOKUP(A30,'스윗밸런스 피벗'!A:SD,5,FALSE),0)</f>
        <v>44</v>
      </c>
      <c r="D30" s="227">
        <f t="shared" ref="D30:D31" si="5">IFERROR(ROUNDDOWN(C30/B30,0),"")</f>
        <v>7</v>
      </c>
      <c r="E30" s="51" t="s">
        <v>266</v>
      </c>
      <c r="F30" s="228">
        <f t="shared" ref="F30:F31" si="6">IFERROR(C30-(D30*B30),"")</f>
        <v>2</v>
      </c>
      <c r="G30" s="67"/>
      <c r="H30" s="67"/>
      <c r="J30" s="73"/>
      <c r="K30" s="73"/>
    </row>
    <row r="31" spans="1:11" ht="25.35" customHeight="1" x14ac:dyDescent="0.3">
      <c r="A31" s="221" t="s">
        <v>240</v>
      </c>
      <c r="B31" s="224">
        <f t="shared" si="4"/>
        <v>6</v>
      </c>
      <c r="C31" s="227">
        <f>IFERROR(VLOOKUP(A31,'스윗밸런스 피벗'!A:SD,5,FALSE),0)</f>
        <v>41</v>
      </c>
      <c r="D31" s="227">
        <f t="shared" si="5"/>
        <v>6</v>
      </c>
      <c r="E31" s="51" t="s">
        <v>267</v>
      </c>
      <c r="F31" s="228">
        <f t="shared" si="6"/>
        <v>5</v>
      </c>
      <c r="G31" s="67"/>
      <c r="H31" s="67"/>
      <c r="J31" s="73"/>
      <c r="K31" s="73"/>
    </row>
    <row r="32" spans="1:11" ht="4.5" customHeight="1" x14ac:dyDescent="0.3">
      <c r="A32" s="183"/>
      <c r="B32" s="50"/>
      <c r="C32" s="50"/>
      <c r="D32" s="50"/>
      <c r="E32" s="50"/>
      <c r="F32" s="184"/>
      <c r="G32" s="67"/>
      <c r="H32" s="67"/>
      <c r="J32" s="73"/>
      <c r="K32" s="73"/>
    </row>
    <row r="33" spans="1:11" ht="32.450000000000003" customHeight="1" x14ac:dyDescent="0.3">
      <c r="A33" s="211" t="s">
        <v>284</v>
      </c>
      <c r="B33" s="225">
        <f>$B$4</f>
        <v>6</v>
      </c>
      <c r="C33" s="212">
        <f>SUM(C30:C31)</f>
        <v>85</v>
      </c>
      <c r="D33" s="55">
        <f>IFERROR(ROUNDDOWN(C33/B33,0),"")</f>
        <v>14</v>
      </c>
      <c r="E33" s="213"/>
      <c r="F33" s="214">
        <f>IFERROR(C33-(D33*B33),"")</f>
        <v>1</v>
      </c>
      <c r="G33" s="67"/>
      <c r="H33" s="67"/>
      <c r="J33" s="73"/>
      <c r="K33" s="73"/>
    </row>
    <row r="34" spans="1:11" ht="4.5" customHeight="1" x14ac:dyDescent="0.3">
      <c r="A34" s="183"/>
      <c r="B34" s="224"/>
      <c r="C34" s="50"/>
      <c r="D34" s="50"/>
      <c r="E34" s="50"/>
      <c r="F34" s="184"/>
      <c r="G34" s="67"/>
      <c r="H34" s="67"/>
      <c r="J34" s="73"/>
      <c r="K34" s="73"/>
    </row>
    <row r="35" spans="1:11" ht="25.35" customHeight="1" x14ac:dyDescent="0.3">
      <c r="A35" s="221" t="s">
        <v>236</v>
      </c>
      <c r="B35" s="224">
        <f t="shared" ref="B35:B37" si="7">$B$4</f>
        <v>6</v>
      </c>
      <c r="C35" s="227">
        <f>IFERROR(VLOOKUP(A35,'스윗밸런스 피벗'!A:SD,5,FALSE),0)</f>
        <v>74</v>
      </c>
      <c r="D35" s="227">
        <f>IFERROR(ROUNDDOWN(C35/B35,0),"")</f>
        <v>12</v>
      </c>
      <c r="E35" s="51" t="s">
        <v>264</v>
      </c>
      <c r="F35" s="228">
        <f>IFERROR(C35-(D35*B35),"")</f>
        <v>2</v>
      </c>
      <c r="G35" s="67"/>
      <c r="H35" s="67"/>
      <c r="J35" s="73"/>
      <c r="K35" s="73"/>
    </row>
    <row r="36" spans="1:11" ht="25.35" customHeight="1" x14ac:dyDescent="0.3">
      <c r="A36" s="221" t="s">
        <v>237</v>
      </c>
      <c r="B36" s="224">
        <f t="shared" si="7"/>
        <v>6</v>
      </c>
      <c r="C36" s="227">
        <f>IFERROR(VLOOKUP(A36,'스윗밸런스 피벗'!A:SD,5,FALSE),0)</f>
        <v>25</v>
      </c>
      <c r="D36" s="227">
        <f t="shared" ref="D36:D37" si="8">IFERROR(ROUNDDOWN(C36/B36,0),"")</f>
        <v>4</v>
      </c>
      <c r="E36" s="51" t="s">
        <v>338</v>
      </c>
      <c r="F36" s="228">
        <f t="shared" ref="F36:F37" si="9">IFERROR(C36-(D36*B36),"")</f>
        <v>1</v>
      </c>
      <c r="G36" s="67"/>
      <c r="H36" s="67"/>
      <c r="J36" s="73"/>
      <c r="K36" s="73"/>
    </row>
    <row r="37" spans="1:11" ht="25.35" customHeight="1" x14ac:dyDescent="0.3">
      <c r="A37" s="221" t="s">
        <v>238</v>
      </c>
      <c r="B37" s="224">
        <f t="shared" si="7"/>
        <v>6</v>
      </c>
      <c r="C37" s="227">
        <f>IFERROR(VLOOKUP(A37,'스윗밸런스 피벗'!A:SD,5,FALSE),0)</f>
        <v>19</v>
      </c>
      <c r="D37" s="227">
        <f t="shared" si="8"/>
        <v>3</v>
      </c>
      <c r="E37" s="51" t="s">
        <v>265</v>
      </c>
      <c r="F37" s="228">
        <f t="shared" si="9"/>
        <v>1</v>
      </c>
      <c r="G37" s="67"/>
      <c r="H37" s="67"/>
      <c r="J37" s="73"/>
      <c r="K37" s="73"/>
    </row>
    <row r="38" spans="1:11" ht="4.5" customHeight="1" x14ac:dyDescent="0.3">
      <c r="A38" s="183"/>
      <c r="B38" s="50"/>
      <c r="C38" s="50"/>
      <c r="D38" s="50"/>
      <c r="E38" s="50"/>
      <c r="F38" s="184"/>
      <c r="G38" s="67"/>
      <c r="H38" s="67"/>
      <c r="J38" s="73"/>
      <c r="K38" s="73"/>
    </row>
    <row r="39" spans="1:11" ht="32.450000000000003" customHeight="1" x14ac:dyDescent="0.3">
      <c r="A39" s="211" t="s">
        <v>283</v>
      </c>
      <c r="B39" s="225">
        <f>$B$4</f>
        <v>6</v>
      </c>
      <c r="C39" s="212">
        <f>SUM(C35:C37)</f>
        <v>118</v>
      </c>
      <c r="D39" s="55">
        <f>IFERROR(ROUNDDOWN(C39/B39,0),"")</f>
        <v>19</v>
      </c>
      <c r="E39" s="213"/>
      <c r="F39" s="214">
        <f>IFERROR(C39-(D39*B39),"")</f>
        <v>4</v>
      </c>
      <c r="G39" s="67"/>
      <c r="H39" s="67"/>
      <c r="J39" s="73"/>
      <c r="K39" s="73"/>
    </row>
    <row r="40" spans="1:11" ht="4.5" customHeight="1" x14ac:dyDescent="0.3">
      <c r="A40" s="183"/>
      <c r="B40" s="224"/>
      <c r="C40" s="50"/>
      <c r="D40" s="50"/>
      <c r="E40" s="50"/>
      <c r="F40" s="184"/>
      <c r="G40" s="67"/>
      <c r="H40" s="67"/>
      <c r="J40" s="73"/>
      <c r="K40" s="73"/>
    </row>
    <row r="41" spans="1:11" ht="25.35" customHeight="1" x14ac:dyDescent="0.3">
      <c r="A41" s="221" t="s">
        <v>261</v>
      </c>
      <c r="B41" s="224">
        <f t="shared" ref="B41:B42" si="10">$B$4</f>
        <v>6</v>
      </c>
      <c r="C41" s="227">
        <f>IFERROR(VLOOKUP(A41,'스윗밸런스 피벗'!A:SD,5,FALSE),0)</f>
        <v>17</v>
      </c>
      <c r="D41" s="227">
        <f t="shared" ref="D41:D42" si="11">IFERROR(ROUNDDOWN(C41/B41,0),"")</f>
        <v>2</v>
      </c>
      <c r="E41" s="51" t="s">
        <v>281</v>
      </c>
      <c r="F41" s="228">
        <f t="shared" ref="F41:F42" si="12">IFERROR(C41-(D41*B41),"")</f>
        <v>5</v>
      </c>
      <c r="G41" s="67"/>
      <c r="H41" s="67"/>
      <c r="J41" s="73"/>
      <c r="K41" s="73"/>
    </row>
    <row r="42" spans="1:11" ht="25.35" customHeight="1" x14ac:dyDescent="0.3">
      <c r="A42" s="221" t="s">
        <v>262</v>
      </c>
      <c r="B42" s="224">
        <f t="shared" si="10"/>
        <v>6</v>
      </c>
      <c r="C42" s="227">
        <f>IFERROR(VLOOKUP(A42,'스윗밸런스 피벗'!A:SD,5,FALSE),0)</f>
        <v>8</v>
      </c>
      <c r="D42" s="227">
        <f t="shared" si="11"/>
        <v>1</v>
      </c>
      <c r="E42" s="51" t="s">
        <v>282</v>
      </c>
      <c r="F42" s="228">
        <f t="shared" si="12"/>
        <v>2</v>
      </c>
      <c r="G42" s="67"/>
      <c r="H42" s="67"/>
      <c r="J42" s="73"/>
      <c r="K42" s="73"/>
    </row>
    <row r="43" spans="1:11" ht="4.5" customHeight="1" x14ac:dyDescent="0.3">
      <c r="A43" s="183"/>
      <c r="B43" s="50"/>
      <c r="C43" s="50"/>
      <c r="D43" s="50"/>
      <c r="E43" s="50"/>
      <c r="F43" s="184"/>
      <c r="G43" s="67"/>
      <c r="H43" s="67"/>
      <c r="J43" s="73"/>
      <c r="K43" s="73"/>
    </row>
    <row r="44" spans="1:11" ht="32.450000000000003" customHeight="1" x14ac:dyDescent="0.3">
      <c r="A44" s="211" t="s">
        <v>339</v>
      </c>
      <c r="B44" s="225">
        <f>$B$4</f>
        <v>6</v>
      </c>
      <c r="C44" s="212">
        <f>SUM(C41:C42)</f>
        <v>25</v>
      </c>
      <c r="D44" s="55">
        <f>IFERROR(ROUNDDOWN(C44/B44,0),"")</f>
        <v>4</v>
      </c>
      <c r="E44" s="213"/>
      <c r="F44" s="214">
        <f>IFERROR(C44-(D44*B44),"")</f>
        <v>1</v>
      </c>
      <c r="G44" s="67"/>
      <c r="H44" s="67"/>
      <c r="J44" s="73"/>
      <c r="K44" s="73"/>
    </row>
    <row r="45" spans="1:11" ht="4.5" customHeight="1" thickBot="1" x14ac:dyDescent="0.35">
      <c r="A45" s="183"/>
      <c r="B45" s="50"/>
      <c r="C45" s="50"/>
      <c r="D45" s="50"/>
      <c r="E45" s="50"/>
      <c r="F45" s="184"/>
      <c r="G45" s="67"/>
      <c r="H45" s="67"/>
      <c r="J45" s="73"/>
      <c r="K45" s="73"/>
    </row>
    <row r="46" spans="1:11" ht="26.25" x14ac:dyDescent="0.3">
      <c r="A46" s="87" t="s">
        <v>3</v>
      </c>
      <c r="B46" s="226">
        <f>$B$4</f>
        <v>6</v>
      </c>
      <c r="C46" s="55">
        <f>SUM(C4:C18,C35:C37,C30:C31,C22:C26,C41:C42)</f>
        <v>1160</v>
      </c>
      <c r="D46" s="54">
        <f>IFERROR(ROUNDDOWN(C46/B46,0),"")</f>
        <v>193</v>
      </c>
      <c r="E46" s="56"/>
      <c r="F46" s="121">
        <f>IFERROR(C46-(D46*B46),"")</f>
        <v>2</v>
      </c>
      <c r="G46" s="232" t="s">
        <v>110</v>
      </c>
      <c r="H46" s="233" t="s">
        <v>111</v>
      </c>
      <c r="J46" s="73"/>
      <c r="K46" s="73"/>
    </row>
    <row r="47" spans="1:11" ht="27" thickBot="1" x14ac:dyDescent="0.35">
      <c r="A47" s="42" t="s">
        <v>286</v>
      </c>
      <c r="B47" s="43" t="s">
        <v>173</v>
      </c>
      <c r="C47" s="40"/>
      <c r="D47" s="41">
        <f>SUM(D4:D18,D35:D37,D30:D31,D22:D26,D41:D42)</f>
        <v>182</v>
      </c>
      <c r="E47" s="48"/>
      <c r="F47" s="93">
        <f>SUM(F4:F18,F35:F37,F30:F31,F22:F26,F41:F42)</f>
        <v>68</v>
      </c>
      <c r="G47" s="216">
        <f>IFERROR(ROUNDDOWN(F47/B35,0),"")</f>
        <v>11</v>
      </c>
      <c r="H47" s="217">
        <f>IFERROR(F47-(G47*B35),"")</f>
        <v>2</v>
      </c>
    </row>
    <row r="48" spans="1:11" ht="22.5" customHeight="1" x14ac:dyDescent="0.3">
      <c r="C48" s="77">
        <f>C20+C28+C33+C39+C44</f>
        <v>1160</v>
      </c>
      <c r="G48" s="199"/>
      <c r="H48" s="34" t="s">
        <v>174</v>
      </c>
    </row>
    <row r="49" spans="3:3" x14ac:dyDescent="0.3">
      <c r="C49" s="34" t="b">
        <f>C48=C46</f>
        <v>1</v>
      </c>
    </row>
  </sheetData>
  <mergeCells count="1">
    <mergeCell ref="A1:F1"/>
  </mergeCells>
  <phoneticPr fontId="13" type="noConversion"/>
  <printOptions horizontalCentered="1" verticalCentered="1"/>
  <pageMargins left="0" right="0" top="0" bottom="0" header="0" footer="0"/>
  <pageSetup paperSize="9" scale="77" orientation="portrait" r:id="rId1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66C1CE-ADC4-4DA6-A9FF-27C44E5AC1F4}">
  <sheetPr>
    <tabColor theme="8" tint="-0.249977111117893"/>
  </sheetPr>
  <dimension ref="A1:SO4"/>
  <sheetViews>
    <sheetView zoomScale="55" zoomScaleNormal="55" zoomScaleSheetLayoutView="75" workbookViewId="0">
      <selection activeCell="A2" sqref="A2:F47"/>
    </sheetView>
  </sheetViews>
  <sheetFormatPr defaultColWidth="9" defaultRowHeight="15" customHeight="1" x14ac:dyDescent="0.3"/>
  <cols>
    <col min="1" max="19" width="37.625" style="34" customWidth="1"/>
    <col min="20" max="20" width="22.25" style="34" bestFit="1" customWidth="1"/>
    <col min="21" max="23" width="18.375" style="34" customWidth="1"/>
    <col min="24" max="24" width="27.625" style="34" bestFit="1" customWidth="1"/>
    <col min="25" max="26" width="18.375" style="34" customWidth="1"/>
    <col min="27" max="27" width="27.625" style="34" bestFit="1" customWidth="1"/>
    <col min="28" max="28" width="18.375" style="34" customWidth="1"/>
    <col min="29" max="29" width="25.375" style="34" bestFit="1" customWidth="1"/>
    <col min="30" max="30" width="21" style="34" bestFit="1" customWidth="1"/>
    <col min="31" max="31" width="27.625" style="34" bestFit="1" customWidth="1"/>
    <col min="32" max="32" width="18.375" style="34" customWidth="1"/>
    <col min="33" max="33" width="27.625" style="34" bestFit="1" customWidth="1"/>
    <col min="34" max="387" width="30.375" style="34" customWidth="1"/>
    <col min="388" max="389" width="21.25" style="34" customWidth="1"/>
    <col min="390" max="405" width="20.5" style="34" customWidth="1"/>
    <col min="406" max="406" width="21" style="34" bestFit="1" customWidth="1"/>
    <col min="407" max="407" width="25.125" style="34" bestFit="1" customWidth="1"/>
    <col min="408" max="408" width="23" style="34" bestFit="1" customWidth="1"/>
    <col min="409" max="409" width="33.375" style="34" bestFit="1" customWidth="1"/>
    <col min="410" max="410" width="25.125" style="34" bestFit="1" customWidth="1"/>
    <col min="411" max="411" width="28.875" style="34" bestFit="1" customWidth="1"/>
    <col min="412" max="412" width="23" style="34" bestFit="1" customWidth="1"/>
    <col min="413" max="413" width="18.875" style="34" customWidth="1"/>
    <col min="414" max="414" width="23" style="34" bestFit="1" customWidth="1"/>
    <col min="415" max="415" width="25.125" style="34" bestFit="1" customWidth="1"/>
    <col min="416" max="416" width="18.875" style="34" customWidth="1"/>
    <col min="417" max="417" width="19.125" style="34" customWidth="1"/>
    <col min="418" max="418" width="18.125" style="34" customWidth="1"/>
    <col min="419" max="419" width="18.875" style="34" customWidth="1"/>
    <col min="420" max="420" width="26.625" style="34" customWidth="1"/>
    <col min="421" max="421" width="22.125" style="34" customWidth="1"/>
    <col min="422" max="422" width="24.125" style="34" customWidth="1"/>
    <col min="423" max="423" width="21.375" style="34" customWidth="1"/>
    <col min="424" max="424" width="19.375" style="34" customWidth="1"/>
    <col min="425" max="425" width="20" style="34" customWidth="1"/>
    <col min="426" max="426" width="23.25" style="34" customWidth="1"/>
    <col min="427" max="427" width="18" style="34" customWidth="1"/>
    <col min="428" max="458" width="19" style="34" customWidth="1"/>
    <col min="459" max="463" width="20.25" style="34" customWidth="1"/>
    <col min="464" max="464" width="17.25" style="34" customWidth="1"/>
    <col min="465" max="465" width="17.75" style="34" customWidth="1"/>
    <col min="466" max="466" width="16.5" style="34" customWidth="1"/>
    <col min="467" max="469" width="21" style="34" customWidth="1"/>
    <col min="470" max="470" width="18.5" style="34" customWidth="1"/>
    <col min="471" max="475" width="21" style="34" customWidth="1"/>
    <col min="476" max="476" width="15.125" style="34" customWidth="1"/>
    <col min="477" max="492" width="21" style="34" customWidth="1"/>
    <col min="493" max="493" width="24.25" style="34" customWidth="1"/>
    <col min="494" max="494" width="18.875" style="34" bestFit="1" customWidth="1"/>
    <col min="495" max="495" width="21" style="34" bestFit="1" customWidth="1"/>
    <col min="496" max="496" width="23" style="38" bestFit="1" customWidth="1"/>
    <col min="497" max="497" width="8.625" style="38" bestFit="1" customWidth="1"/>
    <col min="498" max="498" width="21" style="38" bestFit="1" customWidth="1"/>
    <col min="499" max="499" width="23" style="38" bestFit="1" customWidth="1"/>
    <col min="500" max="500" width="8.625" style="38" bestFit="1" customWidth="1"/>
    <col min="501" max="501" width="22.875" style="34" customWidth="1"/>
    <col min="502" max="508" width="20.875" style="38" customWidth="1"/>
    <col min="509" max="509" width="23.25" style="38" customWidth="1"/>
    <col min="510" max="16384" width="9" style="34"/>
  </cols>
  <sheetData>
    <row r="1" spans="1:501" s="38" customFormat="1" ht="15" customHeight="1" x14ac:dyDescent="0.3">
      <c r="A1" s="62" t="s">
        <v>358</v>
      </c>
      <c r="B1" s="62" t="s">
        <v>89</v>
      </c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2"/>
      <c r="AI1" s="2"/>
      <c r="AJ1" s="2"/>
      <c r="AK1" s="2"/>
      <c r="AL1" s="2"/>
      <c r="AM1" s="2"/>
      <c r="AN1" s="2"/>
      <c r="AO1" s="2"/>
      <c r="AP1" s="29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2"/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2"/>
      <c r="EV1" s="2"/>
      <c r="EW1" s="2"/>
      <c r="EX1" s="2"/>
      <c r="EY1" s="2"/>
      <c r="EZ1" s="2"/>
      <c r="FA1" s="2"/>
      <c r="FB1" s="2"/>
      <c r="FC1" s="2"/>
      <c r="FD1" s="2"/>
      <c r="FE1" s="2"/>
      <c r="FF1" s="2"/>
      <c r="FG1" s="2"/>
      <c r="FH1" s="2"/>
      <c r="FI1" s="2"/>
      <c r="FJ1" s="2"/>
      <c r="FK1" s="2"/>
      <c r="FL1" s="2"/>
      <c r="FM1" s="2"/>
      <c r="FN1" s="2"/>
      <c r="FO1" s="2"/>
      <c r="FP1" s="2"/>
      <c r="FQ1" s="2"/>
      <c r="FR1" s="2"/>
      <c r="FS1" s="2"/>
      <c r="FT1" s="2"/>
      <c r="FU1" s="2"/>
      <c r="FV1" s="2"/>
      <c r="FW1" s="2"/>
      <c r="FX1" s="2"/>
      <c r="FY1" s="2"/>
      <c r="FZ1" s="2"/>
      <c r="GA1" s="2"/>
      <c r="GB1" s="2"/>
      <c r="GC1" s="2"/>
      <c r="GD1" s="2"/>
      <c r="GE1" s="2"/>
      <c r="GF1" s="2"/>
      <c r="GG1" s="2"/>
      <c r="GH1" s="2"/>
      <c r="GI1" s="2"/>
      <c r="GJ1" s="2"/>
      <c r="GK1" s="2"/>
      <c r="GL1" s="2"/>
      <c r="GM1" s="2"/>
      <c r="GN1" s="2"/>
      <c r="GO1" s="2"/>
      <c r="GP1" s="2"/>
      <c r="GQ1" s="2"/>
      <c r="GR1" s="23"/>
      <c r="GS1" s="23"/>
      <c r="GT1" s="23"/>
      <c r="GU1" s="23"/>
      <c r="GV1" s="23"/>
      <c r="GW1" s="23"/>
      <c r="GX1" s="23"/>
      <c r="GY1" s="23"/>
      <c r="GZ1" s="23"/>
      <c r="HA1" s="23"/>
      <c r="HB1" s="23"/>
      <c r="HC1" s="23"/>
      <c r="HD1" s="23"/>
      <c r="HE1" s="23"/>
      <c r="HF1" s="23"/>
      <c r="HG1" s="23"/>
      <c r="HH1" s="23"/>
      <c r="HI1" s="23"/>
      <c r="HJ1" s="23"/>
      <c r="HK1" s="23"/>
      <c r="HL1" s="23"/>
      <c r="HM1" s="23"/>
      <c r="HN1" s="23"/>
      <c r="HO1" s="23"/>
      <c r="HP1" s="23"/>
      <c r="HQ1" s="23"/>
      <c r="HR1" s="23"/>
      <c r="HS1" s="23"/>
      <c r="HT1" s="23"/>
      <c r="HU1" s="23"/>
      <c r="HV1" s="23"/>
      <c r="HW1" s="23"/>
      <c r="HX1" s="23"/>
      <c r="HY1" s="23"/>
      <c r="HZ1" s="23"/>
      <c r="IA1" s="23"/>
      <c r="IB1" s="23"/>
      <c r="IC1" s="23"/>
      <c r="ID1" s="23"/>
      <c r="IE1" s="23"/>
      <c r="IF1" s="23"/>
      <c r="IG1" s="23"/>
      <c r="IH1" s="23"/>
      <c r="II1" s="23"/>
      <c r="IJ1" s="23"/>
      <c r="IK1" s="23"/>
      <c r="IL1" s="23"/>
      <c r="IM1" s="23"/>
      <c r="IN1" s="23"/>
      <c r="IO1" s="23"/>
      <c r="IP1" s="23"/>
      <c r="IQ1" s="23"/>
      <c r="IR1" s="23"/>
      <c r="IS1" s="23"/>
      <c r="IT1" s="23"/>
      <c r="IU1" s="23"/>
      <c r="IV1" s="23"/>
      <c r="IW1" s="23"/>
      <c r="IX1" s="23"/>
      <c r="IY1" s="23"/>
      <c r="IZ1" s="23"/>
      <c r="JA1" s="23"/>
      <c r="JB1" s="23"/>
      <c r="JC1" s="23"/>
      <c r="JD1" s="23"/>
      <c r="JE1" s="23"/>
      <c r="JF1" s="23"/>
      <c r="JG1" s="23"/>
      <c r="JH1" s="23"/>
      <c r="JI1" s="23"/>
      <c r="JJ1" s="23"/>
      <c r="JK1" s="23"/>
      <c r="JL1" s="23"/>
      <c r="JM1" s="23"/>
      <c r="JN1" s="23"/>
      <c r="JO1" s="23"/>
      <c r="JP1" s="23"/>
      <c r="JQ1" s="23"/>
      <c r="JR1" s="23"/>
      <c r="JS1" s="23"/>
      <c r="JT1" s="23"/>
      <c r="JU1" s="23"/>
      <c r="JV1" s="23"/>
      <c r="JW1" s="23"/>
      <c r="JX1" s="23"/>
      <c r="JY1" s="23"/>
      <c r="JZ1" s="23"/>
      <c r="KA1" s="23"/>
      <c r="KB1" s="23"/>
      <c r="KC1" s="23"/>
      <c r="KD1" s="23"/>
      <c r="KE1" s="23"/>
      <c r="KF1" s="23"/>
      <c r="KG1" s="23"/>
      <c r="KH1" s="23"/>
      <c r="KI1" s="23"/>
      <c r="KJ1" s="23"/>
      <c r="KK1" s="23"/>
      <c r="KL1" s="23"/>
      <c r="KM1" s="23"/>
      <c r="KN1" s="23"/>
      <c r="KO1" s="23"/>
      <c r="KP1" s="23"/>
      <c r="KQ1" s="23"/>
      <c r="KR1" s="23"/>
      <c r="KS1" s="23"/>
      <c r="KT1" s="23"/>
      <c r="KU1" s="23"/>
      <c r="KV1" s="23"/>
      <c r="KW1" s="23"/>
      <c r="KX1" s="23"/>
      <c r="KY1" s="23"/>
      <c r="KZ1" s="23"/>
      <c r="LA1" s="23"/>
      <c r="LB1" s="23"/>
      <c r="LC1" s="23"/>
      <c r="LD1" s="23"/>
      <c r="LE1" s="23"/>
      <c r="LF1" s="23"/>
      <c r="LG1" s="23"/>
      <c r="LH1" s="23"/>
      <c r="LI1" s="23"/>
      <c r="LJ1" s="23"/>
      <c r="LK1" s="23"/>
      <c r="LL1" s="23"/>
      <c r="LM1" s="23"/>
      <c r="LN1" s="23"/>
      <c r="LO1" s="23"/>
      <c r="LP1" s="23"/>
      <c r="LQ1" s="23"/>
      <c r="LR1" s="23"/>
      <c r="LS1" s="23"/>
      <c r="LT1" s="23"/>
      <c r="LU1" s="23"/>
      <c r="LV1" s="23"/>
      <c r="LW1" s="23"/>
      <c r="LX1" s="23"/>
      <c r="LY1" s="23"/>
      <c r="LZ1" s="23"/>
      <c r="MA1" s="23"/>
      <c r="MB1" s="23"/>
      <c r="MC1" s="23"/>
      <c r="MD1" s="23"/>
      <c r="ME1" s="32"/>
      <c r="MF1" s="23"/>
      <c r="MG1" s="23"/>
      <c r="MH1" s="23"/>
      <c r="MI1" s="23"/>
      <c r="MJ1" s="32"/>
      <c r="MK1" s="32"/>
      <c r="ML1" s="23"/>
      <c r="MM1" s="23"/>
      <c r="MN1" s="23"/>
      <c r="MO1" s="23"/>
      <c r="MP1" s="23"/>
      <c r="MQ1" s="23"/>
      <c r="MR1" s="23"/>
      <c r="MS1" s="23"/>
      <c r="MT1" s="23"/>
      <c r="MU1" s="23"/>
      <c r="MV1" s="23"/>
      <c r="MW1" s="23"/>
      <c r="MX1" s="23"/>
      <c r="MY1" s="23"/>
      <c r="MZ1" s="23"/>
      <c r="NA1" s="23"/>
      <c r="NB1" s="23"/>
      <c r="NC1" s="23"/>
      <c r="ND1" s="23"/>
      <c r="NE1" s="23"/>
      <c r="NF1" s="23"/>
      <c r="NG1" s="23"/>
      <c r="NH1" s="23"/>
      <c r="NI1" s="23"/>
      <c r="NJ1" s="23"/>
      <c r="NK1" s="23"/>
      <c r="NL1" s="23"/>
      <c r="NM1" s="23"/>
      <c r="NN1" s="23"/>
      <c r="NO1" s="23"/>
      <c r="NP1" s="23"/>
      <c r="NQ1" s="23"/>
      <c r="NR1" s="23"/>
      <c r="NS1" s="23"/>
      <c r="NT1" s="23"/>
      <c r="NU1" s="23"/>
      <c r="NV1" s="23"/>
      <c r="NW1" s="23"/>
      <c r="NX1" s="23"/>
      <c r="NY1" s="23"/>
      <c r="NZ1" s="23"/>
      <c r="OA1" s="23"/>
      <c r="OB1" s="23"/>
      <c r="OC1" s="23"/>
      <c r="OD1" s="23"/>
      <c r="OE1" s="23"/>
      <c r="OF1" s="23"/>
      <c r="OG1" s="23"/>
      <c r="OH1" s="23"/>
      <c r="OI1" s="23"/>
      <c r="OJ1" s="23"/>
      <c r="OK1" s="23"/>
      <c r="OL1" s="23"/>
      <c r="OM1" s="23"/>
      <c r="ON1" s="23"/>
      <c r="OO1" s="23"/>
      <c r="OP1" s="32"/>
      <c r="OQ1" s="23"/>
      <c r="OR1" s="23"/>
      <c r="OS1" s="23"/>
      <c r="OT1" s="23"/>
      <c r="OU1" s="23"/>
      <c r="OV1" s="23"/>
      <c r="OW1" s="23"/>
      <c r="OX1" s="23"/>
      <c r="OY1" s="23"/>
      <c r="OZ1" s="23"/>
      <c r="PA1" s="23"/>
      <c r="PB1" s="23"/>
      <c r="PC1" s="23"/>
      <c r="PD1" s="23"/>
      <c r="PE1" s="23"/>
      <c r="PF1" s="23"/>
      <c r="PG1" s="23"/>
      <c r="PH1" s="23"/>
      <c r="PI1" s="23"/>
      <c r="PJ1" s="23"/>
      <c r="PK1" s="23"/>
      <c r="PL1" s="32"/>
      <c r="PM1" s="23"/>
      <c r="PN1" s="23"/>
      <c r="PO1" s="23"/>
      <c r="PP1" s="23"/>
      <c r="PQ1" s="23"/>
      <c r="PR1" s="23"/>
      <c r="PS1" s="23"/>
      <c r="PT1" s="23"/>
      <c r="PU1" s="23"/>
      <c r="PV1" s="23"/>
      <c r="PW1" s="23"/>
      <c r="PX1" s="23"/>
      <c r="PY1" s="23"/>
      <c r="PZ1" s="32"/>
      <c r="QA1" s="23"/>
      <c r="QB1" s="23"/>
      <c r="QC1" s="23"/>
      <c r="QD1" s="23"/>
      <c r="QE1" s="23"/>
      <c r="QF1" s="23"/>
      <c r="QG1" s="23"/>
      <c r="QH1" s="23"/>
      <c r="QI1" s="23"/>
      <c r="QJ1" s="23"/>
      <c r="QK1" s="23"/>
      <c r="QL1" s="23"/>
      <c r="QM1" s="23"/>
      <c r="QN1" s="23"/>
      <c r="QO1" s="23"/>
      <c r="QP1" s="23"/>
      <c r="QQ1" s="23"/>
      <c r="QR1" s="23"/>
      <c r="QS1" s="23"/>
      <c r="QT1" s="23"/>
      <c r="QU1" s="23"/>
      <c r="QV1" s="23"/>
      <c r="QW1" s="23"/>
      <c r="QX1" s="23"/>
      <c r="QY1" s="23"/>
      <c r="QZ1" s="23"/>
      <c r="RA1" s="23"/>
      <c r="RB1" s="23"/>
      <c r="RC1" s="23"/>
      <c r="RD1" s="23"/>
      <c r="RE1" s="23"/>
      <c r="RF1" s="23"/>
      <c r="RG1" s="23"/>
      <c r="RH1" s="23"/>
      <c r="RI1" s="23"/>
      <c r="RJ1" s="23"/>
      <c r="RK1" s="23"/>
      <c r="RL1" s="23"/>
      <c r="RM1" s="23"/>
      <c r="RN1" s="23"/>
      <c r="RO1" s="23"/>
      <c r="RP1" s="23"/>
      <c r="RQ1" s="23"/>
      <c r="RR1" s="23"/>
      <c r="RS1" s="23"/>
      <c r="RT1" s="23"/>
      <c r="RU1" s="23"/>
      <c r="RV1" s="23"/>
      <c r="RW1" s="23"/>
      <c r="RX1" s="23"/>
      <c r="RY1" s="23"/>
      <c r="RZ1" s="23"/>
      <c r="SA1" s="23"/>
      <c r="SB1" s="23"/>
      <c r="SC1" s="23"/>
      <c r="SD1" s="23"/>
      <c r="SE1" s="23"/>
      <c r="SF1" s="23"/>
      <c r="SG1" s="23"/>
    </row>
    <row r="2" spans="1:501" s="38" customFormat="1" ht="15" customHeight="1" x14ac:dyDescent="0.3">
      <c r="A2" s="53" t="s">
        <v>67</v>
      </c>
      <c r="B2" s="53" t="s">
        <v>343</v>
      </c>
      <c r="C2" s="53" t="s">
        <v>3</v>
      </c>
      <c r="D2" s="53"/>
      <c r="E2" s="53"/>
      <c r="F2" s="53"/>
      <c r="G2" s="53"/>
      <c r="H2" s="53"/>
      <c r="I2" s="53"/>
      <c r="J2" s="53"/>
      <c r="K2" s="53"/>
      <c r="L2" s="53"/>
      <c r="M2" s="53"/>
      <c r="N2" s="53"/>
      <c r="O2" s="53"/>
      <c r="P2" s="53"/>
      <c r="Q2" s="53"/>
      <c r="R2" s="53"/>
      <c r="S2" s="53"/>
      <c r="T2" s="53"/>
      <c r="U2" s="53"/>
      <c r="V2" s="53"/>
      <c r="W2" s="53"/>
      <c r="X2" s="53"/>
      <c r="Y2" s="53"/>
      <c r="Z2" s="53"/>
      <c r="AA2" s="53"/>
      <c r="AB2" s="53"/>
      <c r="AC2" s="53"/>
      <c r="AD2" s="53"/>
      <c r="AE2" s="53"/>
      <c r="AF2" s="53"/>
      <c r="AG2" s="53"/>
      <c r="AH2" s="34"/>
      <c r="AI2" s="34"/>
      <c r="AJ2" s="34"/>
      <c r="AK2" s="34"/>
      <c r="AL2" s="34"/>
      <c r="AM2" s="34"/>
      <c r="AN2" s="34"/>
      <c r="AO2" s="34"/>
      <c r="AP2" s="34"/>
      <c r="AQ2" s="34"/>
      <c r="AR2" s="34"/>
      <c r="AS2" s="34"/>
      <c r="AT2" s="34"/>
      <c r="AU2" s="34"/>
      <c r="AV2" s="34"/>
      <c r="AW2" s="34"/>
      <c r="AX2" s="34"/>
      <c r="AY2" s="34"/>
      <c r="AZ2" s="34"/>
      <c r="BA2" s="34"/>
      <c r="BB2" s="34"/>
      <c r="BC2" s="34"/>
      <c r="BD2" s="34"/>
      <c r="BE2" s="34"/>
      <c r="BF2" s="34"/>
      <c r="BG2" s="34"/>
      <c r="BH2" s="34"/>
      <c r="BI2" s="34"/>
      <c r="BJ2" s="34"/>
      <c r="BK2" s="34"/>
      <c r="BL2" s="34"/>
      <c r="BM2" s="34"/>
      <c r="BN2" s="34"/>
      <c r="BO2" s="34"/>
      <c r="BP2" s="34"/>
      <c r="BQ2" s="34"/>
      <c r="BR2" s="34"/>
      <c r="BS2" s="34"/>
      <c r="BT2" s="34"/>
      <c r="BU2" s="34"/>
      <c r="BV2" s="34"/>
      <c r="BW2" s="34"/>
      <c r="BX2" s="34"/>
      <c r="BY2" s="34"/>
      <c r="BZ2" s="34"/>
      <c r="CA2" s="34"/>
      <c r="CB2" s="34"/>
      <c r="CC2" s="34"/>
      <c r="CD2" s="34"/>
      <c r="CE2" s="34"/>
      <c r="CF2" s="34"/>
      <c r="CG2" s="34"/>
      <c r="CH2" s="34"/>
      <c r="CI2" s="34"/>
      <c r="CJ2" s="34"/>
      <c r="CK2" s="34"/>
      <c r="CL2" s="34"/>
      <c r="CM2" s="34"/>
      <c r="CN2" s="34"/>
      <c r="CO2" s="34"/>
      <c r="CP2" s="34"/>
      <c r="CQ2" s="34"/>
      <c r="CR2" s="34"/>
      <c r="CS2" s="34"/>
      <c r="CT2" s="34"/>
      <c r="CU2" s="34"/>
      <c r="CV2" s="34"/>
      <c r="CW2" s="34"/>
      <c r="CX2" s="34"/>
      <c r="CY2" s="34"/>
      <c r="CZ2" s="34"/>
      <c r="DA2" s="34"/>
      <c r="DB2" s="34"/>
      <c r="DC2" s="34"/>
      <c r="DD2" s="34"/>
      <c r="DE2" s="34"/>
      <c r="DF2" s="34"/>
      <c r="DG2" s="34"/>
      <c r="DH2" s="34"/>
      <c r="DI2" s="34"/>
      <c r="DJ2" s="34"/>
      <c r="DK2" s="34"/>
      <c r="DL2" s="34"/>
      <c r="DM2" s="34"/>
      <c r="DN2" s="34"/>
      <c r="DO2" s="34"/>
      <c r="DP2" s="34"/>
      <c r="DQ2" s="34"/>
      <c r="DR2" s="34"/>
      <c r="DS2" s="34"/>
      <c r="DT2" s="34"/>
      <c r="DU2" s="34"/>
      <c r="DV2" s="34"/>
      <c r="DW2" s="34"/>
      <c r="DX2" s="34"/>
      <c r="DY2" s="34"/>
      <c r="DZ2" s="34"/>
      <c r="EA2" s="34"/>
      <c r="EB2" s="34"/>
      <c r="EC2" s="34"/>
      <c r="ED2" s="34"/>
      <c r="EE2" s="34"/>
      <c r="EF2" s="34"/>
      <c r="EG2" s="34"/>
      <c r="EH2" s="34"/>
      <c r="EI2" s="34"/>
      <c r="EJ2" s="34"/>
      <c r="EK2" s="34"/>
      <c r="EL2" s="34"/>
      <c r="EM2" s="34"/>
      <c r="EN2" s="34"/>
      <c r="EO2" s="34"/>
      <c r="EP2" s="34"/>
      <c r="EQ2" s="34"/>
      <c r="ER2" s="34"/>
      <c r="ES2" s="34"/>
      <c r="ET2" s="34"/>
      <c r="EU2" s="34"/>
      <c r="EV2" s="34"/>
      <c r="EW2" s="34"/>
      <c r="EX2" s="34"/>
      <c r="EY2" s="34"/>
      <c r="EZ2" s="34"/>
      <c r="FA2" s="34"/>
      <c r="FB2" s="34"/>
      <c r="FC2" s="34"/>
      <c r="FD2" s="34"/>
      <c r="FE2" s="34"/>
      <c r="FF2" s="34"/>
      <c r="FG2" s="34"/>
      <c r="FH2" s="34"/>
      <c r="FI2" s="34"/>
      <c r="FJ2" s="34"/>
      <c r="FK2" s="34"/>
      <c r="FL2" s="34"/>
      <c r="FM2" s="34"/>
      <c r="FN2" s="34"/>
      <c r="FO2" s="34"/>
      <c r="FP2" s="34"/>
      <c r="FQ2" s="34"/>
      <c r="FR2" s="34"/>
      <c r="FS2" s="34"/>
      <c r="FT2" s="34"/>
      <c r="FU2" s="34"/>
      <c r="FV2" s="34"/>
      <c r="FW2" s="34"/>
      <c r="FX2" s="34"/>
      <c r="FY2" s="34"/>
      <c r="FZ2" s="34"/>
      <c r="GA2" s="34"/>
      <c r="GB2" s="34"/>
      <c r="GC2" s="34"/>
      <c r="GD2" s="34"/>
      <c r="GE2" s="34"/>
      <c r="GF2" s="34"/>
      <c r="GG2" s="34"/>
      <c r="GH2" s="34"/>
      <c r="GI2" s="34"/>
      <c r="GJ2" s="34"/>
      <c r="GK2" s="34"/>
      <c r="GL2" s="34"/>
      <c r="GM2" s="34"/>
      <c r="GN2" s="34"/>
      <c r="GO2" s="34"/>
      <c r="GP2" s="34"/>
      <c r="GQ2" s="34"/>
    </row>
    <row r="3" spans="1:501" s="38" customFormat="1" ht="15" customHeight="1" x14ac:dyDescent="0.3">
      <c r="A3" s="34" t="s">
        <v>251</v>
      </c>
      <c r="B3" s="34"/>
      <c r="C3" s="34"/>
      <c r="D3" s="34"/>
      <c r="E3" s="34"/>
      <c r="F3" s="34"/>
      <c r="G3" s="34"/>
      <c r="H3" s="34"/>
      <c r="I3" s="34"/>
      <c r="J3" s="34"/>
      <c r="K3" s="34"/>
      <c r="L3" s="34"/>
      <c r="M3" s="34"/>
      <c r="N3" s="34"/>
      <c r="O3" s="34"/>
      <c r="P3" s="34"/>
      <c r="Q3" s="34"/>
      <c r="R3" s="34"/>
      <c r="S3" s="34"/>
      <c r="T3" s="34"/>
      <c r="U3" s="58"/>
      <c r="V3" s="58"/>
      <c r="W3" s="58"/>
      <c r="X3" s="58"/>
      <c r="Y3" s="58"/>
      <c r="Z3" s="58"/>
      <c r="AA3" s="58"/>
      <c r="AB3" s="58"/>
      <c r="AC3" s="58"/>
      <c r="AD3" s="58"/>
      <c r="AE3" s="58"/>
      <c r="AF3" s="58"/>
      <c r="AG3" s="58"/>
      <c r="AH3" s="34"/>
      <c r="AI3" s="34"/>
      <c r="AJ3" s="34"/>
      <c r="AK3" s="34"/>
      <c r="AL3" s="34"/>
      <c r="AM3" s="34"/>
      <c r="AN3" s="34"/>
      <c r="AO3" s="34"/>
      <c r="AP3" s="34"/>
      <c r="AQ3" s="34"/>
      <c r="AR3" s="34"/>
      <c r="AS3" s="34"/>
      <c r="AT3" s="34"/>
      <c r="AU3" s="34"/>
      <c r="AV3" s="34"/>
      <c r="AW3" s="34"/>
      <c r="AX3" s="34"/>
      <c r="AY3" s="34"/>
      <c r="AZ3" s="34"/>
      <c r="BA3" s="34"/>
      <c r="BB3" s="34"/>
      <c r="BC3" s="34"/>
      <c r="BD3" s="34"/>
      <c r="BE3" s="34"/>
      <c r="BF3" s="34"/>
      <c r="BG3" s="34"/>
      <c r="BH3" s="34"/>
      <c r="BI3" s="34"/>
      <c r="BJ3" s="34"/>
      <c r="BK3" s="34"/>
      <c r="BL3" s="34"/>
      <c r="BM3" s="34"/>
      <c r="BN3" s="34"/>
      <c r="BO3" s="34"/>
      <c r="BP3" s="34"/>
      <c r="BQ3" s="34"/>
      <c r="BR3" s="34"/>
      <c r="BS3" s="34"/>
      <c r="BT3" s="34"/>
      <c r="BU3" s="34"/>
      <c r="BV3" s="34"/>
      <c r="BW3" s="34"/>
      <c r="BX3" s="34"/>
      <c r="BY3" s="34"/>
      <c r="BZ3" s="34"/>
      <c r="CA3" s="34"/>
      <c r="CB3" s="34"/>
      <c r="CC3" s="34"/>
      <c r="CD3" s="34"/>
      <c r="CE3" s="34"/>
      <c r="CF3" s="34"/>
      <c r="CG3" s="34"/>
      <c r="CH3" s="34"/>
      <c r="CI3" s="34"/>
      <c r="CJ3" s="34"/>
      <c r="CK3" s="34"/>
      <c r="CL3" s="34"/>
      <c r="CM3" s="34"/>
      <c r="CN3" s="34"/>
      <c r="CO3" s="34"/>
      <c r="CP3" s="34"/>
      <c r="CQ3" s="34"/>
      <c r="CR3" s="34"/>
      <c r="CS3" s="34"/>
      <c r="CT3" s="34"/>
      <c r="CU3" s="34"/>
      <c r="CV3" s="34"/>
      <c r="CW3" s="34"/>
      <c r="CX3" s="34"/>
      <c r="CY3" s="34"/>
      <c r="CZ3" s="34"/>
      <c r="DA3" s="34"/>
      <c r="DB3" s="34"/>
      <c r="DC3" s="34"/>
      <c r="DD3" s="34"/>
      <c r="DE3" s="34"/>
      <c r="DF3" s="34"/>
      <c r="DG3" s="34"/>
      <c r="DH3" s="34"/>
      <c r="DI3" s="34"/>
      <c r="DJ3" s="34"/>
      <c r="DK3" s="34"/>
      <c r="DL3" s="34"/>
      <c r="DM3" s="34"/>
      <c r="DN3" s="34"/>
      <c r="DO3" s="34"/>
      <c r="DP3" s="34"/>
      <c r="DQ3" s="34"/>
      <c r="DR3" s="34"/>
      <c r="DS3" s="34"/>
      <c r="DT3" s="34"/>
      <c r="DU3" s="34"/>
      <c r="DV3" s="34"/>
      <c r="DW3" s="34"/>
      <c r="DX3" s="34"/>
      <c r="DY3" s="34"/>
      <c r="DZ3" s="34"/>
      <c r="EA3" s="34"/>
      <c r="EB3" s="34"/>
      <c r="EC3" s="34"/>
      <c r="ED3" s="34"/>
      <c r="EE3" s="34"/>
      <c r="EF3" s="34"/>
      <c r="EG3" s="34"/>
      <c r="EH3" s="34"/>
      <c r="EI3" s="34"/>
      <c r="EJ3" s="34"/>
      <c r="EK3" s="34"/>
      <c r="EL3" s="34"/>
      <c r="EM3" s="34"/>
      <c r="EN3" s="34"/>
      <c r="EO3" s="34"/>
      <c r="EP3" s="34"/>
      <c r="EQ3" s="34"/>
      <c r="ER3" s="34"/>
      <c r="ES3" s="34"/>
      <c r="ET3" s="34"/>
      <c r="EU3" s="34"/>
      <c r="EV3" s="34"/>
      <c r="EW3" s="34"/>
      <c r="EX3" s="34"/>
      <c r="EY3" s="34"/>
      <c r="EZ3" s="34"/>
      <c r="FA3" s="34"/>
      <c r="FB3" s="34"/>
      <c r="FC3" s="34"/>
      <c r="FD3" s="34"/>
      <c r="FE3" s="34"/>
      <c r="FF3" s="34"/>
      <c r="FG3" s="34"/>
      <c r="FH3" s="34"/>
      <c r="FI3" s="34"/>
      <c r="FJ3" s="34"/>
      <c r="FK3" s="34"/>
      <c r="FL3" s="34"/>
      <c r="FM3" s="34"/>
      <c r="FN3" s="34"/>
      <c r="FO3" s="34"/>
      <c r="FP3" s="34"/>
      <c r="FQ3" s="34"/>
      <c r="FR3" s="34"/>
      <c r="FS3" s="34"/>
      <c r="FT3" s="34"/>
      <c r="FU3" s="34"/>
      <c r="FV3" s="34"/>
      <c r="FW3" s="34"/>
      <c r="FX3" s="34"/>
      <c r="FY3" s="34"/>
      <c r="FZ3" s="34"/>
      <c r="GA3" s="34"/>
      <c r="GB3" s="34"/>
      <c r="GC3" s="34"/>
      <c r="GD3" s="34"/>
      <c r="GE3" s="34"/>
      <c r="GF3" s="34"/>
      <c r="GG3" s="34"/>
      <c r="GH3" s="34"/>
      <c r="GI3" s="34"/>
      <c r="GJ3" s="34"/>
      <c r="GK3" s="34"/>
      <c r="GL3" s="34"/>
      <c r="GM3" s="34"/>
      <c r="GN3" s="34"/>
      <c r="GO3" s="34"/>
      <c r="GP3" s="34"/>
      <c r="GQ3" s="34"/>
    </row>
    <row r="4" spans="1:501" s="38" customFormat="1" ht="15" customHeight="1" x14ac:dyDescent="0.3">
      <c r="A4" s="34" t="s">
        <v>3</v>
      </c>
      <c r="B4" s="34"/>
      <c r="C4" s="34"/>
      <c r="D4" s="34"/>
      <c r="E4" s="34"/>
      <c r="F4" s="34"/>
      <c r="G4" s="34"/>
      <c r="H4" s="34"/>
      <c r="I4" s="34"/>
      <c r="J4" s="34"/>
      <c r="K4" s="34"/>
      <c r="L4" s="34"/>
      <c r="M4" s="34"/>
      <c r="N4" s="34"/>
      <c r="O4" s="34"/>
      <c r="P4" s="34"/>
      <c r="Q4" s="34"/>
      <c r="R4" s="34"/>
      <c r="S4" s="34"/>
      <c r="T4" s="34"/>
      <c r="U4" s="58"/>
      <c r="V4" s="58"/>
      <c r="W4" s="58"/>
      <c r="X4" s="58"/>
      <c r="Y4" s="58"/>
      <c r="Z4" s="58"/>
      <c r="AA4" s="58"/>
      <c r="AB4" s="58"/>
      <c r="AC4" s="58"/>
      <c r="AD4" s="58"/>
      <c r="AE4" s="58"/>
      <c r="AF4" s="58"/>
      <c r="AG4" s="58"/>
      <c r="AH4" s="34"/>
      <c r="AI4" s="34"/>
      <c r="AJ4" s="34"/>
      <c r="AK4" s="34"/>
      <c r="AL4" s="34"/>
      <c r="AM4" s="34"/>
      <c r="AN4" s="34"/>
      <c r="AO4" s="34"/>
      <c r="AP4" s="34"/>
      <c r="AQ4" s="34"/>
      <c r="AR4" s="34"/>
      <c r="AS4" s="34"/>
      <c r="AT4" s="34"/>
      <c r="AU4" s="34"/>
      <c r="AV4" s="34"/>
      <c r="AW4" s="34"/>
      <c r="AX4" s="34"/>
      <c r="AY4" s="34"/>
      <c r="AZ4" s="34"/>
      <c r="BA4" s="34"/>
      <c r="BB4" s="34"/>
      <c r="BC4" s="34"/>
      <c r="BD4" s="34"/>
      <c r="BE4" s="34"/>
      <c r="BF4" s="34"/>
      <c r="BG4" s="34"/>
      <c r="BH4" s="34"/>
      <c r="BI4" s="34"/>
      <c r="BJ4" s="34"/>
      <c r="BK4" s="34"/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4"/>
      <c r="BZ4" s="34"/>
      <c r="CA4" s="34"/>
      <c r="CB4" s="34"/>
      <c r="CC4" s="34"/>
      <c r="CD4" s="34"/>
      <c r="CE4" s="34"/>
      <c r="CF4" s="34"/>
      <c r="CG4" s="34"/>
      <c r="CH4" s="34"/>
      <c r="CI4" s="34"/>
      <c r="CJ4" s="34"/>
      <c r="CK4" s="34"/>
      <c r="CL4" s="34"/>
      <c r="CM4" s="34"/>
      <c r="CN4" s="34"/>
      <c r="CO4" s="34"/>
      <c r="CP4" s="34"/>
      <c r="CQ4" s="34"/>
      <c r="CR4" s="34"/>
      <c r="CS4" s="34"/>
      <c r="CT4" s="34"/>
      <c r="CU4" s="34"/>
      <c r="CV4" s="34"/>
      <c r="CW4" s="34"/>
      <c r="CX4" s="34"/>
      <c r="CY4" s="34"/>
      <c r="CZ4" s="34"/>
      <c r="DA4" s="34"/>
      <c r="DB4" s="34"/>
      <c r="DC4" s="34"/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4"/>
      <c r="DO4" s="34"/>
      <c r="DP4" s="34"/>
      <c r="DQ4" s="34"/>
      <c r="DR4" s="34"/>
      <c r="DS4" s="34"/>
      <c r="DT4" s="34"/>
      <c r="DU4" s="34"/>
      <c r="DV4" s="34"/>
      <c r="DW4" s="34"/>
      <c r="DX4" s="34"/>
      <c r="DY4" s="34"/>
      <c r="DZ4" s="34"/>
      <c r="EA4" s="34"/>
      <c r="EB4" s="34"/>
      <c r="EC4" s="34"/>
      <c r="ED4" s="34"/>
      <c r="EE4" s="34"/>
      <c r="EF4" s="34"/>
      <c r="EG4" s="34"/>
      <c r="EH4" s="34"/>
      <c r="EI4" s="34"/>
      <c r="EJ4" s="34"/>
      <c r="EK4" s="34"/>
      <c r="EL4" s="34"/>
      <c r="EM4" s="34"/>
      <c r="EN4" s="34"/>
      <c r="EO4" s="34"/>
      <c r="EP4" s="34"/>
      <c r="EQ4" s="34"/>
      <c r="ER4" s="34"/>
      <c r="ES4" s="34"/>
      <c r="ET4" s="34"/>
      <c r="EU4" s="34"/>
      <c r="EV4" s="34"/>
      <c r="EW4" s="34"/>
      <c r="EX4" s="34"/>
      <c r="EY4" s="34"/>
      <c r="EZ4" s="34"/>
      <c r="FA4" s="34"/>
      <c r="FB4" s="34"/>
      <c r="FC4" s="34"/>
      <c r="FD4" s="34"/>
      <c r="FE4" s="34"/>
      <c r="FF4" s="34"/>
      <c r="FG4" s="34"/>
      <c r="FH4" s="34"/>
      <c r="FI4" s="34"/>
      <c r="FJ4" s="34"/>
      <c r="FK4" s="34"/>
      <c r="FL4" s="34"/>
      <c r="FM4" s="34"/>
      <c r="FN4" s="34"/>
      <c r="FO4" s="34"/>
      <c r="FP4" s="34"/>
      <c r="FQ4" s="34"/>
      <c r="FR4" s="34"/>
      <c r="FS4" s="34"/>
      <c r="FT4" s="34"/>
      <c r="FU4" s="34"/>
      <c r="FV4" s="34"/>
      <c r="FW4" s="34"/>
      <c r="FX4" s="34"/>
      <c r="FY4" s="34"/>
      <c r="FZ4" s="34"/>
      <c r="GA4" s="34"/>
      <c r="GB4" s="34"/>
      <c r="GC4" s="34"/>
      <c r="GD4" s="34"/>
      <c r="GE4" s="34"/>
      <c r="GF4" s="34"/>
      <c r="GG4" s="34"/>
      <c r="GH4" s="34"/>
      <c r="GI4" s="34"/>
      <c r="GJ4" s="34"/>
      <c r="GK4" s="34"/>
      <c r="GL4" s="34"/>
      <c r="GM4" s="34"/>
      <c r="GN4" s="34"/>
      <c r="GO4" s="34"/>
      <c r="GP4" s="34"/>
      <c r="GQ4" s="34"/>
    </row>
  </sheetData>
  <phoneticPr fontId="13" type="noConversion"/>
  <printOptions horizontalCentered="1" verticalCentered="1"/>
  <pageMargins left="0" right="0" top="0" bottom="0" header="0" footer="0"/>
  <pageSetup paperSize="9" scale="75" orientation="landscape" r:id="rId1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FA2783-6441-4AAD-B531-35CEB20C3CB5}">
  <sheetPr>
    <tabColor theme="8" tint="-0.249977111117893"/>
    <pageSetUpPr fitToPage="1"/>
  </sheetPr>
  <dimension ref="A1:K49"/>
  <sheetViews>
    <sheetView zoomScale="55" zoomScaleNormal="55" zoomScaleSheetLayoutView="75" workbookViewId="0">
      <selection activeCell="A2" sqref="A2:F47"/>
    </sheetView>
  </sheetViews>
  <sheetFormatPr defaultColWidth="9" defaultRowHeight="16.5" x14ac:dyDescent="0.3"/>
  <cols>
    <col min="1" max="1" width="24.75" style="34" customWidth="1"/>
    <col min="2" max="2" width="7.625" style="38" customWidth="1"/>
    <col min="3" max="3" width="30.625" style="34" customWidth="1"/>
    <col min="4" max="4" width="9.875" style="2" customWidth="1"/>
    <col min="5" max="5" width="11.375" style="34" customWidth="1"/>
    <col min="6" max="6" width="11.125" style="2" customWidth="1"/>
    <col min="7" max="7" width="8.375" style="34" customWidth="1"/>
    <col min="8" max="8" width="9" style="34" customWidth="1"/>
    <col min="9" max="13" width="9" style="34"/>
    <col min="14" max="14" width="10.625" style="34" customWidth="1"/>
    <col min="15" max="17" width="9" style="34"/>
    <col min="18" max="18" width="36.5" style="34" bestFit="1" customWidth="1"/>
    <col min="19" max="16384" width="9" style="34"/>
  </cols>
  <sheetData>
    <row r="1" spans="1:11" ht="25.9" customHeight="1" thickBot="1" x14ac:dyDescent="0.35">
      <c r="A1" s="270"/>
      <c r="B1" s="270"/>
      <c r="C1" s="270"/>
      <c r="D1" s="270"/>
      <c r="E1" s="270"/>
      <c r="F1" s="270"/>
    </row>
    <row r="2" spans="1:11" ht="25.9" customHeight="1" x14ac:dyDescent="0.3">
      <c r="A2" s="215">
        <f ca="1">TODAY()</f>
        <v>46314</v>
      </c>
      <c r="B2" s="287" t="s">
        <v>383</v>
      </c>
      <c r="C2" s="287"/>
      <c r="D2" s="287"/>
      <c r="E2" s="287"/>
      <c r="F2" s="288"/>
      <c r="G2" s="67"/>
      <c r="H2" s="67"/>
    </row>
    <row r="3" spans="1:11" ht="40.5" customHeight="1" x14ac:dyDescent="0.3">
      <c r="A3" s="222" t="s">
        <v>67</v>
      </c>
      <c r="B3" s="223" t="s">
        <v>13</v>
      </c>
      <c r="C3" s="242" t="s">
        <v>344</v>
      </c>
      <c r="D3" s="230" t="s">
        <v>2</v>
      </c>
      <c r="E3" s="229" t="s">
        <v>23</v>
      </c>
      <c r="F3" s="231" t="s">
        <v>14</v>
      </c>
      <c r="G3" s="67"/>
      <c r="H3" s="67"/>
    </row>
    <row r="4" spans="1:11" ht="25.35" customHeight="1" x14ac:dyDescent="0.3">
      <c r="A4" s="220" t="s">
        <v>260</v>
      </c>
      <c r="B4" s="224">
        <v>36</v>
      </c>
      <c r="C4" s="227">
        <f>IFERROR(VLOOKUP(A4,'스윗밸런스 APP예약피벗'!A:SC,2,FALSE),0)</f>
        <v>0</v>
      </c>
      <c r="D4" s="227">
        <f t="shared" ref="D4:D18" si="0">IFERROR(ROUNDDOWN(C4/B4,0),"")</f>
        <v>0</v>
      </c>
      <c r="E4" s="51" t="s">
        <v>109</v>
      </c>
      <c r="F4" s="228">
        <f t="shared" ref="F4:F18" si="1">IFERROR(C4-(D4*B4),"")</f>
        <v>0</v>
      </c>
      <c r="G4" s="67"/>
      <c r="H4" s="67"/>
      <c r="J4" s="73"/>
      <c r="K4" s="73"/>
    </row>
    <row r="5" spans="1:11" ht="25.35" customHeight="1" x14ac:dyDescent="0.3">
      <c r="A5" s="221" t="s">
        <v>255</v>
      </c>
      <c r="B5" s="224">
        <f t="shared" ref="B5:B18" si="2">$B$4</f>
        <v>36</v>
      </c>
      <c r="C5" s="227">
        <f>IFERROR(VLOOKUP(A5,'스윗밸런스 APP예약피벗'!A:SC,2,FALSE),0)</f>
        <v>0</v>
      </c>
      <c r="D5" s="227">
        <f t="shared" si="0"/>
        <v>0</v>
      </c>
      <c r="E5" s="51" t="s">
        <v>335</v>
      </c>
      <c r="F5" s="228">
        <f t="shared" si="1"/>
        <v>0</v>
      </c>
      <c r="G5" s="67"/>
      <c r="H5" s="67"/>
      <c r="J5" s="73"/>
      <c r="K5" s="73"/>
    </row>
    <row r="6" spans="1:11" ht="25.35" customHeight="1" x14ac:dyDescent="0.3">
      <c r="A6" s="221" t="s">
        <v>249</v>
      </c>
      <c r="B6" s="224">
        <f t="shared" si="2"/>
        <v>36</v>
      </c>
      <c r="C6" s="227">
        <f>IFERROR(VLOOKUP(A6,'스윗밸런스 APP예약피벗'!A:SC,2,FALSE),0)</f>
        <v>0</v>
      </c>
      <c r="D6" s="227">
        <f>IFERROR(ROUNDDOWN(C6/B6,0),"")</f>
        <v>0</v>
      </c>
      <c r="E6" s="51" t="s">
        <v>272</v>
      </c>
      <c r="F6" s="228">
        <f>IFERROR(C6-(D6*B6),"")</f>
        <v>0</v>
      </c>
      <c r="G6" s="67"/>
      <c r="H6" s="67"/>
      <c r="J6" s="73"/>
      <c r="K6" s="73"/>
    </row>
    <row r="7" spans="1:11" ht="25.35" customHeight="1" x14ac:dyDescent="0.3">
      <c r="A7" s="221" t="s">
        <v>250</v>
      </c>
      <c r="B7" s="224">
        <f t="shared" si="2"/>
        <v>36</v>
      </c>
      <c r="C7" s="227">
        <f>IFERROR(VLOOKUP(A7,'스윗밸런스 APP예약피벗'!A:SC,2,FALSE),0)</f>
        <v>0</v>
      </c>
      <c r="D7" s="227">
        <f>IFERROR(ROUNDDOWN(C7/B7,0),"")</f>
        <v>0</v>
      </c>
      <c r="E7" s="51" t="s">
        <v>273</v>
      </c>
      <c r="F7" s="228">
        <f>IFERROR(C7-(D7*B7),"")</f>
        <v>0</v>
      </c>
      <c r="G7" s="67"/>
      <c r="H7" s="67"/>
      <c r="J7" s="73"/>
      <c r="K7" s="73"/>
    </row>
    <row r="8" spans="1:11" ht="25.35" customHeight="1" x14ac:dyDescent="0.3">
      <c r="A8" s="221" t="s">
        <v>248</v>
      </c>
      <c r="B8" s="224">
        <f t="shared" si="2"/>
        <v>36</v>
      </c>
      <c r="C8" s="227">
        <f>IFERROR(VLOOKUP(A8,'스윗밸런스 APP예약피벗'!A:SC,2,FALSE),0)</f>
        <v>0</v>
      </c>
      <c r="D8" s="227">
        <f>IFERROR(ROUNDDOWN(C8/B8,0),"")</f>
        <v>0</v>
      </c>
      <c r="E8" s="51" t="s">
        <v>271</v>
      </c>
      <c r="F8" s="228">
        <f>IFERROR(C8-(D8*B8),"")</f>
        <v>0</v>
      </c>
      <c r="G8" s="67"/>
      <c r="H8" s="67"/>
      <c r="J8" s="73"/>
      <c r="K8" s="73"/>
    </row>
    <row r="9" spans="1:11" ht="25.35" customHeight="1" x14ac:dyDescent="0.3">
      <c r="A9" s="221" t="s">
        <v>246</v>
      </c>
      <c r="B9" s="224">
        <f t="shared" si="2"/>
        <v>36</v>
      </c>
      <c r="C9" s="227">
        <f>IFERROR(VLOOKUP(A9,'스윗밸런스 APP예약피벗'!A:SC,2,FALSE),0)</f>
        <v>0</v>
      </c>
      <c r="D9" s="227">
        <f t="shared" si="0"/>
        <v>0</v>
      </c>
      <c r="E9" s="51" t="s">
        <v>270</v>
      </c>
      <c r="F9" s="228">
        <f t="shared" si="1"/>
        <v>0</v>
      </c>
      <c r="G9" s="67"/>
      <c r="H9" s="67"/>
      <c r="J9" s="73"/>
      <c r="K9" s="73"/>
    </row>
    <row r="10" spans="1:11" ht="25.35" customHeight="1" x14ac:dyDescent="0.3">
      <c r="A10" s="221" t="s">
        <v>256</v>
      </c>
      <c r="B10" s="224">
        <f t="shared" si="2"/>
        <v>36</v>
      </c>
      <c r="C10" s="227">
        <f>IFERROR(VLOOKUP(A10,'스윗밸런스 APP예약피벗'!A:SC,2,FALSE),0)</f>
        <v>0</v>
      </c>
      <c r="D10" s="227">
        <f>IFERROR(ROUNDDOWN(C10/B10,0),"")</f>
        <v>0</v>
      </c>
      <c r="E10" s="51" t="s">
        <v>278</v>
      </c>
      <c r="F10" s="228">
        <f>IFERROR(C10-(D10*B10),"")</f>
        <v>0</v>
      </c>
      <c r="G10" s="67"/>
      <c r="H10" s="67"/>
      <c r="J10" s="73"/>
      <c r="K10" s="73"/>
    </row>
    <row r="11" spans="1:11" ht="25.35" customHeight="1" x14ac:dyDescent="0.3">
      <c r="A11" s="221" t="s">
        <v>247</v>
      </c>
      <c r="B11" s="224">
        <f t="shared" si="2"/>
        <v>36</v>
      </c>
      <c r="C11" s="227">
        <f>IFERROR(VLOOKUP(A11,'스윗밸런스 APP예약피벗'!A:SC,2,FALSE),0)</f>
        <v>0</v>
      </c>
      <c r="D11" s="227">
        <f t="shared" si="0"/>
        <v>0</v>
      </c>
      <c r="E11" s="51" t="s">
        <v>334</v>
      </c>
      <c r="F11" s="228">
        <f t="shared" si="1"/>
        <v>0</v>
      </c>
      <c r="G11" s="67"/>
      <c r="H11" s="67"/>
      <c r="J11" s="73"/>
      <c r="K11" s="73"/>
    </row>
    <row r="12" spans="1:11" ht="25.35" customHeight="1" x14ac:dyDescent="0.3">
      <c r="A12" s="221" t="s">
        <v>251</v>
      </c>
      <c r="B12" s="224">
        <f t="shared" si="2"/>
        <v>36</v>
      </c>
      <c r="C12" s="227">
        <f>IFERROR(VLOOKUP(A12,'스윗밸런스 APP예약피벗'!A:SC,2,FALSE),0)</f>
        <v>0</v>
      </c>
      <c r="D12" s="227">
        <f t="shared" si="0"/>
        <v>0</v>
      </c>
      <c r="E12" s="51" t="s">
        <v>274</v>
      </c>
      <c r="F12" s="228">
        <f t="shared" si="1"/>
        <v>0</v>
      </c>
      <c r="G12" s="67"/>
      <c r="H12" s="67"/>
      <c r="J12" s="73"/>
      <c r="K12" s="73"/>
    </row>
    <row r="13" spans="1:11" ht="25.35" customHeight="1" x14ac:dyDescent="0.3">
      <c r="A13" s="220" t="s">
        <v>252</v>
      </c>
      <c r="B13" s="224">
        <f t="shared" si="2"/>
        <v>36</v>
      </c>
      <c r="C13" s="227">
        <f>IFERROR(VLOOKUP(A13,'스윗밸런스 APP예약피벗'!A:SC,2,FALSE),0)</f>
        <v>0</v>
      </c>
      <c r="D13" s="227">
        <f t="shared" si="0"/>
        <v>0</v>
      </c>
      <c r="E13" s="51" t="s">
        <v>275</v>
      </c>
      <c r="F13" s="228">
        <f t="shared" si="1"/>
        <v>0</v>
      </c>
      <c r="G13" s="67"/>
      <c r="H13" s="67"/>
      <c r="J13" s="73"/>
      <c r="K13" s="73"/>
    </row>
    <row r="14" spans="1:11" ht="25.35" customHeight="1" x14ac:dyDescent="0.3">
      <c r="A14" s="221" t="s">
        <v>253</v>
      </c>
      <c r="B14" s="224">
        <f t="shared" si="2"/>
        <v>36</v>
      </c>
      <c r="C14" s="227">
        <f>IFERROR(VLOOKUP(A14,'스윗밸런스 APP예약피벗'!A:SC,2,FALSE),0)</f>
        <v>0</v>
      </c>
      <c r="D14" s="227">
        <f t="shared" si="0"/>
        <v>0</v>
      </c>
      <c r="E14" s="51" t="s">
        <v>276</v>
      </c>
      <c r="F14" s="228">
        <f t="shared" si="1"/>
        <v>0</v>
      </c>
      <c r="G14" s="67"/>
      <c r="H14" s="67"/>
      <c r="J14" s="73"/>
      <c r="K14" s="73"/>
    </row>
    <row r="15" spans="1:11" ht="25.35" customHeight="1" x14ac:dyDescent="0.3">
      <c r="A15" s="221" t="s">
        <v>254</v>
      </c>
      <c r="B15" s="224">
        <f t="shared" si="2"/>
        <v>36</v>
      </c>
      <c r="C15" s="227">
        <f>IFERROR(VLOOKUP(A15,'스윗밸런스 APP예약피벗'!A:SC,2,FALSE),0)</f>
        <v>0</v>
      </c>
      <c r="D15" s="227">
        <f t="shared" si="0"/>
        <v>0</v>
      </c>
      <c r="E15" s="51" t="s">
        <v>277</v>
      </c>
      <c r="F15" s="228">
        <f t="shared" si="1"/>
        <v>0</v>
      </c>
      <c r="G15" s="67"/>
      <c r="H15" s="67"/>
      <c r="J15" s="73"/>
      <c r="K15" s="73"/>
    </row>
    <row r="16" spans="1:11" ht="25.35" customHeight="1" x14ac:dyDescent="0.3">
      <c r="A16" s="221" t="s">
        <v>257</v>
      </c>
      <c r="B16" s="224">
        <f t="shared" si="2"/>
        <v>36</v>
      </c>
      <c r="C16" s="227">
        <f>IFERROR(VLOOKUP(A16,'스윗밸런스 APP예약피벗'!A:SC,2,FALSE),0)</f>
        <v>0</v>
      </c>
      <c r="D16" s="227">
        <f t="shared" si="0"/>
        <v>0</v>
      </c>
      <c r="E16" s="51" t="s">
        <v>279</v>
      </c>
      <c r="F16" s="228">
        <f t="shared" si="1"/>
        <v>0</v>
      </c>
      <c r="G16" s="67"/>
      <c r="H16" s="67"/>
      <c r="J16" s="73"/>
      <c r="K16" s="73"/>
    </row>
    <row r="17" spans="1:11" ht="25.35" customHeight="1" x14ac:dyDescent="0.3">
      <c r="A17" s="221" t="s">
        <v>258</v>
      </c>
      <c r="B17" s="224">
        <f t="shared" si="2"/>
        <v>36</v>
      </c>
      <c r="C17" s="227">
        <f>IFERROR(VLOOKUP(A17,'스윗밸런스 APP예약피벗'!A:SC,2,FALSE),0)</f>
        <v>0</v>
      </c>
      <c r="D17" s="227">
        <f t="shared" si="0"/>
        <v>0</v>
      </c>
      <c r="E17" s="51" t="s">
        <v>280</v>
      </c>
      <c r="F17" s="228">
        <f t="shared" si="1"/>
        <v>0</v>
      </c>
      <c r="G17" s="67"/>
      <c r="H17" s="67"/>
      <c r="J17" s="73"/>
      <c r="K17" s="73"/>
    </row>
    <row r="18" spans="1:11" ht="25.35" customHeight="1" x14ac:dyDescent="0.3">
      <c r="A18" s="221" t="s">
        <v>259</v>
      </c>
      <c r="B18" s="224">
        <f t="shared" si="2"/>
        <v>36</v>
      </c>
      <c r="C18" s="227">
        <f>IFERROR(VLOOKUP(A18,'스윗밸런스 APP예약피벗'!A:SC,2,FALSE),0)</f>
        <v>0</v>
      </c>
      <c r="D18" s="227">
        <f t="shared" si="0"/>
        <v>0</v>
      </c>
      <c r="E18" s="51" t="s">
        <v>336</v>
      </c>
      <c r="F18" s="228">
        <f t="shared" si="1"/>
        <v>0</v>
      </c>
      <c r="G18" s="67"/>
      <c r="H18" s="67"/>
      <c r="J18" s="73"/>
      <c r="K18" s="73"/>
    </row>
    <row r="19" spans="1:11" ht="4.5" customHeight="1" x14ac:dyDescent="0.3">
      <c r="A19" s="284"/>
      <c r="B19" s="285"/>
      <c r="C19" s="285"/>
      <c r="D19" s="285"/>
      <c r="E19" s="285"/>
      <c r="F19" s="286"/>
      <c r="J19" s="73"/>
      <c r="K19" s="73"/>
    </row>
    <row r="20" spans="1:11" ht="32.450000000000003" customHeight="1" x14ac:dyDescent="0.3">
      <c r="A20" s="211" t="s">
        <v>122</v>
      </c>
      <c r="B20" s="225">
        <f>$B$4</f>
        <v>36</v>
      </c>
      <c r="C20" s="212">
        <f>SUM(C4:C18)</f>
        <v>0</v>
      </c>
      <c r="D20" s="55">
        <f>IFERROR(ROUNDDOWN(C20/B20,0),"")</f>
        <v>0</v>
      </c>
      <c r="E20" s="213"/>
      <c r="F20" s="214">
        <f>IFERROR(C20-(D20*B20),"")</f>
        <v>0</v>
      </c>
      <c r="J20" s="73"/>
      <c r="K20" s="73"/>
    </row>
    <row r="21" spans="1:11" ht="4.5" customHeight="1" x14ac:dyDescent="0.3">
      <c r="A21" s="183"/>
      <c r="B21" s="224"/>
      <c r="C21" s="50"/>
      <c r="D21" s="50"/>
      <c r="E21" s="50"/>
      <c r="F21" s="184"/>
      <c r="J21" s="73"/>
      <c r="K21" s="73"/>
    </row>
    <row r="22" spans="1:11" ht="25.35" customHeight="1" x14ac:dyDescent="0.3">
      <c r="A22" s="221" t="s">
        <v>241</v>
      </c>
      <c r="B22" s="224">
        <f t="shared" ref="B22:B26" si="3">$B$4</f>
        <v>36</v>
      </c>
      <c r="C22" s="227">
        <f>IFERROR(VLOOKUP(A22,'스윗밸런스 APP예약피벗'!A:SC,2,FALSE),0)</f>
        <v>0</v>
      </c>
      <c r="D22" s="227">
        <f>IFERROR(ROUNDDOWN(C22/B22,0),"")</f>
        <v>0</v>
      </c>
      <c r="E22" s="51" t="s">
        <v>268</v>
      </c>
      <c r="F22" s="228">
        <f>IFERROR(C22-(D22*B22),"")</f>
        <v>0</v>
      </c>
      <c r="G22" s="67"/>
      <c r="H22" s="67"/>
      <c r="J22" s="73"/>
      <c r="K22" s="73"/>
    </row>
    <row r="23" spans="1:11" ht="25.35" customHeight="1" x14ac:dyDescent="0.3">
      <c r="A23" s="221" t="s">
        <v>242</v>
      </c>
      <c r="B23" s="224">
        <f t="shared" si="3"/>
        <v>36</v>
      </c>
      <c r="C23" s="227">
        <f>IFERROR(VLOOKUP(A23,'스윗밸런스 APP예약피벗'!A:SC,2,FALSE),0)</f>
        <v>0</v>
      </c>
      <c r="D23" s="227">
        <f>IFERROR(ROUNDDOWN(C23/B23,0),"")</f>
        <v>0</v>
      </c>
      <c r="E23" s="51" t="s">
        <v>337</v>
      </c>
      <c r="F23" s="228">
        <f>IFERROR(C23-(D23*B23),"")</f>
        <v>0</v>
      </c>
      <c r="G23" s="67"/>
      <c r="H23" s="67"/>
      <c r="J23" s="73"/>
      <c r="K23" s="73"/>
    </row>
    <row r="24" spans="1:11" ht="25.35" customHeight="1" x14ac:dyDescent="0.3">
      <c r="A24" s="221" t="s">
        <v>243</v>
      </c>
      <c r="B24" s="224">
        <f t="shared" si="3"/>
        <v>36</v>
      </c>
      <c r="C24" s="227">
        <f>IFERROR(VLOOKUP(A24,'스윗밸런스 APP예약피벗'!A:SC,2,FALSE),0)</f>
        <v>0</v>
      </c>
      <c r="D24" s="227">
        <f>IFERROR(ROUNDDOWN(C24/B24,0),"")</f>
        <v>0</v>
      </c>
      <c r="E24" s="51" t="s">
        <v>106</v>
      </c>
      <c r="F24" s="228">
        <f>IFERROR(C24-(D24*B24),"")</f>
        <v>0</v>
      </c>
      <c r="G24" s="67"/>
      <c r="H24" s="67"/>
      <c r="J24" s="73"/>
      <c r="K24" s="73"/>
    </row>
    <row r="25" spans="1:11" ht="25.35" customHeight="1" x14ac:dyDescent="0.3">
      <c r="A25" s="221" t="s">
        <v>244</v>
      </c>
      <c r="B25" s="224">
        <f t="shared" si="3"/>
        <v>36</v>
      </c>
      <c r="C25" s="227">
        <f>IFERROR(VLOOKUP(A25,'스윗밸런스 APP예약피벗'!A:SC,2,FALSE),0)</f>
        <v>0</v>
      </c>
      <c r="D25" s="227">
        <f>IFERROR(ROUNDDOWN(C25/B25,0),"")</f>
        <v>0</v>
      </c>
      <c r="E25" s="51" t="s">
        <v>269</v>
      </c>
      <c r="F25" s="228">
        <f>IFERROR(C25-(D25*B25),"")</f>
        <v>0</v>
      </c>
      <c r="G25" s="67"/>
      <c r="H25" s="67"/>
      <c r="J25" s="73"/>
      <c r="K25" s="73"/>
    </row>
    <row r="26" spans="1:11" ht="25.35" customHeight="1" x14ac:dyDescent="0.3">
      <c r="A26" s="221" t="s">
        <v>245</v>
      </c>
      <c r="B26" s="224">
        <f t="shared" si="3"/>
        <v>36</v>
      </c>
      <c r="C26" s="227">
        <f>IFERROR(VLOOKUP(A26,'스윗밸런스 APP예약피벗'!A:SC,2,FALSE),0)</f>
        <v>0</v>
      </c>
      <c r="D26" s="227">
        <f>IFERROR(ROUNDDOWN(C26/B26,0),"")</f>
        <v>0</v>
      </c>
      <c r="E26" s="51" t="s">
        <v>118</v>
      </c>
      <c r="F26" s="228">
        <f>IFERROR(C26-(D26*B26),"")</f>
        <v>0</v>
      </c>
      <c r="G26" s="67"/>
      <c r="H26" s="67"/>
      <c r="J26" s="73"/>
      <c r="K26" s="73"/>
    </row>
    <row r="27" spans="1:11" ht="4.5" customHeight="1" x14ac:dyDescent="0.3">
      <c r="A27" s="284"/>
      <c r="B27" s="285"/>
      <c r="C27" s="285"/>
      <c r="D27" s="285"/>
      <c r="E27" s="285"/>
      <c r="F27" s="286"/>
      <c r="G27" s="67"/>
      <c r="H27" s="67"/>
      <c r="J27" s="73"/>
      <c r="K27" s="73"/>
    </row>
    <row r="28" spans="1:11" ht="32.450000000000003" customHeight="1" x14ac:dyDescent="0.3">
      <c r="A28" s="211" t="s">
        <v>285</v>
      </c>
      <c r="B28" s="225">
        <f>$B$4</f>
        <v>36</v>
      </c>
      <c r="C28" s="212">
        <f>SUM(C22:C26)</f>
        <v>0</v>
      </c>
      <c r="D28" s="55">
        <f>IFERROR(ROUNDDOWN(C28/B28,0),"")</f>
        <v>0</v>
      </c>
      <c r="E28" s="213"/>
      <c r="F28" s="214">
        <f>IFERROR(C28-(D28*B28),"")</f>
        <v>0</v>
      </c>
      <c r="G28" s="67"/>
      <c r="H28" s="67"/>
      <c r="J28" s="73"/>
      <c r="K28" s="73"/>
    </row>
    <row r="29" spans="1:11" ht="4.5" customHeight="1" x14ac:dyDescent="0.3">
      <c r="A29" s="284"/>
      <c r="B29" s="285"/>
      <c r="C29" s="285"/>
      <c r="D29" s="285"/>
      <c r="E29" s="285"/>
      <c r="F29" s="286"/>
      <c r="G29" s="67"/>
      <c r="H29" s="67"/>
      <c r="J29" s="73"/>
      <c r="K29" s="73"/>
    </row>
    <row r="30" spans="1:11" ht="25.35" customHeight="1" x14ac:dyDescent="0.3">
      <c r="A30" s="221" t="s">
        <v>239</v>
      </c>
      <c r="B30" s="224">
        <f t="shared" ref="B30:B31" si="4">$B$4</f>
        <v>36</v>
      </c>
      <c r="C30" s="227">
        <f>IFERROR(VLOOKUP(A30,'스윗밸런스 APP예약피벗'!A:SC,2,FALSE),0)</f>
        <v>0</v>
      </c>
      <c r="D30" s="227">
        <f t="shared" ref="D30:D31" si="5">IFERROR(ROUNDDOWN(C30/B30,0),"")</f>
        <v>0</v>
      </c>
      <c r="E30" s="51" t="s">
        <v>266</v>
      </c>
      <c r="F30" s="228">
        <f t="shared" ref="F30:F31" si="6">IFERROR(C30-(D30*B30),"")</f>
        <v>0</v>
      </c>
      <c r="G30" s="67"/>
      <c r="H30" s="67"/>
      <c r="J30" s="73"/>
      <c r="K30" s="73"/>
    </row>
    <row r="31" spans="1:11" ht="25.35" customHeight="1" x14ac:dyDescent="0.3">
      <c r="A31" s="221" t="s">
        <v>240</v>
      </c>
      <c r="B31" s="224">
        <f t="shared" si="4"/>
        <v>36</v>
      </c>
      <c r="C31" s="227">
        <f>IFERROR(VLOOKUP(A31,'스윗밸런스 APP예약피벗'!A:SC,2,FALSE),0)</f>
        <v>0</v>
      </c>
      <c r="D31" s="227">
        <f t="shared" si="5"/>
        <v>0</v>
      </c>
      <c r="E31" s="51" t="s">
        <v>267</v>
      </c>
      <c r="F31" s="228">
        <f t="shared" si="6"/>
        <v>0</v>
      </c>
      <c r="G31" s="67"/>
      <c r="H31" s="67"/>
      <c r="J31" s="73"/>
      <c r="K31" s="73"/>
    </row>
    <row r="32" spans="1:11" ht="4.5" customHeight="1" x14ac:dyDescent="0.3">
      <c r="A32" s="284"/>
      <c r="B32" s="285"/>
      <c r="C32" s="285"/>
      <c r="D32" s="285"/>
      <c r="E32" s="285"/>
      <c r="F32" s="286"/>
      <c r="G32" s="67"/>
      <c r="H32" s="67"/>
      <c r="J32" s="73"/>
      <c r="K32" s="73"/>
    </row>
    <row r="33" spans="1:11" ht="32.450000000000003" customHeight="1" x14ac:dyDescent="0.3">
      <c r="A33" s="211" t="s">
        <v>284</v>
      </c>
      <c r="B33" s="225">
        <f>$B$4</f>
        <v>36</v>
      </c>
      <c r="C33" s="212">
        <f>SUM(C30:C31)</f>
        <v>0</v>
      </c>
      <c r="D33" s="55">
        <f>IFERROR(ROUNDDOWN(C33/B33,0),"")</f>
        <v>0</v>
      </c>
      <c r="E33" s="213"/>
      <c r="F33" s="214">
        <f>IFERROR(C33-(D33*B33),"")</f>
        <v>0</v>
      </c>
      <c r="G33" s="67"/>
      <c r="H33" s="67"/>
      <c r="J33" s="73"/>
      <c r="K33" s="73"/>
    </row>
    <row r="34" spans="1:11" ht="4.5" customHeight="1" x14ac:dyDescent="0.3">
      <c r="A34" s="183"/>
      <c r="B34" s="224"/>
      <c r="C34" s="50"/>
      <c r="D34" s="50"/>
      <c r="E34" s="50"/>
      <c r="F34" s="184"/>
      <c r="G34" s="67"/>
      <c r="H34" s="67"/>
      <c r="J34" s="73"/>
      <c r="K34" s="73"/>
    </row>
    <row r="35" spans="1:11" ht="25.35" customHeight="1" x14ac:dyDescent="0.3">
      <c r="A35" s="221" t="s">
        <v>236</v>
      </c>
      <c r="B35" s="224">
        <f t="shared" ref="B35:B37" si="7">$B$4</f>
        <v>36</v>
      </c>
      <c r="C35" s="227">
        <f>IFERROR(VLOOKUP(A35,'스윗밸런스 APP예약피벗'!A:SC,2,FALSE),0)</f>
        <v>0</v>
      </c>
      <c r="D35" s="227">
        <f>IFERROR(ROUNDDOWN(C35/B35,0),"")</f>
        <v>0</v>
      </c>
      <c r="E35" s="51" t="s">
        <v>264</v>
      </c>
      <c r="F35" s="228">
        <f>IFERROR(C35-(D35*B35),"")</f>
        <v>0</v>
      </c>
      <c r="G35" s="67"/>
      <c r="H35" s="67"/>
      <c r="J35" s="73"/>
      <c r="K35" s="73"/>
    </row>
    <row r="36" spans="1:11" ht="25.35" customHeight="1" x14ac:dyDescent="0.3">
      <c r="A36" s="221" t="s">
        <v>237</v>
      </c>
      <c r="B36" s="224">
        <f t="shared" si="7"/>
        <v>36</v>
      </c>
      <c r="C36" s="227">
        <f>IFERROR(VLOOKUP(A36,'스윗밸런스 APP예약피벗'!A:SC,2,FALSE),0)</f>
        <v>0</v>
      </c>
      <c r="D36" s="227">
        <f t="shared" ref="D36:D37" si="8">IFERROR(ROUNDDOWN(C36/B36,0),"")</f>
        <v>0</v>
      </c>
      <c r="E36" s="51" t="s">
        <v>338</v>
      </c>
      <c r="F36" s="228">
        <f t="shared" ref="F36:F37" si="9">IFERROR(C36-(D36*B36),"")</f>
        <v>0</v>
      </c>
      <c r="G36" s="67"/>
      <c r="H36" s="67"/>
      <c r="J36" s="73"/>
      <c r="K36" s="73"/>
    </row>
    <row r="37" spans="1:11" ht="25.35" customHeight="1" x14ac:dyDescent="0.3">
      <c r="A37" s="221" t="s">
        <v>238</v>
      </c>
      <c r="B37" s="224">
        <f t="shared" si="7"/>
        <v>36</v>
      </c>
      <c r="C37" s="227">
        <f>IFERROR(VLOOKUP(A37,'스윗밸런스 APP예약피벗'!A:SC,2,FALSE),0)</f>
        <v>0</v>
      </c>
      <c r="D37" s="227">
        <f t="shared" si="8"/>
        <v>0</v>
      </c>
      <c r="E37" s="51" t="s">
        <v>265</v>
      </c>
      <c r="F37" s="228">
        <f t="shared" si="9"/>
        <v>0</v>
      </c>
      <c r="G37" s="67"/>
      <c r="H37" s="67"/>
      <c r="J37" s="73"/>
      <c r="K37" s="73"/>
    </row>
    <row r="38" spans="1:11" ht="4.5" customHeight="1" x14ac:dyDescent="0.3">
      <c r="A38" s="284"/>
      <c r="B38" s="285"/>
      <c r="C38" s="285"/>
      <c r="D38" s="285"/>
      <c r="E38" s="285"/>
      <c r="F38" s="286"/>
      <c r="G38" s="67"/>
      <c r="H38" s="67"/>
      <c r="J38" s="73"/>
      <c r="K38" s="73"/>
    </row>
    <row r="39" spans="1:11" ht="32.450000000000003" customHeight="1" x14ac:dyDescent="0.3">
      <c r="A39" s="211" t="s">
        <v>283</v>
      </c>
      <c r="B39" s="225">
        <f>$B$4</f>
        <v>36</v>
      </c>
      <c r="C39" s="212">
        <f>SUM(C35:C37)</f>
        <v>0</v>
      </c>
      <c r="D39" s="55">
        <f>IFERROR(ROUNDDOWN(C39/B39,0),"")</f>
        <v>0</v>
      </c>
      <c r="E39" s="213"/>
      <c r="F39" s="214">
        <f>IFERROR(C39-(D39*B39),"")</f>
        <v>0</v>
      </c>
      <c r="G39" s="67"/>
      <c r="H39" s="67"/>
      <c r="J39" s="73"/>
      <c r="K39" s="73"/>
    </row>
    <row r="40" spans="1:11" ht="4.5" customHeight="1" x14ac:dyDescent="0.3">
      <c r="A40" s="183"/>
      <c r="B40" s="224"/>
      <c r="C40" s="50"/>
      <c r="D40" s="50"/>
      <c r="E40" s="50"/>
      <c r="F40" s="184"/>
      <c r="G40" s="67"/>
      <c r="H40" s="67"/>
      <c r="J40" s="73"/>
      <c r="K40" s="73"/>
    </row>
    <row r="41" spans="1:11" ht="25.35" customHeight="1" x14ac:dyDescent="0.3">
      <c r="A41" s="221" t="s">
        <v>261</v>
      </c>
      <c r="B41" s="224">
        <f t="shared" ref="B41:B42" si="10">$B$4</f>
        <v>36</v>
      </c>
      <c r="C41" s="227">
        <f>IFERROR(VLOOKUP(A41,'스윗밸런스 APP예약피벗'!A:SC,2,FALSE),0)</f>
        <v>0</v>
      </c>
      <c r="D41" s="227">
        <f t="shared" ref="D41:D42" si="11">IFERROR(ROUNDDOWN(C41/B41,0),"")</f>
        <v>0</v>
      </c>
      <c r="E41" s="51" t="s">
        <v>281</v>
      </c>
      <c r="F41" s="228">
        <f t="shared" ref="F41:F42" si="12">IFERROR(C41-(D41*B41),"")</f>
        <v>0</v>
      </c>
      <c r="G41" s="67"/>
      <c r="H41" s="67"/>
      <c r="J41" s="73"/>
      <c r="K41" s="73"/>
    </row>
    <row r="42" spans="1:11" ht="25.35" customHeight="1" x14ac:dyDescent="0.3">
      <c r="A42" s="221" t="s">
        <v>262</v>
      </c>
      <c r="B42" s="224">
        <f t="shared" si="10"/>
        <v>36</v>
      </c>
      <c r="C42" s="227">
        <f>IFERROR(VLOOKUP(A42,'스윗밸런스 APP예약피벗'!A:SC,2,FALSE),0)</f>
        <v>0</v>
      </c>
      <c r="D42" s="227">
        <f t="shared" si="11"/>
        <v>0</v>
      </c>
      <c r="E42" s="51" t="s">
        <v>282</v>
      </c>
      <c r="F42" s="228">
        <f t="shared" si="12"/>
        <v>0</v>
      </c>
      <c r="G42" s="67"/>
      <c r="H42" s="67"/>
      <c r="J42" s="73"/>
      <c r="K42" s="73"/>
    </row>
    <row r="43" spans="1:11" ht="4.5" customHeight="1" x14ac:dyDescent="0.3">
      <c r="A43" s="284"/>
      <c r="B43" s="285"/>
      <c r="C43" s="285"/>
      <c r="D43" s="285"/>
      <c r="E43" s="285"/>
      <c r="F43" s="286"/>
      <c r="G43" s="67"/>
      <c r="H43" s="67"/>
      <c r="J43" s="73"/>
      <c r="K43" s="73"/>
    </row>
    <row r="44" spans="1:11" ht="32.450000000000003" customHeight="1" x14ac:dyDescent="0.3">
      <c r="A44" s="211" t="s">
        <v>339</v>
      </c>
      <c r="B44" s="225">
        <f>$B$4</f>
        <v>36</v>
      </c>
      <c r="C44" s="212">
        <f>SUM(C41:C42)</f>
        <v>0</v>
      </c>
      <c r="D44" s="55">
        <f>IFERROR(ROUNDDOWN(C44/B44,0),"")</f>
        <v>0</v>
      </c>
      <c r="E44" s="213"/>
      <c r="F44" s="214">
        <f>IFERROR(C44-(D44*B44),"")</f>
        <v>0</v>
      </c>
      <c r="G44" s="67"/>
      <c r="H44" s="67"/>
      <c r="J44" s="73"/>
      <c r="K44" s="73"/>
    </row>
    <row r="45" spans="1:11" ht="4.5" customHeight="1" thickBot="1" x14ac:dyDescent="0.35">
      <c r="A45" s="183"/>
      <c r="B45" s="50"/>
      <c r="C45" s="50"/>
      <c r="D45" s="50"/>
      <c r="E45" s="50"/>
      <c r="F45" s="184"/>
      <c r="G45" s="67"/>
      <c r="H45" s="67"/>
      <c r="J45" s="73"/>
      <c r="K45" s="73"/>
    </row>
    <row r="46" spans="1:11" ht="26.25" x14ac:dyDescent="0.3">
      <c r="A46" s="87" t="s">
        <v>3</v>
      </c>
      <c r="B46" s="226">
        <f>$B$4</f>
        <v>36</v>
      </c>
      <c r="C46" s="55">
        <f>SUM(C4:C18,C35:C37,C30:C31,C22:C26,C41:C42)</f>
        <v>0</v>
      </c>
      <c r="D46" s="54">
        <f>IFERROR(ROUNDDOWN(C46/B46,0),"")</f>
        <v>0</v>
      </c>
      <c r="E46" s="56"/>
      <c r="F46" s="121">
        <f>IFERROR(C46-(D46*B46),"")</f>
        <v>0</v>
      </c>
      <c r="G46" s="232" t="s">
        <v>110</v>
      </c>
      <c r="H46" s="233" t="s">
        <v>111</v>
      </c>
      <c r="J46" s="73"/>
      <c r="K46" s="73"/>
    </row>
    <row r="47" spans="1:11" ht="27" thickBot="1" x14ac:dyDescent="0.35">
      <c r="A47" s="42" t="s">
        <v>286</v>
      </c>
      <c r="B47" s="43" t="s">
        <v>173</v>
      </c>
      <c r="C47" s="40"/>
      <c r="D47" s="41">
        <f>SUM(D4:D18,D35:D37,D30:D31,D22:D26,D41:D42)</f>
        <v>0</v>
      </c>
      <c r="E47" s="48"/>
      <c r="F47" s="93">
        <f>SUM(F4:F18,F35:F37,F30:F31,F22:F26,F41:F42)</f>
        <v>0</v>
      </c>
      <c r="G47" s="216">
        <f>IFERROR(ROUNDDOWN(F47/B35,0),"")</f>
        <v>0</v>
      </c>
      <c r="H47" s="217">
        <f>IFERROR(F47-(G47*B35),"")</f>
        <v>0</v>
      </c>
    </row>
    <row r="48" spans="1:11" ht="22.5" customHeight="1" x14ac:dyDescent="0.3">
      <c r="C48" s="77">
        <f>C20+C28+C33+C39+C44</f>
        <v>0</v>
      </c>
      <c r="G48" s="199"/>
      <c r="H48" s="34" t="s">
        <v>174</v>
      </c>
    </row>
    <row r="49" spans="3:3" x14ac:dyDescent="0.3">
      <c r="C49" s="34" t="b">
        <f>C48=C46</f>
        <v>1</v>
      </c>
    </row>
  </sheetData>
  <mergeCells count="8">
    <mergeCell ref="A38:F38"/>
    <mergeCell ref="A43:F43"/>
    <mergeCell ref="A1:F1"/>
    <mergeCell ref="B2:F2"/>
    <mergeCell ref="A19:F19"/>
    <mergeCell ref="A27:F27"/>
    <mergeCell ref="A29:F29"/>
    <mergeCell ref="A32:F32"/>
  </mergeCells>
  <phoneticPr fontId="13" type="noConversion"/>
  <printOptions horizontalCentered="1" verticalCentered="1"/>
  <pageMargins left="0" right="0" top="0" bottom="0" header="0" footer="0"/>
  <pageSetup paperSize="9" scale="77" orientation="portrait" r:id="rId1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CD8EB7-4229-4BAB-9177-92698129815C}">
  <sheetPr>
    <tabColor theme="4" tint="0.39997558519241921"/>
  </sheetPr>
  <dimension ref="A1:SM37"/>
  <sheetViews>
    <sheetView tabSelected="1" zoomScale="55" zoomScaleNormal="55" zoomScaleSheetLayoutView="75" workbookViewId="0">
      <selection activeCell="C53" sqref="C53"/>
    </sheetView>
  </sheetViews>
  <sheetFormatPr defaultColWidth="9" defaultRowHeight="15" customHeight="1" x14ac:dyDescent="0.3"/>
  <cols>
    <col min="1" max="17" width="37.625" style="34" customWidth="1"/>
    <col min="18" max="18" width="22.25" style="34" bestFit="1" customWidth="1"/>
    <col min="19" max="21" width="18.375" style="34" customWidth="1"/>
    <col min="22" max="22" width="27.625" style="34" bestFit="1" customWidth="1"/>
    <col min="23" max="24" width="18.375" style="34" customWidth="1"/>
    <col min="25" max="25" width="27.625" style="34" bestFit="1" customWidth="1"/>
    <col min="26" max="26" width="18.375" style="34" customWidth="1"/>
    <col min="27" max="27" width="25.375" style="34" bestFit="1" customWidth="1"/>
    <col min="28" max="28" width="21" style="34" bestFit="1" customWidth="1"/>
    <col min="29" max="29" width="27.625" style="34" bestFit="1" customWidth="1"/>
    <col min="30" max="30" width="18.375" style="34" customWidth="1"/>
    <col min="31" max="31" width="27.625" style="34" bestFit="1" customWidth="1"/>
    <col min="32" max="385" width="30.375" style="34" customWidth="1"/>
    <col min="386" max="387" width="21.25" style="34" customWidth="1"/>
    <col min="388" max="403" width="20.5" style="34" customWidth="1"/>
    <col min="404" max="404" width="21" style="34" bestFit="1" customWidth="1"/>
    <col min="405" max="405" width="25.125" style="34" bestFit="1" customWidth="1"/>
    <col min="406" max="406" width="23" style="34" bestFit="1" customWidth="1"/>
    <col min="407" max="407" width="33.375" style="34" bestFit="1" customWidth="1"/>
    <col min="408" max="408" width="25.125" style="34" bestFit="1" customWidth="1"/>
    <col min="409" max="409" width="28.875" style="34" bestFit="1" customWidth="1"/>
    <col min="410" max="410" width="23" style="34" bestFit="1" customWidth="1"/>
    <col min="411" max="411" width="18.875" style="34" customWidth="1"/>
    <col min="412" max="412" width="23" style="34" bestFit="1" customWidth="1"/>
    <col min="413" max="413" width="25.125" style="34" bestFit="1" customWidth="1"/>
    <col min="414" max="414" width="18.875" style="34" customWidth="1"/>
    <col min="415" max="415" width="19.125" style="34" customWidth="1"/>
    <col min="416" max="416" width="18.125" style="34" customWidth="1"/>
    <col min="417" max="417" width="18.875" style="34" customWidth="1"/>
    <col min="418" max="418" width="26.625" style="34" customWidth="1"/>
    <col min="419" max="419" width="22.125" style="34" customWidth="1"/>
    <col min="420" max="420" width="24.125" style="34" customWidth="1"/>
    <col min="421" max="421" width="21.375" style="34" customWidth="1"/>
    <col min="422" max="422" width="19.375" style="34" customWidth="1"/>
    <col min="423" max="423" width="20" style="34" customWidth="1"/>
    <col min="424" max="424" width="23.25" style="34" customWidth="1"/>
    <col min="425" max="425" width="18" style="34" customWidth="1"/>
    <col min="426" max="456" width="19" style="34" customWidth="1"/>
    <col min="457" max="461" width="20.25" style="34" customWidth="1"/>
    <col min="462" max="462" width="17.25" style="34" customWidth="1"/>
    <col min="463" max="463" width="17.75" style="34" customWidth="1"/>
    <col min="464" max="464" width="16.5" style="34" customWidth="1"/>
    <col min="465" max="467" width="21" style="34" customWidth="1"/>
    <col min="468" max="468" width="18.5" style="34" customWidth="1"/>
    <col min="469" max="473" width="21" style="34" customWidth="1"/>
    <col min="474" max="474" width="15.125" style="34" customWidth="1"/>
    <col min="475" max="490" width="21" style="34" customWidth="1"/>
    <col min="491" max="491" width="24.25" style="34" customWidth="1"/>
    <col min="492" max="492" width="18.875" style="34" bestFit="1" customWidth="1"/>
    <col min="493" max="493" width="21" style="34" bestFit="1" customWidth="1"/>
    <col min="494" max="494" width="23" style="38" bestFit="1" customWidth="1"/>
    <col min="495" max="495" width="8.625" style="38" bestFit="1" customWidth="1"/>
    <col min="496" max="496" width="21" style="38" bestFit="1" customWidth="1"/>
    <col min="497" max="497" width="23" style="38" bestFit="1" customWidth="1"/>
    <col min="498" max="498" width="8.625" style="38" bestFit="1" customWidth="1"/>
    <col min="499" max="499" width="22.875" style="34" customWidth="1"/>
    <col min="500" max="506" width="20.875" style="38" customWidth="1"/>
    <col min="507" max="507" width="23.25" style="38" customWidth="1"/>
    <col min="508" max="16384" width="9" style="34"/>
  </cols>
  <sheetData>
    <row r="1" spans="1:499" s="38" customFormat="1" ht="15" customHeight="1" x14ac:dyDescent="0.3">
      <c r="A1" s="62" t="s">
        <v>391</v>
      </c>
      <c r="B1" s="62" t="s">
        <v>89</v>
      </c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2"/>
      <c r="AG1" s="2"/>
      <c r="AH1" s="2"/>
      <c r="AI1" s="2"/>
      <c r="AJ1" s="2"/>
      <c r="AK1" s="2"/>
      <c r="AL1" s="2"/>
      <c r="AM1" s="2"/>
      <c r="AN1" s="29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2"/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2"/>
      <c r="EV1" s="2"/>
      <c r="EW1" s="2"/>
      <c r="EX1" s="2"/>
      <c r="EY1" s="2"/>
      <c r="EZ1" s="2"/>
      <c r="FA1" s="2"/>
      <c r="FB1" s="2"/>
      <c r="FC1" s="2"/>
      <c r="FD1" s="2"/>
      <c r="FE1" s="2"/>
      <c r="FF1" s="2"/>
      <c r="FG1" s="2"/>
      <c r="FH1" s="2"/>
      <c r="FI1" s="2"/>
      <c r="FJ1" s="2"/>
      <c r="FK1" s="2"/>
      <c r="FL1" s="2"/>
      <c r="FM1" s="2"/>
      <c r="FN1" s="2"/>
      <c r="FO1" s="2"/>
      <c r="FP1" s="2"/>
      <c r="FQ1" s="2"/>
      <c r="FR1" s="2"/>
      <c r="FS1" s="2"/>
      <c r="FT1" s="2"/>
      <c r="FU1" s="2"/>
      <c r="FV1" s="2"/>
      <c r="FW1" s="2"/>
      <c r="FX1" s="2"/>
      <c r="FY1" s="2"/>
      <c r="FZ1" s="2"/>
      <c r="GA1" s="2"/>
      <c r="GB1" s="2"/>
      <c r="GC1" s="2"/>
      <c r="GD1" s="2"/>
      <c r="GE1" s="2"/>
      <c r="GF1" s="2"/>
      <c r="GG1" s="2"/>
      <c r="GH1" s="2"/>
      <c r="GI1" s="2"/>
      <c r="GJ1" s="2"/>
      <c r="GK1" s="2"/>
      <c r="GL1" s="2"/>
      <c r="GM1" s="2"/>
      <c r="GN1" s="2"/>
      <c r="GO1" s="2"/>
      <c r="GP1" s="23"/>
      <c r="GQ1" s="23"/>
      <c r="GR1" s="23"/>
      <c r="GS1" s="23"/>
      <c r="GT1" s="23"/>
      <c r="GU1" s="23"/>
      <c r="GV1" s="23"/>
      <c r="GW1" s="23"/>
      <c r="GX1" s="23"/>
      <c r="GY1" s="23"/>
      <c r="GZ1" s="23"/>
      <c r="HA1" s="23"/>
      <c r="HB1" s="23"/>
      <c r="HC1" s="23"/>
      <c r="HD1" s="23"/>
      <c r="HE1" s="23"/>
      <c r="HF1" s="23"/>
      <c r="HG1" s="23"/>
      <c r="HH1" s="23"/>
      <c r="HI1" s="23"/>
      <c r="HJ1" s="23"/>
      <c r="HK1" s="23"/>
      <c r="HL1" s="23"/>
      <c r="HM1" s="23"/>
      <c r="HN1" s="23"/>
      <c r="HO1" s="23"/>
      <c r="HP1" s="23"/>
      <c r="HQ1" s="23"/>
      <c r="HR1" s="23"/>
      <c r="HS1" s="23"/>
      <c r="HT1" s="23"/>
      <c r="HU1" s="23"/>
      <c r="HV1" s="23"/>
      <c r="HW1" s="23"/>
      <c r="HX1" s="23"/>
      <c r="HY1" s="23"/>
      <c r="HZ1" s="23"/>
      <c r="IA1" s="23"/>
      <c r="IB1" s="23"/>
      <c r="IC1" s="23"/>
      <c r="ID1" s="23"/>
      <c r="IE1" s="23"/>
      <c r="IF1" s="23"/>
      <c r="IG1" s="23"/>
      <c r="IH1" s="23"/>
      <c r="II1" s="23"/>
      <c r="IJ1" s="23"/>
      <c r="IK1" s="23"/>
      <c r="IL1" s="23"/>
      <c r="IM1" s="23"/>
      <c r="IN1" s="23"/>
      <c r="IO1" s="23"/>
      <c r="IP1" s="23"/>
      <c r="IQ1" s="23"/>
      <c r="IR1" s="23"/>
      <c r="IS1" s="23"/>
      <c r="IT1" s="23"/>
      <c r="IU1" s="23"/>
      <c r="IV1" s="23"/>
      <c r="IW1" s="23"/>
      <c r="IX1" s="23"/>
      <c r="IY1" s="23"/>
      <c r="IZ1" s="23"/>
      <c r="JA1" s="23"/>
      <c r="JB1" s="23"/>
      <c r="JC1" s="23"/>
      <c r="JD1" s="23"/>
      <c r="JE1" s="23"/>
      <c r="JF1" s="23"/>
      <c r="JG1" s="23"/>
      <c r="JH1" s="23"/>
      <c r="JI1" s="23"/>
      <c r="JJ1" s="23"/>
      <c r="JK1" s="23"/>
      <c r="JL1" s="23"/>
      <c r="JM1" s="23"/>
      <c r="JN1" s="23"/>
      <c r="JO1" s="23"/>
      <c r="JP1" s="23"/>
      <c r="JQ1" s="23"/>
      <c r="JR1" s="23"/>
      <c r="JS1" s="23"/>
      <c r="JT1" s="23"/>
      <c r="JU1" s="23"/>
      <c r="JV1" s="23"/>
      <c r="JW1" s="23"/>
      <c r="JX1" s="23"/>
      <c r="JY1" s="23"/>
      <c r="JZ1" s="23"/>
      <c r="KA1" s="23"/>
      <c r="KB1" s="23"/>
      <c r="KC1" s="23"/>
      <c r="KD1" s="23"/>
      <c r="KE1" s="23"/>
      <c r="KF1" s="23"/>
      <c r="KG1" s="23"/>
      <c r="KH1" s="23"/>
      <c r="KI1" s="23"/>
      <c r="KJ1" s="23"/>
      <c r="KK1" s="23"/>
      <c r="KL1" s="23"/>
      <c r="KM1" s="23"/>
      <c r="KN1" s="23"/>
      <c r="KO1" s="23"/>
      <c r="KP1" s="23"/>
      <c r="KQ1" s="23"/>
      <c r="KR1" s="23"/>
      <c r="KS1" s="23"/>
      <c r="KT1" s="23"/>
      <c r="KU1" s="23"/>
      <c r="KV1" s="23"/>
      <c r="KW1" s="23"/>
      <c r="KX1" s="23"/>
      <c r="KY1" s="23"/>
      <c r="KZ1" s="23"/>
      <c r="LA1" s="23"/>
      <c r="LB1" s="23"/>
      <c r="LC1" s="23"/>
      <c r="LD1" s="23"/>
      <c r="LE1" s="23"/>
      <c r="LF1" s="23"/>
      <c r="LG1" s="23"/>
      <c r="LH1" s="23"/>
      <c r="LI1" s="23"/>
      <c r="LJ1" s="23"/>
      <c r="LK1" s="23"/>
      <c r="LL1" s="23"/>
      <c r="LM1" s="23"/>
      <c r="LN1" s="23"/>
      <c r="LO1" s="23"/>
      <c r="LP1" s="23"/>
      <c r="LQ1" s="23"/>
      <c r="LR1" s="23"/>
      <c r="LS1" s="23"/>
      <c r="LT1" s="23"/>
      <c r="LU1" s="23"/>
      <c r="LV1" s="23"/>
      <c r="LW1" s="23"/>
      <c r="LX1" s="23"/>
      <c r="LY1" s="23"/>
      <c r="LZ1" s="23"/>
      <c r="MA1" s="23"/>
      <c r="MB1" s="23"/>
      <c r="MC1" s="32"/>
      <c r="MD1" s="23"/>
      <c r="ME1" s="23"/>
      <c r="MF1" s="23"/>
      <c r="MG1" s="23"/>
      <c r="MH1" s="32"/>
      <c r="MI1" s="32"/>
      <c r="MJ1" s="23"/>
      <c r="MK1" s="23"/>
      <c r="ML1" s="23"/>
      <c r="MM1" s="23"/>
      <c r="MN1" s="23"/>
      <c r="MO1" s="23"/>
      <c r="MP1" s="23"/>
      <c r="MQ1" s="23"/>
      <c r="MR1" s="23"/>
      <c r="MS1" s="23"/>
      <c r="MT1" s="23"/>
      <c r="MU1" s="23"/>
      <c r="MV1" s="23"/>
      <c r="MW1" s="23"/>
      <c r="MX1" s="23"/>
      <c r="MY1" s="23"/>
      <c r="MZ1" s="23"/>
      <c r="NA1" s="23"/>
      <c r="NB1" s="23"/>
      <c r="NC1" s="23"/>
      <c r="ND1" s="23"/>
      <c r="NE1" s="23"/>
      <c r="NF1" s="23"/>
      <c r="NG1" s="23"/>
      <c r="NH1" s="23"/>
      <c r="NI1" s="23"/>
      <c r="NJ1" s="23"/>
      <c r="NK1" s="23"/>
      <c r="NL1" s="23"/>
      <c r="NM1" s="23"/>
      <c r="NN1" s="23"/>
      <c r="NO1" s="23"/>
      <c r="NP1" s="23"/>
      <c r="NQ1" s="23"/>
      <c r="NR1" s="23"/>
      <c r="NS1" s="23"/>
      <c r="NT1" s="23"/>
      <c r="NU1" s="23"/>
      <c r="NV1" s="23"/>
      <c r="NW1" s="23"/>
      <c r="NX1" s="23"/>
      <c r="NY1" s="23"/>
      <c r="NZ1" s="23"/>
      <c r="OA1" s="23"/>
      <c r="OB1" s="23"/>
      <c r="OC1" s="23"/>
      <c r="OD1" s="23"/>
      <c r="OE1" s="23"/>
      <c r="OF1" s="23"/>
      <c r="OG1" s="23"/>
      <c r="OH1" s="23"/>
      <c r="OI1" s="23"/>
      <c r="OJ1" s="23"/>
      <c r="OK1" s="23"/>
      <c r="OL1" s="23"/>
      <c r="OM1" s="23"/>
      <c r="ON1" s="32"/>
      <c r="OO1" s="23"/>
      <c r="OP1" s="23"/>
      <c r="OQ1" s="23"/>
      <c r="OR1" s="23"/>
      <c r="OS1" s="23"/>
      <c r="OT1" s="23"/>
      <c r="OU1" s="23"/>
      <c r="OV1" s="23"/>
      <c r="OW1" s="23"/>
      <c r="OX1" s="23"/>
      <c r="OY1" s="23"/>
      <c r="OZ1" s="23"/>
      <c r="PA1" s="23"/>
      <c r="PB1" s="23"/>
      <c r="PC1" s="23"/>
      <c r="PD1" s="23"/>
      <c r="PE1" s="23"/>
      <c r="PF1" s="23"/>
      <c r="PG1" s="23"/>
      <c r="PH1" s="23"/>
      <c r="PI1" s="23"/>
      <c r="PJ1" s="32"/>
      <c r="PK1" s="23"/>
      <c r="PL1" s="23"/>
      <c r="PM1" s="23"/>
      <c r="PN1" s="23"/>
      <c r="PO1" s="23"/>
      <c r="PP1" s="23"/>
      <c r="PQ1" s="23"/>
      <c r="PR1" s="23"/>
      <c r="PS1" s="23"/>
      <c r="PT1" s="23"/>
      <c r="PU1" s="23"/>
      <c r="PV1" s="23"/>
      <c r="PW1" s="23"/>
      <c r="PX1" s="32"/>
      <c r="PY1" s="23"/>
      <c r="PZ1" s="23"/>
      <c r="QA1" s="23"/>
      <c r="QB1" s="23"/>
      <c r="QC1" s="23"/>
      <c r="QD1" s="23"/>
      <c r="QE1" s="23"/>
      <c r="QF1" s="23"/>
      <c r="QG1" s="23"/>
      <c r="QH1" s="23"/>
      <c r="QI1" s="23"/>
      <c r="QJ1" s="23"/>
      <c r="QK1" s="23"/>
      <c r="QL1" s="23"/>
      <c r="QM1" s="23"/>
      <c r="QN1" s="23"/>
      <c r="QO1" s="23"/>
      <c r="QP1" s="23"/>
      <c r="QQ1" s="23"/>
      <c r="QR1" s="23"/>
      <c r="QS1" s="23"/>
      <c r="QT1" s="23"/>
      <c r="QU1" s="23"/>
      <c r="QV1" s="23"/>
      <c r="QW1" s="23"/>
      <c r="QX1" s="23"/>
      <c r="QY1" s="23"/>
      <c r="QZ1" s="23"/>
      <c r="RA1" s="23"/>
      <c r="RB1" s="23"/>
      <c r="RC1" s="23"/>
      <c r="RD1" s="23"/>
      <c r="RE1" s="23"/>
      <c r="RF1" s="23"/>
      <c r="RG1" s="23"/>
      <c r="RH1" s="23"/>
      <c r="RI1" s="23"/>
      <c r="RJ1" s="23"/>
      <c r="RK1" s="23"/>
      <c r="RL1" s="23"/>
      <c r="RM1" s="23"/>
      <c r="RN1" s="23"/>
      <c r="RO1" s="23"/>
      <c r="RP1" s="23"/>
      <c r="RQ1" s="23"/>
      <c r="RR1" s="23"/>
      <c r="RS1" s="23"/>
      <c r="RT1" s="23"/>
      <c r="RU1" s="23"/>
      <c r="RV1" s="23"/>
      <c r="RW1" s="23"/>
      <c r="RX1" s="23"/>
      <c r="RY1" s="23"/>
      <c r="RZ1" s="23"/>
      <c r="SA1" s="23"/>
      <c r="SB1" s="23"/>
      <c r="SC1" s="23"/>
      <c r="SD1" s="23"/>
      <c r="SE1" s="23"/>
    </row>
    <row r="2" spans="1:499" s="38" customFormat="1" ht="15" customHeight="1" x14ac:dyDescent="0.3">
      <c r="A2" s="53" t="s">
        <v>67</v>
      </c>
      <c r="B2" s="53" t="s">
        <v>380</v>
      </c>
      <c r="C2" s="53" t="s">
        <v>388</v>
      </c>
      <c r="D2" s="53" t="s">
        <v>3</v>
      </c>
      <c r="E2" s="53"/>
      <c r="F2" s="53"/>
      <c r="G2" s="53"/>
      <c r="H2" s="53"/>
      <c r="I2" s="53"/>
      <c r="J2" s="53"/>
      <c r="K2" s="53"/>
      <c r="L2" s="53"/>
      <c r="M2" s="53"/>
      <c r="N2" s="53"/>
      <c r="O2" s="53"/>
      <c r="P2" s="53"/>
      <c r="Q2" s="53"/>
      <c r="R2" s="53"/>
      <c r="S2" s="53"/>
      <c r="T2" s="53"/>
      <c r="U2" s="53"/>
      <c r="V2" s="53"/>
      <c r="W2" s="53"/>
      <c r="X2" s="53"/>
      <c r="Y2" s="53"/>
      <c r="Z2" s="53"/>
      <c r="AA2" s="53"/>
      <c r="AB2" s="53"/>
      <c r="AC2" s="53"/>
      <c r="AD2" s="53"/>
      <c r="AE2" s="53"/>
      <c r="AF2" s="34"/>
      <c r="AG2" s="34"/>
      <c r="AH2" s="34"/>
      <c r="AI2" s="34"/>
      <c r="AJ2" s="34"/>
      <c r="AK2" s="34"/>
      <c r="AL2" s="34"/>
      <c r="AM2" s="34"/>
      <c r="AN2" s="34"/>
      <c r="AO2" s="34"/>
      <c r="AP2" s="34"/>
      <c r="AQ2" s="34"/>
      <c r="AR2" s="34"/>
      <c r="AS2" s="34"/>
      <c r="AT2" s="34"/>
      <c r="AU2" s="34"/>
      <c r="AV2" s="34"/>
      <c r="AW2" s="34"/>
      <c r="AX2" s="34"/>
      <c r="AY2" s="34"/>
      <c r="AZ2" s="34"/>
      <c r="BA2" s="34"/>
      <c r="BB2" s="34"/>
      <c r="BC2" s="34"/>
      <c r="BD2" s="34"/>
      <c r="BE2" s="34"/>
      <c r="BF2" s="34"/>
      <c r="BG2" s="34"/>
      <c r="BH2" s="34"/>
      <c r="BI2" s="34"/>
      <c r="BJ2" s="34"/>
      <c r="BK2" s="34"/>
      <c r="BL2" s="34"/>
      <c r="BM2" s="34"/>
      <c r="BN2" s="34"/>
      <c r="BO2" s="34"/>
      <c r="BP2" s="34"/>
      <c r="BQ2" s="34"/>
      <c r="BR2" s="34"/>
      <c r="BS2" s="34"/>
      <c r="BT2" s="34"/>
      <c r="BU2" s="34"/>
      <c r="BV2" s="34"/>
      <c r="BW2" s="34"/>
      <c r="BX2" s="34"/>
      <c r="BY2" s="34"/>
      <c r="BZ2" s="34"/>
      <c r="CA2" s="34"/>
      <c r="CB2" s="34"/>
      <c r="CC2" s="34"/>
      <c r="CD2" s="34"/>
      <c r="CE2" s="34"/>
      <c r="CF2" s="34"/>
      <c r="CG2" s="34"/>
      <c r="CH2" s="34"/>
      <c r="CI2" s="34"/>
      <c r="CJ2" s="34"/>
      <c r="CK2" s="34"/>
      <c r="CL2" s="34"/>
      <c r="CM2" s="34"/>
      <c r="CN2" s="34"/>
      <c r="CO2" s="34"/>
      <c r="CP2" s="34"/>
      <c r="CQ2" s="34"/>
      <c r="CR2" s="34"/>
      <c r="CS2" s="34"/>
      <c r="CT2" s="34"/>
      <c r="CU2" s="34"/>
      <c r="CV2" s="34"/>
      <c r="CW2" s="34"/>
      <c r="CX2" s="34"/>
      <c r="CY2" s="34"/>
      <c r="CZ2" s="34"/>
      <c r="DA2" s="34"/>
      <c r="DB2" s="34"/>
      <c r="DC2" s="34"/>
      <c r="DD2" s="34"/>
      <c r="DE2" s="34"/>
      <c r="DF2" s="34"/>
      <c r="DG2" s="34"/>
      <c r="DH2" s="34"/>
      <c r="DI2" s="34"/>
      <c r="DJ2" s="34"/>
      <c r="DK2" s="34"/>
      <c r="DL2" s="34"/>
      <c r="DM2" s="34"/>
      <c r="DN2" s="34"/>
      <c r="DO2" s="34"/>
      <c r="DP2" s="34"/>
      <c r="DQ2" s="34"/>
      <c r="DR2" s="34"/>
      <c r="DS2" s="34"/>
      <c r="DT2" s="34"/>
      <c r="DU2" s="34"/>
      <c r="DV2" s="34"/>
      <c r="DW2" s="34"/>
      <c r="DX2" s="34"/>
      <c r="DY2" s="34"/>
      <c r="DZ2" s="34"/>
      <c r="EA2" s="34"/>
      <c r="EB2" s="34"/>
      <c r="EC2" s="34"/>
      <c r="ED2" s="34"/>
      <c r="EE2" s="34"/>
      <c r="EF2" s="34"/>
      <c r="EG2" s="34"/>
      <c r="EH2" s="34"/>
      <c r="EI2" s="34"/>
      <c r="EJ2" s="34"/>
      <c r="EK2" s="34"/>
      <c r="EL2" s="34"/>
      <c r="EM2" s="34"/>
      <c r="EN2" s="34"/>
      <c r="EO2" s="34"/>
      <c r="EP2" s="34"/>
      <c r="EQ2" s="34"/>
      <c r="ER2" s="34"/>
      <c r="ES2" s="34"/>
      <c r="ET2" s="34"/>
      <c r="EU2" s="34"/>
      <c r="EV2" s="34"/>
      <c r="EW2" s="34"/>
      <c r="EX2" s="34"/>
      <c r="EY2" s="34"/>
      <c r="EZ2" s="34"/>
      <c r="FA2" s="34"/>
      <c r="FB2" s="34"/>
      <c r="FC2" s="34"/>
      <c r="FD2" s="34"/>
      <c r="FE2" s="34"/>
      <c r="FF2" s="34"/>
      <c r="FG2" s="34"/>
      <c r="FH2" s="34"/>
      <c r="FI2" s="34"/>
      <c r="FJ2" s="34"/>
      <c r="FK2" s="34"/>
      <c r="FL2" s="34"/>
      <c r="FM2" s="34"/>
      <c r="FN2" s="34"/>
      <c r="FO2" s="34"/>
      <c r="FP2" s="34"/>
      <c r="FQ2" s="34"/>
      <c r="FR2" s="34"/>
      <c r="FS2" s="34"/>
      <c r="FT2" s="34"/>
      <c r="FU2" s="34"/>
      <c r="FV2" s="34"/>
      <c r="FW2" s="34"/>
      <c r="FX2" s="34"/>
      <c r="FY2" s="34"/>
      <c r="FZ2" s="34"/>
      <c r="GA2" s="34"/>
      <c r="GB2" s="34"/>
      <c r="GC2" s="34"/>
      <c r="GD2" s="34"/>
      <c r="GE2" s="34"/>
      <c r="GF2" s="34"/>
      <c r="GG2" s="34"/>
      <c r="GH2" s="34"/>
      <c r="GI2" s="34"/>
      <c r="GJ2" s="34"/>
      <c r="GK2" s="34"/>
      <c r="GL2" s="34"/>
      <c r="GM2" s="34"/>
      <c r="GN2" s="34"/>
      <c r="GO2" s="34"/>
    </row>
    <row r="3" spans="1:499" s="38" customFormat="1" ht="15" customHeight="1" x14ac:dyDescent="0.3">
      <c r="A3" s="34" t="s">
        <v>260</v>
      </c>
      <c r="B3" s="34">
        <v>49</v>
      </c>
      <c r="C3" s="34">
        <v>139</v>
      </c>
      <c r="D3" s="34">
        <v>188</v>
      </c>
      <c r="E3" s="34"/>
      <c r="F3" s="34"/>
      <c r="G3" s="34"/>
      <c r="H3" s="34"/>
      <c r="I3" s="34"/>
      <c r="J3" s="34"/>
      <c r="K3" s="34"/>
      <c r="L3" s="34"/>
      <c r="M3" s="34"/>
      <c r="N3" s="34"/>
      <c r="O3" s="34"/>
      <c r="P3" s="34"/>
      <c r="Q3" s="34"/>
      <c r="R3" s="34"/>
      <c r="S3" s="58"/>
      <c r="T3" s="58"/>
      <c r="U3" s="58"/>
      <c r="V3" s="58"/>
      <c r="W3" s="58"/>
      <c r="X3" s="58"/>
      <c r="Y3" s="58"/>
      <c r="Z3" s="58"/>
      <c r="AA3" s="58"/>
      <c r="AB3" s="58"/>
      <c r="AC3" s="58"/>
      <c r="AD3" s="58"/>
      <c r="AE3" s="58"/>
      <c r="AF3" s="34"/>
      <c r="AG3" s="34"/>
      <c r="AH3" s="34"/>
      <c r="AI3" s="34"/>
      <c r="AJ3" s="34"/>
      <c r="AK3" s="34"/>
      <c r="AL3" s="34"/>
      <c r="AM3" s="34"/>
      <c r="AN3" s="34"/>
      <c r="AO3" s="34"/>
      <c r="AP3" s="34"/>
      <c r="AQ3" s="34"/>
      <c r="AR3" s="34"/>
      <c r="AS3" s="34"/>
      <c r="AT3" s="34"/>
      <c r="AU3" s="34"/>
      <c r="AV3" s="34"/>
      <c r="AW3" s="34"/>
      <c r="AX3" s="34"/>
      <c r="AY3" s="34"/>
      <c r="AZ3" s="34"/>
      <c r="BA3" s="34"/>
      <c r="BB3" s="34"/>
      <c r="BC3" s="34"/>
      <c r="BD3" s="34"/>
      <c r="BE3" s="34"/>
      <c r="BF3" s="34"/>
      <c r="BG3" s="34"/>
      <c r="BH3" s="34"/>
      <c r="BI3" s="34"/>
      <c r="BJ3" s="34"/>
      <c r="BK3" s="34"/>
      <c r="BL3" s="34"/>
      <c r="BM3" s="34"/>
      <c r="BN3" s="34"/>
      <c r="BO3" s="34"/>
      <c r="BP3" s="34"/>
      <c r="BQ3" s="34"/>
      <c r="BR3" s="34"/>
      <c r="BS3" s="34"/>
      <c r="BT3" s="34"/>
      <c r="BU3" s="34"/>
      <c r="BV3" s="34"/>
      <c r="BW3" s="34"/>
      <c r="BX3" s="34"/>
      <c r="BY3" s="34"/>
      <c r="BZ3" s="34"/>
      <c r="CA3" s="34"/>
      <c r="CB3" s="34"/>
      <c r="CC3" s="34"/>
      <c r="CD3" s="34"/>
      <c r="CE3" s="34"/>
      <c r="CF3" s="34"/>
      <c r="CG3" s="34"/>
      <c r="CH3" s="34"/>
      <c r="CI3" s="34"/>
      <c r="CJ3" s="34"/>
      <c r="CK3" s="34"/>
      <c r="CL3" s="34"/>
      <c r="CM3" s="34"/>
      <c r="CN3" s="34"/>
      <c r="CO3" s="34"/>
      <c r="CP3" s="34"/>
      <c r="CQ3" s="34"/>
      <c r="CR3" s="34"/>
      <c r="CS3" s="34"/>
      <c r="CT3" s="34"/>
      <c r="CU3" s="34"/>
      <c r="CV3" s="34"/>
      <c r="CW3" s="34"/>
      <c r="CX3" s="34"/>
      <c r="CY3" s="34"/>
      <c r="CZ3" s="34"/>
      <c r="DA3" s="34"/>
      <c r="DB3" s="34"/>
      <c r="DC3" s="34"/>
      <c r="DD3" s="34"/>
      <c r="DE3" s="34"/>
      <c r="DF3" s="34"/>
      <c r="DG3" s="34"/>
      <c r="DH3" s="34"/>
      <c r="DI3" s="34"/>
      <c r="DJ3" s="34"/>
      <c r="DK3" s="34"/>
      <c r="DL3" s="34"/>
      <c r="DM3" s="34"/>
      <c r="DN3" s="34"/>
      <c r="DO3" s="34"/>
      <c r="DP3" s="34"/>
      <c r="DQ3" s="34"/>
      <c r="DR3" s="34"/>
      <c r="DS3" s="34"/>
      <c r="DT3" s="34"/>
      <c r="DU3" s="34"/>
      <c r="DV3" s="34"/>
      <c r="DW3" s="34"/>
      <c r="DX3" s="34"/>
      <c r="DY3" s="34"/>
      <c r="DZ3" s="34"/>
      <c r="EA3" s="34"/>
      <c r="EB3" s="34"/>
      <c r="EC3" s="34"/>
      <c r="ED3" s="34"/>
      <c r="EE3" s="34"/>
      <c r="EF3" s="34"/>
      <c r="EG3" s="34"/>
      <c r="EH3" s="34"/>
      <c r="EI3" s="34"/>
      <c r="EJ3" s="34"/>
      <c r="EK3" s="34"/>
      <c r="EL3" s="34"/>
      <c r="EM3" s="34"/>
      <c r="EN3" s="34"/>
      <c r="EO3" s="34"/>
      <c r="EP3" s="34"/>
      <c r="EQ3" s="34"/>
      <c r="ER3" s="34"/>
      <c r="ES3" s="34"/>
      <c r="ET3" s="34"/>
      <c r="EU3" s="34"/>
      <c r="EV3" s="34"/>
      <c r="EW3" s="34"/>
      <c r="EX3" s="34"/>
      <c r="EY3" s="34"/>
      <c r="EZ3" s="34"/>
      <c r="FA3" s="34"/>
      <c r="FB3" s="34"/>
      <c r="FC3" s="34"/>
      <c r="FD3" s="34"/>
      <c r="FE3" s="34"/>
      <c r="FF3" s="34"/>
      <c r="FG3" s="34"/>
      <c r="FH3" s="34"/>
      <c r="FI3" s="34"/>
      <c r="FJ3" s="34"/>
      <c r="FK3" s="34"/>
      <c r="FL3" s="34"/>
      <c r="FM3" s="34"/>
      <c r="FN3" s="34"/>
      <c r="FO3" s="34"/>
      <c r="FP3" s="34"/>
      <c r="FQ3" s="34"/>
      <c r="FR3" s="34"/>
      <c r="FS3" s="34"/>
      <c r="FT3" s="34"/>
      <c r="FU3" s="34"/>
      <c r="FV3" s="34"/>
      <c r="FW3" s="34"/>
      <c r="FX3" s="34"/>
      <c r="FY3" s="34"/>
      <c r="FZ3" s="34"/>
      <c r="GA3" s="34"/>
      <c r="GB3" s="34"/>
      <c r="GC3" s="34"/>
      <c r="GD3" s="34"/>
      <c r="GE3" s="34"/>
      <c r="GF3" s="34"/>
      <c r="GG3" s="34"/>
      <c r="GH3" s="34"/>
      <c r="GI3" s="34"/>
      <c r="GJ3" s="34"/>
      <c r="GK3" s="34"/>
      <c r="GL3" s="34"/>
      <c r="GM3" s="34"/>
      <c r="GN3" s="34"/>
      <c r="GO3" s="34"/>
    </row>
    <row r="4" spans="1:499" s="38" customFormat="1" ht="20.25" customHeight="1" x14ac:dyDescent="0.3">
      <c r="A4" s="34" t="s">
        <v>255</v>
      </c>
      <c r="B4" s="34">
        <v>224</v>
      </c>
      <c r="C4" s="34">
        <v>808</v>
      </c>
      <c r="D4" s="34">
        <v>1032</v>
      </c>
      <c r="E4" s="34"/>
      <c r="F4" s="34"/>
      <c r="G4" s="34"/>
      <c r="H4" s="34"/>
      <c r="I4" s="34"/>
      <c r="J4" s="34"/>
      <c r="K4" s="34"/>
      <c r="L4" s="34"/>
      <c r="M4" s="34"/>
      <c r="N4" s="34"/>
      <c r="O4" s="34"/>
      <c r="P4" s="34"/>
      <c r="Q4" s="34"/>
      <c r="R4" s="34"/>
      <c r="S4" s="58"/>
      <c r="T4" s="58"/>
      <c r="U4" s="58"/>
      <c r="V4" s="58"/>
      <c r="W4" s="58"/>
      <c r="X4" s="58"/>
      <c r="Y4" s="58"/>
      <c r="Z4" s="58"/>
      <c r="AA4" s="58"/>
      <c r="AB4" s="58"/>
      <c r="AC4" s="58"/>
      <c r="AD4" s="58"/>
      <c r="AE4" s="58"/>
      <c r="AF4" s="34"/>
      <c r="AG4" s="34"/>
      <c r="AH4" s="34"/>
      <c r="AI4" s="34"/>
      <c r="AJ4" s="34"/>
      <c r="AK4" s="34"/>
      <c r="AL4" s="34"/>
      <c r="AM4" s="34"/>
      <c r="AN4" s="34"/>
      <c r="AO4" s="34"/>
      <c r="AP4" s="34"/>
      <c r="AQ4" s="34"/>
      <c r="AR4" s="34"/>
      <c r="AS4" s="34"/>
      <c r="AT4" s="34"/>
      <c r="AU4" s="34"/>
      <c r="AV4" s="34"/>
      <c r="AW4" s="34"/>
      <c r="AX4" s="34"/>
      <c r="AY4" s="34"/>
      <c r="AZ4" s="34"/>
      <c r="BA4" s="34"/>
      <c r="BB4" s="34"/>
      <c r="BC4" s="34"/>
      <c r="BD4" s="34"/>
      <c r="BE4" s="34"/>
      <c r="BF4" s="34"/>
      <c r="BG4" s="34"/>
      <c r="BH4" s="34"/>
      <c r="BI4" s="34"/>
      <c r="BJ4" s="34"/>
      <c r="BK4" s="34"/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4"/>
      <c r="BZ4" s="34"/>
      <c r="CA4" s="34"/>
      <c r="CB4" s="34"/>
      <c r="CC4" s="34"/>
      <c r="CD4" s="34"/>
      <c r="CE4" s="34"/>
      <c r="CF4" s="34"/>
      <c r="CG4" s="34"/>
      <c r="CH4" s="34"/>
      <c r="CI4" s="34"/>
      <c r="CJ4" s="34"/>
      <c r="CK4" s="34"/>
      <c r="CL4" s="34"/>
      <c r="CM4" s="34"/>
      <c r="CN4" s="34"/>
      <c r="CO4" s="34"/>
      <c r="CP4" s="34"/>
      <c r="CQ4" s="34"/>
      <c r="CR4" s="34"/>
      <c r="CS4" s="34"/>
      <c r="CT4" s="34"/>
      <c r="CU4" s="34"/>
      <c r="CV4" s="34"/>
      <c r="CW4" s="34"/>
      <c r="CX4" s="34"/>
      <c r="CY4" s="34"/>
      <c r="CZ4" s="34"/>
      <c r="DA4" s="34"/>
      <c r="DB4" s="34"/>
      <c r="DC4" s="34"/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4"/>
      <c r="DO4" s="34"/>
      <c r="DP4" s="34"/>
      <c r="DQ4" s="34"/>
      <c r="DR4" s="34"/>
      <c r="DS4" s="34"/>
      <c r="DT4" s="34"/>
      <c r="DU4" s="34"/>
      <c r="DV4" s="34"/>
      <c r="DW4" s="34"/>
      <c r="DX4" s="34"/>
      <c r="DY4" s="34"/>
      <c r="DZ4" s="34"/>
      <c r="EA4" s="34"/>
      <c r="EB4" s="34"/>
      <c r="EC4" s="34"/>
      <c r="ED4" s="34"/>
      <c r="EE4" s="34"/>
      <c r="EF4" s="34"/>
      <c r="EG4" s="34"/>
      <c r="EH4" s="34"/>
      <c r="EI4" s="34"/>
      <c r="EJ4" s="34"/>
      <c r="EK4" s="34"/>
      <c r="EL4" s="34"/>
      <c r="EM4" s="34"/>
      <c r="EN4" s="34"/>
      <c r="EO4" s="34"/>
      <c r="EP4" s="34"/>
      <c r="EQ4" s="34"/>
      <c r="ER4" s="34"/>
      <c r="ES4" s="34"/>
      <c r="ET4" s="34"/>
      <c r="EU4" s="34"/>
      <c r="EV4" s="34"/>
      <c r="EW4" s="34"/>
      <c r="EX4" s="34"/>
      <c r="EY4" s="34"/>
      <c r="EZ4" s="34"/>
      <c r="FA4" s="34"/>
      <c r="FB4" s="34"/>
      <c r="FC4" s="34"/>
      <c r="FD4" s="34"/>
      <c r="FE4" s="34"/>
      <c r="FF4" s="34"/>
      <c r="FG4" s="34"/>
      <c r="FH4" s="34"/>
      <c r="FI4" s="34"/>
      <c r="FJ4" s="34"/>
      <c r="FK4" s="34"/>
      <c r="FL4" s="34"/>
      <c r="FM4" s="34"/>
      <c r="FN4" s="34"/>
      <c r="FO4" s="34"/>
      <c r="FP4" s="34"/>
      <c r="FQ4" s="34"/>
      <c r="FR4" s="34"/>
      <c r="FS4" s="34"/>
      <c r="FT4" s="34"/>
      <c r="FU4" s="34"/>
      <c r="FV4" s="34"/>
      <c r="FW4" s="34"/>
      <c r="FX4" s="34"/>
      <c r="FY4" s="34"/>
      <c r="FZ4" s="34"/>
      <c r="GA4" s="34"/>
      <c r="GB4" s="34"/>
      <c r="GC4" s="34"/>
      <c r="GD4" s="34"/>
      <c r="GE4" s="34"/>
      <c r="GF4" s="34"/>
      <c r="GG4" s="34"/>
      <c r="GH4" s="34"/>
      <c r="GI4" s="34"/>
      <c r="GJ4" s="34"/>
      <c r="GK4" s="34"/>
      <c r="GL4" s="34"/>
      <c r="GM4" s="34"/>
      <c r="GN4" s="34"/>
      <c r="GO4" s="34"/>
    </row>
    <row r="5" spans="1:499" s="38" customFormat="1" ht="20.25" customHeight="1" x14ac:dyDescent="0.3">
      <c r="A5" s="34" t="s">
        <v>254</v>
      </c>
      <c r="B5" s="34">
        <v>170</v>
      </c>
      <c r="C5" s="34">
        <v>617</v>
      </c>
      <c r="D5" s="34">
        <v>787</v>
      </c>
      <c r="E5" s="34"/>
      <c r="F5" s="34"/>
      <c r="G5" s="34"/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  <c r="S5" s="58"/>
      <c r="T5" s="58"/>
      <c r="U5" s="58"/>
      <c r="V5" s="58"/>
      <c r="W5" s="58"/>
      <c r="X5" s="58"/>
      <c r="Y5" s="58"/>
      <c r="Z5" s="58"/>
      <c r="AA5" s="58"/>
      <c r="AB5" s="58"/>
      <c r="AC5" s="58"/>
      <c r="AD5" s="58"/>
      <c r="AE5" s="58"/>
      <c r="AF5" s="34"/>
      <c r="AG5" s="34"/>
      <c r="AH5" s="34"/>
      <c r="AI5" s="34"/>
      <c r="AJ5" s="34"/>
      <c r="AK5" s="34"/>
      <c r="AL5" s="34"/>
      <c r="AM5" s="34"/>
      <c r="AN5" s="34"/>
      <c r="AO5" s="34"/>
      <c r="AP5" s="34"/>
      <c r="AQ5" s="34"/>
      <c r="AR5" s="34"/>
      <c r="AS5" s="34"/>
      <c r="AT5" s="34"/>
      <c r="AU5" s="34"/>
      <c r="AV5" s="34"/>
      <c r="AW5" s="34"/>
      <c r="AX5" s="34"/>
      <c r="AY5" s="34"/>
      <c r="AZ5" s="34"/>
      <c r="BA5" s="34"/>
      <c r="BB5" s="34"/>
      <c r="BC5" s="34"/>
      <c r="BD5" s="34"/>
      <c r="BE5" s="34"/>
      <c r="BF5" s="34"/>
      <c r="BG5" s="34"/>
      <c r="BH5" s="34"/>
      <c r="BI5" s="34"/>
      <c r="BJ5" s="34"/>
      <c r="BK5" s="34"/>
      <c r="BL5" s="34"/>
      <c r="BM5" s="34"/>
      <c r="BN5" s="34"/>
      <c r="BO5" s="34"/>
      <c r="BP5" s="34"/>
      <c r="BQ5" s="34"/>
      <c r="BR5" s="34"/>
      <c r="BS5" s="34"/>
      <c r="BT5" s="34"/>
      <c r="BU5" s="34"/>
      <c r="BV5" s="34"/>
      <c r="BW5" s="34"/>
      <c r="BX5" s="34"/>
      <c r="BY5" s="34"/>
      <c r="BZ5" s="34"/>
      <c r="CA5" s="34"/>
      <c r="CB5" s="34"/>
      <c r="CC5" s="34"/>
      <c r="CD5" s="34"/>
      <c r="CE5" s="34"/>
      <c r="CF5" s="34"/>
      <c r="CG5" s="34"/>
      <c r="CH5" s="34"/>
      <c r="CI5" s="34"/>
      <c r="CJ5" s="34"/>
      <c r="CK5" s="34"/>
      <c r="CL5" s="34"/>
      <c r="CM5" s="34"/>
      <c r="CN5" s="34"/>
      <c r="CO5" s="34"/>
      <c r="CP5" s="34"/>
      <c r="CQ5" s="34"/>
      <c r="CR5" s="34"/>
      <c r="CS5" s="34"/>
      <c r="CT5" s="34"/>
      <c r="CU5" s="34"/>
      <c r="CV5" s="34"/>
      <c r="CW5" s="34"/>
      <c r="CX5" s="34"/>
      <c r="CY5" s="34"/>
      <c r="CZ5" s="34"/>
      <c r="DA5" s="34"/>
      <c r="DB5" s="34"/>
      <c r="DC5" s="34"/>
      <c r="DD5" s="34"/>
      <c r="DE5" s="34"/>
      <c r="DF5" s="34"/>
      <c r="DG5" s="34"/>
      <c r="DH5" s="34"/>
      <c r="DI5" s="34"/>
      <c r="DJ5" s="34"/>
      <c r="DK5" s="34"/>
      <c r="DL5" s="34"/>
      <c r="DM5" s="34"/>
      <c r="DN5" s="34"/>
      <c r="DO5" s="34"/>
      <c r="DP5" s="34"/>
      <c r="DQ5" s="34"/>
      <c r="DR5" s="34"/>
      <c r="DS5" s="34"/>
      <c r="DT5" s="34"/>
      <c r="DU5" s="34"/>
      <c r="DV5" s="34"/>
      <c r="DW5" s="34"/>
      <c r="DX5" s="34"/>
      <c r="DY5" s="34"/>
      <c r="DZ5" s="34"/>
      <c r="EA5" s="34"/>
      <c r="EB5" s="34"/>
      <c r="EC5" s="34"/>
      <c r="ED5" s="34"/>
      <c r="EE5" s="34"/>
      <c r="EF5" s="34"/>
      <c r="EG5" s="34"/>
      <c r="EH5" s="34"/>
      <c r="EI5" s="34"/>
      <c r="EJ5" s="34"/>
      <c r="EK5" s="34"/>
      <c r="EL5" s="34"/>
      <c r="EM5" s="34"/>
      <c r="EN5" s="34"/>
      <c r="EO5" s="34"/>
      <c r="EP5" s="34"/>
      <c r="EQ5" s="34"/>
      <c r="ER5" s="34"/>
      <c r="ES5" s="34"/>
      <c r="ET5" s="34"/>
      <c r="EU5" s="34"/>
      <c r="EV5" s="34"/>
      <c r="EW5" s="34"/>
      <c r="EX5" s="34"/>
      <c r="EY5" s="34"/>
      <c r="EZ5" s="34"/>
      <c r="FA5" s="34"/>
      <c r="FB5" s="34"/>
      <c r="FC5" s="34"/>
      <c r="FD5" s="34"/>
      <c r="FE5" s="34"/>
      <c r="FF5" s="34"/>
      <c r="FG5" s="34"/>
      <c r="FH5" s="34"/>
      <c r="FI5" s="34"/>
      <c r="FJ5" s="34"/>
      <c r="FK5" s="34"/>
      <c r="FL5" s="34"/>
      <c r="FM5" s="34"/>
      <c r="FN5" s="34"/>
      <c r="FO5" s="34"/>
      <c r="FP5" s="34"/>
      <c r="FQ5" s="34"/>
      <c r="FR5" s="34"/>
      <c r="FS5" s="34"/>
      <c r="FT5" s="34"/>
      <c r="FU5" s="34"/>
      <c r="FV5" s="34"/>
      <c r="FW5" s="34"/>
      <c r="FX5" s="34"/>
      <c r="FY5" s="34"/>
      <c r="FZ5" s="34"/>
      <c r="GA5" s="34"/>
      <c r="GB5" s="34"/>
      <c r="GC5" s="34"/>
      <c r="GD5" s="34"/>
      <c r="GE5" s="34"/>
      <c r="GF5" s="34"/>
      <c r="GG5" s="34"/>
      <c r="GH5" s="34"/>
      <c r="GI5" s="34"/>
      <c r="GJ5" s="34"/>
      <c r="GK5" s="34"/>
      <c r="GL5" s="34"/>
      <c r="GM5" s="34"/>
      <c r="GN5" s="34"/>
      <c r="GO5" s="34"/>
    </row>
    <row r="6" spans="1:499" s="38" customFormat="1" ht="15" customHeight="1" x14ac:dyDescent="0.3">
      <c r="A6" s="34" t="s">
        <v>236</v>
      </c>
      <c r="B6" s="34">
        <v>91</v>
      </c>
      <c r="C6" s="34">
        <v>362</v>
      </c>
      <c r="D6" s="34">
        <v>453</v>
      </c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58"/>
      <c r="T6" s="58"/>
      <c r="U6" s="58"/>
      <c r="V6" s="58"/>
      <c r="W6" s="58"/>
      <c r="X6" s="58"/>
      <c r="Y6" s="58"/>
      <c r="Z6" s="58"/>
      <c r="AA6" s="58"/>
      <c r="AB6" s="58"/>
      <c r="AC6" s="58"/>
      <c r="AD6" s="58"/>
      <c r="AE6" s="58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  <c r="EY6" s="34"/>
      <c r="EZ6" s="34"/>
      <c r="FA6" s="34"/>
      <c r="FB6" s="34"/>
      <c r="FC6" s="34"/>
      <c r="FD6" s="34"/>
      <c r="FE6" s="34"/>
      <c r="FF6" s="34"/>
      <c r="FG6" s="34"/>
      <c r="FH6" s="34"/>
      <c r="FI6" s="34"/>
      <c r="FJ6" s="34"/>
      <c r="FK6" s="34"/>
      <c r="FL6" s="34"/>
      <c r="FM6" s="34"/>
      <c r="FN6" s="34"/>
      <c r="FO6" s="34"/>
      <c r="FP6" s="34"/>
      <c r="FQ6" s="34"/>
      <c r="FR6" s="34"/>
      <c r="FS6" s="34"/>
      <c r="FT6" s="34"/>
      <c r="FU6" s="34"/>
      <c r="FV6" s="34"/>
      <c r="FW6" s="34"/>
      <c r="FX6" s="34"/>
      <c r="FY6" s="34"/>
      <c r="FZ6" s="34"/>
      <c r="GA6" s="34"/>
      <c r="GB6" s="34"/>
      <c r="GC6" s="34"/>
      <c r="GD6" s="34"/>
      <c r="GE6" s="34"/>
      <c r="GF6" s="34"/>
      <c r="GG6" s="34"/>
      <c r="GH6" s="34"/>
      <c r="GI6" s="34"/>
      <c r="GJ6" s="34"/>
      <c r="GK6" s="34"/>
      <c r="GL6" s="34"/>
      <c r="GM6" s="34"/>
      <c r="GN6" s="34"/>
      <c r="GO6" s="34"/>
    </row>
    <row r="7" spans="1:499" s="38" customFormat="1" ht="15" customHeight="1" x14ac:dyDescent="0.3">
      <c r="A7" s="34" t="s">
        <v>240</v>
      </c>
      <c r="B7" s="34">
        <v>84</v>
      </c>
      <c r="C7" s="34">
        <v>371</v>
      </c>
      <c r="D7" s="34">
        <v>455</v>
      </c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58"/>
      <c r="T7" s="58"/>
      <c r="U7" s="58"/>
      <c r="V7" s="58"/>
      <c r="W7" s="58"/>
      <c r="X7" s="58"/>
      <c r="Y7" s="58"/>
      <c r="Z7" s="58"/>
      <c r="AA7" s="58"/>
      <c r="AB7" s="58"/>
      <c r="AC7" s="58"/>
      <c r="AD7" s="58"/>
      <c r="AE7" s="58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  <c r="EY7" s="34"/>
      <c r="EZ7" s="34"/>
      <c r="FA7" s="34"/>
      <c r="FB7" s="34"/>
      <c r="FC7" s="34"/>
      <c r="FD7" s="34"/>
      <c r="FE7" s="34"/>
      <c r="FF7" s="34"/>
      <c r="FG7" s="34"/>
      <c r="FH7" s="34"/>
      <c r="FI7" s="34"/>
      <c r="FJ7" s="34"/>
      <c r="FK7" s="34"/>
      <c r="FL7" s="34"/>
      <c r="FM7" s="34"/>
      <c r="FN7" s="34"/>
      <c r="FO7" s="34"/>
      <c r="FP7" s="34"/>
      <c r="FQ7" s="34"/>
      <c r="FR7" s="34"/>
      <c r="FS7" s="34"/>
      <c r="FT7" s="34"/>
      <c r="FU7" s="34"/>
      <c r="FV7" s="34"/>
      <c r="FW7" s="34"/>
      <c r="FX7" s="34"/>
      <c r="FY7" s="34"/>
      <c r="FZ7" s="34"/>
      <c r="GA7" s="34"/>
      <c r="GB7" s="34"/>
      <c r="GC7" s="34"/>
      <c r="GD7" s="34"/>
      <c r="GE7" s="34"/>
      <c r="GF7" s="34"/>
      <c r="GG7" s="34"/>
      <c r="GH7" s="34"/>
      <c r="GI7" s="34"/>
      <c r="GJ7" s="34"/>
      <c r="GK7" s="34"/>
      <c r="GL7" s="34"/>
      <c r="GM7" s="34"/>
      <c r="GN7" s="34"/>
      <c r="GO7" s="34"/>
    </row>
    <row r="8" spans="1:499" s="38" customFormat="1" ht="15" customHeight="1" x14ac:dyDescent="0.3">
      <c r="A8" s="34" t="s">
        <v>244</v>
      </c>
      <c r="B8" s="34">
        <v>109</v>
      </c>
      <c r="C8" s="34">
        <v>362</v>
      </c>
      <c r="D8" s="34">
        <v>471</v>
      </c>
      <c r="E8" s="34"/>
      <c r="F8" s="34"/>
      <c r="G8" s="34"/>
      <c r="H8" s="34"/>
      <c r="I8" s="34"/>
      <c r="J8" s="34"/>
      <c r="K8" s="34"/>
      <c r="L8" s="34"/>
      <c r="M8" s="34"/>
      <c r="N8" s="34"/>
      <c r="O8" s="34"/>
      <c r="P8" s="34"/>
      <c r="Q8" s="34"/>
      <c r="R8" s="34"/>
      <c r="S8" s="58"/>
      <c r="T8" s="58"/>
      <c r="U8" s="58"/>
      <c r="V8" s="58"/>
      <c r="W8" s="58"/>
      <c r="X8" s="58"/>
      <c r="Y8" s="58"/>
      <c r="Z8" s="58"/>
      <c r="AA8" s="58"/>
      <c r="AB8" s="58"/>
      <c r="AC8" s="58"/>
      <c r="AD8" s="58"/>
      <c r="AE8" s="58"/>
      <c r="AF8" s="34"/>
      <c r="AG8" s="34"/>
      <c r="AH8" s="34"/>
      <c r="AI8" s="34"/>
      <c r="AJ8" s="34"/>
      <c r="AK8" s="34"/>
      <c r="AL8" s="34"/>
      <c r="AM8" s="34"/>
      <c r="AN8" s="34"/>
      <c r="AO8" s="34"/>
      <c r="AP8" s="34"/>
      <c r="AQ8" s="34"/>
      <c r="AR8" s="34"/>
      <c r="AS8" s="34"/>
      <c r="AT8" s="34"/>
      <c r="AU8" s="34"/>
      <c r="AV8" s="34"/>
      <c r="AW8" s="34"/>
      <c r="AX8" s="34"/>
      <c r="AY8" s="34"/>
      <c r="AZ8" s="34"/>
      <c r="BA8" s="34"/>
      <c r="BB8" s="34"/>
      <c r="BC8" s="34"/>
      <c r="BD8" s="34"/>
      <c r="BE8" s="34"/>
      <c r="BF8" s="34"/>
      <c r="BG8" s="34"/>
      <c r="BH8" s="34"/>
      <c r="BI8" s="34"/>
      <c r="BJ8" s="34"/>
      <c r="BK8" s="34"/>
      <c r="BL8" s="34"/>
      <c r="BM8" s="34"/>
      <c r="BN8" s="34"/>
      <c r="BO8" s="34"/>
      <c r="BP8" s="34"/>
      <c r="BQ8" s="34"/>
      <c r="BR8" s="34"/>
      <c r="BS8" s="34"/>
      <c r="BT8" s="34"/>
      <c r="BU8" s="34"/>
      <c r="BV8" s="34"/>
      <c r="BW8" s="34"/>
      <c r="BX8" s="34"/>
      <c r="BY8" s="34"/>
      <c r="BZ8" s="34"/>
      <c r="CA8" s="34"/>
      <c r="CB8" s="34"/>
      <c r="CC8" s="34"/>
      <c r="CD8" s="34"/>
      <c r="CE8" s="34"/>
      <c r="CF8" s="34"/>
      <c r="CG8" s="34"/>
      <c r="CH8" s="34"/>
      <c r="CI8" s="34"/>
      <c r="CJ8" s="34"/>
      <c r="CK8" s="34"/>
      <c r="CL8" s="34"/>
      <c r="CM8" s="34"/>
      <c r="CN8" s="34"/>
      <c r="CO8" s="34"/>
      <c r="CP8" s="34"/>
      <c r="CQ8" s="34"/>
      <c r="CR8" s="34"/>
      <c r="CS8" s="34"/>
      <c r="CT8" s="34"/>
      <c r="CU8" s="34"/>
      <c r="CV8" s="34"/>
      <c r="CW8" s="34"/>
      <c r="CX8" s="34"/>
      <c r="CY8" s="34"/>
      <c r="CZ8" s="34"/>
      <c r="DA8" s="34"/>
      <c r="DB8" s="34"/>
      <c r="DC8" s="34"/>
      <c r="DD8" s="34"/>
      <c r="DE8" s="34"/>
      <c r="DF8" s="34"/>
      <c r="DG8" s="34"/>
      <c r="DH8" s="34"/>
      <c r="DI8" s="34"/>
      <c r="DJ8" s="34"/>
      <c r="DK8" s="34"/>
      <c r="DL8" s="34"/>
      <c r="DM8" s="34"/>
      <c r="DN8" s="34"/>
      <c r="DO8" s="34"/>
      <c r="DP8" s="34"/>
      <c r="DQ8" s="34"/>
      <c r="DR8" s="34"/>
      <c r="DS8" s="34"/>
      <c r="DT8" s="34"/>
      <c r="DU8" s="34"/>
      <c r="DV8" s="34"/>
      <c r="DW8" s="34"/>
      <c r="DX8" s="34"/>
      <c r="DY8" s="34"/>
      <c r="DZ8" s="34"/>
      <c r="EA8" s="34"/>
      <c r="EB8" s="34"/>
      <c r="EC8" s="34"/>
      <c r="ED8" s="34"/>
      <c r="EE8" s="34"/>
      <c r="EF8" s="34"/>
      <c r="EG8" s="34"/>
      <c r="EH8" s="34"/>
      <c r="EI8" s="34"/>
      <c r="EJ8" s="34"/>
      <c r="EK8" s="34"/>
      <c r="EL8" s="34"/>
      <c r="EM8" s="34"/>
      <c r="EN8" s="34"/>
      <c r="EO8" s="34"/>
      <c r="EP8" s="34"/>
      <c r="EQ8" s="34"/>
      <c r="ER8" s="34"/>
      <c r="ES8" s="34"/>
      <c r="ET8" s="34"/>
      <c r="EU8" s="34"/>
      <c r="EV8" s="34"/>
      <c r="EW8" s="34"/>
      <c r="EX8" s="34"/>
      <c r="EY8" s="34"/>
      <c r="EZ8" s="34"/>
      <c r="FA8" s="34"/>
      <c r="FB8" s="34"/>
      <c r="FC8" s="34"/>
      <c r="FD8" s="34"/>
      <c r="FE8" s="34"/>
      <c r="FF8" s="34"/>
      <c r="FG8" s="34"/>
      <c r="FH8" s="34"/>
      <c r="FI8" s="34"/>
      <c r="FJ8" s="34"/>
      <c r="FK8" s="34"/>
      <c r="FL8" s="34"/>
      <c r="FM8" s="34"/>
      <c r="FN8" s="34"/>
      <c r="FO8" s="34"/>
      <c r="FP8" s="34"/>
      <c r="FQ8" s="34"/>
      <c r="FR8" s="34"/>
      <c r="FS8" s="34"/>
      <c r="FT8" s="34"/>
      <c r="FU8" s="34"/>
      <c r="FV8" s="34"/>
      <c r="FW8" s="34"/>
      <c r="FX8" s="34"/>
      <c r="FY8" s="34"/>
      <c r="FZ8" s="34"/>
      <c r="GA8" s="34"/>
      <c r="GB8" s="34"/>
      <c r="GC8" s="34"/>
      <c r="GD8" s="34"/>
      <c r="GE8" s="34"/>
      <c r="GF8" s="34"/>
      <c r="GG8" s="34"/>
      <c r="GH8" s="34"/>
      <c r="GI8" s="34"/>
      <c r="GJ8" s="34"/>
      <c r="GK8" s="34"/>
      <c r="GL8" s="34"/>
      <c r="GM8" s="34"/>
      <c r="GN8" s="34"/>
      <c r="GO8" s="34"/>
    </row>
    <row r="9" spans="1:499" s="38" customFormat="1" ht="15" customHeight="1" x14ac:dyDescent="0.3">
      <c r="A9" s="234" t="s">
        <v>261</v>
      </c>
      <c r="B9" s="234">
        <v>50</v>
      </c>
      <c r="C9" s="234">
        <v>105</v>
      </c>
      <c r="D9" s="234">
        <v>155</v>
      </c>
      <c r="E9" s="34"/>
      <c r="F9" s="34"/>
      <c r="G9" s="34"/>
      <c r="H9" s="34"/>
      <c r="I9" s="34"/>
      <c r="J9" s="34"/>
      <c r="K9" s="34"/>
      <c r="L9" s="34"/>
      <c r="M9" s="34"/>
      <c r="N9" s="34"/>
      <c r="O9" s="34"/>
      <c r="P9" s="34"/>
      <c r="Q9" s="34"/>
      <c r="R9" s="34"/>
      <c r="S9" s="58"/>
      <c r="T9" s="58"/>
      <c r="U9" s="58"/>
      <c r="V9" s="58"/>
      <c r="W9" s="58"/>
      <c r="X9" s="58"/>
      <c r="Y9" s="58"/>
      <c r="Z9" s="58"/>
      <c r="AA9" s="58"/>
      <c r="AB9" s="58"/>
      <c r="AC9" s="58"/>
      <c r="AD9" s="58"/>
      <c r="AE9" s="58"/>
      <c r="AF9" s="34"/>
      <c r="AG9" s="34"/>
      <c r="AH9" s="34"/>
      <c r="AI9" s="34"/>
      <c r="AJ9" s="34"/>
      <c r="AK9" s="34"/>
      <c r="AL9" s="34"/>
      <c r="AM9" s="34"/>
      <c r="AN9" s="34"/>
      <c r="AO9" s="34"/>
      <c r="AP9" s="34"/>
      <c r="AQ9" s="34"/>
      <c r="AR9" s="34"/>
      <c r="AS9" s="34"/>
      <c r="AT9" s="34"/>
      <c r="AU9" s="34"/>
      <c r="AV9" s="34"/>
      <c r="AW9" s="34"/>
      <c r="AX9" s="34"/>
      <c r="AY9" s="34"/>
      <c r="AZ9" s="34"/>
      <c r="BA9" s="34"/>
      <c r="BB9" s="34"/>
      <c r="BC9" s="34"/>
      <c r="BD9" s="34"/>
      <c r="BE9" s="34"/>
      <c r="BF9" s="34"/>
      <c r="BG9" s="34"/>
      <c r="BH9" s="34"/>
      <c r="BI9" s="34"/>
      <c r="BJ9" s="34"/>
      <c r="BK9" s="34"/>
      <c r="BL9" s="34"/>
      <c r="BM9" s="34"/>
      <c r="BN9" s="34"/>
      <c r="BO9" s="34"/>
      <c r="BP9" s="34"/>
      <c r="BQ9" s="34"/>
      <c r="BR9" s="34"/>
      <c r="BS9" s="34"/>
      <c r="BT9" s="34"/>
      <c r="BU9" s="34"/>
      <c r="BV9" s="34"/>
      <c r="BW9" s="34"/>
      <c r="BX9" s="34"/>
      <c r="BY9" s="34"/>
      <c r="BZ9" s="34"/>
      <c r="CA9" s="34"/>
      <c r="CB9" s="34"/>
      <c r="CC9" s="34"/>
      <c r="CD9" s="34"/>
      <c r="CE9" s="34"/>
      <c r="CF9" s="34"/>
      <c r="CG9" s="34"/>
      <c r="CH9" s="34"/>
      <c r="CI9" s="34"/>
      <c r="CJ9" s="34"/>
      <c r="CK9" s="34"/>
      <c r="CL9" s="34"/>
      <c r="CM9" s="34"/>
      <c r="CN9" s="34"/>
      <c r="CO9" s="34"/>
      <c r="CP9" s="34"/>
      <c r="CQ9" s="34"/>
      <c r="CR9" s="34"/>
      <c r="CS9" s="34"/>
      <c r="CT9" s="34"/>
      <c r="CU9" s="34"/>
      <c r="CV9" s="34"/>
      <c r="CW9" s="34"/>
      <c r="CX9" s="34"/>
      <c r="CY9" s="34"/>
      <c r="CZ9" s="34"/>
      <c r="DA9" s="34"/>
      <c r="DB9" s="34"/>
      <c r="DC9" s="34"/>
      <c r="DD9" s="34"/>
      <c r="DE9" s="34"/>
      <c r="DF9" s="34"/>
      <c r="DG9" s="34"/>
      <c r="DH9" s="34"/>
      <c r="DI9" s="34"/>
      <c r="DJ9" s="34"/>
      <c r="DK9" s="34"/>
      <c r="DL9" s="34"/>
      <c r="DM9" s="34"/>
      <c r="DN9" s="34"/>
      <c r="DO9" s="34"/>
      <c r="DP9" s="34"/>
      <c r="DQ9" s="34"/>
      <c r="DR9" s="34"/>
      <c r="DS9" s="34"/>
      <c r="DT9" s="34"/>
      <c r="DU9" s="34"/>
      <c r="DV9" s="34"/>
      <c r="DW9" s="34"/>
      <c r="DX9" s="34"/>
      <c r="DY9" s="34"/>
      <c r="DZ9" s="34"/>
      <c r="EA9" s="34"/>
      <c r="EB9" s="34"/>
      <c r="EC9" s="34"/>
      <c r="ED9" s="34"/>
      <c r="EE9" s="34"/>
      <c r="EF9" s="34"/>
      <c r="EG9" s="34"/>
      <c r="EH9" s="34"/>
      <c r="EI9" s="34"/>
      <c r="EJ9" s="34"/>
      <c r="EK9" s="34"/>
      <c r="EL9" s="34"/>
      <c r="EM9" s="34"/>
      <c r="EN9" s="34"/>
      <c r="EO9" s="34"/>
      <c r="EP9" s="34"/>
      <c r="EQ9" s="34"/>
      <c r="ER9" s="34"/>
      <c r="ES9" s="34"/>
      <c r="ET9" s="34"/>
      <c r="EU9" s="34"/>
      <c r="EV9" s="34"/>
      <c r="EW9" s="34"/>
      <c r="EX9" s="34"/>
      <c r="EY9" s="34"/>
      <c r="EZ9" s="34"/>
      <c r="FA9" s="34"/>
      <c r="FB9" s="34"/>
      <c r="FC9" s="34"/>
      <c r="FD9" s="34"/>
      <c r="FE9" s="34"/>
      <c r="FF9" s="34"/>
      <c r="FG9" s="34"/>
      <c r="FH9" s="34"/>
      <c r="FI9" s="34"/>
      <c r="FJ9" s="34"/>
      <c r="FK9" s="34"/>
      <c r="FL9" s="34"/>
      <c r="FM9" s="34"/>
      <c r="FN9" s="34"/>
      <c r="FO9" s="34"/>
      <c r="FP9" s="34"/>
      <c r="FQ9" s="34"/>
      <c r="FR9" s="34"/>
      <c r="FS9" s="34"/>
      <c r="FT9" s="34"/>
      <c r="FU9" s="34"/>
      <c r="FV9" s="34"/>
      <c r="FW9" s="34"/>
      <c r="FX9" s="34"/>
      <c r="FY9" s="34"/>
      <c r="FZ9" s="34"/>
      <c r="GA9" s="34"/>
      <c r="GB9" s="34"/>
      <c r="GC9" s="34"/>
      <c r="GD9" s="34"/>
      <c r="GE9" s="34"/>
      <c r="GF9" s="34"/>
      <c r="GG9" s="34"/>
      <c r="GH9" s="34"/>
      <c r="GI9" s="34"/>
      <c r="GJ9" s="34"/>
      <c r="GK9" s="34"/>
      <c r="GL9" s="34"/>
      <c r="GM9" s="34"/>
      <c r="GN9" s="34"/>
      <c r="GO9" s="34"/>
    </row>
    <row r="10" spans="1:499" s="38" customFormat="1" ht="15" customHeight="1" x14ac:dyDescent="0.3">
      <c r="A10" s="34" t="s">
        <v>249</v>
      </c>
      <c r="B10" s="34">
        <v>117</v>
      </c>
      <c r="C10" s="34">
        <v>429</v>
      </c>
      <c r="D10" s="34">
        <v>546</v>
      </c>
      <c r="E10" s="34"/>
      <c r="F10" s="34"/>
      <c r="G10" s="34"/>
      <c r="H10" s="34"/>
      <c r="I10" s="34"/>
      <c r="J10" s="34"/>
      <c r="K10" s="34"/>
      <c r="L10" s="34"/>
      <c r="M10" s="34"/>
      <c r="N10" s="34"/>
      <c r="O10" s="34"/>
      <c r="P10" s="34"/>
      <c r="Q10" s="34"/>
      <c r="R10" s="34"/>
      <c r="S10" s="58"/>
      <c r="T10" s="58"/>
      <c r="U10" s="58"/>
      <c r="V10" s="58"/>
      <c r="W10" s="58"/>
      <c r="X10" s="58"/>
      <c r="Y10" s="58"/>
      <c r="Z10" s="58"/>
      <c r="AA10" s="58"/>
      <c r="AB10" s="58"/>
      <c r="AC10" s="58"/>
      <c r="AD10" s="58"/>
      <c r="AE10" s="58"/>
      <c r="AF10" s="34"/>
      <c r="AG10" s="34"/>
      <c r="AH10" s="34"/>
      <c r="AI10" s="34"/>
      <c r="AJ10" s="34"/>
      <c r="AK10" s="34"/>
      <c r="AL10" s="34"/>
      <c r="AM10" s="34"/>
      <c r="AN10" s="34"/>
      <c r="AO10" s="34"/>
      <c r="AP10" s="34"/>
      <c r="AQ10" s="34"/>
      <c r="AR10" s="34"/>
      <c r="AS10" s="34"/>
      <c r="AT10" s="34"/>
      <c r="AU10" s="34"/>
      <c r="AV10" s="34"/>
      <c r="AW10" s="34"/>
      <c r="AX10" s="34"/>
      <c r="AY10" s="34"/>
      <c r="AZ10" s="34"/>
      <c r="BA10" s="34"/>
      <c r="BB10" s="34"/>
      <c r="BC10" s="34"/>
      <c r="BD10" s="34"/>
      <c r="BE10" s="34"/>
      <c r="BF10" s="34"/>
      <c r="BG10" s="34"/>
      <c r="BH10" s="34"/>
      <c r="BI10" s="34"/>
      <c r="BJ10" s="34"/>
      <c r="BK10" s="34"/>
      <c r="BL10" s="34"/>
      <c r="BM10" s="34"/>
      <c r="BN10" s="34"/>
      <c r="BO10" s="34"/>
      <c r="BP10" s="34"/>
      <c r="BQ10" s="34"/>
      <c r="BR10" s="34"/>
      <c r="BS10" s="34"/>
      <c r="BT10" s="34"/>
      <c r="BU10" s="34"/>
      <c r="BV10" s="34"/>
      <c r="BW10" s="34"/>
      <c r="BX10" s="34"/>
      <c r="BY10" s="34"/>
      <c r="BZ10" s="34"/>
      <c r="CA10" s="34"/>
      <c r="CB10" s="34"/>
      <c r="CC10" s="34"/>
      <c r="CD10" s="34"/>
      <c r="CE10" s="34"/>
      <c r="CF10" s="34"/>
      <c r="CG10" s="34"/>
      <c r="CH10" s="34"/>
      <c r="CI10" s="34"/>
      <c r="CJ10" s="34"/>
      <c r="CK10" s="34"/>
      <c r="CL10" s="34"/>
      <c r="CM10" s="34"/>
      <c r="CN10" s="34"/>
      <c r="CO10" s="34"/>
      <c r="CP10" s="34"/>
      <c r="CQ10" s="34"/>
      <c r="CR10" s="34"/>
      <c r="CS10" s="34"/>
      <c r="CT10" s="34"/>
      <c r="CU10" s="34"/>
      <c r="CV10" s="34"/>
      <c r="CW10" s="34"/>
      <c r="CX10" s="34"/>
      <c r="CY10" s="34"/>
      <c r="CZ10" s="34"/>
      <c r="DA10" s="34"/>
      <c r="DB10" s="34"/>
      <c r="DC10" s="34"/>
      <c r="DD10" s="34"/>
      <c r="DE10" s="34"/>
      <c r="DF10" s="34"/>
      <c r="DG10" s="34"/>
      <c r="DH10" s="34"/>
      <c r="DI10" s="34"/>
      <c r="DJ10" s="34"/>
      <c r="DK10" s="34"/>
      <c r="DL10" s="34"/>
      <c r="DM10" s="34"/>
      <c r="DN10" s="34"/>
      <c r="DO10" s="34"/>
      <c r="DP10" s="34"/>
      <c r="DQ10" s="34"/>
      <c r="DR10" s="34"/>
      <c r="DS10" s="34"/>
      <c r="DT10" s="34"/>
      <c r="DU10" s="34"/>
      <c r="DV10" s="34"/>
      <c r="DW10" s="34"/>
      <c r="DX10" s="34"/>
      <c r="DY10" s="34"/>
      <c r="DZ10" s="34"/>
      <c r="EA10" s="34"/>
      <c r="EB10" s="34"/>
      <c r="EC10" s="34"/>
      <c r="ED10" s="34"/>
      <c r="EE10" s="34"/>
      <c r="EF10" s="34"/>
      <c r="EG10" s="34"/>
      <c r="EH10" s="34"/>
      <c r="EI10" s="34"/>
      <c r="EJ10" s="34"/>
      <c r="EK10" s="34"/>
      <c r="EL10" s="34"/>
      <c r="EM10" s="34"/>
      <c r="EN10" s="34"/>
      <c r="EO10" s="34"/>
      <c r="EP10" s="34"/>
      <c r="EQ10" s="34"/>
      <c r="ER10" s="34"/>
      <c r="ES10" s="34"/>
      <c r="ET10" s="34"/>
      <c r="EU10" s="34"/>
      <c r="EV10" s="34"/>
      <c r="EW10" s="34"/>
      <c r="EX10" s="34"/>
      <c r="EY10" s="34"/>
      <c r="EZ10" s="34"/>
      <c r="FA10" s="34"/>
      <c r="FB10" s="34"/>
      <c r="FC10" s="34"/>
      <c r="FD10" s="34"/>
      <c r="FE10" s="34"/>
      <c r="FF10" s="34"/>
      <c r="FG10" s="34"/>
      <c r="FH10" s="34"/>
      <c r="FI10" s="34"/>
      <c r="FJ10" s="34"/>
      <c r="FK10" s="34"/>
      <c r="FL10" s="34"/>
      <c r="FM10" s="34"/>
      <c r="FN10" s="34"/>
      <c r="FO10" s="34"/>
      <c r="FP10" s="34"/>
      <c r="FQ10" s="34"/>
      <c r="FR10" s="34"/>
      <c r="FS10" s="34"/>
      <c r="FT10" s="34"/>
      <c r="FU10" s="34"/>
      <c r="FV10" s="34"/>
      <c r="FW10" s="34"/>
      <c r="FX10" s="34"/>
      <c r="FY10" s="34"/>
      <c r="FZ10" s="34"/>
      <c r="GA10" s="34"/>
      <c r="GB10" s="34"/>
      <c r="GC10" s="34"/>
      <c r="GD10" s="34"/>
      <c r="GE10" s="34"/>
      <c r="GF10" s="34"/>
      <c r="GG10" s="34"/>
      <c r="GH10" s="34"/>
      <c r="GI10" s="34"/>
      <c r="GJ10" s="34"/>
      <c r="GK10" s="34"/>
      <c r="GL10" s="34"/>
      <c r="GM10" s="34"/>
      <c r="GN10" s="34"/>
      <c r="GO10" s="34"/>
      <c r="OQ10" s="63"/>
    </row>
    <row r="11" spans="1:499" s="38" customFormat="1" ht="15" customHeight="1" x14ac:dyDescent="0.3">
      <c r="A11" s="34" t="s">
        <v>250</v>
      </c>
      <c r="B11" s="34">
        <v>126</v>
      </c>
      <c r="C11" s="34">
        <v>498</v>
      </c>
      <c r="D11" s="34">
        <v>624</v>
      </c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58"/>
      <c r="T11" s="58"/>
      <c r="U11" s="58"/>
      <c r="V11" s="58"/>
      <c r="W11" s="58"/>
      <c r="X11" s="58"/>
      <c r="Y11" s="58"/>
      <c r="Z11" s="58"/>
      <c r="AA11" s="58"/>
      <c r="AB11" s="58"/>
      <c r="AC11" s="58"/>
      <c r="AD11" s="58"/>
      <c r="AE11" s="58"/>
      <c r="AF11" s="34"/>
      <c r="AG11" s="34"/>
      <c r="AH11" s="34"/>
      <c r="AI11" s="34"/>
      <c r="AJ11" s="34"/>
      <c r="AK11" s="34"/>
      <c r="AL11" s="34"/>
      <c r="AM11" s="34"/>
      <c r="AN11" s="34"/>
      <c r="AO11" s="34"/>
      <c r="AP11" s="34"/>
      <c r="AQ11" s="34"/>
      <c r="AR11" s="34"/>
      <c r="AS11" s="34"/>
      <c r="AT11" s="34"/>
      <c r="AU11" s="34"/>
      <c r="AV11" s="34"/>
      <c r="AW11" s="34"/>
      <c r="AX11" s="34"/>
      <c r="AY11" s="34"/>
      <c r="AZ11" s="34"/>
      <c r="BA11" s="34"/>
      <c r="BB11" s="34"/>
      <c r="BC11" s="34"/>
      <c r="BD11" s="34"/>
      <c r="BE11" s="34"/>
      <c r="BF11" s="34"/>
      <c r="BG11" s="34"/>
      <c r="BH11" s="34"/>
      <c r="BI11" s="34"/>
      <c r="BJ11" s="34"/>
      <c r="BK11" s="34"/>
      <c r="BL11" s="34"/>
      <c r="BM11" s="34"/>
      <c r="BN11" s="34"/>
      <c r="BO11" s="34"/>
      <c r="BP11" s="34"/>
      <c r="BQ11" s="34"/>
      <c r="BR11" s="34"/>
      <c r="BS11" s="34"/>
      <c r="BT11" s="34"/>
      <c r="BU11" s="34"/>
      <c r="BV11" s="34"/>
      <c r="BW11" s="34"/>
      <c r="BX11" s="34"/>
      <c r="BY11" s="34"/>
      <c r="BZ11" s="34"/>
      <c r="CA11" s="34"/>
      <c r="CB11" s="34"/>
      <c r="CC11" s="34"/>
      <c r="CD11" s="34"/>
      <c r="CE11" s="34"/>
      <c r="CF11" s="34"/>
      <c r="CG11" s="34"/>
      <c r="CH11" s="34"/>
      <c r="CI11" s="34"/>
      <c r="CJ11" s="34"/>
      <c r="CK11" s="34"/>
      <c r="CL11" s="34"/>
      <c r="CM11" s="34"/>
      <c r="CN11" s="34"/>
      <c r="CO11" s="34"/>
      <c r="CP11" s="34"/>
      <c r="CQ11" s="34"/>
      <c r="CR11" s="34"/>
      <c r="CS11" s="34"/>
      <c r="CT11" s="34"/>
      <c r="CU11" s="34"/>
      <c r="CV11" s="34"/>
      <c r="CW11" s="34"/>
      <c r="CX11" s="34"/>
      <c r="CY11" s="34"/>
      <c r="CZ11" s="34"/>
      <c r="DA11" s="34"/>
      <c r="DB11" s="34"/>
      <c r="DC11" s="34"/>
      <c r="DD11" s="34"/>
      <c r="DE11" s="34"/>
      <c r="DF11" s="34"/>
      <c r="DG11" s="34"/>
      <c r="DH11" s="34"/>
      <c r="DI11" s="34"/>
      <c r="DJ11" s="34"/>
      <c r="DK11" s="34"/>
      <c r="DL11" s="34"/>
      <c r="DM11" s="34"/>
      <c r="DN11" s="34"/>
      <c r="DO11" s="34"/>
      <c r="DP11" s="34"/>
      <c r="DQ11" s="34"/>
      <c r="DR11" s="34"/>
      <c r="DS11" s="34"/>
      <c r="DT11" s="34"/>
      <c r="DU11" s="34"/>
      <c r="DV11" s="34"/>
      <c r="DW11" s="34"/>
      <c r="DX11" s="34"/>
      <c r="DY11" s="34"/>
      <c r="DZ11" s="34"/>
      <c r="EA11" s="34"/>
      <c r="EB11" s="34"/>
      <c r="EC11" s="34"/>
      <c r="ED11" s="34"/>
      <c r="EE11" s="34"/>
      <c r="EF11" s="34"/>
      <c r="EG11" s="34"/>
      <c r="EH11" s="34"/>
      <c r="EI11" s="34"/>
      <c r="EJ11" s="34"/>
      <c r="EK11" s="34"/>
      <c r="EL11" s="34"/>
      <c r="EM11" s="34"/>
      <c r="EN11" s="34"/>
      <c r="EO11" s="34"/>
      <c r="EP11" s="34"/>
      <c r="EQ11" s="34"/>
      <c r="ER11" s="34"/>
      <c r="ES11" s="34"/>
      <c r="ET11" s="34"/>
      <c r="EU11" s="34"/>
      <c r="EV11" s="34"/>
      <c r="EW11" s="34"/>
      <c r="EX11" s="34"/>
      <c r="EY11" s="34"/>
      <c r="EZ11" s="34"/>
      <c r="FA11" s="34"/>
      <c r="FB11" s="34"/>
      <c r="FC11" s="34"/>
      <c r="FD11" s="34"/>
      <c r="FE11" s="34"/>
      <c r="FF11" s="34"/>
      <c r="FG11" s="34"/>
      <c r="FH11" s="34"/>
      <c r="FI11" s="34"/>
      <c r="FJ11" s="34"/>
      <c r="FK11" s="34"/>
      <c r="FL11" s="34"/>
      <c r="FM11" s="34"/>
      <c r="FN11" s="34"/>
      <c r="FO11" s="34"/>
      <c r="FP11" s="34"/>
      <c r="FQ11" s="34"/>
      <c r="FR11" s="34"/>
      <c r="FS11" s="34"/>
      <c r="FT11" s="34"/>
      <c r="FU11" s="34"/>
      <c r="FV11" s="34"/>
      <c r="FW11" s="34"/>
      <c r="FX11" s="34"/>
      <c r="FY11" s="34"/>
      <c r="FZ11" s="34"/>
      <c r="GA11" s="34"/>
      <c r="GB11" s="34"/>
      <c r="GC11" s="34"/>
      <c r="GD11" s="34"/>
      <c r="GE11" s="34"/>
      <c r="GF11" s="34"/>
      <c r="GG11" s="34"/>
      <c r="GH11" s="34"/>
      <c r="GI11" s="34"/>
      <c r="GJ11" s="34"/>
      <c r="GK11" s="34"/>
      <c r="GL11" s="34"/>
      <c r="GM11" s="34"/>
      <c r="GN11" s="34"/>
      <c r="GO11" s="34"/>
      <c r="ON11" s="64"/>
      <c r="OQ11" s="63"/>
    </row>
    <row r="12" spans="1:499" s="38" customFormat="1" ht="15" customHeight="1" x14ac:dyDescent="0.3">
      <c r="A12" s="34" t="s">
        <v>256</v>
      </c>
      <c r="B12" s="34">
        <v>65</v>
      </c>
      <c r="C12" s="34">
        <v>244</v>
      </c>
      <c r="D12" s="34">
        <v>309</v>
      </c>
      <c r="E12" s="34"/>
      <c r="F12" s="34"/>
      <c r="G12" s="34"/>
      <c r="H12" s="34"/>
      <c r="I12" s="34"/>
      <c r="J12" s="34"/>
      <c r="K12" s="34"/>
      <c r="L12" s="34"/>
      <c r="M12" s="34"/>
      <c r="N12" s="34"/>
      <c r="O12" s="34"/>
      <c r="P12" s="34"/>
      <c r="Q12" s="34"/>
      <c r="R12" s="34"/>
      <c r="S12" s="58"/>
      <c r="T12" s="58"/>
      <c r="U12" s="58"/>
      <c r="V12" s="58"/>
      <c r="W12" s="58"/>
      <c r="X12" s="58"/>
      <c r="Y12" s="58"/>
      <c r="Z12" s="58"/>
      <c r="AA12" s="58"/>
      <c r="AB12" s="58"/>
      <c r="AC12" s="58"/>
      <c r="AD12" s="58"/>
      <c r="AE12" s="58"/>
      <c r="AF12" s="34"/>
      <c r="AG12" s="34"/>
      <c r="AH12" s="34"/>
      <c r="AI12" s="34"/>
      <c r="AJ12" s="34"/>
      <c r="AK12" s="34"/>
      <c r="AL12" s="34"/>
      <c r="AM12" s="34"/>
      <c r="AN12" s="34"/>
      <c r="AO12" s="34"/>
      <c r="AP12" s="34"/>
      <c r="AQ12" s="34"/>
      <c r="AR12" s="34"/>
      <c r="AS12" s="34"/>
      <c r="AT12" s="34"/>
      <c r="AU12" s="34"/>
      <c r="AV12" s="34"/>
      <c r="AW12" s="34"/>
      <c r="AX12" s="34"/>
      <c r="AY12" s="34"/>
      <c r="AZ12" s="34"/>
      <c r="BA12" s="34"/>
      <c r="BB12" s="34"/>
      <c r="BC12" s="34"/>
      <c r="BD12" s="34"/>
      <c r="BE12" s="34"/>
      <c r="BF12" s="34"/>
      <c r="BG12" s="34"/>
      <c r="BH12" s="34"/>
      <c r="BI12" s="34"/>
      <c r="BJ12" s="34"/>
      <c r="BK12" s="34"/>
      <c r="BL12" s="34"/>
      <c r="BM12" s="34"/>
      <c r="BN12" s="34"/>
      <c r="BO12" s="34"/>
      <c r="BP12" s="34"/>
      <c r="BQ12" s="34"/>
      <c r="BR12" s="34"/>
      <c r="BS12" s="34"/>
      <c r="BT12" s="34"/>
      <c r="BU12" s="34"/>
      <c r="BV12" s="34"/>
      <c r="BW12" s="34"/>
      <c r="BX12" s="34"/>
      <c r="BY12" s="34"/>
      <c r="BZ12" s="34"/>
      <c r="CA12" s="34"/>
      <c r="CB12" s="34"/>
      <c r="CC12" s="34"/>
      <c r="CD12" s="34"/>
      <c r="CE12" s="34"/>
      <c r="CF12" s="34"/>
      <c r="CG12" s="34"/>
      <c r="CH12" s="34"/>
      <c r="CI12" s="34"/>
      <c r="CJ12" s="34"/>
      <c r="CK12" s="34"/>
      <c r="CL12" s="34"/>
      <c r="CM12" s="34"/>
      <c r="CN12" s="34"/>
      <c r="CO12" s="34"/>
      <c r="CP12" s="34"/>
      <c r="CQ12" s="34"/>
      <c r="CR12" s="34"/>
      <c r="CS12" s="34"/>
      <c r="CT12" s="34"/>
      <c r="CU12" s="34"/>
      <c r="CV12" s="34"/>
      <c r="CW12" s="34"/>
      <c r="CX12" s="34"/>
      <c r="CY12" s="34"/>
      <c r="CZ12" s="34"/>
      <c r="DA12" s="34"/>
      <c r="DB12" s="34"/>
      <c r="DC12" s="34"/>
      <c r="DD12" s="34"/>
      <c r="DE12" s="34"/>
      <c r="DF12" s="34"/>
      <c r="DG12" s="34"/>
      <c r="DH12" s="34"/>
      <c r="DI12" s="34"/>
      <c r="DJ12" s="34"/>
      <c r="DK12" s="34"/>
      <c r="DL12" s="34"/>
      <c r="DM12" s="34"/>
      <c r="DN12" s="34"/>
      <c r="DO12" s="34"/>
      <c r="DP12" s="34"/>
      <c r="DQ12" s="34"/>
      <c r="DR12" s="34"/>
      <c r="DS12" s="34"/>
      <c r="DT12" s="34"/>
      <c r="DU12" s="34"/>
      <c r="DV12" s="34"/>
      <c r="DW12" s="34"/>
      <c r="DX12" s="34"/>
      <c r="DY12" s="34"/>
      <c r="DZ12" s="34"/>
      <c r="EA12" s="34"/>
      <c r="EB12" s="34"/>
      <c r="EC12" s="34"/>
      <c r="ED12" s="34"/>
      <c r="EE12" s="34"/>
      <c r="EF12" s="34"/>
      <c r="EG12" s="34"/>
      <c r="EH12" s="34"/>
      <c r="EI12" s="34"/>
      <c r="EJ12" s="34"/>
      <c r="EK12" s="34"/>
      <c r="EL12" s="34"/>
      <c r="EM12" s="34"/>
      <c r="EN12" s="34"/>
      <c r="EO12" s="34"/>
      <c r="EP12" s="34"/>
      <c r="EQ12" s="34"/>
      <c r="ER12" s="34"/>
      <c r="ES12" s="34"/>
      <c r="ET12" s="34"/>
      <c r="EU12" s="34"/>
      <c r="EV12" s="34"/>
      <c r="EW12" s="34"/>
      <c r="EX12" s="34"/>
      <c r="EY12" s="34"/>
      <c r="EZ12" s="34"/>
      <c r="FA12" s="34"/>
      <c r="FB12" s="34"/>
      <c r="FC12" s="34"/>
      <c r="FD12" s="34"/>
      <c r="FE12" s="34"/>
      <c r="FF12" s="34"/>
      <c r="FG12" s="34"/>
      <c r="FH12" s="34"/>
      <c r="FI12" s="34"/>
      <c r="FJ12" s="34"/>
      <c r="FK12" s="34"/>
      <c r="FL12" s="34"/>
      <c r="FM12" s="34"/>
      <c r="FN12" s="34"/>
      <c r="FO12" s="34"/>
      <c r="FP12" s="34"/>
      <c r="FQ12" s="34"/>
      <c r="FR12" s="34"/>
      <c r="FS12" s="34"/>
      <c r="FT12" s="34"/>
      <c r="FU12" s="34"/>
      <c r="FV12" s="34"/>
      <c r="FW12" s="34"/>
      <c r="FX12" s="34"/>
      <c r="FY12" s="34"/>
      <c r="FZ12" s="34"/>
      <c r="GA12" s="34"/>
      <c r="GB12" s="34"/>
      <c r="GC12" s="34"/>
      <c r="GD12" s="34"/>
      <c r="GE12" s="34"/>
      <c r="GF12" s="34"/>
      <c r="GG12" s="34"/>
      <c r="GH12" s="34"/>
      <c r="GI12" s="34"/>
      <c r="GJ12" s="34"/>
      <c r="GK12" s="34"/>
      <c r="GL12" s="34"/>
      <c r="GM12" s="34"/>
      <c r="GN12" s="34"/>
      <c r="GO12" s="34"/>
      <c r="ON12" s="64"/>
      <c r="OQ12" s="63"/>
    </row>
    <row r="13" spans="1:499" s="38" customFormat="1" ht="15" customHeight="1" x14ac:dyDescent="0.3">
      <c r="A13" s="34" t="s">
        <v>246</v>
      </c>
      <c r="B13" s="34">
        <v>75</v>
      </c>
      <c r="C13" s="34">
        <v>268</v>
      </c>
      <c r="D13" s="34">
        <v>343</v>
      </c>
      <c r="E13" s="34"/>
      <c r="F13" s="34"/>
      <c r="G13" s="34"/>
      <c r="H13" s="34"/>
      <c r="I13" s="34"/>
      <c r="J13" s="34"/>
      <c r="K13" s="34"/>
      <c r="L13" s="34"/>
      <c r="M13" s="34"/>
      <c r="N13" s="34"/>
      <c r="O13" s="34"/>
      <c r="P13" s="34"/>
      <c r="Q13" s="34"/>
      <c r="R13" s="136"/>
      <c r="S13" s="58"/>
      <c r="T13" s="58"/>
      <c r="U13" s="58"/>
      <c r="V13" s="58"/>
      <c r="W13" s="58"/>
      <c r="X13" s="58"/>
      <c r="Y13" s="58"/>
      <c r="Z13" s="58"/>
      <c r="AA13" s="58"/>
      <c r="AB13" s="58"/>
      <c r="AC13" s="58"/>
      <c r="AD13" s="58"/>
      <c r="AE13" s="58"/>
      <c r="AF13" s="34"/>
      <c r="AG13" s="34"/>
      <c r="AH13" s="34"/>
      <c r="AI13" s="34"/>
      <c r="AJ13" s="34"/>
      <c r="AK13" s="34"/>
      <c r="AL13" s="34"/>
      <c r="AM13" s="34"/>
      <c r="AN13" s="34"/>
      <c r="AO13" s="34"/>
      <c r="AP13" s="34"/>
      <c r="AQ13" s="34"/>
      <c r="AR13" s="34"/>
      <c r="AS13" s="34"/>
      <c r="AT13" s="34"/>
      <c r="AU13" s="34"/>
      <c r="AV13" s="34"/>
      <c r="AW13" s="34"/>
      <c r="AX13" s="34"/>
      <c r="AY13" s="34"/>
      <c r="AZ13" s="34"/>
      <c r="BA13" s="34"/>
      <c r="BB13" s="34"/>
      <c r="BC13" s="34"/>
      <c r="BD13" s="34"/>
      <c r="BE13" s="34"/>
      <c r="BF13" s="34"/>
      <c r="BG13" s="34"/>
      <c r="BH13" s="34"/>
      <c r="BI13" s="34"/>
      <c r="BJ13" s="34"/>
      <c r="BK13" s="34"/>
      <c r="BL13" s="34"/>
      <c r="BM13" s="34"/>
      <c r="BN13" s="34"/>
      <c r="BO13" s="34"/>
      <c r="BP13" s="34"/>
      <c r="BQ13" s="34"/>
      <c r="BR13" s="34"/>
      <c r="BS13" s="34"/>
      <c r="BT13" s="34"/>
      <c r="BU13" s="34"/>
      <c r="BV13" s="34"/>
      <c r="BW13" s="34"/>
      <c r="BX13" s="34"/>
      <c r="BY13" s="34"/>
      <c r="BZ13" s="34"/>
      <c r="CA13" s="34"/>
      <c r="CB13" s="34"/>
      <c r="CC13" s="34"/>
      <c r="CD13" s="34"/>
      <c r="CE13" s="34"/>
      <c r="CF13" s="34"/>
      <c r="CG13" s="34"/>
      <c r="CH13" s="34"/>
      <c r="CI13" s="34"/>
      <c r="CJ13" s="34"/>
      <c r="CK13" s="34"/>
      <c r="CL13" s="34"/>
      <c r="CM13" s="34"/>
      <c r="CN13" s="34"/>
      <c r="CO13" s="34"/>
      <c r="CP13" s="34"/>
      <c r="CQ13" s="34"/>
      <c r="CR13" s="34"/>
      <c r="CS13" s="34"/>
      <c r="CT13" s="34"/>
      <c r="CU13" s="34"/>
      <c r="CV13" s="34"/>
      <c r="CW13" s="34"/>
      <c r="CX13" s="34"/>
      <c r="CY13" s="34"/>
      <c r="CZ13" s="34"/>
      <c r="DA13" s="34"/>
      <c r="DB13" s="34"/>
      <c r="DC13" s="34"/>
      <c r="DD13" s="34"/>
      <c r="DE13" s="34"/>
      <c r="DF13" s="34"/>
      <c r="DG13" s="34"/>
      <c r="DH13" s="34"/>
      <c r="DI13" s="34"/>
      <c r="DJ13" s="34"/>
      <c r="DK13" s="34"/>
      <c r="DL13" s="34"/>
      <c r="DM13" s="34"/>
      <c r="DN13" s="34"/>
      <c r="DO13" s="34"/>
      <c r="DP13" s="34"/>
      <c r="DQ13" s="34"/>
      <c r="DR13" s="34"/>
      <c r="DS13" s="34"/>
      <c r="DT13" s="34"/>
      <c r="DU13" s="34"/>
      <c r="DV13" s="34"/>
      <c r="DW13" s="34"/>
      <c r="DX13" s="34"/>
      <c r="DY13" s="34"/>
      <c r="DZ13" s="34"/>
      <c r="EA13" s="34"/>
      <c r="EB13" s="34"/>
      <c r="EC13" s="34"/>
      <c r="ED13" s="34"/>
      <c r="EE13" s="34"/>
      <c r="EF13" s="34"/>
      <c r="EG13" s="34"/>
      <c r="EH13" s="34"/>
      <c r="EI13" s="34"/>
      <c r="EJ13" s="34"/>
      <c r="EK13" s="34"/>
      <c r="EL13" s="34"/>
      <c r="EM13" s="34"/>
      <c r="EN13" s="34"/>
      <c r="EO13" s="34"/>
      <c r="EP13" s="34"/>
      <c r="EQ13" s="34"/>
      <c r="ER13" s="34"/>
      <c r="ES13" s="34"/>
      <c r="ET13" s="34"/>
      <c r="EU13" s="34"/>
      <c r="EV13" s="34"/>
      <c r="EW13" s="34"/>
      <c r="EX13" s="34"/>
      <c r="EY13" s="34"/>
      <c r="EZ13" s="34"/>
      <c r="FA13" s="34"/>
      <c r="FB13" s="34"/>
      <c r="FC13" s="34"/>
      <c r="FD13" s="34"/>
      <c r="FE13" s="34"/>
      <c r="FF13" s="34"/>
      <c r="FG13" s="34"/>
      <c r="FH13" s="34"/>
      <c r="FI13" s="34"/>
      <c r="FJ13" s="34"/>
      <c r="FK13" s="34"/>
      <c r="FL13" s="34"/>
      <c r="FM13" s="34"/>
      <c r="FN13" s="34"/>
      <c r="FO13" s="34"/>
      <c r="FP13" s="34"/>
      <c r="FQ13" s="34"/>
      <c r="FR13" s="34"/>
      <c r="FS13" s="34"/>
      <c r="FT13" s="34"/>
      <c r="FU13" s="34"/>
      <c r="FV13" s="34"/>
      <c r="FW13" s="34"/>
      <c r="FX13" s="34"/>
      <c r="FY13" s="34"/>
      <c r="FZ13" s="34"/>
      <c r="GA13" s="34"/>
      <c r="GB13" s="34"/>
      <c r="GC13" s="34"/>
      <c r="GD13" s="34"/>
      <c r="GE13" s="34"/>
      <c r="GF13" s="34"/>
      <c r="GG13" s="34"/>
      <c r="GH13" s="34"/>
      <c r="GI13" s="34"/>
      <c r="GJ13" s="34"/>
      <c r="GK13" s="34"/>
      <c r="GL13" s="34"/>
      <c r="GM13" s="34"/>
      <c r="GN13" s="34"/>
      <c r="GO13" s="34"/>
      <c r="OQ13" s="63"/>
    </row>
    <row r="14" spans="1:499" s="38" customFormat="1" ht="15" customHeight="1" x14ac:dyDescent="0.3">
      <c r="A14" s="34" t="s">
        <v>257</v>
      </c>
      <c r="B14" s="34">
        <v>67</v>
      </c>
      <c r="C14" s="34">
        <v>247</v>
      </c>
      <c r="D14" s="34">
        <v>314</v>
      </c>
      <c r="E14" s="34"/>
      <c r="F14" s="34"/>
      <c r="G14" s="34"/>
      <c r="H14" s="34"/>
      <c r="I14" s="34"/>
      <c r="J14" s="34"/>
      <c r="K14" s="34"/>
      <c r="L14" s="34"/>
      <c r="M14" s="34"/>
      <c r="N14" s="34"/>
      <c r="O14" s="34"/>
      <c r="P14" s="34"/>
      <c r="Q14" s="34"/>
      <c r="R14" s="148"/>
      <c r="S14" s="58"/>
      <c r="T14" s="58"/>
      <c r="U14" s="58"/>
      <c r="V14" s="58"/>
      <c r="W14" s="58"/>
      <c r="X14" s="58"/>
      <c r="Y14" s="58"/>
      <c r="Z14" s="58"/>
      <c r="AA14" s="58"/>
      <c r="AB14" s="58"/>
      <c r="AC14" s="58"/>
      <c r="AD14" s="58"/>
      <c r="AE14" s="58"/>
      <c r="AF14" s="34"/>
      <c r="AG14" s="34"/>
      <c r="AH14" s="34"/>
      <c r="AI14" s="34"/>
      <c r="AJ14" s="34"/>
      <c r="AK14" s="34"/>
      <c r="AL14" s="34"/>
      <c r="AM14" s="34"/>
      <c r="AN14" s="34"/>
      <c r="AO14" s="34"/>
      <c r="AP14" s="34"/>
      <c r="AQ14" s="34"/>
      <c r="AR14" s="34"/>
      <c r="AS14" s="34"/>
      <c r="AT14" s="34"/>
      <c r="AU14" s="34"/>
      <c r="AV14" s="34"/>
      <c r="AW14" s="34"/>
      <c r="AX14" s="34"/>
      <c r="AY14" s="34"/>
      <c r="AZ14" s="34"/>
      <c r="BA14" s="34"/>
      <c r="BB14" s="34"/>
      <c r="BC14" s="34"/>
      <c r="BD14" s="34"/>
      <c r="BE14" s="34"/>
      <c r="BF14" s="34"/>
      <c r="BG14" s="34"/>
      <c r="BH14" s="34"/>
      <c r="BI14" s="34"/>
      <c r="BJ14" s="34"/>
      <c r="BK14" s="34"/>
      <c r="BL14" s="34"/>
      <c r="BM14" s="34"/>
      <c r="BN14" s="34"/>
      <c r="BO14" s="34"/>
      <c r="BP14" s="34"/>
      <c r="BQ14" s="34"/>
      <c r="BR14" s="34"/>
      <c r="BS14" s="34"/>
      <c r="BT14" s="34"/>
      <c r="BU14" s="34"/>
      <c r="BV14" s="34"/>
      <c r="BW14" s="34"/>
      <c r="BX14" s="34"/>
      <c r="BY14" s="34"/>
      <c r="BZ14" s="34"/>
      <c r="CA14" s="34"/>
      <c r="CB14" s="34"/>
      <c r="CC14" s="34"/>
      <c r="CD14" s="34"/>
      <c r="CE14" s="34"/>
      <c r="CF14" s="34"/>
      <c r="CG14" s="34"/>
      <c r="CH14" s="34"/>
      <c r="CI14" s="34"/>
      <c r="CJ14" s="34"/>
      <c r="CK14" s="34"/>
      <c r="CL14" s="34"/>
      <c r="CM14" s="34"/>
      <c r="CN14" s="34"/>
      <c r="CO14" s="34"/>
      <c r="CP14" s="34"/>
      <c r="CQ14" s="34"/>
      <c r="CR14" s="34"/>
      <c r="CS14" s="34"/>
      <c r="CT14" s="34"/>
      <c r="CU14" s="34"/>
      <c r="CV14" s="34"/>
      <c r="CW14" s="34"/>
      <c r="CX14" s="34"/>
      <c r="CY14" s="34"/>
      <c r="CZ14" s="34"/>
      <c r="DA14" s="34"/>
      <c r="DB14" s="34"/>
      <c r="DC14" s="34"/>
      <c r="DD14" s="34"/>
      <c r="DE14" s="34"/>
      <c r="DF14" s="34"/>
      <c r="DG14" s="34"/>
      <c r="DH14" s="34"/>
      <c r="DI14" s="34"/>
      <c r="DJ14" s="34"/>
      <c r="DK14" s="34"/>
      <c r="DL14" s="34"/>
      <c r="DM14" s="34"/>
      <c r="DN14" s="34"/>
      <c r="DO14" s="34"/>
      <c r="DP14" s="34"/>
      <c r="DQ14" s="34"/>
      <c r="DR14" s="34"/>
      <c r="DS14" s="34"/>
      <c r="DT14" s="34"/>
      <c r="DU14" s="34"/>
      <c r="DV14" s="34"/>
      <c r="DW14" s="34"/>
      <c r="DX14" s="34"/>
      <c r="DY14" s="34"/>
      <c r="DZ14" s="34"/>
      <c r="EA14" s="34"/>
      <c r="EB14" s="34"/>
      <c r="EC14" s="34"/>
      <c r="ED14" s="34"/>
      <c r="EE14" s="34"/>
      <c r="EF14" s="34"/>
      <c r="EG14" s="34"/>
      <c r="EH14" s="34"/>
      <c r="EI14" s="34"/>
      <c r="EJ14" s="34"/>
      <c r="EK14" s="34"/>
      <c r="EL14" s="34"/>
      <c r="EM14" s="34"/>
      <c r="EN14" s="34"/>
      <c r="EO14" s="34"/>
      <c r="EP14" s="34"/>
      <c r="EQ14" s="34"/>
      <c r="ER14" s="34"/>
      <c r="ES14" s="34"/>
      <c r="ET14" s="34"/>
      <c r="EU14" s="34"/>
      <c r="EV14" s="34"/>
      <c r="EW14" s="34"/>
      <c r="EX14" s="34"/>
      <c r="EY14" s="34"/>
      <c r="EZ14" s="34"/>
      <c r="FA14" s="34"/>
      <c r="FB14" s="34"/>
      <c r="FC14" s="34"/>
      <c r="FD14" s="34"/>
      <c r="FE14" s="34"/>
      <c r="FF14" s="34"/>
      <c r="FG14" s="34"/>
      <c r="FH14" s="34"/>
      <c r="FI14" s="34"/>
      <c r="FJ14" s="34"/>
      <c r="FK14" s="34"/>
      <c r="FL14" s="34"/>
      <c r="FM14" s="34"/>
      <c r="FN14" s="34"/>
      <c r="FO14" s="34"/>
      <c r="FP14" s="34"/>
      <c r="FQ14" s="34"/>
      <c r="FR14" s="34"/>
      <c r="FS14" s="34"/>
      <c r="FT14" s="34"/>
      <c r="FU14" s="34"/>
      <c r="FV14" s="34"/>
      <c r="FW14" s="34"/>
      <c r="FX14" s="34"/>
      <c r="FY14" s="34"/>
      <c r="FZ14" s="34"/>
      <c r="GA14" s="34"/>
      <c r="GB14" s="34"/>
      <c r="GC14" s="34"/>
      <c r="GD14" s="34"/>
      <c r="GE14" s="34"/>
      <c r="GF14" s="34"/>
      <c r="GG14" s="34"/>
      <c r="GH14" s="34"/>
      <c r="GI14" s="34"/>
      <c r="GJ14" s="34"/>
      <c r="GK14" s="34"/>
      <c r="GL14" s="34"/>
      <c r="GM14" s="34"/>
      <c r="GN14" s="34"/>
      <c r="GO14" s="34"/>
      <c r="OQ14" s="63"/>
    </row>
    <row r="15" spans="1:499" s="38" customFormat="1" ht="15" customHeight="1" x14ac:dyDescent="0.3">
      <c r="A15" s="234" t="s">
        <v>262</v>
      </c>
      <c r="B15" s="234">
        <v>39</v>
      </c>
      <c r="C15" s="234">
        <v>145</v>
      </c>
      <c r="D15" s="234">
        <v>184</v>
      </c>
      <c r="E15" s="34"/>
      <c r="F15" s="34"/>
      <c r="G15" s="34"/>
      <c r="H15" s="34"/>
      <c r="I15" s="34"/>
      <c r="J15" s="34"/>
      <c r="K15" s="34"/>
      <c r="L15" s="34"/>
      <c r="M15" s="34"/>
      <c r="N15" s="34"/>
      <c r="O15" s="34"/>
      <c r="P15" s="34"/>
      <c r="Q15" s="34"/>
      <c r="R15" s="34"/>
      <c r="S15" s="58"/>
      <c r="T15" s="58"/>
      <c r="U15" s="58"/>
      <c r="V15" s="58"/>
      <c r="W15" s="58"/>
      <c r="X15" s="58"/>
      <c r="Y15" s="58"/>
      <c r="Z15" s="58"/>
      <c r="AA15" s="58"/>
      <c r="AB15" s="58"/>
      <c r="AC15" s="58"/>
      <c r="AD15" s="58"/>
      <c r="AE15" s="58"/>
      <c r="AF15" s="34"/>
      <c r="AG15" s="34"/>
      <c r="AH15" s="34"/>
      <c r="AI15" s="34"/>
      <c r="AJ15" s="34"/>
      <c r="AK15" s="34"/>
      <c r="AL15" s="34"/>
      <c r="AM15" s="34"/>
      <c r="AN15" s="34"/>
      <c r="AO15" s="34"/>
      <c r="AP15" s="34"/>
      <c r="AQ15" s="34"/>
      <c r="AR15" s="34"/>
      <c r="AS15" s="34"/>
      <c r="AT15" s="34"/>
      <c r="AU15" s="34"/>
      <c r="AV15" s="34"/>
      <c r="AW15" s="34"/>
      <c r="AX15" s="34"/>
      <c r="AY15" s="34"/>
      <c r="AZ15" s="34"/>
      <c r="BA15" s="34"/>
      <c r="BB15" s="34"/>
      <c r="BC15" s="34"/>
      <c r="BD15" s="34"/>
      <c r="BE15" s="34"/>
      <c r="BF15" s="34"/>
      <c r="BG15" s="34"/>
      <c r="BH15" s="34"/>
      <c r="BI15" s="34"/>
      <c r="BJ15" s="34"/>
      <c r="BK15" s="34"/>
      <c r="BL15" s="34"/>
      <c r="BM15" s="34"/>
      <c r="BN15" s="34"/>
      <c r="BO15" s="34"/>
      <c r="BP15" s="34"/>
      <c r="BQ15" s="34"/>
      <c r="BR15" s="34"/>
      <c r="BS15" s="34"/>
      <c r="BT15" s="34"/>
      <c r="BU15" s="34"/>
      <c r="BV15" s="34"/>
      <c r="BW15" s="34"/>
      <c r="BX15" s="34"/>
      <c r="BY15" s="34"/>
      <c r="BZ15" s="34"/>
      <c r="CA15" s="34"/>
      <c r="CB15" s="34"/>
      <c r="CC15" s="34"/>
      <c r="CD15" s="34"/>
      <c r="CE15" s="34"/>
      <c r="CF15" s="34"/>
      <c r="CG15" s="34"/>
      <c r="CH15" s="34"/>
      <c r="CI15" s="34"/>
      <c r="CJ15" s="34"/>
      <c r="CK15" s="34"/>
      <c r="CL15" s="34"/>
      <c r="CM15" s="34"/>
      <c r="CN15" s="34"/>
      <c r="CO15" s="34"/>
      <c r="CP15" s="34"/>
      <c r="CQ15" s="34"/>
      <c r="CR15" s="34"/>
      <c r="CS15" s="34"/>
      <c r="CT15" s="34"/>
      <c r="CU15" s="34"/>
      <c r="CV15" s="34"/>
      <c r="CW15" s="34"/>
      <c r="CX15" s="34"/>
      <c r="CY15" s="34"/>
      <c r="CZ15" s="34"/>
      <c r="DA15" s="34"/>
      <c r="DB15" s="34"/>
      <c r="DC15" s="34"/>
      <c r="DD15" s="34"/>
      <c r="DE15" s="34"/>
      <c r="DF15" s="34"/>
      <c r="DG15" s="34"/>
      <c r="DH15" s="34"/>
      <c r="DI15" s="34"/>
      <c r="DJ15" s="34"/>
      <c r="DK15" s="34"/>
      <c r="DL15" s="34"/>
      <c r="DM15" s="34"/>
      <c r="DN15" s="34"/>
      <c r="DO15" s="34"/>
      <c r="DP15" s="34"/>
      <c r="DQ15" s="34"/>
      <c r="DR15" s="34"/>
      <c r="DS15" s="34"/>
      <c r="DT15" s="34"/>
      <c r="DU15" s="34"/>
      <c r="DV15" s="34"/>
      <c r="DW15" s="34"/>
      <c r="DX15" s="34"/>
      <c r="DY15" s="34"/>
      <c r="DZ15" s="34"/>
      <c r="EA15" s="34"/>
      <c r="EB15" s="34"/>
      <c r="EC15" s="34"/>
      <c r="ED15" s="34"/>
      <c r="EE15" s="34"/>
      <c r="EF15" s="34"/>
      <c r="EG15" s="34"/>
      <c r="EH15" s="34"/>
      <c r="EI15" s="34"/>
      <c r="EJ15" s="34"/>
      <c r="EK15" s="34"/>
      <c r="EL15" s="34"/>
      <c r="EM15" s="34"/>
      <c r="EN15" s="34"/>
      <c r="EO15" s="34"/>
      <c r="EP15" s="34"/>
      <c r="EQ15" s="34"/>
      <c r="ER15" s="34"/>
      <c r="ES15" s="34"/>
      <c r="ET15" s="34"/>
      <c r="EU15" s="34"/>
      <c r="EV15" s="34"/>
      <c r="EW15" s="34"/>
      <c r="EX15" s="34"/>
      <c r="EY15" s="34"/>
      <c r="EZ15" s="34"/>
      <c r="FA15" s="34"/>
      <c r="FB15" s="34"/>
      <c r="FC15" s="34"/>
      <c r="FD15" s="34"/>
      <c r="FE15" s="34"/>
      <c r="FF15" s="34"/>
      <c r="FG15" s="34"/>
      <c r="FH15" s="34"/>
      <c r="FI15" s="34"/>
      <c r="FJ15" s="34"/>
      <c r="FK15" s="34"/>
      <c r="FL15" s="34"/>
      <c r="FM15" s="34"/>
      <c r="FN15" s="34"/>
      <c r="FO15" s="34"/>
      <c r="FP15" s="34"/>
      <c r="FQ15" s="34"/>
      <c r="FR15" s="34"/>
      <c r="FS15" s="34"/>
      <c r="FT15" s="34"/>
      <c r="FU15" s="34"/>
      <c r="FV15" s="34"/>
      <c r="FW15" s="34"/>
      <c r="FX15" s="34"/>
      <c r="FY15" s="34"/>
      <c r="FZ15" s="34"/>
      <c r="GA15" s="34"/>
      <c r="GB15" s="34"/>
      <c r="GC15" s="34"/>
      <c r="GD15" s="34"/>
      <c r="GE15" s="34"/>
      <c r="GF15" s="34"/>
      <c r="GG15" s="34"/>
      <c r="GH15" s="34"/>
      <c r="GI15" s="34"/>
      <c r="GJ15" s="34"/>
      <c r="GK15" s="34"/>
      <c r="GL15" s="34"/>
      <c r="GM15" s="34"/>
      <c r="GN15" s="34"/>
      <c r="GO15" s="34"/>
    </row>
    <row r="16" spans="1:499" s="38" customFormat="1" ht="15" customHeight="1" x14ac:dyDescent="0.3">
      <c r="A16" s="34" t="s">
        <v>245</v>
      </c>
      <c r="B16" s="34">
        <v>65</v>
      </c>
      <c r="C16" s="34">
        <v>263</v>
      </c>
      <c r="D16" s="34">
        <v>328</v>
      </c>
      <c r="E16" s="34"/>
      <c r="F16" s="34"/>
      <c r="G16" s="34"/>
      <c r="H16" s="34"/>
      <c r="I16" s="34"/>
      <c r="J16" s="34"/>
      <c r="K16" s="34"/>
      <c r="L16" s="34"/>
      <c r="M16" s="34"/>
      <c r="N16" s="34"/>
      <c r="O16" s="34"/>
      <c r="P16" s="34"/>
      <c r="Q16" s="34"/>
      <c r="R16" s="34"/>
      <c r="S16" s="58"/>
      <c r="T16" s="58"/>
      <c r="U16" s="58"/>
      <c r="V16" s="58"/>
      <c r="W16" s="58"/>
      <c r="X16" s="58"/>
      <c r="Y16" s="58"/>
      <c r="Z16" s="58"/>
      <c r="AA16" s="58"/>
      <c r="AB16" s="58"/>
      <c r="AC16" s="58"/>
      <c r="AD16" s="58"/>
      <c r="AE16" s="58"/>
      <c r="AF16" s="34"/>
      <c r="AG16" s="34"/>
      <c r="AH16" s="34"/>
      <c r="AI16" s="34"/>
      <c r="AJ16" s="34"/>
      <c r="AK16" s="34"/>
      <c r="AL16" s="34"/>
      <c r="AM16" s="34"/>
      <c r="AN16" s="34"/>
      <c r="AO16" s="34"/>
      <c r="AP16" s="34"/>
      <c r="AQ16" s="34"/>
      <c r="AR16" s="34"/>
      <c r="AS16" s="34"/>
      <c r="AT16" s="34"/>
      <c r="AU16" s="34"/>
      <c r="AV16" s="34"/>
      <c r="AW16" s="34"/>
      <c r="AX16" s="34"/>
      <c r="AY16" s="34"/>
      <c r="AZ16" s="34"/>
      <c r="BA16" s="34"/>
      <c r="BB16" s="34"/>
      <c r="BC16" s="34"/>
      <c r="BD16" s="34"/>
      <c r="BE16" s="34"/>
      <c r="BF16" s="34"/>
      <c r="BG16" s="34"/>
      <c r="BH16" s="34"/>
      <c r="BI16" s="34"/>
      <c r="BJ16" s="34"/>
      <c r="BK16" s="34"/>
      <c r="BL16" s="34"/>
      <c r="BM16" s="34"/>
      <c r="BN16" s="34"/>
      <c r="BO16" s="34"/>
      <c r="BP16" s="34"/>
      <c r="BQ16" s="34"/>
      <c r="BR16" s="34"/>
      <c r="BS16" s="34"/>
      <c r="BT16" s="34"/>
      <c r="BU16" s="34"/>
      <c r="BV16" s="34"/>
      <c r="BW16" s="34"/>
      <c r="BX16" s="34"/>
      <c r="BY16" s="34"/>
      <c r="BZ16" s="34"/>
      <c r="CA16" s="34"/>
      <c r="CB16" s="34"/>
      <c r="CC16" s="34"/>
      <c r="CD16" s="34"/>
      <c r="CE16" s="34"/>
      <c r="CF16" s="34"/>
      <c r="CG16" s="34"/>
      <c r="CH16" s="34"/>
      <c r="CI16" s="34"/>
      <c r="CJ16" s="34"/>
      <c r="CK16" s="34"/>
      <c r="CL16" s="34"/>
      <c r="CM16" s="34"/>
      <c r="CN16" s="34"/>
      <c r="CO16" s="34"/>
      <c r="CP16" s="34"/>
      <c r="CQ16" s="34"/>
      <c r="CR16" s="34"/>
      <c r="CS16" s="34"/>
      <c r="CT16" s="34"/>
      <c r="CU16" s="34"/>
      <c r="CV16" s="34"/>
      <c r="CW16" s="34"/>
      <c r="CX16" s="34"/>
      <c r="CY16" s="34"/>
      <c r="CZ16" s="34"/>
      <c r="DA16" s="34"/>
      <c r="DB16" s="34"/>
      <c r="DC16" s="34"/>
      <c r="DD16" s="34"/>
      <c r="DE16" s="34"/>
      <c r="DF16" s="34"/>
      <c r="DG16" s="34"/>
      <c r="DH16" s="34"/>
      <c r="DI16" s="34"/>
      <c r="DJ16" s="34"/>
      <c r="DK16" s="34"/>
      <c r="DL16" s="34"/>
      <c r="DM16" s="34"/>
      <c r="DN16" s="34"/>
      <c r="DO16" s="34"/>
      <c r="DP16" s="34"/>
      <c r="DQ16" s="34"/>
      <c r="DR16" s="34"/>
      <c r="DS16" s="34"/>
      <c r="DT16" s="34"/>
      <c r="DU16" s="34"/>
      <c r="DV16" s="34"/>
      <c r="DW16" s="34"/>
      <c r="DX16" s="34"/>
      <c r="DY16" s="34"/>
      <c r="DZ16" s="34"/>
      <c r="EA16" s="34"/>
      <c r="EB16" s="34"/>
      <c r="EC16" s="34"/>
      <c r="ED16" s="34"/>
      <c r="EE16" s="34"/>
      <c r="EF16" s="34"/>
      <c r="EG16" s="34"/>
      <c r="EH16" s="34"/>
      <c r="EI16" s="34"/>
      <c r="EJ16" s="34"/>
      <c r="EK16" s="34"/>
      <c r="EL16" s="34"/>
      <c r="EM16" s="34"/>
      <c r="EN16" s="34"/>
      <c r="EO16" s="34"/>
      <c r="EP16" s="34"/>
      <c r="EQ16" s="34"/>
      <c r="ER16" s="34"/>
      <c r="ES16" s="34"/>
      <c r="ET16" s="34"/>
      <c r="EU16" s="34"/>
      <c r="EV16" s="34"/>
      <c r="EW16" s="34"/>
      <c r="EX16" s="34"/>
      <c r="EY16" s="34"/>
      <c r="EZ16" s="34"/>
      <c r="FA16" s="34"/>
      <c r="FB16" s="34"/>
      <c r="FC16" s="34"/>
      <c r="FD16" s="34"/>
      <c r="FE16" s="34"/>
      <c r="FF16" s="34"/>
      <c r="FG16" s="34"/>
      <c r="FH16" s="34"/>
      <c r="FI16" s="34"/>
      <c r="FJ16" s="34"/>
      <c r="FK16" s="34"/>
      <c r="FL16" s="34"/>
      <c r="FM16" s="34"/>
      <c r="FN16" s="34"/>
      <c r="FO16" s="34"/>
      <c r="FP16" s="34"/>
      <c r="FQ16" s="34"/>
      <c r="FR16" s="34"/>
      <c r="FS16" s="34"/>
      <c r="FT16" s="34"/>
      <c r="FU16" s="34"/>
      <c r="FV16" s="34"/>
      <c r="FW16" s="34"/>
      <c r="FX16" s="34"/>
      <c r="FY16" s="34"/>
      <c r="FZ16" s="34"/>
      <c r="GA16" s="34"/>
      <c r="GB16" s="34"/>
      <c r="GC16" s="34"/>
      <c r="GD16" s="34"/>
      <c r="GE16" s="34"/>
      <c r="GF16" s="34"/>
      <c r="GG16" s="34"/>
      <c r="GH16" s="34"/>
      <c r="GI16" s="34"/>
      <c r="GJ16" s="34"/>
      <c r="GK16" s="34"/>
      <c r="GL16" s="34"/>
      <c r="GM16" s="34"/>
      <c r="GN16" s="34"/>
      <c r="GO16" s="34"/>
    </row>
    <row r="17" spans="1:197" s="38" customFormat="1" ht="15" customHeight="1" x14ac:dyDescent="0.3">
      <c r="A17" s="34" t="s">
        <v>248</v>
      </c>
      <c r="B17" s="34">
        <v>92</v>
      </c>
      <c r="C17" s="34">
        <v>350</v>
      </c>
      <c r="D17" s="34">
        <v>442</v>
      </c>
      <c r="E17" s="34"/>
      <c r="F17" s="34"/>
      <c r="G17" s="34"/>
      <c r="H17" s="34"/>
      <c r="I17" s="34"/>
      <c r="J17" s="34"/>
      <c r="K17" s="34"/>
      <c r="L17" s="34"/>
      <c r="M17" s="34"/>
      <c r="N17" s="34"/>
      <c r="O17" s="34"/>
      <c r="P17" s="34"/>
      <c r="Q17" s="34"/>
      <c r="R17" s="34"/>
      <c r="S17" s="58"/>
      <c r="T17" s="58"/>
      <c r="U17" s="58"/>
      <c r="V17" s="58"/>
      <c r="W17" s="58"/>
      <c r="X17" s="58"/>
      <c r="Y17" s="58"/>
      <c r="Z17" s="58"/>
      <c r="AA17" s="58"/>
      <c r="AB17" s="58"/>
      <c r="AC17" s="58"/>
      <c r="AD17" s="58"/>
      <c r="AE17" s="58"/>
      <c r="AF17" s="34"/>
      <c r="AG17" s="34"/>
      <c r="AH17" s="34"/>
      <c r="AI17" s="34"/>
      <c r="AJ17" s="34"/>
      <c r="AK17" s="34"/>
      <c r="AL17" s="34"/>
      <c r="AM17" s="34"/>
      <c r="AN17" s="34"/>
      <c r="AO17" s="34"/>
      <c r="AP17" s="34"/>
      <c r="AQ17" s="34"/>
      <c r="AR17" s="34"/>
      <c r="AS17" s="34"/>
      <c r="AT17" s="34"/>
      <c r="AU17" s="34"/>
      <c r="AV17" s="34"/>
      <c r="AW17" s="34"/>
      <c r="AX17" s="34"/>
      <c r="AY17" s="34"/>
      <c r="AZ17" s="34"/>
      <c r="BA17" s="34"/>
      <c r="BB17" s="34"/>
      <c r="BC17" s="34"/>
      <c r="BD17" s="34"/>
      <c r="BE17" s="34"/>
      <c r="BF17" s="34"/>
      <c r="BG17" s="34"/>
      <c r="BH17" s="34"/>
      <c r="BI17" s="34"/>
      <c r="BJ17" s="34"/>
      <c r="BK17" s="34"/>
      <c r="BL17" s="34"/>
      <c r="BM17" s="34"/>
      <c r="BN17" s="34"/>
      <c r="BO17" s="34"/>
      <c r="BP17" s="34"/>
      <c r="BQ17" s="34"/>
      <c r="BR17" s="34"/>
      <c r="BS17" s="34"/>
      <c r="BT17" s="34"/>
      <c r="BU17" s="34"/>
      <c r="BV17" s="34"/>
      <c r="BW17" s="34"/>
      <c r="BX17" s="34"/>
      <c r="BY17" s="34"/>
      <c r="BZ17" s="34"/>
      <c r="CA17" s="34"/>
      <c r="CB17" s="34"/>
      <c r="CC17" s="34"/>
      <c r="CD17" s="34"/>
      <c r="CE17" s="34"/>
      <c r="CF17" s="34"/>
      <c r="CG17" s="34"/>
      <c r="CH17" s="34"/>
      <c r="CI17" s="34"/>
      <c r="CJ17" s="34"/>
      <c r="CK17" s="34"/>
      <c r="CL17" s="34"/>
      <c r="CM17" s="34"/>
      <c r="CN17" s="34"/>
      <c r="CO17" s="34"/>
      <c r="CP17" s="34"/>
      <c r="CQ17" s="34"/>
      <c r="CR17" s="34"/>
      <c r="CS17" s="34"/>
      <c r="CT17" s="34"/>
      <c r="CU17" s="34"/>
      <c r="CV17" s="34"/>
      <c r="CW17" s="34"/>
      <c r="CX17" s="34"/>
      <c r="CY17" s="34"/>
      <c r="CZ17" s="34"/>
      <c r="DA17" s="34"/>
      <c r="DB17" s="34"/>
      <c r="DC17" s="34"/>
      <c r="DD17" s="34"/>
      <c r="DE17" s="34"/>
      <c r="DF17" s="34"/>
      <c r="DG17" s="34"/>
      <c r="DH17" s="34"/>
      <c r="DI17" s="34"/>
      <c r="DJ17" s="34"/>
      <c r="DK17" s="34"/>
      <c r="DL17" s="34"/>
      <c r="DM17" s="34"/>
      <c r="DN17" s="34"/>
      <c r="DO17" s="34"/>
      <c r="DP17" s="34"/>
      <c r="DQ17" s="34"/>
      <c r="DR17" s="34"/>
      <c r="DS17" s="34"/>
      <c r="DT17" s="34"/>
      <c r="DU17" s="34"/>
      <c r="DV17" s="34"/>
      <c r="DW17" s="34"/>
      <c r="DX17" s="34"/>
      <c r="DY17" s="34"/>
      <c r="DZ17" s="34"/>
      <c r="EA17" s="34"/>
      <c r="EB17" s="34"/>
      <c r="EC17" s="34"/>
      <c r="ED17" s="34"/>
      <c r="EE17" s="34"/>
      <c r="EF17" s="34"/>
      <c r="EG17" s="34"/>
      <c r="EH17" s="34"/>
      <c r="EI17" s="34"/>
      <c r="EJ17" s="34"/>
      <c r="EK17" s="34"/>
      <c r="EL17" s="34"/>
      <c r="EM17" s="34"/>
      <c r="EN17" s="34"/>
      <c r="EO17" s="34"/>
      <c r="EP17" s="34"/>
      <c r="EQ17" s="34"/>
      <c r="ER17" s="34"/>
      <c r="ES17" s="34"/>
      <c r="ET17" s="34"/>
      <c r="EU17" s="34"/>
      <c r="EV17" s="34"/>
      <c r="EW17" s="34"/>
      <c r="EX17" s="34"/>
      <c r="EY17" s="34"/>
      <c r="EZ17" s="34"/>
      <c r="FA17" s="34"/>
      <c r="FB17" s="34"/>
      <c r="FC17" s="34"/>
      <c r="FD17" s="34"/>
      <c r="FE17" s="34"/>
      <c r="FF17" s="34"/>
      <c r="FG17" s="34"/>
      <c r="FH17" s="34"/>
      <c r="FI17" s="34"/>
      <c r="FJ17" s="34"/>
      <c r="FK17" s="34"/>
      <c r="FL17" s="34"/>
      <c r="FM17" s="34"/>
      <c r="FN17" s="34"/>
      <c r="FO17" s="34"/>
      <c r="FP17" s="34"/>
      <c r="FQ17" s="34"/>
      <c r="FR17" s="34"/>
      <c r="FS17" s="34"/>
      <c r="FT17" s="34"/>
      <c r="FU17" s="34"/>
      <c r="FV17" s="34"/>
      <c r="FW17" s="34"/>
      <c r="FX17" s="34"/>
      <c r="FY17" s="34"/>
      <c r="FZ17" s="34"/>
      <c r="GA17" s="34"/>
      <c r="GB17" s="34"/>
      <c r="GC17" s="34"/>
      <c r="GD17" s="34"/>
      <c r="GE17" s="34"/>
      <c r="GF17" s="34"/>
      <c r="GG17" s="34"/>
      <c r="GH17" s="34"/>
      <c r="GI17" s="34"/>
      <c r="GJ17" s="34"/>
      <c r="GK17" s="34"/>
      <c r="GL17" s="34"/>
      <c r="GM17" s="34"/>
      <c r="GN17" s="34"/>
      <c r="GO17" s="34"/>
    </row>
    <row r="18" spans="1:197" s="38" customFormat="1" ht="15" customHeight="1" x14ac:dyDescent="0.3">
      <c r="A18" s="34" t="s">
        <v>258</v>
      </c>
      <c r="B18" s="34">
        <v>61</v>
      </c>
      <c r="C18" s="34">
        <v>214</v>
      </c>
      <c r="D18" s="34">
        <v>275</v>
      </c>
      <c r="E18" s="34"/>
      <c r="F18" s="34"/>
      <c r="G18" s="34"/>
      <c r="H18" s="34"/>
      <c r="I18" s="34"/>
      <c r="J18" s="34"/>
      <c r="K18" s="34"/>
      <c r="L18" s="34"/>
      <c r="M18" s="34"/>
      <c r="N18" s="34"/>
      <c r="O18" s="34"/>
      <c r="P18" s="34"/>
      <c r="Q18" s="34"/>
      <c r="R18" s="34"/>
      <c r="S18" s="58"/>
      <c r="T18" s="58"/>
      <c r="U18" s="58"/>
      <c r="V18" s="58"/>
      <c r="W18" s="58"/>
      <c r="X18" s="58"/>
      <c r="Y18" s="58"/>
      <c r="Z18" s="58"/>
      <c r="AA18" s="58"/>
      <c r="AB18" s="58"/>
      <c r="AC18" s="58"/>
      <c r="AD18" s="58"/>
      <c r="AE18" s="58"/>
      <c r="AF18" s="34"/>
      <c r="AG18" s="34"/>
      <c r="AH18" s="34"/>
      <c r="AI18" s="34"/>
      <c r="AJ18" s="34"/>
      <c r="AK18" s="34"/>
      <c r="AL18" s="34"/>
      <c r="AM18" s="34"/>
      <c r="AN18" s="34"/>
      <c r="AO18" s="34"/>
      <c r="AP18" s="34"/>
      <c r="AQ18" s="34"/>
      <c r="AR18" s="34"/>
      <c r="AS18" s="34"/>
      <c r="AT18" s="34"/>
      <c r="AU18" s="34"/>
      <c r="AV18" s="34"/>
      <c r="AW18" s="34"/>
      <c r="AX18" s="34"/>
      <c r="AY18" s="34"/>
      <c r="AZ18" s="34"/>
      <c r="BA18" s="34"/>
      <c r="BB18" s="34"/>
      <c r="BC18" s="34"/>
      <c r="BD18" s="34"/>
      <c r="BE18" s="34"/>
      <c r="BF18" s="34"/>
      <c r="BG18" s="34"/>
      <c r="BH18" s="34"/>
      <c r="BI18" s="34"/>
      <c r="BJ18" s="34"/>
      <c r="BK18" s="34"/>
      <c r="BL18" s="34"/>
      <c r="BM18" s="34"/>
      <c r="BN18" s="34"/>
      <c r="BO18" s="34"/>
      <c r="BP18" s="34"/>
      <c r="BQ18" s="34"/>
      <c r="BR18" s="34"/>
      <c r="BS18" s="34"/>
      <c r="BT18" s="34"/>
      <c r="BU18" s="34"/>
      <c r="BV18" s="34"/>
      <c r="BW18" s="34"/>
      <c r="BX18" s="34"/>
      <c r="BY18" s="34"/>
      <c r="BZ18" s="34"/>
      <c r="CA18" s="34"/>
      <c r="CB18" s="34"/>
      <c r="CC18" s="34"/>
      <c r="CD18" s="34"/>
      <c r="CE18" s="34"/>
      <c r="CF18" s="34"/>
      <c r="CG18" s="34"/>
      <c r="CH18" s="34"/>
      <c r="CI18" s="34"/>
      <c r="CJ18" s="34"/>
      <c r="CK18" s="34"/>
      <c r="CL18" s="34"/>
      <c r="CM18" s="34"/>
      <c r="CN18" s="34"/>
      <c r="CO18" s="34"/>
      <c r="CP18" s="34"/>
      <c r="CQ18" s="34"/>
      <c r="CR18" s="34"/>
      <c r="CS18" s="34"/>
      <c r="CT18" s="34"/>
      <c r="CU18" s="34"/>
      <c r="CV18" s="34"/>
      <c r="CW18" s="34"/>
      <c r="CX18" s="34"/>
      <c r="CY18" s="34"/>
      <c r="CZ18" s="34"/>
      <c r="DA18" s="34"/>
      <c r="DB18" s="34"/>
      <c r="DC18" s="34"/>
      <c r="DD18" s="34"/>
      <c r="DE18" s="34"/>
      <c r="DF18" s="34"/>
      <c r="DG18" s="34"/>
      <c r="DH18" s="34"/>
      <c r="DI18" s="34"/>
      <c r="DJ18" s="34"/>
      <c r="DK18" s="34"/>
      <c r="DL18" s="34"/>
      <c r="DM18" s="34"/>
      <c r="DN18" s="34"/>
      <c r="DO18" s="34"/>
      <c r="DP18" s="34"/>
      <c r="DQ18" s="34"/>
      <c r="DR18" s="34"/>
      <c r="DS18" s="34"/>
      <c r="DT18" s="34"/>
      <c r="DU18" s="34"/>
      <c r="DV18" s="34"/>
      <c r="DW18" s="34"/>
      <c r="DX18" s="34"/>
      <c r="DY18" s="34"/>
      <c r="DZ18" s="34"/>
      <c r="EA18" s="34"/>
      <c r="EB18" s="34"/>
      <c r="EC18" s="34"/>
      <c r="ED18" s="34"/>
      <c r="EE18" s="34"/>
      <c r="EF18" s="34"/>
      <c r="EG18" s="34"/>
      <c r="EH18" s="34"/>
      <c r="EI18" s="34"/>
      <c r="EJ18" s="34"/>
      <c r="EK18" s="34"/>
      <c r="EL18" s="34"/>
      <c r="EM18" s="34"/>
      <c r="EN18" s="34"/>
      <c r="EO18" s="34"/>
      <c r="EP18" s="34"/>
      <c r="EQ18" s="34"/>
      <c r="ER18" s="34"/>
      <c r="ES18" s="34"/>
      <c r="ET18" s="34"/>
      <c r="EU18" s="34"/>
      <c r="EV18" s="34"/>
      <c r="EW18" s="34"/>
      <c r="EX18" s="34"/>
      <c r="EY18" s="34"/>
      <c r="EZ18" s="34"/>
      <c r="FA18" s="34"/>
      <c r="FB18" s="34"/>
      <c r="FC18" s="34"/>
      <c r="FD18" s="34"/>
      <c r="FE18" s="34"/>
      <c r="FF18" s="34"/>
      <c r="FG18" s="34"/>
      <c r="FH18" s="34"/>
      <c r="FI18" s="34"/>
      <c r="FJ18" s="34"/>
      <c r="FK18" s="34"/>
      <c r="FL18" s="34"/>
      <c r="FM18" s="34"/>
      <c r="FN18" s="34"/>
      <c r="FO18" s="34"/>
      <c r="FP18" s="34"/>
      <c r="FQ18" s="34"/>
      <c r="FR18" s="34"/>
      <c r="FS18" s="34"/>
      <c r="FT18" s="34"/>
      <c r="FU18" s="34"/>
      <c r="FV18" s="34"/>
      <c r="FW18" s="34"/>
      <c r="FX18" s="34"/>
      <c r="FY18" s="34"/>
      <c r="FZ18" s="34"/>
      <c r="GA18" s="34"/>
      <c r="GB18" s="34"/>
      <c r="GC18" s="34"/>
      <c r="GD18" s="34"/>
      <c r="GE18" s="34"/>
      <c r="GF18" s="34"/>
      <c r="GG18" s="34"/>
      <c r="GH18" s="34"/>
      <c r="GI18" s="34"/>
      <c r="GJ18" s="34"/>
      <c r="GK18" s="34"/>
      <c r="GL18" s="34"/>
      <c r="GM18" s="34"/>
      <c r="GN18" s="34"/>
      <c r="GO18" s="34"/>
    </row>
    <row r="19" spans="1:197" s="38" customFormat="1" ht="15" customHeight="1" x14ac:dyDescent="0.3">
      <c r="A19" s="34" t="s">
        <v>242</v>
      </c>
      <c r="B19" s="34">
        <v>85</v>
      </c>
      <c r="C19" s="34">
        <v>294</v>
      </c>
      <c r="D19" s="34">
        <v>379</v>
      </c>
      <c r="E19" s="34"/>
      <c r="F19" s="34"/>
      <c r="G19" s="34"/>
      <c r="H19" s="34"/>
      <c r="I19" s="34"/>
      <c r="J19" s="34"/>
      <c r="K19" s="34"/>
      <c r="L19" s="34"/>
      <c r="M19" s="34"/>
      <c r="N19" s="34"/>
      <c r="O19" s="34"/>
      <c r="P19" s="34"/>
      <c r="Q19" s="34"/>
      <c r="R19" s="34"/>
      <c r="S19" s="58"/>
      <c r="T19" s="58"/>
      <c r="U19" s="58"/>
      <c r="V19" s="58"/>
      <c r="W19" s="58"/>
      <c r="X19" s="58"/>
      <c r="Y19" s="58"/>
      <c r="Z19" s="58"/>
      <c r="AA19" s="58"/>
      <c r="AB19" s="58"/>
      <c r="AC19" s="58"/>
      <c r="AD19" s="58"/>
      <c r="AE19" s="58"/>
      <c r="AF19" s="34"/>
      <c r="AG19" s="34"/>
      <c r="AH19" s="34"/>
      <c r="AI19" s="34"/>
      <c r="AJ19" s="34"/>
      <c r="AK19" s="34"/>
      <c r="AL19" s="34"/>
      <c r="AM19" s="34"/>
      <c r="AN19" s="34"/>
      <c r="AO19" s="34"/>
      <c r="AP19" s="34"/>
      <c r="AQ19" s="34"/>
      <c r="AR19" s="34"/>
      <c r="AS19" s="34"/>
      <c r="AT19" s="34"/>
      <c r="AU19" s="34"/>
      <c r="AV19" s="34"/>
      <c r="AW19" s="34"/>
      <c r="AX19" s="34"/>
      <c r="AY19" s="34"/>
      <c r="AZ19" s="34"/>
      <c r="BA19" s="34"/>
      <c r="BB19" s="34"/>
      <c r="BC19" s="34"/>
      <c r="BD19" s="34"/>
      <c r="BE19" s="34"/>
      <c r="BF19" s="34"/>
      <c r="BG19" s="34"/>
      <c r="BH19" s="34"/>
      <c r="BI19" s="34"/>
      <c r="BJ19" s="34"/>
      <c r="BK19" s="34"/>
      <c r="BL19" s="34"/>
      <c r="BM19" s="34"/>
      <c r="BN19" s="34"/>
      <c r="BO19" s="34"/>
      <c r="BP19" s="34"/>
      <c r="BQ19" s="34"/>
      <c r="BR19" s="34"/>
      <c r="BS19" s="34"/>
      <c r="BT19" s="34"/>
      <c r="BU19" s="34"/>
      <c r="BV19" s="34"/>
      <c r="BW19" s="34"/>
      <c r="BX19" s="34"/>
      <c r="BY19" s="34"/>
      <c r="BZ19" s="34"/>
      <c r="CA19" s="34"/>
      <c r="CB19" s="34"/>
      <c r="CC19" s="34"/>
      <c r="CD19" s="34"/>
      <c r="CE19" s="34"/>
      <c r="CF19" s="34"/>
      <c r="CG19" s="34"/>
      <c r="CH19" s="34"/>
      <c r="CI19" s="34"/>
      <c r="CJ19" s="34"/>
      <c r="CK19" s="34"/>
      <c r="CL19" s="34"/>
      <c r="CM19" s="34"/>
      <c r="CN19" s="34"/>
      <c r="CO19" s="34"/>
      <c r="CP19" s="34"/>
      <c r="CQ19" s="34"/>
      <c r="CR19" s="34"/>
      <c r="CS19" s="34"/>
      <c r="CT19" s="34"/>
      <c r="CU19" s="34"/>
      <c r="CV19" s="34"/>
      <c r="CW19" s="34"/>
      <c r="CX19" s="34"/>
      <c r="CY19" s="34"/>
      <c r="CZ19" s="34"/>
      <c r="DA19" s="34"/>
      <c r="DB19" s="34"/>
      <c r="DC19" s="34"/>
      <c r="DD19" s="34"/>
      <c r="DE19" s="34"/>
      <c r="DF19" s="34"/>
      <c r="DG19" s="34"/>
      <c r="DH19" s="34"/>
      <c r="DI19" s="34"/>
      <c r="DJ19" s="34"/>
      <c r="DK19" s="34"/>
      <c r="DL19" s="34"/>
      <c r="DM19" s="34"/>
      <c r="DN19" s="34"/>
      <c r="DO19" s="34"/>
      <c r="DP19" s="34"/>
      <c r="DQ19" s="34"/>
      <c r="DR19" s="34"/>
      <c r="DS19" s="34"/>
      <c r="DT19" s="34"/>
      <c r="DU19" s="34"/>
      <c r="DV19" s="34"/>
      <c r="DW19" s="34"/>
      <c r="DX19" s="34"/>
      <c r="DY19" s="34"/>
      <c r="DZ19" s="34"/>
      <c r="EA19" s="34"/>
      <c r="EB19" s="34"/>
      <c r="EC19" s="34"/>
      <c r="ED19" s="34"/>
      <c r="EE19" s="34"/>
      <c r="EF19" s="34"/>
      <c r="EG19" s="34"/>
      <c r="EH19" s="34"/>
      <c r="EI19" s="34"/>
      <c r="EJ19" s="34"/>
      <c r="EK19" s="34"/>
      <c r="EL19" s="34"/>
      <c r="EM19" s="34"/>
      <c r="EN19" s="34"/>
      <c r="EO19" s="34"/>
      <c r="EP19" s="34"/>
      <c r="EQ19" s="34"/>
      <c r="ER19" s="34"/>
      <c r="ES19" s="34"/>
      <c r="ET19" s="34"/>
      <c r="EU19" s="34"/>
      <c r="EV19" s="34"/>
      <c r="EW19" s="34"/>
      <c r="EX19" s="34"/>
      <c r="EY19" s="34"/>
      <c r="EZ19" s="34"/>
      <c r="FA19" s="34"/>
      <c r="FB19" s="34"/>
      <c r="FC19" s="34"/>
      <c r="FD19" s="34"/>
      <c r="FE19" s="34"/>
      <c r="FF19" s="34"/>
      <c r="FG19" s="34"/>
      <c r="FH19" s="34"/>
      <c r="FI19" s="34"/>
      <c r="FJ19" s="34"/>
      <c r="FK19" s="34"/>
      <c r="FL19" s="34"/>
      <c r="FM19" s="34"/>
      <c r="FN19" s="34"/>
      <c r="FO19" s="34"/>
      <c r="FP19" s="34"/>
      <c r="FQ19" s="34"/>
      <c r="FR19" s="34"/>
      <c r="FS19" s="34"/>
      <c r="FT19" s="34"/>
      <c r="FU19" s="34"/>
      <c r="FV19" s="34"/>
      <c r="FW19" s="34"/>
      <c r="FX19" s="34"/>
      <c r="FY19" s="34"/>
      <c r="FZ19" s="34"/>
      <c r="GA19" s="34"/>
      <c r="GB19" s="34"/>
      <c r="GC19" s="34"/>
      <c r="GD19" s="34"/>
      <c r="GE19" s="34"/>
      <c r="GF19" s="34"/>
      <c r="GG19" s="34"/>
      <c r="GH19" s="34"/>
      <c r="GI19" s="34"/>
      <c r="GJ19" s="34"/>
      <c r="GK19" s="34"/>
      <c r="GL19" s="34"/>
      <c r="GM19" s="34"/>
      <c r="GN19" s="34"/>
      <c r="GO19" s="34"/>
    </row>
    <row r="20" spans="1:197" s="38" customFormat="1" ht="16.5" customHeight="1" x14ac:dyDescent="0.3">
      <c r="A20" s="34" t="s">
        <v>259</v>
      </c>
      <c r="B20" s="34">
        <v>87</v>
      </c>
      <c r="C20" s="34">
        <v>245</v>
      </c>
      <c r="D20" s="34">
        <v>332</v>
      </c>
      <c r="E20" s="34"/>
      <c r="F20" s="34"/>
      <c r="G20" s="34"/>
      <c r="H20" s="34"/>
      <c r="I20" s="34"/>
      <c r="J20" s="34"/>
      <c r="K20" s="34"/>
      <c r="L20" s="34"/>
      <c r="M20" s="34"/>
      <c r="N20" s="34"/>
      <c r="O20" s="34"/>
      <c r="P20" s="34"/>
      <c r="Q20" s="34"/>
      <c r="R20" s="34"/>
      <c r="S20" s="58"/>
      <c r="T20" s="58"/>
      <c r="U20" s="58"/>
      <c r="V20" s="58"/>
      <c r="W20" s="58"/>
      <c r="X20" s="58"/>
      <c r="Y20" s="58"/>
      <c r="Z20" s="58"/>
      <c r="AA20" s="58"/>
      <c r="AB20" s="58"/>
      <c r="AC20" s="58"/>
      <c r="AD20" s="58"/>
      <c r="AE20" s="58"/>
      <c r="AF20" s="34"/>
      <c r="AG20" s="34"/>
      <c r="AH20" s="34"/>
      <c r="AI20" s="34"/>
      <c r="AJ20" s="34"/>
      <c r="AK20" s="34"/>
      <c r="AL20" s="34"/>
      <c r="AM20" s="34"/>
      <c r="AN20" s="34"/>
      <c r="AO20" s="34"/>
      <c r="AP20" s="34"/>
      <c r="AQ20" s="34"/>
      <c r="AR20" s="34"/>
      <c r="AS20" s="34"/>
      <c r="AT20" s="34"/>
      <c r="AU20" s="34"/>
      <c r="AV20" s="34"/>
      <c r="AW20" s="34"/>
      <c r="AX20" s="34"/>
      <c r="AY20" s="34"/>
      <c r="AZ20" s="34"/>
      <c r="BA20" s="34"/>
      <c r="BB20" s="34"/>
      <c r="BC20" s="34"/>
      <c r="BD20" s="34"/>
      <c r="BE20" s="34"/>
      <c r="BF20" s="34"/>
      <c r="BG20" s="34"/>
      <c r="BH20" s="34"/>
      <c r="BI20" s="34"/>
      <c r="BJ20" s="34"/>
      <c r="BK20" s="34"/>
      <c r="BL20" s="34"/>
      <c r="BM20" s="34"/>
      <c r="BN20" s="34"/>
      <c r="BO20" s="34"/>
      <c r="BP20" s="34"/>
      <c r="BQ20" s="34"/>
      <c r="BR20" s="34"/>
      <c r="BS20" s="34"/>
      <c r="BT20" s="34"/>
      <c r="BU20" s="34"/>
      <c r="BV20" s="34"/>
      <c r="BW20" s="34"/>
      <c r="BX20" s="34"/>
      <c r="BY20" s="34"/>
      <c r="BZ20" s="34"/>
      <c r="CA20" s="34"/>
      <c r="CB20" s="34"/>
      <c r="CC20" s="34"/>
      <c r="CD20" s="34"/>
      <c r="CE20" s="34"/>
      <c r="CF20" s="34"/>
      <c r="CG20" s="34"/>
      <c r="CH20" s="34"/>
      <c r="CI20" s="34"/>
      <c r="CJ20" s="34"/>
      <c r="CK20" s="34"/>
      <c r="CL20" s="34"/>
      <c r="CM20" s="34"/>
      <c r="CN20" s="34"/>
      <c r="CO20" s="34"/>
      <c r="CP20" s="34"/>
      <c r="CQ20" s="34"/>
      <c r="CR20" s="34"/>
      <c r="CS20" s="34"/>
      <c r="CT20" s="34"/>
      <c r="CU20" s="34"/>
      <c r="CV20" s="34"/>
      <c r="CW20" s="34"/>
      <c r="CX20" s="34"/>
      <c r="CY20" s="34"/>
      <c r="CZ20" s="34"/>
      <c r="DA20" s="34"/>
      <c r="DB20" s="34"/>
      <c r="DC20" s="34"/>
      <c r="DD20" s="34"/>
      <c r="DE20" s="34"/>
      <c r="DF20" s="34"/>
      <c r="DG20" s="34"/>
      <c r="DH20" s="34"/>
      <c r="DI20" s="34"/>
      <c r="DJ20" s="34"/>
      <c r="DK20" s="34"/>
      <c r="DL20" s="34"/>
      <c r="DM20" s="34"/>
      <c r="DN20" s="34"/>
      <c r="DO20" s="34"/>
      <c r="DP20" s="34"/>
      <c r="DQ20" s="34"/>
      <c r="DR20" s="34"/>
      <c r="DS20" s="34"/>
      <c r="DT20" s="34"/>
      <c r="DU20" s="34"/>
      <c r="DV20" s="34"/>
      <c r="DW20" s="34"/>
      <c r="DX20" s="34"/>
      <c r="DY20" s="34"/>
      <c r="DZ20" s="34"/>
      <c r="EA20" s="34"/>
      <c r="EB20" s="34"/>
      <c r="EC20" s="34"/>
      <c r="ED20" s="34"/>
      <c r="EE20" s="34"/>
      <c r="EF20" s="34"/>
      <c r="EG20" s="34"/>
      <c r="EH20" s="34"/>
      <c r="EI20" s="34"/>
      <c r="EJ20" s="34"/>
      <c r="EK20" s="34"/>
      <c r="EL20" s="34"/>
      <c r="EM20" s="34"/>
      <c r="EN20" s="34"/>
      <c r="EO20" s="34"/>
      <c r="EP20" s="34"/>
      <c r="EQ20" s="34"/>
      <c r="ER20" s="34"/>
      <c r="ES20" s="34"/>
      <c r="ET20" s="34"/>
      <c r="EU20" s="34"/>
      <c r="EV20" s="34"/>
      <c r="EW20" s="34"/>
      <c r="EX20" s="34"/>
      <c r="EY20" s="34"/>
      <c r="EZ20" s="34"/>
      <c r="FA20" s="34"/>
      <c r="FB20" s="34"/>
      <c r="FC20" s="34"/>
      <c r="FD20" s="34"/>
      <c r="FE20" s="34"/>
      <c r="FF20" s="34"/>
      <c r="FG20" s="34"/>
      <c r="FH20" s="34"/>
      <c r="FI20" s="34"/>
      <c r="FJ20" s="34"/>
      <c r="FK20" s="34"/>
      <c r="FL20" s="34"/>
      <c r="FM20" s="34"/>
      <c r="FN20" s="34"/>
      <c r="FO20" s="34"/>
      <c r="FP20" s="34"/>
      <c r="FQ20" s="34"/>
      <c r="FR20" s="34"/>
      <c r="FS20" s="34"/>
      <c r="FT20" s="34"/>
      <c r="FU20" s="34"/>
      <c r="FV20" s="34"/>
      <c r="FW20" s="34"/>
      <c r="FX20" s="34"/>
      <c r="FY20" s="34"/>
      <c r="FZ20" s="34"/>
      <c r="GA20" s="34"/>
      <c r="GB20" s="34"/>
      <c r="GC20" s="34"/>
      <c r="GD20" s="34"/>
      <c r="GE20" s="34"/>
      <c r="GF20" s="34"/>
      <c r="GG20" s="34"/>
      <c r="GH20" s="34"/>
      <c r="GI20" s="34"/>
      <c r="GJ20" s="34"/>
      <c r="GK20" s="34"/>
      <c r="GL20" s="34"/>
      <c r="GM20" s="34"/>
      <c r="GN20" s="34"/>
      <c r="GO20" s="34"/>
    </row>
    <row r="21" spans="1:197" s="38" customFormat="1" ht="15" customHeight="1" x14ac:dyDescent="0.3">
      <c r="A21" s="34" t="s">
        <v>239</v>
      </c>
      <c r="B21" s="34">
        <v>105</v>
      </c>
      <c r="C21" s="34">
        <v>396</v>
      </c>
      <c r="D21" s="34">
        <v>501</v>
      </c>
      <c r="E21" s="34"/>
      <c r="F21" s="34"/>
      <c r="G21" s="34"/>
      <c r="H21" s="34"/>
      <c r="I21" s="34"/>
      <c r="J21" s="34"/>
      <c r="K21" s="34"/>
      <c r="L21" s="34"/>
      <c r="M21" s="34"/>
      <c r="N21" s="34"/>
      <c r="O21" s="34"/>
      <c r="P21" s="34"/>
      <c r="Q21" s="34"/>
      <c r="R21" s="34"/>
      <c r="S21" s="58"/>
      <c r="T21" s="58"/>
      <c r="U21" s="58"/>
      <c r="V21" s="58"/>
      <c r="W21" s="58"/>
      <c r="X21" s="58"/>
      <c r="Y21" s="58"/>
      <c r="Z21" s="58"/>
      <c r="AA21" s="58"/>
      <c r="AB21" s="58"/>
      <c r="AC21" s="58"/>
      <c r="AD21" s="58"/>
      <c r="AE21" s="58"/>
      <c r="AF21" s="34"/>
      <c r="AG21" s="34"/>
      <c r="AH21" s="34"/>
      <c r="AI21" s="34"/>
      <c r="AJ21" s="34"/>
      <c r="AK21" s="34"/>
      <c r="AL21" s="34"/>
      <c r="AM21" s="34"/>
      <c r="AN21" s="34"/>
      <c r="AO21" s="34"/>
      <c r="AP21" s="34"/>
      <c r="AQ21" s="34"/>
      <c r="AR21" s="34"/>
      <c r="AS21" s="34"/>
      <c r="AT21" s="34"/>
      <c r="AU21" s="34"/>
      <c r="AV21" s="34"/>
      <c r="AW21" s="34"/>
      <c r="AX21" s="34"/>
      <c r="AY21" s="34"/>
      <c r="AZ21" s="34"/>
      <c r="BA21" s="34"/>
      <c r="BB21" s="34"/>
      <c r="BC21" s="34"/>
      <c r="BD21" s="34"/>
      <c r="BE21" s="34"/>
      <c r="BF21" s="34"/>
      <c r="BG21" s="34"/>
      <c r="BH21" s="34"/>
      <c r="BI21" s="34"/>
      <c r="BJ21" s="34"/>
      <c r="BK21" s="34"/>
      <c r="BL21" s="34"/>
      <c r="BM21" s="34"/>
      <c r="BN21" s="34"/>
      <c r="BO21" s="34"/>
      <c r="BP21" s="34"/>
      <c r="BQ21" s="34"/>
      <c r="BR21" s="34"/>
      <c r="BS21" s="34"/>
      <c r="BT21" s="34"/>
      <c r="BU21" s="34"/>
      <c r="BV21" s="34"/>
      <c r="BW21" s="34"/>
      <c r="BX21" s="34"/>
      <c r="BY21" s="34"/>
      <c r="BZ21" s="34"/>
      <c r="CA21" s="34"/>
      <c r="CB21" s="34"/>
      <c r="CC21" s="34"/>
      <c r="CD21" s="34"/>
      <c r="CE21" s="34"/>
      <c r="CF21" s="34"/>
      <c r="CG21" s="34"/>
      <c r="CH21" s="34"/>
      <c r="CI21" s="34"/>
      <c r="CJ21" s="34"/>
      <c r="CK21" s="34"/>
      <c r="CL21" s="34"/>
      <c r="CM21" s="34"/>
      <c r="CN21" s="34"/>
      <c r="CO21" s="34"/>
      <c r="CP21" s="34"/>
      <c r="CQ21" s="34"/>
      <c r="CR21" s="34"/>
      <c r="CS21" s="34"/>
      <c r="CT21" s="34"/>
      <c r="CU21" s="34"/>
      <c r="CV21" s="34"/>
      <c r="CW21" s="34"/>
      <c r="CX21" s="34"/>
      <c r="CY21" s="34"/>
      <c r="CZ21" s="34"/>
      <c r="DA21" s="34"/>
      <c r="DB21" s="34"/>
      <c r="DC21" s="34"/>
      <c r="DD21" s="34"/>
      <c r="DE21" s="34"/>
      <c r="DF21" s="34"/>
      <c r="DG21" s="34"/>
      <c r="DH21" s="34"/>
      <c r="DI21" s="34"/>
      <c r="DJ21" s="34"/>
      <c r="DK21" s="34"/>
      <c r="DL21" s="34"/>
      <c r="DM21" s="34"/>
      <c r="DN21" s="34"/>
      <c r="DO21" s="34"/>
      <c r="DP21" s="34"/>
      <c r="DQ21" s="34"/>
      <c r="DR21" s="34"/>
      <c r="DS21" s="34"/>
      <c r="DT21" s="34"/>
      <c r="DU21" s="34"/>
      <c r="DV21" s="34"/>
      <c r="DW21" s="34"/>
      <c r="DX21" s="34"/>
      <c r="DY21" s="34"/>
      <c r="DZ21" s="34"/>
      <c r="EA21" s="34"/>
      <c r="EB21" s="34"/>
      <c r="EC21" s="34"/>
      <c r="ED21" s="34"/>
      <c r="EE21" s="34"/>
      <c r="EF21" s="34"/>
      <c r="EG21" s="34"/>
      <c r="EH21" s="34"/>
      <c r="EI21" s="34"/>
      <c r="EJ21" s="34"/>
      <c r="EK21" s="34"/>
      <c r="EL21" s="34"/>
      <c r="EM21" s="34"/>
      <c r="EN21" s="34"/>
      <c r="EO21" s="34"/>
      <c r="EP21" s="34"/>
      <c r="EQ21" s="34"/>
      <c r="ER21" s="34"/>
      <c r="ES21" s="34"/>
      <c r="ET21" s="34"/>
      <c r="EU21" s="34"/>
      <c r="EV21" s="34"/>
      <c r="EW21" s="34"/>
      <c r="EX21" s="34"/>
      <c r="EY21" s="34"/>
      <c r="EZ21" s="34"/>
      <c r="FA21" s="34"/>
      <c r="FB21" s="34"/>
      <c r="FC21" s="34"/>
      <c r="FD21" s="34"/>
      <c r="FE21" s="34"/>
      <c r="FF21" s="34"/>
      <c r="FG21" s="34"/>
      <c r="FH21" s="34"/>
      <c r="FI21" s="34"/>
      <c r="FJ21" s="34"/>
      <c r="FK21" s="34"/>
      <c r="FL21" s="34"/>
      <c r="FM21" s="34"/>
      <c r="FN21" s="34"/>
      <c r="FO21" s="34"/>
      <c r="FP21" s="34"/>
      <c r="FQ21" s="34"/>
      <c r="FR21" s="34"/>
      <c r="FS21" s="34"/>
      <c r="FT21" s="34"/>
      <c r="FU21" s="34"/>
      <c r="FV21" s="34"/>
      <c r="FW21" s="34"/>
      <c r="FX21" s="34"/>
      <c r="FY21" s="34"/>
      <c r="FZ21" s="34"/>
      <c r="GA21" s="34"/>
      <c r="GB21" s="34"/>
      <c r="GC21" s="34"/>
      <c r="GD21" s="34"/>
      <c r="GE21" s="34"/>
      <c r="GF21" s="34"/>
      <c r="GG21" s="34"/>
      <c r="GH21" s="34"/>
      <c r="GI21" s="34"/>
      <c r="GJ21" s="34"/>
      <c r="GK21" s="34"/>
      <c r="GL21" s="34"/>
      <c r="GM21" s="34"/>
      <c r="GN21" s="34"/>
      <c r="GO21" s="34"/>
    </row>
    <row r="22" spans="1:197" s="38" customFormat="1" ht="15" customHeight="1" x14ac:dyDescent="0.3">
      <c r="A22" s="34" t="s">
        <v>253</v>
      </c>
      <c r="B22" s="34">
        <v>130</v>
      </c>
      <c r="C22" s="34">
        <v>508</v>
      </c>
      <c r="D22" s="34">
        <v>638</v>
      </c>
      <c r="E22" s="34"/>
      <c r="F22" s="34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58"/>
      <c r="T22" s="58"/>
      <c r="U22" s="58"/>
      <c r="V22" s="58"/>
      <c r="W22" s="58"/>
      <c r="X22" s="58"/>
      <c r="Y22" s="58"/>
      <c r="Z22" s="58"/>
      <c r="AA22" s="58"/>
      <c r="AB22" s="58"/>
      <c r="AC22" s="58"/>
      <c r="AD22" s="58"/>
      <c r="AE22" s="58"/>
      <c r="AF22" s="34"/>
      <c r="AG22" s="34"/>
      <c r="AH22" s="34"/>
      <c r="AI22" s="34"/>
      <c r="AJ22" s="34"/>
      <c r="AK22" s="34"/>
      <c r="AL22" s="34"/>
      <c r="AM22" s="34"/>
      <c r="AN22" s="34"/>
      <c r="AO22" s="34"/>
      <c r="AP22" s="34"/>
      <c r="AQ22" s="34"/>
      <c r="AR22" s="34"/>
      <c r="AS22" s="34"/>
      <c r="AT22" s="34"/>
      <c r="AU22" s="34"/>
      <c r="AV22" s="34"/>
      <c r="AW22" s="34"/>
      <c r="AX22" s="34"/>
      <c r="AY22" s="34"/>
      <c r="AZ22" s="34"/>
      <c r="BA22" s="34"/>
      <c r="BB22" s="34"/>
      <c r="BC22" s="34"/>
      <c r="BD22" s="34"/>
      <c r="BE22" s="34"/>
      <c r="BF22" s="34"/>
      <c r="BG22" s="34"/>
      <c r="BH22" s="34"/>
      <c r="BI22" s="34"/>
      <c r="BJ22" s="34"/>
      <c r="BK22" s="34"/>
      <c r="BL22" s="34"/>
      <c r="BM22" s="34"/>
      <c r="BN22" s="34"/>
      <c r="BO22" s="34"/>
      <c r="BP22" s="34"/>
      <c r="BQ22" s="34"/>
      <c r="BR22" s="34"/>
      <c r="BS22" s="34"/>
      <c r="BT22" s="34"/>
      <c r="BU22" s="34"/>
      <c r="BV22" s="34"/>
      <c r="BW22" s="34"/>
      <c r="BX22" s="34"/>
      <c r="BY22" s="34"/>
      <c r="BZ22" s="34"/>
      <c r="CA22" s="34"/>
      <c r="CB22" s="34"/>
      <c r="CC22" s="34"/>
      <c r="CD22" s="34"/>
      <c r="CE22" s="34"/>
      <c r="CF22" s="34"/>
      <c r="CG22" s="34"/>
      <c r="CH22" s="34"/>
      <c r="CI22" s="34"/>
      <c r="CJ22" s="34"/>
      <c r="CK22" s="34"/>
      <c r="CL22" s="34"/>
      <c r="CM22" s="34"/>
      <c r="CN22" s="34"/>
      <c r="CO22" s="34"/>
      <c r="CP22" s="34"/>
      <c r="CQ22" s="34"/>
      <c r="CR22" s="34"/>
      <c r="CS22" s="34"/>
      <c r="CT22" s="34"/>
      <c r="CU22" s="34"/>
      <c r="CV22" s="34"/>
      <c r="CW22" s="34"/>
      <c r="CX22" s="34"/>
      <c r="CY22" s="34"/>
      <c r="CZ22" s="34"/>
      <c r="DA22" s="34"/>
      <c r="DB22" s="34"/>
      <c r="DC22" s="34"/>
      <c r="DD22" s="34"/>
      <c r="DE22" s="34"/>
      <c r="DF22" s="34"/>
      <c r="DG22" s="34"/>
      <c r="DH22" s="34"/>
      <c r="DI22" s="34"/>
      <c r="DJ22" s="34"/>
      <c r="DK22" s="34"/>
      <c r="DL22" s="34"/>
      <c r="DM22" s="34"/>
      <c r="DN22" s="34"/>
      <c r="DO22" s="34"/>
      <c r="DP22" s="34"/>
      <c r="DQ22" s="34"/>
      <c r="DR22" s="34"/>
      <c r="DS22" s="34"/>
      <c r="DT22" s="34"/>
      <c r="DU22" s="34"/>
      <c r="DV22" s="34"/>
      <c r="DW22" s="34"/>
      <c r="DX22" s="34"/>
      <c r="DY22" s="34"/>
      <c r="DZ22" s="34"/>
      <c r="EA22" s="34"/>
      <c r="EB22" s="34"/>
      <c r="EC22" s="34"/>
      <c r="ED22" s="34"/>
      <c r="EE22" s="34"/>
      <c r="EF22" s="34"/>
      <c r="EG22" s="34"/>
      <c r="EH22" s="34"/>
      <c r="EI22" s="34"/>
      <c r="EJ22" s="34"/>
      <c r="EK22" s="34"/>
      <c r="EL22" s="34"/>
      <c r="EM22" s="34"/>
      <c r="EN22" s="34"/>
      <c r="EO22" s="34"/>
      <c r="EP22" s="34"/>
      <c r="EQ22" s="34"/>
      <c r="ER22" s="34"/>
      <c r="ES22" s="34"/>
      <c r="ET22" s="34"/>
      <c r="EU22" s="34"/>
      <c r="EV22" s="34"/>
      <c r="EW22" s="34"/>
      <c r="EX22" s="34"/>
      <c r="EY22" s="34"/>
      <c r="EZ22" s="34"/>
      <c r="FA22" s="34"/>
      <c r="FB22" s="34"/>
      <c r="FC22" s="34"/>
      <c r="FD22" s="34"/>
      <c r="FE22" s="34"/>
      <c r="FF22" s="34"/>
      <c r="FG22" s="34"/>
      <c r="FH22" s="34"/>
      <c r="FI22" s="34"/>
      <c r="FJ22" s="34"/>
      <c r="FK22" s="34"/>
      <c r="FL22" s="34"/>
      <c r="FM22" s="34"/>
      <c r="FN22" s="34"/>
      <c r="FO22" s="34"/>
      <c r="FP22" s="34"/>
      <c r="FQ22" s="34"/>
      <c r="FR22" s="34"/>
      <c r="FS22" s="34"/>
      <c r="FT22" s="34"/>
      <c r="FU22" s="34"/>
      <c r="FV22" s="34"/>
      <c r="FW22" s="34"/>
      <c r="FX22" s="34"/>
      <c r="FY22" s="34"/>
      <c r="FZ22" s="34"/>
      <c r="GA22" s="34"/>
      <c r="GB22" s="34"/>
      <c r="GC22" s="34"/>
      <c r="GD22" s="34"/>
      <c r="GE22" s="34"/>
      <c r="GF22" s="34"/>
      <c r="GG22" s="34"/>
      <c r="GH22" s="34"/>
      <c r="GI22" s="34"/>
      <c r="GJ22" s="34"/>
      <c r="GK22" s="34"/>
      <c r="GL22" s="34"/>
      <c r="GM22" s="34"/>
      <c r="GN22" s="34"/>
      <c r="GO22" s="34"/>
    </row>
    <row r="23" spans="1:197" s="38" customFormat="1" ht="15" customHeight="1" x14ac:dyDescent="0.3">
      <c r="A23" s="34" t="s">
        <v>238</v>
      </c>
      <c r="B23" s="34">
        <v>57</v>
      </c>
      <c r="C23" s="34">
        <v>242</v>
      </c>
      <c r="D23" s="34">
        <v>299</v>
      </c>
      <c r="E23" s="34"/>
      <c r="F23" s="34"/>
      <c r="G23" s="34"/>
      <c r="H23" s="34"/>
      <c r="I23" s="34"/>
      <c r="J23" s="34"/>
      <c r="K23" s="34"/>
      <c r="L23" s="34"/>
      <c r="M23" s="34"/>
      <c r="N23" s="34"/>
      <c r="O23" s="34"/>
      <c r="P23" s="34"/>
      <c r="Q23" s="34"/>
      <c r="R23" s="34"/>
      <c r="S23" s="58"/>
      <c r="T23" s="58"/>
      <c r="U23" s="58"/>
      <c r="V23" s="58"/>
      <c r="W23" s="58"/>
      <c r="X23" s="58"/>
      <c r="Y23" s="58"/>
      <c r="Z23" s="58"/>
      <c r="AA23" s="58"/>
      <c r="AB23" s="58"/>
      <c r="AC23" s="58"/>
      <c r="AD23" s="58"/>
      <c r="AE23" s="58"/>
      <c r="AF23" s="34"/>
      <c r="AG23" s="34"/>
      <c r="AH23" s="34"/>
      <c r="AI23" s="34"/>
      <c r="AJ23" s="34"/>
      <c r="AK23" s="34"/>
      <c r="AL23" s="34"/>
      <c r="AM23" s="34"/>
      <c r="AN23" s="34"/>
      <c r="AO23" s="34"/>
      <c r="AP23" s="34"/>
      <c r="AQ23" s="34"/>
      <c r="AR23" s="34"/>
      <c r="AS23" s="34"/>
      <c r="AT23" s="34"/>
      <c r="AU23" s="34"/>
      <c r="AV23" s="34"/>
      <c r="AW23" s="34"/>
      <c r="AX23" s="34"/>
      <c r="AY23" s="34"/>
      <c r="AZ23" s="34"/>
      <c r="BA23" s="34"/>
      <c r="BB23" s="34"/>
      <c r="BC23" s="34"/>
      <c r="BD23" s="34"/>
      <c r="BE23" s="34"/>
      <c r="BF23" s="34"/>
      <c r="BG23" s="34"/>
      <c r="BH23" s="34"/>
      <c r="BI23" s="34"/>
      <c r="BJ23" s="34"/>
      <c r="BK23" s="34"/>
      <c r="BL23" s="34"/>
      <c r="BM23" s="34"/>
      <c r="BN23" s="34"/>
      <c r="BO23" s="34"/>
      <c r="BP23" s="34"/>
      <c r="BQ23" s="34"/>
      <c r="BR23" s="34"/>
      <c r="BS23" s="34"/>
      <c r="BT23" s="34"/>
      <c r="BU23" s="34"/>
      <c r="BV23" s="34"/>
      <c r="BW23" s="34"/>
      <c r="BX23" s="34"/>
      <c r="BY23" s="34"/>
      <c r="BZ23" s="34"/>
      <c r="CA23" s="34"/>
      <c r="CB23" s="34"/>
      <c r="CC23" s="34"/>
      <c r="CD23" s="34"/>
      <c r="CE23" s="34"/>
      <c r="CF23" s="34"/>
      <c r="CG23" s="34"/>
      <c r="CH23" s="34"/>
      <c r="CI23" s="34"/>
      <c r="CJ23" s="34"/>
      <c r="CK23" s="34"/>
      <c r="CL23" s="34"/>
      <c r="CM23" s="34"/>
      <c r="CN23" s="34"/>
      <c r="CO23" s="34"/>
      <c r="CP23" s="34"/>
      <c r="CQ23" s="34"/>
      <c r="CR23" s="34"/>
      <c r="CS23" s="34"/>
      <c r="CT23" s="34"/>
      <c r="CU23" s="34"/>
      <c r="CV23" s="34"/>
      <c r="CW23" s="34"/>
      <c r="CX23" s="34"/>
      <c r="CY23" s="34"/>
      <c r="CZ23" s="34"/>
      <c r="DA23" s="34"/>
      <c r="DB23" s="34"/>
      <c r="DC23" s="34"/>
      <c r="DD23" s="34"/>
      <c r="DE23" s="34"/>
      <c r="DF23" s="34"/>
      <c r="DG23" s="34"/>
      <c r="DH23" s="34"/>
      <c r="DI23" s="34"/>
      <c r="DJ23" s="34"/>
      <c r="DK23" s="34"/>
      <c r="DL23" s="34"/>
      <c r="DM23" s="34"/>
      <c r="DN23" s="34"/>
      <c r="DO23" s="34"/>
      <c r="DP23" s="34"/>
      <c r="DQ23" s="34"/>
      <c r="DR23" s="34"/>
      <c r="DS23" s="34"/>
      <c r="DT23" s="34"/>
      <c r="DU23" s="34"/>
      <c r="DV23" s="34"/>
      <c r="DW23" s="34"/>
      <c r="DX23" s="34"/>
      <c r="DY23" s="34"/>
      <c r="DZ23" s="34"/>
      <c r="EA23" s="34"/>
      <c r="EB23" s="34"/>
      <c r="EC23" s="34"/>
      <c r="ED23" s="34"/>
      <c r="EE23" s="34"/>
      <c r="EF23" s="34"/>
      <c r="EG23" s="34"/>
      <c r="EH23" s="34"/>
      <c r="EI23" s="34"/>
      <c r="EJ23" s="34"/>
      <c r="EK23" s="34"/>
      <c r="EL23" s="34"/>
      <c r="EM23" s="34"/>
      <c r="EN23" s="34"/>
      <c r="EO23" s="34"/>
      <c r="EP23" s="34"/>
      <c r="EQ23" s="34"/>
      <c r="ER23" s="34"/>
      <c r="ES23" s="34"/>
      <c r="ET23" s="34"/>
      <c r="EU23" s="34"/>
      <c r="EV23" s="34"/>
      <c r="EW23" s="34"/>
      <c r="EX23" s="34"/>
      <c r="EY23" s="34"/>
      <c r="EZ23" s="34"/>
      <c r="FA23" s="34"/>
      <c r="FB23" s="34"/>
      <c r="FC23" s="34"/>
      <c r="FD23" s="34"/>
      <c r="FE23" s="34"/>
      <c r="FF23" s="34"/>
      <c r="FG23" s="34"/>
      <c r="FH23" s="34"/>
      <c r="FI23" s="34"/>
      <c r="FJ23" s="34"/>
      <c r="FK23" s="34"/>
      <c r="FL23" s="34"/>
      <c r="FM23" s="34"/>
      <c r="FN23" s="34"/>
      <c r="FO23" s="34"/>
      <c r="FP23" s="34"/>
      <c r="FQ23" s="34"/>
      <c r="FR23" s="34"/>
      <c r="FS23" s="34"/>
      <c r="FT23" s="34"/>
      <c r="FU23" s="34"/>
      <c r="FV23" s="34"/>
      <c r="FW23" s="34"/>
      <c r="FX23" s="34"/>
      <c r="FY23" s="34"/>
      <c r="FZ23" s="34"/>
      <c r="GA23" s="34"/>
      <c r="GB23" s="34"/>
      <c r="GC23" s="34"/>
      <c r="GD23" s="34"/>
      <c r="GE23" s="34"/>
      <c r="GF23" s="34"/>
      <c r="GG23" s="34"/>
      <c r="GH23" s="34"/>
      <c r="GI23" s="34"/>
      <c r="GJ23" s="34"/>
      <c r="GK23" s="34"/>
      <c r="GL23" s="34"/>
      <c r="GM23" s="34"/>
      <c r="GN23" s="34"/>
      <c r="GO23" s="34"/>
    </row>
    <row r="24" spans="1:197" s="38" customFormat="1" ht="15" customHeight="1" x14ac:dyDescent="0.3">
      <c r="A24" s="34" t="s">
        <v>252</v>
      </c>
      <c r="B24" s="34">
        <v>127</v>
      </c>
      <c r="C24" s="34">
        <v>474</v>
      </c>
      <c r="D24" s="34">
        <v>601</v>
      </c>
      <c r="E24" s="34"/>
      <c r="F24" s="34"/>
      <c r="G24" s="34"/>
      <c r="H24" s="34"/>
      <c r="I24" s="34"/>
      <c r="J24" s="34"/>
      <c r="K24" s="34"/>
      <c r="L24" s="34"/>
      <c r="M24" s="34"/>
      <c r="N24" s="34"/>
      <c r="O24" s="34"/>
      <c r="P24" s="34"/>
      <c r="Q24" s="34"/>
      <c r="R24" s="34"/>
      <c r="S24" s="58"/>
      <c r="T24" s="58"/>
      <c r="U24" s="58"/>
      <c r="V24" s="58"/>
      <c r="W24" s="58"/>
      <c r="X24" s="58"/>
      <c r="Y24" s="58"/>
      <c r="Z24" s="58"/>
      <c r="AA24" s="58"/>
      <c r="AB24" s="58"/>
      <c r="AC24" s="58"/>
      <c r="AD24" s="58"/>
      <c r="AE24" s="58"/>
      <c r="AF24" s="34"/>
      <c r="AG24" s="34"/>
      <c r="AH24" s="34"/>
      <c r="AI24" s="34"/>
      <c r="AJ24" s="34"/>
      <c r="AK24" s="34"/>
      <c r="AL24" s="34"/>
      <c r="AM24" s="34"/>
      <c r="AN24" s="34"/>
      <c r="AO24" s="34"/>
      <c r="AP24" s="34"/>
      <c r="AQ24" s="34"/>
      <c r="AR24" s="34"/>
      <c r="AS24" s="34"/>
      <c r="AT24" s="34"/>
      <c r="AU24" s="34"/>
      <c r="AV24" s="34"/>
      <c r="AW24" s="34"/>
      <c r="AX24" s="34"/>
      <c r="AY24" s="34"/>
      <c r="AZ24" s="34"/>
      <c r="BA24" s="34"/>
      <c r="BB24" s="34"/>
      <c r="BC24" s="34"/>
      <c r="BD24" s="34"/>
      <c r="BE24" s="34"/>
      <c r="BF24" s="34"/>
      <c r="BG24" s="34"/>
      <c r="BH24" s="34"/>
      <c r="BI24" s="34"/>
      <c r="BJ24" s="34"/>
      <c r="BK24" s="34"/>
      <c r="BL24" s="34"/>
      <c r="BM24" s="34"/>
      <c r="BN24" s="34"/>
      <c r="BO24" s="34"/>
      <c r="BP24" s="34"/>
      <c r="BQ24" s="34"/>
      <c r="BR24" s="34"/>
      <c r="BS24" s="34"/>
      <c r="BT24" s="34"/>
      <c r="BU24" s="34"/>
      <c r="BV24" s="34"/>
      <c r="BW24" s="34"/>
      <c r="BX24" s="34"/>
      <c r="BY24" s="34"/>
      <c r="BZ24" s="34"/>
      <c r="CA24" s="34"/>
      <c r="CB24" s="34"/>
      <c r="CC24" s="34"/>
      <c r="CD24" s="34"/>
      <c r="CE24" s="34"/>
      <c r="CF24" s="34"/>
      <c r="CG24" s="34"/>
      <c r="CH24" s="34"/>
      <c r="CI24" s="34"/>
      <c r="CJ24" s="34"/>
      <c r="CK24" s="34"/>
      <c r="CL24" s="34"/>
      <c r="CM24" s="34"/>
      <c r="CN24" s="34"/>
      <c r="CO24" s="34"/>
      <c r="CP24" s="34"/>
      <c r="CQ24" s="34"/>
      <c r="CR24" s="34"/>
      <c r="CS24" s="34"/>
      <c r="CT24" s="34"/>
      <c r="CU24" s="34"/>
      <c r="CV24" s="34"/>
      <c r="CW24" s="34"/>
      <c r="CX24" s="34"/>
      <c r="CY24" s="34"/>
      <c r="CZ24" s="34"/>
      <c r="DA24" s="34"/>
      <c r="DB24" s="34"/>
      <c r="DC24" s="34"/>
      <c r="DD24" s="34"/>
      <c r="DE24" s="34"/>
      <c r="DF24" s="34"/>
      <c r="DG24" s="34"/>
      <c r="DH24" s="34"/>
      <c r="DI24" s="34"/>
      <c r="DJ24" s="34"/>
      <c r="DK24" s="34"/>
      <c r="DL24" s="34"/>
      <c r="DM24" s="34"/>
      <c r="DN24" s="34"/>
      <c r="DO24" s="34"/>
      <c r="DP24" s="34"/>
      <c r="DQ24" s="34"/>
      <c r="DR24" s="34"/>
      <c r="DS24" s="34"/>
      <c r="DT24" s="34"/>
      <c r="DU24" s="34"/>
      <c r="DV24" s="34"/>
      <c r="DW24" s="34"/>
      <c r="DX24" s="34"/>
      <c r="DY24" s="34"/>
      <c r="DZ24" s="34"/>
      <c r="EA24" s="34"/>
      <c r="EB24" s="34"/>
      <c r="EC24" s="34"/>
      <c r="ED24" s="34"/>
      <c r="EE24" s="34"/>
      <c r="EF24" s="34"/>
      <c r="EG24" s="34"/>
      <c r="EH24" s="34"/>
      <c r="EI24" s="34"/>
      <c r="EJ24" s="34"/>
      <c r="EK24" s="34"/>
      <c r="EL24" s="34"/>
      <c r="EM24" s="34"/>
      <c r="EN24" s="34"/>
      <c r="EO24" s="34"/>
      <c r="EP24" s="34"/>
      <c r="EQ24" s="34"/>
      <c r="ER24" s="34"/>
      <c r="ES24" s="34"/>
      <c r="ET24" s="34"/>
      <c r="EU24" s="34"/>
      <c r="EV24" s="34"/>
      <c r="EW24" s="34"/>
      <c r="EX24" s="34"/>
      <c r="EY24" s="34"/>
      <c r="EZ24" s="34"/>
      <c r="FA24" s="34"/>
      <c r="FB24" s="34"/>
      <c r="FC24" s="34"/>
      <c r="FD24" s="34"/>
      <c r="FE24" s="34"/>
      <c r="FF24" s="34"/>
      <c r="FG24" s="34"/>
      <c r="FH24" s="34"/>
      <c r="FI24" s="34"/>
      <c r="FJ24" s="34"/>
      <c r="FK24" s="34"/>
      <c r="FL24" s="34"/>
      <c r="FM24" s="34"/>
      <c r="FN24" s="34"/>
      <c r="FO24" s="34"/>
      <c r="FP24" s="34"/>
      <c r="FQ24" s="34"/>
      <c r="FR24" s="34"/>
      <c r="FS24" s="34"/>
      <c r="FT24" s="34"/>
      <c r="FU24" s="34"/>
      <c r="FV24" s="34"/>
      <c r="FW24" s="34"/>
      <c r="FX24" s="34"/>
      <c r="FY24" s="34"/>
      <c r="FZ24" s="34"/>
      <c r="GA24" s="34"/>
      <c r="GB24" s="34"/>
      <c r="GC24" s="34"/>
      <c r="GD24" s="34"/>
      <c r="GE24" s="34"/>
      <c r="GF24" s="34"/>
      <c r="GG24" s="34"/>
      <c r="GH24" s="34"/>
      <c r="GI24" s="34"/>
      <c r="GJ24" s="34"/>
      <c r="GK24" s="34"/>
      <c r="GL24" s="34"/>
      <c r="GM24" s="34"/>
      <c r="GN24" s="34"/>
      <c r="GO24" s="34"/>
    </row>
    <row r="25" spans="1:197" s="38" customFormat="1" ht="15" customHeight="1" x14ac:dyDescent="0.3">
      <c r="A25" s="34" t="s">
        <v>251</v>
      </c>
      <c r="B25" s="34">
        <v>110</v>
      </c>
      <c r="C25" s="34">
        <v>461</v>
      </c>
      <c r="D25" s="34">
        <v>571</v>
      </c>
      <c r="E25" s="34"/>
      <c r="F25" s="34"/>
      <c r="G25" s="34"/>
      <c r="H25" s="34"/>
      <c r="I25" s="34"/>
      <c r="J25" s="34"/>
      <c r="K25" s="34"/>
      <c r="L25" s="34"/>
      <c r="M25" s="34"/>
      <c r="N25" s="34"/>
      <c r="O25" s="34"/>
      <c r="P25" s="34"/>
      <c r="Q25" s="34"/>
      <c r="R25" s="34"/>
      <c r="S25" s="58"/>
      <c r="T25" s="58"/>
      <c r="U25" s="58"/>
      <c r="V25" s="58"/>
      <c r="W25" s="58"/>
      <c r="X25" s="58"/>
      <c r="Y25" s="58"/>
      <c r="Z25" s="58"/>
      <c r="AA25" s="58"/>
      <c r="AB25" s="58"/>
      <c r="AC25" s="58"/>
      <c r="AD25" s="58"/>
      <c r="AE25" s="58"/>
      <c r="AF25" s="34"/>
      <c r="AG25" s="34"/>
      <c r="AH25" s="34"/>
      <c r="AI25" s="34"/>
      <c r="AJ25" s="34"/>
      <c r="AK25" s="34"/>
      <c r="AL25" s="34"/>
      <c r="AM25" s="34"/>
      <c r="AN25" s="34"/>
      <c r="AO25" s="34"/>
      <c r="AP25" s="34"/>
      <c r="AQ25" s="34"/>
      <c r="AR25" s="34"/>
      <c r="AS25" s="34"/>
      <c r="AT25" s="34"/>
      <c r="AU25" s="34"/>
      <c r="AV25" s="34"/>
      <c r="AW25" s="34"/>
      <c r="AX25" s="34"/>
      <c r="AY25" s="34"/>
      <c r="AZ25" s="34"/>
      <c r="BA25" s="34"/>
      <c r="BB25" s="34"/>
      <c r="BC25" s="34"/>
      <c r="BD25" s="34"/>
      <c r="BE25" s="34"/>
      <c r="BF25" s="34"/>
      <c r="BG25" s="34"/>
      <c r="BH25" s="34"/>
      <c r="BI25" s="34"/>
      <c r="BJ25" s="34"/>
      <c r="BK25" s="34"/>
      <c r="BL25" s="34"/>
      <c r="BM25" s="34"/>
      <c r="BN25" s="34"/>
      <c r="BO25" s="34"/>
      <c r="BP25" s="34"/>
      <c r="BQ25" s="34"/>
      <c r="BR25" s="34"/>
      <c r="BS25" s="34"/>
      <c r="BT25" s="34"/>
      <c r="BU25" s="34"/>
      <c r="BV25" s="34"/>
      <c r="BW25" s="34"/>
      <c r="BX25" s="34"/>
      <c r="BY25" s="34"/>
      <c r="BZ25" s="34"/>
      <c r="CA25" s="34"/>
      <c r="CB25" s="34"/>
      <c r="CC25" s="34"/>
      <c r="CD25" s="34"/>
      <c r="CE25" s="34"/>
      <c r="CF25" s="34"/>
      <c r="CG25" s="34"/>
      <c r="CH25" s="34"/>
      <c r="CI25" s="34"/>
      <c r="CJ25" s="34"/>
      <c r="CK25" s="34"/>
      <c r="CL25" s="34"/>
      <c r="CM25" s="34"/>
      <c r="CN25" s="34"/>
      <c r="CO25" s="34"/>
      <c r="CP25" s="34"/>
      <c r="CQ25" s="34"/>
      <c r="CR25" s="34"/>
      <c r="CS25" s="34"/>
      <c r="CT25" s="34"/>
      <c r="CU25" s="34"/>
      <c r="CV25" s="34"/>
      <c r="CW25" s="34"/>
      <c r="CX25" s="34"/>
      <c r="CY25" s="34"/>
      <c r="CZ25" s="34"/>
      <c r="DA25" s="34"/>
      <c r="DB25" s="34"/>
      <c r="DC25" s="34"/>
      <c r="DD25" s="34"/>
      <c r="DE25" s="34"/>
      <c r="DF25" s="34"/>
      <c r="DG25" s="34"/>
      <c r="DH25" s="34"/>
      <c r="DI25" s="34"/>
      <c r="DJ25" s="34"/>
      <c r="DK25" s="34"/>
      <c r="DL25" s="34"/>
      <c r="DM25" s="34"/>
      <c r="DN25" s="34"/>
      <c r="DO25" s="34"/>
      <c r="DP25" s="34"/>
      <c r="DQ25" s="34"/>
      <c r="DR25" s="34"/>
      <c r="DS25" s="34"/>
      <c r="DT25" s="34"/>
      <c r="DU25" s="34"/>
      <c r="DV25" s="34"/>
      <c r="DW25" s="34"/>
      <c r="DX25" s="34"/>
      <c r="DY25" s="34"/>
      <c r="DZ25" s="34"/>
      <c r="EA25" s="34"/>
      <c r="EB25" s="34"/>
      <c r="EC25" s="34"/>
      <c r="ED25" s="34"/>
      <c r="EE25" s="34"/>
      <c r="EF25" s="34"/>
      <c r="EG25" s="34"/>
      <c r="EH25" s="34"/>
      <c r="EI25" s="34"/>
      <c r="EJ25" s="34"/>
      <c r="EK25" s="34"/>
      <c r="EL25" s="34"/>
      <c r="EM25" s="34"/>
      <c r="EN25" s="34"/>
      <c r="EO25" s="34"/>
      <c r="EP25" s="34"/>
      <c r="EQ25" s="34"/>
      <c r="ER25" s="34"/>
      <c r="ES25" s="34"/>
      <c r="ET25" s="34"/>
      <c r="EU25" s="34"/>
      <c r="EV25" s="34"/>
      <c r="EW25" s="34"/>
      <c r="EX25" s="34"/>
      <c r="EY25" s="34"/>
      <c r="EZ25" s="34"/>
      <c r="FA25" s="34"/>
      <c r="FB25" s="34"/>
      <c r="FC25" s="34"/>
      <c r="FD25" s="34"/>
      <c r="FE25" s="34"/>
      <c r="FF25" s="34"/>
      <c r="FG25" s="34"/>
      <c r="FH25" s="34"/>
      <c r="FI25" s="34"/>
      <c r="FJ25" s="34"/>
      <c r="FK25" s="34"/>
      <c r="FL25" s="34"/>
      <c r="FM25" s="34"/>
      <c r="FN25" s="34"/>
      <c r="FO25" s="34"/>
      <c r="FP25" s="34"/>
      <c r="FQ25" s="34"/>
      <c r="FR25" s="34"/>
      <c r="FS25" s="34"/>
      <c r="FT25" s="34"/>
      <c r="FU25" s="34"/>
      <c r="FV25" s="34"/>
      <c r="FW25" s="34"/>
      <c r="FX25" s="34"/>
      <c r="FY25" s="34"/>
      <c r="FZ25" s="34"/>
      <c r="GA25" s="34"/>
      <c r="GB25" s="34"/>
      <c r="GC25" s="34"/>
      <c r="GD25" s="34"/>
      <c r="GE25" s="34"/>
      <c r="GF25" s="34"/>
      <c r="GG25" s="34"/>
      <c r="GH25" s="34"/>
      <c r="GI25" s="34"/>
      <c r="GJ25" s="34"/>
      <c r="GK25" s="34"/>
      <c r="GL25" s="34"/>
      <c r="GM25" s="34"/>
      <c r="GN25" s="34"/>
      <c r="GO25" s="34"/>
    </row>
    <row r="26" spans="1:197" s="38" customFormat="1" ht="15" customHeight="1" x14ac:dyDescent="0.3">
      <c r="A26" s="34" t="s">
        <v>241</v>
      </c>
      <c r="B26" s="34">
        <v>122</v>
      </c>
      <c r="C26" s="34">
        <v>476</v>
      </c>
      <c r="D26" s="34">
        <v>598</v>
      </c>
      <c r="E26" s="34"/>
      <c r="F26" s="34"/>
      <c r="G26" s="34"/>
      <c r="H26" s="34"/>
      <c r="I26" s="34"/>
      <c r="J26" s="34"/>
      <c r="K26" s="34"/>
      <c r="L26" s="34"/>
      <c r="M26" s="34"/>
      <c r="N26" s="34"/>
      <c r="O26" s="34"/>
      <c r="P26" s="34"/>
      <c r="Q26" s="34"/>
      <c r="R26" s="34"/>
      <c r="S26" s="58"/>
      <c r="T26" s="58"/>
      <c r="U26" s="58"/>
      <c r="V26" s="58"/>
      <c r="W26" s="58"/>
      <c r="X26" s="58"/>
      <c r="Y26" s="58"/>
      <c r="Z26" s="58"/>
      <c r="AA26" s="58"/>
      <c r="AB26" s="58"/>
      <c r="AC26" s="58"/>
      <c r="AD26" s="58"/>
      <c r="AE26" s="58"/>
      <c r="AF26" s="34"/>
      <c r="AG26" s="34"/>
      <c r="AH26" s="34"/>
      <c r="AI26" s="34"/>
      <c r="AJ26" s="34"/>
      <c r="AK26" s="34"/>
      <c r="AL26" s="34"/>
      <c r="AM26" s="34"/>
      <c r="AN26" s="34"/>
      <c r="AO26" s="34"/>
      <c r="AP26" s="34"/>
      <c r="AQ26" s="34"/>
      <c r="AR26" s="34"/>
      <c r="AS26" s="34"/>
      <c r="AT26" s="34"/>
      <c r="AU26" s="34"/>
      <c r="AV26" s="34"/>
      <c r="AW26" s="34"/>
      <c r="AX26" s="34"/>
      <c r="AY26" s="34"/>
      <c r="AZ26" s="34"/>
      <c r="BA26" s="34"/>
      <c r="BB26" s="34"/>
      <c r="BC26" s="34"/>
      <c r="BD26" s="34"/>
      <c r="BE26" s="34"/>
      <c r="BF26" s="34"/>
      <c r="BG26" s="34"/>
      <c r="BH26" s="34"/>
      <c r="BI26" s="34"/>
      <c r="BJ26" s="34"/>
      <c r="BK26" s="34"/>
      <c r="BL26" s="34"/>
      <c r="BM26" s="34"/>
      <c r="BN26" s="34"/>
      <c r="BO26" s="34"/>
      <c r="BP26" s="34"/>
      <c r="BQ26" s="34"/>
      <c r="BR26" s="34"/>
      <c r="BS26" s="34"/>
      <c r="BT26" s="34"/>
      <c r="BU26" s="34"/>
      <c r="BV26" s="34"/>
      <c r="BW26" s="34"/>
      <c r="BX26" s="34"/>
      <c r="BY26" s="34"/>
      <c r="BZ26" s="34"/>
      <c r="CA26" s="34"/>
      <c r="CB26" s="34"/>
      <c r="CC26" s="34"/>
      <c r="CD26" s="34"/>
      <c r="CE26" s="34"/>
      <c r="CF26" s="34"/>
      <c r="CG26" s="34"/>
      <c r="CH26" s="34"/>
      <c r="CI26" s="34"/>
      <c r="CJ26" s="34"/>
      <c r="CK26" s="34"/>
      <c r="CL26" s="34"/>
      <c r="CM26" s="34"/>
      <c r="CN26" s="34"/>
      <c r="CO26" s="34"/>
      <c r="CP26" s="34"/>
      <c r="CQ26" s="34"/>
      <c r="CR26" s="34"/>
      <c r="CS26" s="34"/>
      <c r="CT26" s="34"/>
      <c r="CU26" s="34"/>
      <c r="CV26" s="34"/>
      <c r="CW26" s="34"/>
      <c r="CX26" s="34"/>
      <c r="CY26" s="34"/>
      <c r="CZ26" s="34"/>
      <c r="DA26" s="34"/>
      <c r="DB26" s="34"/>
      <c r="DC26" s="34"/>
      <c r="DD26" s="34"/>
      <c r="DE26" s="34"/>
      <c r="DF26" s="34"/>
      <c r="DG26" s="34"/>
      <c r="DH26" s="34"/>
      <c r="DI26" s="34"/>
      <c r="DJ26" s="34"/>
      <c r="DK26" s="34"/>
      <c r="DL26" s="34"/>
      <c r="DM26" s="34"/>
      <c r="DN26" s="34"/>
      <c r="DO26" s="34"/>
      <c r="DP26" s="34"/>
      <c r="DQ26" s="34"/>
      <c r="DR26" s="34"/>
      <c r="DS26" s="34"/>
      <c r="DT26" s="34"/>
      <c r="DU26" s="34"/>
      <c r="DV26" s="34"/>
      <c r="DW26" s="34"/>
      <c r="DX26" s="34"/>
      <c r="DY26" s="34"/>
      <c r="DZ26" s="34"/>
      <c r="EA26" s="34"/>
      <c r="EB26" s="34"/>
      <c r="EC26" s="34"/>
      <c r="ED26" s="34"/>
      <c r="EE26" s="34"/>
      <c r="EF26" s="34"/>
      <c r="EG26" s="34"/>
      <c r="EH26" s="34"/>
      <c r="EI26" s="34"/>
      <c r="EJ26" s="34"/>
      <c r="EK26" s="34"/>
      <c r="EL26" s="34"/>
      <c r="EM26" s="34"/>
      <c r="EN26" s="34"/>
      <c r="EO26" s="34"/>
      <c r="EP26" s="34"/>
      <c r="EQ26" s="34"/>
      <c r="ER26" s="34"/>
      <c r="ES26" s="34"/>
      <c r="ET26" s="34"/>
      <c r="EU26" s="34"/>
      <c r="EV26" s="34"/>
      <c r="EW26" s="34"/>
      <c r="EX26" s="34"/>
      <c r="EY26" s="34"/>
      <c r="EZ26" s="34"/>
      <c r="FA26" s="34"/>
      <c r="FB26" s="34"/>
      <c r="FC26" s="34"/>
      <c r="FD26" s="34"/>
      <c r="FE26" s="34"/>
      <c r="FF26" s="34"/>
      <c r="FG26" s="34"/>
      <c r="FH26" s="34"/>
      <c r="FI26" s="34"/>
      <c r="FJ26" s="34"/>
      <c r="FK26" s="34"/>
      <c r="FL26" s="34"/>
      <c r="FM26" s="34"/>
      <c r="FN26" s="34"/>
      <c r="FO26" s="34"/>
      <c r="FP26" s="34"/>
      <c r="FQ26" s="34"/>
      <c r="FR26" s="34"/>
      <c r="FS26" s="34"/>
      <c r="FT26" s="34"/>
      <c r="FU26" s="34"/>
      <c r="FV26" s="34"/>
      <c r="FW26" s="34"/>
      <c r="FX26" s="34"/>
      <c r="FY26" s="34"/>
      <c r="FZ26" s="34"/>
      <c r="GA26" s="34"/>
      <c r="GB26" s="34"/>
      <c r="GC26" s="34"/>
      <c r="GD26" s="34"/>
      <c r="GE26" s="34"/>
      <c r="GF26" s="34"/>
      <c r="GG26" s="34"/>
      <c r="GH26" s="34"/>
      <c r="GI26" s="34"/>
      <c r="GJ26" s="34"/>
      <c r="GK26" s="34"/>
      <c r="GL26" s="34"/>
      <c r="GM26" s="34"/>
      <c r="GN26" s="34"/>
      <c r="GO26" s="34"/>
    </row>
    <row r="27" spans="1:197" s="38" customFormat="1" ht="15" customHeight="1" x14ac:dyDescent="0.3">
      <c r="A27" s="34" t="s">
        <v>237</v>
      </c>
      <c r="B27" s="34">
        <v>74</v>
      </c>
      <c r="C27" s="34">
        <v>249</v>
      </c>
      <c r="D27" s="34">
        <v>323</v>
      </c>
      <c r="E27" s="34"/>
      <c r="F27" s="34"/>
      <c r="G27" s="34"/>
      <c r="H27" s="34"/>
      <c r="I27" s="34"/>
      <c r="J27" s="34"/>
      <c r="K27" s="34"/>
      <c r="L27" s="34"/>
      <c r="M27" s="34"/>
      <c r="N27" s="34"/>
      <c r="O27" s="34"/>
      <c r="P27" s="34"/>
      <c r="Q27" s="34"/>
      <c r="R27" s="34"/>
      <c r="S27" s="58"/>
      <c r="T27" s="58"/>
      <c r="U27" s="58"/>
      <c r="V27" s="58"/>
      <c r="W27" s="58"/>
      <c r="X27" s="58"/>
      <c r="Y27" s="58"/>
      <c r="Z27" s="58"/>
      <c r="AA27" s="58"/>
      <c r="AB27" s="58"/>
      <c r="AC27" s="58"/>
      <c r="AD27" s="58"/>
      <c r="AE27" s="58"/>
      <c r="AF27" s="34"/>
      <c r="AG27" s="34"/>
      <c r="AH27" s="34"/>
      <c r="AI27" s="34"/>
      <c r="AJ27" s="34"/>
      <c r="AK27" s="34"/>
      <c r="AL27" s="34"/>
      <c r="AM27" s="34"/>
      <c r="AN27" s="34"/>
      <c r="AO27" s="34"/>
      <c r="AP27" s="34"/>
      <c r="AQ27" s="34"/>
      <c r="AR27" s="34"/>
      <c r="AS27" s="34"/>
      <c r="AT27" s="34"/>
      <c r="AU27" s="34"/>
      <c r="AV27" s="34"/>
      <c r="AW27" s="34"/>
      <c r="AX27" s="34"/>
      <c r="AY27" s="34"/>
      <c r="AZ27" s="34"/>
      <c r="BA27" s="34"/>
      <c r="BB27" s="34"/>
      <c r="BC27" s="34"/>
      <c r="BD27" s="34"/>
      <c r="BE27" s="34"/>
      <c r="BF27" s="34"/>
      <c r="BG27" s="34"/>
      <c r="BH27" s="34"/>
      <c r="BI27" s="34"/>
      <c r="BJ27" s="34"/>
      <c r="BK27" s="34"/>
      <c r="BL27" s="34"/>
      <c r="BM27" s="34"/>
      <c r="BN27" s="34"/>
      <c r="BO27" s="34"/>
      <c r="BP27" s="34"/>
      <c r="BQ27" s="34"/>
      <c r="BR27" s="34"/>
      <c r="BS27" s="34"/>
      <c r="BT27" s="34"/>
      <c r="BU27" s="34"/>
      <c r="BV27" s="34"/>
      <c r="BW27" s="34"/>
      <c r="BX27" s="34"/>
      <c r="BY27" s="34"/>
      <c r="BZ27" s="34"/>
      <c r="CA27" s="34"/>
      <c r="CB27" s="34"/>
      <c r="CC27" s="34"/>
      <c r="CD27" s="34"/>
      <c r="CE27" s="34"/>
      <c r="CF27" s="34"/>
      <c r="CG27" s="34"/>
      <c r="CH27" s="34"/>
      <c r="CI27" s="34"/>
      <c r="CJ27" s="34"/>
      <c r="CK27" s="34"/>
      <c r="CL27" s="34"/>
      <c r="CM27" s="34"/>
      <c r="CN27" s="34"/>
      <c r="CO27" s="34"/>
      <c r="CP27" s="34"/>
      <c r="CQ27" s="34"/>
      <c r="CR27" s="34"/>
      <c r="CS27" s="34"/>
      <c r="CT27" s="34"/>
      <c r="CU27" s="34"/>
      <c r="CV27" s="34"/>
      <c r="CW27" s="34"/>
      <c r="CX27" s="34"/>
      <c r="CY27" s="34"/>
      <c r="CZ27" s="34"/>
      <c r="DA27" s="34"/>
      <c r="DB27" s="34"/>
      <c r="DC27" s="34"/>
      <c r="DD27" s="34"/>
      <c r="DE27" s="34"/>
      <c r="DF27" s="34"/>
      <c r="DG27" s="34"/>
      <c r="DH27" s="34"/>
      <c r="DI27" s="34"/>
      <c r="DJ27" s="34"/>
      <c r="DK27" s="34"/>
      <c r="DL27" s="34"/>
      <c r="DM27" s="34"/>
      <c r="DN27" s="34"/>
      <c r="DO27" s="34"/>
      <c r="DP27" s="34"/>
      <c r="DQ27" s="34"/>
      <c r="DR27" s="34"/>
      <c r="DS27" s="34"/>
      <c r="DT27" s="34"/>
      <c r="DU27" s="34"/>
      <c r="DV27" s="34"/>
      <c r="DW27" s="34"/>
      <c r="DX27" s="34"/>
      <c r="DY27" s="34"/>
      <c r="DZ27" s="34"/>
      <c r="EA27" s="34"/>
      <c r="EB27" s="34"/>
      <c r="EC27" s="34"/>
      <c r="ED27" s="34"/>
      <c r="EE27" s="34"/>
      <c r="EF27" s="34"/>
      <c r="EG27" s="34"/>
      <c r="EH27" s="34"/>
      <c r="EI27" s="34"/>
      <c r="EJ27" s="34"/>
      <c r="EK27" s="34"/>
      <c r="EL27" s="34"/>
      <c r="EM27" s="34"/>
      <c r="EN27" s="34"/>
      <c r="EO27" s="34"/>
      <c r="EP27" s="34"/>
      <c r="EQ27" s="34"/>
      <c r="ER27" s="34"/>
      <c r="ES27" s="34"/>
      <c r="ET27" s="34"/>
      <c r="EU27" s="34"/>
      <c r="EV27" s="34"/>
      <c r="EW27" s="34"/>
      <c r="EX27" s="34"/>
      <c r="EY27" s="34"/>
      <c r="EZ27" s="34"/>
      <c r="FA27" s="34"/>
      <c r="FB27" s="34"/>
      <c r="FC27" s="34"/>
      <c r="FD27" s="34"/>
      <c r="FE27" s="34"/>
      <c r="FF27" s="34"/>
      <c r="FG27" s="34"/>
      <c r="FH27" s="34"/>
      <c r="FI27" s="34"/>
      <c r="FJ27" s="34"/>
      <c r="FK27" s="34"/>
      <c r="FL27" s="34"/>
      <c r="FM27" s="34"/>
      <c r="FN27" s="34"/>
      <c r="FO27" s="34"/>
      <c r="FP27" s="34"/>
      <c r="FQ27" s="34"/>
      <c r="FR27" s="34"/>
      <c r="FS27" s="34"/>
      <c r="FT27" s="34"/>
      <c r="FU27" s="34"/>
      <c r="FV27" s="34"/>
      <c r="FW27" s="34"/>
      <c r="FX27" s="34"/>
      <c r="FY27" s="34"/>
      <c r="FZ27" s="34"/>
      <c r="GA27" s="34"/>
      <c r="GB27" s="34"/>
      <c r="GC27" s="34"/>
      <c r="GD27" s="34"/>
      <c r="GE27" s="34"/>
      <c r="GF27" s="34"/>
      <c r="GG27" s="34"/>
      <c r="GH27" s="34"/>
      <c r="GI27" s="34"/>
      <c r="GJ27" s="34"/>
      <c r="GK27" s="34"/>
      <c r="GL27" s="34"/>
      <c r="GM27" s="34"/>
      <c r="GN27" s="34"/>
      <c r="GO27" s="34"/>
    </row>
    <row r="28" spans="1:197" s="38" customFormat="1" ht="15" customHeight="1" x14ac:dyDescent="0.3">
      <c r="A28" s="34" t="s">
        <v>247</v>
      </c>
      <c r="B28" s="34">
        <v>66</v>
      </c>
      <c r="C28" s="34">
        <v>314</v>
      </c>
      <c r="D28" s="34">
        <v>380</v>
      </c>
      <c r="E28" s="34"/>
      <c r="F28" s="34"/>
      <c r="G28" s="34"/>
      <c r="H28" s="34"/>
      <c r="I28" s="34"/>
      <c r="J28" s="34"/>
      <c r="K28" s="34"/>
      <c r="L28" s="34"/>
      <c r="M28" s="34"/>
      <c r="N28" s="34"/>
      <c r="O28" s="34"/>
      <c r="P28" s="34"/>
      <c r="Q28" s="34"/>
      <c r="R28" s="34"/>
      <c r="S28" s="58"/>
      <c r="T28" s="58"/>
      <c r="U28" s="58"/>
      <c r="V28" s="58"/>
      <c r="W28" s="58"/>
      <c r="X28" s="58"/>
      <c r="Y28" s="58"/>
      <c r="Z28" s="58"/>
      <c r="AA28" s="58"/>
      <c r="AB28" s="58"/>
      <c r="AC28" s="58"/>
      <c r="AD28" s="58"/>
      <c r="AE28" s="58"/>
      <c r="AF28" s="34"/>
      <c r="AG28" s="34"/>
      <c r="AH28" s="34"/>
      <c r="AI28" s="34"/>
      <c r="AJ28" s="34"/>
      <c r="AK28" s="34"/>
      <c r="AL28" s="34"/>
      <c r="AM28" s="34"/>
      <c r="AN28" s="34"/>
      <c r="AO28" s="34"/>
      <c r="AP28" s="34"/>
      <c r="AQ28" s="34"/>
      <c r="AR28" s="34"/>
      <c r="AS28" s="34"/>
      <c r="AT28" s="34"/>
      <c r="AU28" s="34"/>
      <c r="AV28" s="34"/>
      <c r="AW28" s="34"/>
      <c r="AX28" s="34"/>
      <c r="AY28" s="34"/>
      <c r="AZ28" s="34"/>
      <c r="BA28" s="34"/>
      <c r="BB28" s="34"/>
      <c r="BC28" s="34"/>
      <c r="BD28" s="34"/>
      <c r="BE28" s="34"/>
      <c r="BF28" s="34"/>
      <c r="BG28" s="34"/>
      <c r="BH28" s="34"/>
      <c r="BI28" s="34"/>
      <c r="BJ28" s="34"/>
      <c r="BK28" s="34"/>
      <c r="BL28" s="34"/>
      <c r="BM28" s="34"/>
      <c r="BN28" s="34"/>
      <c r="BO28" s="34"/>
      <c r="BP28" s="34"/>
      <c r="BQ28" s="34"/>
      <c r="BR28" s="34"/>
      <c r="BS28" s="34"/>
      <c r="BT28" s="34"/>
      <c r="BU28" s="34"/>
      <c r="BV28" s="34"/>
      <c r="BW28" s="34"/>
      <c r="BX28" s="34"/>
      <c r="BY28" s="34"/>
      <c r="BZ28" s="34"/>
      <c r="CA28" s="34"/>
      <c r="CB28" s="34"/>
      <c r="CC28" s="34"/>
      <c r="CD28" s="34"/>
      <c r="CE28" s="34"/>
      <c r="CF28" s="34"/>
      <c r="CG28" s="34"/>
      <c r="CH28" s="34"/>
      <c r="CI28" s="34"/>
      <c r="CJ28" s="34"/>
      <c r="CK28" s="34"/>
      <c r="CL28" s="34"/>
      <c r="CM28" s="34"/>
      <c r="CN28" s="34"/>
      <c r="CO28" s="34"/>
      <c r="CP28" s="34"/>
      <c r="CQ28" s="34"/>
      <c r="CR28" s="34"/>
      <c r="CS28" s="34"/>
      <c r="CT28" s="34"/>
      <c r="CU28" s="34"/>
      <c r="CV28" s="34"/>
      <c r="CW28" s="34"/>
      <c r="CX28" s="34"/>
      <c r="CY28" s="34"/>
      <c r="CZ28" s="34"/>
      <c r="DA28" s="34"/>
      <c r="DB28" s="34"/>
      <c r="DC28" s="34"/>
      <c r="DD28" s="34"/>
      <c r="DE28" s="34"/>
      <c r="DF28" s="34"/>
      <c r="DG28" s="34"/>
      <c r="DH28" s="34"/>
      <c r="DI28" s="34"/>
      <c r="DJ28" s="34"/>
      <c r="DK28" s="34"/>
      <c r="DL28" s="34"/>
      <c r="DM28" s="34"/>
      <c r="DN28" s="34"/>
      <c r="DO28" s="34"/>
      <c r="DP28" s="34"/>
      <c r="DQ28" s="34"/>
      <c r="DR28" s="34"/>
      <c r="DS28" s="34"/>
      <c r="DT28" s="34"/>
      <c r="DU28" s="34"/>
      <c r="DV28" s="34"/>
      <c r="DW28" s="34"/>
      <c r="DX28" s="34"/>
      <c r="DY28" s="34"/>
      <c r="DZ28" s="34"/>
      <c r="EA28" s="34"/>
      <c r="EB28" s="34"/>
      <c r="EC28" s="34"/>
      <c r="ED28" s="34"/>
      <c r="EE28" s="34"/>
      <c r="EF28" s="34"/>
      <c r="EG28" s="34"/>
      <c r="EH28" s="34"/>
      <c r="EI28" s="34"/>
      <c r="EJ28" s="34"/>
      <c r="EK28" s="34"/>
      <c r="EL28" s="34"/>
      <c r="EM28" s="34"/>
      <c r="EN28" s="34"/>
      <c r="EO28" s="34"/>
      <c r="EP28" s="34"/>
      <c r="EQ28" s="34"/>
      <c r="ER28" s="34"/>
      <c r="ES28" s="34"/>
      <c r="ET28" s="34"/>
      <c r="EU28" s="34"/>
      <c r="EV28" s="34"/>
      <c r="EW28" s="34"/>
      <c r="EX28" s="34"/>
      <c r="EY28" s="34"/>
      <c r="EZ28" s="34"/>
      <c r="FA28" s="34"/>
      <c r="FB28" s="34"/>
      <c r="FC28" s="34"/>
      <c r="FD28" s="34"/>
      <c r="FE28" s="34"/>
      <c r="FF28" s="34"/>
      <c r="FG28" s="34"/>
      <c r="FH28" s="34"/>
      <c r="FI28" s="34"/>
      <c r="FJ28" s="34"/>
      <c r="FK28" s="34"/>
      <c r="FL28" s="34"/>
      <c r="FM28" s="34"/>
      <c r="FN28" s="34"/>
      <c r="FO28" s="34"/>
      <c r="FP28" s="34"/>
      <c r="FQ28" s="34"/>
      <c r="FR28" s="34"/>
      <c r="FS28" s="34"/>
      <c r="FT28" s="34"/>
      <c r="FU28" s="34"/>
      <c r="FV28" s="34"/>
      <c r="FW28" s="34"/>
      <c r="FX28" s="34"/>
      <c r="FY28" s="34"/>
      <c r="FZ28" s="34"/>
      <c r="GA28" s="34"/>
      <c r="GB28" s="34"/>
      <c r="GC28" s="34"/>
      <c r="GD28" s="34"/>
      <c r="GE28" s="34"/>
      <c r="GF28" s="34"/>
      <c r="GG28" s="34"/>
      <c r="GH28" s="34"/>
      <c r="GI28" s="34"/>
      <c r="GJ28" s="34"/>
      <c r="GK28" s="34"/>
      <c r="GL28" s="34"/>
      <c r="GM28" s="34"/>
      <c r="GN28" s="34"/>
      <c r="GO28" s="34"/>
    </row>
    <row r="29" spans="1:197" ht="15" customHeight="1" x14ac:dyDescent="0.3">
      <c r="A29" s="34" t="s">
        <v>3</v>
      </c>
      <c r="B29" s="34">
        <v>2447</v>
      </c>
      <c r="C29" s="34">
        <v>9081</v>
      </c>
      <c r="D29" s="34">
        <v>11528</v>
      </c>
      <c r="S29" s="58"/>
      <c r="T29" s="58"/>
      <c r="U29" s="58"/>
      <c r="V29" s="58"/>
      <c r="W29" s="58"/>
      <c r="X29" s="58"/>
      <c r="Y29" s="58"/>
      <c r="Z29" s="58"/>
      <c r="AA29" s="58"/>
      <c r="AB29" s="58"/>
      <c r="AC29" s="58"/>
      <c r="AD29" s="58"/>
    </row>
    <row r="30" spans="1:197" ht="15" customHeight="1" x14ac:dyDescent="0.3">
      <c r="S30" s="58"/>
      <c r="T30" s="58"/>
      <c r="U30" s="58"/>
      <c r="V30" s="58"/>
      <c r="W30" s="58"/>
      <c r="X30" s="58"/>
      <c r="Y30" s="58"/>
      <c r="Z30" s="58"/>
      <c r="AA30" s="58"/>
      <c r="AB30" s="58"/>
      <c r="AC30" s="58"/>
      <c r="AD30" s="58"/>
      <c r="AE30" s="58"/>
    </row>
    <row r="31" spans="1:197" ht="15" customHeight="1" x14ac:dyDescent="0.3">
      <c r="S31" s="58"/>
      <c r="T31" s="58"/>
      <c r="U31" s="58"/>
      <c r="V31" s="58"/>
      <c r="W31" s="58"/>
      <c r="X31" s="58"/>
      <c r="Y31" s="58"/>
      <c r="Z31" s="58"/>
      <c r="AA31" s="58"/>
      <c r="AB31" s="58"/>
      <c r="AC31" s="58"/>
      <c r="AD31" s="58"/>
      <c r="AE31" s="58"/>
    </row>
    <row r="32" spans="1:197" ht="15" customHeight="1" x14ac:dyDescent="0.3">
      <c r="S32" s="58"/>
      <c r="T32" s="58"/>
      <c r="U32" s="58"/>
      <c r="V32" s="58"/>
      <c r="W32" s="58"/>
      <c r="X32" s="58"/>
      <c r="Y32" s="58"/>
      <c r="Z32" s="58"/>
      <c r="AA32" s="58"/>
      <c r="AB32" s="58"/>
      <c r="AC32" s="58"/>
      <c r="AD32" s="58"/>
      <c r="AE32" s="58"/>
    </row>
    <row r="33" spans="19:33" ht="15" customHeight="1" x14ac:dyDescent="0.3">
      <c r="S33" s="58"/>
      <c r="T33" s="58"/>
      <c r="U33" s="58"/>
      <c r="V33" s="58"/>
      <c r="W33" s="58"/>
      <c r="X33" s="58"/>
      <c r="Y33" s="58"/>
      <c r="Z33" s="58"/>
      <c r="AA33" s="58"/>
      <c r="AB33" s="58"/>
      <c r="AC33" s="58"/>
      <c r="AD33" s="58"/>
      <c r="AE33" s="58"/>
    </row>
    <row r="34" spans="19:33" ht="15" customHeight="1" x14ac:dyDescent="0.3">
      <c r="S34" s="58"/>
      <c r="T34" s="58"/>
      <c r="U34" s="58"/>
      <c r="V34" s="58"/>
      <c r="W34" s="58"/>
      <c r="X34" s="58"/>
      <c r="Y34" s="58"/>
      <c r="Z34" s="58"/>
      <c r="AA34" s="58"/>
      <c r="AB34" s="58"/>
      <c r="AC34" s="58"/>
      <c r="AD34" s="58"/>
      <c r="AE34" s="58"/>
    </row>
    <row r="35" spans="19:33" ht="15" customHeight="1" x14ac:dyDescent="0.3">
      <c r="S35" s="58"/>
      <c r="T35" s="58"/>
      <c r="U35" s="58"/>
      <c r="V35" s="58"/>
      <c r="W35" s="58"/>
      <c r="X35" s="58"/>
      <c r="Y35" s="58"/>
      <c r="Z35" s="58"/>
      <c r="AA35" s="58"/>
      <c r="AB35" s="58"/>
      <c r="AC35" s="58"/>
      <c r="AD35" s="58"/>
      <c r="AE35" s="58"/>
    </row>
    <row r="36" spans="19:33" ht="15" customHeight="1" x14ac:dyDescent="0.3">
      <c r="S36" s="58"/>
      <c r="T36" s="58"/>
      <c r="U36" s="58"/>
      <c r="V36" s="58"/>
      <c r="W36" s="58"/>
      <c r="X36" s="58"/>
      <c r="Y36" s="58"/>
      <c r="Z36" s="58"/>
      <c r="AA36" s="58"/>
      <c r="AB36" s="58"/>
      <c r="AC36" s="58"/>
      <c r="AD36" s="58"/>
      <c r="AE36" s="58"/>
      <c r="AG36" s="39"/>
    </row>
    <row r="37" spans="19:33" ht="15" customHeight="1" x14ac:dyDescent="0.3">
      <c r="S37" s="58"/>
      <c r="T37" s="58"/>
      <c r="U37" s="58"/>
      <c r="V37" s="58"/>
      <c r="W37" s="58"/>
      <c r="X37" s="58"/>
      <c r="Y37" s="58"/>
      <c r="Z37" s="58"/>
      <c r="AA37" s="58"/>
      <c r="AB37" s="58"/>
      <c r="AC37" s="58"/>
      <c r="AD37" s="58"/>
      <c r="AE37" s="58"/>
    </row>
  </sheetData>
  <phoneticPr fontId="13" type="noConversion"/>
  <printOptions horizontalCentered="1" verticalCentered="1"/>
  <pageMargins left="0" right="0" top="0" bottom="0" header="0" footer="0"/>
  <pageSetup paperSize="9" scale="75" orientation="landscape" r:id="rId1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2F010D-F14B-481A-ADF8-9EB2E7E68486}">
  <sheetPr>
    <tabColor theme="4" tint="0.39997558519241921"/>
    <pageSetUpPr fitToPage="1"/>
  </sheetPr>
  <dimension ref="A1:K49"/>
  <sheetViews>
    <sheetView zoomScale="40" zoomScaleNormal="40" zoomScaleSheetLayoutView="75" workbookViewId="0">
      <selection activeCell="B2" sqref="B2:C2"/>
    </sheetView>
  </sheetViews>
  <sheetFormatPr defaultColWidth="9" defaultRowHeight="16.5" x14ac:dyDescent="0.3"/>
  <cols>
    <col min="1" max="1" width="24.75" style="34" customWidth="1"/>
    <col min="2" max="2" width="7.625" style="38" customWidth="1"/>
    <col min="3" max="3" width="30.625" style="34" customWidth="1"/>
    <col min="4" max="4" width="12.125" style="2" bestFit="1" customWidth="1"/>
    <col min="5" max="5" width="11.375" style="34" customWidth="1"/>
    <col min="6" max="6" width="11.125" style="2" customWidth="1"/>
    <col min="7" max="7" width="8.375" style="34" customWidth="1"/>
    <col min="8" max="8" width="9" style="34" customWidth="1"/>
    <col min="9" max="13" width="9" style="34"/>
    <col min="14" max="14" width="10.625" style="34" customWidth="1"/>
    <col min="15" max="17" width="9" style="34"/>
    <col min="18" max="18" width="36.5" style="34" bestFit="1" customWidth="1"/>
    <col min="19" max="16384" width="9" style="34"/>
  </cols>
  <sheetData>
    <row r="1" spans="1:11" ht="25.9" customHeight="1" thickBot="1" x14ac:dyDescent="0.35">
      <c r="A1" s="270"/>
      <c r="B1" s="270"/>
      <c r="C1" s="270"/>
      <c r="D1" s="270"/>
      <c r="E1" s="270"/>
      <c r="F1" s="270"/>
    </row>
    <row r="2" spans="1:11" ht="25.9" customHeight="1" x14ac:dyDescent="0.3">
      <c r="A2" s="215">
        <f ca="1">TODAY()</f>
        <v>46314</v>
      </c>
      <c r="B2" s="271" t="s">
        <v>382</v>
      </c>
      <c r="C2" s="272"/>
      <c r="D2" s="256"/>
      <c r="E2" s="256"/>
      <c r="F2" s="257"/>
      <c r="G2" s="67"/>
      <c r="H2" s="67"/>
    </row>
    <row r="3" spans="1:11" ht="40.5" customHeight="1" x14ac:dyDescent="0.3">
      <c r="A3" s="222" t="s">
        <v>67</v>
      </c>
      <c r="B3" s="223" t="s">
        <v>13</v>
      </c>
      <c r="C3" s="235" t="s">
        <v>380</v>
      </c>
      <c r="D3" s="230" t="s">
        <v>2</v>
      </c>
      <c r="E3" s="229" t="s">
        <v>23</v>
      </c>
      <c r="F3" s="231" t="s">
        <v>14</v>
      </c>
      <c r="G3" s="67"/>
      <c r="H3" s="67"/>
    </row>
    <row r="4" spans="1:11" ht="25.35" customHeight="1" x14ac:dyDescent="0.3">
      <c r="A4" s="220" t="s">
        <v>260</v>
      </c>
      <c r="B4" s="224">
        <v>48</v>
      </c>
      <c r="C4" s="227">
        <f>IFERROR(VLOOKUP(A4,'스위트레시피 피벗'!A:SA,2,FALSE),0)</f>
        <v>49</v>
      </c>
      <c r="D4" s="227">
        <f t="shared" ref="D4:D18" si="0">IFERROR(ROUNDDOWN(C4/B4,0),"")</f>
        <v>1</v>
      </c>
      <c r="E4" s="51" t="s">
        <v>109</v>
      </c>
      <c r="F4" s="228">
        <f t="shared" ref="F4:F18" si="1">IFERROR(C4-(D4*B4),"")</f>
        <v>1</v>
      </c>
      <c r="G4" s="67"/>
      <c r="H4" s="67"/>
      <c r="J4" s="73"/>
      <c r="K4" s="73"/>
    </row>
    <row r="5" spans="1:11" ht="25.35" customHeight="1" x14ac:dyDescent="0.3">
      <c r="A5" s="221" t="s">
        <v>255</v>
      </c>
      <c r="B5" s="224">
        <f t="shared" ref="B5:B18" si="2">$B$4</f>
        <v>48</v>
      </c>
      <c r="C5" s="227">
        <f>IFERROR(VLOOKUP(A5,'스위트레시피 피벗'!A:SA,2,FALSE),0)</f>
        <v>224</v>
      </c>
      <c r="D5" s="227">
        <f t="shared" si="0"/>
        <v>4</v>
      </c>
      <c r="E5" s="51" t="s">
        <v>335</v>
      </c>
      <c r="F5" s="228">
        <f t="shared" si="1"/>
        <v>32</v>
      </c>
      <c r="G5" s="67"/>
      <c r="H5" s="67"/>
      <c r="J5" s="73"/>
      <c r="K5" s="73"/>
    </row>
    <row r="6" spans="1:11" ht="25.35" customHeight="1" x14ac:dyDescent="0.3">
      <c r="A6" s="221" t="s">
        <v>249</v>
      </c>
      <c r="B6" s="224">
        <f t="shared" si="2"/>
        <v>48</v>
      </c>
      <c r="C6" s="227">
        <f>IFERROR(VLOOKUP(A6,'스위트레시피 피벗'!A:SA,2,FALSE),0)</f>
        <v>117</v>
      </c>
      <c r="D6" s="227">
        <f>IFERROR(ROUNDDOWN(C6/B6,0),"")</f>
        <v>2</v>
      </c>
      <c r="E6" s="51" t="s">
        <v>272</v>
      </c>
      <c r="F6" s="228">
        <f>IFERROR(C6-(D6*B6),"")</f>
        <v>21</v>
      </c>
      <c r="G6" s="67"/>
      <c r="H6" s="67"/>
      <c r="J6" s="73"/>
      <c r="K6" s="73"/>
    </row>
    <row r="7" spans="1:11" ht="25.35" customHeight="1" x14ac:dyDescent="0.3">
      <c r="A7" s="221" t="s">
        <v>250</v>
      </c>
      <c r="B7" s="224">
        <f t="shared" si="2"/>
        <v>48</v>
      </c>
      <c r="C7" s="227">
        <f>IFERROR(VLOOKUP(A7,'스위트레시피 피벗'!A:SA,2,FALSE),0)</f>
        <v>126</v>
      </c>
      <c r="D7" s="227">
        <f>IFERROR(ROUNDDOWN(C7/B7,0),"")</f>
        <v>2</v>
      </c>
      <c r="E7" s="51" t="s">
        <v>273</v>
      </c>
      <c r="F7" s="228">
        <f>IFERROR(C7-(D7*B7),"")</f>
        <v>30</v>
      </c>
      <c r="G7" s="67"/>
      <c r="H7" s="67"/>
      <c r="J7" s="73"/>
      <c r="K7" s="73"/>
    </row>
    <row r="8" spans="1:11" ht="25.35" customHeight="1" x14ac:dyDescent="0.3">
      <c r="A8" s="221" t="s">
        <v>248</v>
      </c>
      <c r="B8" s="224">
        <f t="shared" si="2"/>
        <v>48</v>
      </c>
      <c r="C8" s="227">
        <f>IFERROR(VLOOKUP(A8,'스위트레시피 피벗'!A:SA,2,FALSE),0)</f>
        <v>92</v>
      </c>
      <c r="D8" s="227">
        <f>IFERROR(ROUNDDOWN(C8/B8,0),"")</f>
        <v>1</v>
      </c>
      <c r="E8" s="51" t="s">
        <v>271</v>
      </c>
      <c r="F8" s="228">
        <f>IFERROR(C8-(D8*B8),"")</f>
        <v>44</v>
      </c>
      <c r="G8" s="67"/>
      <c r="H8" s="67"/>
      <c r="J8" s="73"/>
      <c r="K8" s="73"/>
    </row>
    <row r="9" spans="1:11" ht="25.35" customHeight="1" x14ac:dyDescent="0.3">
      <c r="A9" s="221" t="s">
        <v>246</v>
      </c>
      <c r="B9" s="224">
        <f t="shared" si="2"/>
        <v>48</v>
      </c>
      <c r="C9" s="227">
        <f>IFERROR(VLOOKUP(A9,'스위트레시피 피벗'!A:SA,2,FALSE),0)</f>
        <v>75</v>
      </c>
      <c r="D9" s="227">
        <f t="shared" si="0"/>
        <v>1</v>
      </c>
      <c r="E9" s="51" t="s">
        <v>270</v>
      </c>
      <c r="F9" s="228">
        <f t="shared" si="1"/>
        <v>27</v>
      </c>
      <c r="G9" s="67"/>
      <c r="H9" s="67"/>
      <c r="J9" s="73"/>
      <c r="K9" s="73"/>
    </row>
    <row r="10" spans="1:11" ht="25.35" customHeight="1" x14ac:dyDescent="0.3">
      <c r="A10" s="221" t="s">
        <v>256</v>
      </c>
      <c r="B10" s="224">
        <f t="shared" si="2"/>
        <v>48</v>
      </c>
      <c r="C10" s="227">
        <f>IFERROR(VLOOKUP(A10,'스위트레시피 피벗'!A:SA,2,FALSE),0)</f>
        <v>65</v>
      </c>
      <c r="D10" s="227">
        <f>IFERROR(ROUNDDOWN(C10/B10,0),"")</f>
        <v>1</v>
      </c>
      <c r="E10" s="51" t="s">
        <v>278</v>
      </c>
      <c r="F10" s="228">
        <f>IFERROR(C10-(D10*B10),"")</f>
        <v>17</v>
      </c>
      <c r="G10" s="67"/>
      <c r="H10" s="67"/>
      <c r="J10" s="73"/>
      <c r="K10" s="73"/>
    </row>
    <row r="11" spans="1:11" ht="25.35" customHeight="1" x14ac:dyDescent="0.3">
      <c r="A11" s="221" t="s">
        <v>247</v>
      </c>
      <c r="B11" s="224">
        <f t="shared" si="2"/>
        <v>48</v>
      </c>
      <c r="C11" s="227">
        <f>IFERROR(VLOOKUP(A11,'스위트레시피 피벗'!A:SA,2,FALSE),0)</f>
        <v>66</v>
      </c>
      <c r="D11" s="227">
        <f t="shared" si="0"/>
        <v>1</v>
      </c>
      <c r="E11" s="51" t="s">
        <v>334</v>
      </c>
      <c r="F11" s="228">
        <f t="shared" si="1"/>
        <v>18</v>
      </c>
      <c r="G11" s="67"/>
      <c r="H11" s="67"/>
      <c r="J11" s="73"/>
      <c r="K11" s="73"/>
    </row>
    <row r="12" spans="1:11" ht="25.35" customHeight="1" x14ac:dyDescent="0.3">
      <c r="A12" s="221" t="s">
        <v>251</v>
      </c>
      <c r="B12" s="224">
        <f t="shared" si="2"/>
        <v>48</v>
      </c>
      <c r="C12" s="227">
        <f>IFERROR(VLOOKUP(A12,'스위트레시피 피벗'!A:SA,2,FALSE),0)</f>
        <v>110</v>
      </c>
      <c r="D12" s="227">
        <f t="shared" si="0"/>
        <v>2</v>
      </c>
      <c r="E12" s="51" t="s">
        <v>274</v>
      </c>
      <c r="F12" s="228">
        <f t="shared" si="1"/>
        <v>14</v>
      </c>
      <c r="G12" s="67"/>
      <c r="H12" s="67"/>
      <c r="J12" s="73"/>
      <c r="K12" s="73"/>
    </row>
    <row r="13" spans="1:11" ht="25.35" customHeight="1" x14ac:dyDescent="0.3">
      <c r="A13" s="220" t="s">
        <v>252</v>
      </c>
      <c r="B13" s="224">
        <f t="shared" si="2"/>
        <v>48</v>
      </c>
      <c r="C13" s="227">
        <f>IFERROR(VLOOKUP(A13,'스위트레시피 피벗'!A:SA,2,FALSE),0)</f>
        <v>127</v>
      </c>
      <c r="D13" s="227">
        <f t="shared" si="0"/>
        <v>2</v>
      </c>
      <c r="E13" s="51" t="s">
        <v>275</v>
      </c>
      <c r="F13" s="228">
        <f t="shared" si="1"/>
        <v>31</v>
      </c>
      <c r="G13" s="67"/>
      <c r="H13" s="67"/>
      <c r="J13" s="73"/>
      <c r="K13" s="73"/>
    </row>
    <row r="14" spans="1:11" ht="25.35" customHeight="1" x14ac:dyDescent="0.3">
      <c r="A14" s="221" t="s">
        <v>253</v>
      </c>
      <c r="B14" s="224">
        <f t="shared" si="2"/>
        <v>48</v>
      </c>
      <c r="C14" s="227">
        <f>IFERROR(VLOOKUP(A14,'스위트레시피 피벗'!A:SA,2,FALSE),0)</f>
        <v>130</v>
      </c>
      <c r="D14" s="227">
        <f t="shared" si="0"/>
        <v>2</v>
      </c>
      <c r="E14" s="51" t="s">
        <v>276</v>
      </c>
      <c r="F14" s="228">
        <f t="shared" si="1"/>
        <v>34</v>
      </c>
      <c r="G14" s="67"/>
      <c r="H14" s="67"/>
      <c r="J14" s="73"/>
      <c r="K14" s="73"/>
    </row>
    <row r="15" spans="1:11" ht="25.35" customHeight="1" x14ac:dyDescent="0.3">
      <c r="A15" s="221" t="s">
        <v>254</v>
      </c>
      <c r="B15" s="224">
        <f t="shared" si="2"/>
        <v>48</v>
      </c>
      <c r="C15" s="227">
        <f>IFERROR(VLOOKUP(A15,'스위트레시피 피벗'!A:SA,2,FALSE),0)</f>
        <v>170</v>
      </c>
      <c r="D15" s="227">
        <f t="shared" si="0"/>
        <v>3</v>
      </c>
      <c r="E15" s="51" t="s">
        <v>277</v>
      </c>
      <c r="F15" s="228">
        <f t="shared" si="1"/>
        <v>26</v>
      </c>
      <c r="G15" s="67"/>
      <c r="H15" s="67"/>
      <c r="J15" s="73"/>
      <c r="K15" s="73"/>
    </row>
    <row r="16" spans="1:11" ht="25.35" customHeight="1" x14ac:dyDescent="0.3">
      <c r="A16" s="221" t="s">
        <v>257</v>
      </c>
      <c r="B16" s="224">
        <f t="shared" si="2"/>
        <v>48</v>
      </c>
      <c r="C16" s="227">
        <f>IFERROR(VLOOKUP(A16,'스위트레시피 피벗'!A:SA,2,FALSE),0)</f>
        <v>67</v>
      </c>
      <c r="D16" s="227">
        <f t="shared" si="0"/>
        <v>1</v>
      </c>
      <c r="E16" s="51" t="s">
        <v>279</v>
      </c>
      <c r="F16" s="228">
        <f t="shared" si="1"/>
        <v>19</v>
      </c>
      <c r="G16" s="67"/>
      <c r="H16" s="67"/>
      <c r="J16" s="73"/>
      <c r="K16" s="73"/>
    </row>
    <row r="17" spans="1:11" ht="25.35" customHeight="1" x14ac:dyDescent="0.3">
      <c r="A17" s="221" t="s">
        <v>258</v>
      </c>
      <c r="B17" s="224">
        <f t="shared" si="2"/>
        <v>48</v>
      </c>
      <c r="C17" s="227">
        <f>IFERROR(VLOOKUP(A17,'스위트레시피 피벗'!A:SA,2,FALSE),0)</f>
        <v>61</v>
      </c>
      <c r="D17" s="227">
        <f t="shared" si="0"/>
        <v>1</v>
      </c>
      <c r="E17" s="51" t="s">
        <v>280</v>
      </c>
      <c r="F17" s="228">
        <f t="shared" si="1"/>
        <v>13</v>
      </c>
      <c r="G17" s="67"/>
      <c r="H17" s="67"/>
      <c r="J17" s="73"/>
      <c r="K17" s="73"/>
    </row>
    <row r="18" spans="1:11" ht="25.35" customHeight="1" x14ac:dyDescent="0.3">
      <c r="A18" s="221" t="s">
        <v>259</v>
      </c>
      <c r="B18" s="224">
        <f t="shared" si="2"/>
        <v>48</v>
      </c>
      <c r="C18" s="227">
        <f>IFERROR(VLOOKUP(A18,'스위트레시피 피벗'!A:SA,2,FALSE),0)</f>
        <v>87</v>
      </c>
      <c r="D18" s="227">
        <f t="shared" si="0"/>
        <v>1</v>
      </c>
      <c r="E18" s="51" t="s">
        <v>336</v>
      </c>
      <c r="F18" s="228">
        <f t="shared" si="1"/>
        <v>39</v>
      </c>
      <c r="G18" s="67"/>
      <c r="H18" s="67"/>
      <c r="J18" s="73"/>
      <c r="K18" s="73"/>
    </row>
    <row r="19" spans="1:11" ht="4.5" customHeight="1" x14ac:dyDescent="0.3">
      <c r="A19" s="183"/>
      <c r="B19" s="50"/>
      <c r="C19" s="50"/>
      <c r="D19" s="50"/>
      <c r="E19" s="50"/>
      <c r="F19" s="184"/>
      <c r="J19" s="73"/>
      <c r="K19" s="73"/>
    </row>
    <row r="20" spans="1:11" ht="32.450000000000003" customHeight="1" x14ac:dyDescent="0.3">
      <c r="A20" s="211" t="s">
        <v>122</v>
      </c>
      <c r="B20" s="225">
        <f>$B$4</f>
        <v>48</v>
      </c>
      <c r="C20" s="212">
        <f>SUM(C4:C18)</f>
        <v>1566</v>
      </c>
      <c r="D20" s="55">
        <f>IFERROR(ROUNDDOWN(C20/B20,0),"")</f>
        <v>32</v>
      </c>
      <c r="E20" s="213"/>
      <c r="F20" s="214">
        <f>IFERROR(C20-(D20*B20),"")</f>
        <v>30</v>
      </c>
      <c r="J20" s="73"/>
      <c r="K20" s="73"/>
    </row>
    <row r="21" spans="1:11" ht="4.5" customHeight="1" x14ac:dyDescent="0.3">
      <c r="A21" s="183"/>
      <c r="B21" s="224"/>
      <c r="C21" s="50"/>
      <c r="D21" s="50"/>
      <c r="E21" s="50"/>
      <c r="F21" s="184"/>
      <c r="J21" s="73"/>
      <c r="K21" s="73"/>
    </row>
    <row r="22" spans="1:11" ht="25.35" customHeight="1" x14ac:dyDescent="0.3">
      <c r="A22" s="221" t="s">
        <v>241</v>
      </c>
      <c r="B22" s="224">
        <f t="shared" ref="B22:B26" si="3">$B$4</f>
        <v>48</v>
      </c>
      <c r="C22" s="227">
        <f>IFERROR(VLOOKUP(A22,'스위트레시피 피벗'!A:SA,2,FALSE),0)</f>
        <v>122</v>
      </c>
      <c r="D22" s="227">
        <f>IFERROR(ROUNDDOWN(C22/B22,0),"")</f>
        <v>2</v>
      </c>
      <c r="E22" s="51" t="s">
        <v>268</v>
      </c>
      <c r="F22" s="228">
        <f>IFERROR(C22-(D22*B22),"")</f>
        <v>26</v>
      </c>
      <c r="G22" s="67"/>
      <c r="H22" s="67"/>
      <c r="J22" s="73"/>
      <c r="K22" s="73"/>
    </row>
    <row r="23" spans="1:11" ht="25.35" customHeight="1" x14ac:dyDescent="0.3">
      <c r="A23" s="221" t="s">
        <v>242</v>
      </c>
      <c r="B23" s="224">
        <f t="shared" si="3"/>
        <v>48</v>
      </c>
      <c r="C23" s="227">
        <f>IFERROR(VLOOKUP(A23,'스위트레시피 피벗'!A:SA,2,FALSE),0)</f>
        <v>85</v>
      </c>
      <c r="D23" s="227">
        <f>IFERROR(ROUNDDOWN(C23/B23,0),"")</f>
        <v>1</v>
      </c>
      <c r="E23" s="51" t="s">
        <v>337</v>
      </c>
      <c r="F23" s="228">
        <f>IFERROR(C23-(D23*B23),"")</f>
        <v>37</v>
      </c>
      <c r="G23" s="67"/>
      <c r="H23" s="67"/>
      <c r="J23" s="73"/>
      <c r="K23" s="73"/>
    </row>
    <row r="24" spans="1:11" ht="25.35" customHeight="1" x14ac:dyDescent="0.3">
      <c r="A24" s="221" t="s">
        <v>243</v>
      </c>
      <c r="B24" s="224">
        <f t="shared" si="3"/>
        <v>48</v>
      </c>
      <c r="C24" s="227">
        <f>IFERROR(VLOOKUP(A24,'스위트레시피 피벗'!A:SA,2,FALSE),0)</f>
        <v>0</v>
      </c>
      <c r="D24" s="227">
        <f>IFERROR(ROUNDDOWN(C24/B24,0),"")</f>
        <v>0</v>
      </c>
      <c r="E24" s="51" t="s">
        <v>106</v>
      </c>
      <c r="F24" s="228">
        <f>IFERROR(C24-(D24*B24),"")</f>
        <v>0</v>
      </c>
      <c r="G24" s="67"/>
      <c r="H24" s="67"/>
      <c r="J24" s="73"/>
      <c r="K24" s="73"/>
    </row>
    <row r="25" spans="1:11" ht="25.35" customHeight="1" x14ac:dyDescent="0.3">
      <c r="A25" s="221" t="s">
        <v>244</v>
      </c>
      <c r="B25" s="224">
        <f t="shared" si="3"/>
        <v>48</v>
      </c>
      <c r="C25" s="227">
        <f>IFERROR(VLOOKUP(A25,'스위트레시피 피벗'!A:SA,2,FALSE),0)</f>
        <v>109</v>
      </c>
      <c r="D25" s="227">
        <f>IFERROR(ROUNDDOWN(C25/B25,0),"")</f>
        <v>2</v>
      </c>
      <c r="E25" s="51" t="s">
        <v>269</v>
      </c>
      <c r="F25" s="228">
        <f>IFERROR(C25-(D25*B25),"")</f>
        <v>13</v>
      </c>
      <c r="G25" s="67"/>
      <c r="H25" s="67"/>
      <c r="J25" s="73"/>
      <c r="K25" s="73"/>
    </row>
    <row r="26" spans="1:11" ht="25.35" customHeight="1" x14ac:dyDescent="0.3">
      <c r="A26" s="221" t="s">
        <v>245</v>
      </c>
      <c r="B26" s="224">
        <f t="shared" si="3"/>
        <v>48</v>
      </c>
      <c r="C26" s="227">
        <f>IFERROR(VLOOKUP(A26,'스위트레시피 피벗'!A:SA,2,FALSE),0)</f>
        <v>65</v>
      </c>
      <c r="D26" s="227">
        <f>IFERROR(ROUNDDOWN(C26/B26,0),"")</f>
        <v>1</v>
      </c>
      <c r="E26" s="51" t="s">
        <v>118</v>
      </c>
      <c r="F26" s="228">
        <f>IFERROR(C26-(D26*B26),"")</f>
        <v>17</v>
      </c>
      <c r="G26" s="67"/>
      <c r="H26" s="67"/>
      <c r="J26" s="73"/>
      <c r="K26" s="73"/>
    </row>
    <row r="27" spans="1:11" ht="4.5" customHeight="1" x14ac:dyDescent="0.3">
      <c r="A27" s="183"/>
      <c r="B27" s="50"/>
      <c r="C27" s="50"/>
      <c r="D27" s="50"/>
      <c r="E27" s="50"/>
      <c r="F27" s="184"/>
      <c r="G27" s="67"/>
      <c r="H27" s="67"/>
      <c r="J27" s="73"/>
      <c r="K27" s="73"/>
    </row>
    <row r="28" spans="1:11" ht="32.450000000000003" customHeight="1" x14ac:dyDescent="0.3">
      <c r="A28" s="211" t="s">
        <v>285</v>
      </c>
      <c r="B28" s="225">
        <f>$B$4</f>
        <v>48</v>
      </c>
      <c r="C28" s="212">
        <f>SUM(C22:C26)</f>
        <v>381</v>
      </c>
      <c r="D28" s="55">
        <f>IFERROR(ROUNDDOWN(C28/B28,0),"")</f>
        <v>7</v>
      </c>
      <c r="E28" s="213"/>
      <c r="F28" s="214">
        <f>IFERROR(C28-(D28*B28),"")</f>
        <v>45</v>
      </c>
      <c r="G28" s="67"/>
      <c r="H28" s="67"/>
      <c r="J28" s="73"/>
      <c r="K28" s="73"/>
    </row>
    <row r="29" spans="1:11" ht="4.5" customHeight="1" x14ac:dyDescent="0.3">
      <c r="A29" s="183"/>
      <c r="B29" s="50"/>
      <c r="C29" s="50"/>
      <c r="D29" s="50"/>
      <c r="E29" s="50"/>
      <c r="F29" s="184"/>
      <c r="G29" s="67"/>
      <c r="H29" s="67"/>
      <c r="J29" s="73"/>
      <c r="K29" s="73"/>
    </row>
    <row r="30" spans="1:11" ht="25.35" customHeight="1" x14ac:dyDescent="0.3">
      <c r="A30" s="251" t="s">
        <v>239</v>
      </c>
      <c r="B30" s="252">
        <f t="shared" ref="B30:B31" si="4">$B$4</f>
        <v>48</v>
      </c>
      <c r="C30" s="253">
        <f>IFERROR(VLOOKUP(A30,'스위트레시피 피벗'!A:SA,2,FALSE),0)</f>
        <v>105</v>
      </c>
      <c r="D30" s="253">
        <f t="shared" ref="D30:D31" si="5">IFERROR(ROUNDDOWN(C30/B30,0),"")</f>
        <v>2</v>
      </c>
      <c r="E30" s="254" t="s">
        <v>266</v>
      </c>
      <c r="F30" s="255">
        <f t="shared" ref="F30:F31" si="6">IFERROR(C30-(D30*B30),"")</f>
        <v>9</v>
      </c>
      <c r="G30" s="67"/>
      <c r="H30" s="67"/>
      <c r="J30" s="73"/>
      <c r="K30" s="73"/>
    </row>
    <row r="31" spans="1:11" ht="25.35" customHeight="1" x14ac:dyDescent="0.3">
      <c r="A31" s="221" t="s">
        <v>240</v>
      </c>
      <c r="B31" s="224">
        <f t="shared" si="4"/>
        <v>48</v>
      </c>
      <c r="C31" s="227">
        <f>IFERROR(VLOOKUP(A31,'스위트레시피 피벗'!A:SA,2,FALSE),0)</f>
        <v>84</v>
      </c>
      <c r="D31" s="227">
        <f t="shared" si="5"/>
        <v>1</v>
      </c>
      <c r="E31" s="51" t="s">
        <v>267</v>
      </c>
      <c r="F31" s="228">
        <f t="shared" si="6"/>
        <v>36</v>
      </c>
      <c r="G31" s="67"/>
      <c r="H31" s="67"/>
      <c r="J31" s="73"/>
      <c r="K31" s="73"/>
    </row>
    <row r="32" spans="1:11" ht="4.5" customHeight="1" x14ac:dyDescent="0.3">
      <c r="A32" s="183"/>
      <c r="B32" s="50"/>
      <c r="C32" s="50"/>
      <c r="D32" s="50"/>
      <c r="E32" s="50"/>
      <c r="F32" s="184"/>
      <c r="G32" s="67"/>
      <c r="H32" s="67"/>
      <c r="J32" s="73"/>
      <c r="K32" s="73"/>
    </row>
    <row r="33" spans="1:11" ht="32.450000000000003" customHeight="1" x14ac:dyDescent="0.3">
      <c r="A33" s="211" t="s">
        <v>284</v>
      </c>
      <c r="B33" s="225">
        <f>$B$4</f>
        <v>48</v>
      </c>
      <c r="C33" s="212">
        <f>SUM(C30:C31)</f>
        <v>189</v>
      </c>
      <c r="D33" s="55">
        <f>IFERROR(ROUNDDOWN(C33/B33,0),"")</f>
        <v>3</v>
      </c>
      <c r="E33" s="213"/>
      <c r="F33" s="214">
        <f>IFERROR(C33-(D33*B33),"")</f>
        <v>45</v>
      </c>
      <c r="G33" s="67"/>
      <c r="H33" s="67"/>
      <c r="J33" s="73"/>
      <c r="K33" s="73"/>
    </row>
    <row r="34" spans="1:11" ht="4.5" customHeight="1" x14ac:dyDescent="0.3">
      <c r="A34" s="183"/>
      <c r="B34" s="224"/>
      <c r="C34" s="50"/>
      <c r="D34" s="50"/>
      <c r="E34" s="50"/>
      <c r="F34" s="184"/>
      <c r="G34" s="67"/>
      <c r="H34" s="67"/>
      <c r="J34" s="73"/>
      <c r="K34" s="73"/>
    </row>
    <row r="35" spans="1:11" ht="25.35" customHeight="1" x14ac:dyDescent="0.3">
      <c r="A35" s="221" t="s">
        <v>236</v>
      </c>
      <c r="B35" s="224">
        <f t="shared" ref="B35:B37" si="7">$B$4</f>
        <v>48</v>
      </c>
      <c r="C35" s="227">
        <f>IFERROR(VLOOKUP(A35,'스위트레시피 피벗'!A:SA,2,FALSE),0)</f>
        <v>91</v>
      </c>
      <c r="D35" s="227">
        <f>IFERROR(ROUNDDOWN(C35/B35,0),"")</f>
        <v>1</v>
      </c>
      <c r="E35" s="51" t="s">
        <v>264</v>
      </c>
      <c r="F35" s="228">
        <f>IFERROR(C35-(D35*B35),"")</f>
        <v>43</v>
      </c>
      <c r="G35" s="67"/>
      <c r="H35" s="67"/>
      <c r="J35" s="73"/>
      <c r="K35" s="73"/>
    </row>
    <row r="36" spans="1:11" ht="25.35" customHeight="1" x14ac:dyDescent="0.3">
      <c r="A36" s="221" t="s">
        <v>237</v>
      </c>
      <c r="B36" s="224">
        <f t="shared" si="7"/>
        <v>48</v>
      </c>
      <c r="C36" s="227">
        <f>IFERROR(VLOOKUP(A36,'스위트레시피 피벗'!A:SA,2,FALSE),0)</f>
        <v>74</v>
      </c>
      <c r="D36" s="227">
        <f t="shared" ref="D36:D37" si="8">IFERROR(ROUNDDOWN(C36/B36,0),"")</f>
        <v>1</v>
      </c>
      <c r="E36" s="51" t="s">
        <v>338</v>
      </c>
      <c r="F36" s="228">
        <f t="shared" ref="F36:F37" si="9">IFERROR(C36-(D36*B36),"")</f>
        <v>26</v>
      </c>
      <c r="G36" s="67"/>
      <c r="H36" s="67"/>
      <c r="J36" s="73"/>
      <c r="K36" s="73"/>
    </row>
    <row r="37" spans="1:11" ht="25.35" customHeight="1" x14ac:dyDescent="0.3">
      <c r="A37" s="221" t="s">
        <v>238</v>
      </c>
      <c r="B37" s="224">
        <f t="shared" si="7"/>
        <v>48</v>
      </c>
      <c r="C37" s="227">
        <f>IFERROR(VLOOKUP(A37,'스위트레시피 피벗'!A:SA,2,FALSE),0)</f>
        <v>57</v>
      </c>
      <c r="D37" s="227">
        <f t="shared" si="8"/>
        <v>1</v>
      </c>
      <c r="E37" s="51" t="s">
        <v>265</v>
      </c>
      <c r="F37" s="228">
        <f t="shared" si="9"/>
        <v>9</v>
      </c>
      <c r="G37" s="67"/>
      <c r="H37" s="67"/>
      <c r="J37" s="73"/>
      <c r="K37" s="73"/>
    </row>
    <row r="38" spans="1:11" ht="4.5" customHeight="1" x14ac:dyDescent="0.3">
      <c r="A38" s="183"/>
      <c r="B38" s="50"/>
      <c r="C38" s="50"/>
      <c r="D38" s="50"/>
      <c r="E38" s="50"/>
      <c r="F38" s="184"/>
      <c r="G38" s="67"/>
      <c r="H38" s="67"/>
      <c r="J38" s="73"/>
      <c r="K38" s="73"/>
    </row>
    <row r="39" spans="1:11" ht="32.450000000000003" customHeight="1" x14ac:dyDescent="0.3">
      <c r="A39" s="211" t="s">
        <v>283</v>
      </c>
      <c r="B39" s="225">
        <f>$B$4</f>
        <v>48</v>
      </c>
      <c r="C39" s="212">
        <f>SUM(C35:C37)</f>
        <v>222</v>
      </c>
      <c r="D39" s="55">
        <f>IFERROR(ROUNDDOWN(C39/B39,0),"")</f>
        <v>4</v>
      </c>
      <c r="E39" s="213"/>
      <c r="F39" s="214">
        <f>IFERROR(C39-(D39*B39),"")</f>
        <v>30</v>
      </c>
      <c r="G39" s="67"/>
      <c r="H39" s="67"/>
      <c r="J39" s="73"/>
      <c r="K39" s="73"/>
    </row>
    <row r="40" spans="1:11" ht="4.5" customHeight="1" x14ac:dyDescent="0.3">
      <c r="A40" s="183"/>
      <c r="B40" s="224"/>
      <c r="C40" s="50"/>
      <c r="D40" s="50"/>
      <c r="E40" s="50"/>
      <c r="F40" s="184"/>
      <c r="G40" s="67"/>
      <c r="H40" s="67"/>
      <c r="J40" s="73"/>
      <c r="K40" s="73"/>
    </row>
    <row r="41" spans="1:11" ht="25.35" customHeight="1" x14ac:dyDescent="0.3">
      <c r="A41" s="221" t="s">
        <v>261</v>
      </c>
      <c r="B41" s="224">
        <f t="shared" ref="B41:B42" si="10">$B$4</f>
        <v>48</v>
      </c>
      <c r="C41" s="227">
        <f>IFERROR(VLOOKUP(A41,'스위트레시피 피벗'!A:SA,2,FALSE),0)</f>
        <v>50</v>
      </c>
      <c r="D41" s="227">
        <f t="shared" ref="D41:D42" si="11">IFERROR(ROUNDDOWN(C41/B41,0),"")</f>
        <v>1</v>
      </c>
      <c r="E41" s="51" t="s">
        <v>281</v>
      </c>
      <c r="F41" s="228">
        <f t="shared" ref="F41:F42" si="12">IFERROR(C41-(D41*B41),"")</f>
        <v>2</v>
      </c>
      <c r="G41" s="67"/>
      <c r="H41" s="67"/>
      <c r="J41" s="73"/>
      <c r="K41" s="73"/>
    </row>
    <row r="42" spans="1:11" ht="25.35" customHeight="1" x14ac:dyDescent="0.3">
      <c r="A42" s="221" t="s">
        <v>262</v>
      </c>
      <c r="B42" s="224">
        <f t="shared" si="10"/>
        <v>48</v>
      </c>
      <c r="C42" s="227">
        <f>IFERROR(VLOOKUP(A42,'스위트레시피 피벗'!A:SA,2,FALSE),0)</f>
        <v>39</v>
      </c>
      <c r="D42" s="227">
        <f t="shared" si="11"/>
        <v>0</v>
      </c>
      <c r="E42" s="51" t="s">
        <v>282</v>
      </c>
      <c r="F42" s="228">
        <f t="shared" si="12"/>
        <v>39</v>
      </c>
      <c r="G42" s="67"/>
      <c r="H42" s="67"/>
      <c r="J42" s="73"/>
      <c r="K42" s="73"/>
    </row>
    <row r="43" spans="1:11" ht="4.5" customHeight="1" x14ac:dyDescent="0.3">
      <c r="A43" s="183"/>
      <c r="B43" s="50"/>
      <c r="C43" s="50"/>
      <c r="D43" s="50"/>
      <c r="E43" s="50"/>
      <c r="F43" s="184"/>
      <c r="G43" s="67"/>
      <c r="H43" s="67"/>
      <c r="J43" s="73"/>
      <c r="K43" s="73"/>
    </row>
    <row r="44" spans="1:11" ht="32.450000000000003" customHeight="1" x14ac:dyDescent="0.3">
      <c r="A44" s="211" t="s">
        <v>339</v>
      </c>
      <c r="B44" s="225">
        <f>$B$4</f>
        <v>48</v>
      </c>
      <c r="C44" s="212">
        <f>SUM(C41:C42)</f>
        <v>89</v>
      </c>
      <c r="D44" s="55">
        <f>IFERROR(ROUNDDOWN(C44/B44,0),"")</f>
        <v>1</v>
      </c>
      <c r="E44" s="213"/>
      <c r="F44" s="214">
        <f>IFERROR(C44-(D44*B44),"")</f>
        <v>41</v>
      </c>
      <c r="G44" s="67"/>
      <c r="H44" s="67"/>
      <c r="J44" s="73"/>
      <c r="K44" s="73"/>
    </row>
    <row r="45" spans="1:11" ht="4.5" customHeight="1" thickBot="1" x14ac:dyDescent="0.35">
      <c r="A45" s="183"/>
      <c r="B45" s="50"/>
      <c r="C45" s="50"/>
      <c r="D45" s="50"/>
      <c r="E45" s="50"/>
      <c r="F45" s="184"/>
      <c r="G45" s="67"/>
      <c r="H45" s="67"/>
      <c r="J45" s="73"/>
      <c r="K45" s="73"/>
    </row>
    <row r="46" spans="1:11" ht="26.25" x14ac:dyDescent="0.3">
      <c r="A46" s="87" t="s">
        <v>3</v>
      </c>
      <c r="B46" s="226">
        <f>$B$4</f>
        <v>48</v>
      </c>
      <c r="C46" s="55">
        <f>SUM(C4:C18,C35:C37,C30:C31,C22:C26,C41:C42)</f>
        <v>2447</v>
      </c>
      <c r="D46" s="54">
        <f>IFERROR(ROUNDDOWN(C46/B46,0),"")</f>
        <v>50</v>
      </c>
      <c r="E46" s="56"/>
      <c r="F46" s="121">
        <f>IFERROR(C46-(D46*B46),"")</f>
        <v>47</v>
      </c>
      <c r="G46" s="232" t="s">
        <v>110</v>
      </c>
      <c r="H46" s="233" t="s">
        <v>111</v>
      </c>
      <c r="J46" s="73"/>
      <c r="K46" s="73"/>
    </row>
    <row r="47" spans="1:11" ht="27" thickBot="1" x14ac:dyDescent="0.35">
      <c r="A47" s="42" t="s">
        <v>286</v>
      </c>
      <c r="B47" s="43" t="s">
        <v>173</v>
      </c>
      <c r="C47" s="40"/>
      <c r="D47" s="41">
        <f>SUM(D4:D18,D35:D37,D30:D31,D22:D26,D41:D42)</f>
        <v>38</v>
      </c>
      <c r="E47" s="48"/>
      <c r="F47" s="93">
        <f>SUM(F4:F18,F35:F37,F30:F31,F22:F26,F41:F42)</f>
        <v>623</v>
      </c>
      <c r="G47" s="216">
        <f>IFERROR(ROUNDDOWN(F47/B35,0),"")</f>
        <v>12</v>
      </c>
      <c r="H47" s="217">
        <f>IFERROR(F47-(G47*B35),"")</f>
        <v>47</v>
      </c>
    </row>
    <row r="48" spans="1:11" ht="22.5" customHeight="1" x14ac:dyDescent="0.3">
      <c r="C48" s="77">
        <f>C20+C28+C33+C39+C44</f>
        <v>2447</v>
      </c>
      <c r="G48" s="199"/>
      <c r="H48" s="34" t="s">
        <v>174</v>
      </c>
    </row>
    <row r="49" spans="3:3" x14ac:dyDescent="0.3">
      <c r="C49" s="34" t="b">
        <f>C48=C46</f>
        <v>1</v>
      </c>
    </row>
  </sheetData>
  <mergeCells count="2">
    <mergeCell ref="A1:F1"/>
    <mergeCell ref="B2:C2"/>
  </mergeCells>
  <phoneticPr fontId="13" type="noConversion"/>
  <printOptions horizontalCentered="1" verticalCentered="1"/>
  <pageMargins left="0" right="0" top="0" bottom="0" header="0" footer="0"/>
  <pageSetup paperSize="9" scale="77" orientation="portrait" r:id="rId1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6DF84B-7D17-45AA-8CC4-B742B7005C74}">
  <sheetPr>
    <tabColor theme="4" tint="0.39997558519241921"/>
    <pageSetUpPr fitToPage="1"/>
  </sheetPr>
  <dimension ref="A1:K49"/>
  <sheetViews>
    <sheetView zoomScale="40" zoomScaleNormal="40" zoomScaleSheetLayoutView="75" workbookViewId="0">
      <selection activeCell="Q17" sqref="Q17"/>
    </sheetView>
  </sheetViews>
  <sheetFormatPr defaultColWidth="9" defaultRowHeight="16.5" x14ac:dyDescent="0.3"/>
  <cols>
    <col min="1" max="1" width="24.75" style="34" customWidth="1"/>
    <col min="2" max="2" width="7.625" style="38" customWidth="1"/>
    <col min="3" max="3" width="30.625" style="34" customWidth="1"/>
    <col min="4" max="4" width="12.125" style="2" bestFit="1" customWidth="1"/>
    <col min="5" max="5" width="11.375" style="34" customWidth="1"/>
    <col min="6" max="6" width="11.125" style="2" customWidth="1"/>
    <col min="7" max="7" width="8.375" style="34" customWidth="1"/>
    <col min="8" max="8" width="9" style="34" customWidth="1"/>
    <col min="9" max="13" width="9" style="34"/>
    <col min="14" max="14" width="10.625" style="34" customWidth="1"/>
    <col min="15" max="17" width="9" style="34"/>
    <col min="18" max="18" width="36.5" style="34" bestFit="1" customWidth="1"/>
    <col min="19" max="16384" width="9" style="34"/>
  </cols>
  <sheetData>
    <row r="1" spans="1:11" ht="25.9" customHeight="1" thickBot="1" x14ac:dyDescent="0.35">
      <c r="A1" s="270"/>
      <c r="B1" s="270"/>
      <c r="C1" s="270"/>
      <c r="D1" s="270"/>
      <c r="E1" s="270"/>
      <c r="F1" s="270"/>
    </row>
    <row r="2" spans="1:11" ht="25.9" customHeight="1" x14ac:dyDescent="0.3">
      <c r="A2" s="215">
        <f ca="1">TODAY()</f>
        <v>46314</v>
      </c>
      <c r="B2" s="271" t="s">
        <v>382</v>
      </c>
      <c r="C2" s="272"/>
      <c r="D2" s="256"/>
      <c r="E2" s="256"/>
      <c r="F2" s="257"/>
      <c r="G2" s="67"/>
      <c r="H2" s="67"/>
    </row>
    <row r="3" spans="1:11" ht="40.5" customHeight="1" x14ac:dyDescent="0.3">
      <c r="A3" s="222" t="s">
        <v>67</v>
      </c>
      <c r="B3" s="223" t="s">
        <v>13</v>
      </c>
      <c r="C3" s="235" t="s">
        <v>388</v>
      </c>
      <c r="D3" s="230" t="s">
        <v>2</v>
      </c>
      <c r="E3" s="229" t="s">
        <v>23</v>
      </c>
      <c r="F3" s="231" t="s">
        <v>14</v>
      </c>
      <c r="G3" s="67"/>
      <c r="H3" s="67"/>
    </row>
    <row r="4" spans="1:11" ht="25.35" customHeight="1" x14ac:dyDescent="0.3">
      <c r="A4" s="220" t="s">
        <v>260</v>
      </c>
      <c r="B4" s="224">
        <v>36</v>
      </c>
      <c r="C4" s="227">
        <f>IFERROR(VLOOKUP(A4,'스위트레시피 피벗'!A:SA,3,FALSE),0)</f>
        <v>139</v>
      </c>
      <c r="D4" s="227">
        <f t="shared" ref="D4:D18" si="0">IFERROR(ROUNDDOWN(C4/B4,0),"")</f>
        <v>3</v>
      </c>
      <c r="E4" s="51" t="s">
        <v>109</v>
      </c>
      <c r="F4" s="228">
        <f t="shared" ref="F4:F18" si="1">IFERROR(C4-(D4*B4),"")</f>
        <v>31</v>
      </c>
      <c r="G4" s="67"/>
      <c r="H4" s="67"/>
      <c r="J4" s="73"/>
      <c r="K4" s="73"/>
    </row>
    <row r="5" spans="1:11" ht="25.35" customHeight="1" x14ac:dyDescent="0.3">
      <c r="A5" s="221" t="s">
        <v>255</v>
      </c>
      <c r="B5" s="224">
        <f t="shared" ref="B5:B18" si="2">$B$4</f>
        <v>36</v>
      </c>
      <c r="C5" s="227">
        <f>IFERROR(VLOOKUP(A5,'스위트레시피 피벗'!A:SA,3,FALSE),0)</f>
        <v>808</v>
      </c>
      <c r="D5" s="227">
        <f t="shared" si="0"/>
        <v>22</v>
      </c>
      <c r="E5" s="51" t="s">
        <v>335</v>
      </c>
      <c r="F5" s="228">
        <f t="shared" si="1"/>
        <v>16</v>
      </c>
      <c r="G5" s="67"/>
      <c r="H5" s="67"/>
      <c r="J5" s="73"/>
      <c r="K5" s="73"/>
    </row>
    <row r="6" spans="1:11" ht="25.35" customHeight="1" x14ac:dyDescent="0.3">
      <c r="A6" s="221" t="s">
        <v>249</v>
      </c>
      <c r="B6" s="224">
        <f t="shared" si="2"/>
        <v>36</v>
      </c>
      <c r="C6" s="227">
        <f>IFERROR(VLOOKUP(A6,'스위트레시피 피벗'!A:SA,3,FALSE),0)</f>
        <v>429</v>
      </c>
      <c r="D6" s="227">
        <f>IFERROR(ROUNDDOWN(C6/B6,0),"")</f>
        <v>11</v>
      </c>
      <c r="E6" s="51" t="s">
        <v>272</v>
      </c>
      <c r="F6" s="228">
        <f>IFERROR(C6-(D6*B6),"")</f>
        <v>33</v>
      </c>
      <c r="G6" s="67"/>
      <c r="H6" s="67"/>
      <c r="J6" s="73"/>
      <c r="K6" s="73"/>
    </row>
    <row r="7" spans="1:11" ht="25.35" customHeight="1" x14ac:dyDescent="0.3">
      <c r="A7" s="221" t="s">
        <v>250</v>
      </c>
      <c r="B7" s="224">
        <f t="shared" si="2"/>
        <v>36</v>
      </c>
      <c r="C7" s="227">
        <f>IFERROR(VLOOKUP(A7,'스위트레시피 피벗'!A:SA,3,FALSE),0)</f>
        <v>498</v>
      </c>
      <c r="D7" s="227">
        <f>IFERROR(ROUNDDOWN(C7/B7,0),"")</f>
        <v>13</v>
      </c>
      <c r="E7" s="51" t="s">
        <v>273</v>
      </c>
      <c r="F7" s="228">
        <f>IFERROR(C7-(D7*B7),"")</f>
        <v>30</v>
      </c>
      <c r="G7" s="67"/>
      <c r="H7" s="67"/>
      <c r="J7" s="73"/>
      <c r="K7" s="73"/>
    </row>
    <row r="8" spans="1:11" ht="25.35" customHeight="1" x14ac:dyDescent="0.3">
      <c r="A8" s="221" t="s">
        <v>248</v>
      </c>
      <c r="B8" s="224">
        <f t="shared" si="2"/>
        <v>36</v>
      </c>
      <c r="C8" s="227">
        <f>IFERROR(VLOOKUP(A8,'스위트레시피 피벗'!A:SA,3,FALSE),0)</f>
        <v>350</v>
      </c>
      <c r="D8" s="227">
        <f>IFERROR(ROUNDDOWN(C8/B8,0),"")</f>
        <v>9</v>
      </c>
      <c r="E8" s="51" t="s">
        <v>271</v>
      </c>
      <c r="F8" s="228">
        <f>IFERROR(C8-(D8*B8),"")</f>
        <v>26</v>
      </c>
      <c r="G8" s="67"/>
      <c r="H8" s="67"/>
      <c r="J8" s="73"/>
      <c r="K8" s="73"/>
    </row>
    <row r="9" spans="1:11" ht="25.35" customHeight="1" x14ac:dyDescent="0.3">
      <c r="A9" s="221" t="s">
        <v>246</v>
      </c>
      <c r="B9" s="224">
        <f t="shared" si="2"/>
        <v>36</v>
      </c>
      <c r="C9" s="227">
        <f>IFERROR(VLOOKUP(A9,'스위트레시피 피벗'!A:SA,3,FALSE),0)</f>
        <v>268</v>
      </c>
      <c r="D9" s="227">
        <f t="shared" si="0"/>
        <v>7</v>
      </c>
      <c r="E9" s="51" t="s">
        <v>270</v>
      </c>
      <c r="F9" s="228">
        <f t="shared" si="1"/>
        <v>16</v>
      </c>
      <c r="G9" s="67"/>
      <c r="H9" s="67"/>
      <c r="J9" s="73"/>
      <c r="K9" s="73"/>
    </row>
    <row r="10" spans="1:11" ht="25.35" customHeight="1" x14ac:dyDescent="0.3">
      <c r="A10" s="221" t="s">
        <v>256</v>
      </c>
      <c r="B10" s="224">
        <f t="shared" si="2"/>
        <v>36</v>
      </c>
      <c r="C10" s="227">
        <f>IFERROR(VLOOKUP(A10,'스위트레시피 피벗'!A:SA,3,FALSE),0)</f>
        <v>244</v>
      </c>
      <c r="D10" s="227">
        <f>IFERROR(ROUNDDOWN(C10/B10,0),"")</f>
        <v>6</v>
      </c>
      <c r="E10" s="51" t="s">
        <v>278</v>
      </c>
      <c r="F10" s="228">
        <f>IFERROR(C10-(D10*B10),"")</f>
        <v>28</v>
      </c>
      <c r="G10" s="67"/>
      <c r="H10" s="67"/>
      <c r="J10" s="73"/>
      <c r="K10" s="73"/>
    </row>
    <row r="11" spans="1:11" ht="25.35" customHeight="1" x14ac:dyDescent="0.3">
      <c r="A11" s="221" t="s">
        <v>247</v>
      </c>
      <c r="B11" s="224">
        <f t="shared" si="2"/>
        <v>36</v>
      </c>
      <c r="C11" s="227">
        <f>IFERROR(VLOOKUP(A11,'스위트레시피 피벗'!A:SA,3,FALSE),0)</f>
        <v>314</v>
      </c>
      <c r="D11" s="227">
        <f t="shared" si="0"/>
        <v>8</v>
      </c>
      <c r="E11" s="51" t="s">
        <v>334</v>
      </c>
      <c r="F11" s="228">
        <f t="shared" si="1"/>
        <v>26</v>
      </c>
      <c r="G11" s="67"/>
      <c r="H11" s="67"/>
      <c r="J11" s="73"/>
      <c r="K11" s="73"/>
    </row>
    <row r="12" spans="1:11" ht="25.35" customHeight="1" x14ac:dyDescent="0.3">
      <c r="A12" s="221" t="s">
        <v>251</v>
      </c>
      <c r="B12" s="224">
        <f t="shared" si="2"/>
        <v>36</v>
      </c>
      <c r="C12" s="227">
        <f>IFERROR(VLOOKUP(A12,'스위트레시피 피벗'!A:SA,3,FALSE),0)</f>
        <v>461</v>
      </c>
      <c r="D12" s="227">
        <f t="shared" si="0"/>
        <v>12</v>
      </c>
      <c r="E12" s="51" t="s">
        <v>274</v>
      </c>
      <c r="F12" s="228">
        <f t="shared" si="1"/>
        <v>29</v>
      </c>
      <c r="G12" s="67"/>
      <c r="H12" s="67"/>
      <c r="J12" s="73"/>
      <c r="K12" s="73"/>
    </row>
    <row r="13" spans="1:11" ht="25.35" customHeight="1" x14ac:dyDescent="0.3">
      <c r="A13" s="220" t="s">
        <v>252</v>
      </c>
      <c r="B13" s="224">
        <f t="shared" si="2"/>
        <v>36</v>
      </c>
      <c r="C13" s="227">
        <f>IFERROR(VLOOKUP(A13,'스위트레시피 피벗'!A:SA,3,FALSE),0)</f>
        <v>474</v>
      </c>
      <c r="D13" s="227">
        <f t="shared" si="0"/>
        <v>13</v>
      </c>
      <c r="E13" s="51" t="s">
        <v>275</v>
      </c>
      <c r="F13" s="228">
        <f t="shared" si="1"/>
        <v>6</v>
      </c>
      <c r="G13" s="67"/>
      <c r="H13" s="67"/>
      <c r="J13" s="73"/>
      <c r="K13" s="73"/>
    </row>
    <row r="14" spans="1:11" ht="25.35" customHeight="1" x14ac:dyDescent="0.3">
      <c r="A14" s="221" t="s">
        <v>253</v>
      </c>
      <c r="B14" s="224">
        <f t="shared" si="2"/>
        <v>36</v>
      </c>
      <c r="C14" s="227">
        <f>IFERROR(VLOOKUP(A14,'스위트레시피 피벗'!A:SA,3,FALSE),0)</f>
        <v>508</v>
      </c>
      <c r="D14" s="227">
        <f t="shared" si="0"/>
        <v>14</v>
      </c>
      <c r="E14" s="51" t="s">
        <v>276</v>
      </c>
      <c r="F14" s="228">
        <f t="shared" si="1"/>
        <v>4</v>
      </c>
      <c r="G14" s="67"/>
      <c r="H14" s="67"/>
      <c r="J14" s="73"/>
      <c r="K14" s="73"/>
    </row>
    <row r="15" spans="1:11" ht="25.35" customHeight="1" x14ac:dyDescent="0.3">
      <c r="A15" s="221" t="s">
        <v>254</v>
      </c>
      <c r="B15" s="224">
        <f t="shared" si="2"/>
        <v>36</v>
      </c>
      <c r="C15" s="227">
        <f>IFERROR(VLOOKUP(A15,'스위트레시피 피벗'!A:SA,3,FALSE),0)</f>
        <v>617</v>
      </c>
      <c r="D15" s="227">
        <f t="shared" si="0"/>
        <v>17</v>
      </c>
      <c r="E15" s="51" t="s">
        <v>277</v>
      </c>
      <c r="F15" s="228">
        <f t="shared" si="1"/>
        <v>5</v>
      </c>
      <c r="G15" s="67"/>
      <c r="H15" s="67"/>
      <c r="J15" s="73"/>
      <c r="K15" s="73"/>
    </row>
    <row r="16" spans="1:11" ht="25.35" customHeight="1" x14ac:dyDescent="0.3">
      <c r="A16" s="221" t="s">
        <v>257</v>
      </c>
      <c r="B16" s="224">
        <f t="shared" si="2"/>
        <v>36</v>
      </c>
      <c r="C16" s="227">
        <f>IFERROR(VLOOKUP(A16,'스위트레시피 피벗'!A:SA,3,FALSE),0)</f>
        <v>247</v>
      </c>
      <c r="D16" s="227">
        <f t="shared" si="0"/>
        <v>6</v>
      </c>
      <c r="E16" s="51" t="s">
        <v>279</v>
      </c>
      <c r="F16" s="228">
        <f t="shared" si="1"/>
        <v>31</v>
      </c>
      <c r="G16" s="67"/>
      <c r="H16" s="67"/>
      <c r="J16" s="73"/>
      <c r="K16" s="73"/>
    </row>
    <row r="17" spans="1:11" ht="25.35" customHeight="1" x14ac:dyDescent="0.3">
      <c r="A17" s="221" t="s">
        <v>258</v>
      </c>
      <c r="B17" s="224">
        <f t="shared" si="2"/>
        <v>36</v>
      </c>
      <c r="C17" s="227">
        <f>IFERROR(VLOOKUP(A17,'스위트레시피 피벗'!A:SA,3,FALSE),0)</f>
        <v>214</v>
      </c>
      <c r="D17" s="227">
        <f t="shared" si="0"/>
        <v>5</v>
      </c>
      <c r="E17" s="51" t="s">
        <v>280</v>
      </c>
      <c r="F17" s="228">
        <f t="shared" si="1"/>
        <v>34</v>
      </c>
      <c r="G17" s="67"/>
      <c r="H17" s="67"/>
      <c r="J17" s="73"/>
      <c r="K17" s="73"/>
    </row>
    <row r="18" spans="1:11" ht="25.35" customHeight="1" x14ac:dyDescent="0.3">
      <c r="A18" s="221" t="s">
        <v>259</v>
      </c>
      <c r="B18" s="224">
        <f t="shared" si="2"/>
        <v>36</v>
      </c>
      <c r="C18" s="227">
        <f>IFERROR(VLOOKUP(A18,'스위트레시피 피벗'!A:SA,3,FALSE),0)</f>
        <v>245</v>
      </c>
      <c r="D18" s="227">
        <f t="shared" si="0"/>
        <v>6</v>
      </c>
      <c r="E18" s="51" t="s">
        <v>336</v>
      </c>
      <c r="F18" s="228">
        <f t="shared" si="1"/>
        <v>29</v>
      </c>
      <c r="G18" s="67"/>
      <c r="H18" s="67"/>
      <c r="J18" s="73"/>
      <c r="K18" s="73"/>
    </row>
    <row r="19" spans="1:11" ht="4.5" customHeight="1" x14ac:dyDescent="0.3">
      <c r="A19" s="183"/>
      <c r="B19" s="50"/>
      <c r="C19" s="50"/>
      <c r="D19" s="50"/>
      <c r="E19" s="50"/>
      <c r="F19" s="184"/>
      <c r="J19" s="73"/>
      <c r="K19" s="73"/>
    </row>
    <row r="20" spans="1:11" ht="32.450000000000003" customHeight="1" x14ac:dyDescent="0.3">
      <c r="A20" s="211" t="s">
        <v>122</v>
      </c>
      <c r="B20" s="225">
        <f>$B$4</f>
        <v>36</v>
      </c>
      <c r="C20" s="212">
        <f>SUM(C4:C18)</f>
        <v>5816</v>
      </c>
      <c r="D20" s="55">
        <f>IFERROR(ROUNDDOWN(C20/B20,0),"")</f>
        <v>161</v>
      </c>
      <c r="E20" s="213"/>
      <c r="F20" s="214">
        <f>IFERROR(C20-(D20*B20),"")</f>
        <v>20</v>
      </c>
      <c r="J20" s="73"/>
      <c r="K20" s="73"/>
    </row>
    <row r="21" spans="1:11" ht="4.5" customHeight="1" x14ac:dyDescent="0.3">
      <c r="A21" s="183"/>
      <c r="B21" s="224"/>
      <c r="C21" s="50"/>
      <c r="D21" s="50"/>
      <c r="E21" s="50"/>
      <c r="F21" s="184"/>
      <c r="J21" s="73"/>
      <c r="K21" s="73"/>
    </row>
    <row r="22" spans="1:11" ht="25.35" customHeight="1" x14ac:dyDescent="0.3">
      <c r="A22" s="221" t="s">
        <v>241</v>
      </c>
      <c r="B22" s="224">
        <f t="shared" ref="B22:B26" si="3">$B$4</f>
        <v>36</v>
      </c>
      <c r="C22" s="227">
        <f>IFERROR(VLOOKUP(A22,'스위트레시피 피벗'!A:SA,3,FALSE),0)</f>
        <v>476</v>
      </c>
      <c r="D22" s="227">
        <f>IFERROR(ROUNDDOWN(C22/B22,0),"")</f>
        <v>13</v>
      </c>
      <c r="E22" s="51" t="s">
        <v>268</v>
      </c>
      <c r="F22" s="228">
        <f>IFERROR(C22-(D22*B22),"")</f>
        <v>8</v>
      </c>
      <c r="G22" s="67"/>
      <c r="H22" s="67"/>
      <c r="J22" s="73"/>
      <c r="K22" s="73"/>
    </row>
    <row r="23" spans="1:11" ht="25.35" customHeight="1" x14ac:dyDescent="0.3">
      <c r="A23" s="221" t="s">
        <v>242</v>
      </c>
      <c r="B23" s="224">
        <f t="shared" si="3"/>
        <v>36</v>
      </c>
      <c r="C23" s="227">
        <f>IFERROR(VLOOKUP(A23,'스위트레시피 피벗'!A:SA,3,FALSE),0)</f>
        <v>294</v>
      </c>
      <c r="D23" s="227">
        <f>IFERROR(ROUNDDOWN(C23/B23,0),"")</f>
        <v>8</v>
      </c>
      <c r="E23" s="51" t="s">
        <v>337</v>
      </c>
      <c r="F23" s="228">
        <f>IFERROR(C23-(D23*B23),"")</f>
        <v>6</v>
      </c>
      <c r="G23" s="67"/>
      <c r="H23" s="67"/>
      <c r="J23" s="73"/>
      <c r="K23" s="73"/>
    </row>
    <row r="24" spans="1:11" ht="25.35" customHeight="1" x14ac:dyDescent="0.3">
      <c r="A24" s="221" t="s">
        <v>243</v>
      </c>
      <c r="B24" s="224">
        <f t="shared" si="3"/>
        <v>36</v>
      </c>
      <c r="C24" s="227">
        <f>IFERROR(VLOOKUP(A24,'스위트레시피 피벗'!A:SA,3,FALSE),0)</f>
        <v>0</v>
      </c>
      <c r="D24" s="227">
        <f>IFERROR(ROUNDDOWN(C24/B24,0),"")</f>
        <v>0</v>
      </c>
      <c r="E24" s="51" t="s">
        <v>106</v>
      </c>
      <c r="F24" s="228">
        <f>IFERROR(C24-(D24*B24),"")</f>
        <v>0</v>
      </c>
      <c r="G24" s="67"/>
      <c r="H24" s="67"/>
      <c r="J24" s="73"/>
      <c r="K24" s="73"/>
    </row>
    <row r="25" spans="1:11" ht="25.35" customHeight="1" x14ac:dyDescent="0.3">
      <c r="A25" s="221" t="s">
        <v>244</v>
      </c>
      <c r="B25" s="224">
        <f t="shared" si="3"/>
        <v>36</v>
      </c>
      <c r="C25" s="227">
        <f>IFERROR(VLOOKUP(A25,'스위트레시피 피벗'!A:SA,3,FALSE),0)</f>
        <v>362</v>
      </c>
      <c r="D25" s="227">
        <f>IFERROR(ROUNDDOWN(C25/B25,0),"")</f>
        <v>10</v>
      </c>
      <c r="E25" s="51" t="s">
        <v>269</v>
      </c>
      <c r="F25" s="228">
        <f>IFERROR(C25-(D25*B25),"")</f>
        <v>2</v>
      </c>
      <c r="G25" s="67"/>
      <c r="H25" s="67"/>
      <c r="J25" s="73"/>
      <c r="K25" s="73"/>
    </row>
    <row r="26" spans="1:11" ht="25.35" customHeight="1" x14ac:dyDescent="0.3">
      <c r="A26" s="221" t="s">
        <v>245</v>
      </c>
      <c r="B26" s="224">
        <f t="shared" si="3"/>
        <v>36</v>
      </c>
      <c r="C26" s="227">
        <f>IFERROR(VLOOKUP(A26,'스위트레시피 피벗'!A:SA,3,FALSE),0)</f>
        <v>263</v>
      </c>
      <c r="D26" s="227">
        <f>IFERROR(ROUNDDOWN(C26/B26,0),"")</f>
        <v>7</v>
      </c>
      <c r="E26" s="51" t="s">
        <v>118</v>
      </c>
      <c r="F26" s="228">
        <f>IFERROR(C26-(D26*B26),"")</f>
        <v>11</v>
      </c>
      <c r="G26" s="67"/>
      <c r="H26" s="67"/>
      <c r="J26" s="73"/>
      <c r="K26" s="73"/>
    </row>
    <row r="27" spans="1:11" ht="4.5" customHeight="1" x14ac:dyDescent="0.3">
      <c r="A27" s="183"/>
      <c r="B27" s="50"/>
      <c r="C27" s="50"/>
      <c r="D27" s="50"/>
      <c r="E27" s="50"/>
      <c r="F27" s="184"/>
      <c r="G27" s="67"/>
      <c r="H27" s="67"/>
      <c r="J27" s="73"/>
      <c r="K27" s="73"/>
    </row>
    <row r="28" spans="1:11" ht="32.450000000000003" customHeight="1" x14ac:dyDescent="0.3">
      <c r="A28" s="211" t="s">
        <v>285</v>
      </c>
      <c r="B28" s="225">
        <f>$B$4</f>
        <v>36</v>
      </c>
      <c r="C28" s="212">
        <f>SUM(C22:C26)</f>
        <v>1395</v>
      </c>
      <c r="D28" s="55">
        <f>IFERROR(ROUNDDOWN(C28/B28,0),"")</f>
        <v>38</v>
      </c>
      <c r="E28" s="213"/>
      <c r="F28" s="214">
        <f>IFERROR(C28-(D28*B28),"")</f>
        <v>27</v>
      </c>
      <c r="G28" s="67"/>
      <c r="H28" s="67"/>
      <c r="J28" s="73"/>
      <c r="K28" s="73"/>
    </row>
    <row r="29" spans="1:11" ht="4.5" customHeight="1" x14ac:dyDescent="0.3">
      <c r="A29" s="183"/>
      <c r="B29" s="50"/>
      <c r="C29" s="50"/>
      <c r="D29" s="50"/>
      <c r="E29" s="50"/>
      <c r="F29" s="184"/>
      <c r="G29" s="67"/>
      <c r="H29" s="67"/>
      <c r="J29" s="73"/>
      <c r="K29" s="73"/>
    </row>
    <row r="30" spans="1:11" ht="25.35" customHeight="1" x14ac:dyDescent="0.3">
      <c r="A30" s="251" t="s">
        <v>239</v>
      </c>
      <c r="B30" s="252">
        <f t="shared" ref="B30:B31" si="4">$B$4</f>
        <v>36</v>
      </c>
      <c r="C30" s="253">
        <f>IFERROR(VLOOKUP(A30,'스위트레시피 피벗'!A:SA,3,FALSE),0)</f>
        <v>396</v>
      </c>
      <c r="D30" s="253">
        <f t="shared" ref="D30:D31" si="5">IFERROR(ROUNDDOWN(C30/B30,0),"")</f>
        <v>11</v>
      </c>
      <c r="E30" s="254" t="s">
        <v>266</v>
      </c>
      <c r="F30" s="255">
        <f t="shared" ref="F30:F31" si="6">IFERROR(C30-(D30*B30),"")</f>
        <v>0</v>
      </c>
      <c r="G30" s="67"/>
      <c r="H30" s="67"/>
      <c r="J30" s="73"/>
      <c r="K30" s="73"/>
    </row>
    <row r="31" spans="1:11" ht="25.35" customHeight="1" x14ac:dyDescent="0.3">
      <c r="A31" s="221" t="s">
        <v>240</v>
      </c>
      <c r="B31" s="224">
        <f t="shared" si="4"/>
        <v>36</v>
      </c>
      <c r="C31" s="227">
        <f>IFERROR(VLOOKUP(A31,'스위트레시피 피벗'!A:SA,3,FALSE),0)</f>
        <v>371</v>
      </c>
      <c r="D31" s="227">
        <f t="shared" si="5"/>
        <v>10</v>
      </c>
      <c r="E31" s="51" t="s">
        <v>267</v>
      </c>
      <c r="F31" s="228">
        <f t="shared" si="6"/>
        <v>11</v>
      </c>
      <c r="G31" s="67"/>
      <c r="H31" s="67"/>
      <c r="J31" s="73"/>
      <c r="K31" s="73"/>
    </row>
    <row r="32" spans="1:11" ht="4.5" customHeight="1" x14ac:dyDescent="0.3">
      <c r="A32" s="183"/>
      <c r="B32" s="50"/>
      <c r="C32" s="50"/>
      <c r="D32" s="50"/>
      <c r="E32" s="50"/>
      <c r="F32" s="184"/>
      <c r="G32" s="67"/>
      <c r="H32" s="67"/>
      <c r="J32" s="73"/>
      <c r="K32" s="73"/>
    </row>
    <row r="33" spans="1:11" ht="32.450000000000003" customHeight="1" x14ac:dyDescent="0.3">
      <c r="A33" s="211" t="s">
        <v>284</v>
      </c>
      <c r="B33" s="225">
        <f>$B$4</f>
        <v>36</v>
      </c>
      <c r="C33" s="212">
        <f>SUM(C30:C31)</f>
        <v>767</v>
      </c>
      <c r="D33" s="55">
        <f>IFERROR(ROUNDDOWN(C33/B33,0),"")</f>
        <v>21</v>
      </c>
      <c r="E33" s="213"/>
      <c r="F33" s="214">
        <f>IFERROR(C33-(D33*B33),"")</f>
        <v>11</v>
      </c>
      <c r="G33" s="67"/>
      <c r="H33" s="67"/>
      <c r="J33" s="73"/>
      <c r="K33" s="73"/>
    </row>
    <row r="34" spans="1:11" ht="4.5" customHeight="1" x14ac:dyDescent="0.3">
      <c r="A34" s="183"/>
      <c r="B34" s="224"/>
      <c r="C34" s="50"/>
      <c r="D34" s="50"/>
      <c r="E34" s="50"/>
      <c r="F34" s="184"/>
      <c r="G34" s="67"/>
      <c r="H34" s="67"/>
      <c r="J34" s="73"/>
      <c r="K34" s="73"/>
    </row>
    <row r="35" spans="1:11" ht="25.35" customHeight="1" x14ac:dyDescent="0.3">
      <c r="A35" s="221" t="s">
        <v>236</v>
      </c>
      <c r="B35" s="224">
        <f t="shared" ref="B35:B37" si="7">$B$4</f>
        <v>36</v>
      </c>
      <c r="C35" s="227">
        <f>IFERROR(VLOOKUP(A35,'스위트레시피 피벗'!A:SA,3,FALSE),0)</f>
        <v>362</v>
      </c>
      <c r="D35" s="227">
        <f>IFERROR(ROUNDDOWN(C35/B35,0),"")</f>
        <v>10</v>
      </c>
      <c r="E35" s="51" t="s">
        <v>264</v>
      </c>
      <c r="F35" s="228">
        <f>IFERROR(C35-(D35*B35),"")</f>
        <v>2</v>
      </c>
      <c r="G35" s="67"/>
      <c r="H35" s="67"/>
      <c r="J35" s="73"/>
      <c r="K35" s="73"/>
    </row>
    <row r="36" spans="1:11" ht="25.35" customHeight="1" x14ac:dyDescent="0.3">
      <c r="A36" s="221" t="s">
        <v>237</v>
      </c>
      <c r="B36" s="224">
        <f t="shared" si="7"/>
        <v>36</v>
      </c>
      <c r="C36" s="227">
        <f>IFERROR(VLOOKUP(A36,'스위트레시피 피벗'!A:SA,3,FALSE),0)</f>
        <v>249</v>
      </c>
      <c r="D36" s="227">
        <f t="shared" ref="D36:D37" si="8">IFERROR(ROUNDDOWN(C36/B36,0),"")</f>
        <v>6</v>
      </c>
      <c r="E36" s="51" t="s">
        <v>338</v>
      </c>
      <c r="F36" s="228">
        <f t="shared" ref="F36:F37" si="9">IFERROR(C36-(D36*B36),"")</f>
        <v>33</v>
      </c>
      <c r="G36" s="67"/>
      <c r="H36" s="67"/>
      <c r="J36" s="73"/>
      <c r="K36" s="73"/>
    </row>
    <row r="37" spans="1:11" ht="25.35" customHeight="1" x14ac:dyDescent="0.3">
      <c r="A37" s="221" t="s">
        <v>238</v>
      </c>
      <c r="B37" s="224">
        <f t="shared" si="7"/>
        <v>36</v>
      </c>
      <c r="C37" s="227">
        <f>IFERROR(VLOOKUP(A37,'스위트레시피 피벗'!A:SA,3,FALSE),0)</f>
        <v>242</v>
      </c>
      <c r="D37" s="227">
        <f t="shared" si="8"/>
        <v>6</v>
      </c>
      <c r="E37" s="51" t="s">
        <v>265</v>
      </c>
      <c r="F37" s="228">
        <f t="shared" si="9"/>
        <v>26</v>
      </c>
      <c r="G37" s="67"/>
      <c r="H37" s="67"/>
      <c r="J37" s="73"/>
      <c r="K37" s="73"/>
    </row>
    <row r="38" spans="1:11" ht="4.5" customHeight="1" x14ac:dyDescent="0.3">
      <c r="A38" s="183"/>
      <c r="B38" s="50"/>
      <c r="C38" s="50"/>
      <c r="D38" s="50"/>
      <c r="E38" s="50"/>
      <c r="F38" s="184"/>
      <c r="G38" s="67"/>
      <c r="H38" s="67"/>
      <c r="J38" s="73"/>
      <c r="K38" s="73"/>
    </row>
    <row r="39" spans="1:11" ht="32.450000000000003" customHeight="1" x14ac:dyDescent="0.3">
      <c r="A39" s="211" t="s">
        <v>283</v>
      </c>
      <c r="B39" s="225">
        <f>$B$4</f>
        <v>36</v>
      </c>
      <c r="C39" s="212">
        <f>SUM(C35:C37)</f>
        <v>853</v>
      </c>
      <c r="D39" s="55">
        <f>IFERROR(ROUNDDOWN(C39/B39,0),"")</f>
        <v>23</v>
      </c>
      <c r="E39" s="213"/>
      <c r="F39" s="214">
        <f>IFERROR(C39-(D39*B39),"")</f>
        <v>25</v>
      </c>
      <c r="G39" s="67"/>
      <c r="H39" s="67"/>
      <c r="J39" s="73"/>
      <c r="K39" s="73"/>
    </row>
    <row r="40" spans="1:11" ht="4.5" customHeight="1" x14ac:dyDescent="0.3">
      <c r="A40" s="183"/>
      <c r="B40" s="224"/>
      <c r="C40" s="50"/>
      <c r="D40" s="50"/>
      <c r="E40" s="50"/>
      <c r="F40" s="184"/>
      <c r="G40" s="67"/>
      <c r="H40" s="67"/>
      <c r="J40" s="73"/>
      <c r="K40" s="73"/>
    </row>
    <row r="41" spans="1:11" ht="25.35" customHeight="1" x14ac:dyDescent="0.3">
      <c r="A41" s="221" t="s">
        <v>261</v>
      </c>
      <c r="B41" s="224">
        <f t="shared" ref="B41:B42" si="10">$B$4</f>
        <v>36</v>
      </c>
      <c r="C41" s="227">
        <f>IFERROR(VLOOKUP(A41,'스위트레시피 피벗'!A:SA,3,FALSE),0)</f>
        <v>105</v>
      </c>
      <c r="D41" s="227">
        <f t="shared" ref="D41:D42" si="11">IFERROR(ROUNDDOWN(C41/B41,0),"")</f>
        <v>2</v>
      </c>
      <c r="E41" s="51" t="s">
        <v>281</v>
      </c>
      <c r="F41" s="228">
        <f t="shared" ref="F41:F42" si="12">IFERROR(C41-(D41*B41),"")</f>
        <v>33</v>
      </c>
      <c r="G41" s="67"/>
      <c r="H41" s="67"/>
      <c r="J41" s="73"/>
      <c r="K41" s="73"/>
    </row>
    <row r="42" spans="1:11" ht="25.35" customHeight="1" x14ac:dyDescent="0.3">
      <c r="A42" s="221" t="s">
        <v>262</v>
      </c>
      <c r="B42" s="224">
        <f t="shared" si="10"/>
        <v>36</v>
      </c>
      <c r="C42" s="227">
        <f>IFERROR(VLOOKUP(A42,'스위트레시피 피벗'!A:SA,3,FALSE),0)</f>
        <v>145</v>
      </c>
      <c r="D42" s="227">
        <f t="shared" si="11"/>
        <v>4</v>
      </c>
      <c r="E42" s="51" t="s">
        <v>282</v>
      </c>
      <c r="F42" s="228">
        <f t="shared" si="12"/>
        <v>1</v>
      </c>
      <c r="G42" s="67"/>
      <c r="H42" s="67"/>
      <c r="J42" s="73"/>
      <c r="K42" s="73"/>
    </row>
    <row r="43" spans="1:11" ht="4.5" customHeight="1" x14ac:dyDescent="0.3">
      <c r="A43" s="183"/>
      <c r="B43" s="50"/>
      <c r="C43" s="50"/>
      <c r="D43" s="50"/>
      <c r="E43" s="50"/>
      <c r="F43" s="184"/>
      <c r="G43" s="67"/>
      <c r="H43" s="67"/>
      <c r="J43" s="73"/>
      <c r="K43" s="73"/>
    </row>
    <row r="44" spans="1:11" ht="32.450000000000003" customHeight="1" x14ac:dyDescent="0.3">
      <c r="A44" s="211" t="s">
        <v>339</v>
      </c>
      <c r="B44" s="225">
        <f>$B$4</f>
        <v>36</v>
      </c>
      <c r="C44" s="212">
        <f>SUM(C41:C42)</f>
        <v>250</v>
      </c>
      <c r="D44" s="55">
        <f>IFERROR(ROUNDDOWN(C44/B44,0),"")</f>
        <v>6</v>
      </c>
      <c r="E44" s="213"/>
      <c r="F44" s="214">
        <f>IFERROR(C44-(D44*B44),"")</f>
        <v>34</v>
      </c>
      <c r="G44" s="67"/>
      <c r="H44" s="67"/>
      <c r="J44" s="73"/>
      <c r="K44" s="73"/>
    </row>
    <row r="45" spans="1:11" ht="4.5" customHeight="1" thickBot="1" x14ac:dyDescent="0.35">
      <c r="A45" s="183"/>
      <c r="B45" s="50"/>
      <c r="C45" s="50"/>
      <c r="D45" s="50"/>
      <c r="E45" s="50"/>
      <c r="F45" s="184"/>
      <c r="G45" s="67"/>
      <c r="H45" s="67"/>
      <c r="J45" s="73"/>
      <c r="K45" s="73"/>
    </row>
    <row r="46" spans="1:11" ht="26.25" x14ac:dyDescent="0.3">
      <c r="A46" s="87" t="s">
        <v>3</v>
      </c>
      <c r="B46" s="226">
        <f>$B$4</f>
        <v>36</v>
      </c>
      <c r="C46" s="55">
        <f>SUM(C4:C18,C35:C37,C30:C31,C22:C26,C41:C42)</f>
        <v>9081</v>
      </c>
      <c r="D46" s="54">
        <f>IFERROR(ROUNDDOWN(C46/B46,0),"")</f>
        <v>252</v>
      </c>
      <c r="E46" s="56"/>
      <c r="F46" s="121">
        <f>IFERROR(C46-(D46*B46),"")</f>
        <v>9</v>
      </c>
      <c r="G46" s="232" t="s">
        <v>110</v>
      </c>
      <c r="H46" s="233" t="s">
        <v>111</v>
      </c>
      <c r="J46" s="73"/>
      <c r="K46" s="73"/>
    </row>
    <row r="47" spans="1:11" ht="27" thickBot="1" x14ac:dyDescent="0.35">
      <c r="A47" s="42" t="s">
        <v>286</v>
      </c>
      <c r="B47" s="43" t="s">
        <v>173</v>
      </c>
      <c r="C47" s="40"/>
      <c r="D47" s="41">
        <f>SUM(D4:D18,D35:D37,D30:D31,D22:D26,D41:D42)</f>
        <v>239</v>
      </c>
      <c r="E47" s="48"/>
      <c r="F47" s="93">
        <f>SUM(F4:F18,F35:F37,F30:F31,F22:F26,F41:F42)</f>
        <v>477</v>
      </c>
      <c r="G47" s="216">
        <f>IFERROR(ROUNDDOWN(F47/B35,0),"")</f>
        <v>13</v>
      </c>
      <c r="H47" s="217">
        <f>IFERROR(F47-(G47*B35),"")</f>
        <v>9</v>
      </c>
    </row>
    <row r="48" spans="1:11" ht="22.5" customHeight="1" x14ac:dyDescent="0.3">
      <c r="C48" s="77">
        <f>C20+C28+C33+C39+C44</f>
        <v>9081</v>
      </c>
      <c r="G48" s="199"/>
      <c r="H48" s="34" t="s">
        <v>174</v>
      </c>
    </row>
    <row r="49" spans="3:3" x14ac:dyDescent="0.3">
      <c r="C49" s="34" t="b">
        <f>C48=C46</f>
        <v>1</v>
      </c>
    </row>
  </sheetData>
  <mergeCells count="2">
    <mergeCell ref="A1:F1"/>
    <mergeCell ref="B2:C2"/>
  </mergeCells>
  <phoneticPr fontId="13" type="noConversion"/>
  <printOptions horizontalCentered="1" verticalCentered="1"/>
  <pageMargins left="0" right="0" top="0" bottom="0" header="0" footer="0"/>
  <pageSetup paperSize="9" scale="77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1</TotalTime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90</vt:i4>
      </vt:variant>
      <vt:variant>
        <vt:lpstr>이름 지정된 범위</vt:lpstr>
      </vt:variant>
      <vt:variant>
        <vt:i4>89</vt:i4>
      </vt:variant>
    </vt:vector>
  </HeadingPairs>
  <TitlesOfParts>
    <vt:vector size="179" baseType="lpstr">
      <vt:lpstr>검수장</vt:lpstr>
      <vt:lpstr>신라명과피벗</vt:lpstr>
      <vt:lpstr>리얼)모닝롤</vt:lpstr>
      <vt:lpstr>참조은 피벗</vt:lpstr>
      <vt:lpstr>참조은)그릭복숭아모찌롤</vt:lpstr>
      <vt:lpstr>참조은)두바이쫀득초코</vt:lpstr>
      <vt:lpstr>참조은)말차모찌롤케익</vt:lpstr>
      <vt:lpstr>참조은)생초코파이</vt:lpstr>
      <vt:lpstr>참조은)생초코파이쿠앤크</vt:lpstr>
      <vt:lpstr>참조은)우유모찌롤케익</vt:lpstr>
      <vt:lpstr>참조은)초코모찌롤케익</vt:lpstr>
      <vt:lpstr>참조은 피벗(냉장 베이글)</vt:lpstr>
      <vt:lpstr>KH)뉴욕베이글블루베리</vt:lpstr>
      <vt:lpstr>KH)뉴욕베이글쿠앤크</vt:lpstr>
      <vt:lpstr>KH)뉴욕베이글플레인</vt:lpstr>
      <vt:lpstr>kH)뉴욕베이글피넛버터</vt:lpstr>
      <vt:lpstr>조인앤조인 피벗</vt:lpstr>
      <vt:lpstr>405)베어스무화과깜빠뉴</vt:lpstr>
      <vt:lpstr>405)베어스지중해식깜빠뉴</vt:lpstr>
      <vt:lpstr>널담)다크초코호두쿠키</vt:lpstr>
      <vt:lpstr>널담)도넛케이크아몬드</vt:lpstr>
      <vt:lpstr>널담)도넛케이크초코</vt:lpstr>
      <vt:lpstr>널담)베이컨치즈베이글</vt:lpstr>
      <vt:lpstr>널담)블랙올리브베이글</vt:lpstr>
      <vt:lpstr>널담)화이트초코마카쿠키</vt:lpstr>
      <vt:lpstr>널담)황치즈쿠키</vt:lpstr>
      <vt:lpstr>대신 피벗</vt:lpstr>
      <vt:lpstr>도)깐풍기&amp;표고탕수1</vt:lpstr>
      <vt:lpstr>도)깐풍기&amp;표고탕수2</vt:lpstr>
      <vt:lpstr>도)리얼모짜치즈돈까스1</vt:lpstr>
      <vt:lpstr>도)리얼모짜치즈돈까스2</vt:lpstr>
      <vt:lpstr>도)리얼치즈고구마돈까스1</vt:lpstr>
      <vt:lpstr>도)리얼치즈고구마돈까스2</vt:lpstr>
      <vt:lpstr>도)윙봉칠리탕수득템1</vt:lpstr>
      <vt:lpstr>도)윙봉칠리탕수득템2</vt:lpstr>
      <vt:lpstr>도)찍먹윙봉1</vt:lpstr>
      <vt:lpstr>도)찍먹윙봉2</vt:lpstr>
      <vt:lpstr>도)찍먹탕수육1</vt:lpstr>
      <vt:lpstr>도)찍먹탕수육2</vt:lpstr>
      <vt:lpstr>도)치맥아보트러플치킨1</vt:lpstr>
      <vt:lpstr>도)치맥아보트러플치킨2</vt:lpstr>
      <vt:lpstr>도)치즈매콤닭강정감자1</vt:lpstr>
      <vt:lpstr>도)치즈매콤닭강정감자2</vt:lpstr>
      <vt:lpstr>도)치즈청양간장닭강정1</vt:lpstr>
      <vt:lpstr>도)치즈청양간장닭강정2</vt:lpstr>
      <vt:lpstr>도)쿵야반반닭강정팩1</vt:lpstr>
      <vt:lpstr>도)쿵야반반닭강정팩2</vt:lpstr>
      <vt:lpstr>대신 APP예약피벗</vt:lpstr>
      <vt:lpstr>APP)치맥아보트러플치킨2</vt:lpstr>
      <vt:lpstr>네이처몬스터피벗</vt:lpstr>
      <vt:lpstr>홍만당)요거트찹쌀떡딸기</vt:lpstr>
      <vt:lpstr>홍만당)요거트찹쌀떡플레</vt:lpstr>
      <vt:lpstr>홍만당)인절미버터토스트</vt:lpstr>
      <vt:lpstr>홍만당)인절미토스트땅콩</vt:lpstr>
      <vt:lpstr>홍만당)쫀득말차크림모찌 </vt:lpstr>
      <vt:lpstr>홍만당)쫀득초코크림모찌</vt:lpstr>
      <vt:lpstr>스윗밸런스 피벗</vt:lpstr>
      <vt:lpstr>샐)닭가슴살&amp;단호박샐2</vt:lpstr>
      <vt:lpstr>샐)돈불고기온샐러드2</vt:lpstr>
      <vt:lpstr>샐)멕시칸닭가슴살샐러드2</vt:lpstr>
      <vt:lpstr>샐)치킨너겟&amp;에그샐러드2</vt:lpstr>
      <vt:lpstr>스윗밸런스 APP예약피벗</vt:lpstr>
      <vt:lpstr>APP)너비아니랜치랩샌드2</vt:lpstr>
      <vt:lpstr>스위트레시피 피벗</vt:lpstr>
      <vt:lpstr>레쉬피)말차건반초콜릿</vt:lpstr>
      <vt:lpstr>레쉬피)모찌파베다크</vt:lpstr>
      <vt:lpstr>2300원굿딜)매콤불고기1</vt:lpstr>
      <vt:lpstr>2300원굿딜)매콤불고기2</vt:lpstr>
      <vt:lpstr>2300원굿딜)불갈비버거1</vt:lpstr>
      <vt:lpstr>2300원굿딜)불갈비버거2</vt:lpstr>
      <vt:lpstr>NEW직화석쇠불고기버거1편</vt:lpstr>
      <vt:lpstr>NEW직화석쇠불고기버거2편</vt:lpstr>
      <vt:lpstr>매콤직화석쇠불고기버거1편</vt:lpstr>
      <vt:lpstr>매콤직화석쇠불고기버거2편</vt:lpstr>
      <vt:lpstr>치즈왕돈까스버거1편</vt:lpstr>
      <vt:lpstr>치즈왕돈까스버거2편</vt:lpstr>
      <vt:lpstr>황치즈직화석쇠불고기버거1편</vt:lpstr>
      <vt:lpstr>황치즈직화석쇠불고기버거2편</vt:lpstr>
      <vt:lpstr>예)그릭샐러드</vt:lpstr>
      <vt:lpstr>예)닭가슴살샐러드</vt:lpstr>
      <vt:lpstr>예)들기름막국수샐러드</vt:lpstr>
      <vt:lpstr>예)모짜렐라샐러드</vt:lpstr>
      <vt:lpstr>예)새우샐러드</vt:lpstr>
      <vt:lpstr>예)연어샐러드</vt:lpstr>
      <vt:lpstr>예)직화불고기샐러드)</vt:lpstr>
      <vt:lpstr>예)칠리치킨샐러드</vt:lpstr>
      <vt:lpstr>예약)26년순살갈비탕</vt:lpstr>
      <vt:lpstr>예약)26년스지도가니탕</vt:lpstr>
      <vt:lpstr>예약)26년전통추어탕</vt:lpstr>
      <vt:lpstr>예약)26년한마리민물장어덮밥</vt:lpstr>
      <vt:lpstr>'2300원굿딜)매콤불고기1'!Print_Area</vt:lpstr>
      <vt:lpstr>'2300원굿딜)매콤불고기2'!Print_Area</vt:lpstr>
      <vt:lpstr>'2300원굿딜)불갈비버거1'!Print_Area</vt:lpstr>
      <vt:lpstr>'2300원굿딜)불갈비버거2'!Print_Area</vt:lpstr>
      <vt:lpstr>'405)베어스무화과깜빠뉴'!Print_Area</vt:lpstr>
      <vt:lpstr>'405)베어스지중해식깜빠뉴'!Print_Area</vt:lpstr>
      <vt:lpstr>'APP)너비아니랜치랩샌드2'!Print_Area</vt:lpstr>
      <vt:lpstr>'APP)치맥아보트러플치킨2'!Print_Area</vt:lpstr>
      <vt:lpstr>'KH)뉴욕베이글블루베리'!Print_Area</vt:lpstr>
      <vt:lpstr>'KH)뉴욕베이글쿠앤크'!Print_Area</vt:lpstr>
      <vt:lpstr>'KH)뉴욕베이글플레인'!Print_Area</vt:lpstr>
      <vt:lpstr>'kH)뉴욕베이글피넛버터'!Print_Area</vt:lpstr>
      <vt:lpstr>NEW직화석쇠불고기버거1편!Print_Area</vt:lpstr>
      <vt:lpstr>NEW직화석쇠불고기버거2편!Print_Area</vt:lpstr>
      <vt:lpstr>검수장!Print_Area</vt:lpstr>
      <vt:lpstr>'널담)다크초코호두쿠키'!Print_Area</vt:lpstr>
      <vt:lpstr>'널담)도넛케이크아몬드'!Print_Area</vt:lpstr>
      <vt:lpstr>'널담)도넛케이크초코'!Print_Area</vt:lpstr>
      <vt:lpstr>'널담)베이컨치즈베이글'!Print_Area</vt:lpstr>
      <vt:lpstr>'널담)블랙올리브베이글'!Print_Area</vt:lpstr>
      <vt:lpstr>'널담)화이트초코마카쿠키'!Print_Area</vt:lpstr>
      <vt:lpstr>'널담)황치즈쿠키'!Print_Area</vt:lpstr>
      <vt:lpstr>네이처몬스터피벗!Print_Area</vt:lpstr>
      <vt:lpstr>'대신 APP예약피벗'!Print_Area</vt:lpstr>
      <vt:lpstr>'대신 피벗'!Print_Area</vt:lpstr>
      <vt:lpstr>'도)깐풍기&amp;표고탕수1'!Print_Area</vt:lpstr>
      <vt:lpstr>'도)깐풍기&amp;표고탕수2'!Print_Area</vt:lpstr>
      <vt:lpstr>'도)리얼모짜치즈돈까스1'!Print_Area</vt:lpstr>
      <vt:lpstr>'도)리얼모짜치즈돈까스2'!Print_Area</vt:lpstr>
      <vt:lpstr>'도)리얼치즈고구마돈까스1'!Print_Area</vt:lpstr>
      <vt:lpstr>'도)리얼치즈고구마돈까스2'!Print_Area</vt:lpstr>
      <vt:lpstr>'도)윙봉칠리탕수득템1'!Print_Area</vt:lpstr>
      <vt:lpstr>'도)윙봉칠리탕수득템2'!Print_Area</vt:lpstr>
      <vt:lpstr>'도)찍먹윙봉1'!Print_Area</vt:lpstr>
      <vt:lpstr>'도)찍먹윙봉2'!Print_Area</vt:lpstr>
      <vt:lpstr>'도)찍먹탕수육1'!Print_Area</vt:lpstr>
      <vt:lpstr>'도)찍먹탕수육2'!Print_Area</vt:lpstr>
      <vt:lpstr>'도)치맥아보트러플치킨1'!Print_Area</vt:lpstr>
      <vt:lpstr>'도)치맥아보트러플치킨2'!Print_Area</vt:lpstr>
      <vt:lpstr>'도)치즈매콤닭강정감자1'!Print_Area</vt:lpstr>
      <vt:lpstr>'도)치즈매콤닭강정감자2'!Print_Area</vt:lpstr>
      <vt:lpstr>'도)치즈청양간장닭강정1'!Print_Area</vt:lpstr>
      <vt:lpstr>'도)치즈청양간장닭강정2'!Print_Area</vt:lpstr>
      <vt:lpstr>'도)쿵야반반닭강정팩1'!Print_Area</vt:lpstr>
      <vt:lpstr>'도)쿵야반반닭강정팩2'!Print_Area</vt:lpstr>
      <vt:lpstr>'레쉬피)말차건반초콜릿'!Print_Area</vt:lpstr>
      <vt:lpstr>'레쉬피)모찌파베다크'!Print_Area</vt:lpstr>
      <vt:lpstr>'리얼)모닝롤'!Print_Area</vt:lpstr>
      <vt:lpstr>매콤직화석쇠불고기버거1편!Print_Area</vt:lpstr>
      <vt:lpstr>매콤직화석쇠불고기버거2편!Print_Area</vt:lpstr>
      <vt:lpstr>'샐)닭가슴살&amp;단호박샐2'!Print_Area</vt:lpstr>
      <vt:lpstr>'샐)돈불고기온샐러드2'!Print_Area</vt:lpstr>
      <vt:lpstr>'샐)멕시칸닭가슴살샐러드2'!Print_Area</vt:lpstr>
      <vt:lpstr>'샐)치킨너겟&amp;에그샐러드2'!Print_Area</vt:lpstr>
      <vt:lpstr>'스위트레시피 피벗'!Print_Area</vt:lpstr>
      <vt:lpstr>'스윗밸런스 APP예약피벗'!Print_Area</vt:lpstr>
      <vt:lpstr>'스윗밸런스 피벗'!Print_Area</vt:lpstr>
      <vt:lpstr>'예)그릭샐러드'!Print_Area</vt:lpstr>
      <vt:lpstr>'예)닭가슴살샐러드'!Print_Area</vt:lpstr>
      <vt:lpstr>'예)들기름막국수샐러드'!Print_Area</vt:lpstr>
      <vt:lpstr>'예)모짜렐라샐러드'!Print_Area</vt:lpstr>
      <vt:lpstr>'예)새우샐러드'!Print_Area</vt:lpstr>
      <vt:lpstr>'예)연어샐러드'!Print_Area</vt:lpstr>
      <vt:lpstr>'예)직화불고기샐러드)'!Print_Area</vt:lpstr>
      <vt:lpstr>'예)칠리치킨샐러드'!Print_Area</vt:lpstr>
      <vt:lpstr>'예약)26년순살갈비탕'!Print_Area</vt:lpstr>
      <vt:lpstr>'예약)26년스지도가니탕'!Print_Area</vt:lpstr>
      <vt:lpstr>'예약)26년전통추어탕'!Print_Area</vt:lpstr>
      <vt:lpstr>'예약)26년한마리민물장어덮밥'!Print_Area</vt:lpstr>
      <vt:lpstr>'조인앤조인 피벗'!Print_Area</vt:lpstr>
      <vt:lpstr>'참조은 피벗'!Print_Area</vt:lpstr>
      <vt:lpstr>'참조은 피벗(냉장 베이글)'!Print_Area</vt:lpstr>
      <vt:lpstr>'참조은)그릭복숭아모찌롤'!Print_Area</vt:lpstr>
      <vt:lpstr>'참조은)두바이쫀득초코'!Print_Area</vt:lpstr>
      <vt:lpstr>'참조은)말차모찌롤케익'!Print_Area</vt:lpstr>
      <vt:lpstr>'참조은)생초코파이'!Print_Area</vt:lpstr>
      <vt:lpstr>'참조은)생초코파이쿠앤크'!Print_Area</vt:lpstr>
      <vt:lpstr>'참조은)우유모찌롤케익'!Print_Area</vt:lpstr>
      <vt:lpstr>'참조은)초코모찌롤케익'!Print_Area</vt:lpstr>
      <vt:lpstr>치즈왕돈까스버거1편!Print_Area</vt:lpstr>
      <vt:lpstr>치즈왕돈까스버거2편!Print_Area</vt:lpstr>
      <vt:lpstr>'홍만당)요거트찹쌀떡딸기'!Print_Area</vt:lpstr>
      <vt:lpstr>'홍만당)요거트찹쌀떡플레'!Print_Area</vt:lpstr>
      <vt:lpstr>'홍만당)인절미버터토스트'!Print_Area</vt:lpstr>
      <vt:lpstr>'홍만당)인절미토스트땅콩'!Print_Area</vt:lpstr>
      <vt:lpstr>'홍만당)쫀득말차크림모찌 '!Print_Area</vt:lpstr>
      <vt:lpstr>'홍만당)쫀득초코크림모찌'!Print_Area</vt:lpstr>
      <vt:lpstr>황치즈직화석쇠불고기버거1편!Print_Area</vt:lpstr>
      <vt:lpstr>황치즈직화석쇠불고기버거2편!Print_Area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2015</dc:creator>
  <cp:lastModifiedBy>oem</cp:lastModifiedBy>
  <cp:revision>2</cp:revision>
  <cp:lastPrinted>2026-10-19T02:49:55Z</cp:lastPrinted>
  <dcterms:created xsi:type="dcterms:W3CDTF">2019-12-22T14:27:20Z</dcterms:created>
  <dcterms:modified xsi:type="dcterms:W3CDTF">2026-10-19T05:06:12Z</dcterms:modified>
  <cp:version>1100.0100.01</cp:version>
</cp:coreProperties>
</file>