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35\공유폴더\상온및냉동\5. E24냉동(4시 이후)\"/>
    </mc:Choice>
  </mc:AlternateContent>
  <xr:revisionPtr revIDLastSave="0" documentId="13_ncr:1_{77DF0EC1-6623-4EC9-B789-04B238B485CA}" xr6:coauthVersionLast="47" xr6:coauthVersionMax="47" xr10:uidLastSave="{00000000-0000-0000-0000-000000000000}"/>
  <bookViews>
    <workbookView xWindow="34845" yWindow="0" windowWidth="22755" windowHeight="15420" tabRatio="916" xr2:uid="{00000000-000D-0000-FFFF-FFFF00000000}"/>
  </bookViews>
  <sheets>
    <sheet name="금토일피벗" sheetId="4" r:id="rId1"/>
    <sheet name="옐로우)달콤닭강정300g" sheetId="5" r:id="rId2"/>
    <sheet name="옐로우)매콤닭강정300g" sheetId="6" r:id="rId3"/>
    <sheet name="이그니스 피벗" sheetId="7" state="hidden" r:id="rId4"/>
    <sheet name="한끼통살)바베큐닭가슴살100g" sheetId="8" state="hidden" r:id="rId5"/>
    <sheet name="한끼통살)볼케이노닭가슴살100g" sheetId="9" state="hidden" r:id="rId6"/>
    <sheet name="한끼통살)소이갈릭닭가슴살100g" sheetId="10" state="hidden" r:id="rId7"/>
    <sheet name="한끼통살)오리지널닭가슴살100g" sheetId="11" state="hidden" r:id="rId8"/>
    <sheet name="미스터밀크피벗" sheetId="12" r:id="rId9"/>
    <sheet name="제주성이시돌목장)녹차젤라또미니컵" sheetId="31" r:id="rId10"/>
    <sheet name="제주성이시돌목장)녹차젤라또파인트" sheetId="13" r:id="rId11"/>
    <sheet name="제주성이시돌목장)요거트젤라또미니컵" sheetId="14" r:id="rId12"/>
    <sheet name="제주성이시돌목장)요거트젤라또파인트473ml" sheetId="15" r:id="rId13"/>
    <sheet name="제주성이시돌목장)우유젤라또미니컵" sheetId="16" r:id="rId14"/>
    <sheet name="제주성이시돌목장)우유젤라또파인트473ml" sheetId="32" r:id="rId15"/>
    <sheet name="제주성이시돌목장)초코젤라또미니컵100ml" sheetId="33" r:id="rId16"/>
    <sheet name="제주성이시돌목장)초코젤라또파인트473ml" sheetId="34" r:id="rId17"/>
    <sheet name="미담롤피벗" sheetId="17" r:id="rId18"/>
    <sheet name="자망요)자망요크림모찌60g(냉동)" sheetId="26" r:id="rId19"/>
    <sheet name="윈즈 피벗 " sheetId="27" r:id="rId20"/>
    <sheet name="티아이)크림브륄레90g" sheetId="28" r:id="rId21"/>
    <sheet name="조선호텔피벗" sheetId="20" r:id="rId22"/>
    <sheet name="조선호텔)꿔바로우450g" sheetId="21" r:id="rId23"/>
    <sheet name="조선호텔)떡갈비345g" sheetId="22" r:id="rId24"/>
    <sheet name="조선호텔)마카다미아치즈아이스크림케이크" sheetId="23" r:id="rId25"/>
    <sheet name="조선호텔)크림새우380g (2)" sheetId="24" r:id="rId26"/>
    <sheet name="스위트조이 피벗  " sheetId="29" r:id="rId27"/>
    <sheet name="토이스토리 아이스바" sheetId="30" r:id="rId28"/>
    <sheet name="삼진 피벗 " sheetId="35" r:id="rId29"/>
    <sheet name="삼진)미니땡초봉꼬치320g" sheetId="36" r:id="rId30"/>
    <sheet name="삼진)미니어묵꼬치290g" sheetId="37" r:id="rId31"/>
  </sheets>
  <definedNames>
    <definedName name="_xlnm._FilterDatabase" localSheetId="1" hidden="1">'옐로우)달콤닭강정300g'!$A$3:$F$11</definedName>
    <definedName name="_xlnm._FilterDatabase" localSheetId="2" hidden="1">'옐로우)매콤닭강정300g'!$A$2:$F$25</definedName>
    <definedName name="_xlnm.Print_Area" localSheetId="29">'삼진)미니땡초봉꼬치320g'!$A$1:$F$29</definedName>
    <definedName name="_xlnm.Print_Area" localSheetId="30">'삼진)미니어묵꼬치290g'!$A$1:$F$29</definedName>
    <definedName name="_xlnm.Print_Area" localSheetId="1">'옐로우)달콤닭강정300g'!$A$1:$F$27</definedName>
    <definedName name="_xlnm.Print_Area" localSheetId="2">'옐로우)매콤닭강정300g'!$A$1:$F$27</definedName>
    <definedName name="_xlnm.Print_Area" localSheetId="18">'자망요)자망요크림모찌60g(냉동)'!$A$1:$F$30</definedName>
    <definedName name="_xlnm.Print_Area" localSheetId="9">'제주성이시돌목장)녹차젤라또미니컵'!$A$1:$F$30</definedName>
    <definedName name="_xlnm.Print_Area" localSheetId="10">'제주성이시돌목장)녹차젤라또파인트'!$A$1:$F$30</definedName>
    <definedName name="_xlnm.Print_Area" localSheetId="11">'제주성이시돌목장)요거트젤라또미니컵'!$A$1:$F$30</definedName>
    <definedName name="_xlnm.Print_Area" localSheetId="12">'제주성이시돌목장)요거트젤라또파인트473ml'!$A$1:$F$30</definedName>
    <definedName name="_xlnm.Print_Area" localSheetId="13">'제주성이시돌목장)우유젤라또미니컵'!$A$1:$F$30</definedName>
    <definedName name="_xlnm.Print_Area" localSheetId="14">'제주성이시돌목장)우유젤라또파인트473ml'!$A$1:$F$30</definedName>
    <definedName name="_xlnm.Print_Area" localSheetId="15">'제주성이시돌목장)초코젤라또미니컵100ml'!$A$1:$F$30</definedName>
    <definedName name="_xlnm.Print_Area" localSheetId="16">'제주성이시돌목장)초코젤라또파인트473ml'!$A$1:$F$30</definedName>
    <definedName name="_xlnm.Print_Area" localSheetId="22">'조선호텔)꿔바로우450g'!$A$1:$F$30</definedName>
    <definedName name="_xlnm.Print_Area" localSheetId="23">'조선호텔)떡갈비345g'!$A$1:$F$30</definedName>
    <definedName name="_xlnm.Print_Area" localSheetId="24">'조선호텔)마카다미아치즈아이스크림케이크'!$A$1:$F$30</definedName>
    <definedName name="_xlnm.Print_Area" localSheetId="25">'조선호텔)크림새우380g (2)'!$A$1:$F$30</definedName>
    <definedName name="_xlnm.Print_Area" localSheetId="27">'토이스토리 아이스바'!$A$1:$F$29</definedName>
    <definedName name="_xlnm.Print_Area" localSheetId="20">'티아이)크림브륄레90g'!$A$1:$F$30</definedName>
    <definedName name="_xlnm.Print_Area" localSheetId="4">'한끼통살)바베큐닭가슴살100g'!$A$1:$F$30</definedName>
    <definedName name="_xlnm.Print_Area" localSheetId="5">'한끼통살)볼케이노닭가슴살100g'!$A$1:$F$30</definedName>
    <definedName name="_xlnm.Print_Area" localSheetId="6">'한끼통살)소이갈릭닭가슴살100g'!$A$1:$F$30</definedName>
    <definedName name="_xlnm.Print_Area" localSheetId="7">'한끼통살)오리지널닭가슴살100g'!$A$1:$F$30</definedName>
    <definedName name="_xlnm.Print_Area">#REF!</definedName>
    <definedName name="정진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6" l="1"/>
  <c r="C5" i="26"/>
  <c r="C6" i="26"/>
  <c r="C7" i="26"/>
  <c r="C8" i="26"/>
  <c r="C9" i="26"/>
  <c r="C10" i="26"/>
  <c r="C13" i="26"/>
  <c r="C14" i="26"/>
  <c r="C17" i="26"/>
  <c r="C18" i="26"/>
  <c r="C21" i="26"/>
  <c r="C21" i="37"/>
  <c r="C22" i="37" s="1"/>
  <c r="C18" i="37"/>
  <c r="C17" i="37"/>
  <c r="C14" i="37"/>
  <c r="C13" i="37"/>
  <c r="C5" i="37"/>
  <c r="C6" i="37"/>
  <c r="C7" i="37"/>
  <c r="C8" i="37"/>
  <c r="C9" i="37"/>
  <c r="C10" i="37"/>
  <c r="C4" i="37"/>
  <c r="B24" i="37"/>
  <c r="B22" i="37"/>
  <c r="B21" i="37"/>
  <c r="B19" i="37"/>
  <c r="B18" i="37"/>
  <c r="B17" i="37"/>
  <c r="B15" i="37"/>
  <c r="B14" i="37"/>
  <c r="B13" i="37"/>
  <c r="B11" i="37"/>
  <c r="B10" i="37"/>
  <c r="B9" i="37"/>
  <c r="B8" i="37"/>
  <c r="B7" i="37"/>
  <c r="B6" i="37"/>
  <c r="B5" i="37"/>
  <c r="A3" i="37"/>
  <c r="A2" i="37"/>
  <c r="B24" i="36"/>
  <c r="B22" i="36"/>
  <c r="C21" i="36"/>
  <c r="C22" i="36" s="1"/>
  <c r="B21" i="36"/>
  <c r="B19" i="36"/>
  <c r="C18" i="36"/>
  <c r="B18" i="36"/>
  <c r="C17" i="36"/>
  <c r="B17" i="36"/>
  <c r="B15" i="36"/>
  <c r="C14" i="36"/>
  <c r="B14" i="36"/>
  <c r="C13" i="36"/>
  <c r="B13" i="36"/>
  <c r="B11" i="36"/>
  <c r="C10" i="36"/>
  <c r="B10" i="36"/>
  <c r="C9" i="36"/>
  <c r="B9" i="36"/>
  <c r="C8" i="36"/>
  <c r="B8" i="36"/>
  <c r="C7" i="36"/>
  <c r="B7" i="36"/>
  <c r="C6" i="36"/>
  <c r="B6" i="36"/>
  <c r="C5" i="36"/>
  <c r="B5" i="36"/>
  <c r="C4" i="36"/>
  <c r="A3" i="36"/>
  <c r="A2" i="36"/>
  <c r="A2" i="16"/>
  <c r="C21" i="34"/>
  <c r="C22" i="34" s="1"/>
  <c r="C18" i="34"/>
  <c r="C17" i="34"/>
  <c r="C14" i="34"/>
  <c r="C13" i="34"/>
  <c r="C5" i="34"/>
  <c r="C6" i="34"/>
  <c r="C7" i="34"/>
  <c r="C8" i="34"/>
  <c r="C9" i="34"/>
  <c r="C10" i="34"/>
  <c r="C4" i="34"/>
  <c r="B24" i="34"/>
  <c r="B22" i="34"/>
  <c r="B21" i="34"/>
  <c r="B19" i="34"/>
  <c r="B18" i="34"/>
  <c r="B17" i="34"/>
  <c r="B15" i="34"/>
  <c r="B14" i="34"/>
  <c r="B13" i="34"/>
  <c r="B11" i="34"/>
  <c r="B10" i="34"/>
  <c r="B9" i="34"/>
  <c r="B8" i="34"/>
  <c r="B7" i="34"/>
  <c r="B6" i="34"/>
  <c r="B5" i="34"/>
  <c r="A3" i="34"/>
  <c r="A2" i="34"/>
  <c r="C21" i="33"/>
  <c r="C22" i="33" s="1"/>
  <c r="C18" i="33"/>
  <c r="C17" i="33"/>
  <c r="C14" i="33"/>
  <c r="C13" i="33"/>
  <c r="C5" i="33"/>
  <c r="C6" i="33"/>
  <c r="C7" i="33"/>
  <c r="C8" i="33"/>
  <c r="C9" i="33"/>
  <c r="C10" i="33"/>
  <c r="C4" i="33"/>
  <c r="B24" i="33"/>
  <c r="B22" i="33"/>
  <c r="B21" i="33"/>
  <c r="B19" i="33"/>
  <c r="B18" i="33"/>
  <c r="B17" i="33"/>
  <c r="B15" i="33"/>
  <c r="B14" i="33"/>
  <c r="B13" i="33"/>
  <c r="B11" i="33"/>
  <c r="B10" i="33"/>
  <c r="B9" i="33"/>
  <c r="B8" i="33"/>
  <c r="B7" i="33"/>
  <c r="B6" i="33"/>
  <c r="B5" i="33"/>
  <c r="A3" i="33"/>
  <c r="A2" i="33"/>
  <c r="C21" i="32"/>
  <c r="C22" i="32" s="1"/>
  <c r="C18" i="32"/>
  <c r="C17" i="32"/>
  <c r="C14" i="32"/>
  <c r="C13" i="32"/>
  <c r="C5" i="32"/>
  <c r="C6" i="32"/>
  <c r="C7" i="32"/>
  <c r="C8" i="32"/>
  <c r="C9" i="32"/>
  <c r="C10" i="32"/>
  <c r="C4" i="32"/>
  <c r="B24" i="32"/>
  <c r="B22" i="32"/>
  <c r="B21" i="32"/>
  <c r="B19" i="32"/>
  <c r="B18" i="32"/>
  <c r="B17" i="32"/>
  <c r="B15" i="32"/>
  <c r="B14" i="32"/>
  <c r="B13" i="32"/>
  <c r="B11" i="32"/>
  <c r="B10" i="32"/>
  <c r="B9" i="32"/>
  <c r="B8" i="32"/>
  <c r="B7" i="32"/>
  <c r="B6" i="32"/>
  <c r="B5" i="32"/>
  <c r="A3" i="32"/>
  <c r="A2" i="32"/>
  <c r="C21" i="16"/>
  <c r="C18" i="16"/>
  <c r="C17" i="16"/>
  <c r="C14" i="16"/>
  <c r="C13" i="16"/>
  <c r="C5" i="16"/>
  <c r="C6" i="16"/>
  <c r="C7" i="16"/>
  <c r="C8" i="16"/>
  <c r="C9" i="16"/>
  <c r="C10" i="16"/>
  <c r="C4" i="16"/>
  <c r="C4" i="14"/>
  <c r="C21" i="13"/>
  <c r="C18" i="13"/>
  <c r="C17" i="13"/>
  <c r="C14" i="13"/>
  <c r="C13" i="13"/>
  <c r="C5" i="13"/>
  <c r="C6" i="13"/>
  <c r="C7" i="13"/>
  <c r="C8" i="13"/>
  <c r="C9" i="13"/>
  <c r="C10" i="13"/>
  <c r="C4" i="13"/>
  <c r="C21" i="31"/>
  <c r="C22" i="31" s="1"/>
  <c r="C18" i="31"/>
  <c r="C17" i="31"/>
  <c r="C14" i="31"/>
  <c r="C13" i="31"/>
  <c r="C5" i="31"/>
  <c r="C6" i="31"/>
  <c r="C7" i="31"/>
  <c r="C8" i="31"/>
  <c r="C9" i="31"/>
  <c r="C10" i="31"/>
  <c r="C4" i="31"/>
  <c r="C21" i="15"/>
  <c r="C18" i="15"/>
  <c r="C17" i="15"/>
  <c r="C14" i="15"/>
  <c r="C13" i="15"/>
  <c r="C5" i="15"/>
  <c r="C6" i="15"/>
  <c r="C7" i="15"/>
  <c r="C8" i="15"/>
  <c r="C9" i="15"/>
  <c r="C10" i="15"/>
  <c r="C4" i="15"/>
  <c r="C21" i="14"/>
  <c r="C18" i="14"/>
  <c r="C17" i="14"/>
  <c r="C14" i="14"/>
  <c r="C13" i="14"/>
  <c r="C5" i="14"/>
  <c r="C6" i="14"/>
  <c r="C7" i="14"/>
  <c r="C8" i="14"/>
  <c r="C9" i="14"/>
  <c r="C10" i="14"/>
  <c r="B24" i="31"/>
  <c r="B22" i="31"/>
  <c r="B21" i="31"/>
  <c r="B19" i="31"/>
  <c r="B18" i="31"/>
  <c r="B17" i="31"/>
  <c r="B15" i="31"/>
  <c r="B14" i="31"/>
  <c r="B13" i="31"/>
  <c r="B11" i="31"/>
  <c r="B10" i="31"/>
  <c r="B9" i="31"/>
  <c r="B8" i="31"/>
  <c r="B7" i="31"/>
  <c r="B6" i="31"/>
  <c r="B5" i="31"/>
  <c r="A3" i="31"/>
  <c r="A2" i="31"/>
  <c r="A2" i="30"/>
  <c r="D8" i="37" l="1"/>
  <c r="F8" i="37" s="1"/>
  <c r="D17" i="37"/>
  <c r="F17" i="37" s="1"/>
  <c r="D10" i="37"/>
  <c r="F10" i="37" s="1"/>
  <c r="D6" i="37"/>
  <c r="F6" i="37" s="1"/>
  <c r="C11" i="36"/>
  <c r="D11" i="36" s="1"/>
  <c r="F11" i="36" s="1"/>
  <c r="C15" i="36"/>
  <c r="D15" i="36" s="1"/>
  <c r="F15" i="36" s="1"/>
  <c r="D18" i="37"/>
  <c r="F18" i="37" s="1"/>
  <c r="C15" i="37"/>
  <c r="D15" i="37" s="1"/>
  <c r="F15" i="37" s="1"/>
  <c r="D14" i="37"/>
  <c r="F14" i="37" s="1"/>
  <c r="C19" i="37"/>
  <c r="D19" i="37" s="1"/>
  <c r="F19" i="37" s="1"/>
  <c r="D21" i="37"/>
  <c r="F21" i="37" s="1"/>
  <c r="C11" i="37"/>
  <c r="D13" i="37"/>
  <c r="F13" i="37" s="1"/>
  <c r="D22" i="37"/>
  <c r="F22" i="37" s="1"/>
  <c r="D5" i="37"/>
  <c r="F5" i="37" s="1"/>
  <c r="D7" i="37"/>
  <c r="F7" i="37" s="1"/>
  <c r="D9" i="37"/>
  <c r="F9" i="37" s="1"/>
  <c r="D4" i="37"/>
  <c r="F4" i="37" s="1"/>
  <c r="D22" i="36"/>
  <c r="F22" i="36" s="1"/>
  <c r="C19" i="36"/>
  <c r="D4" i="36"/>
  <c r="F4" i="36" s="1"/>
  <c r="D5" i="36"/>
  <c r="F5" i="36" s="1"/>
  <c r="D6" i="36"/>
  <c r="F6" i="36" s="1"/>
  <c r="D7" i="36"/>
  <c r="F7" i="36" s="1"/>
  <c r="D8" i="36"/>
  <c r="F8" i="36" s="1"/>
  <c r="D9" i="36"/>
  <c r="F9" i="36" s="1"/>
  <c r="D10" i="36"/>
  <c r="F10" i="36" s="1"/>
  <c r="D13" i="36"/>
  <c r="F13" i="36" s="1"/>
  <c r="D14" i="36"/>
  <c r="F14" i="36" s="1"/>
  <c r="D17" i="36"/>
  <c r="F17" i="36" s="1"/>
  <c r="D18" i="36"/>
  <c r="F18" i="36" s="1"/>
  <c r="D21" i="36"/>
  <c r="F21" i="36" s="1"/>
  <c r="C15" i="33"/>
  <c r="D15" i="33" s="1"/>
  <c r="F15" i="33" s="1"/>
  <c r="C15" i="34"/>
  <c r="D15" i="34" s="1"/>
  <c r="F15" i="34" s="1"/>
  <c r="D22" i="34"/>
  <c r="F22" i="34" s="1"/>
  <c r="C11" i="34"/>
  <c r="C19" i="34"/>
  <c r="D4" i="34"/>
  <c r="F4" i="34" s="1"/>
  <c r="D5" i="34"/>
  <c r="F5" i="34" s="1"/>
  <c r="D6" i="34"/>
  <c r="F6" i="34" s="1"/>
  <c r="D7" i="34"/>
  <c r="F7" i="34" s="1"/>
  <c r="D8" i="34"/>
  <c r="F8" i="34" s="1"/>
  <c r="D9" i="34"/>
  <c r="F9" i="34" s="1"/>
  <c r="D10" i="34"/>
  <c r="F10" i="34" s="1"/>
  <c r="D13" i="34"/>
  <c r="F13" i="34" s="1"/>
  <c r="D14" i="34"/>
  <c r="F14" i="34" s="1"/>
  <c r="D17" i="34"/>
  <c r="F17" i="34" s="1"/>
  <c r="D18" i="34"/>
  <c r="F18" i="34" s="1"/>
  <c r="D21" i="34"/>
  <c r="F21" i="34" s="1"/>
  <c r="C11" i="33"/>
  <c r="D22" i="33"/>
  <c r="F22" i="33" s="1"/>
  <c r="C19" i="33"/>
  <c r="D4" i="33"/>
  <c r="D5" i="33"/>
  <c r="F5" i="33" s="1"/>
  <c r="D6" i="33"/>
  <c r="F6" i="33" s="1"/>
  <c r="D7" i="33"/>
  <c r="F7" i="33" s="1"/>
  <c r="D8" i="33"/>
  <c r="F8" i="33" s="1"/>
  <c r="D9" i="33"/>
  <c r="F9" i="33" s="1"/>
  <c r="D10" i="33"/>
  <c r="F10" i="33" s="1"/>
  <c r="D13" i="33"/>
  <c r="F13" i="33" s="1"/>
  <c r="D14" i="33"/>
  <c r="F14" i="33" s="1"/>
  <c r="D17" i="33"/>
  <c r="F17" i="33" s="1"/>
  <c r="D18" i="33"/>
  <c r="F18" i="33" s="1"/>
  <c r="D21" i="33"/>
  <c r="F21" i="33" s="1"/>
  <c r="F4" i="33"/>
  <c r="C19" i="32"/>
  <c r="D19" i="32" s="1"/>
  <c r="F19" i="32" s="1"/>
  <c r="C15" i="32"/>
  <c r="D15" i="32" s="1"/>
  <c r="F15" i="32" s="1"/>
  <c r="C11" i="32"/>
  <c r="D11" i="32" s="1"/>
  <c r="F11" i="32" s="1"/>
  <c r="D22" i="32"/>
  <c r="F22" i="32" s="1"/>
  <c r="D4" i="32"/>
  <c r="F4" i="32" s="1"/>
  <c r="D5" i="32"/>
  <c r="F5" i="32" s="1"/>
  <c r="D6" i="32"/>
  <c r="F6" i="32" s="1"/>
  <c r="D7" i="32"/>
  <c r="F7" i="32" s="1"/>
  <c r="D8" i="32"/>
  <c r="F8" i="32" s="1"/>
  <c r="D9" i="32"/>
  <c r="F9" i="32" s="1"/>
  <c r="D10" i="32"/>
  <c r="F10" i="32" s="1"/>
  <c r="D13" i="32"/>
  <c r="F13" i="32" s="1"/>
  <c r="D14" i="32"/>
  <c r="F14" i="32" s="1"/>
  <c r="D17" i="32"/>
  <c r="F17" i="32" s="1"/>
  <c r="D18" i="32"/>
  <c r="F18" i="32" s="1"/>
  <c r="D21" i="32"/>
  <c r="F21" i="32" s="1"/>
  <c r="D6" i="31"/>
  <c r="F6" i="31" s="1"/>
  <c r="D9" i="31"/>
  <c r="F9" i="31" s="1"/>
  <c r="C19" i="31"/>
  <c r="D19" i="31" s="1"/>
  <c r="F19" i="31" s="1"/>
  <c r="C11" i="31"/>
  <c r="D11" i="31" s="1"/>
  <c r="F11" i="31" s="1"/>
  <c r="D22" i="31"/>
  <c r="F22" i="31" s="1"/>
  <c r="C15" i="31"/>
  <c r="D5" i="31"/>
  <c r="F5" i="31" s="1"/>
  <c r="D7" i="31"/>
  <c r="F7" i="31" s="1"/>
  <c r="D8" i="31"/>
  <c r="F8" i="31" s="1"/>
  <c r="D10" i="31"/>
  <c r="F10" i="31" s="1"/>
  <c r="D13" i="31"/>
  <c r="F13" i="31" s="1"/>
  <c r="D14" i="31"/>
  <c r="F14" i="31" s="1"/>
  <c r="D17" i="31"/>
  <c r="F17" i="31" s="1"/>
  <c r="D18" i="31"/>
  <c r="F18" i="31" s="1"/>
  <c r="D21" i="31"/>
  <c r="F21" i="31" s="1"/>
  <c r="D4" i="31"/>
  <c r="F4" i="31" s="1"/>
  <c r="A2" i="28"/>
  <c r="B24" i="30"/>
  <c r="B22" i="30"/>
  <c r="C21" i="30"/>
  <c r="C22" i="30" s="1"/>
  <c r="B21" i="30"/>
  <c r="B19" i="30"/>
  <c r="C18" i="30"/>
  <c r="B18" i="30"/>
  <c r="C17" i="30"/>
  <c r="B17" i="30"/>
  <c r="B15" i="30"/>
  <c r="C14" i="30"/>
  <c r="B14" i="30"/>
  <c r="C13" i="30"/>
  <c r="B13" i="30"/>
  <c r="B11" i="30"/>
  <c r="C10" i="30"/>
  <c r="B10" i="30"/>
  <c r="C9" i="30"/>
  <c r="D9" i="30" s="1"/>
  <c r="F9" i="30" s="1"/>
  <c r="B9" i="30"/>
  <c r="C8" i="30"/>
  <c r="B8" i="30"/>
  <c r="C7" i="30"/>
  <c r="B7" i="30"/>
  <c r="C6" i="30"/>
  <c r="D6" i="30" s="1"/>
  <c r="F6" i="30" s="1"/>
  <c r="B6" i="30"/>
  <c r="C5" i="30"/>
  <c r="B5" i="30"/>
  <c r="C4" i="30"/>
  <c r="A3" i="30"/>
  <c r="B24" i="24"/>
  <c r="B22" i="24"/>
  <c r="C21" i="24"/>
  <c r="C22" i="24" s="1"/>
  <c r="B21" i="24"/>
  <c r="B19" i="24"/>
  <c r="C18" i="24"/>
  <c r="D18" i="24" s="1"/>
  <c r="B18" i="24"/>
  <c r="C17" i="24"/>
  <c r="B17" i="24"/>
  <c r="B15" i="24"/>
  <c r="C14" i="24"/>
  <c r="D14" i="24" s="1"/>
  <c r="B14" i="24"/>
  <c r="C13" i="24"/>
  <c r="B13" i="24"/>
  <c r="B11" i="24"/>
  <c r="C10" i="24"/>
  <c r="D10" i="24" s="1"/>
  <c r="B10" i="24"/>
  <c r="C9" i="24"/>
  <c r="B9" i="24"/>
  <c r="C8" i="24"/>
  <c r="D8" i="24" s="1"/>
  <c r="F8" i="24" s="1"/>
  <c r="B8" i="24"/>
  <c r="C7" i="24"/>
  <c r="D7" i="24" s="1"/>
  <c r="B7" i="24"/>
  <c r="C6" i="24"/>
  <c r="B6" i="24"/>
  <c r="C5" i="24"/>
  <c r="D5" i="24" s="1"/>
  <c r="F5" i="24" s="1"/>
  <c r="B5" i="24"/>
  <c r="C4" i="24"/>
  <c r="D4" i="24" s="1"/>
  <c r="A3" i="24"/>
  <c r="A2" i="24"/>
  <c r="B24" i="23"/>
  <c r="B22" i="23"/>
  <c r="C21" i="23"/>
  <c r="C22" i="23" s="1"/>
  <c r="B21" i="23"/>
  <c r="B19" i="23"/>
  <c r="C18" i="23"/>
  <c r="D18" i="23" s="1"/>
  <c r="F18" i="23" s="1"/>
  <c r="B18" i="23"/>
  <c r="C17" i="23"/>
  <c r="B17" i="23"/>
  <c r="B15" i="23"/>
  <c r="C14" i="23"/>
  <c r="D14" i="23" s="1"/>
  <c r="F14" i="23" s="1"/>
  <c r="B14" i="23"/>
  <c r="C13" i="23"/>
  <c r="B13" i="23"/>
  <c r="B11" i="23"/>
  <c r="C10" i="23"/>
  <c r="D10" i="23" s="1"/>
  <c r="F10" i="23" s="1"/>
  <c r="B10" i="23"/>
  <c r="C9" i="23"/>
  <c r="B9" i="23"/>
  <c r="C8" i="23"/>
  <c r="D8" i="23" s="1"/>
  <c r="F8" i="23" s="1"/>
  <c r="B8" i="23"/>
  <c r="C7" i="23"/>
  <c r="D7" i="23" s="1"/>
  <c r="F7" i="23" s="1"/>
  <c r="B7" i="23"/>
  <c r="C6" i="23"/>
  <c r="B6" i="23"/>
  <c r="C5" i="23"/>
  <c r="D5" i="23" s="1"/>
  <c r="F5" i="23" s="1"/>
  <c r="B5" i="23"/>
  <c r="C4" i="23"/>
  <c r="A3" i="23"/>
  <c r="A2" i="23"/>
  <c r="B24" i="22"/>
  <c r="B22" i="22"/>
  <c r="C21" i="22"/>
  <c r="C22" i="22" s="1"/>
  <c r="B21" i="22"/>
  <c r="B19" i="22"/>
  <c r="C18" i="22"/>
  <c r="D18" i="22" s="1"/>
  <c r="F18" i="22" s="1"/>
  <c r="B18" i="22"/>
  <c r="C17" i="22"/>
  <c r="D17" i="22" s="1"/>
  <c r="F17" i="22" s="1"/>
  <c r="B17" i="22"/>
  <c r="B15" i="22"/>
  <c r="C14" i="22"/>
  <c r="D14" i="22" s="1"/>
  <c r="F14" i="22" s="1"/>
  <c r="B14" i="22"/>
  <c r="C13" i="22"/>
  <c r="D13" i="22" s="1"/>
  <c r="F13" i="22" s="1"/>
  <c r="B13" i="22"/>
  <c r="B11" i="22"/>
  <c r="C10" i="22"/>
  <c r="D10" i="22" s="1"/>
  <c r="B10" i="22"/>
  <c r="C9" i="22"/>
  <c r="D9" i="22" s="1"/>
  <c r="F9" i="22" s="1"/>
  <c r="B9" i="22"/>
  <c r="C8" i="22"/>
  <c r="D8" i="22" s="1"/>
  <c r="B8" i="22"/>
  <c r="C7" i="22"/>
  <c r="D7" i="22" s="1"/>
  <c r="B7" i="22"/>
  <c r="C6" i="22"/>
  <c r="D6" i="22" s="1"/>
  <c r="F6" i="22" s="1"/>
  <c r="B6" i="22"/>
  <c r="C5" i="22"/>
  <c r="D5" i="22" s="1"/>
  <c r="B5" i="22"/>
  <c r="C4" i="22"/>
  <c r="D4" i="22" s="1"/>
  <c r="A3" i="22"/>
  <c r="A2" i="22"/>
  <c r="B24" i="21"/>
  <c r="B22" i="21"/>
  <c r="C21" i="21"/>
  <c r="B21" i="21"/>
  <c r="B19" i="21"/>
  <c r="C18" i="21"/>
  <c r="D18" i="21" s="1"/>
  <c r="F18" i="21" s="1"/>
  <c r="B18" i="21"/>
  <c r="C17" i="21"/>
  <c r="B17" i="21"/>
  <c r="B15" i="21"/>
  <c r="C14" i="21"/>
  <c r="D14" i="21" s="1"/>
  <c r="F14" i="21" s="1"/>
  <c r="B14" i="21"/>
  <c r="C13" i="21"/>
  <c r="B13" i="21"/>
  <c r="B11" i="21"/>
  <c r="C10" i="21"/>
  <c r="D10" i="21" s="1"/>
  <c r="F10" i="21" s="1"/>
  <c r="B10" i="21"/>
  <c r="C9" i="21"/>
  <c r="B9" i="21"/>
  <c r="C8" i="21"/>
  <c r="D8" i="21" s="1"/>
  <c r="F8" i="21" s="1"/>
  <c r="B8" i="21"/>
  <c r="C7" i="21"/>
  <c r="D7" i="21" s="1"/>
  <c r="F7" i="21" s="1"/>
  <c r="B7" i="21"/>
  <c r="C6" i="21"/>
  <c r="D6" i="21" s="1"/>
  <c r="B6" i="21"/>
  <c r="C5" i="21"/>
  <c r="D5" i="21" s="1"/>
  <c r="F5" i="21" s="1"/>
  <c r="B5" i="21"/>
  <c r="C4" i="21"/>
  <c r="A3" i="21"/>
  <c r="A2" i="21"/>
  <c r="B24" i="28"/>
  <c r="B22" i="28"/>
  <c r="C21" i="28"/>
  <c r="B21" i="28"/>
  <c r="B19" i="28"/>
  <c r="C18" i="28"/>
  <c r="B18" i="28"/>
  <c r="C17" i="28"/>
  <c r="D17" i="28" s="1"/>
  <c r="B17" i="28"/>
  <c r="B15" i="28"/>
  <c r="C14" i="28"/>
  <c r="B14" i="28"/>
  <c r="C13" i="28"/>
  <c r="D13" i="28" s="1"/>
  <c r="B13" i="28"/>
  <c r="B11" i="28"/>
  <c r="C10" i="28"/>
  <c r="B10" i="28"/>
  <c r="C9" i="28"/>
  <c r="D9" i="28" s="1"/>
  <c r="B9" i="28"/>
  <c r="C8" i="28"/>
  <c r="D8" i="28" s="1"/>
  <c r="F8" i="28" s="1"/>
  <c r="B8" i="28"/>
  <c r="C7" i="28"/>
  <c r="B7" i="28"/>
  <c r="C6" i="28"/>
  <c r="D6" i="28" s="1"/>
  <c r="B6" i="28"/>
  <c r="C5" i="28"/>
  <c r="D5" i="28" s="1"/>
  <c r="F5" i="28" s="1"/>
  <c r="B5" i="28"/>
  <c r="C4" i="28"/>
  <c r="A3" i="28"/>
  <c r="B24" i="26"/>
  <c r="B22" i="26"/>
  <c r="C22" i="26"/>
  <c r="B21" i="26"/>
  <c r="B19" i="26"/>
  <c r="B18" i="26"/>
  <c r="B17" i="26"/>
  <c r="B15" i="26"/>
  <c r="B14" i="26"/>
  <c r="B13" i="26"/>
  <c r="B11" i="26"/>
  <c r="D10" i="26"/>
  <c r="B10" i="26"/>
  <c r="B9" i="26"/>
  <c r="B8" i="26"/>
  <c r="B7" i="26"/>
  <c r="B6" i="26"/>
  <c r="D5" i="26"/>
  <c r="F5" i="26" s="1"/>
  <c r="B5" i="26"/>
  <c r="A3" i="26"/>
  <c r="A2" i="26"/>
  <c r="B24" i="16"/>
  <c r="B22" i="16"/>
  <c r="C22" i="16"/>
  <c r="B21" i="16"/>
  <c r="B19" i="16"/>
  <c r="B18" i="16"/>
  <c r="B17" i="16"/>
  <c r="B15" i="16"/>
  <c r="B14" i="16"/>
  <c r="B13" i="16"/>
  <c r="B11" i="16"/>
  <c r="D10" i="16"/>
  <c r="F10" i="16" s="1"/>
  <c r="B10" i="16"/>
  <c r="B9" i="16"/>
  <c r="D8" i="16"/>
  <c r="F8" i="16" s="1"/>
  <c r="B8" i="16"/>
  <c r="B7" i="16"/>
  <c r="D6" i="16"/>
  <c r="F6" i="16" s="1"/>
  <c r="B6" i="16"/>
  <c r="B5" i="16"/>
  <c r="D4" i="16"/>
  <c r="A3" i="16"/>
  <c r="B24" i="15"/>
  <c r="B22" i="15"/>
  <c r="B21" i="15"/>
  <c r="B19" i="15"/>
  <c r="B18" i="15"/>
  <c r="B17" i="15"/>
  <c r="B15" i="15"/>
  <c r="B14" i="15"/>
  <c r="B13" i="15"/>
  <c r="D13" i="15" s="1"/>
  <c r="B11" i="15"/>
  <c r="B10" i="15"/>
  <c r="B9" i="15"/>
  <c r="B8" i="15"/>
  <c r="B7" i="15"/>
  <c r="B6" i="15"/>
  <c r="B5" i="15"/>
  <c r="A3" i="15"/>
  <c r="A2" i="15"/>
  <c r="B24" i="14"/>
  <c r="B22" i="14"/>
  <c r="B21" i="14"/>
  <c r="B19" i="14"/>
  <c r="B18" i="14"/>
  <c r="B17" i="14"/>
  <c r="B15" i="14"/>
  <c r="B14" i="14"/>
  <c r="B13" i="14"/>
  <c r="B11" i="14"/>
  <c r="B10" i="14"/>
  <c r="B9" i="14"/>
  <c r="B8" i="14"/>
  <c r="B7" i="14"/>
  <c r="B6" i="14"/>
  <c r="B5" i="14"/>
  <c r="A3" i="14"/>
  <c r="A2" i="14"/>
  <c r="B24" i="13"/>
  <c r="B22" i="13"/>
  <c r="C22" i="13"/>
  <c r="B21" i="13"/>
  <c r="B19" i="13"/>
  <c r="D18" i="13"/>
  <c r="F18" i="13" s="1"/>
  <c r="B18" i="13"/>
  <c r="B17" i="13"/>
  <c r="B15" i="13"/>
  <c r="D14" i="13"/>
  <c r="F14" i="13" s="1"/>
  <c r="B14" i="13"/>
  <c r="B13" i="13"/>
  <c r="B11" i="13"/>
  <c r="B10" i="13"/>
  <c r="B9" i="13"/>
  <c r="D8" i="13"/>
  <c r="B8" i="13"/>
  <c r="B7" i="13"/>
  <c r="B6" i="13"/>
  <c r="B5" i="13"/>
  <c r="A3" i="13"/>
  <c r="A2" i="13"/>
  <c r="F25" i="11"/>
  <c r="D25" i="11"/>
  <c r="F24" i="11"/>
  <c r="D24" i="11"/>
  <c r="C24" i="11"/>
  <c r="B24" i="11"/>
  <c r="F22" i="11"/>
  <c r="D22" i="11"/>
  <c r="C22" i="11"/>
  <c r="B22" i="11"/>
  <c r="F21" i="11"/>
  <c r="D21" i="11"/>
  <c r="C21" i="11"/>
  <c r="B21" i="11"/>
  <c r="F19" i="11"/>
  <c r="D19" i="11"/>
  <c r="C19" i="11"/>
  <c r="B19" i="11"/>
  <c r="F18" i="11"/>
  <c r="D18" i="11"/>
  <c r="C18" i="11"/>
  <c r="B18" i="11"/>
  <c r="F17" i="11"/>
  <c r="D17" i="11"/>
  <c r="C17" i="11"/>
  <c r="B17" i="11"/>
  <c r="F15" i="11"/>
  <c r="D15" i="11"/>
  <c r="C15" i="11"/>
  <c r="B15" i="11"/>
  <c r="F14" i="11"/>
  <c r="D14" i="11"/>
  <c r="C14" i="11"/>
  <c r="B14" i="11"/>
  <c r="F13" i="11"/>
  <c r="D13" i="11"/>
  <c r="C13" i="11"/>
  <c r="B13" i="11"/>
  <c r="F11" i="11"/>
  <c r="D11" i="11"/>
  <c r="C11" i="11"/>
  <c r="B11" i="11"/>
  <c r="F10" i="11"/>
  <c r="D10" i="11"/>
  <c r="C10" i="11"/>
  <c r="B10" i="11"/>
  <c r="F9" i="11"/>
  <c r="D9" i="11"/>
  <c r="C9" i="11"/>
  <c r="B9" i="11"/>
  <c r="F8" i="11"/>
  <c r="D8" i="11"/>
  <c r="C8" i="11"/>
  <c r="B8" i="11"/>
  <c r="F7" i="11"/>
  <c r="D7" i="11"/>
  <c r="C7" i="11"/>
  <c r="B7" i="11"/>
  <c r="F6" i="11"/>
  <c r="D6" i="11"/>
  <c r="C6" i="11"/>
  <c r="B6" i="11"/>
  <c r="F5" i="11"/>
  <c r="D5" i="11"/>
  <c r="C5" i="11"/>
  <c r="B5" i="11"/>
  <c r="F4" i="11"/>
  <c r="D4" i="11"/>
  <c r="C4" i="11"/>
  <c r="A3" i="11"/>
  <c r="A2" i="11"/>
  <c r="F25" i="10"/>
  <c r="D25" i="10"/>
  <c r="F24" i="10"/>
  <c r="D24" i="10"/>
  <c r="C24" i="10"/>
  <c r="B24" i="10"/>
  <c r="F22" i="10"/>
  <c r="D22" i="10"/>
  <c r="C22" i="10"/>
  <c r="B22" i="10"/>
  <c r="F21" i="10"/>
  <c r="D21" i="10"/>
  <c r="C21" i="10"/>
  <c r="B21" i="10"/>
  <c r="F19" i="10"/>
  <c r="D19" i="10"/>
  <c r="C19" i="10"/>
  <c r="B19" i="10"/>
  <c r="F18" i="10"/>
  <c r="D18" i="10"/>
  <c r="C18" i="10"/>
  <c r="B18" i="10"/>
  <c r="F17" i="10"/>
  <c r="D17" i="10"/>
  <c r="C17" i="10"/>
  <c r="B17" i="10"/>
  <c r="F15" i="10"/>
  <c r="D15" i="10"/>
  <c r="C15" i="10"/>
  <c r="B15" i="10"/>
  <c r="F14" i="10"/>
  <c r="D14" i="10"/>
  <c r="C14" i="10"/>
  <c r="B14" i="10"/>
  <c r="F13" i="10"/>
  <c r="D13" i="10"/>
  <c r="C13" i="10"/>
  <c r="B13" i="10"/>
  <c r="F11" i="10"/>
  <c r="D11" i="10"/>
  <c r="C11" i="10"/>
  <c r="B11" i="10"/>
  <c r="F10" i="10"/>
  <c r="D10" i="10"/>
  <c r="C10" i="10"/>
  <c r="B10" i="10"/>
  <c r="F9" i="10"/>
  <c r="D9" i="10"/>
  <c r="C9" i="10"/>
  <c r="B9" i="10"/>
  <c r="F8" i="10"/>
  <c r="D8" i="10"/>
  <c r="C8" i="10"/>
  <c r="B8" i="10"/>
  <c r="F7" i="10"/>
  <c r="D7" i="10"/>
  <c r="C7" i="10"/>
  <c r="B7" i="10"/>
  <c r="F6" i="10"/>
  <c r="D6" i="10"/>
  <c r="C6" i="10"/>
  <c r="B6" i="10"/>
  <c r="F5" i="10"/>
  <c r="D5" i="10"/>
  <c r="C5" i="10"/>
  <c r="B5" i="10"/>
  <c r="F4" i="10"/>
  <c r="D4" i="10"/>
  <c r="C4" i="10"/>
  <c r="A3" i="10"/>
  <c r="A2" i="10"/>
  <c r="F25" i="9"/>
  <c r="D25" i="9"/>
  <c r="F24" i="9"/>
  <c r="D24" i="9"/>
  <c r="C24" i="9"/>
  <c r="B24" i="9"/>
  <c r="F22" i="9"/>
  <c r="D22" i="9"/>
  <c r="C22" i="9"/>
  <c r="B22" i="9"/>
  <c r="F21" i="9"/>
  <c r="D21" i="9"/>
  <c r="C21" i="9"/>
  <c r="B21" i="9"/>
  <c r="F19" i="9"/>
  <c r="D19" i="9"/>
  <c r="C19" i="9"/>
  <c r="B19" i="9"/>
  <c r="F18" i="9"/>
  <c r="D18" i="9"/>
  <c r="C18" i="9"/>
  <c r="B18" i="9"/>
  <c r="F17" i="9"/>
  <c r="D17" i="9"/>
  <c r="C17" i="9"/>
  <c r="B17" i="9"/>
  <c r="F15" i="9"/>
  <c r="D15" i="9"/>
  <c r="C15" i="9"/>
  <c r="B15" i="9"/>
  <c r="F14" i="9"/>
  <c r="D14" i="9"/>
  <c r="C14" i="9"/>
  <c r="B14" i="9"/>
  <c r="F13" i="9"/>
  <c r="D13" i="9"/>
  <c r="C13" i="9"/>
  <c r="B13" i="9"/>
  <c r="F11" i="9"/>
  <c r="D11" i="9"/>
  <c r="C11" i="9"/>
  <c r="B11" i="9"/>
  <c r="F10" i="9"/>
  <c r="D10" i="9"/>
  <c r="C10" i="9"/>
  <c r="B10" i="9"/>
  <c r="F9" i="9"/>
  <c r="D9" i="9"/>
  <c r="C9" i="9"/>
  <c r="B9" i="9"/>
  <c r="F8" i="9"/>
  <c r="D8" i="9"/>
  <c r="C8" i="9"/>
  <c r="B8" i="9"/>
  <c r="F7" i="9"/>
  <c r="D7" i="9"/>
  <c r="C7" i="9"/>
  <c r="B7" i="9"/>
  <c r="F6" i="9"/>
  <c r="D6" i="9"/>
  <c r="C6" i="9"/>
  <c r="B6" i="9"/>
  <c r="F5" i="9"/>
  <c r="D5" i="9"/>
  <c r="C5" i="9"/>
  <c r="B5" i="9"/>
  <c r="F4" i="9"/>
  <c r="D4" i="9"/>
  <c r="C4" i="9"/>
  <c r="A3" i="9"/>
  <c r="A2" i="9"/>
  <c r="F25" i="8"/>
  <c r="D25" i="8"/>
  <c r="F24" i="8"/>
  <c r="D24" i="8"/>
  <c r="C24" i="8"/>
  <c r="B24" i="8"/>
  <c r="F22" i="8"/>
  <c r="D22" i="8"/>
  <c r="C22" i="8"/>
  <c r="B22" i="8"/>
  <c r="F21" i="8"/>
  <c r="D21" i="8"/>
  <c r="C21" i="8"/>
  <c r="B21" i="8"/>
  <c r="F19" i="8"/>
  <c r="D19" i="8"/>
  <c r="C19" i="8"/>
  <c r="B19" i="8"/>
  <c r="F18" i="8"/>
  <c r="D18" i="8"/>
  <c r="C18" i="8"/>
  <c r="B18" i="8"/>
  <c r="F17" i="8"/>
  <c r="D17" i="8"/>
  <c r="C17" i="8"/>
  <c r="B17" i="8"/>
  <c r="F15" i="8"/>
  <c r="D15" i="8"/>
  <c r="C15" i="8"/>
  <c r="B15" i="8"/>
  <c r="F14" i="8"/>
  <c r="D14" i="8"/>
  <c r="C14" i="8"/>
  <c r="B14" i="8"/>
  <c r="F13" i="8"/>
  <c r="D13" i="8"/>
  <c r="C13" i="8"/>
  <c r="B13" i="8"/>
  <c r="F11" i="8"/>
  <c r="D11" i="8"/>
  <c r="C11" i="8"/>
  <c r="B11" i="8"/>
  <c r="F10" i="8"/>
  <c r="D10" i="8"/>
  <c r="C10" i="8"/>
  <c r="B10" i="8"/>
  <c r="F9" i="8"/>
  <c r="D9" i="8"/>
  <c r="C9" i="8"/>
  <c r="B9" i="8"/>
  <c r="F8" i="8"/>
  <c r="D8" i="8"/>
  <c r="C8" i="8"/>
  <c r="B8" i="8"/>
  <c r="F7" i="8"/>
  <c r="D7" i="8"/>
  <c r="C7" i="8"/>
  <c r="B7" i="8"/>
  <c r="F6" i="8"/>
  <c r="D6" i="8"/>
  <c r="C6" i="8"/>
  <c r="B6" i="8"/>
  <c r="F5" i="8"/>
  <c r="D5" i="8"/>
  <c r="C5" i="8"/>
  <c r="B5" i="8"/>
  <c r="F4" i="8"/>
  <c r="D4" i="8"/>
  <c r="C4" i="8"/>
  <c r="A3" i="8"/>
  <c r="A2" i="8"/>
  <c r="B24" i="6"/>
  <c r="B22" i="6"/>
  <c r="C21" i="6"/>
  <c r="C22" i="6" s="1"/>
  <c r="B21" i="6"/>
  <c r="B19" i="6"/>
  <c r="C18" i="6"/>
  <c r="B18" i="6"/>
  <c r="C17" i="6"/>
  <c r="B17" i="6"/>
  <c r="C14" i="6"/>
  <c r="B14" i="6"/>
  <c r="C13" i="6"/>
  <c r="B13" i="6"/>
  <c r="B11" i="6"/>
  <c r="C10" i="6"/>
  <c r="D10" i="6" s="1"/>
  <c r="B10" i="6"/>
  <c r="C9" i="6"/>
  <c r="B9" i="6"/>
  <c r="C8" i="6"/>
  <c r="D8" i="6" s="1"/>
  <c r="F8" i="6" s="1"/>
  <c r="B8" i="6"/>
  <c r="C7" i="6"/>
  <c r="D7" i="6" s="1"/>
  <c r="B7" i="6"/>
  <c r="C6" i="6"/>
  <c r="B6" i="6"/>
  <c r="C5" i="6"/>
  <c r="D5" i="6" s="1"/>
  <c r="F5" i="6" s="1"/>
  <c r="B5" i="6"/>
  <c r="C4" i="6"/>
  <c r="D4" i="6" s="1"/>
  <c r="A3" i="6"/>
  <c r="A2" i="6"/>
  <c r="B24" i="5"/>
  <c r="B22" i="5"/>
  <c r="C21" i="5"/>
  <c r="C22" i="5" s="1"/>
  <c r="B21" i="5"/>
  <c r="B19" i="5"/>
  <c r="C18" i="5"/>
  <c r="B18" i="5"/>
  <c r="C17" i="5"/>
  <c r="B17" i="5"/>
  <c r="C14" i="5"/>
  <c r="B14" i="5"/>
  <c r="C13" i="5"/>
  <c r="B13" i="5"/>
  <c r="B11" i="5"/>
  <c r="C10" i="5"/>
  <c r="B10" i="5"/>
  <c r="C9" i="5"/>
  <c r="D9" i="5" s="1"/>
  <c r="F9" i="5" s="1"/>
  <c r="B9" i="5"/>
  <c r="C8" i="5"/>
  <c r="D8" i="5" s="1"/>
  <c r="B8" i="5"/>
  <c r="C7" i="5"/>
  <c r="B7" i="5"/>
  <c r="C6" i="5"/>
  <c r="D6" i="5" s="1"/>
  <c r="F6" i="5" s="1"/>
  <c r="B6" i="5"/>
  <c r="C5" i="5"/>
  <c r="B5" i="5"/>
  <c r="C4" i="5"/>
  <c r="A3" i="5"/>
  <c r="A2" i="5"/>
  <c r="D14" i="6" l="1"/>
  <c r="F14" i="6" s="1"/>
  <c r="C24" i="37"/>
  <c r="D24" i="37" s="1"/>
  <c r="F24" i="37" s="1"/>
  <c r="D11" i="37"/>
  <c r="F11" i="37" s="1"/>
  <c r="D25" i="37"/>
  <c r="F25" i="37"/>
  <c r="F25" i="36"/>
  <c r="D25" i="36"/>
  <c r="D19" i="36"/>
  <c r="F19" i="36" s="1"/>
  <c r="C24" i="36"/>
  <c r="D18" i="6"/>
  <c r="F18" i="6" s="1"/>
  <c r="C24" i="32"/>
  <c r="D24" i="32" s="1"/>
  <c r="F24" i="32" s="1"/>
  <c r="D19" i="34"/>
  <c r="F19" i="34" s="1"/>
  <c r="C24" i="34"/>
  <c r="D11" i="34"/>
  <c r="F11" i="34" s="1"/>
  <c r="D25" i="34"/>
  <c r="C24" i="33"/>
  <c r="D24" i="33" s="1"/>
  <c r="F24" i="33" s="1"/>
  <c r="D11" i="33"/>
  <c r="F11" i="33" s="1"/>
  <c r="D25" i="33"/>
  <c r="D19" i="33"/>
  <c r="F19" i="33" s="1"/>
  <c r="F25" i="32"/>
  <c r="D25" i="32"/>
  <c r="D14" i="16"/>
  <c r="F14" i="16" s="1"/>
  <c r="D5" i="16"/>
  <c r="F5" i="16" s="1"/>
  <c r="D7" i="16"/>
  <c r="F7" i="16" s="1"/>
  <c r="D9" i="16"/>
  <c r="F9" i="16" s="1"/>
  <c r="D18" i="16"/>
  <c r="F18" i="16" s="1"/>
  <c r="C24" i="31"/>
  <c r="D24" i="31" s="1"/>
  <c r="F24" i="31" s="1"/>
  <c r="D10" i="15"/>
  <c r="F10" i="15" s="1"/>
  <c r="D5" i="15"/>
  <c r="F5" i="15" s="1"/>
  <c r="D7" i="15"/>
  <c r="F7" i="15" s="1"/>
  <c r="D18" i="15"/>
  <c r="F18" i="15" s="1"/>
  <c r="D15" i="31"/>
  <c r="F15" i="31" s="1"/>
  <c r="F25" i="31" s="1"/>
  <c r="D25" i="31"/>
  <c r="C15" i="13"/>
  <c r="D15" i="13" s="1"/>
  <c r="F15" i="13" s="1"/>
  <c r="D8" i="26"/>
  <c r="F8" i="26" s="1"/>
  <c r="D13" i="30"/>
  <c r="F13" i="30" s="1"/>
  <c r="D17" i="30"/>
  <c r="F17" i="30" s="1"/>
  <c r="D21" i="30"/>
  <c r="F21" i="30" s="1"/>
  <c r="D21" i="28"/>
  <c r="F21" i="28" s="1"/>
  <c r="C11" i="30"/>
  <c r="C15" i="30"/>
  <c r="C19" i="30"/>
  <c r="D5" i="30"/>
  <c r="F5" i="30" s="1"/>
  <c r="D8" i="30"/>
  <c r="F8" i="30" s="1"/>
  <c r="D4" i="30"/>
  <c r="D7" i="30"/>
  <c r="F7" i="30" s="1"/>
  <c r="D10" i="30"/>
  <c r="F10" i="30" s="1"/>
  <c r="D14" i="30"/>
  <c r="F14" i="30" s="1"/>
  <c r="D18" i="30"/>
  <c r="F18" i="30" s="1"/>
  <c r="D22" i="30"/>
  <c r="F22" i="30" s="1"/>
  <c r="C11" i="5"/>
  <c r="D11" i="5" s="1"/>
  <c r="F11" i="5" s="1"/>
  <c r="C15" i="5"/>
  <c r="D15" i="5" s="1"/>
  <c r="F15" i="5" s="1"/>
  <c r="C19" i="5"/>
  <c r="D19" i="5" s="1"/>
  <c r="F19" i="5" s="1"/>
  <c r="C19" i="6"/>
  <c r="C19" i="22"/>
  <c r="D19" i="22" s="1"/>
  <c r="C15" i="21"/>
  <c r="D15" i="21" s="1"/>
  <c r="F15" i="21" s="1"/>
  <c r="D21" i="22"/>
  <c r="F21" i="22" s="1"/>
  <c r="C15" i="22"/>
  <c r="D15" i="22" s="1"/>
  <c r="C19" i="23"/>
  <c r="D19" i="23" s="1"/>
  <c r="F19" i="23" s="1"/>
  <c r="C15" i="24"/>
  <c r="D15" i="24" s="1"/>
  <c r="C19" i="26"/>
  <c r="D19" i="26" s="1"/>
  <c r="F19" i="26" s="1"/>
  <c r="D22" i="6"/>
  <c r="F22" i="6" s="1"/>
  <c r="F8" i="5"/>
  <c r="D18" i="5"/>
  <c r="F18" i="5" s="1"/>
  <c r="D22" i="5"/>
  <c r="F22" i="5" s="1"/>
  <c r="F4" i="6"/>
  <c r="F7" i="6"/>
  <c r="F10" i="6"/>
  <c r="D17" i="6"/>
  <c r="F17" i="6" s="1"/>
  <c r="D21" i="6"/>
  <c r="F21" i="6" s="1"/>
  <c r="D4" i="5"/>
  <c r="D7" i="5"/>
  <c r="F7" i="5" s="1"/>
  <c r="D10" i="5"/>
  <c r="F10" i="5" s="1"/>
  <c r="D14" i="5"/>
  <c r="F14" i="5" s="1"/>
  <c r="D6" i="6"/>
  <c r="F6" i="6" s="1"/>
  <c r="D9" i="6"/>
  <c r="F9" i="6" s="1"/>
  <c r="D13" i="6"/>
  <c r="F13" i="6" s="1"/>
  <c r="C15" i="6"/>
  <c r="D17" i="5"/>
  <c r="F17" i="5" s="1"/>
  <c r="D21" i="5"/>
  <c r="F21" i="5" s="1"/>
  <c r="C11" i="6"/>
  <c r="D13" i="5"/>
  <c r="F13" i="5" s="1"/>
  <c r="D5" i="5"/>
  <c r="F5" i="5" s="1"/>
  <c r="C11" i="21"/>
  <c r="D11" i="21" s="1"/>
  <c r="F11" i="21" s="1"/>
  <c r="C19" i="21"/>
  <c r="D19" i="21" s="1"/>
  <c r="F19" i="21" s="1"/>
  <c r="C11" i="23"/>
  <c r="C19" i="24"/>
  <c r="D19" i="24" s="1"/>
  <c r="F19" i="24" s="1"/>
  <c r="C15" i="23"/>
  <c r="D15" i="23" s="1"/>
  <c r="F15" i="23" s="1"/>
  <c r="F4" i="22"/>
  <c r="F7" i="22"/>
  <c r="F10" i="22"/>
  <c r="C15" i="26"/>
  <c r="D15" i="26" s="1"/>
  <c r="F15" i="26" s="1"/>
  <c r="D7" i="13"/>
  <c r="F7" i="13" s="1"/>
  <c r="C11" i="13"/>
  <c r="D11" i="13" s="1"/>
  <c r="F11" i="13" s="1"/>
  <c r="D10" i="13"/>
  <c r="F10" i="13" s="1"/>
  <c r="C19" i="13"/>
  <c r="F8" i="13"/>
  <c r="D9" i="13"/>
  <c r="F9" i="13" s="1"/>
  <c r="D17" i="13"/>
  <c r="F17" i="13" s="1"/>
  <c r="D21" i="13"/>
  <c r="F21" i="13" s="1"/>
  <c r="C19" i="16"/>
  <c r="D19" i="16" s="1"/>
  <c r="F19" i="16" s="1"/>
  <c r="D21" i="16"/>
  <c r="F21" i="16" s="1"/>
  <c r="D4" i="13"/>
  <c r="D5" i="13"/>
  <c r="F5" i="13" s="1"/>
  <c r="D6" i="13"/>
  <c r="F6" i="13" s="1"/>
  <c r="C15" i="16"/>
  <c r="D17" i="16"/>
  <c r="F17" i="16" s="1"/>
  <c r="C11" i="16"/>
  <c r="D11" i="16" s="1"/>
  <c r="F11" i="16" s="1"/>
  <c r="D13" i="13"/>
  <c r="F13" i="13" s="1"/>
  <c r="D13" i="16"/>
  <c r="F13" i="16" s="1"/>
  <c r="D22" i="16"/>
  <c r="F22" i="16" s="1"/>
  <c r="D22" i="13"/>
  <c r="F22" i="13" s="1"/>
  <c r="C11" i="15"/>
  <c r="C15" i="15"/>
  <c r="C19" i="15"/>
  <c r="C22" i="15"/>
  <c r="C11" i="14"/>
  <c r="D4" i="15"/>
  <c r="F4" i="15" s="1"/>
  <c r="D6" i="15"/>
  <c r="F6" i="15" s="1"/>
  <c r="D8" i="15"/>
  <c r="F8" i="15" s="1"/>
  <c r="D9" i="15"/>
  <c r="F9" i="15" s="1"/>
  <c r="D14" i="15"/>
  <c r="F14" i="15" s="1"/>
  <c r="D17" i="15"/>
  <c r="F17" i="15" s="1"/>
  <c r="D21" i="15"/>
  <c r="F21" i="15" s="1"/>
  <c r="F4" i="16"/>
  <c r="D4" i="14"/>
  <c r="F4" i="14" s="1"/>
  <c r="D5" i="14"/>
  <c r="F5" i="14" s="1"/>
  <c r="D6" i="14"/>
  <c r="F6" i="14" s="1"/>
  <c r="D7" i="14"/>
  <c r="F7" i="14" s="1"/>
  <c r="D8" i="14"/>
  <c r="F8" i="14" s="1"/>
  <c r="D9" i="14"/>
  <c r="F9" i="14" s="1"/>
  <c r="D10" i="14"/>
  <c r="F10" i="14" s="1"/>
  <c r="D13" i="14"/>
  <c r="F13" i="14" s="1"/>
  <c r="D14" i="14"/>
  <c r="F14" i="14" s="1"/>
  <c r="D17" i="14"/>
  <c r="F17" i="14" s="1"/>
  <c r="D18" i="14"/>
  <c r="F18" i="14" s="1"/>
  <c r="D21" i="14"/>
  <c r="F21" i="14" s="1"/>
  <c r="F13" i="15"/>
  <c r="C15" i="14"/>
  <c r="C19" i="14"/>
  <c r="C22" i="14"/>
  <c r="F6" i="28"/>
  <c r="F9" i="28"/>
  <c r="C11" i="28"/>
  <c r="F13" i="28"/>
  <c r="C15" i="28"/>
  <c r="F17" i="28"/>
  <c r="C19" i="28"/>
  <c r="C22" i="28"/>
  <c r="D4" i="28"/>
  <c r="D7" i="28"/>
  <c r="F7" i="28" s="1"/>
  <c r="D10" i="28"/>
  <c r="F10" i="28" s="1"/>
  <c r="D14" i="28"/>
  <c r="F14" i="28" s="1"/>
  <c r="D18" i="28"/>
  <c r="F18" i="28" s="1"/>
  <c r="F10" i="26"/>
  <c r="D6" i="26"/>
  <c r="F6" i="26" s="1"/>
  <c r="D9" i="26"/>
  <c r="F9" i="26" s="1"/>
  <c r="D13" i="26"/>
  <c r="F13" i="26" s="1"/>
  <c r="D17" i="26"/>
  <c r="F17" i="26" s="1"/>
  <c r="D21" i="26"/>
  <c r="F21" i="26" s="1"/>
  <c r="C11" i="26"/>
  <c r="D4" i="26"/>
  <c r="D7" i="26"/>
  <c r="F7" i="26" s="1"/>
  <c r="D14" i="26"/>
  <c r="F14" i="26" s="1"/>
  <c r="D18" i="26"/>
  <c r="F18" i="26" s="1"/>
  <c r="D22" i="26"/>
  <c r="F22" i="26" s="1"/>
  <c r="D22" i="24"/>
  <c r="F22" i="24" s="1"/>
  <c r="D22" i="23"/>
  <c r="F22" i="23" s="1"/>
  <c r="D22" i="22"/>
  <c r="F22" i="22" s="1"/>
  <c r="D9" i="21"/>
  <c r="F9" i="21" s="1"/>
  <c r="D13" i="21"/>
  <c r="F13" i="21" s="1"/>
  <c r="D21" i="21"/>
  <c r="F21" i="21" s="1"/>
  <c r="C11" i="22"/>
  <c r="F6" i="21"/>
  <c r="F5" i="22"/>
  <c r="F8" i="22"/>
  <c r="D4" i="23"/>
  <c r="F4" i="24"/>
  <c r="F7" i="24"/>
  <c r="F10" i="24"/>
  <c r="F14" i="24"/>
  <c r="F18" i="24"/>
  <c r="D6" i="24"/>
  <c r="F6" i="24" s="1"/>
  <c r="D9" i="24"/>
  <c r="F9" i="24" s="1"/>
  <c r="D13" i="24"/>
  <c r="F13" i="24" s="1"/>
  <c r="D17" i="24"/>
  <c r="F17" i="24" s="1"/>
  <c r="D21" i="24"/>
  <c r="F21" i="24" s="1"/>
  <c r="C22" i="21"/>
  <c r="D4" i="21"/>
  <c r="D6" i="23"/>
  <c r="F6" i="23" s="1"/>
  <c r="D9" i="23"/>
  <c r="F9" i="23" s="1"/>
  <c r="D13" i="23"/>
  <c r="F13" i="23" s="1"/>
  <c r="D17" i="23"/>
  <c r="F17" i="23" s="1"/>
  <c r="D21" i="23"/>
  <c r="F21" i="23" s="1"/>
  <c r="C11" i="24"/>
  <c r="D17" i="21"/>
  <c r="F17" i="21" s="1"/>
  <c r="D24" i="36" l="1"/>
  <c r="F24" i="36" s="1"/>
  <c r="F25" i="33"/>
  <c r="F25" i="34"/>
  <c r="D24" i="34"/>
  <c r="F24" i="34" s="1"/>
  <c r="D25" i="30"/>
  <c r="F4" i="30"/>
  <c r="F25" i="30" s="1"/>
  <c r="D19" i="30"/>
  <c r="F19" i="30" s="1"/>
  <c r="D15" i="30"/>
  <c r="F15" i="30" s="1"/>
  <c r="D11" i="30"/>
  <c r="F11" i="30" s="1"/>
  <c r="C24" i="30"/>
  <c r="D25" i="22"/>
  <c r="F19" i="22"/>
  <c r="C24" i="5"/>
  <c r="D24" i="5" s="1"/>
  <c r="F24" i="5" s="1"/>
  <c r="D19" i="6"/>
  <c r="F19" i="6" s="1"/>
  <c r="F15" i="22"/>
  <c r="D25" i="5"/>
  <c r="C24" i="13"/>
  <c r="D24" i="13" s="1"/>
  <c r="F24" i="13" s="1"/>
  <c r="F15" i="24"/>
  <c r="C24" i="16"/>
  <c r="D24" i="16" s="1"/>
  <c r="F24" i="16" s="1"/>
  <c r="D25" i="6"/>
  <c r="D15" i="6"/>
  <c r="F15" i="6" s="1"/>
  <c r="F25" i="6" s="1"/>
  <c r="F4" i="5"/>
  <c r="F25" i="5" s="1"/>
  <c r="D11" i="6"/>
  <c r="F11" i="6" s="1"/>
  <c r="C24" i="6"/>
  <c r="D11" i="23"/>
  <c r="F11" i="23" s="1"/>
  <c r="C24" i="23"/>
  <c r="D24" i="23" s="1"/>
  <c r="F24" i="23" s="1"/>
  <c r="C24" i="21"/>
  <c r="D24" i="21" s="1"/>
  <c r="F24" i="21" s="1"/>
  <c r="D25" i="13"/>
  <c r="D15" i="16"/>
  <c r="F15" i="16" s="1"/>
  <c r="F25" i="16" s="1"/>
  <c r="D19" i="13"/>
  <c r="F19" i="13" s="1"/>
  <c r="F25" i="13" s="1"/>
  <c r="F4" i="13"/>
  <c r="D25" i="16"/>
  <c r="D11" i="14"/>
  <c r="F11" i="14" s="1"/>
  <c r="C24" i="14"/>
  <c r="D15" i="14"/>
  <c r="F15" i="14" s="1"/>
  <c r="D19" i="15"/>
  <c r="F19" i="15" s="1"/>
  <c r="D25" i="14"/>
  <c r="D25" i="15"/>
  <c r="D15" i="15"/>
  <c r="F15" i="15" s="1"/>
  <c r="D11" i="15"/>
  <c r="F11" i="15" s="1"/>
  <c r="C24" i="15"/>
  <c r="D22" i="14"/>
  <c r="F22" i="14" s="1"/>
  <c r="D19" i="14"/>
  <c r="F19" i="14" s="1"/>
  <c r="D22" i="15"/>
  <c r="F22" i="15" s="1"/>
  <c r="D25" i="28"/>
  <c r="D22" i="28"/>
  <c r="F22" i="28" s="1"/>
  <c r="D11" i="28"/>
  <c r="F11" i="28" s="1"/>
  <c r="C24" i="28"/>
  <c r="F4" i="28"/>
  <c r="F25" i="28" s="1"/>
  <c r="D19" i="28"/>
  <c r="F19" i="28" s="1"/>
  <c r="D15" i="28"/>
  <c r="F15" i="28" s="1"/>
  <c r="D25" i="26"/>
  <c r="D11" i="26"/>
  <c r="F11" i="26" s="1"/>
  <c r="C24" i="26"/>
  <c r="F4" i="26"/>
  <c r="F25" i="26" s="1"/>
  <c r="F25" i="22"/>
  <c r="D11" i="24"/>
  <c r="F11" i="24" s="1"/>
  <c r="C24" i="24"/>
  <c r="D25" i="21"/>
  <c r="F4" i="21"/>
  <c r="F4" i="23"/>
  <c r="F25" i="23" s="1"/>
  <c r="D25" i="23"/>
  <c r="D11" i="22"/>
  <c r="F11" i="22" s="1"/>
  <c r="C24" i="22"/>
  <c r="D22" i="21"/>
  <c r="F22" i="21" s="1"/>
  <c r="D25" i="24"/>
  <c r="F25" i="24"/>
  <c r="D24" i="30" l="1"/>
  <c r="F24" i="30" s="1"/>
  <c r="D24" i="6"/>
  <c r="F24" i="6" s="1"/>
  <c r="F25" i="15"/>
  <c r="D24" i="15"/>
  <c r="F24" i="15" s="1"/>
  <c r="F25" i="14"/>
  <c r="D24" i="14"/>
  <c r="F24" i="14" s="1"/>
  <c r="D24" i="28"/>
  <c r="F24" i="28" s="1"/>
  <c r="D24" i="26"/>
  <c r="F24" i="26" s="1"/>
  <c r="F25" i="21"/>
  <c r="D24" i="22"/>
  <c r="F24" i="22" s="1"/>
  <c r="D24" i="24"/>
  <c r="F24" i="24" s="1"/>
</calcChain>
</file>

<file path=xl/sharedStrings.xml><?xml version="1.0" encoding="utf-8"?>
<sst xmlns="http://schemas.openxmlformats.org/spreadsheetml/2006/main" count="908" uniqueCount="95">
  <si>
    <t>입수</t>
  </si>
  <si>
    <t>박스</t>
    <phoneticPr fontId="5" type="noConversion"/>
  </si>
  <si>
    <t>센터명</t>
  </si>
  <si>
    <t>낱개</t>
  </si>
  <si>
    <t>원주2(저온)</t>
    <phoneticPr fontId="5" type="noConversion"/>
  </si>
  <si>
    <t>원주</t>
    <phoneticPr fontId="5" type="noConversion"/>
  </si>
  <si>
    <t>김해2(저온)</t>
    <phoneticPr fontId="5" type="noConversion"/>
  </si>
  <si>
    <t>김해</t>
    <phoneticPr fontId="5" type="noConversion"/>
  </si>
  <si>
    <t>양산2(저온)</t>
    <phoneticPr fontId="5" type="noConversion"/>
  </si>
  <si>
    <t>양산</t>
    <phoneticPr fontId="5" type="noConversion"/>
  </si>
  <si>
    <t>세종2(저온)</t>
    <phoneticPr fontId="5" type="noConversion"/>
  </si>
  <si>
    <t>세종</t>
    <phoneticPr fontId="5" type="noConversion"/>
  </si>
  <si>
    <t>장성2(저온)</t>
    <phoneticPr fontId="5" type="noConversion"/>
  </si>
  <si>
    <t>장성</t>
    <phoneticPr fontId="5" type="noConversion"/>
  </si>
  <si>
    <t>김천2(저온)</t>
    <phoneticPr fontId="5" type="noConversion"/>
  </si>
  <si>
    <t>김천</t>
    <phoneticPr fontId="5" type="noConversion"/>
  </si>
  <si>
    <t>경산2(저온)</t>
    <phoneticPr fontId="5" type="noConversion"/>
  </si>
  <si>
    <t>경산</t>
    <phoneticPr fontId="5" type="noConversion"/>
  </si>
  <si>
    <t>화성2(저온)</t>
    <phoneticPr fontId="5" type="noConversion"/>
  </si>
  <si>
    <t>화성</t>
    <phoneticPr fontId="5" type="noConversion"/>
  </si>
  <si>
    <t>청라2(저온)</t>
    <phoneticPr fontId="5" type="noConversion"/>
  </si>
  <si>
    <t>청라</t>
    <phoneticPr fontId="5" type="noConversion"/>
  </si>
  <si>
    <t>평택2(저온)</t>
    <phoneticPr fontId="5" type="noConversion"/>
  </si>
  <si>
    <t>평택</t>
    <phoneticPr fontId="5" type="noConversion"/>
  </si>
  <si>
    <t>포천2(저온)</t>
    <phoneticPr fontId="5" type="noConversion"/>
  </si>
  <si>
    <t>포천</t>
    <phoneticPr fontId="5" type="noConversion"/>
  </si>
  <si>
    <t>양지2(저온)</t>
    <phoneticPr fontId="5" type="noConversion"/>
  </si>
  <si>
    <t>양지</t>
    <phoneticPr fontId="5" type="noConversion"/>
  </si>
  <si>
    <t>총합계</t>
  </si>
  <si>
    <t>총 박스 수량  / 총 낱개 수량</t>
  </si>
  <si>
    <t>열 레이블</t>
  </si>
  <si>
    <t>수도권 합계</t>
    <phoneticPr fontId="5" type="noConversion"/>
  </si>
  <si>
    <t>호남 합계</t>
    <phoneticPr fontId="5" type="noConversion"/>
  </si>
  <si>
    <t>이마트24(냉동) - 금토일</t>
    <phoneticPr fontId="5" type="noConversion"/>
  </si>
  <si>
    <t>경남(김해) 합계</t>
    <phoneticPr fontId="2" type="noConversion"/>
  </si>
  <si>
    <t>경북(칠곡) 합계</t>
    <phoneticPr fontId="5" type="noConversion"/>
  </si>
  <si>
    <t>이마트24(냉동) - 이그니스</t>
    <phoneticPr fontId="5" type="noConversion"/>
  </si>
  <si>
    <t xml:space="preserve">한끼통살)바비큐
닭가슴살100g </t>
    <phoneticPr fontId="5" type="noConversion"/>
  </si>
  <si>
    <t>경남(김해) 합계</t>
    <phoneticPr fontId="5" type="noConversion"/>
  </si>
  <si>
    <t>한끼통살)볼케이노
닭가슴살100g</t>
    <phoneticPr fontId="5" type="noConversion"/>
  </si>
  <si>
    <t xml:space="preserve">한끼통살)소이갈릭
닭가슴살100g </t>
    <phoneticPr fontId="5" type="noConversion"/>
  </si>
  <si>
    <t xml:space="preserve">한끼통살)오리지널
닭가슴살100g </t>
    <phoneticPr fontId="5" type="noConversion"/>
  </si>
  <si>
    <t>이마트24(냉동) - 미스터밀크</t>
    <phoneticPr fontId="5" type="noConversion"/>
  </si>
  <si>
    <t>이마트24(냉동) - 미담롤</t>
    <phoneticPr fontId="5" type="noConversion"/>
  </si>
  <si>
    <t>조선호텔)꿔바로우450g</t>
  </si>
  <si>
    <t>조선호텔)떡갈비345g</t>
  </si>
  <si>
    <t>조선호텔)마카다미아치즈아이스크림케이크</t>
  </si>
  <si>
    <t>조선호텔)크림새우380g</t>
  </si>
  <si>
    <t>이마트24(냉동) - 조선호텔</t>
    <phoneticPr fontId="5" type="noConversion"/>
  </si>
  <si>
    <t xml:space="preserve"> </t>
    <phoneticPr fontId="2" type="noConversion"/>
  </si>
  <si>
    <t>이마트24(냉동) - 윈즈</t>
    <phoneticPr fontId="5" type="noConversion"/>
  </si>
  <si>
    <t>이마트24(냉동) - 스위트조이</t>
    <phoneticPr fontId="5" type="noConversion"/>
  </si>
  <si>
    <t>스위트)
토이스토리아이스75g</t>
    <phoneticPr fontId="2" type="noConversion"/>
  </si>
  <si>
    <t>티아이)크림브륄레90g</t>
    <phoneticPr fontId="2" type="noConversion"/>
  </si>
  <si>
    <t>자망요)자망요크림모찌60g(냉동)</t>
  </si>
  <si>
    <t>양산2(저온)</t>
  </si>
  <si>
    <t>자망요)자망요크림
모찌60g(냉동)</t>
    <phoneticPr fontId="5" type="noConversion"/>
  </si>
  <si>
    <t>포천2(저온)</t>
  </si>
  <si>
    <t>장성2(저온)</t>
  </si>
  <si>
    <t>청라2(저온)</t>
  </si>
  <si>
    <t>경산2(저온)</t>
  </si>
  <si>
    <t>양지2(저온)</t>
  </si>
  <si>
    <t>제주성이시돌목장)우유젤라또미니컵100ml</t>
  </si>
  <si>
    <t>제주성이시돌목장)초코젤라또미니컵100ml</t>
  </si>
  <si>
    <t>제주성이시돌목장)
우유젤라또미니컵100ml</t>
    <phoneticPr fontId="2" type="noConversion"/>
  </si>
  <si>
    <t>제주성이시돌목장)요거트젤라또미니컵100ml</t>
    <phoneticPr fontId="2" type="noConversion"/>
  </si>
  <si>
    <t>제주성이시돌목장)녹차젤라또파인트473ml</t>
    <phoneticPr fontId="2" type="noConversion"/>
  </si>
  <si>
    <t>제주성이시돌목장)녹차젤라또미니컵100ml</t>
    <phoneticPr fontId="2" type="noConversion"/>
  </si>
  <si>
    <t>제주성이시돌목장)
초코젤라또미니컵100ml</t>
    <phoneticPr fontId="2" type="noConversion"/>
  </si>
  <si>
    <t>제주성이시돌목장)
초코젤라또파인트473ml</t>
    <phoneticPr fontId="2" type="noConversion"/>
  </si>
  <si>
    <t>제주성이시돌목장)
요거트젤라또파인트473ml</t>
    <phoneticPr fontId="2" type="noConversion"/>
  </si>
  <si>
    <t>제주성이시돌목장)
우유젤라또파인트473ml</t>
    <phoneticPr fontId="2" type="noConversion"/>
  </si>
  <si>
    <t>옐로우)달콤닭강정300g</t>
  </si>
  <si>
    <t>옐로우)매콤닭강정300g</t>
  </si>
  <si>
    <t>김천2(저온)</t>
  </si>
  <si>
    <t>티아이)크림브륄레90g</t>
  </si>
  <si>
    <t>원주2(저온)</t>
  </si>
  <si>
    <t>김해2(저온)</t>
  </si>
  <si>
    <t>화성2(저온)</t>
  </si>
  <si>
    <t>스위트)토이스토리아이스75g</t>
  </si>
  <si>
    <t>제주성이시돌목장)요거트젤라또파인트473ml</t>
  </si>
  <si>
    <t>세종2(저온)</t>
  </si>
  <si>
    <t>삼진)미니어묵꼬치290g</t>
  </si>
  <si>
    <t>삼진)미니땡초봉꼬치320g</t>
  </si>
  <si>
    <t>이마트24(냉동) - 삼진</t>
    <phoneticPr fontId="5" type="noConversion"/>
  </si>
  <si>
    <t>10/12</t>
  </si>
  <si>
    <t>제주성이시돌목장)요거트젤라또미니컵100ml</t>
  </si>
  <si>
    <t>제주성이시돌목장)우유젤라또파인트473ml</t>
  </si>
  <si>
    <t>12/13 납품</t>
  </si>
  <si>
    <t>10/13</t>
  </si>
  <si>
    <t>10/14 납품</t>
  </si>
  <si>
    <t>10/16 납품</t>
  </si>
  <si>
    <t>10/14</t>
  </si>
  <si>
    <t>10/15 납품</t>
  </si>
  <si>
    <t>제주성이시돌목장)녹차젤라또미니컵100ml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</si>
</sst>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mm&quot;월&quot;\ dd&quot;일&quot;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rgb="FF000000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4"/>
      <color rgb="FF000000"/>
      <name val="맑은 고딕"/>
      <family val="3"/>
      <charset val="129"/>
    </font>
    <font>
      <b/>
      <sz val="16"/>
      <color rgb="FF000000"/>
      <name val="맑은 고딕"/>
      <family val="3"/>
      <charset val="129"/>
    </font>
    <font>
      <sz val="8"/>
      <name val="돋움"/>
      <family val="3"/>
      <charset val="129"/>
    </font>
    <font>
      <sz val="16"/>
      <color rgb="FF000000"/>
      <name val="맑은 고딕"/>
      <family val="3"/>
      <charset val="129"/>
    </font>
    <font>
      <b/>
      <sz val="16"/>
      <color indexed="8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theme="1"/>
      <name val="맑은 고딕"/>
      <family val="2"/>
      <charset val="129"/>
      <scheme val="minor"/>
    </font>
    <font>
      <sz val="12"/>
      <name val="맑은 고딕"/>
      <family val="3"/>
      <charset val="129"/>
    </font>
    <font>
      <sz val="12"/>
      <color rgb="FF000000"/>
      <name val="맑은 고딕"/>
      <family val="3"/>
      <charset val="129"/>
    </font>
    <font>
      <sz val="12"/>
      <name val="돋움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C99FF"/>
        <bgColor indexed="64"/>
      </patternFill>
    </fill>
  </fills>
  <borders count="3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>
      <alignment vertical="center"/>
    </xf>
    <xf numFmtId="41" fontId="1" fillId="0" borderId="0">
      <alignment vertical="center"/>
    </xf>
    <xf numFmtId="0" fontId="1" fillId="0" borderId="0">
      <alignment vertical="center"/>
    </xf>
    <xf numFmtId="41" fontId="1" fillId="0" borderId="0">
      <alignment vertical="center"/>
    </xf>
    <xf numFmtId="0" fontId="9" fillId="0" borderId="0">
      <alignment vertical="center"/>
    </xf>
  </cellStyleXfs>
  <cellXfs count="152">
    <xf numFmtId="0" fontId="0" fillId="0" borderId="0" xfId="0">
      <alignment vertical="center"/>
    </xf>
    <xf numFmtId="41" fontId="1" fillId="0" borderId="0" xfId="1">
      <alignment vertical="center"/>
    </xf>
    <xf numFmtId="41" fontId="0" fillId="0" borderId="0" xfId="1" applyFont="1">
      <alignment vertical="center"/>
    </xf>
    <xf numFmtId="0" fontId="1" fillId="0" borderId="0" xfId="2">
      <alignment vertical="center"/>
    </xf>
    <xf numFmtId="14" fontId="4" fillId="0" borderId="2" xfId="2" applyNumberFormat="1" applyFont="1" applyBorder="1">
      <alignment vertical="center"/>
    </xf>
    <xf numFmtId="0" fontId="4" fillId="0" borderId="3" xfId="2" applyFont="1" applyBorder="1" applyAlignment="1">
      <alignment horizontal="left" vertical="center"/>
    </xf>
    <xf numFmtId="0" fontId="4" fillId="0" borderId="5" xfId="2" applyFont="1" applyBorder="1">
      <alignment vertical="center"/>
    </xf>
    <xf numFmtId="0" fontId="4" fillId="0" borderId="6" xfId="2" applyFont="1" applyBorder="1" applyAlignment="1">
      <alignment horizontal="center" vertical="center"/>
    </xf>
    <xf numFmtId="0" fontId="4" fillId="0" borderId="6" xfId="2" applyFont="1" applyBorder="1" applyAlignment="1">
      <alignment horizontal="center" vertical="center" wrapText="1"/>
    </xf>
    <xf numFmtId="41" fontId="4" fillId="0" borderId="6" xfId="1" applyFont="1" applyBorder="1" applyAlignment="1">
      <alignment horizontal="center" vertical="center"/>
    </xf>
    <xf numFmtId="41" fontId="4" fillId="0" borderId="7" xfId="1" applyFont="1" applyBorder="1" applyAlignment="1">
      <alignment horizontal="center" vertical="center"/>
    </xf>
    <xf numFmtId="0" fontId="6" fillId="2" borderId="5" xfId="2" applyFont="1" applyFill="1" applyBorder="1" applyAlignment="1">
      <alignment horizontal="left" vertical="center"/>
    </xf>
    <xf numFmtId="0" fontId="6" fillId="2" borderId="6" xfId="2" applyFont="1" applyFill="1" applyBorder="1" applyAlignment="1">
      <alignment horizontal="center" vertical="center"/>
    </xf>
    <xf numFmtId="41" fontId="6" fillId="2" borderId="6" xfId="1" applyFont="1" applyFill="1" applyBorder="1">
      <alignment vertical="center"/>
    </xf>
    <xf numFmtId="0" fontId="4" fillId="2" borderId="6" xfId="2" applyFont="1" applyFill="1" applyBorder="1" applyAlignment="1">
      <alignment horizontal="center" vertical="center"/>
    </xf>
    <xf numFmtId="41" fontId="6" fillId="2" borderId="7" xfId="1" applyFont="1" applyFill="1" applyBorder="1">
      <alignment vertical="center"/>
    </xf>
    <xf numFmtId="0" fontId="6" fillId="3" borderId="5" xfId="2" applyFont="1" applyFill="1" applyBorder="1" applyAlignment="1">
      <alignment horizontal="left" vertical="center"/>
    </xf>
    <xf numFmtId="0" fontId="6" fillId="3" borderId="6" xfId="2" applyFont="1" applyFill="1" applyBorder="1" applyAlignment="1">
      <alignment horizontal="center" vertical="center"/>
    </xf>
    <xf numFmtId="41" fontId="6" fillId="3" borderId="6" xfId="1" applyFont="1" applyFill="1" applyBorder="1">
      <alignment vertical="center"/>
    </xf>
    <xf numFmtId="0" fontId="4" fillId="3" borderId="6" xfId="2" applyFont="1" applyFill="1" applyBorder="1" applyAlignment="1">
      <alignment horizontal="center" vertical="center"/>
    </xf>
    <xf numFmtId="41" fontId="6" fillId="3" borderId="7" xfId="1" applyFont="1" applyFill="1" applyBorder="1">
      <alignment vertical="center"/>
    </xf>
    <xf numFmtId="0" fontId="4" fillId="4" borderId="15" xfId="2" applyFont="1" applyFill="1" applyBorder="1" applyAlignment="1">
      <alignment horizontal="center" vertical="center"/>
    </xf>
    <xf numFmtId="0" fontId="6" fillId="4" borderId="16" xfId="2" applyFont="1" applyFill="1" applyBorder="1" applyAlignment="1">
      <alignment horizontal="center" vertical="center"/>
    </xf>
    <xf numFmtId="41" fontId="6" fillId="4" borderId="16" xfId="1" applyFont="1" applyFill="1" applyBorder="1">
      <alignment vertical="center"/>
    </xf>
    <xf numFmtId="41" fontId="4" fillId="4" borderId="16" xfId="1" applyFont="1" applyFill="1" applyBorder="1">
      <alignment vertical="center"/>
    </xf>
    <xf numFmtId="41" fontId="4" fillId="4" borderId="17" xfId="1" applyFont="1" applyFill="1" applyBorder="1">
      <alignment vertical="center"/>
    </xf>
    <xf numFmtId="41" fontId="4" fillId="4" borderId="18" xfId="1" applyFont="1" applyFill="1" applyBorder="1">
      <alignment vertical="center"/>
    </xf>
    <xf numFmtId="0" fontId="1" fillId="0" borderId="0" xfId="2" applyAlignment="1">
      <alignment horizontal="center" vertical="center"/>
    </xf>
    <xf numFmtId="0" fontId="6" fillId="0" borderId="0" xfId="2" applyFont="1" applyAlignment="1">
      <alignment horizontal="center" vertical="center"/>
    </xf>
    <xf numFmtId="0" fontId="7" fillId="3" borderId="15" xfId="2" applyFont="1" applyFill="1" applyBorder="1" applyAlignment="1">
      <alignment horizontal="center" vertical="center"/>
    </xf>
    <xf numFmtId="0" fontId="7" fillId="3" borderId="16" xfId="2" applyFont="1" applyFill="1" applyBorder="1" applyAlignment="1">
      <alignment horizontal="center" vertical="center"/>
    </xf>
    <xf numFmtId="41" fontId="7" fillId="3" borderId="16" xfId="2" applyNumberFormat="1" applyFont="1" applyFill="1" applyBorder="1">
      <alignment vertical="center"/>
    </xf>
    <xf numFmtId="41" fontId="7" fillId="3" borderId="16" xfId="1" applyFont="1" applyFill="1" applyBorder="1">
      <alignment vertical="center"/>
    </xf>
    <xf numFmtId="41" fontId="7" fillId="3" borderId="17" xfId="1" applyFont="1" applyFill="1" applyBorder="1">
      <alignment vertical="center"/>
    </xf>
    <xf numFmtId="41" fontId="7" fillId="3" borderId="18" xfId="1" applyFont="1" applyFill="1" applyBorder="1">
      <alignment vertical="center"/>
    </xf>
    <xf numFmtId="0" fontId="6" fillId="0" borderId="0" xfId="2" applyFont="1" applyAlignment="1">
      <alignment horizontal="left" vertical="center"/>
    </xf>
    <xf numFmtId="41" fontId="6" fillId="0" borderId="0" xfId="1" applyFont="1">
      <alignment vertical="center"/>
    </xf>
    <xf numFmtId="0" fontId="4" fillId="0" borderId="0" xfId="2" applyFont="1" applyAlignment="1">
      <alignment horizontal="center" vertical="center"/>
    </xf>
    <xf numFmtId="0" fontId="6" fillId="3" borderId="19" xfId="2" applyFont="1" applyFill="1" applyBorder="1" applyAlignment="1">
      <alignment horizontal="left" vertical="center"/>
    </xf>
    <xf numFmtId="41" fontId="6" fillId="3" borderId="20" xfId="1" applyFont="1" applyFill="1" applyBorder="1">
      <alignment vertical="center"/>
    </xf>
    <xf numFmtId="0" fontId="4" fillId="3" borderId="20" xfId="2" applyFont="1" applyFill="1" applyBorder="1" applyAlignment="1">
      <alignment horizontal="center" vertical="center"/>
    </xf>
    <xf numFmtId="41" fontId="6" fillId="3" borderId="21" xfId="1" applyFont="1" applyFill="1" applyBorder="1">
      <alignment vertical="center"/>
    </xf>
    <xf numFmtId="0" fontId="6" fillId="2" borderId="8" xfId="2" applyFont="1" applyFill="1" applyBorder="1" applyAlignment="1">
      <alignment horizontal="left" vertical="center"/>
    </xf>
    <xf numFmtId="0" fontId="6" fillId="2" borderId="9" xfId="2" applyFont="1" applyFill="1" applyBorder="1" applyAlignment="1">
      <alignment horizontal="center" vertical="center"/>
    </xf>
    <xf numFmtId="41" fontId="6" fillId="2" borderId="9" xfId="1" applyFont="1" applyFill="1" applyBorder="1">
      <alignment vertical="center"/>
    </xf>
    <xf numFmtId="0" fontId="4" fillId="2" borderId="9" xfId="2" applyFont="1" applyFill="1" applyBorder="1" applyAlignment="1">
      <alignment horizontal="center" vertical="center"/>
    </xf>
    <xf numFmtId="41" fontId="6" fillId="2" borderId="10" xfId="1" applyFont="1" applyFill="1" applyBorder="1">
      <alignment vertical="center"/>
    </xf>
    <xf numFmtId="0" fontId="7" fillId="3" borderId="22" xfId="2" applyFont="1" applyFill="1" applyBorder="1" applyAlignment="1">
      <alignment horizontal="center" vertical="center"/>
    </xf>
    <xf numFmtId="41" fontId="7" fillId="3" borderId="23" xfId="2" applyNumberFormat="1" applyFont="1" applyFill="1" applyBorder="1">
      <alignment vertical="center"/>
    </xf>
    <xf numFmtId="41" fontId="7" fillId="3" borderId="23" xfId="1" applyFont="1" applyFill="1" applyBorder="1">
      <alignment vertical="center"/>
    </xf>
    <xf numFmtId="41" fontId="7" fillId="3" borderId="24" xfId="1" applyFont="1" applyFill="1" applyBorder="1">
      <alignment vertical="center"/>
    </xf>
    <xf numFmtId="41" fontId="7" fillId="3" borderId="25" xfId="1" applyFont="1" applyFill="1" applyBorder="1">
      <alignment vertical="center"/>
    </xf>
    <xf numFmtId="0" fontId="6" fillId="2" borderId="19" xfId="2" applyFont="1" applyFill="1" applyBorder="1" applyAlignment="1">
      <alignment horizontal="left" vertical="center"/>
    </xf>
    <xf numFmtId="41" fontId="6" fillId="2" borderId="20" xfId="1" applyFont="1" applyFill="1" applyBorder="1">
      <alignment vertical="center"/>
    </xf>
    <xf numFmtId="0" fontId="4" fillId="2" borderId="20" xfId="2" applyFont="1" applyFill="1" applyBorder="1" applyAlignment="1">
      <alignment horizontal="center" vertical="center"/>
    </xf>
    <xf numFmtId="41" fontId="6" fillId="2" borderId="21" xfId="1" applyFont="1" applyFill="1" applyBorder="1">
      <alignment vertical="center"/>
    </xf>
    <xf numFmtId="0" fontId="8" fillId="0" borderId="0" xfId="2" applyFont="1" applyAlignment="1">
      <alignment horizontal="right" vertical="center"/>
    </xf>
    <xf numFmtId="0" fontId="7" fillId="5" borderId="11" xfId="2" applyFont="1" applyFill="1" applyBorder="1" applyAlignment="1">
      <alignment horizontal="center" vertical="center"/>
    </xf>
    <xf numFmtId="0" fontId="7" fillId="5" borderId="12" xfId="2" applyFont="1" applyFill="1" applyBorder="1" applyAlignment="1">
      <alignment horizontal="center" vertical="center"/>
    </xf>
    <xf numFmtId="41" fontId="7" fillId="5" borderId="12" xfId="2" applyNumberFormat="1" applyFont="1" applyFill="1" applyBorder="1">
      <alignment vertical="center"/>
    </xf>
    <xf numFmtId="41" fontId="7" fillId="5" borderId="12" xfId="1" applyFont="1" applyFill="1" applyBorder="1">
      <alignment vertical="center"/>
    </xf>
    <xf numFmtId="41" fontId="7" fillId="5" borderId="13" xfId="1" applyFont="1" applyFill="1" applyBorder="1">
      <alignment vertical="center"/>
    </xf>
    <xf numFmtId="41" fontId="7" fillId="5" borderId="14" xfId="1" applyFont="1" applyFill="1" applyBorder="1">
      <alignment vertical="center"/>
    </xf>
    <xf numFmtId="0" fontId="6" fillId="3" borderId="20" xfId="2" applyFont="1" applyFill="1" applyBorder="1" applyAlignment="1">
      <alignment horizontal="center" vertical="center"/>
    </xf>
    <xf numFmtId="0" fontId="6" fillId="0" borderId="26" xfId="2" applyFont="1" applyBorder="1" applyAlignment="1">
      <alignment horizontal="left" vertical="center"/>
    </xf>
    <xf numFmtId="0" fontId="6" fillId="0" borderId="27" xfId="2" applyFont="1" applyBorder="1" applyAlignment="1">
      <alignment horizontal="center" vertical="center"/>
    </xf>
    <xf numFmtId="41" fontId="6" fillId="0" borderId="27" xfId="1" applyFont="1" applyBorder="1">
      <alignment vertical="center"/>
    </xf>
    <xf numFmtId="0" fontId="4" fillId="0" borderId="27" xfId="2" applyFont="1" applyBorder="1" applyAlignment="1">
      <alignment horizontal="center" vertical="center"/>
    </xf>
    <xf numFmtId="41" fontId="6" fillId="0" borderId="28" xfId="1" applyFont="1" applyBorder="1">
      <alignment vertical="center"/>
    </xf>
    <xf numFmtId="0" fontId="6" fillId="2" borderId="16" xfId="2" applyFont="1" applyFill="1" applyBorder="1" applyAlignment="1">
      <alignment horizontal="center" vertical="center"/>
    </xf>
    <xf numFmtId="0" fontId="4" fillId="0" borderId="15" xfId="2" applyFont="1" applyBorder="1" applyAlignment="1">
      <alignment horizontal="center" vertical="center"/>
    </xf>
    <xf numFmtId="0" fontId="4" fillId="0" borderId="16" xfId="2" applyFont="1" applyBorder="1" applyAlignment="1">
      <alignment horizontal="center" vertical="center"/>
    </xf>
    <xf numFmtId="41" fontId="4" fillId="0" borderId="16" xfId="1" applyFont="1" applyBorder="1" applyAlignment="1">
      <alignment horizontal="center" vertical="center"/>
    </xf>
    <xf numFmtId="41" fontId="4" fillId="0" borderId="16" xfId="1" applyFont="1" applyBorder="1">
      <alignment vertical="center"/>
    </xf>
    <xf numFmtId="0" fontId="6" fillId="0" borderId="5" xfId="2" applyFont="1" applyBorder="1" applyAlignment="1">
      <alignment horizontal="left" vertical="center"/>
    </xf>
    <xf numFmtId="0" fontId="6" fillId="0" borderId="6" xfId="2" applyFont="1" applyBorder="1" applyAlignment="1">
      <alignment horizontal="center" vertical="center"/>
    </xf>
    <xf numFmtId="41" fontId="6" fillId="0" borderId="6" xfId="1" applyFont="1" applyBorder="1">
      <alignment vertical="center"/>
    </xf>
    <xf numFmtId="41" fontId="6" fillId="0" borderId="7" xfId="1" applyFont="1" applyBorder="1">
      <alignment vertical="center"/>
    </xf>
    <xf numFmtId="0" fontId="6" fillId="2" borderId="15" xfId="2" applyFont="1" applyFill="1" applyBorder="1" applyAlignment="1">
      <alignment horizontal="left" vertical="center"/>
    </xf>
    <xf numFmtId="41" fontId="6" fillId="2" borderId="16" xfId="1" applyFont="1" applyFill="1" applyBorder="1">
      <alignment vertical="center"/>
    </xf>
    <xf numFmtId="0" fontId="4" fillId="2" borderId="16" xfId="2" applyFont="1" applyFill="1" applyBorder="1" applyAlignment="1">
      <alignment horizontal="center" vertical="center"/>
    </xf>
    <xf numFmtId="41" fontId="6" fillId="2" borderId="18" xfId="1" applyFont="1" applyFill="1" applyBorder="1">
      <alignment vertical="center"/>
    </xf>
    <xf numFmtId="12" fontId="10" fillId="0" borderId="0" xfId="3" quotePrefix="1" applyNumberFormat="1" applyFont="1">
      <alignment vertical="center"/>
    </xf>
    <xf numFmtId="41" fontId="0" fillId="0" borderId="0" xfId="3" applyFont="1">
      <alignment vertical="center"/>
    </xf>
    <xf numFmtId="0" fontId="11" fillId="0" borderId="0" xfId="2" applyFont="1">
      <alignment vertical="center"/>
    </xf>
    <xf numFmtId="41" fontId="4" fillId="0" borderId="6" xfId="3" applyFont="1" applyBorder="1" applyAlignment="1">
      <alignment horizontal="center" vertical="center"/>
    </xf>
    <xf numFmtId="41" fontId="4" fillId="0" borderId="7" xfId="3" applyFont="1" applyBorder="1" applyAlignment="1">
      <alignment horizontal="center" vertical="center"/>
    </xf>
    <xf numFmtId="41" fontId="6" fillId="2" borderId="6" xfId="3" applyFont="1" applyFill="1" applyBorder="1">
      <alignment vertical="center"/>
    </xf>
    <xf numFmtId="41" fontId="6" fillId="2" borderId="7" xfId="3" applyFont="1" applyFill="1" applyBorder="1">
      <alignment vertical="center"/>
    </xf>
    <xf numFmtId="41" fontId="6" fillId="3" borderId="6" xfId="3" applyFont="1" applyFill="1" applyBorder="1">
      <alignment vertical="center"/>
    </xf>
    <xf numFmtId="41" fontId="6" fillId="3" borderId="7" xfId="3" applyFont="1" applyFill="1" applyBorder="1">
      <alignment vertical="center"/>
    </xf>
    <xf numFmtId="41" fontId="7" fillId="3" borderId="16" xfId="3" applyFont="1" applyFill="1" applyBorder="1">
      <alignment vertical="center"/>
    </xf>
    <xf numFmtId="41" fontId="7" fillId="3" borderId="17" xfId="3" applyFont="1" applyFill="1" applyBorder="1">
      <alignment vertical="center"/>
    </xf>
    <xf numFmtId="41" fontId="7" fillId="3" borderId="18" xfId="3" applyFont="1" applyFill="1" applyBorder="1">
      <alignment vertical="center"/>
    </xf>
    <xf numFmtId="41" fontId="6" fillId="0" borderId="0" xfId="3" applyFont="1">
      <alignment vertical="center"/>
    </xf>
    <xf numFmtId="41" fontId="6" fillId="3" borderId="20" xfId="3" applyFont="1" applyFill="1" applyBorder="1">
      <alignment vertical="center"/>
    </xf>
    <xf numFmtId="41" fontId="6" fillId="3" borderId="21" xfId="3" applyFont="1" applyFill="1" applyBorder="1">
      <alignment vertical="center"/>
    </xf>
    <xf numFmtId="41" fontId="6" fillId="0" borderId="6" xfId="3" applyFont="1" applyBorder="1">
      <alignment vertical="center"/>
    </xf>
    <xf numFmtId="41" fontId="6" fillId="0" borderId="7" xfId="3" applyFont="1" applyBorder="1">
      <alignment vertical="center"/>
    </xf>
    <xf numFmtId="41" fontId="6" fillId="2" borderId="9" xfId="3" applyFont="1" applyFill="1" applyBorder="1">
      <alignment vertical="center"/>
    </xf>
    <xf numFmtId="41" fontId="6" fillId="2" borderId="10" xfId="3" applyFont="1" applyFill="1" applyBorder="1">
      <alignment vertical="center"/>
    </xf>
    <xf numFmtId="41" fontId="7" fillId="3" borderId="23" xfId="3" applyFont="1" applyFill="1" applyBorder="1">
      <alignment vertical="center"/>
    </xf>
    <xf numFmtId="41" fontId="7" fillId="3" borderId="24" xfId="3" applyFont="1" applyFill="1" applyBorder="1">
      <alignment vertical="center"/>
    </xf>
    <xf numFmtId="41" fontId="7" fillId="3" borderId="25" xfId="3" applyFont="1" applyFill="1" applyBorder="1">
      <alignment vertical="center"/>
    </xf>
    <xf numFmtId="41" fontId="6" fillId="2" borderId="20" xfId="3" applyFont="1" applyFill="1" applyBorder="1">
      <alignment vertical="center"/>
    </xf>
    <xf numFmtId="41" fontId="6" fillId="2" borderId="21" xfId="3" applyFont="1" applyFill="1" applyBorder="1">
      <alignment vertical="center"/>
    </xf>
    <xf numFmtId="41" fontId="7" fillId="5" borderId="12" xfId="3" applyFont="1" applyFill="1" applyBorder="1">
      <alignment vertical="center"/>
    </xf>
    <xf numFmtId="41" fontId="7" fillId="5" borderId="13" xfId="3" applyFont="1" applyFill="1" applyBorder="1">
      <alignment vertical="center"/>
    </xf>
    <xf numFmtId="41" fontId="7" fillId="5" borderId="14" xfId="3" applyFont="1" applyFill="1" applyBorder="1">
      <alignment vertical="center"/>
    </xf>
    <xf numFmtId="41" fontId="6" fillId="4" borderId="16" xfId="3" applyFont="1" applyFill="1" applyBorder="1">
      <alignment vertical="center"/>
    </xf>
    <xf numFmtId="41" fontId="4" fillId="4" borderId="16" xfId="3" applyFont="1" applyFill="1" applyBorder="1">
      <alignment vertical="center"/>
    </xf>
    <xf numFmtId="41" fontId="4" fillId="4" borderId="17" xfId="3" applyFont="1" applyFill="1" applyBorder="1">
      <alignment vertical="center"/>
    </xf>
    <xf numFmtId="41" fontId="4" fillId="4" borderId="18" xfId="3" applyFont="1" applyFill="1" applyBorder="1">
      <alignment vertical="center"/>
    </xf>
    <xf numFmtId="0" fontId="12" fillId="0" borderId="0" xfId="4" applyFont="1">
      <alignment vertical="center"/>
    </xf>
    <xf numFmtId="0" fontId="3" fillId="0" borderId="6" xfId="2" applyFont="1" applyBorder="1" applyAlignment="1">
      <alignment horizontal="center" vertical="center" wrapText="1"/>
    </xf>
    <xf numFmtId="0" fontId="4" fillId="6" borderId="5" xfId="2" applyFont="1" applyFill="1" applyBorder="1" applyAlignment="1">
      <alignment horizontal="center" vertical="center"/>
    </xf>
    <xf numFmtId="41" fontId="4" fillId="3" borderId="9" xfId="3" applyFont="1" applyFill="1" applyBorder="1">
      <alignment vertical="center"/>
    </xf>
    <xf numFmtId="41" fontId="6" fillId="2" borderId="16" xfId="3" applyFont="1" applyFill="1" applyBorder="1">
      <alignment vertical="center"/>
    </xf>
    <xf numFmtId="0" fontId="4" fillId="6" borderId="6" xfId="2" applyFont="1" applyFill="1" applyBorder="1" applyAlignment="1">
      <alignment horizontal="center" vertical="center" wrapText="1"/>
    </xf>
    <xf numFmtId="0" fontId="4" fillId="7" borderId="5" xfId="2" applyFont="1" applyFill="1" applyBorder="1" applyAlignment="1">
      <alignment horizontal="center" vertical="center"/>
    </xf>
    <xf numFmtId="0" fontId="6" fillId="3" borderId="8" xfId="2" applyFont="1" applyFill="1" applyBorder="1" applyAlignment="1">
      <alignment horizontal="left" vertical="center"/>
    </xf>
    <xf numFmtId="0" fontId="6" fillId="3" borderId="9" xfId="2" applyFont="1" applyFill="1" applyBorder="1" applyAlignment="1">
      <alignment horizontal="center" vertical="center"/>
    </xf>
    <xf numFmtId="41" fontId="6" fillId="3" borderId="9" xfId="1" applyFont="1" applyFill="1" applyBorder="1">
      <alignment vertical="center"/>
    </xf>
    <xf numFmtId="0" fontId="4" fillId="3" borderId="9" xfId="2" applyFont="1" applyFill="1" applyBorder="1" applyAlignment="1">
      <alignment horizontal="center" vertical="center"/>
    </xf>
    <xf numFmtId="41" fontId="6" fillId="3" borderId="10" xfId="1" applyFont="1" applyFill="1" applyBorder="1">
      <alignment vertical="center"/>
    </xf>
    <xf numFmtId="0" fontId="7" fillId="2" borderId="22" xfId="2" applyFont="1" applyFill="1" applyBorder="1" applyAlignment="1">
      <alignment horizontal="center" vertical="center"/>
    </xf>
    <xf numFmtId="0" fontId="7" fillId="2" borderId="16" xfId="2" applyFont="1" applyFill="1" applyBorder="1" applyAlignment="1">
      <alignment horizontal="center" vertical="center"/>
    </xf>
    <xf numFmtId="41" fontId="7" fillId="2" borderId="23" xfId="2" applyNumberFormat="1" applyFont="1" applyFill="1" applyBorder="1">
      <alignment vertical="center"/>
    </xf>
    <xf numFmtId="41" fontId="7" fillId="2" borderId="23" xfId="1" applyFont="1" applyFill="1" applyBorder="1">
      <alignment vertical="center"/>
    </xf>
    <xf numFmtId="41" fontId="7" fillId="2" borderId="24" xfId="1" applyFont="1" applyFill="1" applyBorder="1">
      <alignment vertical="center"/>
    </xf>
    <xf numFmtId="41" fontId="7" fillId="2" borderId="25" xfId="1" applyFont="1" applyFill="1" applyBorder="1">
      <alignment vertical="center"/>
    </xf>
    <xf numFmtId="176" fontId="1" fillId="0" borderId="0" xfId="2" applyNumberFormat="1">
      <alignment vertical="center"/>
    </xf>
    <xf numFmtId="0" fontId="6" fillId="0" borderId="19" xfId="2" applyFont="1" applyBorder="1" applyAlignment="1">
      <alignment horizontal="left" vertical="center"/>
    </xf>
    <xf numFmtId="0" fontId="6" fillId="0" borderId="20" xfId="2" applyFont="1" applyBorder="1" applyAlignment="1">
      <alignment horizontal="center" vertical="center"/>
    </xf>
    <xf numFmtId="41" fontId="6" fillId="0" borderId="20" xfId="1" applyFont="1" applyBorder="1">
      <alignment vertical="center"/>
    </xf>
    <xf numFmtId="0" fontId="4" fillId="0" borderId="20" xfId="2" applyFont="1" applyBorder="1" applyAlignment="1">
      <alignment horizontal="center" vertical="center"/>
    </xf>
    <xf numFmtId="41" fontId="6" fillId="0" borderId="21" xfId="1" applyFont="1" applyBorder="1">
      <alignment vertical="center"/>
    </xf>
    <xf numFmtId="0" fontId="6" fillId="2" borderId="31" xfId="2" applyFont="1" applyFill="1" applyBorder="1" applyAlignment="1">
      <alignment horizontal="left" vertical="center"/>
    </xf>
    <xf numFmtId="0" fontId="6" fillId="2" borderId="29" xfId="2" applyFont="1" applyFill="1" applyBorder="1" applyAlignment="1">
      <alignment horizontal="center" vertical="center"/>
    </xf>
    <xf numFmtId="41" fontId="6" fillId="2" borderId="29" xfId="1" applyFont="1" applyFill="1" applyBorder="1">
      <alignment vertical="center"/>
    </xf>
    <xf numFmtId="0" fontId="4" fillId="2" borderId="29" xfId="2" applyFont="1" applyFill="1" applyBorder="1" applyAlignment="1">
      <alignment horizontal="center" vertical="center"/>
    </xf>
    <xf numFmtId="41" fontId="6" fillId="2" borderId="30" xfId="1" applyFont="1" applyFill="1" applyBorder="1">
      <alignment vertical="center"/>
    </xf>
    <xf numFmtId="41" fontId="6" fillId="0" borderId="20" xfId="3" applyFont="1" applyBorder="1">
      <alignment vertical="center"/>
    </xf>
    <xf numFmtId="41" fontId="6" fillId="0" borderId="21" xfId="3" applyFont="1" applyBorder="1">
      <alignment vertical="center"/>
    </xf>
    <xf numFmtId="0" fontId="6" fillId="2" borderId="20" xfId="2" applyFont="1" applyFill="1" applyBorder="1" applyAlignment="1">
      <alignment horizontal="center" vertical="center"/>
    </xf>
    <xf numFmtId="13" fontId="1" fillId="0" borderId="0" xfId="1" applyNumberFormat="1">
      <alignment vertical="center"/>
    </xf>
    <xf numFmtId="14" fontId="4" fillId="0" borderId="2" xfId="2" applyNumberFormat="1" applyFont="1" applyBorder="1" applyAlignment="1">
      <alignment horizontal="center" vertical="center"/>
    </xf>
    <xf numFmtId="0" fontId="3" fillId="6" borderId="6" xfId="2" applyFont="1" applyFill="1" applyBorder="1" applyAlignment="1">
      <alignment horizontal="center" vertical="center" wrapText="1"/>
    </xf>
    <xf numFmtId="0" fontId="4" fillId="8" borderId="6" xfId="2" applyFont="1" applyFill="1" applyBorder="1" applyAlignment="1">
      <alignment horizontal="center" vertical="center" wrapText="1"/>
    </xf>
    <xf numFmtId="14" fontId="3" fillId="0" borderId="1" xfId="2" applyNumberFormat="1" applyFont="1" applyBorder="1" applyAlignment="1">
      <alignment horizontal="center" vertical="center"/>
    </xf>
    <xf numFmtId="0" fontId="4" fillId="0" borderId="3" xfId="2" applyFont="1" applyBorder="1" applyAlignment="1">
      <alignment horizontal="center" vertical="center"/>
    </xf>
    <xf numFmtId="0" fontId="4" fillId="0" borderId="4" xfId="2" applyFont="1" applyBorder="1" applyAlignment="1">
      <alignment horizontal="center" vertical="center"/>
    </xf>
  </cellXfs>
  <cellStyles count="5">
    <cellStyle name="쉼표 [0]" xfId="1" builtinId="6"/>
    <cellStyle name="쉼표 [0] 2" xfId="3" xr:uid="{00000000-0005-0000-0000-000001000000}"/>
    <cellStyle name="표준" xfId="0" builtinId="0"/>
    <cellStyle name="표준 3" xfId="4" xr:uid="{00000000-0005-0000-0000-000003000000}"/>
    <cellStyle name="표준 40" xfId="2" xr:uid="{00000000-0005-0000-0000-000004000000}"/>
  </cellStyles>
  <dxfs count="0"/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 tint="0.79998168889431442"/>
  </sheetPr>
  <dimension ref="A1:D10"/>
  <sheetViews>
    <sheetView tabSelected="1" zoomScale="85" zoomScaleNormal="85" zoomScaleSheetLayoutView="70" workbookViewId="0">
      <selection activeCell="B37" sqref="B37"/>
    </sheetView>
  </sheetViews>
  <sheetFormatPr defaultColWidth="9" defaultRowHeight="16.5" x14ac:dyDescent="0.3"/>
  <cols>
    <col min="1" max="1" width="17.625" style="3" bestFit="1" customWidth="1"/>
    <col min="2" max="2" width="29.625" style="3" bestFit="1" customWidth="1"/>
    <col min="3" max="3" width="27.375" style="3" bestFit="1" customWidth="1"/>
    <col min="4" max="9" width="27.375" style="3" customWidth="1"/>
    <col min="10" max="10" width="7.375" style="3" bestFit="1" customWidth="1"/>
    <col min="11" max="16" width="24.875" style="3" customWidth="1"/>
    <col min="17" max="17" width="21" style="3" customWidth="1"/>
    <col min="18" max="18" width="16.125" style="3" customWidth="1"/>
    <col min="19" max="19" width="20.375" style="3" customWidth="1"/>
    <col min="20" max="16384" width="9" style="3"/>
  </cols>
  <sheetData>
    <row r="1" spans="1:4" s="2" customFormat="1" ht="24.75" customHeight="1" x14ac:dyDescent="0.3">
      <c r="A1" s="1" t="s">
        <v>89</v>
      </c>
      <c r="B1" s="2" t="s">
        <v>30</v>
      </c>
    </row>
    <row r="2" spans="1:4" x14ac:dyDescent="0.3">
      <c r="A2" s="3" t="s">
        <v>90</v>
      </c>
      <c r="B2" s="3" t="s">
        <v>72</v>
      </c>
      <c r="C2" s="3" t="s">
        <v>73</v>
      </c>
      <c r="D2" s="3" t="s">
        <v>28</v>
      </c>
    </row>
    <row r="3" spans="1:4" x14ac:dyDescent="0.3">
      <c r="A3" s="3" t="s">
        <v>77</v>
      </c>
    </row>
    <row r="4" spans="1:4" x14ac:dyDescent="0.3">
      <c r="A4" s="3" t="s">
        <v>55</v>
      </c>
    </row>
    <row r="5" spans="1:4" x14ac:dyDescent="0.3">
      <c r="A5" s="3" t="s">
        <v>81</v>
      </c>
    </row>
    <row r="6" spans="1:4" x14ac:dyDescent="0.3">
      <c r="A6" s="3" t="s">
        <v>58</v>
      </c>
    </row>
    <row r="7" spans="1:4" x14ac:dyDescent="0.3">
      <c r="A7" s="3" t="s">
        <v>59</v>
      </c>
    </row>
    <row r="8" spans="1:4" x14ac:dyDescent="0.3">
      <c r="A8" s="3" t="s">
        <v>57</v>
      </c>
    </row>
    <row r="9" spans="1:4" x14ac:dyDescent="0.3">
      <c r="A9" s="3" t="s">
        <v>61</v>
      </c>
    </row>
    <row r="10" spans="1:4" x14ac:dyDescent="0.3">
      <c r="A10" s="3" t="s">
        <v>28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-0.249977111117893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33</v>
      </c>
      <c r="D2" s="150"/>
      <c r="E2" s="150"/>
      <c r="F2" s="151"/>
    </row>
    <row r="3" spans="1:6" ht="51.75" customHeight="1" x14ac:dyDescent="0.3">
      <c r="A3" s="6" t="str">
        <f>금토일피벗!A2</f>
        <v>10/14 납품</v>
      </c>
      <c r="B3" s="7" t="s">
        <v>0</v>
      </c>
      <c r="C3" s="8" t="s">
        <v>72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24</v>
      </c>
      <c r="C4" s="13">
        <f>IFERROR(VLOOKUP(A4,금토일피벗!A:AD,2,FALSE),0)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18">
        <f>IFERROR(VLOOKUP(A5,금토일피벗!A:AD,2,FALSE),0)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13">
        <f>IFERROR(VLOOKUP(A6,금토일피벗!A:AD,2,FALSE),0)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18">
        <f>IFERROR(VLOOKUP(A7,금토일피벗!A:AD,2,FALSE),0)</f>
        <v>0</v>
      </c>
      <c r="D7" s="18">
        <f t="shared" si="2"/>
        <v>0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13">
        <f>IFERROR(VLOOKUP(A8,금토일피벗!A:AD,2,FALSE),0)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18">
        <f>IFERROR(VLOOKUP(A9,금토일피벗!A:AD,2,FALSE),0)</f>
        <v>0</v>
      </c>
      <c r="D9" s="18">
        <f t="shared" si="2"/>
        <v>0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13">
        <f>IFERROR(VLOOKUP(A10,금토일피벗!A:AD,2,FALSE),0)</f>
        <v>0</v>
      </c>
      <c r="D10" s="13">
        <f t="shared" si="2"/>
        <v>0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0</v>
      </c>
      <c r="D11" s="32">
        <f>IFERROR(ROUNDDOWN(C11/B11,0),"")</f>
        <v>0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132" t="s">
        <v>6</v>
      </c>
      <c r="B13" s="133">
        <f t="shared" ref="B13:B18" si="3">$B$4</f>
        <v>24</v>
      </c>
      <c r="C13" s="134">
        <f>IFERROR(VLOOKUP(A13,금토일피벗!A:AD,2,FALSE),0)</f>
        <v>0</v>
      </c>
      <c r="D13" s="134">
        <f>IFERROR(ROUNDDOWN(C13/B13,0),"")</f>
        <v>0</v>
      </c>
      <c r="E13" s="135" t="s">
        <v>7</v>
      </c>
      <c r="F13" s="136">
        <f t="shared" si="0"/>
        <v>0</v>
      </c>
    </row>
    <row r="14" spans="1:6" ht="30" customHeight="1" thickBot="1" x14ac:dyDescent="0.35">
      <c r="A14" s="137" t="s">
        <v>8</v>
      </c>
      <c r="B14" s="138">
        <f t="shared" si="3"/>
        <v>24</v>
      </c>
      <c r="C14" s="139">
        <f>IFERROR(VLOOKUP(A14,금토일피벗!A:AD,2,FALSE),0)</f>
        <v>0</v>
      </c>
      <c r="D14" s="139">
        <f>IFERROR(ROUNDDOWN(C14/B14,0),"")</f>
        <v>0</v>
      </c>
      <c r="E14" s="140" t="s">
        <v>9</v>
      </c>
      <c r="F14" s="141">
        <f t="shared" si="0"/>
        <v>0</v>
      </c>
    </row>
    <row r="15" spans="1:6" ht="36" customHeight="1" thickBot="1" x14ac:dyDescent="0.35">
      <c r="A15" s="70" t="s">
        <v>34</v>
      </c>
      <c r="B15" s="71">
        <v>24</v>
      </c>
      <c r="C15" s="72">
        <f>SUM(C13:C14)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thickBot="1" x14ac:dyDescent="0.35">
      <c r="A16" s="64"/>
      <c r="B16" s="65"/>
      <c r="C16" s="66"/>
      <c r="D16" s="66"/>
      <c r="E16" s="67"/>
      <c r="F16" s="68"/>
    </row>
    <row r="17" spans="1:6" ht="30" customHeight="1" x14ac:dyDescent="0.3">
      <c r="A17" s="132" t="s">
        <v>14</v>
      </c>
      <c r="B17" s="133">
        <f t="shared" si="3"/>
        <v>24</v>
      </c>
      <c r="C17" s="134">
        <f>IFERROR(VLOOKUP(A17,금토일피벗!A:AD,2,FALSE),0)</f>
        <v>0</v>
      </c>
      <c r="D17" s="134">
        <f>IFERROR(ROUNDDOWN(C17/B17,0),"")</f>
        <v>0</v>
      </c>
      <c r="E17" s="135" t="s">
        <v>15</v>
      </c>
      <c r="F17" s="136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44">
        <f>IFERROR(VLOOKUP(A18,금토일피벗!A:AD,2,FALSE),0)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6" customHeight="1" thickBot="1" x14ac:dyDescent="0.35">
      <c r="A19" s="47" t="s">
        <v>35</v>
      </c>
      <c r="B19" s="30">
        <f>$B$4</f>
        <v>24</v>
      </c>
      <c r="C19" s="48">
        <f>SUM(C17:C18)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52" t="s">
        <v>12</v>
      </c>
      <c r="B21" s="69">
        <f>$B$4</f>
        <v>24</v>
      </c>
      <c r="C21" s="53">
        <f>IFERROR(VLOOKUP(A21,금토일피벗!A:AD,2,FALSE),0)</f>
        <v>0</v>
      </c>
      <c r="D21" s="53">
        <f>IFERROR(ROUNDDOWN(C21/B21,0),"")</f>
        <v>0</v>
      </c>
      <c r="E21" s="54" t="s">
        <v>13</v>
      </c>
      <c r="F21" s="5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SUM($C$11,$C$15,$C$19,$C$22)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-0.249977111117893"/>
    <pageSetUpPr fitToPage="1"/>
  </sheetPr>
  <dimension ref="A1:F26"/>
  <sheetViews>
    <sheetView zoomScale="70" zoomScaleNormal="70" zoomScaleSheetLayoutView="70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33</v>
      </c>
      <c r="D2" s="150"/>
      <c r="E2" s="150"/>
      <c r="F2" s="151"/>
    </row>
    <row r="3" spans="1:6" ht="51.75" customHeight="1" x14ac:dyDescent="0.3">
      <c r="A3" s="6" t="str">
        <f>금토일피벗!A2</f>
        <v>10/14 납품</v>
      </c>
      <c r="B3" s="7" t="s">
        <v>0</v>
      </c>
      <c r="C3" s="8" t="s">
        <v>73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24</v>
      </c>
      <c r="C4" s="13">
        <f>IFERROR(VLOOKUP(A4,금토일피벗!A:AD,3,FALSE),0)</f>
        <v>0</v>
      </c>
      <c r="D4" s="13">
        <f t="shared" ref="D4:D11" si="0">IFERROR(ROUNDDOWN(C4/B4,0),"")</f>
        <v>0</v>
      </c>
      <c r="E4" s="14" t="s">
        <v>5</v>
      </c>
      <c r="F4" s="15">
        <f t="shared" ref="F4:F11" si="1">IFERROR(C4-(D4*B4),"")</f>
        <v>0</v>
      </c>
    </row>
    <row r="5" spans="1:6" ht="30" customHeight="1" x14ac:dyDescent="0.3">
      <c r="A5" s="16" t="s">
        <v>10</v>
      </c>
      <c r="B5" s="17">
        <f t="shared" ref="B5:B11" si="2">$B$4</f>
        <v>24</v>
      </c>
      <c r="C5" s="18">
        <f>IFERROR(VLOOKUP(A5,금토일피벗!A:AD,3,FALSE),0)</f>
        <v>0</v>
      </c>
      <c r="D5" s="18">
        <f t="shared" si="0"/>
        <v>0</v>
      </c>
      <c r="E5" s="19" t="s">
        <v>11</v>
      </c>
      <c r="F5" s="20">
        <f t="shared" si="1"/>
        <v>0</v>
      </c>
    </row>
    <row r="6" spans="1:6" ht="30" customHeight="1" x14ac:dyDescent="0.3">
      <c r="A6" s="11" t="s">
        <v>18</v>
      </c>
      <c r="B6" s="12">
        <f t="shared" si="2"/>
        <v>24</v>
      </c>
      <c r="C6" s="13">
        <f>IFERROR(VLOOKUP(A6,금토일피벗!A:AD,3,FALSE),0)</f>
        <v>0</v>
      </c>
      <c r="D6" s="13">
        <f t="shared" si="0"/>
        <v>0</v>
      </c>
      <c r="E6" s="14" t="s">
        <v>19</v>
      </c>
      <c r="F6" s="15">
        <f t="shared" si="1"/>
        <v>0</v>
      </c>
    </row>
    <row r="7" spans="1:6" ht="30" customHeight="1" x14ac:dyDescent="0.3">
      <c r="A7" s="16" t="s">
        <v>20</v>
      </c>
      <c r="B7" s="17">
        <f t="shared" si="2"/>
        <v>24</v>
      </c>
      <c r="C7" s="18">
        <f>IFERROR(VLOOKUP(A7,금토일피벗!A:AD,3,FALSE),0)</f>
        <v>0</v>
      </c>
      <c r="D7" s="18">
        <f t="shared" si="0"/>
        <v>0</v>
      </c>
      <c r="E7" s="19" t="s">
        <v>21</v>
      </c>
      <c r="F7" s="20">
        <f t="shared" si="1"/>
        <v>0</v>
      </c>
    </row>
    <row r="8" spans="1:6" ht="30" customHeight="1" x14ac:dyDescent="0.3">
      <c r="A8" s="11" t="s">
        <v>22</v>
      </c>
      <c r="B8" s="12">
        <f t="shared" si="2"/>
        <v>24</v>
      </c>
      <c r="C8" s="13">
        <f>IFERROR(VLOOKUP(A8,금토일피벗!A:AD,3,FALSE),0)</f>
        <v>0</v>
      </c>
      <c r="D8" s="13">
        <f t="shared" si="0"/>
        <v>0</v>
      </c>
      <c r="E8" s="14" t="s">
        <v>23</v>
      </c>
      <c r="F8" s="15">
        <f t="shared" si="1"/>
        <v>0</v>
      </c>
    </row>
    <row r="9" spans="1:6" ht="30" customHeight="1" x14ac:dyDescent="0.3">
      <c r="A9" s="16" t="s">
        <v>24</v>
      </c>
      <c r="B9" s="17">
        <f t="shared" si="2"/>
        <v>24</v>
      </c>
      <c r="C9" s="18">
        <f>IFERROR(VLOOKUP(A9,금토일피벗!A:AD,3,FALSE),0)</f>
        <v>0</v>
      </c>
      <c r="D9" s="18">
        <f t="shared" si="0"/>
        <v>0</v>
      </c>
      <c r="E9" s="19" t="s">
        <v>25</v>
      </c>
      <c r="F9" s="20">
        <f t="shared" si="1"/>
        <v>0</v>
      </c>
    </row>
    <row r="10" spans="1:6" ht="30" customHeight="1" thickBot="1" x14ac:dyDescent="0.35">
      <c r="A10" s="11" t="s">
        <v>26</v>
      </c>
      <c r="B10" s="12">
        <f t="shared" si="2"/>
        <v>24</v>
      </c>
      <c r="C10" s="13">
        <f>IFERROR(VLOOKUP(A10,금토일피벗!A:AD,3,FALSE),0)</f>
        <v>0</v>
      </c>
      <c r="D10" s="13">
        <f t="shared" si="0"/>
        <v>0</v>
      </c>
      <c r="E10" s="14" t="s">
        <v>27</v>
      </c>
      <c r="F10" s="15">
        <f t="shared" si="1"/>
        <v>0</v>
      </c>
    </row>
    <row r="11" spans="1:6" ht="30" customHeight="1" thickBot="1" x14ac:dyDescent="0.35">
      <c r="A11" s="29" t="s">
        <v>31</v>
      </c>
      <c r="B11" s="30">
        <f t="shared" si="2"/>
        <v>24</v>
      </c>
      <c r="C11" s="31">
        <f>SUM($C$4:$C$10)</f>
        <v>0</v>
      </c>
      <c r="D11" s="32">
        <f t="shared" si="0"/>
        <v>0</v>
      </c>
      <c r="E11" s="33"/>
      <c r="F11" s="34">
        <f t="shared" si="1"/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132" t="s">
        <v>6</v>
      </c>
      <c r="B13" s="133">
        <f>$B$4</f>
        <v>24</v>
      </c>
      <c r="C13" s="134">
        <f>IFERROR(VLOOKUP(A13,금토일피벗!A:AD,3,FALSE),0)</f>
        <v>0</v>
      </c>
      <c r="D13" s="134">
        <f>IFERROR(ROUNDDOWN(C13/B13,0),"")</f>
        <v>0</v>
      </c>
      <c r="E13" s="135" t="s">
        <v>7</v>
      </c>
      <c r="F13" s="136">
        <f>IFERROR(C13-(D13*B13),"")</f>
        <v>0</v>
      </c>
    </row>
    <row r="14" spans="1:6" ht="30" customHeight="1" thickBot="1" x14ac:dyDescent="0.35">
      <c r="A14" s="137" t="s">
        <v>8</v>
      </c>
      <c r="B14" s="138">
        <f>$B$4</f>
        <v>24</v>
      </c>
      <c r="C14" s="139">
        <f>IFERROR(VLOOKUP(A14,금토일피벗!A:AD,3,FALSE),0)</f>
        <v>0</v>
      </c>
      <c r="D14" s="139">
        <f>IFERROR(ROUNDDOWN(C14/B14,0),"")</f>
        <v>0</v>
      </c>
      <c r="E14" s="140" t="s">
        <v>9</v>
      </c>
      <c r="F14" s="141">
        <f>IFERROR(C14-(D14*B14),"")</f>
        <v>0</v>
      </c>
    </row>
    <row r="15" spans="1:6" ht="36" customHeight="1" thickBot="1" x14ac:dyDescent="0.35">
      <c r="A15" s="70" t="s">
        <v>34</v>
      </c>
      <c r="B15" s="71">
        <v>24</v>
      </c>
      <c r="C15" s="73">
        <f>SUM(C13:C14)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thickBot="1" x14ac:dyDescent="0.35">
      <c r="A16" s="64"/>
      <c r="B16" s="65"/>
      <c r="C16" s="66"/>
      <c r="D16" s="66"/>
      <c r="E16" s="67"/>
      <c r="F16" s="68"/>
    </row>
    <row r="17" spans="1:6" ht="30" customHeight="1" x14ac:dyDescent="0.3">
      <c r="A17" s="132" t="s">
        <v>14</v>
      </c>
      <c r="B17" s="133">
        <f>$B$4</f>
        <v>24</v>
      </c>
      <c r="C17" s="134">
        <f>IFERROR(VLOOKUP(A17,금토일피벗!A:AD,3,FALSE),0)</f>
        <v>0</v>
      </c>
      <c r="D17" s="134">
        <f>IFERROR(ROUNDDOWN(C17/B17,0),"")</f>
        <v>0</v>
      </c>
      <c r="E17" s="135" t="s">
        <v>15</v>
      </c>
      <c r="F17" s="136">
        <f>IFERROR(C17-(D17*B17),"")</f>
        <v>0</v>
      </c>
    </row>
    <row r="18" spans="1:6" ht="30" customHeight="1" thickBot="1" x14ac:dyDescent="0.35">
      <c r="A18" s="42" t="s">
        <v>16</v>
      </c>
      <c r="B18" s="43">
        <f>$B$4</f>
        <v>24</v>
      </c>
      <c r="C18" s="44">
        <f>IFERROR(VLOOKUP(A18,금토일피벗!A:AD,3,FALSE),0)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6" customHeight="1" thickBot="1" x14ac:dyDescent="0.35">
      <c r="A19" s="47" t="s">
        <v>35</v>
      </c>
      <c r="B19" s="30">
        <f>$B$4</f>
        <v>24</v>
      </c>
      <c r="C19" s="48">
        <f>SUM(C17:C18)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52" t="s">
        <v>12</v>
      </c>
      <c r="B21" s="69">
        <f>$B$4</f>
        <v>24</v>
      </c>
      <c r="C21" s="53">
        <f>IFERROR(VLOOKUP(A21,금토일피벗!A:AD,3,FALSE),0)</f>
        <v>0</v>
      </c>
      <c r="D21" s="53">
        <f>IFERROR(ROUNDDOWN(C21/B21,0),"")</f>
        <v>0</v>
      </c>
      <c r="E21" s="54" t="s">
        <v>13</v>
      </c>
      <c r="F21" s="5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SUM($C$11,$C$15,$C$19,$C$22)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K1"/>
  <sheetViews>
    <sheetView zoomScale="70" zoomScaleNormal="70" zoomScaleSheetLayoutView="70" workbookViewId="0">
      <selection activeCell="C26" sqref="C26"/>
    </sheetView>
  </sheetViews>
  <sheetFormatPr defaultColWidth="9" defaultRowHeight="16.5" x14ac:dyDescent="0.3"/>
  <cols>
    <col min="1" max="1" width="17.625" style="3" bestFit="1" customWidth="1"/>
    <col min="2" max="2" width="17.625" style="3" customWidth="1"/>
    <col min="3" max="3" width="28.75" style="3" bestFit="1" customWidth="1"/>
    <col min="4" max="11" width="28.75" style="3" customWidth="1"/>
    <col min="12" max="13" width="29.625" style="3" customWidth="1"/>
    <col min="14" max="18" width="27.375" style="3" customWidth="1"/>
    <col min="19" max="19" width="7.375" style="3" bestFit="1" customWidth="1"/>
    <col min="20" max="25" width="24.875" style="3" customWidth="1"/>
    <col min="26" max="26" width="21" style="3" customWidth="1"/>
    <col min="27" max="27" width="16.125" style="3" customWidth="1"/>
    <col min="28" max="28" width="20.375" style="3" customWidth="1"/>
    <col min="29" max="16384" width="9" style="3"/>
  </cols>
  <sheetData>
    <row r="1" spans="1:11" s="2" customFormat="1" ht="24.7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  <pageSetUpPr fitToPage="1"/>
  </sheetPr>
  <dimension ref="A1:F26"/>
  <sheetViews>
    <sheetView zoomScale="70" zoomScaleNormal="70" zoomScaleSheetLayoutView="55" workbookViewId="0">
      <selection activeCell="C26" sqref="C26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36</v>
      </c>
      <c r="D2" s="150"/>
      <c r="E2" s="150"/>
      <c r="F2" s="151"/>
    </row>
    <row r="3" spans="1:6" ht="51.75" customHeight="1" x14ac:dyDescent="0.3">
      <c r="A3" s="6">
        <f>'이그니스 피벗'!A2</f>
        <v>0</v>
      </c>
      <c r="B3" s="7" t="s">
        <v>0</v>
      </c>
      <c r="C3" s="8" t="s">
        <v>37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60</v>
      </c>
      <c r="C4" s="13">
        <f>IFERROR(VLOOKUP(A4,'이그니스 피벗'!A:AM,2,FALSE),0)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60</v>
      </c>
      <c r="C5" s="18">
        <f>IFERROR(VLOOKUP(A5,'이그니스 피벗'!A:AM,2,FALSE),0)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60</v>
      </c>
      <c r="C6" s="13">
        <f>IFERROR(VLOOKUP(A6,'이그니스 피벗'!A:AM,2,FALSE),0)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60</v>
      </c>
      <c r="C7" s="18">
        <f>IFERROR(VLOOKUP(A7,'이그니스 피벗'!A:AM,2,FALSE),0)</f>
        <v>0</v>
      </c>
      <c r="D7" s="18">
        <f t="shared" si="2"/>
        <v>0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60</v>
      </c>
      <c r="C8" s="13">
        <f>IFERROR(VLOOKUP(A8,'이그니스 피벗'!A:AM,2,FALSE),0)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60</v>
      </c>
      <c r="C9" s="18">
        <f>IFERROR(VLOOKUP(A9,'이그니스 피벗'!A:AM,2,FALSE),0)</f>
        <v>0</v>
      </c>
      <c r="D9" s="18">
        <f t="shared" si="2"/>
        <v>0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60</v>
      </c>
      <c r="C10" s="13">
        <f>IFERROR(VLOOKUP(A10,'이그니스 피벗'!A:AM,2,FALSE),0)</f>
        <v>0</v>
      </c>
      <c r="D10" s="13">
        <f t="shared" si="2"/>
        <v>0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60</v>
      </c>
      <c r="C11" s="31">
        <f>SUM($C$4:$C$10)</f>
        <v>0</v>
      </c>
      <c r="D11" s="32">
        <f>IFERROR(ROUNDDOWN(C11/B11,0),"")</f>
        <v>0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60</v>
      </c>
      <c r="C13" s="39">
        <f>IFERROR(VLOOKUP(A13,'이그니스 피벗'!A:AM,2,FALSE),0)</f>
        <v>0</v>
      </c>
      <c r="D13" s="39">
        <f>IFERROR(ROUNDDOWN(C13/B13,0),"")</f>
        <v>0</v>
      </c>
      <c r="E13" s="40" t="s">
        <v>7</v>
      </c>
      <c r="F13" s="41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60</v>
      </c>
      <c r="C14" s="13">
        <f>IFERROR(VLOOKUP(A14,'이그니스 피벗'!A:AM,2,FALSE),0)</f>
        <v>0</v>
      </c>
      <c r="D14" s="13">
        <f>IFERROR(ROUNDDOWN(C14/B14,0),"")</f>
        <v>0</v>
      </c>
      <c r="E14" s="14" t="s">
        <v>9</v>
      </c>
      <c r="F14" s="15">
        <f t="shared" si="0"/>
        <v>0</v>
      </c>
    </row>
    <row r="15" spans="1:6" ht="30" customHeight="1" thickBot="1" x14ac:dyDescent="0.35">
      <c r="A15" s="29" t="s">
        <v>38</v>
      </c>
      <c r="B15" s="30">
        <f>$B$4</f>
        <v>60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60</v>
      </c>
      <c r="C17" s="18">
        <f>IFERROR(VLOOKUP(A17,'이그니스 피벗'!A:AM,2,FALSE),0)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60</v>
      </c>
      <c r="C18" s="44">
        <f>IFERROR(VLOOKUP(A18,'이그니스 피벗'!A:AM,2,FALSE),0)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60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60</v>
      </c>
      <c r="C21" s="79">
        <f>IFERROR(VLOOKUP(A21,'이그니스 피벗'!A:AM,2,FALSE),0)</f>
        <v>0</v>
      </c>
      <c r="D21" s="79">
        <f>IFERROR(ROUNDDOWN(C21/B21,0),"")</f>
        <v>0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60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60</v>
      </c>
      <c r="C24" s="59">
        <f>SUM(C4:C10,C13:C14,C17:C18,C21)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pageSetUpPr fitToPage="1"/>
  </sheetPr>
  <dimension ref="A1:F26"/>
  <sheetViews>
    <sheetView zoomScale="70" zoomScaleNormal="70" zoomScaleSheetLayoutView="70" workbookViewId="0">
      <selection activeCell="C26" sqref="C26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36</v>
      </c>
      <c r="D2" s="150"/>
      <c r="E2" s="150"/>
      <c r="F2" s="151"/>
    </row>
    <row r="3" spans="1:6" ht="51.75" customHeight="1" x14ac:dyDescent="0.3">
      <c r="A3" s="6">
        <f>'이그니스 피벗'!A2</f>
        <v>0</v>
      </c>
      <c r="B3" s="7" t="s">
        <v>0</v>
      </c>
      <c r="C3" s="8" t="s">
        <v>39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60</v>
      </c>
      <c r="C4" s="13">
        <f>IFERROR(VLOOKUP(A4,'이그니스 피벗'!A:AM,3,FALSE),0)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60</v>
      </c>
      <c r="C5" s="18">
        <f>IFERROR(VLOOKUP(A5,'이그니스 피벗'!A:AM,3,FALSE),0)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60</v>
      </c>
      <c r="C6" s="13">
        <f>IFERROR(VLOOKUP(A6,'이그니스 피벗'!A:AM,3,FALSE),0)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60</v>
      </c>
      <c r="C7" s="18">
        <f>IFERROR(VLOOKUP(A7,'이그니스 피벗'!A:AM,3,FALSE),0)</f>
        <v>0</v>
      </c>
      <c r="D7" s="18">
        <f t="shared" si="2"/>
        <v>0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60</v>
      </c>
      <c r="C8" s="13">
        <f>IFERROR(VLOOKUP(A8,'이그니스 피벗'!A:AM,3,FALSE),0)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60</v>
      </c>
      <c r="C9" s="18">
        <f>IFERROR(VLOOKUP(A9,'이그니스 피벗'!A:AM,3,FALSE),0)</f>
        <v>0</v>
      </c>
      <c r="D9" s="18">
        <f t="shared" si="2"/>
        <v>0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60</v>
      </c>
      <c r="C10" s="13">
        <f>IFERROR(VLOOKUP(A10,'이그니스 피벗'!A:AM,3,FALSE),0)</f>
        <v>0</v>
      </c>
      <c r="D10" s="13">
        <f t="shared" si="2"/>
        <v>0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60</v>
      </c>
      <c r="C11" s="31">
        <f>SUM($C$4:$C$10)</f>
        <v>0</v>
      </c>
      <c r="D11" s="32">
        <f>IFERROR(ROUNDDOWN(C11/B11,0),"")</f>
        <v>0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60</v>
      </c>
      <c r="C13" s="39">
        <f>IFERROR(VLOOKUP(A13,'이그니스 피벗'!A:AM,3,FALSE),0)</f>
        <v>0</v>
      </c>
      <c r="D13" s="39">
        <f>IFERROR(ROUNDDOWN(C13/B13,0),"")</f>
        <v>0</v>
      </c>
      <c r="E13" s="40" t="s">
        <v>7</v>
      </c>
      <c r="F13" s="41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60</v>
      </c>
      <c r="C14" s="13">
        <f>IFERROR(VLOOKUP(A14,'이그니스 피벗'!A:AM,3,FALSE),0)</f>
        <v>0</v>
      </c>
      <c r="D14" s="13">
        <f>IFERROR(ROUNDDOWN(C14/B14,0),"")</f>
        <v>0</v>
      </c>
      <c r="E14" s="14" t="s">
        <v>9</v>
      </c>
      <c r="F14" s="15">
        <f t="shared" si="0"/>
        <v>0</v>
      </c>
    </row>
    <row r="15" spans="1:6" ht="30" customHeight="1" thickBot="1" x14ac:dyDescent="0.35">
      <c r="A15" s="29" t="s">
        <v>38</v>
      </c>
      <c r="B15" s="30">
        <f>$B$4</f>
        <v>60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60</v>
      </c>
      <c r="C17" s="18">
        <f>IFERROR(VLOOKUP(A17,'이그니스 피벗'!A:AM,3,FALSE),0)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60</v>
      </c>
      <c r="C18" s="44">
        <f>IFERROR(VLOOKUP(A18,'이그니스 피벗'!A:AM,3,FALSE),0)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60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52" t="s">
        <v>12</v>
      </c>
      <c r="B21" s="69">
        <f>$B$4</f>
        <v>60</v>
      </c>
      <c r="C21" s="53">
        <f>IFERROR(VLOOKUP(A21,'이그니스 피벗'!A:AM,3,FALSE),0)</f>
        <v>0</v>
      </c>
      <c r="D21" s="53">
        <f>IFERROR(ROUNDDOWN(C21/B21,0),"")</f>
        <v>0</v>
      </c>
      <c r="E21" s="54" t="s">
        <v>13</v>
      </c>
      <c r="F21" s="5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60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60</v>
      </c>
      <c r="C24" s="59">
        <f>SUM(C4:C10,C13:C14,C17:C18,C21)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  <pageSetUpPr fitToPage="1"/>
  </sheetPr>
  <dimension ref="A1:F26"/>
  <sheetViews>
    <sheetView zoomScale="70" zoomScaleNormal="70" zoomScaleSheetLayoutView="70" workbookViewId="0">
      <selection activeCell="C26" sqref="C26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36</v>
      </c>
      <c r="D2" s="150"/>
      <c r="E2" s="150"/>
      <c r="F2" s="151"/>
    </row>
    <row r="3" spans="1:6" ht="51.75" customHeight="1" x14ac:dyDescent="0.3">
      <c r="A3" s="6">
        <f>'이그니스 피벗'!A2</f>
        <v>0</v>
      </c>
      <c r="B3" s="7" t="s">
        <v>0</v>
      </c>
      <c r="C3" s="8" t="s">
        <v>40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60</v>
      </c>
      <c r="C4" s="13">
        <f>IFERROR(VLOOKUP(A4,'이그니스 피벗'!A:AM,4,FALSE),0)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60</v>
      </c>
      <c r="C5" s="18">
        <f>IFERROR(VLOOKUP(A5,'이그니스 피벗'!A:AM,4,FALSE),0)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60</v>
      </c>
      <c r="C6" s="13">
        <f>IFERROR(VLOOKUP(A6,'이그니스 피벗'!A:AM,4,FALSE),0)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60</v>
      </c>
      <c r="C7" s="18">
        <f>IFERROR(VLOOKUP(A7,'이그니스 피벗'!A:AM,4,FALSE),0)</f>
        <v>0</v>
      </c>
      <c r="D7" s="18">
        <f t="shared" si="2"/>
        <v>0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60</v>
      </c>
      <c r="C8" s="13">
        <f>IFERROR(VLOOKUP(A8,'이그니스 피벗'!A:AM,4,FALSE),0)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60</v>
      </c>
      <c r="C9" s="18">
        <f>IFERROR(VLOOKUP(A9,'이그니스 피벗'!A:AM,4,FALSE),0)</f>
        <v>0</v>
      </c>
      <c r="D9" s="18">
        <f t="shared" si="2"/>
        <v>0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60</v>
      </c>
      <c r="C10" s="13">
        <f>IFERROR(VLOOKUP(A10,'이그니스 피벗'!A:AM,4,FALSE),0)</f>
        <v>0</v>
      </c>
      <c r="D10" s="13">
        <f t="shared" si="2"/>
        <v>0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60</v>
      </c>
      <c r="C11" s="31">
        <f>SUM($C$4:$C$10)</f>
        <v>0</v>
      </c>
      <c r="D11" s="32">
        <f>IFERROR(ROUNDDOWN(C11/B11,0),"")</f>
        <v>0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60</v>
      </c>
      <c r="C13" s="39">
        <f>IFERROR(VLOOKUP(A13,'이그니스 피벗'!A:AM,4,FALSE),0)</f>
        <v>0</v>
      </c>
      <c r="D13" s="39">
        <f>IFERROR(ROUNDDOWN(C13/B13,0),"")</f>
        <v>0</v>
      </c>
      <c r="E13" s="40" t="s">
        <v>7</v>
      </c>
      <c r="F13" s="41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60</v>
      </c>
      <c r="C14" s="13">
        <f>IFERROR(VLOOKUP(A14,'이그니스 피벗'!A:AM,4,FALSE),0)</f>
        <v>0</v>
      </c>
      <c r="D14" s="13">
        <f>IFERROR(ROUNDDOWN(C14/B14,0),"")</f>
        <v>0</v>
      </c>
      <c r="E14" s="14" t="s">
        <v>9</v>
      </c>
      <c r="F14" s="15">
        <f t="shared" si="0"/>
        <v>0</v>
      </c>
    </row>
    <row r="15" spans="1:6" ht="30" customHeight="1" thickBot="1" x14ac:dyDescent="0.35">
      <c r="A15" s="29" t="s">
        <v>38</v>
      </c>
      <c r="B15" s="30">
        <f>$B$4</f>
        <v>60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60</v>
      </c>
      <c r="C17" s="18">
        <f>IFERROR(VLOOKUP(A17,'이그니스 피벗'!A:AM,4,FALSE),0)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60</v>
      </c>
      <c r="C18" s="44">
        <f>IFERROR(VLOOKUP(A18,'이그니스 피벗'!A:AM,4,FALSE),0)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60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52" t="s">
        <v>12</v>
      </c>
      <c r="B21" s="69">
        <f>$B$4</f>
        <v>60</v>
      </c>
      <c r="C21" s="53">
        <f>IFERROR(VLOOKUP(A21,'이그니스 피벗'!A:AM,4,FALSE),0)</f>
        <v>0</v>
      </c>
      <c r="D21" s="53">
        <f>IFERROR(ROUNDDOWN(C21/B21,0),"")</f>
        <v>0</v>
      </c>
      <c r="E21" s="54" t="s">
        <v>13</v>
      </c>
      <c r="F21" s="5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60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60</v>
      </c>
      <c r="C24" s="59">
        <f>SUM(C4:C10,C13:C14,C17:C18,C21)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  <pageSetUpPr fitToPage="1"/>
  </sheetPr>
  <dimension ref="A1:F26"/>
  <sheetViews>
    <sheetView zoomScale="70" zoomScaleNormal="70" zoomScaleSheetLayoutView="70" workbookViewId="0">
      <selection activeCell="C26" sqref="C26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36</v>
      </c>
      <c r="D2" s="150"/>
      <c r="E2" s="150"/>
      <c r="F2" s="151"/>
    </row>
    <row r="3" spans="1:6" ht="51.75" customHeight="1" x14ac:dyDescent="0.3">
      <c r="A3" s="6">
        <f>'이그니스 피벗'!A2</f>
        <v>0</v>
      </c>
      <c r="B3" s="7" t="s">
        <v>0</v>
      </c>
      <c r="C3" s="8" t="s">
        <v>41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60</v>
      </c>
      <c r="C4" s="13">
        <f>IFERROR(VLOOKUP(A4,'이그니스 피벗'!A:AM,5,FALSE),0)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60</v>
      </c>
      <c r="C5" s="18">
        <f>IFERROR(VLOOKUP(A5,'이그니스 피벗'!A:AM,5,FALSE),0)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60</v>
      </c>
      <c r="C6" s="13">
        <f>IFERROR(VLOOKUP(A6,'이그니스 피벗'!A:AM,5,FALSE),0)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60</v>
      </c>
      <c r="C7" s="18">
        <f>IFERROR(VLOOKUP(A7,'이그니스 피벗'!A:AM,5,FALSE),0)</f>
        <v>0</v>
      </c>
      <c r="D7" s="18">
        <f t="shared" si="2"/>
        <v>0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60</v>
      </c>
      <c r="C8" s="13">
        <f>IFERROR(VLOOKUP(A8,'이그니스 피벗'!A:AM,5,FALSE),0)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60</v>
      </c>
      <c r="C9" s="18">
        <f>IFERROR(VLOOKUP(A9,'이그니스 피벗'!A:AM,5,FALSE),0)</f>
        <v>0</v>
      </c>
      <c r="D9" s="18">
        <f t="shared" si="2"/>
        <v>0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60</v>
      </c>
      <c r="C10" s="13">
        <f>IFERROR(VLOOKUP(A10,'이그니스 피벗'!A:AM,5,FALSE),0)</f>
        <v>0</v>
      </c>
      <c r="D10" s="13">
        <f t="shared" si="2"/>
        <v>0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60</v>
      </c>
      <c r="C11" s="31">
        <f>SUM($C$4:$C$10)</f>
        <v>0</v>
      </c>
      <c r="D11" s="32">
        <f>IFERROR(ROUNDDOWN(C11/B11,0),"")</f>
        <v>0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60</v>
      </c>
      <c r="C13" s="39">
        <f>IFERROR(VLOOKUP(A13,'이그니스 피벗'!A:AM,5,FALSE),0)</f>
        <v>0</v>
      </c>
      <c r="D13" s="39">
        <f>IFERROR(ROUNDDOWN(C13/B13,0),"")</f>
        <v>0</v>
      </c>
      <c r="E13" s="40" t="s">
        <v>7</v>
      </c>
      <c r="F13" s="41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60</v>
      </c>
      <c r="C14" s="13">
        <f>IFERROR(VLOOKUP(A14,'이그니스 피벗'!A:AM,5,FALSE),0)</f>
        <v>0</v>
      </c>
      <c r="D14" s="13">
        <f>IFERROR(ROUNDDOWN(C14/B14,0),"")</f>
        <v>0</v>
      </c>
      <c r="E14" s="14" t="s">
        <v>9</v>
      </c>
      <c r="F14" s="15">
        <f t="shared" si="0"/>
        <v>0</v>
      </c>
    </row>
    <row r="15" spans="1:6" ht="30" customHeight="1" thickBot="1" x14ac:dyDescent="0.35">
      <c r="A15" s="29" t="s">
        <v>38</v>
      </c>
      <c r="B15" s="30">
        <f>$B$4</f>
        <v>60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60</v>
      </c>
      <c r="C17" s="18">
        <f>IFERROR(VLOOKUP(A17,'이그니스 피벗'!A:AM,5,FALSE),0)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60</v>
      </c>
      <c r="C18" s="44">
        <f>IFERROR(VLOOKUP(A18,'이그니스 피벗'!A:AM,5,FALSE),0)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60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52" t="s">
        <v>12</v>
      </c>
      <c r="B21" s="69">
        <f>$B$4</f>
        <v>60</v>
      </c>
      <c r="C21" s="53">
        <f>IFERROR(VLOOKUP(A21,'이그니스 피벗'!A:AM,5,FALSE),0)</f>
        <v>0</v>
      </c>
      <c r="D21" s="53">
        <f>IFERROR(ROUNDDOWN(C21/B21,0),"")</f>
        <v>0</v>
      </c>
      <c r="E21" s="54" t="s">
        <v>13</v>
      </c>
      <c r="F21" s="5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60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60</v>
      </c>
      <c r="C24" s="59">
        <f>SUM(C4:C10,C13:C14,C17:C18,C21)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7" tint="0.79998168889431442"/>
  </sheetPr>
  <dimension ref="A1:AT9"/>
  <sheetViews>
    <sheetView zoomScale="66" zoomScaleNormal="66" zoomScaleSheetLayoutView="70" workbookViewId="0">
      <pane xSplit="1" topLeftCell="B1" activePane="topRight" state="frozen"/>
      <selection pane="topRight" activeCell="L18" sqref="L18"/>
    </sheetView>
  </sheetViews>
  <sheetFormatPr defaultColWidth="9" defaultRowHeight="16.5" x14ac:dyDescent="0.3"/>
  <cols>
    <col min="1" max="1" width="17.625" style="3" bestFit="1" customWidth="1"/>
    <col min="2" max="2" width="46.125" style="3" bestFit="1" customWidth="1"/>
    <col min="3" max="3" width="46.125" style="3" customWidth="1"/>
    <col min="4" max="6" width="48.625" style="3" bestFit="1" customWidth="1"/>
    <col min="7" max="7" width="46.125" style="3" bestFit="1" customWidth="1"/>
    <col min="8" max="8" width="48.5" style="3" bestFit="1" customWidth="1"/>
    <col min="9" max="14" width="48.5" style="3" customWidth="1"/>
    <col min="15" max="15" width="48.5" style="3" bestFit="1" customWidth="1"/>
    <col min="16" max="19" width="43.75" style="3" bestFit="1" customWidth="1"/>
    <col min="20" max="20" width="43.75" style="3" customWidth="1"/>
    <col min="21" max="21" width="43.75" style="3" bestFit="1" customWidth="1"/>
    <col min="22" max="22" width="17.625" style="3" customWidth="1"/>
    <col min="23" max="24" width="43.25" style="3" bestFit="1" customWidth="1"/>
    <col min="25" max="28" width="43.75" style="3" bestFit="1" customWidth="1"/>
    <col min="29" max="29" width="17.625" style="3" customWidth="1"/>
    <col min="30" max="30" width="37.125" style="3" bestFit="1" customWidth="1"/>
    <col min="31" max="31" width="37.5" style="3" bestFit="1" customWidth="1"/>
    <col min="32" max="32" width="39.625" style="3" bestFit="1" customWidth="1"/>
    <col min="33" max="35" width="39.625" style="3" customWidth="1"/>
    <col min="36" max="36" width="37.5" style="3" bestFit="1" customWidth="1"/>
    <col min="37" max="38" width="37.5" style="3" customWidth="1"/>
    <col min="39" max="43" width="27.375" style="3" customWidth="1"/>
    <col min="44" max="44" width="7.375" style="3" bestFit="1" customWidth="1"/>
    <col min="45" max="50" width="24.875" style="3" customWidth="1"/>
    <col min="51" max="51" width="21" style="3" customWidth="1"/>
    <col min="52" max="52" width="16.125" style="3" customWidth="1"/>
    <col min="53" max="53" width="20.375" style="3" customWidth="1"/>
    <col min="54" max="16384" width="9" style="3"/>
  </cols>
  <sheetData>
    <row r="1" spans="1:46" s="83" customFormat="1" ht="24.75" customHeight="1" x14ac:dyDescent="0.3">
      <c r="A1" s="82" t="s" ph="1">
        <v>92</v>
      </c>
      <c r="B1" s="82" t="s" ph="1">
        <v>30</v>
      </c>
      <c r="C1" s="82" ph="1"/>
      <c r="D1" s="82" ph="1"/>
      <c r="E1" s="82" ph="1"/>
      <c r="F1" s="82" ph="1"/>
      <c r="G1" s="82" ph="1"/>
      <c r="H1" s="82" ph="1"/>
      <c r="I1" s="82" ph="1"/>
      <c r="J1" s="82" ph="1"/>
      <c r="K1" s="82" ph="1"/>
      <c r="L1" s="82" ph="1"/>
      <c r="M1" s="82" ph="1"/>
      <c r="N1" s="82" ph="1"/>
      <c r="O1" s="82" ph="1"/>
      <c r="P1" s="82" ph="1"/>
      <c r="Q1" s="82" ph="1"/>
      <c r="R1" s="82" ph="1"/>
      <c r="S1" s="82" ph="1"/>
      <c r="T1" s="82" ph="1"/>
      <c r="U1" s="82" ph="1"/>
      <c r="V1" s="82" ph="1"/>
      <c r="W1" s="82" ph="1"/>
      <c r="X1" s="82" ph="1"/>
      <c r="Y1" s="82" ph="1"/>
      <c r="Z1" s="82" ph="1"/>
      <c r="AA1" s="82" ph="1"/>
      <c r="AB1" s="82" ph="1"/>
      <c r="AC1" s="82" ph="1"/>
      <c r="AD1" s="82" ph="1"/>
      <c r="AE1" s="82" ph="1"/>
      <c r="AF1" s="82" ph="1"/>
      <c r="AG1" s="82" ph="1"/>
      <c r="AH1" s="82" ph="1"/>
      <c r="AI1" s="82" ph="1"/>
      <c r="AJ1" s="82" ph="1"/>
      <c r="AK1" s="82" ph="1"/>
      <c r="AL1" s="82" ph="1"/>
      <c r="AM1" s="83" ph="1"/>
      <c r="AN1" s="83" ph="1"/>
      <c r="AO1" s="83" ph="1"/>
      <c r="AP1" s="83" ph="1"/>
      <c r="AQ1" s="83" ph="1"/>
      <c r="AR1" s="83" ph="1"/>
      <c r="AS1" s="83" ph="1"/>
      <c r="AT1" s="83" ph="1"/>
    </row>
    <row r="2" spans="1:46" ht="18.75" customHeight="1" x14ac:dyDescent="0.3">
      <c r="A2" s="84" t="s">
        <v>93</v>
      </c>
      <c r="B2" s="84" t="s">
        <v>94</v>
      </c>
      <c r="C2" s="84"/>
      <c r="D2" s="84" t="s">
        <v>86</v>
      </c>
      <c r="E2" s="84" t="s">
        <v>80</v>
      </c>
      <c r="F2" s="84" t="s">
        <v>62</v>
      </c>
      <c r="G2" s="84" t="s">
        <v>87</v>
      </c>
      <c r="H2" s="84" t="s">
        <v>63</v>
      </c>
      <c r="I2" s="84"/>
      <c r="J2" s="84" t="s">
        <v>28</v>
      </c>
      <c r="K2" s="84"/>
      <c r="L2" s="84"/>
      <c r="M2" s="84"/>
      <c r="N2" s="84"/>
      <c r="O2" s="84"/>
      <c r="P2" s="84"/>
      <c r="Q2" s="84"/>
      <c r="R2" s="84"/>
      <c r="S2" s="84"/>
      <c r="T2" s="84"/>
      <c r="U2" s="84"/>
      <c r="V2" s="84"/>
      <c r="W2" s="84"/>
      <c r="X2" s="84"/>
      <c r="Y2" s="84"/>
      <c r="Z2" s="84"/>
      <c r="AA2" s="84"/>
      <c r="AB2" s="84"/>
      <c r="AC2" s="84"/>
      <c r="AD2" s="84"/>
      <c r="AE2" s="84"/>
      <c r="AF2" s="84"/>
      <c r="AG2" s="84"/>
      <c r="AH2" s="84"/>
      <c r="AI2" s="84"/>
      <c r="AJ2" s="84"/>
      <c r="AK2" s="84"/>
      <c r="AL2" s="84"/>
    </row>
    <row r="3" spans="1:46" ht="17.25" x14ac:dyDescent="0.3">
      <c r="A3" s="84" t="s">
        <v>58</v>
      </c>
      <c r="B3" s="84"/>
      <c r="C3" s="84"/>
      <c r="D3" s="84"/>
      <c r="E3" s="84"/>
      <c r="F3" s="84"/>
      <c r="G3" s="84">
        <v>8</v>
      </c>
      <c r="H3" s="84"/>
      <c r="I3" s="84"/>
      <c r="J3" s="84">
        <v>8</v>
      </c>
      <c r="K3" s="84"/>
      <c r="L3" s="84"/>
      <c r="M3" s="84"/>
      <c r="N3" s="84"/>
      <c r="O3" s="84"/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</row>
    <row r="4" spans="1:46" ht="17.25" x14ac:dyDescent="0.3">
      <c r="A4" s="84" t="s">
        <v>74</v>
      </c>
      <c r="B4" s="84"/>
      <c r="C4" s="84"/>
      <c r="D4" s="84"/>
      <c r="E4" s="84"/>
      <c r="F4" s="84"/>
      <c r="G4" s="84"/>
      <c r="H4" s="84">
        <v>24</v>
      </c>
      <c r="I4" s="84"/>
      <c r="J4" s="84">
        <v>24</v>
      </c>
      <c r="K4" s="84"/>
      <c r="L4" s="84"/>
      <c r="M4" s="84"/>
      <c r="N4" s="84"/>
      <c r="O4" s="84"/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</row>
    <row r="5" spans="1:46" x14ac:dyDescent="0.3">
      <c r="A5" s="3" t="s">
        <v>60</v>
      </c>
      <c r="H5" s="3">
        <v>24</v>
      </c>
      <c r="J5" s="3">
        <v>24</v>
      </c>
    </row>
    <row r="6" spans="1:46" x14ac:dyDescent="0.3">
      <c r="A6" s="3" t="s">
        <v>78</v>
      </c>
      <c r="F6" s="3">
        <v>24</v>
      </c>
      <c r="H6" s="3">
        <v>24</v>
      </c>
      <c r="J6" s="3">
        <v>48</v>
      </c>
    </row>
    <row r="7" spans="1:46" x14ac:dyDescent="0.3">
      <c r="A7" s="3" t="s">
        <v>57</v>
      </c>
      <c r="B7" s="3">
        <v>24</v>
      </c>
      <c r="D7" s="3">
        <v>24</v>
      </c>
      <c r="F7" s="3">
        <v>48</v>
      </c>
      <c r="J7" s="3">
        <v>96</v>
      </c>
    </row>
    <row r="8" spans="1:46" x14ac:dyDescent="0.3">
      <c r="A8" s="3" t="s">
        <v>61</v>
      </c>
      <c r="E8" s="3">
        <v>8</v>
      </c>
      <c r="J8" s="3">
        <v>8</v>
      </c>
    </row>
    <row r="9" spans="1:46" x14ac:dyDescent="0.3">
      <c r="A9" s="3" t="s">
        <v>28</v>
      </c>
      <c r="B9" s="3">
        <v>24</v>
      </c>
      <c r="D9" s="3">
        <v>24</v>
      </c>
      <c r="E9" s="3">
        <v>8</v>
      </c>
      <c r="F9" s="3">
        <v>72</v>
      </c>
      <c r="G9" s="3">
        <v>8</v>
      </c>
      <c r="H9" s="3">
        <v>72</v>
      </c>
      <c r="J9" s="3">
        <v>208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E945B-9B1A-437D-9ABA-CEC8FA052422}">
  <sheetPr>
    <tabColor theme="7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47" t="s">
        <v>67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24</v>
      </c>
      <c r="C4" s="87">
        <f>IFERROR(VLOOKUP(A4,미스터밀크피벗!A:BL,2,FALSE),0)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89">
        <f>IFERROR(VLOOKUP(A5,미스터밀크피벗!A:BL,2,FALSE),0)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87">
        <f>IFERROR(VLOOKUP(A6,미스터밀크피벗!A:BL,2,FALSE),0)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89">
        <f>IFERROR(VLOOKUP(A7,미스터밀크피벗!A:BL,2,FALSE),0)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87">
        <f>IFERROR(VLOOKUP(A8,미스터밀크피벗!A:BL,2,FALSE),0)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89">
        <f>IFERROR(VLOOKUP(A9,미스터밀크피벗!A:BL,2,FALSE),0)</f>
        <v>24</v>
      </c>
      <c r="D9" s="89">
        <f t="shared" si="2"/>
        <v>1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87">
        <f>IFERROR(VLOOKUP(A10,미스터밀크피벗!A:BL,2,FALSE),0)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24</v>
      </c>
      <c r="D11" s="91">
        <f>IFERROR(ROUNDDOWN(C11/B11,0),"")</f>
        <v>1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24</v>
      </c>
      <c r="C13" s="142">
        <f>IFERROR(VLOOKUP(A13,미스터밀크피벗!A:BL,2,FALSE),0)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87">
        <f>IFERROR(VLOOKUP(A14,미스터밀크피벗!A:BL,2,FALSE),0)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24</v>
      </c>
      <c r="C17" s="97">
        <f>IFERROR(VLOOKUP(A17,미스터밀크피벗!A:BL,2,FALSE),0)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99">
        <f>IFERROR(VLOOKUP(A18,미스터밀크피벗!A:BL,2,FALSE),0)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24</v>
      </c>
      <c r="C21" s="104">
        <f>IFERROR(VLOOKUP(A21,미스터밀크피벗!A:BL,2,FALSE),0)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24</v>
      </c>
      <c r="D24" s="106">
        <f>IFERROR(ROUNDDOWN(C24/B24,0),"")</f>
        <v>1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1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7"/>
    <pageSetUpPr fitToPage="1"/>
  </sheetPr>
  <dimension ref="A1:F26"/>
  <sheetViews>
    <sheetView zoomScale="70" zoomScaleNormal="70" zoomScaleSheetLayoutView="55" workbookViewId="0">
      <selection activeCell="I24" sqref="I24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14" t="s">
        <v>66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8</v>
      </c>
      <c r="C4" s="87">
        <f>IFERROR(VLOOKUP(A4,미스터밀크피벗!A:BL,3,FALSE),0)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8</v>
      </c>
      <c r="C5" s="89">
        <f>IFERROR(VLOOKUP(A5,미스터밀크피벗!A:BL,3,FALSE),0)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8</v>
      </c>
      <c r="C6" s="87">
        <f>IFERROR(VLOOKUP(A6,미스터밀크피벗!A:BL,3,FALSE),0)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8</v>
      </c>
      <c r="C7" s="89">
        <f>IFERROR(VLOOKUP(A7,미스터밀크피벗!A:BL,3,FALSE),0)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8</v>
      </c>
      <c r="C8" s="87">
        <f>IFERROR(VLOOKUP(A8,미스터밀크피벗!A:BL,3,FALSE),0)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8</v>
      </c>
      <c r="C9" s="89">
        <f>IFERROR(VLOOKUP(A9,미스터밀크피벗!A:BL,3,FALSE),0)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8</v>
      </c>
      <c r="C10" s="87">
        <f>IFERROR(VLOOKUP(A10,미스터밀크피벗!A:BL,3,FALSE),0)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8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8</v>
      </c>
      <c r="C13" s="142">
        <f>IFERROR(VLOOKUP(A13,미스터밀크피벗!A:BL,3,FALSE),0)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8</v>
      </c>
      <c r="C14" s="87">
        <f>IFERROR(VLOOKUP(A14,미스터밀크피벗!A:BL,3,FALSE),0)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8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8</v>
      </c>
      <c r="C17" s="97">
        <f>IFERROR(VLOOKUP(A17,미스터밀크피벗!A:BL,3,FALSE),0)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8</v>
      </c>
      <c r="C18" s="99">
        <f>IFERROR(VLOOKUP(A18,미스터밀크피벗!A:BL,3,FALSE),0)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8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8</v>
      </c>
      <c r="C21" s="104">
        <f>IFERROR(VLOOKUP(A21,미스터밀크피벗!A:BL,3,FALSE),0)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8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8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7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47" t="s">
        <v>65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24</v>
      </c>
      <c r="C4" s="87">
        <f>IFERROR(VLOOKUP(A4,미스터밀크피벗!A:BL,4,FALSE),0)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89">
        <f>IFERROR(VLOOKUP(A5,미스터밀크피벗!A:BL,4,FALSE),0)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87">
        <f>IFERROR(VLOOKUP(A6,미스터밀크피벗!A:BL,4,FALSE),0)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89">
        <f>IFERROR(VLOOKUP(A7,미스터밀크피벗!A:BL,4,FALSE),0)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87">
        <f>IFERROR(VLOOKUP(A8,미스터밀크피벗!A:BL,4,FALSE),0)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89">
        <f>IFERROR(VLOOKUP(A9,미스터밀크피벗!A:BL,4,FALSE),0)</f>
        <v>24</v>
      </c>
      <c r="D9" s="89">
        <f t="shared" si="2"/>
        <v>1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87">
        <f>IFERROR(VLOOKUP(A10,미스터밀크피벗!A:BL,4,FALSE),0)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24</v>
      </c>
      <c r="D11" s="91">
        <f>IFERROR(ROUNDDOWN(C11/B11,0),"")</f>
        <v>1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24</v>
      </c>
      <c r="C13" s="142">
        <f>IFERROR(VLOOKUP(A13,미스터밀크피벗!A:BL,4,FALSE),0)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87">
        <f>IFERROR(VLOOKUP(A14,미스터밀크피벗!A:BL,4,FALSE),0)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24</v>
      </c>
      <c r="C17" s="97">
        <f>IFERROR(VLOOKUP(A17,미스터밀크피벗!A:BL,4,FALSE),0)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99">
        <f>IFERROR(VLOOKUP(A18,미스터밀크피벗!A:BL,4,FALSE),0)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24</v>
      </c>
      <c r="C21" s="104">
        <f>IFERROR(VLOOKUP(A21,미스터밀크피벗!A:BL,4,FALSE),0)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24</v>
      </c>
      <c r="D24" s="106">
        <f>IFERROR(ROUNDDOWN(C24/B24,0),"")</f>
        <v>1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1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7"/>
    <pageSetUpPr fitToPage="1"/>
  </sheetPr>
  <dimension ref="A1:I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30.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14" t="s">
        <v>70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8</v>
      </c>
      <c r="C4" s="87">
        <f>IFERROR(VLOOKUP(A4,미스터밀크피벗!A:BL,5,FALSE),0)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8</v>
      </c>
      <c r="C5" s="89">
        <f>IFERROR(VLOOKUP(A5,미스터밀크피벗!A:BL,5,FALSE),0)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8</v>
      </c>
      <c r="C6" s="87">
        <f>IFERROR(VLOOKUP(A6,미스터밀크피벗!A:BL,5,FALSE),0)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8</v>
      </c>
      <c r="C7" s="89">
        <f>IFERROR(VLOOKUP(A7,미스터밀크피벗!A:BL,5,FALSE),0)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8</v>
      </c>
      <c r="C8" s="87">
        <f>IFERROR(VLOOKUP(A8,미스터밀크피벗!A:BL,5,FALSE),0)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8</v>
      </c>
      <c r="C9" s="89">
        <f>IFERROR(VLOOKUP(A9,미스터밀크피벗!A:BL,5,FALSE),0)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8</v>
      </c>
      <c r="C10" s="87">
        <f>IFERROR(VLOOKUP(A10,미스터밀크피벗!A:BL,5,FALSE),0)</f>
        <v>8</v>
      </c>
      <c r="D10" s="87">
        <f t="shared" si="2"/>
        <v>1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8</v>
      </c>
      <c r="C11" s="31">
        <f>SUM($C$4:$C$10)</f>
        <v>8</v>
      </c>
      <c r="D11" s="91">
        <f>IFERROR(ROUNDDOWN(C11/B11,0),"")</f>
        <v>1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8</v>
      </c>
      <c r="C13" s="142">
        <f>IFERROR(VLOOKUP(A13,미스터밀크피벗!A:BL,5,FALSE),0)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8</v>
      </c>
      <c r="C14" s="87">
        <f>IFERROR(VLOOKUP(A14,미스터밀크피벗!A:BL,5,FALSE),0)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8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9" ht="30" customHeight="1" x14ac:dyDescent="0.3">
      <c r="A17" s="74" t="s">
        <v>14</v>
      </c>
      <c r="B17" s="75">
        <f t="shared" si="3"/>
        <v>8</v>
      </c>
      <c r="C17" s="97">
        <f>IFERROR(VLOOKUP(A17,미스터밀크피벗!A:BL,5,FALSE),0)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9" ht="30" customHeight="1" thickBot="1" x14ac:dyDescent="0.35">
      <c r="A18" s="42" t="s">
        <v>16</v>
      </c>
      <c r="B18" s="43">
        <f t="shared" si="3"/>
        <v>8</v>
      </c>
      <c r="C18" s="99">
        <f>IFERROR(VLOOKUP(A18,미스터밀크피벗!A:BL,5,FALSE),0)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9" ht="30" customHeight="1" thickBot="1" x14ac:dyDescent="0.35">
      <c r="A19" s="47" t="s">
        <v>35</v>
      </c>
      <c r="B19" s="30">
        <f>$B$4</f>
        <v>8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9" ht="8.25" customHeight="1" thickBot="1" x14ac:dyDescent="0.35">
      <c r="A20" s="35"/>
      <c r="B20" s="28"/>
      <c r="C20" s="94"/>
      <c r="D20" s="94"/>
      <c r="E20" s="37"/>
      <c r="F20" s="94"/>
    </row>
    <row r="21" spans="1:9" ht="30" customHeight="1" thickBot="1" x14ac:dyDescent="0.35">
      <c r="A21" s="52" t="s">
        <v>12</v>
      </c>
      <c r="B21" s="69">
        <f>$B$4</f>
        <v>8</v>
      </c>
      <c r="C21" s="104">
        <f>IFERROR(VLOOKUP(A21,미스터밀크피벗!A:BL,5,FALSE),0)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9" ht="30" customHeight="1" thickBot="1" x14ac:dyDescent="0.35">
      <c r="A22" s="29" t="s">
        <v>32</v>
      </c>
      <c r="B22" s="30">
        <f>$B$4</f>
        <v>8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9" ht="8.25" customHeight="1" thickBot="1" x14ac:dyDescent="0.35">
      <c r="A23" s="28"/>
      <c r="B23" s="28"/>
      <c r="C23" s="28"/>
      <c r="D23" s="28"/>
      <c r="E23" s="28"/>
      <c r="F23" s="56"/>
    </row>
    <row r="24" spans="1:9" ht="30" customHeight="1" thickBot="1" x14ac:dyDescent="0.35">
      <c r="A24" s="57" t="s">
        <v>28</v>
      </c>
      <c r="B24" s="58">
        <f>B4</f>
        <v>8</v>
      </c>
      <c r="C24" s="59">
        <f>SUM(C11,C15,C19,C22)</f>
        <v>8</v>
      </c>
      <c r="D24" s="106">
        <f>IFERROR(ROUNDDOWN(C24/B24,0),"")</f>
        <v>1</v>
      </c>
      <c r="E24" s="107"/>
      <c r="F24" s="108">
        <f>IFERROR(C24-(D24*B24),"")</f>
        <v>0</v>
      </c>
    </row>
    <row r="25" spans="1:9" ht="29.25" customHeight="1" thickBot="1" x14ac:dyDescent="0.35">
      <c r="A25" s="21" t="s">
        <v>29</v>
      </c>
      <c r="B25" s="22"/>
      <c r="C25" s="109"/>
      <c r="D25" s="110">
        <f>SUM(D4:D10,D13:D14,D17:D18,D21)</f>
        <v>1</v>
      </c>
      <c r="E25" s="111"/>
      <c r="F25" s="112">
        <f>SUM(F11,F15,F19,F22)</f>
        <v>0</v>
      </c>
    </row>
    <row r="26" spans="1:9" x14ac:dyDescent="0.3">
      <c r="F26" s="56"/>
      <c r="I26" s="3" t="s">
        <v>49</v>
      </c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4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7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47" t="s">
        <v>64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24</v>
      </c>
      <c r="C4" s="87">
        <f>IFERROR(VLOOKUP(A4,미스터밀크피벗!A:BL,6,FALSE),0)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89">
        <f>IFERROR(VLOOKUP(A5,미스터밀크피벗!A:BL,6,FALSE),0)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87">
        <f>IFERROR(VLOOKUP(A6,미스터밀크피벗!A:BL,6,FALSE),0)</f>
        <v>24</v>
      </c>
      <c r="D6" s="87">
        <f t="shared" si="2"/>
        <v>1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89">
        <f>IFERROR(VLOOKUP(A7,미스터밀크피벗!A:BL,6,FALSE),0)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87">
        <f>IFERROR(VLOOKUP(A8,미스터밀크피벗!A:BL,6,FALSE),0)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89">
        <f>IFERROR(VLOOKUP(A9,미스터밀크피벗!A:BL,6,FALSE),0)</f>
        <v>48</v>
      </c>
      <c r="D9" s="89">
        <f t="shared" si="2"/>
        <v>2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87">
        <f>IFERROR(VLOOKUP(A10,미스터밀크피벗!A:BL,6,FALSE),0)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72</v>
      </c>
      <c r="D11" s="91">
        <f>IFERROR(ROUNDDOWN(C11/B11,0),"")</f>
        <v>3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24</v>
      </c>
      <c r="C13" s="142">
        <f>IFERROR(VLOOKUP(A13,미스터밀크피벗!A:BL,6,FALSE),0)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87">
        <f>IFERROR(VLOOKUP(A14,미스터밀크피벗!A:BL,6,FALSE),0)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24</v>
      </c>
      <c r="C17" s="97">
        <f>IFERROR(VLOOKUP(A17,미스터밀크피벗!A:BL,6,FALSE),0)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99">
        <f>IFERROR(VLOOKUP(A18,미스터밀크피벗!A:BL,6,FALSE),0)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24</v>
      </c>
      <c r="C21" s="104">
        <f>IFERROR(VLOOKUP(A21,미스터밀크피벗!A:BL,6,FALSE),0)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72</v>
      </c>
      <c r="D24" s="106">
        <f>IFERROR(ROUNDDOWN(C24/B24,0),"")</f>
        <v>3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3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AD61A-40FA-4A43-8F42-E4C3D5BB8E04}">
  <sheetPr>
    <tabColor theme="7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14" t="s">
        <v>71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8</v>
      </c>
      <c r="C4" s="87">
        <f>IFERROR(VLOOKUP(A4,미스터밀크피벗!A:BL,7,FALSE),0)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8</v>
      </c>
      <c r="C5" s="89">
        <f>IFERROR(VLOOKUP(A5,미스터밀크피벗!A:BL,7,FALSE),0)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8</v>
      </c>
      <c r="C6" s="87">
        <f>IFERROR(VLOOKUP(A6,미스터밀크피벗!A:BL,7,FALSE),0)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8</v>
      </c>
      <c r="C7" s="89">
        <f>IFERROR(VLOOKUP(A7,미스터밀크피벗!A:BL,7,FALSE),0)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8</v>
      </c>
      <c r="C8" s="87">
        <f>IFERROR(VLOOKUP(A8,미스터밀크피벗!A:BL,7,FALSE),0)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8</v>
      </c>
      <c r="C9" s="89">
        <f>IFERROR(VLOOKUP(A9,미스터밀크피벗!A:BL,7,FALSE),0)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8</v>
      </c>
      <c r="C10" s="87">
        <f>IFERROR(VLOOKUP(A10,미스터밀크피벗!A:BL,7,FALSE),0)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8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8</v>
      </c>
      <c r="C13" s="142">
        <f>IFERROR(VLOOKUP(A13,미스터밀크피벗!A:BL,7,FALSE),0)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8</v>
      </c>
      <c r="C14" s="87">
        <f>IFERROR(VLOOKUP(A14,미스터밀크피벗!A:BL,7,FALSE),0)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8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8</v>
      </c>
      <c r="C17" s="97">
        <f>IFERROR(VLOOKUP(A17,미스터밀크피벗!A:BL,7,FALSE),0)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8</v>
      </c>
      <c r="C18" s="99">
        <f>IFERROR(VLOOKUP(A18,미스터밀크피벗!A:BL,7,FALSE),0)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8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8</v>
      </c>
      <c r="C21" s="104">
        <f>IFERROR(VLOOKUP(A21,미스터밀크피벗!A:BL,7,FALSE),0)</f>
        <v>8</v>
      </c>
      <c r="D21" s="104">
        <f>IFERROR(ROUNDDOWN(C21/B21,0),"")</f>
        <v>1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8</v>
      </c>
      <c r="C22" s="31">
        <f>SUM($C$21)</f>
        <v>8</v>
      </c>
      <c r="D22" s="91">
        <f>IFERROR(ROUNDDOWN(C22/B22,0),"")</f>
        <v>1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8</v>
      </c>
      <c r="C24" s="59">
        <f>SUM(C11,C15,C19,C22)</f>
        <v>8</v>
      </c>
      <c r="D24" s="106">
        <f>IFERROR(ROUNDDOWN(C24/B24,0),"")</f>
        <v>1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1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D58C74-4D87-4954-8DB2-179D92375EEA}">
  <sheetPr>
    <tabColor theme="7"/>
    <pageSetUpPr fitToPage="1"/>
  </sheetPr>
  <dimension ref="A1:F26"/>
  <sheetViews>
    <sheetView zoomScale="70" zoomScaleNormal="70" zoomScaleSheetLayoutView="55" workbookViewId="0">
      <selection activeCell="H32" sqref="H32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47" t="s">
        <v>68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24</v>
      </c>
      <c r="C4" s="87">
        <f>IFERROR(VLOOKUP(A4,미스터밀크피벗!A:BL,8,FALSE),0)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89">
        <f>IFERROR(VLOOKUP(A5,미스터밀크피벗!A:BL,8,FALSE),0)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87">
        <f>IFERROR(VLOOKUP(A6,미스터밀크피벗!A:BL,8,FALSE),0)</f>
        <v>24</v>
      </c>
      <c r="D6" s="87">
        <f t="shared" si="2"/>
        <v>1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89">
        <f>IFERROR(VLOOKUP(A7,미스터밀크피벗!A:BL,8,FALSE),0)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87">
        <f>IFERROR(VLOOKUP(A8,미스터밀크피벗!A:BL,8,FALSE),0)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89">
        <f>IFERROR(VLOOKUP(A9,미스터밀크피벗!A:BL,8,FALSE),0)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87">
        <f>IFERROR(VLOOKUP(A10,미스터밀크피벗!A:BL,8,FALSE),0)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24</v>
      </c>
      <c r="D11" s="91">
        <f>IFERROR(ROUNDDOWN(C11/B11,0),"")</f>
        <v>1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24</v>
      </c>
      <c r="C13" s="142">
        <f>IFERROR(VLOOKUP(A13,미스터밀크피벗!A:BL,8,FALSE),0)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87">
        <f>IFERROR(VLOOKUP(A14,미스터밀크피벗!A:BL,8,FALSE),0)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24</v>
      </c>
      <c r="C17" s="97">
        <f>IFERROR(VLOOKUP(A17,미스터밀크피벗!A:BL,8,FALSE),0)</f>
        <v>24</v>
      </c>
      <c r="D17" s="97">
        <f>IFERROR(ROUNDDOWN(C17/B17,0),"")</f>
        <v>1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99">
        <f>IFERROR(VLOOKUP(A18,미스터밀크피벗!A:BL,8,FALSE),0)</f>
        <v>24</v>
      </c>
      <c r="D18" s="99">
        <f>IFERROR(ROUNDDOWN(C18/B18,0),"")</f>
        <v>1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48</v>
      </c>
      <c r="D19" s="101">
        <f>IFERROR(ROUNDDOWN(C19/B19,0),"")</f>
        <v>2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24</v>
      </c>
      <c r="C21" s="104">
        <f>IFERROR(VLOOKUP(A21,미스터밀크피벗!A:BL,8,FALSE),0)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72</v>
      </c>
      <c r="D24" s="106">
        <f>IFERROR(ROUNDDOWN(C24/B24,0),"")</f>
        <v>3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3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DCF6B-91BE-482D-A9EB-98D2C07960AB}">
  <sheetPr>
    <tabColor theme="7"/>
    <pageSetUpPr fitToPage="1"/>
  </sheetPr>
  <dimension ref="A1:F26"/>
  <sheetViews>
    <sheetView zoomScale="70" zoomScaleNormal="70" zoomScaleSheetLayoutView="55" workbookViewId="0">
      <selection activeCell="I24" sqref="I24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42</v>
      </c>
      <c r="D2" s="150"/>
      <c r="E2" s="150"/>
      <c r="F2" s="151"/>
    </row>
    <row r="3" spans="1:6" ht="51.75" customHeight="1" x14ac:dyDescent="0.3">
      <c r="A3" s="6" t="str">
        <f>미스터밀크피벗!A2</f>
        <v>10/15 납품</v>
      </c>
      <c r="B3" s="7" t="s">
        <v>0</v>
      </c>
      <c r="C3" s="114" t="s">
        <v>69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8</v>
      </c>
      <c r="C4" s="87">
        <f>IFERROR(VLOOKUP(A4,미스터밀크피벗!A:BL,9,FALSE),0)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8</v>
      </c>
      <c r="C5" s="89">
        <f>IFERROR(VLOOKUP(A5,미스터밀크피벗!A:BL,9,FALSE),0)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8</v>
      </c>
      <c r="C6" s="87">
        <f>IFERROR(VLOOKUP(A6,미스터밀크피벗!A:BL,9,FALSE),0)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8</v>
      </c>
      <c r="C7" s="89">
        <f>IFERROR(VLOOKUP(A7,미스터밀크피벗!A:BL,9,FALSE),0)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8</v>
      </c>
      <c r="C8" s="87">
        <f>IFERROR(VLOOKUP(A8,미스터밀크피벗!A:BL,9,FALSE),0)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8</v>
      </c>
      <c r="C9" s="89">
        <f>IFERROR(VLOOKUP(A9,미스터밀크피벗!A:BL,9,FALSE),0)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8</v>
      </c>
      <c r="C10" s="87">
        <f>IFERROR(VLOOKUP(A10,미스터밀크피벗!A:BL,9,FALSE),0)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8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132" t="s">
        <v>6</v>
      </c>
      <c r="B13" s="133">
        <f t="shared" ref="B13:B18" si="3">$B$4</f>
        <v>8</v>
      </c>
      <c r="C13" s="142">
        <f>IFERROR(VLOOKUP(A13,미스터밀크피벗!A:BL,9,FALSE),0)</f>
        <v>0</v>
      </c>
      <c r="D13" s="142">
        <f>IFERROR(ROUNDDOWN(C13/B13,0),"")</f>
        <v>0</v>
      </c>
      <c r="E13" s="135" t="s">
        <v>7</v>
      </c>
      <c r="F13" s="143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8</v>
      </c>
      <c r="C14" s="87">
        <f>IFERROR(VLOOKUP(A14,미스터밀크피벗!A:BL,9,FALSE),0)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8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74" t="s">
        <v>14</v>
      </c>
      <c r="B17" s="75">
        <f t="shared" si="3"/>
        <v>8</v>
      </c>
      <c r="C17" s="97">
        <f>IFERROR(VLOOKUP(A17,미스터밀크피벗!A:BL,9,FALSE),0)</f>
        <v>0</v>
      </c>
      <c r="D17" s="97">
        <f>IFERROR(ROUNDDOWN(C17/B17,0),"")</f>
        <v>0</v>
      </c>
      <c r="E17" s="7" t="s">
        <v>15</v>
      </c>
      <c r="F17" s="98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8</v>
      </c>
      <c r="C18" s="99">
        <f>IFERROR(VLOOKUP(A18,미스터밀크피벗!A:BL,9,FALSE),0)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8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8</v>
      </c>
      <c r="C21" s="104">
        <f>IFERROR(VLOOKUP(A21,미스터밀크피벗!A:BL,9,FALSE),0)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8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8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SUM(F11,F15,F19,F22)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CC99FF"/>
  </sheetPr>
  <dimension ref="A1:P7"/>
  <sheetViews>
    <sheetView zoomScale="70" zoomScaleNormal="70" zoomScaleSheetLayoutView="70" workbookViewId="0">
      <selection activeCell="D14" sqref="D14"/>
    </sheetView>
  </sheetViews>
  <sheetFormatPr defaultColWidth="9" defaultRowHeight="16.5" x14ac:dyDescent="0.3"/>
  <cols>
    <col min="1" max="1" width="17.625" style="3" bestFit="1" customWidth="1"/>
    <col min="2" max="13" width="17.625" style="3" customWidth="1"/>
    <col min="14" max="16" width="32.5" style="3" customWidth="1"/>
    <col min="17" max="17" width="29.625" style="3" customWidth="1"/>
    <col min="18" max="23" width="27.375" style="3" customWidth="1"/>
    <col min="24" max="24" width="7.375" style="3" bestFit="1" customWidth="1"/>
    <col min="25" max="30" width="24.875" style="3" customWidth="1"/>
    <col min="31" max="31" width="21" style="3" customWidth="1"/>
    <col min="32" max="32" width="16.125" style="3" customWidth="1"/>
    <col min="33" max="33" width="20.375" style="3" customWidth="1"/>
    <col min="34" max="16384" width="9" style="3"/>
  </cols>
  <sheetData>
    <row r="1" spans="1:16" s="2" customFormat="1" ht="24.75" customHeight="1" x14ac:dyDescent="0.3">
      <c r="A1" s="145" t="s">
        <v>92</v>
      </c>
      <c r="B1" s="145" t="s">
        <v>30</v>
      </c>
      <c r="C1" s="145"/>
      <c r="D1" s="145"/>
      <c r="E1" s="145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">
      <c r="A2" s="131" t="s">
        <v>93</v>
      </c>
      <c r="B2" s="131" t="s">
        <v>54</v>
      </c>
      <c r="C2" s="131" t="s">
        <v>28</v>
      </c>
      <c r="D2" s="131"/>
      <c r="E2" s="131"/>
      <c r="F2" s="131"/>
      <c r="G2" s="131"/>
      <c r="H2" s="131"/>
      <c r="I2" s="131"/>
      <c r="J2" s="131"/>
      <c r="K2" s="131"/>
    </row>
    <row r="3" spans="1:16" x14ac:dyDescent="0.3">
      <c r="A3" s="3" t="s">
        <v>60</v>
      </c>
      <c r="B3" s="3">
        <v>48</v>
      </c>
      <c r="C3" s="3">
        <v>48</v>
      </c>
    </row>
    <row r="4" spans="1:16" ht="21.75" customHeight="1" x14ac:dyDescent="0.3">
      <c r="A4" s="3" t="s">
        <v>59</v>
      </c>
      <c r="B4" s="3">
        <v>48</v>
      </c>
      <c r="C4" s="3">
        <v>48</v>
      </c>
    </row>
    <row r="5" spans="1:16" x14ac:dyDescent="0.3">
      <c r="A5" s="3" t="s">
        <v>57</v>
      </c>
      <c r="B5" s="3">
        <v>48</v>
      </c>
      <c r="C5" s="3">
        <v>48</v>
      </c>
    </row>
    <row r="6" spans="1:16" x14ac:dyDescent="0.3">
      <c r="A6" s="3" t="s">
        <v>61</v>
      </c>
      <c r="B6" s="3">
        <v>48</v>
      </c>
      <c r="C6" s="3">
        <v>48</v>
      </c>
    </row>
    <row r="7" spans="1:16" x14ac:dyDescent="0.3">
      <c r="A7" s="3" t="s">
        <v>28</v>
      </c>
      <c r="B7" s="3">
        <v>192</v>
      </c>
      <c r="C7" s="3">
        <v>192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7030A0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146">
        <f ca="1">TODAY()</f>
        <v>46309</v>
      </c>
      <c r="B2" s="150" t="s">
        <v>43</v>
      </c>
      <c r="C2" s="150"/>
      <c r="D2" s="150"/>
      <c r="E2" s="150"/>
      <c r="F2" s="151"/>
    </row>
    <row r="3" spans="1:6" ht="51.75" customHeight="1" x14ac:dyDescent="0.3">
      <c r="A3" s="6" t="str">
        <f>미담롤피벗!A2</f>
        <v>10/15 납품</v>
      </c>
      <c r="B3" s="7" t="s">
        <v>0</v>
      </c>
      <c r="C3" s="8" t="s">
        <v>56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48</v>
      </c>
      <c r="C4" s="13">
        <f>IFERROR(VLOOKUP(A4,미담롤피벗!A:AR,2,FALSE),0)</f>
        <v>0</v>
      </c>
      <c r="D4" s="13">
        <f>IFERROR(ROUNDDOWN(C4/B4,0),"")</f>
        <v>0</v>
      </c>
      <c r="E4" s="14" t="s">
        <v>5</v>
      </c>
      <c r="F4" s="15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48</v>
      </c>
      <c r="C5" s="18">
        <f>IFERROR(VLOOKUP(A5,미담롤피벗!A:AR,2,FALSE),0)</f>
        <v>0</v>
      </c>
      <c r="D5" s="18">
        <f t="shared" ref="D5:D10" si="2">IFERROR(ROUNDDOWN(C5/B5,0),"")</f>
        <v>0</v>
      </c>
      <c r="E5" s="19" t="s">
        <v>11</v>
      </c>
      <c r="F5" s="20">
        <f t="shared" si="0"/>
        <v>0</v>
      </c>
    </row>
    <row r="6" spans="1:6" ht="30" customHeight="1" x14ac:dyDescent="0.3">
      <c r="A6" s="11" t="s">
        <v>18</v>
      </c>
      <c r="B6" s="12">
        <f t="shared" si="1"/>
        <v>48</v>
      </c>
      <c r="C6" s="13">
        <f>IFERROR(VLOOKUP(A6,미담롤피벗!A:AR,2,FALSE),0)</f>
        <v>0</v>
      </c>
      <c r="D6" s="13">
        <f t="shared" si="2"/>
        <v>0</v>
      </c>
      <c r="E6" s="14" t="s">
        <v>19</v>
      </c>
      <c r="F6" s="15">
        <f t="shared" si="0"/>
        <v>0</v>
      </c>
    </row>
    <row r="7" spans="1:6" ht="30" customHeight="1" x14ac:dyDescent="0.3">
      <c r="A7" s="16" t="s">
        <v>20</v>
      </c>
      <c r="B7" s="17">
        <f t="shared" si="1"/>
        <v>48</v>
      </c>
      <c r="C7" s="18">
        <f>IFERROR(VLOOKUP(A7,미담롤피벗!A:AR,2,FALSE),0)</f>
        <v>48</v>
      </c>
      <c r="D7" s="18">
        <f t="shared" si="2"/>
        <v>1</v>
      </c>
      <c r="E7" s="19" t="s">
        <v>21</v>
      </c>
      <c r="F7" s="20">
        <f t="shared" si="0"/>
        <v>0</v>
      </c>
    </row>
    <row r="8" spans="1:6" ht="30" customHeight="1" x14ac:dyDescent="0.3">
      <c r="A8" s="11" t="s">
        <v>22</v>
      </c>
      <c r="B8" s="12">
        <f t="shared" si="1"/>
        <v>48</v>
      </c>
      <c r="C8" s="13">
        <f>IFERROR(VLOOKUP(A8,미담롤피벗!A:AR,2,FALSE),0)</f>
        <v>0</v>
      </c>
      <c r="D8" s="13">
        <f t="shared" si="2"/>
        <v>0</v>
      </c>
      <c r="E8" s="14" t="s">
        <v>23</v>
      </c>
      <c r="F8" s="15">
        <f t="shared" si="0"/>
        <v>0</v>
      </c>
    </row>
    <row r="9" spans="1:6" ht="30" customHeight="1" x14ac:dyDescent="0.3">
      <c r="A9" s="16" t="s">
        <v>24</v>
      </c>
      <c r="B9" s="17">
        <f t="shared" si="1"/>
        <v>48</v>
      </c>
      <c r="C9" s="18">
        <f>IFERROR(VLOOKUP(A9,미담롤피벗!A:AR,2,FALSE),0)</f>
        <v>48</v>
      </c>
      <c r="D9" s="18">
        <f t="shared" si="2"/>
        <v>1</v>
      </c>
      <c r="E9" s="19" t="s">
        <v>25</v>
      </c>
      <c r="F9" s="2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48</v>
      </c>
      <c r="C10" s="13">
        <f>IFERROR(VLOOKUP(A10,미담롤피벗!A:AR,2,FALSE),0)</f>
        <v>48</v>
      </c>
      <c r="D10" s="13">
        <f t="shared" si="2"/>
        <v>1</v>
      </c>
      <c r="E10" s="14" t="s">
        <v>27</v>
      </c>
      <c r="F10" s="15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48</v>
      </c>
      <c r="C11" s="31">
        <f>SUM($C$4:$C$10)</f>
        <v>144</v>
      </c>
      <c r="D11" s="32">
        <f>IFERROR(ROUNDDOWN(C11/B11,0),"")</f>
        <v>3</v>
      </c>
      <c r="E11" s="33"/>
      <c r="F11" s="34">
        <f>IFERROR(C11-(D11*B11),"")</f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48</v>
      </c>
      <c r="C13" s="39">
        <f>IFERROR(VLOOKUP(A13,미담롤피벗!A:AR,2,FALSE),0)</f>
        <v>0</v>
      </c>
      <c r="D13" s="39">
        <f>IFERROR(ROUNDDOWN(C13/B13,0),"")</f>
        <v>0</v>
      </c>
      <c r="E13" s="40" t="s">
        <v>7</v>
      </c>
      <c r="F13" s="41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48</v>
      </c>
      <c r="C14" s="13">
        <f>IFERROR(VLOOKUP(A14,미담롤피벗!A:AR,2,FALSE),0)</f>
        <v>0</v>
      </c>
      <c r="D14" s="13">
        <f>IFERROR(ROUNDDOWN(C14/B14,0),"")</f>
        <v>0</v>
      </c>
      <c r="E14" s="14" t="s">
        <v>9</v>
      </c>
      <c r="F14" s="15">
        <f t="shared" si="0"/>
        <v>0</v>
      </c>
    </row>
    <row r="15" spans="1:6" ht="30" customHeight="1" thickBot="1" x14ac:dyDescent="0.35">
      <c r="A15" s="29" t="s">
        <v>38</v>
      </c>
      <c r="B15" s="30">
        <f>$B$4</f>
        <v>48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48</v>
      </c>
      <c r="C17" s="18">
        <f>IFERROR(VLOOKUP(A17,미담롤피벗!A:AR,2,FALSE),0)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48</v>
      </c>
      <c r="C18" s="44">
        <f>IFERROR(VLOOKUP(A18,미담롤피벗!A:AR,2,FALSE),0)</f>
        <v>48</v>
      </c>
      <c r="D18" s="44">
        <f>IFERROR(ROUNDDOWN(C18/B18,0),"")</f>
        <v>1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48</v>
      </c>
      <c r="C19" s="48">
        <f>SUM($C$17:$C$18)</f>
        <v>48</v>
      </c>
      <c r="D19" s="49">
        <f>IFERROR(ROUNDDOWN(C19/B19,0),"")</f>
        <v>1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48</v>
      </c>
      <c r="C21" s="79">
        <f>IFERROR(VLOOKUP(A21,미담롤피벗!A:AR,2,FALSE),0)</f>
        <v>0</v>
      </c>
      <c r="D21" s="79">
        <f>IFERROR(ROUNDDOWN(C21/B21,0),"")</f>
        <v>0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48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48</v>
      </c>
      <c r="C24" s="59">
        <f>SUM(C11,C15,C19,C22)</f>
        <v>192</v>
      </c>
      <c r="D24" s="60">
        <f>IFERROR(ROUNDDOWN(C24/B24,0),"")</f>
        <v>4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4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B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00B0F0"/>
  </sheetPr>
  <dimension ref="A1:F5"/>
  <sheetViews>
    <sheetView zoomScale="70" zoomScaleNormal="70" zoomScaleSheetLayoutView="70" workbookViewId="0">
      <selection activeCell="A2" sqref="A2:F25"/>
    </sheetView>
  </sheetViews>
  <sheetFormatPr defaultColWidth="9" defaultRowHeight="16.5" x14ac:dyDescent="0.3"/>
  <cols>
    <col min="1" max="1" width="17.625" style="3" bestFit="1" customWidth="1"/>
    <col min="2" max="2" width="32.5" style="3" bestFit="1" customWidth="1"/>
    <col min="3" max="6" width="32.5" style="3" customWidth="1"/>
    <col min="7" max="7" width="29.625" style="3" customWidth="1"/>
    <col min="8" max="13" width="27.375" style="3" customWidth="1"/>
    <col min="14" max="14" width="7.375" style="3" bestFit="1" customWidth="1"/>
    <col min="15" max="20" width="24.875" style="3" customWidth="1"/>
    <col min="21" max="21" width="21" style="3" customWidth="1"/>
    <col min="22" max="22" width="16.125" style="3" customWidth="1"/>
    <col min="23" max="23" width="20.375" style="3" customWidth="1"/>
    <col min="24" max="16384" width="9" style="3"/>
  </cols>
  <sheetData>
    <row r="1" spans="1:6" s="2" customFormat="1" ht="24.75" customHeight="1" x14ac:dyDescent="0.3">
      <c r="A1" s="1" t="s">
        <v>89</v>
      </c>
      <c r="B1" s="1" t="s">
        <v>30</v>
      </c>
      <c r="C1" s="1"/>
      <c r="D1" s="1"/>
      <c r="E1" s="1"/>
      <c r="F1" s="1"/>
    </row>
    <row r="2" spans="1:6" x14ac:dyDescent="0.3">
      <c r="A2" s="3" t="s">
        <v>90</v>
      </c>
      <c r="B2" s="3" t="s">
        <v>75</v>
      </c>
      <c r="C2" s="3" t="s">
        <v>28</v>
      </c>
    </row>
    <row r="3" spans="1:6" x14ac:dyDescent="0.3">
      <c r="A3" s="3" t="s">
        <v>55</v>
      </c>
    </row>
    <row r="4" spans="1:6" x14ac:dyDescent="0.3">
      <c r="A4" s="3" t="s">
        <v>61</v>
      </c>
    </row>
    <row r="5" spans="1:6" x14ac:dyDescent="0.3">
      <c r="A5" s="3" t="s">
        <v>28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00B0F0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50</v>
      </c>
      <c r="D2" s="150"/>
      <c r="E2" s="150"/>
      <c r="F2" s="151"/>
    </row>
    <row r="3" spans="1:6" ht="51.75" customHeight="1" x14ac:dyDescent="0.3">
      <c r="A3" s="6" t="str">
        <f>'윈즈 피벗 '!A2</f>
        <v>10/14 납품</v>
      </c>
      <c r="B3" s="7" t="s">
        <v>0</v>
      </c>
      <c r="C3" s="8" t="s">
        <v>53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16</v>
      </c>
      <c r="C4" s="13">
        <f>IFERROR(VLOOKUP(A4,'윈즈 피벗 '!A:AH,2,FALSE),0)</f>
        <v>0</v>
      </c>
      <c r="D4" s="13">
        <f t="shared" ref="D4:D11" si="0">IFERROR(ROUNDDOWN(C4/B4,0),"")</f>
        <v>0</v>
      </c>
      <c r="E4" s="14" t="s">
        <v>5</v>
      </c>
      <c r="F4" s="15">
        <f t="shared" ref="F4:F11" si="1">IFERROR(C4-(D4*B4),"")</f>
        <v>0</v>
      </c>
    </row>
    <row r="5" spans="1:6" ht="30" customHeight="1" x14ac:dyDescent="0.3">
      <c r="A5" s="16" t="s">
        <v>10</v>
      </c>
      <c r="B5" s="17">
        <f t="shared" ref="B5:B11" si="2">$B$4</f>
        <v>16</v>
      </c>
      <c r="C5" s="18">
        <f>IFERROR(VLOOKUP(A5,'윈즈 피벗 '!A:AH,2,FALSE),0)</f>
        <v>0</v>
      </c>
      <c r="D5" s="18">
        <f t="shared" si="0"/>
        <v>0</v>
      </c>
      <c r="E5" s="19" t="s">
        <v>11</v>
      </c>
      <c r="F5" s="20">
        <f t="shared" si="1"/>
        <v>0</v>
      </c>
    </row>
    <row r="6" spans="1:6" ht="30" customHeight="1" x14ac:dyDescent="0.3">
      <c r="A6" s="11" t="s">
        <v>18</v>
      </c>
      <c r="B6" s="12">
        <f t="shared" si="2"/>
        <v>16</v>
      </c>
      <c r="C6" s="13">
        <f>IFERROR(VLOOKUP(A6,'윈즈 피벗 '!A:AH,2,FALSE),0)</f>
        <v>0</v>
      </c>
      <c r="D6" s="13">
        <f t="shared" si="0"/>
        <v>0</v>
      </c>
      <c r="E6" s="14" t="s">
        <v>19</v>
      </c>
      <c r="F6" s="15">
        <f t="shared" si="1"/>
        <v>0</v>
      </c>
    </row>
    <row r="7" spans="1:6" ht="30" customHeight="1" x14ac:dyDescent="0.3">
      <c r="A7" s="16" t="s">
        <v>20</v>
      </c>
      <c r="B7" s="17">
        <f t="shared" si="2"/>
        <v>16</v>
      </c>
      <c r="C7" s="18">
        <f>IFERROR(VLOOKUP(A7,'윈즈 피벗 '!A:AH,2,FALSE),0)</f>
        <v>0</v>
      </c>
      <c r="D7" s="18">
        <f t="shared" si="0"/>
        <v>0</v>
      </c>
      <c r="E7" s="19" t="s">
        <v>21</v>
      </c>
      <c r="F7" s="20">
        <f t="shared" si="1"/>
        <v>0</v>
      </c>
    </row>
    <row r="8" spans="1:6" ht="30" customHeight="1" x14ac:dyDescent="0.3">
      <c r="A8" s="11" t="s">
        <v>22</v>
      </c>
      <c r="B8" s="12">
        <f t="shared" si="2"/>
        <v>16</v>
      </c>
      <c r="C8" s="13">
        <f>IFERROR(VLOOKUP(A8,'윈즈 피벗 '!A:AH,2,FALSE),0)</f>
        <v>0</v>
      </c>
      <c r="D8" s="13">
        <f t="shared" si="0"/>
        <v>0</v>
      </c>
      <c r="E8" s="14" t="s">
        <v>23</v>
      </c>
      <c r="F8" s="15">
        <f t="shared" si="1"/>
        <v>0</v>
      </c>
    </row>
    <row r="9" spans="1:6" ht="30" customHeight="1" x14ac:dyDescent="0.3">
      <c r="A9" s="16" t="s">
        <v>24</v>
      </c>
      <c r="B9" s="17">
        <f t="shared" si="2"/>
        <v>16</v>
      </c>
      <c r="C9" s="18">
        <f>IFERROR(VLOOKUP(A9,'윈즈 피벗 '!A:AH,2,FALSE),0)</f>
        <v>0</v>
      </c>
      <c r="D9" s="18">
        <f t="shared" si="0"/>
        <v>0</v>
      </c>
      <c r="E9" s="19" t="s">
        <v>25</v>
      </c>
      <c r="F9" s="20">
        <f t="shared" si="1"/>
        <v>0</v>
      </c>
    </row>
    <row r="10" spans="1:6" ht="30" customHeight="1" thickBot="1" x14ac:dyDescent="0.35">
      <c r="A10" s="11" t="s">
        <v>26</v>
      </c>
      <c r="B10" s="12">
        <f t="shared" si="2"/>
        <v>16</v>
      </c>
      <c r="C10" s="13">
        <f>IFERROR(VLOOKUP(A10,'윈즈 피벗 '!A:AH,2,FALSE),0)</f>
        <v>0</v>
      </c>
      <c r="D10" s="13">
        <f t="shared" si="0"/>
        <v>0</v>
      </c>
      <c r="E10" s="14" t="s">
        <v>27</v>
      </c>
      <c r="F10" s="15">
        <f t="shared" si="1"/>
        <v>0</v>
      </c>
    </row>
    <row r="11" spans="1:6" ht="30" customHeight="1" thickBot="1" x14ac:dyDescent="0.35">
      <c r="A11" s="29" t="s">
        <v>31</v>
      </c>
      <c r="B11" s="30">
        <f t="shared" si="2"/>
        <v>16</v>
      </c>
      <c r="C11" s="31">
        <f>SUM($C$4:$C$10)</f>
        <v>0</v>
      </c>
      <c r="D11" s="32">
        <f t="shared" si="0"/>
        <v>0</v>
      </c>
      <c r="E11" s="33"/>
      <c r="F11" s="34">
        <f t="shared" si="1"/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52" t="s">
        <v>6</v>
      </c>
      <c r="B13" s="144">
        <f t="shared" ref="B13:B18" si="3">$B$4</f>
        <v>16</v>
      </c>
      <c r="C13" s="53">
        <f>IFERROR(VLOOKUP(A13,'윈즈 피벗 '!A:AH,2,FALSE),0)</f>
        <v>0</v>
      </c>
      <c r="D13" s="53">
        <f>IFERROR(ROUNDDOWN(C13/B13,0),"")</f>
        <v>0</v>
      </c>
      <c r="E13" s="54" t="s">
        <v>7</v>
      </c>
      <c r="F13" s="55">
        <f>IFERROR(C13-(D13*B13),"")</f>
        <v>0</v>
      </c>
    </row>
    <row r="14" spans="1:6" ht="30" customHeight="1" thickBot="1" x14ac:dyDescent="0.35">
      <c r="A14" s="74" t="s">
        <v>8</v>
      </c>
      <c r="B14" s="75">
        <f t="shared" si="3"/>
        <v>16</v>
      </c>
      <c r="C14" s="76">
        <f>IFERROR(VLOOKUP(A14,'윈즈 피벗 '!A:AH,2,FALSE),0)</f>
        <v>0</v>
      </c>
      <c r="D14" s="76">
        <f>IFERROR(ROUNDDOWN(C14/B14,0),"")</f>
        <v>0</v>
      </c>
      <c r="E14" s="7" t="s">
        <v>9</v>
      </c>
      <c r="F14" s="77">
        <f>IFERROR(C14-(D14*B14),"")</f>
        <v>0</v>
      </c>
    </row>
    <row r="15" spans="1:6" ht="30" customHeight="1" thickBot="1" x14ac:dyDescent="0.35">
      <c r="A15" s="29" t="s">
        <v>38</v>
      </c>
      <c r="B15" s="30">
        <f>$B$4</f>
        <v>16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1" t="s">
        <v>14</v>
      </c>
      <c r="B17" s="12">
        <f t="shared" si="3"/>
        <v>16</v>
      </c>
      <c r="C17" s="13">
        <f>IFERROR(VLOOKUP(A17,'윈즈 피벗 '!A:AH,2,FALSE),0)</f>
        <v>0</v>
      </c>
      <c r="D17" s="13">
        <f>IFERROR(ROUNDDOWN(C17/B17,0),"")</f>
        <v>0</v>
      </c>
      <c r="E17" s="14" t="s">
        <v>15</v>
      </c>
      <c r="F17" s="15">
        <f>IFERROR(C17-(D17*B17),"")</f>
        <v>0</v>
      </c>
    </row>
    <row r="18" spans="1:6" ht="30" customHeight="1" thickBot="1" x14ac:dyDescent="0.35">
      <c r="A18" s="120" t="s">
        <v>16</v>
      </c>
      <c r="B18" s="121">
        <f t="shared" si="3"/>
        <v>16</v>
      </c>
      <c r="C18" s="122">
        <f>IFERROR(VLOOKUP(A18,'윈즈 피벗 '!A:AH,2,FALSE),0)</f>
        <v>0</v>
      </c>
      <c r="D18" s="122">
        <f>IFERROR(ROUNDDOWN(C18/B18,0),"")</f>
        <v>0</v>
      </c>
      <c r="E18" s="123" t="s">
        <v>17</v>
      </c>
      <c r="F18" s="124">
        <f>IFERROR(C18-(D18*B18),"")</f>
        <v>0</v>
      </c>
    </row>
    <row r="19" spans="1:6" ht="30" customHeight="1" thickBot="1" x14ac:dyDescent="0.35">
      <c r="A19" s="125" t="s">
        <v>35</v>
      </c>
      <c r="B19" s="126">
        <f>$B$4</f>
        <v>16</v>
      </c>
      <c r="C19" s="127">
        <f>SUM($C$17:$C$18)</f>
        <v>0</v>
      </c>
      <c r="D19" s="128">
        <f>IFERROR(ROUNDDOWN(C19/B19,0),"")</f>
        <v>0</v>
      </c>
      <c r="E19" s="129"/>
      <c r="F19" s="130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16</v>
      </c>
      <c r="C21" s="79">
        <f>IFERROR(VLOOKUP(A21,'윈즈 피벗 '!A:AH,2,FALSE),0)</f>
        <v>0</v>
      </c>
      <c r="D21" s="79">
        <f>IFERROR(ROUNDDOWN(C21/B21,0),"")</f>
        <v>0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16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16</v>
      </c>
      <c r="C24" s="59">
        <f>SUM(C11,C15,C19,C22)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theme="5" tint="0.79998168889431442"/>
  </sheetPr>
  <dimension ref="A1:AB8"/>
  <sheetViews>
    <sheetView zoomScale="85" zoomScaleNormal="85" zoomScaleSheetLayoutView="70" workbookViewId="0">
      <selection activeCell="A2" sqref="A2:F25"/>
    </sheetView>
  </sheetViews>
  <sheetFormatPr defaultColWidth="9" defaultRowHeight="16.5" x14ac:dyDescent="0.3"/>
  <cols>
    <col min="1" max="1" width="12.625" style="3" bestFit="1" customWidth="1"/>
    <col min="2" max="2" width="24.375" style="3" bestFit="1" customWidth="1"/>
    <col min="3" max="4" width="24.375" style="3" customWidth="1"/>
    <col min="5" max="5" width="22.25" style="3" bestFit="1" customWidth="1"/>
    <col min="6" max="18" width="22.25" style="3" customWidth="1"/>
    <col min="19" max="19" width="44" style="3" customWidth="1"/>
    <col min="20" max="20" width="22.625" style="3" bestFit="1" customWidth="1"/>
    <col min="21" max="21" width="7.5" style="3" bestFit="1" customWidth="1"/>
    <col min="22" max="24" width="27.375" style="3" customWidth="1"/>
    <col min="25" max="25" width="7.375" style="3" bestFit="1" customWidth="1"/>
    <col min="26" max="31" width="24.875" style="3" customWidth="1"/>
    <col min="32" max="32" width="21" style="3" customWidth="1"/>
    <col min="33" max="33" width="16.125" style="3" customWidth="1"/>
    <col min="34" max="34" width="20.375" style="3" customWidth="1"/>
    <col min="35" max="16384" width="9" style="3"/>
  </cols>
  <sheetData>
    <row r="1" spans="1:28" s="83" customFormat="1" ht="24.75" customHeight="1" x14ac:dyDescent="0.3">
      <c r="A1" s="82" t="s" ph="1">
        <v>89</v>
      </c>
      <c r="B1" s="82" t="s" ph="1">
        <v>30</v>
      </c>
      <c r="C1" s="82" ph="1"/>
      <c r="D1" s="82" ph="1"/>
      <c r="E1" s="82" ph="1"/>
      <c r="F1" s="82" ph="1"/>
      <c r="G1" s="82" ph="1"/>
      <c r="H1" s="82" ph="1"/>
      <c r="I1" s="82" ph="1"/>
      <c r="J1" s="82" ph="1"/>
      <c r="K1" s="82" ph="1"/>
      <c r="L1" s="82" ph="1"/>
      <c r="M1" s="82" ph="1"/>
      <c r="N1" s="82" ph="1"/>
      <c r="O1" s="82" ph="1"/>
      <c r="P1" s="82" ph="1"/>
      <c r="Q1" s="82" ph="1"/>
      <c r="R1" s="82" ph="1"/>
      <c r="S1" s="82" ph="1"/>
      <c r="T1" s="83" ph="1"/>
      <c r="U1" s="83" ph="1"/>
      <c r="V1" s="83" ph="1"/>
      <c r="W1" s="83" ph="1"/>
      <c r="X1" s="83" ph="1"/>
      <c r="Y1" s="83" ph="1"/>
      <c r="Z1" s="83" ph="1"/>
      <c r="AA1" s="83" ph="1"/>
      <c r="AB1" s="83" ph="1"/>
    </row>
    <row r="2" spans="1:28" ht="17.25" x14ac:dyDescent="0.3">
      <c r="A2" s="84" t="s">
        <v>91</v>
      </c>
      <c r="B2" s="84" t="s">
        <v>44</v>
      </c>
      <c r="C2" s="84"/>
      <c r="D2" s="84"/>
      <c r="E2" s="84" t="s">
        <v>47</v>
      </c>
      <c r="F2" s="84" t="s">
        <v>28</v>
      </c>
      <c r="G2" s="84"/>
      <c r="H2" s="84"/>
      <c r="I2" s="84"/>
      <c r="J2" s="84"/>
      <c r="K2" s="84"/>
      <c r="L2" s="84"/>
      <c r="M2" s="84"/>
      <c r="N2" s="84"/>
      <c r="O2" s="84"/>
      <c r="P2" s="84"/>
      <c r="Q2" s="84"/>
      <c r="R2" s="84"/>
      <c r="S2" s="84"/>
    </row>
    <row r="3" spans="1:28" ht="17.25" x14ac:dyDescent="0.3">
      <c r="A3" s="84" t="s">
        <v>76</v>
      </c>
      <c r="B3" s="84"/>
      <c r="C3" s="84"/>
      <c r="D3" s="84"/>
      <c r="E3" s="84"/>
      <c r="F3" s="84"/>
      <c r="G3" s="84"/>
      <c r="H3" s="84"/>
      <c r="I3" s="84"/>
      <c r="J3" s="84"/>
      <c r="K3" s="84"/>
      <c r="L3" s="84"/>
      <c r="M3" s="84"/>
      <c r="N3" s="84"/>
      <c r="O3" s="84"/>
      <c r="P3" s="84"/>
      <c r="Q3" s="84"/>
      <c r="R3" s="84"/>
      <c r="S3" s="84"/>
    </row>
    <row r="4" spans="1:28" ht="17.25" x14ac:dyDescent="0.3">
      <c r="A4" s="84" t="s">
        <v>77</v>
      </c>
      <c r="B4" s="84"/>
      <c r="C4" s="84"/>
      <c r="D4" s="84"/>
      <c r="E4" s="84"/>
      <c r="F4" s="84"/>
      <c r="G4" s="84"/>
      <c r="H4" s="84"/>
      <c r="I4" s="84"/>
      <c r="J4" s="84"/>
      <c r="K4" s="84"/>
      <c r="L4" s="84"/>
      <c r="M4" s="84"/>
      <c r="N4" s="84"/>
      <c r="O4" s="84"/>
      <c r="P4" s="84"/>
      <c r="Q4" s="84"/>
      <c r="R4" s="84"/>
      <c r="S4" s="84"/>
    </row>
    <row r="5" spans="1:28" x14ac:dyDescent="0.3">
      <c r="A5" s="113" t="s">
        <v>60</v>
      </c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</row>
    <row r="6" spans="1:28" x14ac:dyDescent="0.3">
      <c r="A6" s="113" t="s">
        <v>78</v>
      </c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</row>
    <row r="7" spans="1:28" x14ac:dyDescent="0.3">
      <c r="A7" s="113" t="s">
        <v>59</v>
      </c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</row>
    <row r="8" spans="1:28" x14ac:dyDescent="0.3">
      <c r="A8" s="113" t="s">
        <v>28</v>
      </c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theme="5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6.5" style="3" bestFit="1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48</v>
      </c>
      <c r="D2" s="150"/>
      <c r="E2" s="150"/>
      <c r="F2" s="151"/>
    </row>
    <row r="3" spans="1:6" ht="51.75" customHeight="1" x14ac:dyDescent="0.3">
      <c r="A3" s="119" t="str">
        <f>조선호텔피벗!A2</f>
        <v>10/16 납품</v>
      </c>
      <c r="B3" s="7" t="s">
        <v>0</v>
      </c>
      <c r="C3" s="8" t="s">
        <v>44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12</v>
      </c>
      <c r="C4" s="87">
        <f>IFERROR(VLOOKUP(A4,조선호텔피벗!A:AS,2,FALSE),0)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12</v>
      </c>
      <c r="C5" s="89">
        <f>IFERROR(VLOOKUP(A5,조선호텔피벗!A:AS,2,FALSE),0)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12</v>
      </c>
      <c r="C6" s="87">
        <f>IFERROR(VLOOKUP(A6,조선호텔피벗!A:AS,2,FALSE),0)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12</v>
      </c>
      <c r="C7" s="89">
        <f>IFERROR(VLOOKUP(A7,조선호텔피벗!A:AS,2,FALSE),0)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12</v>
      </c>
      <c r="C8" s="87">
        <f>IFERROR(VLOOKUP(A8,조선호텔피벗!A:AS,2,FALSE),0)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12</v>
      </c>
      <c r="C9" s="89">
        <f>IFERROR(VLOOKUP(A9,조선호텔피벗!A:AS,2,FALSE),0)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12</v>
      </c>
      <c r="C10" s="87">
        <f>IFERROR(VLOOKUP(A10,조선호텔피벗!A:AS,2,FALSE),0)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12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38" t="s">
        <v>6</v>
      </c>
      <c r="B13" s="63">
        <f t="shared" ref="B13:B18" si="3">$B$4</f>
        <v>12</v>
      </c>
      <c r="C13" s="95">
        <f>IFERROR(VLOOKUP(A13,조선호텔피벗!A:AS,2,FALSE),0)</f>
        <v>0</v>
      </c>
      <c r="D13" s="95">
        <f>IFERROR(ROUNDDOWN(C13/B13,0),"")</f>
        <v>0</v>
      </c>
      <c r="E13" s="40" t="s">
        <v>7</v>
      </c>
      <c r="F13" s="96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12</v>
      </c>
      <c r="C14" s="87">
        <f>IFERROR(VLOOKUP(A14,조선호텔피벗!A:AS,2,FALSE),0)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12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16" t="s">
        <v>14</v>
      </c>
      <c r="B17" s="17">
        <f t="shared" si="3"/>
        <v>12</v>
      </c>
      <c r="C17" s="89">
        <f>IFERROR(VLOOKUP(A17,조선호텔피벗!A:AS,2,FALSE),0)</f>
        <v>0</v>
      </c>
      <c r="D17" s="89">
        <f>IFERROR(ROUNDDOWN(C17/B17,0),"")</f>
        <v>0</v>
      </c>
      <c r="E17" s="19" t="s">
        <v>15</v>
      </c>
      <c r="F17" s="9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12</v>
      </c>
      <c r="C18" s="99">
        <f>IFERROR(VLOOKUP(A18,조선호텔피벗!A:AS,2,FALSE),0)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12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12</v>
      </c>
      <c r="C21" s="104">
        <f>IFERROR(VLOOKUP(A21,조선호텔피벗!A:AS,2,FALSE),0)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12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12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SUM(F4:F10,F13:F14,F17:F18,F21:F22)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8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theme="5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48</v>
      </c>
      <c r="D2" s="150"/>
      <c r="E2" s="150"/>
      <c r="F2" s="151"/>
    </row>
    <row r="3" spans="1:6" ht="51.75" customHeight="1" x14ac:dyDescent="0.3">
      <c r="A3" s="119" t="str">
        <f>조선호텔피벗!A2</f>
        <v>10/16 납품</v>
      </c>
      <c r="B3" s="7" t="s">
        <v>0</v>
      </c>
      <c r="C3" s="8" t="s">
        <v>45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24</v>
      </c>
      <c r="C4" s="87">
        <f>IFERROR(VLOOKUP(A4,조선호텔피벗!A:AS,3,FALSE),0)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24</v>
      </c>
      <c r="C5" s="89">
        <f>IFERROR(VLOOKUP(A5,조선호텔피벗!A:AS,3,FALSE),0)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24</v>
      </c>
      <c r="C6" s="87">
        <f>IFERROR(VLOOKUP(A6,조선호텔피벗!A:AS,3,FALSE),0)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24</v>
      </c>
      <c r="C7" s="89">
        <f>IFERROR(VLOOKUP(A7,조선호텔피벗!A:AS,3,FALSE),0)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24</v>
      </c>
      <c r="C8" s="87">
        <f>IFERROR(VLOOKUP(A8,조선호텔피벗!A:AS,3,FALSE),0)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24</v>
      </c>
      <c r="C9" s="89">
        <f>IFERROR(VLOOKUP(A9,조선호텔피벗!A:AS,3,FALSE),0)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24</v>
      </c>
      <c r="C10" s="87">
        <f>IFERROR(VLOOKUP(A10,조선호텔피벗!A:AS,3,FALSE),0)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24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38" t="s">
        <v>6</v>
      </c>
      <c r="B13" s="63">
        <f t="shared" ref="B13:B18" si="3">$B$4</f>
        <v>24</v>
      </c>
      <c r="C13" s="95">
        <f>IFERROR(VLOOKUP(A13,조선호텔피벗!A:AS,3,FALSE),0)</f>
        <v>0</v>
      </c>
      <c r="D13" s="95">
        <f>IFERROR(ROUNDDOWN(C13/B13,0),"")</f>
        <v>0</v>
      </c>
      <c r="E13" s="40" t="s">
        <v>7</v>
      </c>
      <c r="F13" s="96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87">
        <f>IFERROR(VLOOKUP(A14,조선호텔피벗!A:AS,3,FALSE),0)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16" t="s">
        <v>14</v>
      </c>
      <c r="B17" s="17">
        <f t="shared" si="3"/>
        <v>24</v>
      </c>
      <c r="C17" s="89">
        <f>IFERROR(VLOOKUP(A17,조선호텔피벗!A:AS,3,FALSE),0)</f>
        <v>0</v>
      </c>
      <c r="D17" s="89">
        <f>IFERROR(ROUNDDOWN(C17/B17,0),"")</f>
        <v>0</v>
      </c>
      <c r="E17" s="19" t="s">
        <v>15</v>
      </c>
      <c r="F17" s="9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99">
        <f>IFERROR(VLOOKUP(A18,조선호텔피벗!A:AS,3,FALSE),0)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24</v>
      </c>
      <c r="C21" s="104">
        <f>IFERROR(VLOOKUP(A21,조선호텔피벗!A:AS,3,FALSE),0)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SUM(F4:F10,F13:F14,F17:F18,F21:F22)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theme="5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48</v>
      </c>
      <c r="D2" s="150"/>
      <c r="E2" s="150"/>
      <c r="F2" s="151"/>
    </row>
    <row r="3" spans="1:6" ht="51.75" customHeight="1" x14ac:dyDescent="0.3">
      <c r="A3" s="115" t="str">
        <f>조선호텔피벗!A2</f>
        <v>10/16 납품</v>
      </c>
      <c r="B3" s="7" t="s">
        <v>0</v>
      </c>
      <c r="C3" s="114" t="s">
        <v>46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8</v>
      </c>
      <c r="C4" s="87">
        <f>IFERROR(VLOOKUP(A4,조선호텔피벗!A:AS,4,FALSE),0)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8</v>
      </c>
      <c r="C5" s="89">
        <f>IFERROR(VLOOKUP(A5,조선호텔피벗!A:AS,4,FALSE),0)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8</v>
      </c>
      <c r="C6" s="87">
        <f>IFERROR(VLOOKUP(A6,조선호텔피벗!A:AS,4,FALSE),0)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8</v>
      </c>
      <c r="C7" s="89">
        <f>IFERROR(VLOOKUP(A7,조선호텔피벗!A:AS,4,FALSE),0)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8</v>
      </c>
      <c r="C8" s="87">
        <f>IFERROR(VLOOKUP(A8,조선호텔피벗!A:AS,4,FALSE),0)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8</v>
      </c>
      <c r="C9" s="89">
        <f>IFERROR(VLOOKUP(A9,조선호텔피벗!A:AS,4,FALSE),0)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8</v>
      </c>
      <c r="C10" s="87">
        <f>IFERROR(VLOOKUP(A10,조선호텔피벗!A:AS,4,FALSE),0)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8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38" t="s">
        <v>6</v>
      </c>
      <c r="B13" s="63">
        <f t="shared" ref="B13:B18" si="3">$B$4</f>
        <v>8</v>
      </c>
      <c r="C13" s="95">
        <f>IFERROR(VLOOKUP(A13,조선호텔피벗!A:AS,4,FALSE),0)</f>
        <v>0</v>
      </c>
      <c r="D13" s="95">
        <f>IFERROR(ROUNDDOWN(C13/B13,0),"")</f>
        <v>0</v>
      </c>
      <c r="E13" s="40" t="s">
        <v>7</v>
      </c>
      <c r="F13" s="96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8</v>
      </c>
      <c r="C14" s="87">
        <f>IFERROR(VLOOKUP(A14,조선호텔피벗!A:AS,4,FALSE),0)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8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16" t="s">
        <v>14</v>
      </c>
      <c r="B17" s="17">
        <f t="shared" si="3"/>
        <v>8</v>
      </c>
      <c r="C17" s="89">
        <f>IFERROR(VLOOKUP(A17,조선호텔피벗!A:AS,4,FALSE),0)</f>
        <v>0</v>
      </c>
      <c r="D17" s="89">
        <f>IFERROR(ROUNDDOWN(C17/B17,0),"")</f>
        <v>0</v>
      </c>
      <c r="E17" s="19" t="s">
        <v>15</v>
      </c>
      <c r="F17" s="9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8</v>
      </c>
      <c r="C18" s="99">
        <f>IFERROR(VLOOKUP(A18,조선호텔피벗!A:AS,4,FALSE),0)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8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8</v>
      </c>
      <c r="C21" s="104">
        <f>IFERROR(VLOOKUP(A21,조선호텔피벗!A:AS,4,FALSE),0)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8</v>
      </c>
      <c r="C22" s="31">
        <f>SUM($C$21)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8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SUM(F4:F10,F13:F14,F17:F18,F21:F22)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theme="5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7.375" style="3" customWidth="1"/>
    <col min="4" max="4" width="9.375" style="83" customWidth="1"/>
    <col min="5" max="5" width="10.5" style="83" bestFit="1" customWidth="1"/>
    <col min="6" max="6" width="9.375" style="83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48</v>
      </c>
      <c r="D2" s="150"/>
      <c r="E2" s="150"/>
      <c r="F2" s="151"/>
    </row>
    <row r="3" spans="1:6" ht="51.75" customHeight="1" x14ac:dyDescent="0.3">
      <c r="A3" s="119" t="str">
        <f>조선호텔피벗!A2</f>
        <v>10/16 납품</v>
      </c>
      <c r="B3" s="7" t="s">
        <v>0</v>
      </c>
      <c r="C3" s="8" t="s">
        <v>47</v>
      </c>
      <c r="D3" s="85" t="s">
        <v>1</v>
      </c>
      <c r="E3" s="7" t="s">
        <v>2</v>
      </c>
      <c r="F3" s="86" t="s">
        <v>3</v>
      </c>
    </row>
    <row r="4" spans="1:6" ht="30" customHeight="1" x14ac:dyDescent="0.3">
      <c r="A4" s="11" t="s">
        <v>4</v>
      </c>
      <c r="B4" s="12">
        <v>12</v>
      </c>
      <c r="C4" s="87">
        <f>IFERROR(VLOOKUP(A4,조선호텔피벗!A:AS,5,FALSE),0)</f>
        <v>0</v>
      </c>
      <c r="D4" s="87">
        <f>IFERROR(ROUNDDOWN(C4/B4,0),"")</f>
        <v>0</v>
      </c>
      <c r="E4" s="14" t="s">
        <v>5</v>
      </c>
      <c r="F4" s="88">
        <f t="shared" ref="F4:F14" si="0">IFERROR(C4-(D4*B4),"")</f>
        <v>0</v>
      </c>
    </row>
    <row r="5" spans="1:6" ht="30" customHeight="1" x14ac:dyDescent="0.3">
      <c r="A5" s="16" t="s">
        <v>10</v>
      </c>
      <c r="B5" s="17">
        <f t="shared" ref="B5:B11" si="1">$B$4</f>
        <v>12</v>
      </c>
      <c r="C5" s="89">
        <f>IFERROR(VLOOKUP(A5,조선호텔피벗!A:AS,5,FALSE),0)</f>
        <v>0</v>
      </c>
      <c r="D5" s="89">
        <f t="shared" ref="D5:D10" si="2">IFERROR(ROUNDDOWN(C5/B5,0),"")</f>
        <v>0</v>
      </c>
      <c r="E5" s="19" t="s">
        <v>11</v>
      </c>
      <c r="F5" s="90">
        <f t="shared" si="0"/>
        <v>0</v>
      </c>
    </row>
    <row r="6" spans="1:6" ht="30" customHeight="1" x14ac:dyDescent="0.3">
      <c r="A6" s="11" t="s">
        <v>18</v>
      </c>
      <c r="B6" s="12">
        <f t="shared" si="1"/>
        <v>12</v>
      </c>
      <c r="C6" s="87">
        <f>IFERROR(VLOOKUP(A6,조선호텔피벗!A:AS,5,FALSE),0)</f>
        <v>0</v>
      </c>
      <c r="D6" s="87">
        <f t="shared" si="2"/>
        <v>0</v>
      </c>
      <c r="E6" s="14" t="s">
        <v>19</v>
      </c>
      <c r="F6" s="88">
        <f t="shared" si="0"/>
        <v>0</v>
      </c>
    </row>
    <row r="7" spans="1:6" ht="30" customHeight="1" x14ac:dyDescent="0.3">
      <c r="A7" s="16" t="s">
        <v>20</v>
      </c>
      <c r="B7" s="17">
        <f t="shared" si="1"/>
        <v>12</v>
      </c>
      <c r="C7" s="89">
        <f>IFERROR(VLOOKUP(A7,조선호텔피벗!A:AS,5,FALSE),0)</f>
        <v>0</v>
      </c>
      <c r="D7" s="89">
        <f t="shared" si="2"/>
        <v>0</v>
      </c>
      <c r="E7" s="19" t="s">
        <v>21</v>
      </c>
      <c r="F7" s="90">
        <f t="shared" si="0"/>
        <v>0</v>
      </c>
    </row>
    <row r="8" spans="1:6" ht="30" customHeight="1" x14ac:dyDescent="0.3">
      <c r="A8" s="11" t="s">
        <v>22</v>
      </c>
      <c r="B8" s="12">
        <f t="shared" si="1"/>
        <v>12</v>
      </c>
      <c r="C8" s="87">
        <f>IFERROR(VLOOKUP(A8,조선호텔피벗!A:AS,5,FALSE),0)</f>
        <v>0</v>
      </c>
      <c r="D8" s="87">
        <f t="shared" si="2"/>
        <v>0</v>
      </c>
      <c r="E8" s="14" t="s">
        <v>23</v>
      </c>
      <c r="F8" s="88">
        <f t="shared" si="0"/>
        <v>0</v>
      </c>
    </row>
    <row r="9" spans="1:6" ht="30" customHeight="1" x14ac:dyDescent="0.3">
      <c r="A9" s="16" t="s">
        <v>24</v>
      </c>
      <c r="B9" s="17">
        <f t="shared" si="1"/>
        <v>12</v>
      </c>
      <c r="C9" s="89">
        <f>IFERROR(VLOOKUP(A9,조선호텔피벗!A:AS,5,FALSE),0)</f>
        <v>0</v>
      </c>
      <c r="D9" s="89">
        <f t="shared" si="2"/>
        <v>0</v>
      </c>
      <c r="E9" s="19" t="s">
        <v>25</v>
      </c>
      <c r="F9" s="90">
        <f t="shared" si="0"/>
        <v>0</v>
      </c>
    </row>
    <row r="10" spans="1:6" ht="30" customHeight="1" thickBot="1" x14ac:dyDescent="0.35">
      <c r="A10" s="11" t="s">
        <v>26</v>
      </c>
      <c r="B10" s="12">
        <f t="shared" si="1"/>
        <v>12</v>
      </c>
      <c r="C10" s="87">
        <f>IFERROR(VLOOKUP(A10,조선호텔피벗!A:AS,5,FALSE),0)</f>
        <v>0</v>
      </c>
      <c r="D10" s="87">
        <f t="shared" si="2"/>
        <v>0</v>
      </c>
      <c r="E10" s="14" t="s">
        <v>27</v>
      </c>
      <c r="F10" s="88">
        <f t="shared" si="0"/>
        <v>0</v>
      </c>
    </row>
    <row r="11" spans="1:6" ht="30" customHeight="1" thickBot="1" x14ac:dyDescent="0.35">
      <c r="A11" s="29" t="s">
        <v>31</v>
      </c>
      <c r="B11" s="30">
        <f t="shared" si="1"/>
        <v>12</v>
      </c>
      <c r="C11" s="31">
        <f>SUM($C$4:$C$10)</f>
        <v>0</v>
      </c>
      <c r="D11" s="91">
        <f>IFERROR(ROUNDDOWN(C11/B11,0),"")</f>
        <v>0</v>
      </c>
      <c r="E11" s="92"/>
      <c r="F11" s="93">
        <f>IFERROR(C11-(D11*B11),"")</f>
        <v>0</v>
      </c>
    </row>
    <row r="12" spans="1:6" ht="8.25" customHeight="1" thickBot="1" x14ac:dyDescent="0.35">
      <c r="A12" s="35"/>
      <c r="B12" s="28"/>
      <c r="C12" s="94"/>
      <c r="D12" s="94"/>
      <c r="E12" s="37"/>
      <c r="F12" s="94"/>
    </row>
    <row r="13" spans="1:6" ht="30" customHeight="1" x14ac:dyDescent="0.3">
      <c r="A13" s="38" t="s">
        <v>6</v>
      </c>
      <c r="B13" s="63">
        <f t="shared" ref="B13:B18" si="3">$B$4</f>
        <v>12</v>
      </c>
      <c r="C13" s="97">
        <f>IFERROR(VLOOKUP(A13,조선호텔피벗!A:AS,5,FALSE),0)</f>
        <v>0</v>
      </c>
      <c r="D13" s="95">
        <f>IFERROR(ROUNDDOWN(C13/B13,0),"")</f>
        <v>0</v>
      </c>
      <c r="E13" s="40" t="s">
        <v>7</v>
      </c>
      <c r="F13" s="96">
        <f t="shared" si="0"/>
        <v>0</v>
      </c>
    </row>
    <row r="14" spans="1:6" ht="30" customHeight="1" thickBot="1" x14ac:dyDescent="0.35">
      <c r="A14" s="11" t="s">
        <v>8</v>
      </c>
      <c r="B14" s="12">
        <f t="shared" si="3"/>
        <v>12</v>
      </c>
      <c r="C14" s="87">
        <f>IFERROR(VLOOKUP(A14,조선호텔피벗!A:AS,5,FALSE),0)</f>
        <v>0</v>
      </c>
      <c r="D14" s="87">
        <f>IFERROR(ROUNDDOWN(C14/B14,0),"")</f>
        <v>0</v>
      </c>
      <c r="E14" s="14" t="s">
        <v>9</v>
      </c>
      <c r="F14" s="88">
        <f t="shared" si="0"/>
        <v>0</v>
      </c>
    </row>
    <row r="15" spans="1:6" ht="30" customHeight="1" thickBot="1" x14ac:dyDescent="0.35">
      <c r="A15" s="29" t="s">
        <v>38</v>
      </c>
      <c r="B15" s="30">
        <f>$B$4</f>
        <v>12</v>
      </c>
      <c r="C15" s="31">
        <f>SUM($C$13:$C$14)</f>
        <v>0</v>
      </c>
      <c r="D15" s="91">
        <f>IFERROR(ROUNDDOWN(C15/B15,0),"")</f>
        <v>0</v>
      </c>
      <c r="E15" s="92"/>
      <c r="F15" s="93">
        <f>IFERROR(C15-(D15*B15),"")</f>
        <v>0</v>
      </c>
    </row>
    <row r="16" spans="1:6" ht="8.25" customHeight="1" x14ac:dyDescent="0.3">
      <c r="A16" s="74"/>
      <c r="B16" s="75"/>
      <c r="C16" s="97"/>
      <c r="D16" s="97"/>
      <c r="E16" s="7"/>
      <c r="F16" s="98"/>
    </row>
    <row r="17" spans="1:6" ht="30" customHeight="1" x14ac:dyDescent="0.3">
      <c r="A17" s="16" t="s">
        <v>14</v>
      </c>
      <c r="B17" s="17">
        <f t="shared" si="3"/>
        <v>12</v>
      </c>
      <c r="C17" s="89">
        <f>IFERROR(VLOOKUP(A17,조선호텔피벗!A:AS,5,FALSE),0)</f>
        <v>0</v>
      </c>
      <c r="D17" s="89">
        <f>IFERROR(ROUNDDOWN(C17/B17,0),"")</f>
        <v>0</v>
      </c>
      <c r="E17" s="19" t="s">
        <v>15</v>
      </c>
      <c r="F17" s="9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12</v>
      </c>
      <c r="C18" s="99">
        <f>IFERROR(VLOOKUP(A18,조선호텔피벗!A:AS,5,FALSE),0)</f>
        <v>0</v>
      </c>
      <c r="D18" s="99">
        <f>IFERROR(ROUNDDOWN(C18/B18,0),"")</f>
        <v>0</v>
      </c>
      <c r="E18" s="45" t="s">
        <v>17</v>
      </c>
      <c r="F18" s="100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12</v>
      </c>
      <c r="C19" s="48">
        <f>SUM($C$17:$C$18)</f>
        <v>0</v>
      </c>
      <c r="D19" s="101">
        <f>IFERROR(ROUNDDOWN(C19/B19,0),"")</f>
        <v>0</v>
      </c>
      <c r="E19" s="102"/>
      <c r="F19" s="103">
        <f>IFERROR(C19-(D19*B19),"")</f>
        <v>0</v>
      </c>
    </row>
    <row r="20" spans="1:6" ht="8.25" customHeight="1" thickBot="1" x14ac:dyDescent="0.35">
      <c r="A20" s="35"/>
      <c r="B20" s="28"/>
      <c r="C20" s="94"/>
      <c r="D20" s="94"/>
      <c r="E20" s="37"/>
      <c r="F20" s="94"/>
    </row>
    <row r="21" spans="1:6" ht="30" customHeight="1" thickBot="1" x14ac:dyDescent="0.35">
      <c r="A21" s="52" t="s">
        <v>12</v>
      </c>
      <c r="B21" s="69">
        <f>$B$4</f>
        <v>12</v>
      </c>
      <c r="C21" s="117">
        <f>IFERROR(VLOOKUP(A21,조선호텔피벗!A:AS,5,FALSE),0)</f>
        <v>0</v>
      </c>
      <c r="D21" s="104">
        <f>IFERROR(ROUNDDOWN(C21/B21,0),"")</f>
        <v>0</v>
      </c>
      <c r="E21" s="54" t="s">
        <v>13</v>
      </c>
      <c r="F21" s="105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12</v>
      </c>
      <c r="C22" s="116">
        <f>SUM(C21)</f>
        <v>0</v>
      </c>
      <c r="D22" s="91">
        <f>IFERROR(ROUNDDOWN(C22/B22,0),"")</f>
        <v>0</v>
      </c>
      <c r="E22" s="92"/>
      <c r="F22" s="93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12</v>
      </c>
      <c r="C24" s="59">
        <f>SUM(C11,C15,C19,C22)</f>
        <v>0</v>
      </c>
      <c r="D24" s="106">
        <f>IFERROR(ROUNDDOWN(C24/B24,0),"")</f>
        <v>0</v>
      </c>
      <c r="E24" s="107"/>
      <c r="F24" s="108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109"/>
      <c r="D25" s="110">
        <f>SUM(D4:D10,D13:D14,D17:D18,D21)</f>
        <v>0</v>
      </c>
      <c r="E25" s="111"/>
      <c r="F25" s="112">
        <f>SUM(F4:F10,F13:F14,F17:F18,F21:F22)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7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00B0F0"/>
  </sheetPr>
  <dimension ref="A1:F4"/>
  <sheetViews>
    <sheetView zoomScale="70" zoomScaleNormal="70" zoomScaleSheetLayoutView="70" workbookViewId="0">
      <selection activeCell="A2" sqref="A2:F25"/>
    </sheetView>
  </sheetViews>
  <sheetFormatPr defaultColWidth="9" defaultRowHeight="16.5" x14ac:dyDescent="0.3"/>
  <cols>
    <col min="1" max="1" width="17.625" style="3" bestFit="1" customWidth="1"/>
    <col min="2" max="2" width="32.5" style="3" bestFit="1" customWidth="1"/>
    <col min="3" max="6" width="32.5" style="3" customWidth="1"/>
    <col min="7" max="7" width="29.625" style="3" customWidth="1"/>
    <col min="8" max="13" width="27.375" style="3" customWidth="1"/>
    <col min="14" max="14" width="7.375" style="3" bestFit="1" customWidth="1"/>
    <col min="15" max="20" width="24.875" style="3" customWidth="1"/>
    <col min="21" max="21" width="21" style="3" customWidth="1"/>
    <col min="22" max="22" width="16.125" style="3" customWidth="1"/>
    <col min="23" max="23" width="20.375" style="3" customWidth="1"/>
    <col min="24" max="16384" width="9" style="3"/>
  </cols>
  <sheetData>
    <row r="1" spans="1:6" s="2" customFormat="1" ht="24.75" customHeight="1" x14ac:dyDescent="0.3">
      <c r="A1" s="1" t="s">
        <v>85</v>
      </c>
      <c r="B1" s="1" t="s">
        <v>30</v>
      </c>
      <c r="C1" s="1"/>
      <c r="D1" s="1"/>
      <c r="E1" s="1"/>
      <c r="F1" s="1"/>
    </row>
    <row r="2" spans="1:6" x14ac:dyDescent="0.3">
      <c r="A2" s="3" t="s">
        <v>88</v>
      </c>
      <c r="B2" s="3" t="s">
        <v>79</v>
      </c>
      <c r="C2" s="3" t="s">
        <v>28</v>
      </c>
    </row>
    <row r="3" spans="1:6" x14ac:dyDescent="0.3">
      <c r="A3" s="3" t="s">
        <v>57</v>
      </c>
    </row>
    <row r="4" spans="1:6" x14ac:dyDescent="0.3">
      <c r="A4" s="3" t="s">
        <v>28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00B0F0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8.5" style="3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51</v>
      </c>
      <c r="D2" s="150"/>
      <c r="E2" s="150"/>
      <c r="F2" s="151"/>
    </row>
    <row r="3" spans="1:6" ht="51.75" customHeight="1" x14ac:dyDescent="0.3">
      <c r="A3" s="6" t="str">
        <f>'스위트조이 피벗  '!A2</f>
        <v>12/13 납품</v>
      </c>
      <c r="B3" s="7" t="s">
        <v>0</v>
      </c>
      <c r="C3" s="118" t="s">
        <v>52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24</v>
      </c>
      <c r="C4" s="13">
        <f>IFERROR(VLOOKUP(A4,'스위트조이 피벗  '!A:AH,2,FALSE),0)</f>
        <v>0</v>
      </c>
      <c r="D4" s="13">
        <f t="shared" ref="D4:D11" si="0">IFERROR(ROUNDDOWN(C4/B4,0),"")</f>
        <v>0</v>
      </c>
      <c r="E4" s="14" t="s">
        <v>5</v>
      </c>
      <c r="F4" s="15">
        <f t="shared" ref="F4:F11" si="1">IFERROR(C4-(D4*B4),"")</f>
        <v>0</v>
      </c>
    </row>
    <row r="5" spans="1:6" ht="30" customHeight="1" x14ac:dyDescent="0.3">
      <c r="A5" s="16" t="s">
        <v>10</v>
      </c>
      <c r="B5" s="17">
        <f t="shared" ref="B5:B11" si="2">$B$4</f>
        <v>24</v>
      </c>
      <c r="C5" s="18">
        <f>IFERROR(VLOOKUP(A5,'스위트조이 피벗  '!A:AH,2,FALSE),0)</f>
        <v>0</v>
      </c>
      <c r="D5" s="18">
        <f t="shared" si="0"/>
        <v>0</v>
      </c>
      <c r="E5" s="19" t="s">
        <v>11</v>
      </c>
      <c r="F5" s="20">
        <f t="shared" si="1"/>
        <v>0</v>
      </c>
    </row>
    <row r="6" spans="1:6" ht="30" customHeight="1" x14ac:dyDescent="0.3">
      <c r="A6" s="11" t="s">
        <v>18</v>
      </c>
      <c r="B6" s="12">
        <f t="shared" si="2"/>
        <v>24</v>
      </c>
      <c r="C6" s="13">
        <f>IFERROR(VLOOKUP(A6,'스위트조이 피벗  '!A:AH,2,FALSE),0)</f>
        <v>0</v>
      </c>
      <c r="D6" s="13">
        <f t="shared" si="0"/>
        <v>0</v>
      </c>
      <c r="E6" s="14" t="s">
        <v>19</v>
      </c>
      <c r="F6" s="15">
        <f t="shared" si="1"/>
        <v>0</v>
      </c>
    </row>
    <row r="7" spans="1:6" ht="30" customHeight="1" x14ac:dyDescent="0.3">
      <c r="A7" s="16" t="s">
        <v>20</v>
      </c>
      <c r="B7" s="17">
        <f t="shared" si="2"/>
        <v>24</v>
      </c>
      <c r="C7" s="18">
        <f>IFERROR(VLOOKUP(A7,'스위트조이 피벗  '!A:AH,2,FALSE),0)</f>
        <v>0</v>
      </c>
      <c r="D7" s="18">
        <f t="shared" si="0"/>
        <v>0</v>
      </c>
      <c r="E7" s="19" t="s">
        <v>21</v>
      </c>
      <c r="F7" s="20">
        <f t="shared" si="1"/>
        <v>0</v>
      </c>
    </row>
    <row r="8" spans="1:6" ht="30" customHeight="1" x14ac:dyDescent="0.3">
      <c r="A8" s="11" t="s">
        <v>22</v>
      </c>
      <c r="B8" s="12">
        <f t="shared" si="2"/>
        <v>24</v>
      </c>
      <c r="C8" s="13">
        <f>IFERROR(VLOOKUP(A8,'스위트조이 피벗  '!A:AH,2,FALSE),0)</f>
        <v>0</v>
      </c>
      <c r="D8" s="13">
        <f t="shared" si="0"/>
        <v>0</v>
      </c>
      <c r="E8" s="14" t="s">
        <v>23</v>
      </c>
      <c r="F8" s="15">
        <f t="shared" si="1"/>
        <v>0</v>
      </c>
    </row>
    <row r="9" spans="1:6" ht="30" customHeight="1" x14ac:dyDescent="0.3">
      <c r="A9" s="16" t="s">
        <v>24</v>
      </c>
      <c r="B9" s="17">
        <f t="shared" si="2"/>
        <v>24</v>
      </c>
      <c r="C9" s="18">
        <f>IFERROR(VLOOKUP(A9,'스위트조이 피벗  '!A:AH,2,FALSE),0)</f>
        <v>0</v>
      </c>
      <c r="D9" s="18">
        <f t="shared" si="0"/>
        <v>0</v>
      </c>
      <c r="E9" s="19" t="s">
        <v>25</v>
      </c>
      <c r="F9" s="20">
        <f t="shared" si="1"/>
        <v>0</v>
      </c>
    </row>
    <row r="10" spans="1:6" ht="30" customHeight="1" thickBot="1" x14ac:dyDescent="0.35">
      <c r="A10" s="11" t="s">
        <v>26</v>
      </c>
      <c r="B10" s="12">
        <f t="shared" si="2"/>
        <v>24</v>
      </c>
      <c r="C10" s="13">
        <f>IFERROR(VLOOKUP(A10,'스위트조이 피벗  '!A:AH,2,FALSE),0)</f>
        <v>0</v>
      </c>
      <c r="D10" s="13">
        <f t="shared" si="0"/>
        <v>0</v>
      </c>
      <c r="E10" s="14" t="s">
        <v>27</v>
      </c>
      <c r="F10" s="15">
        <f t="shared" si="1"/>
        <v>0</v>
      </c>
    </row>
    <row r="11" spans="1:6" ht="30" customHeight="1" thickBot="1" x14ac:dyDescent="0.35">
      <c r="A11" s="29" t="s">
        <v>31</v>
      </c>
      <c r="B11" s="30">
        <f t="shared" si="2"/>
        <v>24</v>
      </c>
      <c r="C11" s="31">
        <f>SUM($C$4:$C$10)</f>
        <v>0</v>
      </c>
      <c r="D11" s="32">
        <f t="shared" si="0"/>
        <v>0</v>
      </c>
      <c r="E11" s="33"/>
      <c r="F11" s="34">
        <f t="shared" si="1"/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24</v>
      </c>
      <c r="C13" s="39">
        <f>IFERROR(VLOOKUP(A13,'스위트조이 피벗  '!A:AH,2,FALSE),0)</f>
        <v>0</v>
      </c>
      <c r="D13" s="39">
        <f>IFERROR(ROUNDDOWN(C13/B13,0),"")</f>
        <v>0</v>
      </c>
      <c r="E13" s="40" t="s">
        <v>7</v>
      </c>
      <c r="F13" s="41">
        <f>IFERROR(C13-(D13*B13),"")</f>
        <v>0</v>
      </c>
    </row>
    <row r="14" spans="1:6" ht="30" customHeight="1" thickBot="1" x14ac:dyDescent="0.35">
      <c r="A14" s="11" t="s">
        <v>8</v>
      </c>
      <c r="B14" s="12">
        <f t="shared" si="3"/>
        <v>24</v>
      </c>
      <c r="C14" s="13">
        <f>IFERROR(VLOOKUP(A14,'스위트조이 피벗  '!A:AH,2,FALSE),0)</f>
        <v>0</v>
      </c>
      <c r="D14" s="13">
        <f>IFERROR(ROUNDDOWN(C14/B14,0),"")</f>
        <v>0</v>
      </c>
      <c r="E14" s="14" t="s">
        <v>9</v>
      </c>
      <c r="F14" s="15">
        <f>IFERROR(C14-(D14*B14),"")</f>
        <v>0</v>
      </c>
    </row>
    <row r="15" spans="1:6" ht="30" customHeight="1" thickBot="1" x14ac:dyDescent="0.35">
      <c r="A15" s="29" t="s">
        <v>38</v>
      </c>
      <c r="B15" s="30">
        <f>$B$4</f>
        <v>24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24</v>
      </c>
      <c r="C17" s="18">
        <f>IFERROR(VLOOKUP(A17,'스위트조이 피벗  '!A:AH,2,FALSE),0)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24</v>
      </c>
      <c r="C18" s="44">
        <f>IFERROR(VLOOKUP(A18,'스위트조이 피벗  '!A:AH,2,FALSE),0)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24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24</v>
      </c>
      <c r="C21" s="79">
        <f>IFERROR(VLOOKUP(A21,'스위트조이 피벗  '!A:AH,2,FALSE),0)</f>
        <v>0</v>
      </c>
      <c r="D21" s="79">
        <f>IFERROR(ROUNDDOWN(C21/B21,0),"")</f>
        <v>0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24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24</v>
      </c>
      <c r="C24" s="59">
        <f>SUM(C11,C15,C19,C22)</f>
        <v>0</v>
      </c>
      <c r="D24" s="60">
        <f>IFERROR(ROUNDDOWN(C24/B24,0),"")</f>
        <v>0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0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6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ECBA9F-C64F-4EB8-BD6C-D868ACB6A844}">
  <sheetPr>
    <tabColor rgb="FFCC99FF"/>
  </sheetPr>
  <dimension ref="A1:F7"/>
  <sheetViews>
    <sheetView zoomScale="70" zoomScaleNormal="70" zoomScaleSheetLayoutView="70" workbookViewId="0">
      <selection sqref="A1:D7"/>
    </sheetView>
  </sheetViews>
  <sheetFormatPr defaultColWidth="9" defaultRowHeight="16.5" x14ac:dyDescent="0.3"/>
  <cols>
    <col min="1" max="1" width="17.625" style="3" bestFit="1" customWidth="1"/>
    <col min="2" max="3" width="17.625" style="3" customWidth="1"/>
    <col min="4" max="4" width="32.5" style="3" bestFit="1" customWidth="1"/>
    <col min="5" max="6" width="32.5" style="3" customWidth="1"/>
    <col min="7" max="7" width="29.625" style="3" customWidth="1"/>
    <col min="8" max="13" width="27.375" style="3" customWidth="1"/>
    <col min="14" max="14" width="7.375" style="3" bestFit="1" customWidth="1"/>
    <col min="15" max="20" width="24.875" style="3" customWidth="1"/>
    <col min="21" max="21" width="21" style="3" customWidth="1"/>
    <col min="22" max="22" width="16.125" style="3" customWidth="1"/>
    <col min="23" max="23" width="20.375" style="3" customWidth="1"/>
    <col min="24" max="16384" width="9" style="3"/>
  </cols>
  <sheetData>
    <row r="1" spans="1:6" s="2" customFormat="1" ht="24.75" customHeight="1" x14ac:dyDescent="0.3">
      <c r="A1" s="1" t="s">
        <v>92</v>
      </c>
      <c r="B1" s="1" t="s">
        <v>30</v>
      </c>
      <c r="C1" s="1"/>
      <c r="D1" s="1"/>
      <c r="E1" s="1"/>
      <c r="F1" s="1"/>
    </row>
    <row r="2" spans="1:6" x14ac:dyDescent="0.3">
      <c r="A2" s="3" t="s">
        <v>93</v>
      </c>
      <c r="B2" s="3" t="s">
        <v>83</v>
      </c>
      <c r="C2" s="3" t="s">
        <v>82</v>
      </c>
      <c r="D2" s="3" t="s">
        <v>28</v>
      </c>
    </row>
    <row r="3" spans="1:6" x14ac:dyDescent="0.3">
      <c r="A3" s="3" t="s">
        <v>77</v>
      </c>
      <c r="B3" s="3">
        <v>20</v>
      </c>
      <c r="D3" s="3">
        <v>20</v>
      </c>
    </row>
    <row r="4" spans="1:6" x14ac:dyDescent="0.3">
      <c r="A4" s="3" t="s">
        <v>58</v>
      </c>
      <c r="B4" s="3">
        <v>20</v>
      </c>
      <c r="D4" s="3">
        <v>20</v>
      </c>
    </row>
    <row r="5" spans="1:6" x14ac:dyDescent="0.3">
      <c r="A5" s="3" t="s">
        <v>78</v>
      </c>
      <c r="B5" s="3">
        <v>20</v>
      </c>
      <c r="C5" s="3">
        <v>96</v>
      </c>
      <c r="D5" s="3">
        <v>116</v>
      </c>
    </row>
    <row r="6" spans="1:6" x14ac:dyDescent="0.3">
      <c r="A6" s="3" t="s">
        <v>59</v>
      </c>
      <c r="B6" s="3">
        <v>60</v>
      </c>
      <c r="C6" s="3">
        <v>16</v>
      </c>
      <c r="D6" s="3">
        <v>76</v>
      </c>
    </row>
    <row r="7" spans="1:6" x14ac:dyDescent="0.3">
      <c r="A7" s="3" t="s">
        <v>28</v>
      </c>
      <c r="B7" s="3">
        <v>120</v>
      </c>
      <c r="C7" s="3">
        <v>112</v>
      </c>
      <c r="D7" s="3">
        <v>232</v>
      </c>
    </row>
  </sheetData>
  <phoneticPr fontId="2" type="noConversion"/>
  <printOptions horizontalCentered="1" verticalCentered="1"/>
  <pageMargins left="0" right="0" top="0" bottom="0" header="0" footer="0"/>
  <pageSetup paperSize="9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42692-516A-44AE-A11E-59CA57B2005C}">
  <sheetPr>
    <tabColor rgb="FFCC99FF"/>
    <pageSetUpPr fitToPage="1"/>
  </sheetPr>
  <dimension ref="A1:F26"/>
  <sheetViews>
    <sheetView zoomScale="70" zoomScaleNormal="70" zoomScaleSheetLayoutView="55" workbookViewId="0">
      <selection activeCell="A2" sqref="A2:F25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8.5" style="3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84</v>
      </c>
      <c r="D2" s="150"/>
      <c r="E2" s="150"/>
      <c r="F2" s="151"/>
    </row>
    <row r="3" spans="1:6" ht="51.75" customHeight="1" x14ac:dyDescent="0.3">
      <c r="A3" s="6" t="str">
        <f>'삼진 피벗 '!A2</f>
        <v>10/15 납품</v>
      </c>
      <c r="B3" s="7" t="s">
        <v>0</v>
      </c>
      <c r="C3" s="148" t="s">
        <v>83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20</v>
      </c>
      <c r="C4" s="13">
        <f>IFERROR(VLOOKUP(A4,'삼진 피벗 '!A:AH,2,FALSE),0)</f>
        <v>0</v>
      </c>
      <c r="D4" s="13">
        <f t="shared" ref="D4:D11" si="0">IFERROR(ROUNDDOWN(C4/B4,0),"")</f>
        <v>0</v>
      </c>
      <c r="E4" s="14" t="s">
        <v>5</v>
      </c>
      <c r="F4" s="15">
        <f t="shared" ref="F4:F11" si="1">IFERROR(C4-(D4*B4),"")</f>
        <v>0</v>
      </c>
    </row>
    <row r="5" spans="1:6" ht="30" customHeight="1" x14ac:dyDescent="0.3">
      <c r="A5" s="16" t="s">
        <v>10</v>
      </c>
      <c r="B5" s="17">
        <f t="shared" ref="B5:B11" si="2">$B$4</f>
        <v>20</v>
      </c>
      <c r="C5" s="18">
        <f>IFERROR(VLOOKUP(A5,'삼진 피벗 '!A:AH,2,FALSE),0)</f>
        <v>0</v>
      </c>
      <c r="D5" s="18">
        <f t="shared" si="0"/>
        <v>0</v>
      </c>
      <c r="E5" s="19" t="s">
        <v>11</v>
      </c>
      <c r="F5" s="20">
        <f t="shared" si="1"/>
        <v>0</v>
      </c>
    </row>
    <row r="6" spans="1:6" ht="30" customHeight="1" x14ac:dyDescent="0.3">
      <c r="A6" s="11" t="s">
        <v>18</v>
      </c>
      <c r="B6" s="12">
        <f t="shared" si="2"/>
        <v>20</v>
      </c>
      <c r="C6" s="13">
        <f>IFERROR(VLOOKUP(A6,'삼진 피벗 '!A:AH,2,FALSE),0)</f>
        <v>20</v>
      </c>
      <c r="D6" s="13">
        <f t="shared" si="0"/>
        <v>1</v>
      </c>
      <c r="E6" s="14" t="s">
        <v>19</v>
      </c>
      <c r="F6" s="15">
        <f t="shared" si="1"/>
        <v>0</v>
      </c>
    </row>
    <row r="7" spans="1:6" ht="30" customHeight="1" x14ac:dyDescent="0.3">
      <c r="A7" s="16" t="s">
        <v>20</v>
      </c>
      <c r="B7" s="17">
        <f t="shared" si="2"/>
        <v>20</v>
      </c>
      <c r="C7" s="18">
        <f>IFERROR(VLOOKUP(A7,'삼진 피벗 '!A:AH,2,FALSE),0)</f>
        <v>60</v>
      </c>
      <c r="D7" s="18">
        <f t="shared" si="0"/>
        <v>3</v>
      </c>
      <c r="E7" s="19" t="s">
        <v>21</v>
      </c>
      <c r="F7" s="20">
        <f t="shared" si="1"/>
        <v>0</v>
      </c>
    </row>
    <row r="8" spans="1:6" ht="30" customHeight="1" x14ac:dyDescent="0.3">
      <c r="A8" s="11" t="s">
        <v>22</v>
      </c>
      <c r="B8" s="12">
        <f t="shared" si="2"/>
        <v>20</v>
      </c>
      <c r="C8" s="13">
        <f>IFERROR(VLOOKUP(A8,'삼진 피벗 '!A:AH,2,FALSE),0)</f>
        <v>0</v>
      </c>
      <c r="D8" s="13">
        <f t="shared" si="0"/>
        <v>0</v>
      </c>
      <c r="E8" s="14" t="s">
        <v>23</v>
      </c>
      <c r="F8" s="15">
        <f t="shared" si="1"/>
        <v>0</v>
      </c>
    </row>
    <row r="9" spans="1:6" ht="30" customHeight="1" x14ac:dyDescent="0.3">
      <c r="A9" s="16" t="s">
        <v>24</v>
      </c>
      <c r="B9" s="17">
        <f t="shared" si="2"/>
        <v>20</v>
      </c>
      <c r="C9" s="18">
        <f>IFERROR(VLOOKUP(A9,'삼진 피벗 '!A:AH,2,FALSE),0)</f>
        <v>0</v>
      </c>
      <c r="D9" s="18">
        <f t="shared" si="0"/>
        <v>0</v>
      </c>
      <c r="E9" s="19" t="s">
        <v>25</v>
      </c>
      <c r="F9" s="20">
        <f t="shared" si="1"/>
        <v>0</v>
      </c>
    </row>
    <row r="10" spans="1:6" ht="30" customHeight="1" thickBot="1" x14ac:dyDescent="0.35">
      <c r="A10" s="11" t="s">
        <v>26</v>
      </c>
      <c r="B10" s="12">
        <f t="shared" si="2"/>
        <v>20</v>
      </c>
      <c r="C10" s="13">
        <f>IFERROR(VLOOKUP(A10,'삼진 피벗 '!A:AH,2,FALSE),0)</f>
        <v>0</v>
      </c>
      <c r="D10" s="13">
        <f t="shared" si="0"/>
        <v>0</v>
      </c>
      <c r="E10" s="14" t="s">
        <v>27</v>
      </c>
      <c r="F10" s="15">
        <f t="shared" si="1"/>
        <v>0</v>
      </c>
    </row>
    <row r="11" spans="1:6" ht="30" customHeight="1" thickBot="1" x14ac:dyDescent="0.35">
      <c r="A11" s="29" t="s">
        <v>31</v>
      </c>
      <c r="B11" s="30">
        <f t="shared" si="2"/>
        <v>20</v>
      </c>
      <c r="C11" s="31">
        <f>SUM($C$4:$C$10)</f>
        <v>80</v>
      </c>
      <c r="D11" s="32">
        <f t="shared" si="0"/>
        <v>4</v>
      </c>
      <c r="E11" s="33"/>
      <c r="F11" s="34">
        <f t="shared" si="1"/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20</v>
      </c>
      <c r="C13" s="39">
        <f>IFERROR(VLOOKUP(A13,'삼진 피벗 '!A:AH,2,FALSE),0)</f>
        <v>20</v>
      </c>
      <c r="D13" s="39">
        <f>IFERROR(ROUNDDOWN(C13/B13,0),"")</f>
        <v>1</v>
      </c>
      <c r="E13" s="40" t="s">
        <v>7</v>
      </c>
      <c r="F13" s="41">
        <f>IFERROR(C13-(D13*B13),"")</f>
        <v>0</v>
      </c>
    </row>
    <row r="14" spans="1:6" ht="30" customHeight="1" thickBot="1" x14ac:dyDescent="0.35">
      <c r="A14" s="11" t="s">
        <v>8</v>
      </c>
      <c r="B14" s="12">
        <f t="shared" si="3"/>
        <v>20</v>
      </c>
      <c r="C14" s="13">
        <f>IFERROR(VLOOKUP(A14,'삼진 피벗 '!A:AH,2,FALSE),0)</f>
        <v>0</v>
      </c>
      <c r="D14" s="13">
        <f>IFERROR(ROUNDDOWN(C14/B14,0),"")</f>
        <v>0</v>
      </c>
      <c r="E14" s="14" t="s">
        <v>9</v>
      </c>
      <c r="F14" s="15">
        <f>IFERROR(C14-(D14*B14),"")</f>
        <v>0</v>
      </c>
    </row>
    <row r="15" spans="1:6" ht="30" customHeight="1" thickBot="1" x14ac:dyDescent="0.35">
      <c r="A15" s="29" t="s">
        <v>38</v>
      </c>
      <c r="B15" s="30">
        <f>$B$4</f>
        <v>20</v>
      </c>
      <c r="C15" s="31">
        <f>SUM($C$13:$C$14)</f>
        <v>20</v>
      </c>
      <c r="D15" s="32">
        <f>IFERROR(ROUNDDOWN(C15/B15,0),"")</f>
        <v>1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20</v>
      </c>
      <c r="C17" s="18">
        <f>IFERROR(VLOOKUP(A17,'삼진 피벗 '!A:AH,2,FALSE),0)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20</v>
      </c>
      <c r="C18" s="44">
        <f>IFERROR(VLOOKUP(A18,'삼진 피벗 '!A:AH,2,FALSE),0)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20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20</v>
      </c>
      <c r="C21" s="79">
        <f>IFERROR(VLOOKUP(A21,'삼진 피벗 '!A:AH,2,FALSE),0)</f>
        <v>20</v>
      </c>
      <c r="D21" s="79">
        <f>IFERROR(ROUNDDOWN(C21/B21,0),"")</f>
        <v>1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20</v>
      </c>
      <c r="C22" s="31">
        <f>SUM($C$21)</f>
        <v>20</v>
      </c>
      <c r="D22" s="32">
        <f>IFERROR(ROUNDDOWN(C22/B22,0),"")</f>
        <v>1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20</v>
      </c>
      <c r="C24" s="59">
        <f>SUM(C11,C15,C19,C22)</f>
        <v>120</v>
      </c>
      <c r="D24" s="60">
        <f>IFERROR(ROUNDDOWN(C24/B24,0),"")</f>
        <v>6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6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6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A7E72-1552-4D9D-96D4-586FAEE7F718}">
  <sheetPr>
    <tabColor rgb="FFCC99FF"/>
    <pageSetUpPr fitToPage="1"/>
  </sheetPr>
  <dimension ref="A1:F26"/>
  <sheetViews>
    <sheetView zoomScale="70" zoomScaleNormal="70" zoomScaleSheetLayoutView="55" workbookViewId="0">
      <selection activeCell="N19" sqref="N19"/>
    </sheetView>
  </sheetViews>
  <sheetFormatPr defaultColWidth="9" defaultRowHeight="16.5" x14ac:dyDescent="0.3"/>
  <cols>
    <col min="1" max="1" width="29.875" style="3" customWidth="1"/>
    <col min="2" max="2" width="7.625" style="27" customWidth="1"/>
    <col min="3" max="3" width="28.5" style="3" customWidth="1"/>
    <col min="4" max="4" width="9.375" style="2" customWidth="1"/>
    <col min="5" max="5" width="10.5" style="2" bestFit="1" customWidth="1"/>
    <col min="6" max="6" width="9.375" style="2" customWidth="1"/>
    <col min="7" max="16384" width="9" style="3"/>
  </cols>
  <sheetData>
    <row r="1" spans="1:6" ht="26.25" customHeight="1" thickBot="1" x14ac:dyDescent="0.35">
      <c r="A1" s="149"/>
      <c r="B1" s="149"/>
      <c r="C1" s="149"/>
      <c r="D1" s="149"/>
      <c r="E1" s="149"/>
      <c r="F1" s="149"/>
    </row>
    <row r="2" spans="1:6" ht="34.5" customHeight="1" x14ac:dyDescent="0.3">
      <c r="A2" s="4">
        <f ca="1">TODAY()</f>
        <v>46309</v>
      </c>
      <c r="B2" s="5"/>
      <c r="C2" s="150" t="s">
        <v>84</v>
      </c>
      <c r="D2" s="150"/>
      <c r="E2" s="150"/>
      <c r="F2" s="151"/>
    </row>
    <row r="3" spans="1:6" ht="51.75" customHeight="1" x14ac:dyDescent="0.3">
      <c r="A3" s="6" t="str">
        <f>'삼진 피벗 '!A2</f>
        <v>10/15 납품</v>
      </c>
      <c r="B3" s="7" t="s">
        <v>0</v>
      </c>
      <c r="C3" s="148" t="s">
        <v>82</v>
      </c>
      <c r="D3" s="9" t="s">
        <v>1</v>
      </c>
      <c r="E3" s="7" t="s">
        <v>2</v>
      </c>
      <c r="F3" s="10" t="s">
        <v>3</v>
      </c>
    </row>
    <row r="4" spans="1:6" ht="30" customHeight="1" x14ac:dyDescent="0.3">
      <c r="A4" s="11" t="s">
        <v>4</v>
      </c>
      <c r="B4" s="12">
        <v>16</v>
      </c>
      <c r="C4" s="13">
        <f>IFERROR(VLOOKUP(A4,'삼진 피벗 '!A:AH,3,FALSE),0)</f>
        <v>0</v>
      </c>
      <c r="D4" s="13">
        <f t="shared" ref="D4:D11" si="0">IFERROR(ROUNDDOWN(C4/B4,0),"")</f>
        <v>0</v>
      </c>
      <c r="E4" s="14" t="s">
        <v>5</v>
      </c>
      <c r="F4" s="15">
        <f t="shared" ref="F4:F11" si="1">IFERROR(C4-(D4*B4),"")</f>
        <v>0</v>
      </c>
    </row>
    <row r="5" spans="1:6" ht="30" customHeight="1" x14ac:dyDescent="0.3">
      <c r="A5" s="16" t="s">
        <v>10</v>
      </c>
      <c r="B5" s="17">
        <f t="shared" ref="B5:B11" si="2">$B$4</f>
        <v>16</v>
      </c>
      <c r="C5" s="18">
        <f>IFERROR(VLOOKUP(A5,'삼진 피벗 '!A:AH,3,FALSE),0)</f>
        <v>0</v>
      </c>
      <c r="D5" s="18">
        <f t="shared" si="0"/>
        <v>0</v>
      </c>
      <c r="E5" s="19" t="s">
        <v>11</v>
      </c>
      <c r="F5" s="20">
        <f t="shared" si="1"/>
        <v>0</v>
      </c>
    </row>
    <row r="6" spans="1:6" ht="30" customHeight="1" x14ac:dyDescent="0.3">
      <c r="A6" s="11" t="s">
        <v>18</v>
      </c>
      <c r="B6" s="12">
        <f t="shared" si="2"/>
        <v>16</v>
      </c>
      <c r="C6" s="13">
        <f>IFERROR(VLOOKUP(A6,'삼진 피벗 '!A:AH,3,FALSE),0)</f>
        <v>96</v>
      </c>
      <c r="D6" s="13">
        <f t="shared" si="0"/>
        <v>6</v>
      </c>
      <c r="E6" s="14" t="s">
        <v>19</v>
      </c>
      <c r="F6" s="15">
        <f t="shared" si="1"/>
        <v>0</v>
      </c>
    </row>
    <row r="7" spans="1:6" ht="30" customHeight="1" x14ac:dyDescent="0.3">
      <c r="A7" s="16" t="s">
        <v>20</v>
      </c>
      <c r="B7" s="17">
        <f t="shared" si="2"/>
        <v>16</v>
      </c>
      <c r="C7" s="18">
        <f>IFERROR(VLOOKUP(A7,'삼진 피벗 '!A:AH,3,FALSE),0)</f>
        <v>16</v>
      </c>
      <c r="D7" s="18">
        <f t="shared" si="0"/>
        <v>1</v>
      </c>
      <c r="E7" s="19" t="s">
        <v>21</v>
      </c>
      <c r="F7" s="20">
        <f t="shared" si="1"/>
        <v>0</v>
      </c>
    </row>
    <row r="8" spans="1:6" ht="30" customHeight="1" x14ac:dyDescent="0.3">
      <c r="A8" s="11" t="s">
        <v>22</v>
      </c>
      <c r="B8" s="12">
        <f t="shared" si="2"/>
        <v>16</v>
      </c>
      <c r="C8" s="13">
        <f>IFERROR(VLOOKUP(A8,'삼진 피벗 '!A:AH,3,FALSE),0)</f>
        <v>0</v>
      </c>
      <c r="D8" s="13">
        <f t="shared" si="0"/>
        <v>0</v>
      </c>
      <c r="E8" s="14" t="s">
        <v>23</v>
      </c>
      <c r="F8" s="15">
        <f t="shared" si="1"/>
        <v>0</v>
      </c>
    </row>
    <row r="9" spans="1:6" ht="30" customHeight="1" x14ac:dyDescent="0.3">
      <c r="A9" s="16" t="s">
        <v>24</v>
      </c>
      <c r="B9" s="17">
        <f t="shared" si="2"/>
        <v>16</v>
      </c>
      <c r="C9" s="18">
        <f>IFERROR(VLOOKUP(A9,'삼진 피벗 '!A:AH,3,FALSE),0)</f>
        <v>0</v>
      </c>
      <c r="D9" s="18">
        <f t="shared" si="0"/>
        <v>0</v>
      </c>
      <c r="E9" s="19" t="s">
        <v>25</v>
      </c>
      <c r="F9" s="20">
        <f t="shared" si="1"/>
        <v>0</v>
      </c>
    </row>
    <row r="10" spans="1:6" ht="30" customHeight="1" thickBot="1" x14ac:dyDescent="0.35">
      <c r="A10" s="11" t="s">
        <v>26</v>
      </c>
      <c r="B10" s="12">
        <f t="shared" si="2"/>
        <v>16</v>
      </c>
      <c r="C10" s="13">
        <f>IFERROR(VLOOKUP(A10,'삼진 피벗 '!A:AH,3,FALSE),0)</f>
        <v>0</v>
      </c>
      <c r="D10" s="13">
        <f t="shared" si="0"/>
        <v>0</v>
      </c>
      <c r="E10" s="14" t="s">
        <v>27</v>
      </c>
      <c r="F10" s="15">
        <f t="shared" si="1"/>
        <v>0</v>
      </c>
    </row>
    <row r="11" spans="1:6" ht="30" customHeight="1" thickBot="1" x14ac:dyDescent="0.35">
      <c r="A11" s="29" t="s">
        <v>31</v>
      </c>
      <c r="B11" s="30">
        <f t="shared" si="2"/>
        <v>16</v>
      </c>
      <c r="C11" s="31">
        <f>SUM($C$4:$C$10)</f>
        <v>112</v>
      </c>
      <c r="D11" s="32">
        <f t="shared" si="0"/>
        <v>7</v>
      </c>
      <c r="E11" s="33"/>
      <c r="F11" s="34">
        <f t="shared" si="1"/>
        <v>0</v>
      </c>
    </row>
    <row r="12" spans="1:6" ht="8.25" customHeight="1" thickBot="1" x14ac:dyDescent="0.35">
      <c r="A12" s="35"/>
      <c r="B12" s="28"/>
      <c r="C12" s="36"/>
      <c r="D12" s="36"/>
      <c r="E12" s="37"/>
      <c r="F12" s="36"/>
    </row>
    <row r="13" spans="1:6" ht="30" customHeight="1" x14ac:dyDescent="0.3">
      <c r="A13" s="38" t="s">
        <v>6</v>
      </c>
      <c r="B13" s="63">
        <f t="shared" ref="B13:B18" si="3">$B$4</f>
        <v>16</v>
      </c>
      <c r="C13" s="39">
        <f>IFERROR(VLOOKUP(A13,'삼진 피벗 '!A:AH,3,FALSE),0)</f>
        <v>0</v>
      </c>
      <c r="D13" s="39">
        <f>IFERROR(ROUNDDOWN(C13/B13,0),"")</f>
        <v>0</v>
      </c>
      <c r="E13" s="40" t="s">
        <v>7</v>
      </c>
      <c r="F13" s="41">
        <f>IFERROR(C13-(D13*B13),"")</f>
        <v>0</v>
      </c>
    </row>
    <row r="14" spans="1:6" ht="30" customHeight="1" thickBot="1" x14ac:dyDescent="0.35">
      <c r="A14" s="11" t="s">
        <v>8</v>
      </c>
      <c r="B14" s="12">
        <f t="shared" si="3"/>
        <v>16</v>
      </c>
      <c r="C14" s="13">
        <f>IFERROR(VLOOKUP(A14,'삼진 피벗 '!A:AH,3,FALSE),0)</f>
        <v>0</v>
      </c>
      <c r="D14" s="13">
        <f>IFERROR(ROUNDDOWN(C14/B14,0),"")</f>
        <v>0</v>
      </c>
      <c r="E14" s="14" t="s">
        <v>9</v>
      </c>
      <c r="F14" s="15">
        <f>IFERROR(C14-(D14*B14),"")</f>
        <v>0</v>
      </c>
    </row>
    <row r="15" spans="1:6" ht="30" customHeight="1" thickBot="1" x14ac:dyDescent="0.35">
      <c r="A15" s="29" t="s">
        <v>38</v>
      </c>
      <c r="B15" s="30">
        <f>$B$4</f>
        <v>16</v>
      </c>
      <c r="C15" s="31">
        <f>SUM($C$13:$C$14)</f>
        <v>0</v>
      </c>
      <c r="D15" s="32">
        <f>IFERROR(ROUNDDOWN(C15/B15,0),"")</f>
        <v>0</v>
      </c>
      <c r="E15" s="33"/>
      <c r="F15" s="34">
        <f>IFERROR(C15-(D15*B15),"")</f>
        <v>0</v>
      </c>
    </row>
    <row r="16" spans="1:6" ht="8.25" customHeight="1" x14ac:dyDescent="0.3">
      <c r="A16" s="74"/>
      <c r="B16" s="75"/>
      <c r="C16" s="76"/>
      <c r="D16" s="76"/>
      <c r="E16" s="7"/>
      <c r="F16" s="77"/>
    </row>
    <row r="17" spans="1:6" ht="30" customHeight="1" x14ac:dyDescent="0.3">
      <c r="A17" s="16" t="s">
        <v>14</v>
      </c>
      <c r="B17" s="17">
        <f t="shared" si="3"/>
        <v>16</v>
      </c>
      <c r="C17" s="18">
        <f>IFERROR(VLOOKUP(A17,'삼진 피벗 '!A:AH,3,FALSE),0)</f>
        <v>0</v>
      </c>
      <c r="D17" s="18">
        <f>IFERROR(ROUNDDOWN(C17/B17,0),"")</f>
        <v>0</v>
      </c>
      <c r="E17" s="19" t="s">
        <v>15</v>
      </c>
      <c r="F17" s="20">
        <f>IFERROR(C17-(D17*B17),"")</f>
        <v>0</v>
      </c>
    </row>
    <row r="18" spans="1:6" ht="30" customHeight="1" thickBot="1" x14ac:dyDescent="0.35">
      <c r="A18" s="42" t="s">
        <v>16</v>
      </c>
      <c r="B18" s="43">
        <f t="shared" si="3"/>
        <v>16</v>
      </c>
      <c r="C18" s="44">
        <f>IFERROR(VLOOKUP(A18,'삼진 피벗 '!A:AH,3,FALSE),0)</f>
        <v>0</v>
      </c>
      <c r="D18" s="44">
        <f>IFERROR(ROUNDDOWN(C18/B18,0),"")</f>
        <v>0</v>
      </c>
      <c r="E18" s="45" t="s">
        <v>17</v>
      </c>
      <c r="F18" s="46">
        <f>IFERROR(C18-(D18*B18),"")</f>
        <v>0</v>
      </c>
    </row>
    <row r="19" spans="1:6" ht="30" customHeight="1" thickBot="1" x14ac:dyDescent="0.35">
      <c r="A19" s="47" t="s">
        <v>35</v>
      </c>
      <c r="B19" s="30">
        <f>$B$4</f>
        <v>16</v>
      </c>
      <c r="C19" s="48">
        <f>SUM($C$17:$C$18)</f>
        <v>0</v>
      </c>
      <c r="D19" s="49">
        <f>IFERROR(ROUNDDOWN(C19/B19,0),"")</f>
        <v>0</v>
      </c>
      <c r="E19" s="50"/>
      <c r="F19" s="51">
        <f>IFERROR(C19-(D19*B19),"")</f>
        <v>0</v>
      </c>
    </row>
    <row r="20" spans="1:6" ht="8.25" customHeight="1" thickBot="1" x14ac:dyDescent="0.35">
      <c r="A20" s="35"/>
      <c r="B20" s="28"/>
      <c r="C20" s="36"/>
      <c r="D20" s="36"/>
      <c r="E20" s="37"/>
      <c r="F20" s="36"/>
    </row>
    <row r="21" spans="1:6" ht="30" customHeight="1" thickBot="1" x14ac:dyDescent="0.35">
      <c r="A21" s="78" t="s">
        <v>12</v>
      </c>
      <c r="B21" s="69">
        <f>$B$4</f>
        <v>16</v>
      </c>
      <c r="C21" s="79">
        <f>IFERROR(VLOOKUP(A21,'삼진 피벗 '!A:AH,3,FALSE),0)</f>
        <v>0</v>
      </c>
      <c r="D21" s="79">
        <f>IFERROR(ROUNDDOWN(C21/B21,0),"")</f>
        <v>0</v>
      </c>
      <c r="E21" s="80" t="s">
        <v>13</v>
      </c>
      <c r="F21" s="81">
        <f>IFERROR(C21-(D21*B21),"")</f>
        <v>0</v>
      </c>
    </row>
    <row r="22" spans="1:6" ht="30" customHeight="1" thickBot="1" x14ac:dyDescent="0.35">
      <c r="A22" s="29" t="s">
        <v>32</v>
      </c>
      <c r="B22" s="30">
        <f>$B$4</f>
        <v>16</v>
      </c>
      <c r="C22" s="31">
        <f>SUM($C$21)</f>
        <v>0</v>
      </c>
      <c r="D22" s="32">
        <f>IFERROR(ROUNDDOWN(C22/B22,0),"")</f>
        <v>0</v>
      </c>
      <c r="E22" s="33"/>
      <c r="F22" s="34">
        <f>IFERROR(C22-(D22*B22),"")</f>
        <v>0</v>
      </c>
    </row>
    <row r="23" spans="1:6" ht="8.25" customHeight="1" thickBot="1" x14ac:dyDescent="0.35">
      <c r="A23" s="28"/>
      <c r="B23" s="28"/>
      <c r="C23" s="28"/>
      <c r="D23" s="28"/>
      <c r="E23" s="28"/>
      <c r="F23" s="56"/>
    </row>
    <row r="24" spans="1:6" ht="30" customHeight="1" thickBot="1" x14ac:dyDescent="0.35">
      <c r="A24" s="57" t="s">
        <v>28</v>
      </c>
      <c r="B24" s="58">
        <f>B4</f>
        <v>16</v>
      </c>
      <c r="C24" s="59">
        <f>SUM(C11,C15,C19,C22)</f>
        <v>112</v>
      </c>
      <c r="D24" s="60">
        <f>IFERROR(ROUNDDOWN(C24/B24,0),"")</f>
        <v>7</v>
      </c>
      <c r="E24" s="61"/>
      <c r="F24" s="62">
        <f>IFERROR(C24-(D24*B24),"")</f>
        <v>0</v>
      </c>
    </row>
    <row r="25" spans="1:6" ht="29.25" customHeight="1" thickBot="1" x14ac:dyDescent="0.35">
      <c r="A25" s="21" t="s">
        <v>29</v>
      </c>
      <c r="B25" s="22"/>
      <c r="C25" s="23"/>
      <c r="D25" s="24">
        <f>SUM(D4:D10,D13:D14,D17:D18,D21)</f>
        <v>7</v>
      </c>
      <c r="E25" s="25"/>
      <c r="F25" s="26">
        <f>SUM(F4:F10,F13:F14,F17:F18,F21)</f>
        <v>0</v>
      </c>
    </row>
    <row r="26" spans="1:6" x14ac:dyDescent="0.3">
      <c r="F26" s="56"/>
    </row>
  </sheetData>
  <mergeCells count="2">
    <mergeCell ref="A1:F1"/>
    <mergeCell ref="C2:F2"/>
  </mergeCells>
  <phoneticPr fontId="2" type="noConversion"/>
  <printOptions horizontalCentered="1"/>
  <pageMargins left="0.23622047244094491" right="0.19685039370078741" top="0.19685039370078741" bottom="0.19685039370078741" header="0.19685039370078741" footer="0.19685039370078741"/>
  <pageSetup paperSize="9" scale="9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31</vt:i4>
      </vt:variant>
      <vt:variant>
        <vt:lpstr>이름 지정된 범위</vt:lpstr>
      </vt:variant>
      <vt:variant>
        <vt:i4>23</vt:i4>
      </vt:variant>
    </vt:vector>
  </HeadingPairs>
  <TitlesOfParts>
    <vt:vector size="54" baseType="lpstr">
      <vt:lpstr>금토일피벗</vt:lpstr>
      <vt:lpstr>옐로우)달콤닭강정300g</vt:lpstr>
      <vt:lpstr>옐로우)매콤닭강정300g</vt:lpstr>
      <vt:lpstr>이그니스 피벗</vt:lpstr>
      <vt:lpstr>한끼통살)바베큐닭가슴살100g</vt:lpstr>
      <vt:lpstr>한끼통살)볼케이노닭가슴살100g</vt:lpstr>
      <vt:lpstr>한끼통살)소이갈릭닭가슴살100g</vt:lpstr>
      <vt:lpstr>한끼통살)오리지널닭가슴살100g</vt:lpstr>
      <vt:lpstr>미스터밀크피벗</vt:lpstr>
      <vt:lpstr>제주성이시돌목장)녹차젤라또미니컵</vt:lpstr>
      <vt:lpstr>제주성이시돌목장)녹차젤라또파인트</vt:lpstr>
      <vt:lpstr>제주성이시돌목장)요거트젤라또미니컵</vt:lpstr>
      <vt:lpstr>제주성이시돌목장)요거트젤라또파인트473ml</vt:lpstr>
      <vt:lpstr>제주성이시돌목장)우유젤라또미니컵</vt:lpstr>
      <vt:lpstr>제주성이시돌목장)우유젤라또파인트473ml</vt:lpstr>
      <vt:lpstr>제주성이시돌목장)초코젤라또미니컵100ml</vt:lpstr>
      <vt:lpstr>제주성이시돌목장)초코젤라또파인트473ml</vt:lpstr>
      <vt:lpstr>미담롤피벗</vt:lpstr>
      <vt:lpstr>자망요)자망요크림모찌60g(냉동)</vt:lpstr>
      <vt:lpstr>윈즈 피벗 </vt:lpstr>
      <vt:lpstr>티아이)크림브륄레90g</vt:lpstr>
      <vt:lpstr>조선호텔피벗</vt:lpstr>
      <vt:lpstr>조선호텔)꿔바로우450g</vt:lpstr>
      <vt:lpstr>조선호텔)떡갈비345g</vt:lpstr>
      <vt:lpstr>조선호텔)마카다미아치즈아이스크림케이크</vt:lpstr>
      <vt:lpstr>조선호텔)크림새우380g (2)</vt:lpstr>
      <vt:lpstr>스위트조이 피벗  </vt:lpstr>
      <vt:lpstr>토이스토리 아이스바</vt:lpstr>
      <vt:lpstr>삼진 피벗 </vt:lpstr>
      <vt:lpstr>삼진)미니땡초봉꼬치320g</vt:lpstr>
      <vt:lpstr>삼진)미니어묵꼬치290g</vt:lpstr>
      <vt:lpstr>'삼진)미니땡초봉꼬치320g'!Print_Area</vt:lpstr>
      <vt:lpstr>'삼진)미니어묵꼬치290g'!Print_Area</vt:lpstr>
      <vt:lpstr>'옐로우)달콤닭강정300g'!Print_Area</vt:lpstr>
      <vt:lpstr>'옐로우)매콤닭강정300g'!Print_Area</vt:lpstr>
      <vt:lpstr>'자망요)자망요크림모찌60g(냉동)'!Print_Area</vt:lpstr>
      <vt:lpstr>'제주성이시돌목장)녹차젤라또미니컵'!Print_Area</vt:lpstr>
      <vt:lpstr>'제주성이시돌목장)녹차젤라또파인트'!Print_Area</vt:lpstr>
      <vt:lpstr>'제주성이시돌목장)요거트젤라또미니컵'!Print_Area</vt:lpstr>
      <vt:lpstr>'제주성이시돌목장)요거트젤라또파인트473ml'!Print_Area</vt:lpstr>
      <vt:lpstr>'제주성이시돌목장)우유젤라또미니컵'!Print_Area</vt:lpstr>
      <vt:lpstr>'제주성이시돌목장)우유젤라또파인트473ml'!Print_Area</vt:lpstr>
      <vt:lpstr>'제주성이시돌목장)초코젤라또미니컵100ml'!Print_Area</vt:lpstr>
      <vt:lpstr>'제주성이시돌목장)초코젤라또파인트473ml'!Print_Area</vt:lpstr>
      <vt:lpstr>'조선호텔)꿔바로우450g'!Print_Area</vt:lpstr>
      <vt:lpstr>'조선호텔)떡갈비345g'!Print_Area</vt:lpstr>
      <vt:lpstr>'조선호텔)마카다미아치즈아이스크림케이크'!Print_Area</vt:lpstr>
      <vt:lpstr>'조선호텔)크림새우380g (2)'!Print_Area</vt:lpstr>
      <vt:lpstr>'토이스토리 아이스바'!Print_Area</vt:lpstr>
      <vt:lpstr>'티아이)크림브륄레90g'!Print_Area</vt:lpstr>
      <vt:lpstr>'한끼통살)바베큐닭가슴살100g'!Print_Area</vt:lpstr>
      <vt:lpstr>'한끼통살)볼케이노닭가슴살100g'!Print_Area</vt:lpstr>
      <vt:lpstr>'한끼통살)소이갈릭닭가슴살100g'!Print_Area</vt:lpstr>
      <vt:lpstr>'한끼통살)오리지널닭가슴살100g'!Print_Area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oem</cp:lastModifiedBy>
  <cp:lastPrinted>2026-10-14T07:19:34Z</cp:lastPrinted>
  <dcterms:created xsi:type="dcterms:W3CDTF">2025-11-27T07:27:16Z</dcterms:created>
  <dcterms:modified xsi:type="dcterms:W3CDTF">2026-10-14T07:30:43Z</dcterms:modified>
</cp:coreProperties>
</file>