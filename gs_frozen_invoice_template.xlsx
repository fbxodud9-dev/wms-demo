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35\공유폴더\상온및냉동\2. GS냉동(1시 이후)\거래명세서\3. 냉동)리치푸드\2026년 거래명세서\"/>
    </mc:Choice>
  </mc:AlternateContent>
  <xr:revisionPtr revIDLastSave="0" documentId="13_ncr:1_{48F991EC-EE17-47E2-944E-198CEB4E7845}" xr6:coauthVersionLast="47" xr6:coauthVersionMax="47" xr10:uidLastSave="{00000000-0000-0000-0000-000000000000}"/>
  <bookViews>
    <workbookView xWindow="34680" yWindow="0" windowWidth="22755" windowHeight="15420" tabRatio="927" xr2:uid="{00000000-000D-0000-FFFF-FFFF00000000}"/>
  </bookViews>
  <sheets>
    <sheet name="발주량" sheetId="30" r:id="rId1"/>
    <sheet name="원주 날짜만 바꿔 주세요" sheetId="27" r:id="rId2"/>
    <sheet name="강릉(현장전달)" sheetId="52" r:id="rId3"/>
    <sheet name="김해(경남)" sheetId="44" r:id="rId4"/>
    <sheet name="진주" sheetId="36" r:id="rId5"/>
    <sheet name="공주" sheetId="29" r:id="rId6"/>
    <sheet name="청주" sheetId="39" r:id="rId7"/>
    <sheet name="해인" sheetId="35" r:id="rId8"/>
    <sheet name="신제주(신제주재고사용)" sheetId="40" r:id="rId9"/>
    <sheet name="신광주(호남)" sheetId="64" r:id="rId10"/>
    <sheet name="익산" sheetId="49" r:id="rId11"/>
    <sheet name="경산(경북)" sheetId="61" r:id="rId12"/>
    <sheet name="아신" sheetId="28" r:id="rId13"/>
    <sheet name="포천" sheetId="41" r:id="rId14"/>
    <sheet name="고촌" sheetId="67" r:id="rId15"/>
    <sheet name="고양" sheetId="47" r:id="rId16"/>
    <sheet name="김포2" sheetId="46" r:id="rId17"/>
    <sheet name="도화" sheetId="50" r:id="rId18"/>
    <sheet name="발안" sheetId="31" r:id="rId19"/>
    <sheet name="송파" sheetId="42" r:id="rId20"/>
    <sheet name="곤지암" sheetId="58" r:id="rId21"/>
    <sheet name="신오산1" sheetId="57" r:id="rId22"/>
  </sheets>
  <definedNames>
    <definedName name="_xlnm.Print_Area" localSheetId="15">고양!$A$1:$AI$53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50" l="1"/>
  <c r="R18" i="57"/>
  <c r="R18" i="58"/>
  <c r="R18" i="42"/>
  <c r="R18" i="31"/>
  <c r="R18" i="46"/>
  <c r="R18" i="47"/>
  <c r="R18" i="67"/>
  <c r="R18" i="41"/>
  <c r="R18" i="28"/>
  <c r="B13" i="39"/>
  <c r="B13" i="36"/>
  <c r="B13" i="35"/>
  <c r="B13" i="40"/>
  <c r="B13" i="64"/>
  <c r="B13" i="49"/>
  <c r="B13" i="61"/>
  <c r="B13" i="28"/>
  <c r="B13" i="41"/>
  <c r="B13" i="67"/>
  <c r="B13" i="47"/>
  <c r="B13" i="46"/>
  <c r="B13" i="50"/>
  <c r="B13" i="31"/>
  <c r="B13" i="42"/>
  <c r="B13" i="58"/>
  <c r="B13" i="57"/>
  <c r="B13" i="29"/>
  <c r="AA42" i="52"/>
  <c r="AA41" i="52"/>
  <c r="AA45" i="52"/>
  <c r="AA44" i="52"/>
  <c r="AA43" i="52"/>
  <c r="AA40" i="52"/>
  <c r="B13" i="44"/>
  <c r="B13" i="52"/>
  <c r="AA42" i="27"/>
  <c r="M42" i="27"/>
  <c r="E42" i="27"/>
  <c r="AA41" i="27"/>
  <c r="M41" i="27"/>
  <c r="E41" i="27"/>
  <c r="M42" i="52"/>
  <c r="E42" i="52"/>
  <c r="M41" i="52"/>
  <c r="E41" i="52"/>
  <c r="AA42" i="44"/>
  <c r="M42" i="44"/>
  <c r="E42" i="44"/>
  <c r="AA41" i="44"/>
  <c r="M41" i="44"/>
  <c r="E41" i="44"/>
  <c r="AA42" i="29"/>
  <c r="M42" i="29"/>
  <c r="E42" i="29"/>
  <c r="AA41" i="29"/>
  <c r="M41" i="29"/>
  <c r="E41" i="29"/>
  <c r="AA42" i="39"/>
  <c r="M42" i="39"/>
  <c r="E42" i="39"/>
  <c r="AA41" i="39"/>
  <c r="M41" i="39"/>
  <c r="E41" i="39"/>
  <c r="AA42" i="36"/>
  <c r="M42" i="36"/>
  <c r="E42" i="36"/>
  <c r="AA41" i="36"/>
  <c r="M41" i="36"/>
  <c r="E41" i="36"/>
  <c r="AA42" i="35"/>
  <c r="M42" i="35"/>
  <c r="E42" i="35"/>
  <c r="AA41" i="35"/>
  <c r="M41" i="35"/>
  <c r="E41" i="35"/>
  <c r="AA42" i="64"/>
  <c r="M42" i="64"/>
  <c r="E42" i="64"/>
  <c r="AA41" i="64"/>
  <c r="M41" i="64"/>
  <c r="E41" i="64"/>
  <c r="AA42" i="49"/>
  <c r="M42" i="49"/>
  <c r="E42" i="49"/>
  <c r="AA41" i="49"/>
  <c r="M41" i="49"/>
  <c r="E41" i="49"/>
  <c r="AA42" i="61"/>
  <c r="M42" i="61"/>
  <c r="E42" i="61"/>
  <c r="AA41" i="61"/>
  <c r="M41" i="61"/>
  <c r="E41" i="61"/>
  <c r="AA42" i="28"/>
  <c r="M42" i="28"/>
  <c r="E42" i="28"/>
  <c r="AA41" i="28"/>
  <c r="M41" i="28"/>
  <c r="E41" i="28"/>
  <c r="AA42" i="41"/>
  <c r="M42" i="41"/>
  <c r="E42" i="41"/>
  <c r="AA41" i="41"/>
  <c r="M41" i="41"/>
  <c r="E41" i="41"/>
  <c r="AA42" i="67"/>
  <c r="M42" i="67"/>
  <c r="E42" i="67"/>
  <c r="AA41" i="67"/>
  <c r="M41" i="67"/>
  <c r="E41" i="67"/>
  <c r="AA42" i="47"/>
  <c r="M42" i="47"/>
  <c r="E42" i="47"/>
  <c r="AA41" i="47"/>
  <c r="M41" i="47"/>
  <c r="E41" i="47"/>
  <c r="AA42" i="46"/>
  <c r="M42" i="46"/>
  <c r="E42" i="46"/>
  <c r="AA41" i="46"/>
  <c r="M41" i="46"/>
  <c r="E41" i="46"/>
  <c r="AA42" i="50"/>
  <c r="M42" i="50"/>
  <c r="E42" i="50"/>
  <c r="AA41" i="50"/>
  <c r="M41" i="50"/>
  <c r="E41" i="50"/>
  <c r="AA42" i="31"/>
  <c r="M42" i="31"/>
  <c r="E42" i="31"/>
  <c r="AA41" i="31"/>
  <c r="M41" i="31"/>
  <c r="E41" i="31"/>
  <c r="AA42" i="42"/>
  <c r="M42" i="42"/>
  <c r="E42" i="42"/>
  <c r="AA41" i="42"/>
  <c r="M41" i="42"/>
  <c r="E41" i="42"/>
  <c r="AA42" i="58"/>
  <c r="M42" i="58"/>
  <c r="E42" i="58"/>
  <c r="AA41" i="58"/>
  <c r="M41" i="58"/>
  <c r="E41" i="58"/>
  <c r="AA42" i="57"/>
  <c r="M42" i="57"/>
  <c r="E42" i="57"/>
  <c r="AA41" i="57"/>
  <c r="M41" i="57"/>
  <c r="E41" i="57"/>
  <c r="AA42" i="40"/>
  <c r="M42" i="40"/>
  <c r="E42" i="40"/>
  <c r="AA41" i="40"/>
  <c r="M41" i="40"/>
  <c r="E41" i="40"/>
  <c r="R15" i="27"/>
  <c r="V15" i="27" s="1"/>
  <c r="V42" i="27" s="1"/>
  <c r="R15" i="52"/>
  <c r="R42" i="52" s="1"/>
  <c r="R15" i="44"/>
  <c r="R42" i="44" s="1"/>
  <c r="R15" i="29"/>
  <c r="R42" i="29" s="1"/>
  <c r="R15" i="39"/>
  <c r="R42" i="39" s="1"/>
  <c r="R15" i="36"/>
  <c r="V15" i="36" s="1"/>
  <c r="V42" i="36" s="1"/>
  <c r="R15" i="35"/>
  <c r="V15" i="35" s="1"/>
  <c r="V42" i="35" s="1"/>
  <c r="R15" i="64"/>
  <c r="R42" i="64" s="1"/>
  <c r="R15" i="49"/>
  <c r="R42" i="49" s="1"/>
  <c r="R15" i="61"/>
  <c r="R42" i="61" s="1"/>
  <c r="R15" i="28"/>
  <c r="R42" i="28" s="1"/>
  <c r="R15" i="41"/>
  <c r="R42" i="41" s="1"/>
  <c r="R15" i="67"/>
  <c r="R42" i="67" s="1"/>
  <c r="R15" i="47"/>
  <c r="R42" i="47" s="1"/>
  <c r="R15" i="46"/>
  <c r="V15" i="46" s="1"/>
  <c r="V42" i="46" s="1"/>
  <c r="R15" i="50"/>
  <c r="R42" i="50" s="1"/>
  <c r="R15" i="31"/>
  <c r="R42" i="31" s="1"/>
  <c r="R15" i="42"/>
  <c r="R42" i="42" s="1"/>
  <c r="R15" i="58"/>
  <c r="V15" i="58" s="1"/>
  <c r="V42" i="58" s="1"/>
  <c r="R15" i="57"/>
  <c r="R42" i="57" s="1"/>
  <c r="R15" i="40"/>
  <c r="V15" i="40" s="1"/>
  <c r="V42" i="40" s="1"/>
  <c r="R14" i="27"/>
  <c r="R41" i="27" s="1"/>
  <c r="R14" i="52"/>
  <c r="R41" i="52" s="1"/>
  <c r="R14" i="44"/>
  <c r="R41" i="44" s="1"/>
  <c r="R14" i="29"/>
  <c r="R41" i="29" s="1"/>
  <c r="R14" i="39"/>
  <c r="R41" i="39" s="1"/>
  <c r="R14" i="36"/>
  <c r="R41" i="36" s="1"/>
  <c r="R14" i="35"/>
  <c r="V14" i="35" s="1"/>
  <c r="V41" i="35" s="1"/>
  <c r="R14" i="64"/>
  <c r="R41" i="64" s="1"/>
  <c r="R14" i="49"/>
  <c r="R41" i="49" s="1"/>
  <c r="R14" i="61"/>
  <c r="R41" i="61" s="1"/>
  <c r="R14" i="28"/>
  <c r="R41" i="28" s="1"/>
  <c r="R14" i="41"/>
  <c r="R41" i="41" s="1"/>
  <c r="R14" i="67"/>
  <c r="V14" i="67" s="1"/>
  <c r="V41" i="67" s="1"/>
  <c r="R14" i="47"/>
  <c r="R41" i="47" s="1"/>
  <c r="R14" i="46"/>
  <c r="V14" i="46" s="1"/>
  <c r="V41" i="46" s="1"/>
  <c r="R14" i="50"/>
  <c r="R41" i="50" s="1"/>
  <c r="R14" i="31"/>
  <c r="V14" i="31" s="1"/>
  <c r="V41" i="31" s="1"/>
  <c r="R14" i="42"/>
  <c r="V14" i="42" s="1"/>
  <c r="V41" i="42" s="1"/>
  <c r="R14" i="58"/>
  <c r="V14" i="58" s="1"/>
  <c r="V41" i="58" s="1"/>
  <c r="R14" i="57"/>
  <c r="R41" i="57" s="1"/>
  <c r="R14" i="40"/>
  <c r="V14" i="40" s="1"/>
  <c r="V41" i="40" s="1"/>
  <c r="R13" i="27"/>
  <c r="R13" i="52"/>
  <c r="R13" i="44"/>
  <c r="R13" i="29"/>
  <c r="R13" i="39"/>
  <c r="R13" i="36"/>
  <c r="R13" i="35"/>
  <c r="R13" i="64"/>
  <c r="R13" i="49"/>
  <c r="R13" i="61"/>
  <c r="R13" i="28"/>
  <c r="R13" i="41"/>
  <c r="R13" i="67"/>
  <c r="R13" i="47"/>
  <c r="R13" i="46"/>
  <c r="R13" i="50"/>
  <c r="R13" i="31"/>
  <c r="R13" i="42"/>
  <c r="R13" i="58"/>
  <c r="R13" i="57"/>
  <c r="R13" i="40"/>
  <c r="R18" i="27"/>
  <c r="R18" i="52"/>
  <c r="R18" i="44"/>
  <c r="R18" i="29"/>
  <c r="R18" i="39"/>
  <c r="R18" i="36"/>
  <c r="R18" i="35"/>
  <c r="R18" i="40"/>
  <c r="R18" i="64"/>
  <c r="R18" i="49"/>
  <c r="R18" i="61"/>
  <c r="R17" i="27"/>
  <c r="V17" i="27" s="1"/>
  <c r="R17" i="52"/>
  <c r="V17" i="52" s="1"/>
  <c r="R17" i="44"/>
  <c r="V17" i="44" s="1"/>
  <c r="R17" i="29"/>
  <c r="V17" i="29" s="1"/>
  <c r="R17" i="39"/>
  <c r="V17" i="39" s="1"/>
  <c r="R17" i="36"/>
  <c r="V17" i="36" s="1"/>
  <c r="R17" i="35"/>
  <c r="V17" i="35" s="1"/>
  <c r="R17" i="40"/>
  <c r="V17" i="40" s="1"/>
  <c r="R17" i="64"/>
  <c r="V17" i="64" s="1"/>
  <c r="R17" i="49"/>
  <c r="V17" i="49" s="1"/>
  <c r="R17" i="61"/>
  <c r="V17" i="61" s="1"/>
  <c r="R17" i="41"/>
  <c r="V17" i="41" s="1"/>
  <c r="R17" i="67"/>
  <c r="V17" i="67" s="1"/>
  <c r="R17" i="47"/>
  <c r="V17" i="47" s="1"/>
  <c r="R17" i="46"/>
  <c r="V17" i="46" s="1"/>
  <c r="R17" i="50"/>
  <c r="V17" i="50" s="1"/>
  <c r="R17" i="31"/>
  <c r="V17" i="31" s="1"/>
  <c r="R17" i="42"/>
  <c r="V17" i="42" s="1"/>
  <c r="R17" i="58"/>
  <c r="V17" i="58" s="1"/>
  <c r="R17" i="57"/>
  <c r="V17" i="57" s="1"/>
  <c r="R17" i="28"/>
  <c r="V17" i="28" s="1"/>
  <c r="R16" i="27"/>
  <c r="V16" i="27" s="1"/>
  <c r="R16" i="52"/>
  <c r="V16" i="52" s="1"/>
  <c r="R16" i="44"/>
  <c r="V16" i="44" s="1"/>
  <c r="R16" i="29"/>
  <c r="V16" i="29" s="1"/>
  <c r="R16" i="39"/>
  <c r="V16" i="39" s="1"/>
  <c r="R16" i="36"/>
  <c r="V16" i="36" s="1"/>
  <c r="R16" i="35"/>
  <c r="V16" i="35" s="1"/>
  <c r="R16" i="40"/>
  <c r="V16" i="40" s="1"/>
  <c r="R16" i="64"/>
  <c r="V16" i="64" s="1"/>
  <c r="R16" i="49"/>
  <c r="V16" i="49" s="1"/>
  <c r="R16" i="61"/>
  <c r="V16" i="61" s="1"/>
  <c r="R16" i="41"/>
  <c r="V16" i="41" s="1"/>
  <c r="R16" i="67"/>
  <c r="V16" i="67" s="1"/>
  <c r="R16" i="47"/>
  <c r="V16" i="47" s="1"/>
  <c r="R16" i="46"/>
  <c r="V16" i="46" s="1"/>
  <c r="R16" i="50"/>
  <c r="V16" i="50" s="1"/>
  <c r="R16" i="31"/>
  <c r="V16" i="31" s="1"/>
  <c r="R16" i="42"/>
  <c r="V16" i="42" s="1"/>
  <c r="R16" i="58"/>
  <c r="V16" i="58" s="1"/>
  <c r="R16" i="57"/>
  <c r="V16" i="57" s="1"/>
  <c r="R16" i="28"/>
  <c r="V16" i="28" s="1"/>
  <c r="V15" i="67"/>
  <c r="V42" i="67" s="1"/>
  <c r="V15" i="50" l="1"/>
  <c r="V42" i="50" s="1"/>
  <c r="V15" i="57"/>
  <c r="V42" i="57" s="1"/>
  <c r="V15" i="29"/>
  <c r="V42" i="29" s="1"/>
  <c r="V15" i="39"/>
  <c r="V42" i="39" s="1"/>
  <c r="V15" i="31"/>
  <c r="V42" i="31" s="1"/>
  <c r="V15" i="64"/>
  <c r="V42" i="64" s="1"/>
  <c r="V15" i="47"/>
  <c r="V42" i="47" s="1"/>
  <c r="V14" i="57"/>
  <c r="V41" i="57" s="1"/>
  <c r="V14" i="64"/>
  <c r="V41" i="64" s="1"/>
  <c r="V15" i="61"/>
  <c r="V42" i="61" s="1"/>
  <c r="V15" i="52"/>
  <c r="V42" i="52" s="1"/>
  <c r="V14" i="27"/>
  <c r="V41" i="27" s="1"/>
  <c r="V14" i="52"/>
  <c r="V41" i="52" s="1"/>
  <c r="V15" i="41"/>
  <c r="V42" i="41" s="1"/>
  <c r="V14" i="50"/>
  <c r="V41" i="50" s="1"/>
  <c r="V15" i="42"/>
  <c r="V42" i="42" s="1"/>
  <c r="V14" i="49"/>
  <c r="V41" i="49" s="1"/>
  <c r="V15" i="28"/>
  <c r="V42" i="28" s="1"/>
  <c r="V14" i="47"/>
  <c r="V41" i="47" s="1"/>
  <c r="V15" i="49"/>
  <c r="V42" i="49" s="1"/>
  <c r="V15" i="44"/>
  <c r="V42" i="44" s="1"/>
  <c r="V14" i="41"/>
  <c r="V41" i="41" s="1"/>
  <c r="V14" i="39"/>
  <c r="V41" i="39" s="1"/>
  <c r="V14" i="36"/>
  <c r="V41" i="36" s="1"/>
  <c r="V14" i="28"/>
  <c r="V41" i="28" s="1"/>
  <c r="V14" i="61"/>
  <c r="V41" i="61" s="1"/>
  <c r="R41" i="31"/>
  <c r="V14" i="29"/>
  <c r="V41" i="29" s="1"/>
  <c r="R42" i="40"/>
  <c r="R42" i="46"/>
  <c r="R42" i="36"/>
  <c r="V14" i="44"/>
  <c r="V41" i="44" s="1"/>
  <c r="R41" i="40"/>
  <c r="R41" i="42"/>
  <c r="R41" i="46"/>
  <c r="R42" i="58"/>
  <c r="R42" i="35"/>
  <c r="R42" i="27"/>
  <c r="R41" i="58"/>
  <c r="R41" i="67"/>
  <c r="R41" i="35"/>
  <c r="AA45" i="27"/>
  <c r="AA44" i="27"/>
  <c r="AA43" i="27"/>
  <c r="AA40" i="27"/>
  <c r="AA43" i="57"/>
  <c r="AA44" i="57"/>
  <c r="AA45" i="57"/>
  <c r="AA43" i="58"/>
  <c r="AA44" i="58"/>
  <c r="AA45" i="58"/>
  <c r="AA43" i="42"/>
  <c r="AA44" i="42"/>
  <c r="AA45" i="42"/>
  <c r="AA43" i="31"/>
  <c r="AA44" i="31"/>
  <c r="AA45" i="31"/>
  <c r="AA43" i="50"/>
  <c r="AA44" i="50"/>
  <c r="AA45" i="50"/>
  <c r="AA43" i="46"/>
  <c r="AA44" i="46"/>
  <c r="AA45" i="46"/>
  <c r="AA43" i="47"/>
  <c r="AA44" i="47"/>
  <c r="AA45" i="47"/>
  <c r="AA43" i="67"/>
  <c r="AA44" i="67"/>
  <c r="AA45" i="67"/>
  <c r="AA43" i="41"/>
  <c r="AA44" i="41"/>
  <c r="AA45" i="41"/>
  <c r="AA43" i="28"/>
  <c r="AA44" i="28"/>
  <c r="AA45" i="28"/>
  <c r="AA43" i="61"/>
  <c r="AA44" i="61"/>
  <c r="AA45" i="61"/>
  <c r="AA43" i="49"/>
  <c r="AA44" i="49"/>
  <c r="AA45" i="49"/>
  <c r="AA43" i="64"/>
  <c r="AA44" i="64"/>
  <c r="AA45" i="64"/>
  <c r="AA43" i="40"/>
  <c r="AA44" i="40"/>
  <c r="AA45" i="40"/>
  <c r="AA43" i="35"/>
  <c r="AA44" i="35"/>
  <c r="AA45" i="35"/>
  <c r="AA43" i="36"/>
  <c r="AA44" i="36"/>
  <c r="AA45" i="36"/>
  <c r="AA43" i="39"/>
  <c r="AA44" i="39"/>
  <c r="AA45" i="39"/>
  <c r="AA43" i="29"/>
  <c r="AA44" i="29"/>
  <c r="AA45" i="29"/>
  <c r="AA43" i="44"/>
  <c r="AA44" i="44"/>
  <c r="AA45" i="44"/>
  <c r="AA40" i="44"/>
  <c r="AA40" i="29"/>
  <c r="AA40" i="39"/>
  <c r="AA40" i="36"/>
  <c r="AA40" i="35"/>
  <c r="AA40" i="40"/>
  <c r="AA40" i="64"/>
  <c r="AA40" i="49"/>
  <c r="AA40" i="61"/>
  <c r="AA40" i="28"/>
  <c r="AA40" i="41"/>
  <c r="AA40" i="67"/>
  <c r="AA40" i="47"/>
  <c r="AA40" i="46"/>
  <c r="AA40" i="50"/>
  <c r="AA40" i="31"/>
  <c r="AA40" i="42"/>
  <c r="AA40" i="58"/>
  <c r="AA40" i="57"/>
  <c r="V33" i="52"/>
  <c r="V33" i="44"/>
  <c r="V33" i="29"/>
  <c r="V33" i="39"/>
  <c r="V33" i="36"/>
  <c r="V33" i="35"/>
  <c r="V33" i="40"/>
  <c r="V33" i="64"/>
  <c r="V33" i="49"/>
  <c r="V33" i="61"/>
  <c r="V33" i="28"/>
  <c r="V33" i="41"/>
  <c r="V33" i="67"/>
  <c r="V33" i="47"/>
  <c r="V33" i="46"/>
  <c r="V33" i="50"/>
  <c r="V33" i="31"/>
  <c r="V33" i="42"/>
  <c r="V33" i="58"/>
  <c r="V33" i="57"/>
  <c r="V33" i="27"/>
  <c r="R45" i="52"/>
  <c r="R45" i="44"/>
  <c r="R45" i="29"/>
  <c r="R45" i="39"/>
  <c r="R45" i="36"/>
  <c r="R45" i="35"/>
  <c r="R45" i="40"/>
  <c r="R45" i="64"/>
  <c r="R45" i="49"/>
  <c r="R45" i="61"/>
  <c r="R45" i="28"/>
  <c r="R45" i="41"/>
  <c r="R45" i="67"/>
  <c r="R45" i="47"/>
  <c r="R45" i="46"/>
  <c r="R45" i="50"/>
  <c r="R45" i="31"/>
  <c r="R45" i="42"/>
  <c r="R45" i="58"/>
  <c r="R45" i="57"/>
  <c r="R45" i="27"/>
  <c r="R44" i="44"/>
  <c r="R44" i="29"/>
  <c r="R44" i="39"/>
  <c r="R44" i="36"/>
  <c r="V44" i="35"/>
  <c r="R44" i="40"/>
  <c r="R44" i="64"/>
  <c r="R44" i="49"/>
  <c r="V44" i="61"/>
  <c r="R44" i="28"/>
  <c r="V44" i="41"/>
  <c r="R44" i="67"/>
  <c r="R44" i="47"/>
  <c r="R44" i="46"/>
  <c r="R44" i="50"/>
  <c r="R44" i="31"/>
  <c r="R44" i="42"/>
  <c r="R44" i="58"/>
  <c r="R44" i="57"/>
  <c r="R44" i="27"/>
  <c r="R43" i="52"/>
  <c r="R43" i="44"/>
  <c r="R43" i="29"/>
  <c r="R43" i="39"/>
  <c r="R43" i="36"/>
  <c r="R43" i="35"/>
  <c r="R43" i="40"/>
  <c r="R43" i="64"/>
  <c r="R43" i="49"/>
  <c r="R43" i="61"/>
  <c r="R43" i="28"/>
  <c r="R43" i="41"/>
  <c r="R43" i="67"/>
  <c r="R43" i="47"/>
  <c r="R43" i="46"/>
  <c r="R43" i="50"/>
  <c r="R43" i="31"/>
  <c r="R43" i="42"/>
  <c r="R43" i="58"/>
  <c r="R43" i="57"/>
  <c r="R43" i="27"/>
  <c r="M45" i="52"/>
  <c r="E45" i="52"/>
  <c r="M45" i="44"/>
  <c r="E45" i="44"/>
  <c r="M45" i="29"/>
  <c r="E45" i="29"/>
  <c r="M45" i="39"/>
  <c r="E45" i="39"/>
  <c r="M45" i="36"/>
  <c r="E45" i="36"/>
  <c r="M45" i="35"/>
  <c r="E45" i="35"/>
  <c r="M45" i="40"/>
  <c r="E45" i="40"/>
  <c r="M45" i="64"/>
  <c r="E45" i="64"/>
  <c r="M45" i="49"/>
  <c r="E45" i="49"/>
  <c r="M45" i="61"/>
  <c r="E45" i="61"/>
  <c r="M45" i="28"/>
  <c r="E45" i="28"/>
  <c r="M45" i="41"/>
  <c r="E45" i="41"/>
  <c r="M45" i="67"/>
  <c r="E45" i="67"/>
  <c r="M45" i="47"/>
  <c r="E45" i="47"/>
  <c r="M45" i="46"/>
  <c r="E45" i="46"/>
  <c r="M45" i="50"/>
  <c r="E45" i="50"/>
  <c r="M45" i="31"/>
  <c r="E45" i="31"/>
  <c r="M45" i="42"/>
  <c r="E45" i="42"/>
  <c r="M45" i="58"/>
  <c r="E45" i="58"/>
  <c r="M45" i="57"/>
  <c r="E45" i="57"/>
  <c r="M45" i="27"/>
  <c r="E45" i="27"/>
  <c r="M44" i="52"/>
  <c r="E44" i="52"/>
  <c r="M44" i="44"/>
  <c r="E44" i="44"/>
  <c r="M44" i="29"/>
  <c r="E44" i="29"/>
  <c r="M44" i="39"/>
  <c r="E44" i="39"/>
  <c r="M44" i="36"/>
  <c r="E44" i="36"/>
  <c r="M44" i="35"/>
  <c r="E44" i="35"/>
  <c r="M44" i="40"/>
  <c r="E44" i="40"/>
  <c r="M44" i="64"/>
  <c r="E44" i="64"/>
  <c r="M44" i="49"/>
  <c r="E44" i="49"/>
  <c r="M44" i="61"/>
  <c r="E44" i="61"/>
  <c r="M44" i="28"/>
  <c r="E44" i="28"/>
  <c r="M44" i="41"/>
  <c r="E44" i="41"/>
  <c r="M44" i="67"/>
  <c r="E44" i="67"/>
  <c r="M44" i="47"/>
  <c r="E44" i="47"/>
  <c r="M44" i="46"/>
  <c r="E44" i="46"/>
  <c r="M44" i="50"/>
  <c r="E44" i="50"/>
  <c r="M44" i="31"/>
  <c r="E44" i="31"/>
  <c r="M44" i="42"/>
  <c r="E44" i="42"/>
  <c r="M44" i="58"/>
  <c r="E44" i="58"/>
  <c r="M44" i="57"/>
  <c r="E44" i="57"/>
  <c r="M44" i="27"/>
  <c r="E44" i="27"/>
  <c r="M43" i="52"/>
  <c r="E43" i="52"/>
  <c r="M43" i="44"/>
  <c r="E43" i="44"/>
  <c r="M43" i="29"/>
  <c r="E43" i="29"/>
  <c r="M43" i="39"/>
  <c r="E43" i="39"/>
  <c r="M43" i="36"/>
  <c r="E43" i="36"/>
  <c r="M43" i="35"/>
  <c r="E43" i="35"/>
  <c r="M43" i="40"/>
  <c r="E43" i="40"/>
  <c r="M43" i="64"/>
  <c r="E43" i="64"/>
  <c r="M43" i="49"/>
  <c r="E43" i="49"/>
  <c r="M43" i="61"/>
  <c r="E43" i="61"/>
  <c r="M43" i="28"/>
  <c r="E43" i="28"/>
  <c r="M43" i="41"/>
  <c r="E43" i="41"/>
  <c r="M43" i="67"/>
  <c r="E43" i="67"/>
  <c r="M43" i="47"/>
  <c r="E43" i="47"/>
  <c r="M43" i="46"/>
  <c r="E43" i="46"/>
  <c r="M43" i="50"/>
  <c r="E43" i="50"/>
  <c r="M43" i="31"/>
  <c r="E43" i="31"/>
  <c r="M43" i="42"/>
  <c r="E43" i="42"/>
  <c r="M43" i="58"/>
  <c r="E43" i="58"/>
  <c r="M43" i="57"/>
  <c r="E43" i="57"/>
  <c r="M43" i="27"/>
  <c r="E43" i="27"/>
  <c r="V44" i="52" l="1"/>
  <c r="R44" i="52"/>
  <c r="R44" i="41"/>
  <c r="R44" i="61"/>
  <c r="R44" i="35"/>
  <c r="V44" i="64"/>
  <c r="V44" i="29"/>
  <c r="V43" i="40"/>
  <c r="V44" i="31"/>
  <c r="V18" i="27"/>
  <c r="V45" i="27" s="1"/>
  <c r="V18" i="67"/>
  <c r="V45" i="67" s="1"/>
  <c r="V18" i="52"/>
  <c r="V45" i="52" s="1"/>
  <c r="V44" i="57"/>
  <c r="V44" i="28"/>
  <c r="V18" i="41"/>
  <c r="V45" i="41" s="1"/>
  <c r="V44" i="42"/>
  <c r="V44" i="49"/>
  <c r="V18" i="61"/>
  <c r="V45" i="61" s="1"/>
  <c r="V44" i="46"/>
  <c r="V44" i="39"/>
  <c r="V18" i="36"/>
  <c r="V45" i="36" s="1"/>
  <c r="V43" i="57"/>
  <c r="V43" i="31"/>
  <c r="V43" i="28"/>
  <c r="V43" i="64"/>
  <c r="V43" i="29"/>
  <c r="V18" i="42"/>
  <c r="V45" i="42" s="1"/>
  <c r="V18" i="46"/>
  <c r="V45" i="46" s="1"/>
  <c r="V18" i="49"/>
  <c r="V45" i="49" s="1"/>
  <c r="V18" i="39"/>
  <c r="V45" i="39" s="1"/>
  <c r="V43" i="47"/>
  <c r="V43" i="58"/>
  <c r="V43" i="50"/>
  <c r="V43" i="35"/>
  <c r="V43" i="44"/>
  <c r="V44" i="47"/>
  <c r="V44" i="40"/>
  <c r="V18" i="57"/>
  <c r="V45" i="57" s="1"/>
  <c r="V18" i="31"/>
  <c r="V45" i="31" s="1"/>
  <c r="V18" i="28"/>
  <c r="V45" i="28" s="1"/>
  <c r="V18" i="64"/>
  <c r="V45" i="64" s="1"/>
  <c r="V18" i="29"/>
  <c r="V45" i="29" s="1"/>
  <c r="V43" i="27"/>
  <c r="V43" i="67"/>
  <c r="V43" i="61"/>
  <c r="V43" i="36"/>
  <c r="V43" i="52"/>
  <c r="V44" i="58"/>
  <c r="V44" i="50"/>
  <c r="V44" i="44"/>
  <c r="V18" i="47"/>
  <c r="V45" i="47" s="1"/>
  <c r="V18" i="40"/>
  <c r="V45" i="40" s="1"/>
  <c r="V43" i="42"/>
  <c r="V43" i="46"/>
  <c r="V43" i="49"/>
  <c r="V43" i="39"/>
  <c r="V44" i="27"/>
  <c r="V44" i="67"/>
  <c r="V44" i="36"/>
  <c r="V18" i="58"/>
  <c r="V45" i="58" s="1"/>
  <c r="V18" i="50"/>
  <c r="V45" i="50" s="1"/>
  <c r="V18" i="35"/>
  <c r="V45" i="35" s="1"/>
  <c r="V18" i="44"/>
  <c r="V45" i="44" s="1"/>
  <c r="V43" i="41"/>
  <c r="B52" i="67"/>
  <c r="B51" i="67"/>
  <c r="M40" i="67"/>
  <c r="E40" i="67"/>
  <c r="R39" i="67"/>
  <c r="AD37" i="67"/>
  <c r="V37" i="67"/>
  <c r="V35" i="67"/>
  <c r="G35" i="67"/>
  <c r="AD33" i="67"/>
  <c r="G33" i="67"/>
  <c r="C33" i="67"/>
  <c r="V31" i="67"/>
  <c r="G31" i="67"/>
  <c r="C31" i="67"/>
  <c r="W25" i="67"/>
  <c r="W52" i="67" s="1"/>
  <c r="G31" i="52"/>
  <c r="G31" i="36"/>
  <c r="G31" i="35"/>
  <c r="G31" i="40"/>
  <c r="G31" i="44"/>
  <c r="G31" i="64"/>
  <c r="G31" i="49"/>
  <c r="G31" i="29"/>
  <c r="G31" i="39"/>
  <c r="G31" i="61"/>
  <c r="G31" i="41"/>
  <c r="G31" i="42"/>
  <c r="G31" i="58"/>
  <c r="G31" i="57"/>
  <c r="G31" i="31"/>
  <c r="G31" i="28"/>
  <c r="G31" i="47"/>
  <c r="G31" i="46"/>
  <c r="G31" i="50"/>
  <c r="G31" i="27"/>
  <c r="W52" i="57"/>
  <c r="B52" i="52"/>
  <c r="B52" i="36"/>
  <c r="B52" i="35"/>
  <c r="B52" i="40"/>
  <c r="B52" i="44"/>
  <c r="B52" i="64"/>
  <c r="B52" i="49"/>
  <c r="B52" i="29"/>
  <c r="B52" i="39"/>
  <c r="B52" i="61"/>
  <c r="B52" i="41"/>
  <c r="B52" i="42"/>
  <c r="B52" i="58"/>
  <c r="B52" i="57"/>
  <c r="B52" i="31"/>
  <c r="B52" i="28"/>
  <c r="B52" i="47"/>
  <c r="B52" i="46"/>
  <c r="B52" i="50"/>
  <c r="B52" i="27"/>
  <c r="G35" i="52"/>
  <c r="G35" i="36"/>
  <c r="G35" i="35"/>
  <c r="G35" i="40"/>
  <c r="G35" i="44"/>
  <c r="G35" i="64"/>
  <c r="G35" i="49"/>
  <c r="G35" i="29"/>
  <c r="G35" i="39"/>
  <c r="G35" i="61"/>
  <c r="G35" i="41"/>
  <c r="G35" i="42"/>
  <c r="G35" i="58"/>
  <c r="G35" i="57"/>
  <c r="G35" i="31"/>
  <c r="G35" i="28"/>
  <c r="G35" i="47"/>
  <c r="G35" i="46"/>
  <c r="G35" i="50"/>
  <c r="G35" i="27"/>
  <c r="G33" i="52"/>
  <c r="G33" i="36"/>
  <c r="G33" i="35"/>
  <c r="G33" i="40"/>
  <c r="G33" i="44"/>
  <c r="G33" i="64"/>
  <c r="G33" i="49"/>
  <c r="G33" i="29"/>
  <c r="G33" i="39"/>
  <c r="G33" i="61"/>
  <c r="G33" i="41"/>
  <c r="G33" i="42"/>
  <c r="G33" i="58"/>
  <c r="G33" i="57"/>
  <c r="G33" i="31"/>
  <c r="G33" i="28"/>
  <c r="G33" i="47"/>
  <c r="G33" i="46"/>
  <c r="G33" i="50"/>
  <c r="G33" i="27"/>
  <c r="V13" i="67" l="1"/>
  <c r="R24" i="67"/>
  <c r="R51" i="67" s="1"/>
  <c r="R40" i="67"/>
  <c r="R24" i="58" l="1"/>
  <c r="V13" i="58"/>
  <c r="V13" i="64"/>
  <c r="R24" i="64"/>
  <c r="V13" i="31"/>
  <c r="R24" i="31"/>
  <c r="V13" i="39"/>
  <c r="R24" i="39"/>
  <c r="V13" i="27"/>
  <c r="R24" i="27"/>
  <c r="V40" i="67"/>
  <c r="V24" i="67"/>
  <c r="V51" i="67" s="1"/>
  <c r="V13" i="42"/>
  <c r="R24" i="42"/>
  <c r="R24" i="44"/>
  <c r="V13" i="44"/>
  <c r="V13" i="29"/>
  <c r="R24" i="29"/>
  <c r="R24" i="40"/>
  <c r="V13" i="40"/>
  <c r="R24" i="47"/>
  <c r="V13" i="47"/>
  <c r="V13" i="57"/>
  <c r="R24" i="57"/>
  <c r="V13" i="41"/>
  <c r="R24" i="41"/>
  <c r="V13" i="49"/>
  <c r="R24" i="49"/>
  <c r="R24" i="35"/>
  <c r="V13" i="35"/>
  <c r="R24" i="50"/>
  <c r="V13" i="50"/>
  <c r="V13" i="28"/>
  <c r="R24" i="28"/>
  <c r="V13" i="36"/>
  <c r="R24" i="36"/>
  <c r="V13" i="61"/>
  <c r="R24" i="61"/>
  <c r="V13" i="52"/>
  <c r="R24" i="52"/>
  <c r="V13" i="46"/>
  <c r="R24" i="46"/>
  <c r="R40" i="27"/>
  <c r="R40" i="52"/>
  <c r="R40" i="36"/>
  <c r="R40" i="35"/>
  <c r="R40" i="40"/>
  <c r="R40" i="44"/>
  <c r="R40" i="64"/>
  <c r="R40" i="49"/>
  <c r="R40" i="29"/>
  <c r="R40" i="39"/>
  <c r="R40" i="61"/>
  <c r="R40" i="41"/>
  <c r="R40" i="42"/>
  <c r="R40" i="58"/>
  <c r="R40" i="57"/>
  <c r="R40" i="31"/>
  <c r="R40" i="28"/>
  <c r="R40" i="47"/>
  <c r="R40" i="46"/>
  <c r="R40" i="50"/>
  <c r="M40" i="27"/>
  <c r="M40" i="52"/>
  <c r="M40" i="36"/>
  <c r="M40" i="35"/>
  <c r="M40" i="40"/>
  <c r="M40" i="44"/>
  <c r="M40" i="64"/>
  <c r="M40" i="49"/>
  <c r="M40" i="29"/>
  <c r="M40" i="39"/>
  <c r="M40" i="61"/>
  <c r="M40" i="41"/>
  <c r="M40" i="42"/>
  <c r="M40" i="58"/>
  <c r="M40" i="57"/>
  <c r="M40" i="31"/>
  <c r="M40" i="28"/>
  <c r="M40" i="47"/>
  <c r="M40" i="46"/>
  <c r="M40" i="50"/>
  <c r="E40" i="27"/>
  <c r="E40" i="52"/>
  <c r="E40" i="36"/>
  <c r="E40" i="35"/>
  <c r="E40" i="40"/>
  <c r="E40" i="44"/>
  <c r="E40" i="64"/>
  <c r="E40" i="49"/>
  <c r="E40" i="29"/>
  <c r="E40" i="39"/>
  <c r="E40" i="61"/>
  <c r="E40" i="41"/>
  <c r="E40" i="42"/>
  <c r="E40" i="58"/>
  <c r="E40" i="57"/>
  <c r="E40" i="31"/>
  <c r="E40" i="28"/>
  <c r="E40" i="47"/>
  <c r="E40" i="46"/>
  <c r="E40" i="50"/>
  <c r="B51" i="52"/>
  <c r="B51" i="36"/>
  <c r="B51" i="35"/>
  <c r="B51" i="40"/>
  <c r="B51" i="44"/>
  <c r="B51" i="64"/>
  <c r="B51" i="49"/>
  <c r="B51" i="29"/>
  <c r="B51" i="39"/>
  <c r="B51" i="61"/>
  <c r="B51" i="41"/>
  <c r="B51" i="42"/>
  <c r="B51" i="58"/>
  <c r="B51" i="57"/>
  <c r="B51" i="31"/>
  <c r="B51" i="28"/>
  <c r="B51" i="47"/>
  <c r="B51" i="46"/>
  <c r="B51" i="50"/>
  <c r="B51" i="27"/>
  <c r="R39" i="64"/>
  <c r="AD37" i="64"/>
  <c r="V37" i="64"/>
  <c r="V35" i="64"/>
  <c r="AD33" i="64"/>
  <c r="C33" i="64"/>
  <c r="V31" i="64"/>
  <c r="C31" i="64"/>
  <c r="W25" i="64"/>
  <c r="W52" i="64" s="1"/>
  <c r="W25" i="61"/>
  <c r="W52" i="61" s="1"/>
  <c r="W25" i="29"/>
  <c r="W52" i="29" s="1"/>
  <c r="W25" i="27"/>
  <c r="W52" i="27" s="1"/>
  <c r="W25" i="31"/>
  <c r="W52" i="31" s="1"/>
  <c r="W25" i="35"/>
  <c r="W52" i="35" s="1"/>
  <c r="W25" i="36"/>
  <c r="W52" i="36" s="1"/>
  <c r="W25" i="39"/>
  <c r="W52" i="39" s="1"/>
  <c r="W25" i="40"/>
  <c r="W52" i="40" s="1"/>
  <c r="W25" i="41"/>
  <c r="W52" i="41" s="1"/>
  <c r="W25" i="42"/>
  <c r="W52" i="42" s="1"/>
  <c r="W25" i="44"/>
  <c r="W52" i="44" s="1"/>
  <c r="W25" i="46"/>
  <c r="W52" i="46" s="1"/>
  <c r="W25" i="47"/>
  <c r="W52" i="47" s="1"/>
  <c r="W25" i="49"/>
  <c r="W52" i="49" s="1"/>
  <c r="W25" i="50"/>
  <c r="W52" i="50" s="1"/>
  <c r="W25" i="52"/>
  <c r="W52" i="52" s="1"/>
  <c r="W25" i="58"/>
  <c r="W52" i="58" s="1"/>
  <c r="W25" i="28"/>
  <c r="W52" i="28" s="1"/>
  <c r="R39" i="61"/>
  <c r="AD37" i="61"/>
  <c r="V37" i="61"/>
  <c r="V35" i="61"/>
  <c r="AD33" i="61"/>
  <c r="C33" i="61"/>
  <c r="V31" i="61"/>
  <c r="C31" i="61"/>
  <c r="R39" i="58"/>
  <c r="AD37" i="58"/>
  <c r="V37" i="58"/>
  <c r="V35" i="58"/>
  <c r="AD33" i="58"/>
  <c r="C33" i="58"/>
  <c r="V31" i="58"/>
  <c r="C31" i="58"/>
  <c r="R39" i="57"/>
  <c r="AD37" i="57"/>
  <c r="V37" i="57"/>
  <c r="V35" i="57"/>
  <c r="AD33" i="57"/>
  <c r="C33" i="57"/>
  <c r="V31" i="57"/>
  <c r="C31" i="57"/>
  <c r="R39" i="52"/>
  <c r="AD37" i="52"/>
  <c r="V37" i="52"/>
  <c r="V35" i="52"/>
  <c r="AD33" i="52"/>
  <c r="C33" i="52"/>
  <c r="V31" i="52"/>
  <c r="C31" i="52"/>
  <c r="R39" i="50"/>
  <c r="AD37" i="50"/>
  <c r="V37" i="50"/>
  <c r="V35" i="50"/>
  <c r="AD33" i="50"/>
  <c r="C33" i="50"/>
  <c r="V31" i="50"/>
  <c r="C31" i="50"/>
  <c r="R39" i="49"/>
  <c r="AD37" i="49"/>
  <c r="V37" i="49"/>
  <c r="V35" i="49"/>
  <c r="AD33" i="49"/>
  <c r="C33" i="49"/>
  <c r="V31" i="49"/>
  <c r="C31" i="49"/>
  <c r="R39" i="47"/>
  <c r="AD37" i="47"/>
  <c r="V37" i="47"/>
  <c r="V35" i="47"/>
  <c r="AD33" i="47"/>
  <c r="C33" i="47"/>
  <c r="V31" i="47"/>
  <c r="C31" i="47"/>
  <c r="R39" i="46"/>
  <c r="AD37" i="46"/>
  <c r="V37" i="46"/>
  <c r="V35" i="46"/>
  <c r="AD33" i="46"/>
  <c r="C33" i="46"/>
  <c r="V31" i="46"/>
  <c r="C31" i="46"/>
  <c r="R39" i="44"/>
  <c r="AD37" i="44"/>
  <c r="V37" i="44"/>
  <c r="V35" i="44"/>
  <c r="AD33" i="44"/>
  <c r="C33" i="44"/>
  <c r="V31" i="44"/>
  <c r="C31" i="44"/>
  <c r="R39" i="42"/>
  <c r="AD37" i="42"/>
  <c r="V37" i="42"/>
  <c r="V35" i="42"/>
  <c r="AD33" i="42"/>
  <c r="C33" i="42"/>
  <c r="V31" i="42"/>
  <c r="C31" i="42"/>
  <c r="R39" i="41"/>
  <c r="AD37" i="41"/>
  <c r="V37" i="41"/>
  <c r="V35" i="41"/>
  <c r="AD33" i="41"/>
  <c r="C33" i="41"/>
  <c r="V31" i="41"/>
  <c r="C31" i="41"/>
  <c r="R39" i="40"/>
  <c r="AD37" i="40"/>
  <c r="V37" i="40"/>
  <c r="V35" i="40"/>
  <c r="AD33" i="40"/>
  <c r="C33" i="40"/>
  <c r="V31" i="40"/>
  <c r="C31" i="40"/>
  <c r="R39" i="39"/>
  <c r="AD37" i="39"/>
  <c r="V37" i="39"/>
  <c r="V35" i="39"/>
  <c r="AD33" i="39"/>
  <c r="C33" i="39"/>
  <c r="V31" i="39"/>
  <c r="C31" i="39"/>
  <c r="R39" i="36"/>
  <c r="AD37" i="36"/>
  <c r="V37" i="36"/>
  <c r="V35" i="36"/>
  <c r="AD33" i="36"/>
  <c r="C33" i="36"/>
  <c r="V31" i="36"/>
  <c r="C31" i="36"/>
  <c r="R39" i="35"/>
  <c r="AD37" i="35"/>
  <c r="V37" i="35"/>
  <c r="V35" i="35"/>
  <c r="AD33" i="35"/>
  <c r="C33" i="35"/>
  <c r="V31" i="35"/>
  <c r="C31" i="35"/>
  <c r="R39" i="31"/>
  <c r="AD37" i="31"/>
  <c r="V37" i="31"/>
  <c r="V35" i="31"/>
  <c r="AD33" i="31"/>
  <c r="C33" i="31"/>
  <c r="V31" i="31"/>
  <c r="C31" i="31"/>
  <c r="V31" i="27"/>
  <c r="AD33" i="29"/>
  <c r="V31" i="29"/>
  <c r="R39" i="29"/>
  <c r="AD37" i="29"/>
  <c r="V37" i="29"/>
  <c r="V35" i="29"/>
  <c r="C33" i="29"/>
  <c r="C31" i="29"/>
  <c r="R39" i="28"/>
  <c r="AD37" i="28"/>
  <c r="V37" i="28"/>
  <c r="V35" i="28"/>
  <c r="AD33" i="28"/>
  <c r="C33" i="28"/>
  <c r="V31" i="28"/>
  <c r="C31" i="28"/>
  <c r="R39" i="27"/>
  <c r="AD37" i="27"/>
  <c r="V37" i="27"/>
  <c r="V35" i="27"/>
  <c r="AD33" i="27"/>
  <c r="C33" i="27"/>
  <c r="C31" i="27"/>
  <c r="V24" i="40" l="1"/>
  <c r="V51" i="40" s="1"/>
  <c r="V40" i="40"/>
  <c r="V40" i="44"/>
  <c r="V24" i="44"/>
  <c r="V51" i="44" s="1"/>
  <c r="V40" i="58"/>
  <c r="V24" i="58"/>
  <c r="V51" i="58" s="1"/>
  <c r="V40" i="52"/>
  <c r="V24" i="52"/>
  <c r="V51" i="52" s="1"/>
  <c r="V40" i="36"/>
  <c r="V24" i="36"/>
  <c r="V51" i="36" s="1"/>
  <c r="V24" i="57"/>
  <c r="V51" i="57" s="1"/>
  <c r="V40" i="57"/>
  <c r="V40" i="39"/>
  <c r="V24" i="39"/>
  <c r="V51" i="39" s="1"/>
  <c r="V24" i="47"/>
  <c r="V51" i="47" s="1"/>
  <c r="V40" i="47"/>
  <c r="V40" i="61"/>
  <c r="V24" i="61"/>
  <c r="V51" i="61" s="1"/>
  <c r="V24" i="28"/>
  <c r="V51" i="28" s="1"/>
  <c r="V40" i="28"/>
  <c r="V40" i="49"/>
  <c r="V24" i="49"/>
  <c r="V51" i="49" s="1"/>
  <c r="V24" i="29"/>
  <c r="V51" i="29" s="1"/>
  <c r="V40" i="29"/>
  <c r="V24" i="31"/>
  <c r="V51" i="31" s="1"/>
  <c r="V40" i="31"/>
  <c r="V40" i="50"/>
  <c r="V24" i="50"/>
  <c r="V51" i="50" s="1"/>
  <c r="V40" i="46"/>
  <c r="V24" i="46"/>
  <c r="V51" i="46" s="1"/>
  <c r="V40" i="41"/>
  <c r="V24" i="41"/>
  <c r="V51" i="41" s="1"/>
  <c r="V40" i="42"/>
  <c r="V24" i="42"/>
  <c r="V51" i="42" s="1"/>
  <c r="V40" i="27"/>
  <c r="V24" i="27"/>
  <c r="V51" i="27" s="1"/>
  <c r="V24" i="64"/>
  <c r="V51" i="64" s="1"/>
  <c r="V40" i="64"/>
  <c r="V40" i="35"/>
  <c r="V24" i="35"/>
  <c r="V51" i="35" s="1"/>
  <c r="R51" i="31"/>
  <c r="R51" i="40"/>
  <c r="R51" i="29"/>
  <c r="R51" i="36"/>
  <c r="R51" i="28"/>
  <c r="R51" i="42"/>
  <c r="R51" i="52"/>
  <c r="R51" i="46"/>
  <c r="R51" i="61"/>
  <c r="R51" i="44"/>
  <c r="R51" i="39"/>
  <c r="R51" i="35"/>
  <c r="R51" i="41"/>
  <c r="R51" i="50"/>
  <c r="R51" i="47"/>
  <c r="R51" i="58"/>
  <c r="R51" i="27"/>
  <c r="R51" i="64"/>
  <c r="R51" i="57"/>
  <c r="R51" i="49"/>
  <c r="B40" i="67" l="1"/>
  <c r="B40" i="49"/>
  <c r="B40" i="28"/>
  <c r="B40" i="39"/>
  <c r="B40" i="35"/>
  <c r="B40" i="58"/>
  <c r="B40" i="40"/>
  <c r="B40" i="61"/>
  <c r="B40" i="46"/>
  <c r="B40" i="29"/>
  <c r="B40" i="47"/>
  <c r="B40" i="64"/>
  <c r="B40" i="31"/>
  <c r="B40" i="52"/>
  <c r="B40" i="42"/>
  <c r="B40" i="44"/>
  <c r="B40" i="57"/>
  <c r="B40" i="36"/>
  <c r="B40" i="41"/>
  <c r="B40" i="50"/>
  <c r="B40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3" authorId="0" shapeId="0" xr:uid="{5C1B0CB1-97B9-4874-AF31-9A2EEEE1AB4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납품일자</t>
        </r>
      </text>
    </comment>
  </commentList>
</comments>
</file>

<file path=xl/sharedStrings.xml><?xml version="1.0" encoding="utf-8"?>
<sst xmlns="http://schemas.openxmlformats.org/spreadsheetml/2006/main" count="1323" uniqueCount="124">
  <si>
    <t>공
급
받
는
자</t>
    <phoneticPr fontId="5" type="noConversion"/>
  </si>
  <si>
    <t>상  호
(법인명)</t>
    <phoneticPr fontId="5" type="noConversion"/>
  </si>
  <si>
    <t>공
급
자</t>
    <phoneticPr fontId="5" type="noConversion"/>
  </si>
  <si>
    <t>등록번호</t>
    <phoneticPr fontId="5" type="noConversion"/>
  </si>
  <si>
    <t>사업장
주  소</t>
    <phoneticPr fontId="5" type="noConversion"/>
  </si>
  <si>
    <t>성 명</t>
    <phoneticPr fontId="5" type="noConversion"/>
  </si>
  <si>
    <t>합계금액
(VAT포함)</t>
    <phoneticPr fontId="5" type="noConversion"/>
  </si>
  <si>
    <t>월</t>
    <phoneticPr fontId="5" type="noConversion"/>
  </si>
  <si>
    <t>일</t>
    <phoneticPr fontId="5" type="noConversion"/>
  </si>
  <si>
    <t>품               목</t>
    <phoneticPr fontId="5" type="noConversion"/>
  </si>
  <si>
    <t>년</t>
    <phoneticPr fontId="5" type="noConversion"/>
  </si>
  <si>
    <r>
      <t>거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래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명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세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표</t>
    </r>
    <r>
      <rPr>
        <b/>
        <sz val="9"/>
        <color indexed="12"/>
        <rFont val="굴림체"/>
        <family val="3"/>
        <charset val="129"/>
      </rPr>
      <t xml:space="preserve"> </t>
    </r>
    <r>
      <rPr>
        <sz val="10"/>
        <color indexed="12"/>
        <rFont val="굴림체"/>
        <family val="3"/>
        <charset val="129"/>
      </rPr>
      <t>(공급받는자 보관용)</t>
    </r>
    <phoneticPr fontId="5" type="noConversion"/>
  </si>
  <si>
    <r>
      <t>거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래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명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세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표</t>
    </r>
    <r>
      <rPr>
        <b/>
        <sz val="9"/>
        <color indexed="10"/>
        <rFont val="굴림체"/>
        <family val="3"/>
        <charset val="129"/>
      </rPr>
      <t xml:space="preserve"> </t>
    </r>
    <r>
      <rPr>
        <sz val="10"/>
        <color indexed="10"/>
        <rFont val="굴림체"/>
        <family val="3"/>
        <charset val="129"/>
      </rPr>
      <t>(공급자 보관용)</t>
    </r>
    <phoneticPr fontId="5" type="noConversion"/>
  </si>
  <si>
    <t>업 태</t>
    <phoneticPr fontId="5" type="noConversion"/>
  </si>
  <si>
    <t>종 목</t>
    <phoneticPr fontId="5" type="noConversion"/>
  </si>
  <si>
    <t>상 호
(법인명)</t>
    <phoneticPr fontId="5" type="noConversion"/>
  </si>
  <si>
    <t>입수</t>
    <phoneticPr fontId="5" type="noConversion"/>
  </si>
  <si>
    <t>3자물류 (더원물류)
담당자 박병선이사  010-4448-1456</t>
    <phoneticPr fontId="5" type="noConversion"/>
  </si>
  <si>
    <t>비고</t>
    <phoneticPr fontId="5" type="noConversion"/>
  </si>
  <si>
    <t>강원도 원주시 문막읍 원문로 2570</t>
    <phoneticPr fontId="5" type="noConversion"/>
  </si>
  <si>
    <t>원주센터</t>
    <phoneticPr fontId="5" type="noConversion"/>
  </si>
  <si>
    <t>경기도 화성시 팔탄면 온천로 118</t>
    <phoneticPr fontId="5" type="noConversion"/>
  </si>
  <si>
    <t>경상남도 진주시 정촌면 화개천로 40</t>
    <phoneticPr fontId="5" type="noConversion"/>
  </si>
  <si>
    <t>충청북도 청주시 서원구 청남로 801</t>
    <phoneticPr fontId="5" type="noConversion"/>
  </si>
  <si>
    <t>서울특별시 송파구 송파대로 55</t>
    <phoneticPr fontId="5" type="noConversion"/>
  </si>
  <si>
    <t>경상남도 김해시 상동로 680-77</t>
    <phoneticPr fontId="5" type="noConversion"/>
  </si>
  <si>
    <t>경기도 김포시 고촌읍 아라육로57번길 108</t>
    <phoneticPr fontId="5" type="noConversion"/>
  </si>
  <si>
    <t>경기 고양시 일산동구
 사리현로 101-11</t>
    <phoneticPr fontId="5" type="noConversion"/>
  </si>
  <si>
    <t xml:space="preserve">인천광역시 미추홀구 염전로 
144번길 25 </t>
    <phoneticPr fontId="5" type="noConversion"/>
  </si>
  <si>
    <t xml:space="preserve">강원 강릉시 회산로 171-117 </t>
    <phoneticPr fontId="5" type="noConversion"/>
  </si>
  <si>
    <t>충청남도 공주시 월미동
월미농공단지길 55</t>
    <phoneticPr fontId="5" type="noConversion"/>
  </si>
  <si>
    <t>경기도 곤지암읍 신대길 134-14
A동 1층</t>
    <phoneticPr fontId="5" type="noConversion"/>
  </si>
  <si>
    <t>경상남도 김해시 주촌면
서부로 1293번길 29</t>
    <phoneticPr fontId="5" type="noConversion"/>
  </si>
  <si>
    <t>경기도 용인시 기흥구 하갈로
15번길 34</t>
    <phoneticPr fontId="5" type="noConversion"/>
  </si>
  <si>
    <t>경기도 오산시 수목원로88번길33,
4층</t>
  </si>
  <si>
    <t>경상북도 경산시 진량읍 일연로 689</t>
    <phoneticPr fontId="5" type="noConversion"/>
  </si>
  <si>
    <t>강릉센터</t>
    <phoneticPr fontId="5" type="noConversion"/>
  </si>
  <si>
    <t>고양센터</t>
    <phoneticPr fontId="5" type="noConversion"/>
  </si>
  <si>
    <t>김포2센터</t>
    <phoneticPr fontId="5" type="noConversion"/>
  </si>
  <si>
    <t>도화센터</t>
    <phoneticPr fontId="5" type="noConversion"/>
  </si>
  <si>
    <t>아신센터</t>
    <phoneticPr fontId="5" type="noConversion"/>
  </si>
  <si>
    <t>신오산1센터</t>
    <phoneticPr fontId="5" type="noConversion"/>
  </si>
  <si>
    <t>발안센터</t>
    <phoneticPr fontId="5" type="noConversion"/>
  </si>
  <si>
    <t>진주센터</t>
    <phoneticPr fontId="5" type="noConversion"/>
  </si>
  <si>
    <t>김해센터</t>
    <phoneticPr fontId="5" type="noConversion"/>
  </si>
  <si>
    <t>경산센터</t>
    <phoneticPr fontId="5" type="noConversion"/>
  </si>
  <si>
    <t>해인센터</t>
    <phoneticPr fontId="5" type="noConversion"/>
  </si>
  <si>
    <t>송파센터</t>
    <phoneticPr fontId="5" type="noConversion"/>
  </si>
  <si>
    <t>곤지암센터</t>
    <phoneticPr fontId="5" type="noConversion"/>
  </si>
  <si>
    <t>청주센터</t>
    <phoneticPr fontId="5" type="noConversion"/>
  </si>
  <si>
    <t>공주센터</t>
    <phoneticPr fontId="5" type="noConversion"/>
  </si>
  <si>
    <t>익산센터</t>
    <phoneticPr fontId="5" type="noConversion"/>
  </si>
  <si>
    <t>VV16 (주)지에스리테일원주일배</t>
    <phoneticPr fontId="5" type="noConversion"/>
  </si>
  <si>
    <t>VV69 ㈜지에스리테일강릉일배센터</t>
    <phoneticPr fontId="5" type="noConversion"/>
  </si>
  <si>
    <t>VV63 ㈜지에스리테일고양일배센터</t>
    <phoneticPr fontId="5" type="noConversion"/>
  </si>
  <si>
    <t>VV62 (주)지에스리테일김포2일배</t>
    <phoneticPr fontId="5" type="noConversion"/>
  </si>
  <si>
    <t>VV66 지에스리테일인천도화일배</t>
    <phoneticPr fontId="5" type="noConversion"/>
  </si>
  <si>
    <t>VV03 (주)지에스리테일(아신A)</t>
    <phoneticPr fontId="5" type="noConversion"/>
  </si>
  <si>
    <t>VV85 지에스리테일신오산1저온</t>
    <phoneticPr fontId="5" type="noConversion"/>
  </si>
  <si>
    <t>VV17 (주)지에스리테일발안일배</t>
    <phoneticPr fontId="5" type="noConversion"/>
  </si>
  <si>
    <t>VV25 (주)지에스리테일진주일배</t>
    <phoneticPr fontId="5" type="noConversion"/>
  </si>
  <si>
    <t>VV57 (주)지에스리테일김해일배</t>
    <phoneticPr fontId="5" type="noConversion"/>
  </si>
  <si>
    <t>VV83 지에스리테일경산저온</t>
    <phoneticPr fontId="5" type="noConversion"/>
  </si>
  <si>
    <t>VV20 (주)지에스리테일(해인CVS)</t>
    <phoneticPr fontId="5" type="noConversion"/>
  </si>
  <si>
    <t>VV53 (주)지에스리테일송파일배</t>
    <phoneticPr fontId="5" type="noConversion"/>
  </si>
  <si>
    <t>VV34 (주)지에스리테일청주일배</t>
    <phoneticPr fontId="5" type="noConversion"/>
  </si>
  <si>
    <t>VV04 (주)지에스리테일공주일배</t>
    <phoneticPr fontId="5" type="noConversion"/>
  </si>
  <si>
    <t>VV65 ㈜지에스리테일익산일배</t>
    <phoneticPr fontId="5" type="noConversion"/>
  </si>
  <si>
    <t>총수량</t>
    <phoneticPr fontId="5" type="noConversion"/>
  </si>
  <si>
    <t>포천센터</t>
    <phoneticPr fontId="5" type="noConversion"/>
  </si>
  <si>
    <t>경기도 포천시 설운동 477 지하 2층</t>
    <phoneticPr fontId="5" type="noConversion"/>
  </si>
  <si>
    <t>VV90 (주)지에스리테일포천저온</t>
    <phoneticPr fontId="5" type="noConversion"/>
  </si>
  <si>
    <t>VV92 (주)지에스리테일신제주저온</t>
    <phoneticPr fontId="5" type="noConversion"/>
  </si>
  <si>
    <t>신제주센터</t>
    <phoneticPr fontId="5" type="noConversion"/>
  </si>
  <si>
    <t>제주특별자치도 제주시 애월읍 신상로 195</t>
    <phoneticPr fontId="5" type="noConversion"/>
  </si>
  <si>
    <t>VV93 (주)지에스리테일곤지암센터</t>
    <phoneticPr fontId="5" type="noConversion"/>
  </si>
  <si>
    <t>신광주센터</t>
    <phoneticPr fontId="5" type="noConversion"/>
  </si>
  <si>
    <t>VV95 (주)지에스리테일신광주저온</t>
    <phoneticPr fontId="5" type="noConversion"/>
  </si>
  <si>
    <t>광주광역시 광산구 평동산단7번로 1,지하2층</t>
    <phoneticPr fontId="5" type="noConversion"/>
  </si>
  <si>
    <t>VV98 (주)지에스리테일고촌저온</t>
    <phoneticPr fontId="5" type="noConversion"/>
  </si>
  <si>
    <t>고촌센터</t>
    <phoneticPr fontId="5" type="noConversion"/>
  </si>
  <si>
    <t>익산센터 전북특별자치도 익산시 왕궁면 광암리 6001-1</t>
    <phoneticPr fontId="5" type="noConversion"/>
  </si>
  <si>
    <t>경기도 김포시 고촌읍 아라육로 230번길 16, 지상3층</t>
    <phoneticPr fontId="5" type="noConversion"/>
  </si>
  <si>
    <t>그린스무디</t>
    <phoneticPr fontId="5" type="noConversion"/>
  </si>
  <si>
    <t>딸기바나나스무디</t>
    <phoneticPr fontId="5" type="noConversion"/>
  </si>
  <si>
    <t>딸기블루베리망고스무디</t>
    <phoneticPr fontId="5" type="noConversion"/>
  </si>
  <si>
    <t>망고바나나스무디</t>
    <phoneticPr fontId="5" type="noConversion"/>
  </si>
  <si>
    <t>박스</t>
    <phoneticPr fontId="5" type="noConversion"/>
  </si>
  <si>
    <t>수량</t>
    <phoneticPr fontId="5" type="noConversion"/>
  </si>
  <si>
    <t>총합계</t>
  </si>
  <si>
    <t>129-86-29530</t>
    <phoneticPr fontId="5" type="noConversion"/>
  </si>
  <si>
    <t>㈜네이쳐앤휴먼지피</t>
    <phoneticPr fontId="5" type="noConversion"/>
  </si>
  <si>
    <t>강혜완</t>
    <phoneticPr fontId="5" type="noConversion"/>
  </si>
  <si>
    <t>경기 성남 분당 황새울로311번길 14, 801호</t>
    <phoneticPr fontId="5" type="noConversion"/>
  </si>
  <si>
    <t>제조</t>
    <phoneticPr fontId="5" type="noConversion"/>
  </si>
  <si>
    <t>임가공외</t>
    <phoneticPr fontId="5" type="noConversion"/>
  </si>
  <si>
    <t xml:space="preserve"> </t>
    <phoneticPr fontId="5" type="noConversion"/>
  </si>
  <si>
    <t>열 레이블</t>
  </si>
  <si>
    <t>딸기블루베리망고스무디</t>
  </si>
  <si>
    <t>28.04.20</t>
    <phoneticPr fontId="5" type="noConversion"/>
  </si>
  <si>
    <t>28.04.28</t>
    <phoneticPr fontId="5" type="noConversion"/>
  </si>
  <si>
    <t>딸기바나나스무디</t>
  </si>
  <si>
    <t>네이쳐)수박스무디</t>
    <phoneticPr fontId="5" type="noConversion"/>
  </si>
  <si>
    <t>네이쳐)카페라떼스무디</t>
    <phoneticPr fontId="5" type="noConversion"/>
  </si>
  <si>
    <t>28.07.30</t>
    <phoneticPr fontId="5" type="noConversion"/>
  </si>
  <si>
    <t>28.07.30</t>
  </si>
  <si>
    <t>27.09.06</t>
    <phoneticPr fontId="5" type="noConversion"/>
  </si>
  <si>
    <t>VV63 ㈜지에스리테일고양일배센터</t>
  </si>
  <si>
    <t>27.09.16</t>
    <phoneticPr fontId="5" type="noConversion"/>
  </si>
  <si>
    <t>망고바나나스무디</t>
  </si>
  <si>
    <t>VV53 (주)지에스리테일송파일배</t>
  </si>
  <si>
    <t>28.10.01</t>
    <phoneticPr fontId="5" type="noConversion"/>
  </si>
  <si>
    <t>27.09.12</t>
    <phoneticPr fontId="5" type="noConversion"/>
  </si>
  <si>
    <t>네이쳐)수박스무디</t>
  </si>
  <si>
    <t>VV62 (주)지에스리테일김포2일배</t>
  </si>
  <si>
    <t>VV16 (주)지에스리테일원주일배</t>
  </si>
  <si>
    <t>28.09.17</t>
    <phoneticPr fontId="5" type="noConversion"/>
  </si>
  <si>
    <t>28.09.20</t>
    <phoneticPr fontId="5" type="noConversion"/>
  </si>
  <si>
    <t>28.10.06</t>
    <phoneticPr fontId="5" type="noConversion"/>
  </si>
  <si>
    <t>10/14</t>
  </si>
  <si>
    <t>10/15납품</t>
  </si>
  <si>
    <t>VV95 (주)지에스리테일신광주저온</t>
  </si>
  <si>
    <t>VV83 지에스리테일경산저온</t>
  </si>
  <si>
    <t>VV85 지에스리테일신오산1저온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</si>
</sst>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[Red]\-#,##0\ "/>
    <numFmt numFmtId="177" formatCode="#,##0_ "/>
    <numFmt numFmtId="178" formatCode="mm&quot;월&quot;\ dd&quot;일&quot;"/>
    <numFmt numFmtId="179" formatCode="0_ "/>
  </numFmts>
  <fonts count="2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color indexed="12"/>
      <name val="굴림체"/>
      <family val="3"/>
      <charset val="129"/>
    </font>
    <font>
      <b/>
      <sz val="9"/>
      <color indexed="12"/>
      <name val="굴림체"/>
      <family val="3"/>
      <charset val="129"/>
    </font>
    <font>
      <sz val="10"/>
      <color indexed="12"/>
      <name val="굴림체"/>
      <family val="3"/>
      <charset val="129"/>
    </font>
    <font>
      <sz val="8"/>
      <name val="돋움"/>
      <family val="3"/>
      <charset val="129"/>
    </font>
    <font>
      <sz val="9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20"/>
      <color indexed="10"/>
      <name val="굴림체"/>
      <family val="3"/>
      <charset val="129"/>
    </font>
    <font>
      <b/>
      <sz val="9"/>
      <color indexed="10"/>
      <name val="굴림체"/>
      <family val="3"/>
      <charset val="129"/>
    </font>
    <font>
      <sz val="10"/>
      <color indexed="10"/>
      <name val="굴림체"/>
      <family val="3"/>
      <charset val="129"/>
    </font>
    <font>
      <sz val="11"/>
      <color indexed="10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9"/>
      <name val="굴림체"/>
      <family val="3"/>
      <charset val="129"/>
    </font>
    <font>
      <sz val="8.5"/>
      <color indexed="12"/>
      <name val="굴림체"/>
      <family val="3"/>
      <charset val="129"/>
    </font>
    <font>
      <sz val="8.5"/>
      <color indexed="10"/>
      <name val="굴림체"/>
      <family val="3"/>
      <charset val="129"/>
    </font>
    <font>
      <sz val="11"/>
      <name val="맑은 고딕"/>
      <family val="3"/>
      <charset val="129"/>
    </font>
    <font>
      <sz val="9"/>
      <color theme="1"/>
      <name val="굴림체"/>
      <family val="3"/>
      <charset val="129"/>
    </font>
    <font>
      <sz val="9"/>
      <color rgb="FFEE0000"/>
      <name val="굴림체"/>
      <family val="3"/>
      <charset val="129"/>
    </font>
    <font>
      <sz val="9"/>
      <color rgb="FFFF0000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6">
    <border>
      <left/>
      <right/>
      <top/>
      <bottom/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hair">
        <color indexed="8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10"/>
      </left>
      <right/>
      <top style="thin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 style="thin">
        <color indexed="10"/>
      </bottom>
      <diagonal/>
    </border>
    <border>
      <left/>
      <right style="medium">
        <color indexed="10"/>
      </right>
      <top/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EE0000"/>
      </left>
      <right style="thin">
        <color rgb="FFEE0000"/>
      </right>
      <top style="medium">
        <color rgb="FFEE0000"/>
      </top>
      <bottom style="thin">
        <color rgb="FFEE0000"/>
      </bottom>
      <diagonal/>
    </border>
    <border>
      <left style="thin">
        <color rgb="FFEE0000"/>
      </left>
      <right style="medium">
        <color rgb="FFEE0000"/>
      </right>
      <top style="medium">
        <color rgb="FFEE0000"/>
      </top>
      <bottom style="thin">
        <color rgb="FFEE0000"/>
      </bottom>
      <diagonal/>
    </border>
    <border>
      <left style="thin">
        <color rgb="FFEE0000"/>
      </left>
      <right style="thin">
        <color rgb="FFEE0000"/>
      </right>
      <top style="thin">
        <color rgb="FFEE0000"/>
      </top>
      <bottom style="thin">
        <color rgb="FFEE0000"/>
      </bottom>
      <diagonal/>
    </border>
    <border>
      <left style="thin">
        <color rgb="FFEE0000"/>
      </left>
      <right/>
      <top style="thin">
        <color rgb="FFEE0000"/>
      </top>
      <bottom style="thin">
        <color rgb="FFEE0000"/>
      </bottom>
      <diagonal/>
    </border>
    <border>
      <left/>
      <right/>
      <top style="thin">
        <color rgb="FFEE0000"/>
      </top>
      <bottom style="thin">
        <color rgb="FFEE0000"/>
      </bottom>
      <diagonal/>
    </border>
    <border>
      <left/>
      <right style="medium">
        <color rgb="FFEE0000"/>
      </right>
      <top style="thin">
        <color rgb="FFEE0000"/>
      </top>
      <bottom style="thin">
        <color rgb="FFEE0000"/>
      </bottom>
      <diagonal/>
    </border>
    <border>
      <left style="thin">
        <color rgb="FF0000FF"/>
      </left>
      <right/>
      <top style="thin">
        <color indexed="12"/>
      </top>
      <bottom style="thin">
        <color indexed="12"/>
      </bottom>
      <diagonal/>
    </border>
    <border>
      <left/>
      <right style="thin">
        <color rgb="FF0000FF"/>
      </right>
      <top style="thin">
        <color indexed="12"/>
      </top>
      <bottom style="thin">
        <color indexed="12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indexed="12"/>
      </left>
      <right/>
      <top style="thin">
        <color rgb="FF0000FF"/>
      </top>
      <bottom style="thin">
        <color rgb="FF0000FF"/>
      </bottom>
      <diagonal/>
    </border>
  </borders>
  <cellStyleXfs count="4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26" fillId="0" borderId="0">
      <alignment vertical="center"/>
    </xf>
  </cellStyleXfs>
  <cellXfs count="269">
    <xf numFmtId="0" fontId="0" fillId="0" borderId="0" xfId="0">
      <alignment vertical="center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center" vertical="center"/>
      <protection locked="0"/>
    </xf>
    <xf numFmtId="0" fontId="1" fillId="2" borderId="0" xfId="1" applyFill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10" fillId="2" borderId="3" xfId="1" applyFont="1" applyFill="1" applyBorder="1" applyAlignment="1" applyProtection="1">
      <alignment horizontal="center" vertical="center" shrinkToFit="1"/>
      <protection locked="0"/>
    </xf>
    <xf numFmtId="0" fontId="10" fillId="2" borderId="4" xfId="1" applyFont="1" applyFill="1" applyBorder="1" applyAlignment="1" applyProtection="1">
      <alignment horizontal="center" vertical="center" shrinkToFit="1"/>
      <protection locked="0"/>
    </xf>
    <xf numFmtId="0" fontId="7" fillId="2" borderId="5" xfId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 vertical="center" shrinkToFit="1"/>
      <protection locked="0"/>
    </xf>
    <xf numFmtId="0" fontId="10" fillId="2" borderId="7" xfId="1" applyFont="1" applyFill="1" applyBorder="1" applyAlignment="1" applyProtection="1">
      <alignment horizontal="center" vertical="center" shrinkToFit="1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10" fillId="2" borderId="10" xfId="1" applyFont="1" applyFill="1" applyBorder="1" applyAlignment="1" applyProtection="1">
      <alignment horizontal="center" vertical="center" shrinkToFit="1"/>
      <protection locked="0"/>
    </xf>
    <xf numFmtId="0" fontId="10" fillId="2" borderId="8" xfId="1" applyFont="1" applyFill="1" applyBorder="1" applyAlignment="1">
      <alignment horizontal="center" vertical="center" shrinkToFit="1"/>
    </xf>
    <xf numFmtId="0" fontId="10" fillId="2" borderId="11" xfId="1" applyFont="1" applyFill="1" applyBorder="1" applyAlignment="1" applyProtection="1">
      <alignment vertical="center" shrinkToFit="1"/>
      <protection locked="0"/>
    </xf>
    <xf numFmtId="0" fontId="10" fillId="2" borderId="12" xfId="1" applyFont="1" applyFill="1" applyBorder="1" applyAlignment="1" applyProtection="1">
      <alignment vertical="center" shrinkToFit="1"/>
      <protection locked="0"/>
    </xf>
    <xf numFmtId="0" fontId="10" fillId="2" borderId="13" xfId="1" applyFont="1" applyFill="1" applyBorder="1" applyAlignment="1" applyProtection="1">
      <alignment vertical="center" shrinkToFit="1"/>
      <protection locked="0"/>
    </xf>
    <xf numFmtId="0" fontId="10" fillId="2" borderId="14" xfId="1" applyFont="1" applyFill="1" applyBorder="1" applyAlignment="1">
      <alignment vertical="center" shrinkToFit="1"/>
    </xf>
    <xf numFmtId="0" fontId="10" fillId="2" borderId="14" xfId="1" applyFont="1" applyFill="1" applyBorder="1" applyAlignment="1" applyProtection="1">
      <alignment vertical="center" shrinkToFit="1"/>
      <protection locked="0"/>
    </xf>
    <xf numFmtId="0" fontId="19" fillId="0" borderId="0" xfId="0" applyFont="1">
      <alignment vertical="center"/>
    </xf>
    <xf numFmtId="0" fontId="10" fillId="2" borderId="20" xfId="1" applyFont="1" applyFill="1" applyBorder="1" applyAlignment="1" applyProtection="1">
      <alignment vertical="center" shrinkToFit="1"/>
      <protection locked="0"/>
    </xf>
    <xf numFmtId="0" fontId="10" fillId="2" borderId="21" xfId="1" applyFont="1" applyFill="1" applyBorder="1" applyAlignment="1">
      <alignment vertical="center" shrinkToFit="1"/>
    </xf>
    <xf numFmtId="0" fontId="1" fillId="0" borderId="0" xfId="1"/>
    <xf numFmtId="178" fontId="19" fillId="0" borderId="0" xfId="0" applyNumberFormat="1" applyFont="1">
      <alignment vertical="center"/>
    </xf>
    <xf numFmtId="0" fontId="22" fillId="2" borderId="6" xfId="1" applyFont="1" applyFill="1" applyBorder="1" applyAlignment="1" applyProtection="1">
      <alignment horizontal="center" vertical="center"/>
      <protection locked="0"/>
    </xf>
    <xf numFmtId="0" fontId="22" fillId="2" borderId="8" xfId="1" applyFont="1" applyFill="1" applyBorder="1" applyAlignment="1" applyProtection="1">
      <alignment horizontal="center" vertical="center"/>
      <protection locked="0"/>
    </xf>
    <xf numFmtId="0" fontId="22" fillId="2" borderId="7" xfId="1" applyFont="1" applyFill="1" applyBorder="1" applyAlignment="1" applyProtection="1">
      <alignment horizontal="center" vertical="center"/>
      <protection locked="0"/>
    </xf>
    <xf numFmtId="14" fontId="26" fillId="0" borderId="0" xfId="3" applyNumberFormat="1">
      <alignment vertical="center"/>
    </xf>
    <xf numFmtId="0" fontId="26" fillId="0" borderId="0" xfId="3">
      <alignment vertical="center"/>
    </xf>
    <xf numFmtId="41" fontId="10" fillId="2" borderId="80" xfId="1" applyNumberFormat="1" applyFont="1" applyFill="1" applyBorder="1" applyAlignment="1" applyProtection="1">
      <alignment horizontal="center" vertical="center" shrinkToFit="1"/>
      <protection locked="0"/>
    </xf>
    <xf numFmtId="41" fontId="10" fillId="2" borderId="16" xfId="1" applyNumberFormat="1" applyFont="1" applyFill="1" applyBorder="1" applyAlignment="1" applyProtection="1">
      <alignment horizontal="center" vertical="center" shrinkToFit="1"/>
      <protection locked="0"/>
    </xf>
    <xf numFmtId="41" fontId="10" fillId="2" borderId="17" xfId="1" applyNumberFormat="1" applyFont="1" applyFill="1" applyBorder="1" applyAlignment="1" applyProtection="1">
      <alignment horizontal="center" vertical="center" shrinkToFit="1"/>
      <protection locked="0"/>
    </xf>
    <xf numFmtId="0" fontId="6" fillId="0" borderId="73" xfId="0" applyFont="1" applyBorder="1" applyAlignment="1" applyProtection="1">
      <alignment horizontal="center" vertical="center"/>
      <protection locked="0"/>
    </xf>
    <xf numFmtId="41" fontId="6" fillId="0" borderId="73" xfId="0" applyNumberFormat="1" applyFont="1" applyBorder="1" applyAlignment="1" applyProtection="1">
      <alignment horizontal="center" vertical="center"/>
      <protection locked="0"/>
    </xf>
    <xf numFmtId="41" fontId="10" fillId="2" borderId="24" xfId="1" applyNumberFormat="1" applyFont="1" applyFill="1" applyBorder="1" applyAlignment="1" applyProtection="1">
      <alignment horizontal="center" vertical="center" shrinkToFit="1"/>
      <protection locked="0"/>
    </xf>
    <xf numFmtId="41" fontId="10" fillId="2" borderId="62" xfId="1" applyNumberFormat="1" applyFont="1" applyFill="1" applyBorder="1" applyAlignment="1" applyProtection="1">
      <alignment horizontal="center" vertical="center" shrinkToFit="1"/>
      <protection locked="0"/>
    </xf>
    <xf numFmtId="0" fontId="15" fillId="2" borderId="7" xfId="1" applyFont="1" applyFill="1" applyBorder="1" applyAlignment="1" applyProtection="1">
      <alignment horizontal="center" vertical="center"/>
      <protection locked="0"/>
    </xf>
    <xf numFmtId="0" fontId="8" fillId="2" borderId="7" xfId="1" applyFont="1" applyFill="1" applyBorder="1" applyAlignment="1" applyProtection="1">
      <alignment horizontal="center" vertical="center"/>
      <protection locked="0"/>
    </xf>
    <xf numFmtId="0" fontId="8" fillId="2" borderId="22" xfId="1" applyFont="1" applyFill="1" applyBorder="1" applyAlignment="1" applyProtection="1">
      <alignment horizontal="center" vertical="center"/>
      <protection locked="0"/>
    </xf>
    <xf numFmtId="0" fontId="7" fillId="2" borderId="7" xfId="1" applyFont="1" applyFill="1" applyBorder="1" applyAlignment="1" applyProtection="1">
      <alignment horizontal="center" vertical="center" wrapText="1" shrinkToFit="1"/>
      <protection locked="0"/>
    </xf>
    <xf numFmtId="0" fontId="7" fillId="2" borderId="7" xfId="1" applyFont="1" applyFill="1" applyBorder="1" applyAlignment="1" applyProtection="1">
      <alignment horizontal="center" vertical="center" shrinkToFit="1"/>
      <protection locked="0"/>
    </xf>
    <xf numFmtId="0" fontId="10" fillId="2" borderId="15" xfId="1" applyFont="1" applyFill="1" applyBorder="1" applyAlignment="1" applyProtection="1">
      <alignment horizontal="center" vertical="center" shrinkToFit="1"/>
      <protection locked="0"/>
    </xf>
    <xf numFmtId="0" fontId="10" fillId="2" borderId="16" xfId="1" applyFont="1" applyFill="1" applyBorder="1" applyAlignment="1" applyProtection="1">
      <alignment horizontal="center" vertical="center" shrinkToFit="1"/>
      <protection locked="0"/>
    </xf>
    <xf numFmtId="0" fontId="10" fillId="2" borderId="10" xfId="1" applyFont="1" applyFill="1" applyBorder="1" applyAlignment="1" applyProtection="1">
      <alignment horizontal="center" vertical="center" shrinkToFit="1"/>
      <protection locked="0"/>
    </xf>
    <xf numFmtId="41" fontId="20" fillId="0" borderId="15" xfId="2" applyFont="1" applyBorder="1" applyProtection="1">
      <alignment vertical="center"/>
      <protection locked="0"/>
    </xf>
    <xf numFmtId="41" fontId="20" fillId="0" borderId="16" xfId="2" applyFont="1" applyBorder="1" applyProtection="1">
      <alignment vertical="center"/>
      <protection locked="0"/>
    </xf>
    <xf numFmtId="41" fontId="20" fillId="0" borderId="81" xfId="2" applyFont="1" applyBorder="1" applyProtection="1">
      <alignment vertical="center"/>
      <protection locked="0"/>
    </xf>
    <xf numFmtId="0" fontId="20" fillId="2" borderId="18" xfId="1" applyFont="1" applyFill="1" applyBorder="1" applyAlignment="1" applyProtection="1">
      <alignment horizontal="center" vertical="center"/>
      <protection locked="0"/>
    </xf>
    <xf numFmtId="0" fontId="20" fillId="2" borderId="19" xfId="1" applyFont="1" applyFill="1" applyBorder="1" applyAlignment="1" applyProtection="1">
      <alignment horizontal="center" vertical="center"/>
      <protection locked="0"/>
    </xf>
    <xf numFmtId="0" fontId="20" fillId="2" borderId="8" xfId="1" applyFont="1" applyFill="1" applyBorder="1" applyAlignment="1" applyProtection="1">
      <alignment horizontal="center" vertical="center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41" fontId="20" fillId="0" borderId="18" xfId="2" applyFont="1" applyBorder="1" applyAlignment="1" applyProtection="1">
      <alignment horizontal="center" vertical="center"/>
      <protection locked="0"/>
    </xf>
    <xf numFmtId="41" fontId="20" fillId="0" borderId="19" xfId="2" applyFont="1" applyBorder="1" applyAlignment="1" applyProtection="1">
      <alignment horizontal="center" vertical="center"/>
      <protection locked="0"/>
    </xf>
    <xf numFmtId="41" fontId="20" fillId="0" borderId="8" xfId="2" applyFont="1" applyBorder="1" applyAlignment="1" applyProtection="1">
      <alignment horizontal="center" vertical="center"/>
      <protection locked="0"/>
    </xf>
    <xf numFmtId="41" fontId="10" fillId="0" borderId="76" xfId="0" applyNumberFormat="1" applyFont="1" applyBorder="1" applyAlignment="1" applyProtection="1">
      <alignment horizontal="center" vertical="center"/>
      <protection locked="0"/>
    </xf>
    <xf numFmtId="0" fontId="10" fillId="0" borderId="76" xfId="0" applyFont="1" applyBorder="1" applyAlignment="1" applyProtection="1">
      <alignment horizontal="center" vertical="center"/>
      <protection locked="0"/>
    </xf>
    <xf numFmtId="0" fontId="21" fillId="0" borderId="74" xfId="0" applyFont="1" applyBorder="1" applyAlignment="1" applyProtection="1">
      <alignment horizontal="center" vertical="center"/>
      <protection locked="0"/>
    </xf>
    <xf numFmtId="0" fontId="6" fillId="2" borderId="39" xfId="1" applyFont="1" applyFill="1" applyBorder="1" applyAlignment="1" applyProtection="1">
      <alignment horizontal="center" vertical="center" wrapText="1"/>
      <protection locked="0"/>
    </xf>
    <xf numFmtId="0" fontId="6" fillId="2" borderId="40" xfId="1" applyFont="1" applyFill="1" applyBorder="1" applyAlignment="1" applyProtection="1">
      <alignment horizontal="center" vertical="center" wrapText="1"/>
      <protection locked="0"/>
    </xf>
    <xf numFmtId="0" fontId="6" fillId="2" borderId="41" xfId="1" applyFont="1" applyFill="1" applyBorder="1" applyAlignment="1" applyProtection="1">
      <alignment horizontal="center" vertical="center" wrapText="1"/>
      <protection locked="0"/>
    </xf>
    <xf numFmtId="0" fontId="6" fillId="2" borderId="42" xfId="1" applyFont="1" applyFill="1" applyBorder="1" applyAlignment="1" applyProtection="1">
      <alignment horizontal="center" vertical="center" wrapText="1"/>
      <protection locked="0"/>
    </xf>
    <xf numFmtId="0" fontId="6" fillId="2" borderId="43" xfId="1" applyFont="1" applyFill="1" applyBorder="1" applyAlignment="1" applyProtection="1">
      <alignment horizontal="center" vertical="center" wrapText="1"/>
      <protection locked="0"/>
    </xf>
    <xf numFmtId="0" fontId="6" fillId="2" borderId="44" xfId="1" applyFont="1" applyFill="1" applyBorder="1" applyAlignment="1" applyProtection="1">
      <alignment horizontal="center" vertical="center" wrapText="1"/>
      <protection locked="0"/>
    </xf>
    <xf numFmtId="0" fontId="17" fillId="2" borderId="45" xfId="1" applyFont="1" applyFill="1" applyBorder="1" applyAlignment="1" applyProtection="1">
      <alignment horizontal="center" vertical="center" wrapText="1"/>
      <protection locked="0"/>
    </xf>
    <xf numFmtId="0" fontId="17" fillId="2" borderId="40" xfId="1" applyFont="1" applyFill="1" applyBorder="1" applyAlignment="1" applyProtection="1">
      <alignment horizontal="center" vertical="center"/>
      <protection locked="0"/>
    </xf>
    <xf numFmtId="0" fontId="17" fillId="2" borderId="46" xfId="1" applyFont="1" applyFill="1" applyBorder="1" applyAlignment="1" applyProtection="1">
      <alignment horizontal="center" vertical="center"/>
      <protection locked="0"/>
    </xf>
    <xf numFmtId="0" fontId="17" fillId="2" borderId="47" xfId="1" applyFont="1" applyFill="1" applyBorder="1" applyAlignment="1" applyProtection="1">
      <alignment horizontal="center" vertical="center"/>
      <protection locked="0"/>
    </xf>
    <xf numFmtId="0" fontId="17" fillId="2" borderId="43" xfId="1" applyFont="1" applyFill="1" applyBorder="1" applyAlignment="1" applyProtection="1">
      <alignment horizontal="center" vertical="center"/>
      <protection locked="0"/>
    </xf>
    <xf numFmtId="0" fontId="17" fillId="2" borderId="48" xfId="1" applyFont="1" applyFill="1" applyBorder="1" applyAlignment="1" applyProtection="1">
      <alignment horizontal="center" vertical="center"/>
      <protection locked="0"/>
    </xf>
    <xf numFmtId="0" fontId="11" fillId="2" borderId="49" xfId="1" applyFont="1" applyFill="1" applyBorder="1" applyAlignment="1" applyProtection="1">
      <alignment horizontal="center" vertical="center"/>
      <protection locked="0"/>
    </xf>
    <xf numFmtId="0" fontId="11" fillId="2" borderId="50" xfId="1" applyFont="1" applyFill="1" applyBorder="1" applyAlignment="1" applyProtection="1">
      <alignment horizontal="center" vertical="center"/>
      <protection locked="0"/>
    </xf>
    <xf numFmtId="0" fontId="11" fillId="2" borderId="51" xfId="1" applyFont="1" applyFill="1" applyBorder="1" applyAlignment="1" applyProtection="1">
      <alignment horizontal="center" vertical="center"/>
      <protection locked="0"/>
    </xf>
    <xf numFmtId="0" fontId="11" fillId="2" borderId="52" xfId="1" applyFont="1" applyFill="1" applyBorder="1" applyAlignment="1" applyProtection="1">
      <alignment horizontal="center" vertical="center"/>
      <protection locked="0"/>
    </xf>
    <xf numFmtId="0" fontId="11" fillId="2" borderId="37" xfId="1" applyFont="1" applyFill="1" applyBorder="1" applyAlignment="1" applyProtection="1">
      <alignment horizontal="center" vertical="center"/>
      <protection locked="0"/>
    </xf>
    <xf numFmtId="0" fontId="11" fillId="2" borderId="53" xfId="1" applyFont="1" applyFill="1" applyBorder="1" applyAlignment="1" applyProtection="1">
      <alignment horizontal="center" vertical="center"/>
      <protection locked="0"/>
    </xf>
    <xf numFmtId="0" fontId="15" fillId="2" borderId="26" xfId="1" applyFont="1" applyFill="1" applyBorder="1" applyAlignment="1" applyProtection="1">
      <alignment horizontal="center" vertical="center" wrapText="1"/>
      <protection locked="0"/>
    </xf>
    <xf numFmtId="0" fontId="15" fillId="2" borderId="27" xfId="1" applyFont="1" applyFill="1" applyBorder="1" applyAlignment="1" applyProtection="1">
      <alignment horizontal="center" vertical="center" wrapText="1"/>
      <protection locked="0"/>
    </xf>
    <xf numFmtId="0" fontId="15" fillId="2" borderId="21" xfId="1" applyFont="1" applyFill="1" applyBorder="1" applyAlignment="1" applyProtection="1">
      <alignment horizontal="center" vertical="center" wrapText="1"/>
      <protection locked="0"/>
    </xf>
    <xf numFmtId="0" fontId="15" fillId="2" borderId="36" xfId="1" applyFont="1" applyFill="1" applyBorder="1" applyAlignment="1" applyProtection="1">
      <alignment horizontal="center" vertical="center" wrapText="1"/>
      <protection locked="0"/>
    </xf>
    <xf numFmtId="0" fontId="15" fillId="2" borderId="37" xfId="1" applyFont="1" applyFill="1" applyBorder="1" applyAlignment="1" applyProtection="1">
      <alignment horizontal="center" vertical="center" wrapText="1"/>
      <protection locked="0"/>
    </xf>
    <xf numFmtId="0" fontId="15" fillId="2" borderId="38" xfId="1" applyFont="1" applyFill="1" applyBorder="1" applyAlignment="1" applyProtection="1">
      <alignment horizontal="center" vertical="center" wrapText="1"/>
      <protection locked="0"/>
    </xf>
    <xf numFmtId="0" fontId="7" fillId="2" borderId="26" xfId="1" applyFont="1" applyFill="1" applyBorder="1" applyAlignment="1" applyProtection="1">
      <alignment horizontal="center" vertical="center" shrinkToFit="1"/>
      <protection locked="0"/>
    </xf>
    <xf numFmtId="0" fontId="7" fillId="2" borderId="27" xfId="1" applyFont="1" applyFill="1" applyBorder="1" applyAlignment="1" applyProtection="1">
      <alignment horizontal="center" vertical="center" shrinkToFit="1"/>
      <protection locked="0"/>
    </xf>
    <xf numFmtId="0" fontId="7" fillId="2" borderId="21" xfId="1" applyFont="1" applyFill="1" applyBorder="1" applyAlignment="1" applyProtection="1">
      <alignment horizontal="center" vertical="center" shrinkToFit="1"/>
      <protection locked="0"/>
    </xf>
    <xf numFmtId="0" fontId="7" fillId="2" borderId="36" xfId="1" applyFont="1" applyFill="1" applyBorder="1" applyAlignment="1" applyProtection="1">
      <alignment horizontal="center" vertical="center" shrinkToFit="1"/>
      <protection locked="0"/>
    </xf>
    <xf numFmtId="0" fontId="7" fillId="2" borderId="37" xfId="1" applyFont="1" applyFill="1" applyBorder="1" applyAlignment="1" applyProtection="1">
      <alignment horizontal="center" vertical="center" shrinkToFit="1"/>
      <protection locked="0"/>
    </xf>
    <xf numFmtId="0" fontId="7" fillId="2" borderId="38" xfId="1" applyFont="1" applyFill="1" applyBorder="1" applyAlignment="1" applyProtection="1">
      <alignment horizontal="center" vertical="center" shrinkToFit="1"/>
      <protection locked="0"/>
    </xf>
    <xf numFmtId="0" fontId="15" fillId="2" borderId="7" xfId="1" applyFont="1" applyFill="1" applyBorder="1" applyAlignment="1" applyProtection="1">
      <alignment horizontal="center" vertical="center" wrapText="1"/>
      <protection locked="0"/>
    </xf>
    <xf numFmtId="0" fontId="9" fillId="2" borderId="7" xfId="1" applyFont="1" applyFill="1" applyBorder="1" applyAlignment="1" applyProtection="1">
      <alignment horizontal="left" vertical="center" wrapText="1"/>
      <protection locked="0"/>
    </xf>
    <xf numFmtId="0" fontId="9" fillId="2" borderId="22" xfId="1" applyFont="1" applyFill="1" applyBorder="1" applyAlignment="1" applyProtection="1">
      <alignment horizontal="left" vertical="center" wrapText="1"/>
      <protection locked="0"/>
    </xf>
    <xf numFmtId="0" fontId="15" fillId="2" borderId="6" xfId="1" applyFont="1" applyFill="1" applyBorder="1" applyAlignment="1" applyProtection="1">
      <alignment horizontal="center" vertical="center" wrapText="1"/>
      <protection locked="0"/>
    </xf>
    <xf numFmtId="0" fontId="7" fillId="2" borderId="26" xfId="1" applyFont="1" applyFill="1" applyBorder="1" applyAlignment="1" applyProtection="1">
      <alignment horizontal="center" vertical="center" wrapText="1"/>
      <protection locked="0"/>
    </xf>
    <xf numFmtId="0" fontId="7" fillId="2" borderId="27" xfId="1" applyFont="1" applyFill="1" applyBorder="1" applyAlignment="1" applyProtection="1">
      <alignment horizontal="center" vertical="center" wrapText="1"/>
      <protection locked="0"/>
    </xf>
    <xf numFmtId="0" fontId="7" fillId="2" borderId="21" xfId="1" applyFont="1" applyFill="1" applyBorder="1" applyAlignment="1" applyProtection="1">
      <alignment horizontal="center" vertical="center" wrapText="1"/>
      <protection locked="0"/>
    </xf>
    <xf numFmtId="0" fontId="7" fillId="2" borderId="36" xfId="1" applyFont="1" applyFill="1" applyBorder="1" applyAlignment="1" applyProtection="1">
      <alignment horizontal="center" vertical="center" wrapText="1"/>
      <protection locked="0"/>
    </xf>
    <xf numFmtId="0" fontId="7" fillId="2" borderId="37" xfId="1" applyFont="1" applyFill="1" applyBorder="1" applyAlignment="1" applyProtection="1">
      <alignment horizontal="center" vertical="center" wrapText="1"/>
      <protection locked="0"/>
    </xf>
    <xf numFmtId="0" fontId="7" fillId="2" borderId="38" xfId="1" applyFont="1" applyFill="1" applyBorder="1" applyAlignment="1" applyProtection="1">
      <alignment horizontal="center" vertical="center" wrapText="1"/>
      <protection locked="0"/>
    </xf>
    <xf numFmtId="0" fontId="7" fillId="2" borderId="22" xfId="1" applyFont="1" applyFill="1" applyBorder="1" applyAlignment="1" applyProtection="1">
      <alignment horizontal="center" vertical="center" shrinkToFit="1"/>
      <protection locked="0"/>
    </xf>
    <xf numFmtId="0" fontId="9" fillId="2" borderId="7" xfId="1" applyFont="1" applyFill="1" applyBorder="1" applyAlignment="1" applyProtection="1">
      <alignment horizontal="center" vertical="center" wrapText="1" shrinkToFit="1"/>
      <protection locked="0"/>
    </xf>
    <xf numFmtId="0" fontId="6" fillId="0" borderId="76" xfId="0" applyFont="1" applyBorder="1" applyAlignment="1" applyProtection="1">
      <alignment horizontal="center" vertical="center"/>
      <protection locked="0"/>
    </xf>
    <xf numFmtId="179" fontId="10" fillId="2" borderId="77" xfId="1" applyNumberFormat="1" applyFont="1" applyFill="1" applyBorder="1" applyAlignment="1" applyProtection="1">
      <alignment horizontal="center" vertical="center" shrinkToFit="1"/>
      <protection locked="0"/>
    </xf>
    <xf numFmtId="179" fontId="10" fillId="2" borderId="78" xfId="1" applyNumberFormat="1" applyFont="1" applyFill="1" applyBorder="1" applyAlignment="1" applyProtection="1">
      <alignment horizontal="center" vertical="center" shrinkToFit="1"/>
      <protection locked="0"/>
    </xf>
    <xf numFmtId="179" fontId="10" fillId="2" borderId="79" xfId="1" applyNumberFormat="1" applyFont="1" applyFill="1" applyBorder="1" applyAlignment="1" applyProtection="1">
      <alignment horizontal="center" vertical="center" shrinkToFit="1"/>
      <protection locked="0"/>
    </xf>
    <xf numFmtId="41" fontId="10" fillId="2" borderId="77" xfId="1" applyNumberFormat="1" applyFont="1" applyFill="1" applyBorder="1" applyAlignment="1" applyProtection="1">
      <alignment horizontal="center" vertical="center" shrinkToFit="1"/>
      <protection locked="0"/>
    </xf>
    <xf numFmtId="41" fontId="10" fillId="2" borderId="78" xfId="1" applyNumberFormat="1" applyFont="1" applyFill="1" applyBorder="1" applyAlignment="1" applyProtection="1">
      <alignment horizontal="center" vertical="center" shrinkToFit="1"/>
      <protection locked="0"/>
    </xf>
    <xf numFmtId="41" fontId="10" fillId="2" borderId="79" xfId="1" applyNumberFormat="1" applyFont="1" applyFill="1" applyBorder="1" applyAlignment="1" applyProtection="1">
      <alignment horizontal="center" vertical="center" shrinkToFit="1"/>
      <protection locked="0"/>
    </xf>
    <xf numFmtId="0" fontId="10" fillId="2" borderId="18" xfId="1" applyFont="1" applyFill="1" applyBorder="1" applyAlignment="1" applyProtection="1">
      <alignment horizontal="center" vertical="center" shrinkToFit="1"/>
      <protection locked="0"/>
    </xf>
    <xf numFmtId="0" fontId="10" fillId="2" borderId="19" xfId="1" applyFont="1" applyFill="1" applyBorder="1" applyAlignment="1" applyProtection="1">
      <alignment horizontal="center" vertical="center" shrinkToFit="1"/>
      <protection locked="0"/>
    </xf>
    <xf numFmtId="0" fontId="10" fillId="2" borderId="8" xfId="1" applyFont="1" applyFill="1" applyBorder="1" applyAlignment="1" applyProtection="1">
      <alignment horizontal="center" vertical="center" shrinkToFit="1"/>
      <protection locked="0"/>
    </xf>
    <xf numFmtId="0" fontId="10" fillId="2" borderId="26" xfId="1" applyFont="1" applyFill="1" applyBorder="1" applyAlignment="1" applyProtection="1">
      <alignment horizontal="center" vertical="center" shrinkToFit="1"/>
      <protection locked="0"/>
    </xf>
    <xf numFmtId="0" fontId="10" fillId="2" borderId="27" xfId="1" applyFont="1" applyFill="1" applyBorder="1" applyAlignment="1" applyProtection="1">
      <alignment horizontal="center" vertical="center" shrinkToFit="1"/>
      <protection locked="0"/>
    </xf>
    <xf numFmtId="0" fontId="10" fillId="2" borderId="21" xfId="1" applyFont="1" applyFill="1" applyBorder="1" applyAlignment="1" applyProtection="1">
      <alignment horizontal="center" vertical="center" shrinkToFit="1"/>
      <protection locked="0"/>
    </xf>
    <xf numFmtId="41" fontId="10" fillId="0" borderId="7" xfId="0" applyNumberFormat="1" applyFont="1" applyBorder="1" applyAlignment="1" applyProtection="1">
      <alignment vertical="center" shrinkToFit="1"/>
      <protection locked="0"/>
    </xf>
    <xf numFmtId="0" fontId="21" fillId="0" borderId="75" xfId="0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/>
    </xf>
    <xf numFmtId="0" fontId="6" fillId="0" borderId="70" xfId="0" applyFont="1" applyBorder="1" applyAlignment="1" applyProtection="1">
      <alignment horizontal="center" vertical="center"/>
      <protection locked="0"/>
    </xf>
    <xf numFmtId="0" fontId="6" fillId="0" borderId="71" xfId="0" applyFont="1" applyBorder="1" applyAlignment="1" applyProtection="1">
      <alignment horizontal="center" vertical="center"/>
      <protection locked="0"/>
    </xf>
    <xf numFmtId="0" fontId="6" fillId="0" borderId="72" xfId="0" applyFont="1" applyBorder="1" applyAlignment="1" applyProtection="1">
      <alignment horizontal="center" vertical="center"/>
      <protection locked="0"/>
    </xf>
    <xf numFmtId="41" fontId="10" fillId="0" borderId="73" xfId="0" applyNumberFormat="1" applyFont="1" applyBorder="1" applyAlignment="1" applyProtection="1">
      <alignment horizontal="center" vertical="center"/>
      <protection locked="0"/>
    </xf>
    <xf numFmtId="0" fontId="10" fillId="0" borderId="73" xfId="0" applyFont="1" applyBorder="1" applyAlignment="1" applyProtection="1">
      <alignment horizontal="center" vertical="center"/>
      <protection locked="0"/>
    </xf>
    <xf numFmtId="41" fontId="10" fillId="0" borderId="82" xfId="0" applyNumberFormat="1" applyFont="1" applyBorder="1" applyAlignment="1" applyProtection="1">
      <alignment horizontal="center" vertical="center"/>
      <protection locked="0"/>
    </xf>
    <xf numFmtId="41" fontId="10" fillId="0" borderId="83" xfId="0" applyNumberFormat="1" applyFont="1" applyBorder="1" applyAlignment="1" applyProtection="1">
      <alignment horizontal="center" vertical="center"/>
      <protection locked="0"/>
    </xf>
    <xf numFmtId="41" fontId="10" fillId="0" borderId="84" xfId="0" applyNumberFormat="1" applyFont="1" applyBorder="1" applyAlignment="1" applyProtection="1">
      <alignment horizontal="center" vertical="center"/>
      <protection locked="0"/>
    </xf>
    <xf numFmtId="14" fontId="20" fillId="2" borderId="35" xfId="1" applyNumberFormat="1" applyFont="1" applyFill="1" applyBorder="1" applyAlignment="1" applyProtection="1">
      <alignment horizontal="center" vertical="center"/>
      <protection locked="0"/>
    </xf>
    <xf numFmtId="14" fontId="20" fillId="2" borderId="19" xfId="1" applyNumberFormat="1" applyFont="1" applyFill="1" applyBorder="1" applyAlignment="1" applyProtection="1">
      <alignment horizontal="center" vertical="center"/>
      <protection locked="0"/>
    </xf>
    <xf numFmtId="14" fontId="20" fillId="2" borderId="8" xfId="1" applyNumberFormat="1" applyFont="1" applyFill="1" applyBorder="1" applyAlignment="1" applyProtection="1">
      <alignment horizontal="center" vertical="center"/>
      <protection locked="0"/>
    </xf>
    <xf numFmtId="0" fontId="2" fillId="2" borderId="39" xfId="1" applyFont="1" applyFill="1" applyBorder="1" applyAlignment="1" applyProtection="1">
      <alignment horizontal="center" vertical="center"/>
      <protection locked="0"/>
    </xf>
    <xf numFmtId="0" fontId="2" fillId="2" borderId="40" xfId="1" applyFont="1" applyFill="1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4" xfId="1" applyFont="1" applyFill="1" applyBorder="1" applyAlignment="1" applyProtection="1">
      <alignment horizontal="center" vertical="center" wrapText="1"/>
      <protection locked="0"/>
    </xf>
    <xf numFmtId="0" fontId="9" fillId="2" borderId="45" xfId="1" applyFont="1" applyFill="1" applyBorder="1" applyAlignment="1" applyProtection="1">
      <alignment horizontal="center" vertical="center" shrinkToFit="1"/>
      <protection locked="0"/>
    </xf>
    <xf numFmtId="0" fontId="9" fillId="2" borderId="40" xfId="1" applyFont="1" applyFill="1" applyBorder="1" applyAlignment="1" applyProtection="1">
      <alignment horizontal="center" vertical="center" shrinkToFit="1"/>
      <protection locked="0"/>
    </xf>
    <xf numFmtId="0" fontId="9" fillId="2" borderId="46" xfId="1" applyFont="1" applyFill="1" applyBorder="1" applyAlignment="1" applyProtection="1">
      <alignment horizontal="center" vertical="center" shrinkToFit="1"/>
      <protection locked="0"/>
    </xf>
    <xf numFmtId="0" fontId="9" fillId="2" borderId="56" xfId="1" applyFont="1" applyFill="1" applyBorder="1" applyAlignment="1" applyProtection="1">
      <alignment horizontal="center" vertical="center" shrinkToFit="1"/>
      <protection locked="0"/>
    </xf>
    <xf numFmtId="0" fontId="9" fillId="2" borderId="57" xfId="1" applyFont="1" applyFill="1" applyBorder="1" applyAlignment="1" applyProtection="1">
      <alignment horizontal="center" vertical="center" shrinkToFit="1"/>
      <protection locked="0"/>
    </xf>
    <xf numFmtId="0" fontId="9" fillId="2" borderId="64" xfId="1" applyFont="1" applyFill="1" applyBorder="1" applyAlignment="1" applyProtection="1">
      <alignment horizontal="center" vertical="center" shrinkToFit="1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8" fillId="2" borderId="45" xfId="1" applyFont="1" applyFill="1" applyBorder="1" applyAlignment="1" applyProtection="1">
      <alignment horizontal="center" vertical="center"/>
      <protection locked="0"/>
    </xf>
    <xf numFmtId="0" fontId="8" fillId="2" borderId="40" xfId="1" applyFont="1" applyFill="1" applyBorder="1" applyAlignment="1" applyProtection="1">
      <alignment horizontal="center" vertical="center"/>
      <protection locked="0"/>
    </xf>
    <xf numFmtId="0" fontId="8" fillId="2" borderId="46" xfId="1" applyFont="1" applyFill="1" applyBorder="1" applyAlignment="1" applyProtection="1">
      <alignment horizontal="center" vertical="center"/>
      <protection locked="0"/>
    </xf>
    <xf numFmtId="0" fontId="8" fillId="2" borderId="56" xfId="1" applyFont="1" applyFill="1" applyBorder="1" applyAlignment="1" applyProtection="1">
      <alignment horizontal="center" vertical="center"/>
      <protection locked="0"/>
    </xf>
    <xf numFmtId="0" fontId="8" fillId="2" borderId="57" xfId="1" applyFont="1" applyFill="1" applyBorder="1" applyAlignment="1" applyProtection="1">
      <alignment horizontal="center" vertical="center"/>
      <protection locked="0"/>
    </xf>
    <xf numFmtId="0" fontId="8" fillId="2" borderId="64" xfId="1" applyFont="1" applyFill="1" applyBorder="1" applyAlignment="1" applyProtection="1">
      <alignment horizontal="center" vertical="center"/>
      <protection locked="0"/>
    </xf>
    <xf numFmtId="41" fontId="20" fillId="0" borderId="10" xfId="2" applyFont="1" applyBorder="1" applyProtection="1">
      <alignment vertical="center"/>
      <protection locked="0"/>
    </xf>
    <xf numFmtId="0" fontId="7" fillId="2" borderId="4" xfId="1" applyFont="1" applyFill="1" applyBorder="1" applyAlignment="1" applyProtection="1">
      <alignment horizontal="center" vertical="center" wrapText="1"/>
      <protection locked="0"/>
    </xf>
    <xf numFmtId="0" fontId="7" fillId="2" borderId="15" xfId="1" applyFont="1" applyFill="1" applyBorder="1" applyAlignment="1" applyProtection="1">
      <alignment horizontal="center" vertical="center" wrapText="1"/>
      <protection locked="0"/>
    </xf>
    <xf numFmtId="0" fontId="9" fillId="2" borderId="4" xfId="1" applyFont="1" applyFill="1" applyBorder="1" applyAlignment="1" applyProtection="1">
      <alignment horizontal="center" vertical="center" wrapText="1" shrinkToFit="1"/>
      <protection locked="0"/>
    </xf>
    <xf numFmtId="0" fontId="9" fillId="2" borderId="4" xfId="1" applyFont="1" applyFill="1" applyBorder="1" applyAlignment="1" applyProtection="1">
      <alignment horizontal="center" vertical="center" shrinkToFit="1"/>
      <protection locked="0"/>
    </xf>
    <xf numFmtId="0" fontId="7" fillId="2" borderId="4" xfId="1" applyFont="1" applyFill="1" applyBorder="1" applyAlignment="1" applyProtection="1">
      <alignment horizontal="center" vertical="center" shrinkToFit="1"/>
      <protection locked="0"/>
    </xf>
    <xf numFmtId="0" fontId="7" fillId="2" borderId="58" xfId="1" applyFont="1" applyFill="1" applyBorder="1" applyAlignment="1" applyProtection="1">
      <alignment horizontal="center" vertical="center" shrinkToFit="1"/>
      <protection locked="0"/>
    </xf>
    <xf numFmtId="0" fontId="20" fillId="2" borderId="15" xfId="1" applyFont="1" applyFill="1" applyBorder="1" applyAlignment="1" applyProtection="1">
      <alignment horizontal="center" vertical="center"/>
      <protection locked="0"/>
    </xf>
    <xf numFmtId="0" fontId="20" fillId="2" borderId="16" xfId="1" applyFont="1" applyFill="1" applyBorder="1" applyAlignment="1" applyProtection="1">
      <alignment horizontal="center" vertical="center"/>
      <protection locked="0"/>
    </xf>
    <xf numFmtId="0" fontId="20" fillId="2" borderId="10" xfId="1" applyFont="1" applyFill="1" applyBorder="1" applyAlignment="1" applyProtection="1">
      <alignment horizontal="center" vertical="center"/>
      <protection locked="0"/>
    </xf>
    <xf numFmtId="14" fontId="10" fillId="2" borderId="69" xfId="1" applyNumberFormat="1" applyFont="1" applyFill="1" applyBorder="1" applyAlignment="1" applyProtection="1">
      <alignment horizontal="center" vertical="center" shrinkToFit="1"/>
      <protection locked="0"/>
    </xf>
    <xf numFmtId="0" fontId="9" fillId="2" borderId="54" xfId="1" applyFont="1" applyFill="1" applyBorder="1" applyAlignment="1" applyProtection="1">
      <alignment horizontal="center" vertical="center" shrinkToFit="1"/>
      <protection locked="0"/>
    </xf>
    <xf numFmtId="0" fontId="9" fillId="2" borderId="55" xfId="1" applyFont="1" applyFill="1" applyBorder="1" applyAlignment="1" applyProtection="1">
      <alignment horizontal="center" vertical="center" shrinkToFit="1"/>
      <protection locked="0"/>
    </xf>
    <xf numFmtId="0" fontId="9" fillId="2" borderId="4" xfId="1" applyFont="1" applyFill="1" applyBorder="1" applyAlignment="1" applyProtection="1">
      <alignment horizontal="left" vertical="center" wrapText="1"/>
      <protection locked="0"/>
    </xf>
    <xf numFmtId="0" fontId="9" fillId="2" borderId="58" xfId="1" applyFont="1" applyFill="1" applyBorder="1" applyAlignment="1" applyProtection="1">
      <alignment horizontal="left" vertical="center" wrapText="1"/>
      <protection locked="0"/>
    </xf>
    <xf numFmtId="0" fontId="6" fillId="2" borderId="59" xfId="1" applyFont="1" applyFill="1" applyBorder="1" applyAlignment="1" applyProtection="1">
      <alignment horizontal="center" vertical="center" wrapText="1"/>
      <protection locked="0"/>
    </xf>
    <xf numFmtId="176" fontId="8" fillId="2" borderId="4" xfId="1" applyNumberFormat="1" applyFont="1" applyFill="1" applyBorder="1" applyAlignment="1" applyProtection="1">
      <alignment horizontal="right" vertical="center"/>
      <protection locked="0"/>
    </xf>
    <xf numFmtId="177" fontId="8" fillId="2" borderId="4" xfId="1" applyNumberFormat="1" applyFont="1" applyFill="1" applyBorder="1" applyAlignment="1" applyProtection="1">
      <alignment horizontal="right" vertical="center"/>
      <protection locked="0"/>
    </xf>
    <xf numFmtId="177" fontId="8" fillId="2" borderId="15" xfId="1" applyNumberFormat="1" applyFont="1" applyFill="1" applyBorder="1" applyAlignment="1" applyProtection="1">
      <alignment horizontal="right" vertical="center"/>
      <protection locked="0"/>
    </xf>
    <xf numFmtId="177" fontId="8" fillId="2" borderId="59" xfId="1" applyNumberFormat="1" applyFont="1" applyFill="1" applyBorder="1" applyAlignment="1" applyProtection="1">
      <alignment horizontal="right" vertical="center"/>
      <protection locked="0"/>
    </xf>
    <xf numFmtId="177" fontId="8" fillId="2" borderId="60" xfId="1" applyNumberFormat="1" applyFont="1" applyFill="1" applyBorder="1" applyAlignment="1" applyProtection="1">
      <alignment horizontal="right" vertical="center"/>
      <protection locked="0"/>
    </xf>
    <xf numFmtId="0" fontId="6" fillId="2" borderId="59" xfId="1" applyFont="1" applyFill="1" applyBorder="1" applyAlignment="1" applyProtection="1">
      <alignment horizontal="center" vertical="center"/>
      <protection locked="0"/>
    </xf>
    <xf numFmtId="0" fontId="7" fillId="2" borderId="4" xfId="1" applyFont="1" applyFill="1" applyBorder="1" applyAlignment="1" applyProtection="1">
      <alignment horizontal="center" vertical="center" wrapText="1" shrinkToFit="1"/>
      <protection locked="0"/>
    </xf>
    <xf numFmtId="0" fontId="7" fillId="2" borderId="59" xfId="1" applyFont="1" applyFill="1" applyBorder="1" applyAlignment="1" applyProtection="1">
      <alignment horizontal="center" vertical="center" shrinkToFit="1"/>
      <protection locked="0"/>
    </xf>
    <xf numFmtId="0" fontId="7" fillId="2" borderId="61" xfId="1" applyFont="1" applyFill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41" fontId="10" fillId="0" borderId="15" xfId="0" applyNumberFormat="1" applyFont="1" applyBorder="1" applyAlignment="1" applyProtection="1">
      <alignment vertical="center" shrinkToFit="1"/>
      <protection locked="0"/>
    </xf>
    <xf numFmtId="41" fontId="10" fillId="0" borderId="16" xfId="0" applyNumberFormat="1" applyFont="1" applyBorder="1" applyAlignment="1" applyProtection="1">
      <alignment vertical="center" shrinkToFit="1"/>
      <protection locked="0"/>
    </xf>
    <xf numFmtId="41" fontId="10" fillId="0" borderId="10" xfId="0" applyNumberFormat="1" applyFont="1" applyBorder="1" applyAlignment="1" applyProtection="1">
      <alignment vertical="center" shrinkToFit="1"/>
      <protection locked="0"/>
    </xf>
    <xf numFmtId="0" fontId="10" fillId="2" borderId="4" xfId="1" applyFont="1" applyFill="1" applyBorder="1" applyAlignment="1" applyProtection="1">
      <alignment horizontal="left" vertical="center" shrinkToFit="1"/>
      <protection locked="0"/>
    </xf>
    <xf numFmtId="0" fontId="10" fillId="0" borderId="4" xfId="0" applyFont="1" applyBorder="1" applyAlignment="1" applyProtection="1">
      <alignment horizontal="left" vertical="center" shrinkToFit="1"/>
      <protection locked="0"/>
    </xf>
    <xf numFmtId="41" fontId="10" fillId="0" borderId="4" xfId="0" applyNumberFormat="1" applyFont="1" applyBorder="1" applyAlignment="1" applyProtection="1">
      <alignment vertical="center" shrinkToFit="1"/>
      <protection locked="0"/>
    </xf>
    <xf numFmtId="0" fontId="15" fillId="2" borderId="28" xfId="1" applyFont="1" applyFill="1" applyBorder="1" applyAlignment="1" applyProtection="1">
      <alignment horizontal="center" vertical="center" wrapText="1"/>
      <protection locked="0"/>
    </xf>
    <xf numFmtId="0" fontId="15" fillId="2" borderId="29" xfId="1" applyFont="1" applyFill="1" applyBorder="1" applyAlignment="1" applyProtection="1">
      <alignment horizontal="center" vertical="center" wrapText="1"/>
      <protection locked="0"/>
    </xf>
    <xf numFmtId="0" fontId="15" fillId="2" borderId="30" xfId="1" applyFont="1" applyFill="1" applyBorder="1" applyAlignment="1" applyProtection="1">
      <alignment horizontal="center" vertical="center" wrapText="1"/>
      <protection locked="0"/>
    </xf>
    <xf numFmtId="0" fontId="15" fillId="2" borderId="31" xfId="1" applyFont="1" applyFill="1" applyBorder="1" applyAlignment="1" applyProtection="1">
      <alignment horizontal="center" vertical="center" wrapText="1"/>
      <protection locked="0"/>
    </xf>
    <xf numFmtId="0" fontId="18" fillId="2" borderId="26" xfId="1" applyFont="1" applyFill="1" applyBorder="1" applyAlignment="1" applyProtection="1">
      <alignment horizontal="center" vertical="center" wrapText="1"/>
      <protection locked="0"/>
    </xf>
    <xf numFmtId="0" fontId="18" fillId="2" borderId="27" xfId="1" applyFont="1" applyFill="1" applyBorder="1" applyAlignment="1" applyProtection="1">
      <alignment horizontal="center" vertical="center" wrapText="1"/>
      <protection locked="0"/>
    </xf>
    <xf numFmtId="0" fontId="18" fillId="2" borderId="32" xfId="1" applyFont="1" applyFill="1" applyBorder="1" applyAlignment="1" applyProtection="1">
      <alignment horizontal="center" vertical="center" wrapText="1"/>
      <protection locked="0"/>
    </xf>
    <xf numFmtId="0" fontId="18" fillId="2" borderId="33" xfId="1" applyFont="1" applyFill="1" applyBorder="1" applyAlignment="1" applyProtection="1">
      <alignment horizontal="center" vertical="center" wrapText="1"/>
      <protection locked="0"/>
    </xf>
    <xf numFmtId="0" fontId="18" fillId="2" borderId="30" xfId="1" applyFont="1" applyFill="1" applyBorder="1" applyAlignment="1" applyProtection="1">
      <alignment horizontal="center" vertical="center" wrapText="1"/>
      <protection locked="0"/>
    </xf>
    <xf numFmtId="0" fontId="18" fillId="2" borderId="34" xfId="1" applyFont="1" applyFill="1" applyBorder="1" applyAlignment="1" applyProtection="1">
      <alignment horizontal="center" vertical="center" wrapText="1"/>
      <protection locked="0"/>
    </xf>
    <xf numFmtId="0" fontId="16" fillId="2" borderId="35" xfId="1" applyFont="1" applyFill="1" applyBorder="1" applyAlignment="1" applyProtection="1">
      <alignment horizontal="center" vertical="center" shrinkToFit="1"/>
      <protection locked="0"/>
    </xf>
    <xf numFmtId="0" fontId="16" fillId="2" borderId="19" xfId="1" applyFont="1" applyFill="1" applyBorder="1" applyAlignment="1" applyProtection="1">
      <alignment horizontal="center" vertical="center" shrinkToFit="1"/>
      <protection locked="0"/>
    </xf>
    <xf numFmtId="0" fontId="16" fillId="2" borderId="8" xfId="1" applyFont="1" applyFill="1" applyBorder="1" applyAlignment="1" applyProtection="1">
      <alignment horizontal="center" vertical="center" shrinkToFit="1"/>
      <protection locked="0"/>
    </xf>
    <xf numFmtId="0" fontId="10" fillId="2" borderId="7" xfId="1" applyFont="1" applyFill="1" applyBorder="1" applyAlignment="1" applyProtection="1">
      <alignment horizontal="left" vertical="center" shrinkToFit="1"/>
      <protection locked="0"/>
    </xf>
    <xf numFmtId="0" fontId="10" fillId="0" borderId="7" xfId="0" applyFont="1" applyBorder="1" applyAlignment="1" applyProtection="1">
      <alignment horizontal="left" vertical="center" shrinkToFit="1"/>
      <protection locked="0"/>
    </xf>
    <xf numFmtId="0" fontId="10" fillId="2" borderId="7" xfId="1" applyFont="1" applyFill="1" applyBorder="1" applyAlignment="1" applyProtection="1">
      <alignment horizontal="center" vertical="center" shrinkToFit="1"/>
      <protection locked="0"/>
    </xf>
    <xf numFmtId="0" fontId="10" fillId="0" borderId="7" xfId="0" applyFont="1" applyBorder="1" applyAlignment="1" applyProtection="1">
      <alignment horizontal="center" vertical="center" shrinkToFit="1"/>
      <protection locked="0"/>
    </xf>
    <xf numFmtId="41" fontId="6" fillId="0" borderId="76" xfId="0" applyNumberFormat="1" applyFont="1" applyBorder="1" applyAlignment="1" applyProtection="1">
      <alignment horizontal="center" vertical="center"/>
      <protection locked="0"/>
    </xf>
    <xf numFmtId="0" fontId="16" fillId="2" borderId="23" xfId="1" applyFont="1" applyFill="1" applyBorder="1" applyAlignment="1" applyProtection="1">
      <alignment horizontal="center" vertical="center" shrinkToFit="1"/>
      <protection locked="0"/>
    </xf>
    <xf numFmtId="0" fontId="16" fillId="2" borderId="24" xfId="1" applyFont="1" applyFill="1" applyBorder="1" applyAlignment="1" applyProtection="1">
      <alignment horizontal="center" vertical="center" shrinkToFit="1"/>
      <protection locked="0"/>
    </xf>
    <xf numFmtId="0" fontId="16" fillId="2" borderId="25" xfId="1" applyFont="1" applyFill="1" applyBorder="1" applyAlignment="1" applyProtection="1">
      <alignment horizontal="center" vertical="center" shrinkToFit="1"/>
      <protection locked="0"/>
    </xf>
    <xf numFmtId="0" fontId="22" fillId="2" borderId="7" xfId="1" applyFont="1" applyFill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9" fillId="2" borderId="26" xfId="1" applyFont="1" applyFill="1" applyBorder="1" applyAlignment="1" applyProtection="1">
      <alignment horizontal="center" vertical="center" shrinkToFit="1"/>
      <protection locked="0"/>
    </xf>
    <xf numFmtId="0" fontId="9" fillId="2" borderId="27" xfId="1" applyFont="1" applyFill="1" applyBorder="1" applyAlignment="1" applyProtection="1">
      <alignment horizontal="center" vertical="center" shrinkToFit="1"/>
      <protection locked="0"/>
    </xf>
    <xf numFmtId="0" fontId="9" fillId="2" borderId="21" xfId="1" applyFont="1" applyFill="1" applyBorder="1" applyAlignment="1" applyProtection="1">
      <alignment horizontal="center" vertical="center" shrinkToFit="1"/>
      <protection locked="0"/>
    </xf>
    <xf numFmtId="0" fontId="9" fillId="2" borderId="36" xfId="1" applyFont="1" applyFill="1" applyBorder="1" applyAlignment="1" applyProtection="1">
      <alignment horizontal="center" vertical="center" shrinkToFit="1"/>
      <protection locked="0"/>
    </xf>
    <xf numFmtId="0" fontId="9" fillId="2" borderId="37" xfId="1" applyFont="1" applyFill="1" applyBorder="1" applyAlignment="1" applyProtection="1">
      <alignment horizontal="center" vertical="center" shrinkToFit="1"/>
      <protection locked="0"/>
    </xf>
    <xf numFmtId="0" fontId="9" fillId="2" borderId="38" xfId="1" applyFont="1" applyFill="1" applyBorder="1" applyAlignment="1" applyProtection="1">
      <alignment horizontal="center" vertical="center" shrinkToFit="1"/>
      <protection locked="0"/>
    </xf>
    <xf numFmtId="176" fontId="8" fillId="2" borderId="26" xfId="1" applyNumberFormat="1" applyFont="1" applyFill="1" applyBorder="1" applyAlignment="1" applyProtection="1">
      <alignment horizontal="right" vertical="center"/>
      <protection locked="0"/>
    </xf>
    <xf numFmtId="176" fontId="8" fillId="2" borderId="27" xfId="1" applyNumberFormat="1" applyFont="1" applyFill="1" applyBorder="1" applyAlignment="1" applyProtection="1">
      <alignment horizontal="right" vertical="center"/>
      <protection locked="0"/>
    </xf>
    <xf numFmtId="176" fontId="8" fillId="2" borderId="21" xfId="1" applyNumberFormat="1" applyFont="1" applyFill="1" applyBorder="1" applyAlignment="1" applyProtection="1">
      <alignment horizontal="right" vertical="center"/>
      <protection locked="0"/>
    </xf>
    <xf numFmtId="176" fontId="8" fillId="2" borderId="36" xfId="1" applyNumberFormat="1" applyFont="1" applyFill="1" applyBorder="1" applyAlignment="1" applyProtection="1">
      <alignment horizontal="right" vertical="center"/>
      <protection locked="0"/>
    </xf>
    <xf numFmtId="176" fontId="8" fillId="2" borderId="37" xfId="1" applyNumberFormat="1" applyFont="1" applyFill="1" applyBorder="1" applyAlignment="1" applyProtection="1">
      <alignment horizontal="right" vertical="center"/>
      <protection locked="0"/>
    </xf>
    <xf numFmtId="176" fontId="8" fillId="2" borderId="38" xfId="1" applyNumberFormat="1" applyFont="1" applyFill="1" applyBorder="1" applyAlignment="1" applyProtection="1">
      <alignment horizontal="right" vertical="center"/>
      <protection locked="0"/>
    </xf>
    <xf numFmtId="0" fontId="10" fillId="2" borderId="4" xfId="1" applyFont="1" applyFill="1" applyBorder="1" applyAlignment="1" applyProtection="1">
      <alignment horizontal="center" vertical="center" shrinkToFit="1"/>
      <protection locked="0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41" fontId="16" fillId="0" borderId="4" xfId="0" applyNumberFormat="1" applyFont="1" applyBorder="1" applyAlignment="1" applyProtection="1">
      <alignment vertical="center" shrinkToFit="1"/>
      <protection locked="0"/>
    </xf>
    <xf numFmtId="0" fontId="15" fillId="2" borderId="27" xfId="1" applyFont="1" applyFill="1" applyBorder="1" applyAlignment="1" applyProtection="1">
      <alignment horizontal="center" vertical="center"/>
      <protection locked="0"/>
    </xf>
    <xf numFmtId="0" fontId="15" fillId="2" borderId="21" xfId="1" applyFont="1" applyFill="1" applyBorder="1" applyAlignment="1" applyProtection="1">
      <alignment horizontal="center" vertical="center"/>
      <protection locked="0"/>
    </xf>
    <xf numFmtId="0" fontId="15" fillId="2" borderId="29" xfId="1" applyFont="1" applyFill="1" applyBorder="1" applyAlignment="1" applyProtection="1">
      <alignment horizontal="center" vertical="center"/>
      <protection locked="0"/>
    </xf>
    <xf numFmtId="0" fontId="15" fillId="2" borderId="30" xfId="1" applyFont="1" applyFill="1" applyBorder="1" applyAlignment="1" applyProtection="1">
      <alignment horizontal="center" vertical="center"/>
      <protection locked="0"/>
    </xf>
    <xf numFmtId="0" fontId="15" fillId="2" borderId="31" xfId="1" applyFont="1" applyFill="1" applyBorder="1" applyAlignment="1" applyProtection="1">
      <alignment horizontal="center" vertical="center"/>
      <protection locked="0"/>
    </xf>
    <xf numFmtId="176" fontId="8" fillId="2" borderId="7" xfId="1" applyNumberFormat="1" applyFont="1" applyFill="1" applyBorder="1" applyAlignment="1" applyProtection="1">
      <alignment horizontal="right" vertical="center"/>
      <protection locked="0"/>
    </xf>
    <xf numFmtId="177" fontId="8" fillId="2" borderId="7" xfId="1" applyNumberFormat="1" applyFont="1" applyFill="1" applyBorder="1" applyAlignment="1" applyProtection="1">
      <alignment horizontal="right" vertical="center"/>
      <protection locked="0"/>
    </xf>
    <xf numFmtId="0" fontId="7" fillId="2" borderId="7" xfId="1" applyFont="1" applyFill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shrinkToFit="1"/>
      <protection locked="0"/>
    </xf>
    <xf numFmtId="0" fontId="10" fillId="0" borderId="10" xfId="0" applyFont="1" applyBorder="1" applyAlignment="1" applyProtection="1">
      <alignment horizontal="center" vertical="center" shrinkToFit="1"/>
      <protection locked="0"/>
    </xf>
    <xf numFmtId="0" fontId="11" fillId="2" borderId="65" xfId="1" applyFont="1" applyFill="1" applyBorder="1" applyAlignment="1" applyProtection="1">
      <alignment horizontal="center" vertical="center"/>
      <protection locked="0"/>
    </xf>
    <xf numFmtId="0" fontId="11" fillId="2" borderId="66" xfId="1" applyFont="1" applyFill="1" applyBorder="1" applyAlignment="1" applyProtection="1">
      <alignment horizontal="center" vertical="center"/>
      <protection locked="0"/>
    </xf>
    <xf numFmtId="0" fontId="14" fillId="0" borderId="67" xfId="0" applyFont="1" applyBorder="1" applyAlignment="1" applyProtection="1">
      <alignment horizontal="center" vertical="center"/>
      <protection locked="0"/>
    </xf>
    <xf numFmtId="0" fontId="14" fillId="0" borderId="68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22" xfId="0" applyFont="1" applyBorder="1" applyAlignment="1" applyProtection="1">
      <alignment horizontal="center" vertical="center"/>
      <protection locked="0"/>
    </xf>
    <xf numFmtId="0" fontId="9" fillId="2" borderId="7" xfId="1" applyFont="1" applyFill="1" applyBorder="1" applyAlignment="1" applyProtection="1">
      <alignment horizontal="center" vertical="center" shrinkToFit="1"/>
      <protection locked="0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41" fontId="10" fillId="0" borderId="80" xfId="1" applyNumberFormat="1" applyFont="1" applyBorder="1" applyAlignment="1" applyProtection="1">
      <alignment horizontal="center" vertical="center" shrinkToFit="1"/>
      <protection locked="0"/>
    </xf>
    <xf numFmtId="41" fontId="10" fillId="0" borderId="16" xfId="1" applyNumberFormat="1" applyFont="1" applyBorder="1" applyAlignment="1" applyProtection="1">
      <alignment horizontal="center" vertical="center" shrinkToFit="1"/>
      <protection locked="0"/>
    </xf>
    <xf numFmtId="41" fontId="10" fillId="0" borderId="17" xfId="1" applyNumberFormat="1" applyFont="1" applyBorder="1" applyAlignment="1" applyProtection="1">
      <alignment horizontal="center" vertical="center" shrinkToFit="1"/>
      <protection locked="0"/>
    </xf>
    <xf numFmtId="41" fontId="10" fillId="0" borderId="85" xfId="0" applyNumberFormat="1" applyFont="1" applyBorder="1" applyAlignment="1" applyProtection="1">
      <alignment horizontal="center" vertical="center"/>
      <protection locked="0"/>
    </xf>
    <xf numFmtId="41" fontId="16" fillId="2" borderId="24" xfId="1" applyNumberFormat="1" applyFont="1" applyFill="1" applyBorder="1" applyAlignment="1" applyProtection="1">
      <alignment horizontal="center" vertical="center" shrinkToFit="1"/>
      <protection locked="0"/>
    </xf>
    <xf numFmtId="41" fontId="16" fillId="2" borderId="62" xfId="1" applyNumberFormat="1" applyFont="1" applyFill="1" applyBorder="1" applyAlignment="1" applyProtection="1">
      <alignment horizontal="center" vertical="center" shrinkToFit="1"/>
      <protection locked="0"/>
    </xf>
    <xf numFmtId="0" fontId="9" fillId="2" borderId="54" xfId="1" applyFont="1" applyFill="1" applyBorder="1" applyAlignment="1" applyProtection="1">
      <alignment horizontal="center" vertical="center" wrapText="1" shrinkToFit="1"/>
      <protection locked="0"/>
    </xf>
    <xf numFmtId="41" fontId="10" fillId="0" borderId="18" xfId="0" applyNumberFormat="1" applyFont="1" applyBorder="1" applyAlignment="1" applyProtection="1">
      <alignment vertical="center" shrinkToFit="1"/>
      <protection locked="0"/>
    </xf>
    <xf numFmtId="41" fontId="10" fillId="0" borderId="19" xfId="0" applyNumberFormat="1" applyFont="1" applyBorder="1" applyAlignment="1" applyProtection="1">
      <alignment vertical="center" shrinkToFit="1"/>
      <protection locked="0"/>
    </xf>
    <xf numFmtId="41" fontId="10" fillId="0" borderId="8" xfId="0" applyNumberFormat="1" applyFont="1" applyBorder="1" applyAlignment="1" applyProtection="1">
      <alignment vertical="center" shrinkToFit="1"/>
      <protection locked="0"/>
    </xf>
    <xf numFmtId="0" fontId="9" fillId="2" borderId="55" xfId="1" applyFont="1" applyFill="1" applyBorder="1" applyAlignment="1" applyProtection="1">
      <alignment horizontal="center" vertical="center" wrapText="1" shrinkToFit="1"/>
      <protection locked="0"/>
    </xf>
    <xf numFmtId="0" fontId="9" fillId="2" borderId="56" xfId="1" applyFont="1" applyFill="1" applyBorder="1" applyAlignment="1" applyProtection="1">
      <alignment horizontal="center" vertical="center" wrapText="1" shrinkToFit="1"/>
      <protection locked="0"/>
    </xf>
    <xf numFmtId="0" fontId="9" fillId="2" borderId="57" xfId="1" applyFont="1" applyFill="1" applyBorder="1" applyAlignment="1" applyProtection="1">
      <alignment horizontal="center" vertical="center" wrapText="1" shrinkToFit="1"/>
      <protection locked="0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2" borderId="54" xfId="1" applyFont="1" applyFill="1" applyBorder="1" applyAlignment="1" applyProtection="1">
      <alignment horizontal="center" vertical="center" shrinkToFit="1"/>
      <protection locked="0"/>
    </xf>
    <xf numFmtId="0" fontId="10" fillId="2" borderId="55" xfId="1" applyFont="1" applyFill="1" applyBorder="1" applyAlignment="1" applyProtection="1">
      <alignment horizontal="center" vertical="center" shrinkToFit="1"/>
      <protection locked="0"/>
    </xf>
    <xf numFmtId="0" fontId="10" fillId="2" borderId="20" xfId="1" applyFont="1" applyFill="1" applyBorder="1" applyAlignment="1" applyProtection="1">
      <alignment horizontal="center" vertical="center" shrinkToFit="1"/>
      <protection locked="0"/>
    </xf>
  </cellXfs>
  <cellStyles count="4">
    <cellStyle name="쉼표 [0]" xfId="2" builtinId="6"/>
    <cellStyle name="표준" xfId="0" builtinId="0"/>
    <cellStyle name="표준 2" xfId="3" xr:uid="{889FA351-C5C0-4D2E-89C0-19A2F6B9DAA1}"/>
    <cellStyle name="표준_거래명세서(부가세포함넓은양식)" xfId="1" xr:uid="{00000000-0005-0000-0000-000001000000}"/>
  </cellStyles>
  <dxfs count="16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T14"/>
  <sheetViews>
    <sheetView tabSelected="1" zoomScale="55" zoomScaleNormal="55" workbookViewId="0">
      <selection activeCell="B54" sqref="B54"/>
    </sheetView>
  </sheetViews>
  <sheetFormatPr defaultRowHeight="13.5" x14ac:dyDescent="0.15"/>
  <cols>
    <col min="1" max="1" width="29.21875" bestFit="1" customWidth="1"/>
    <col min="2" max="31" width="29.21875" customWidth="1"/>
    <col min="32" max="33" width="20.77734375" bestFit="1" customWidth="1"/>
    <col min="34" max="34" width="15.33203125" bestFit="1" customWidth="1"/>
  </cols>
  <sheetData>
    <row r="1" spans="1:98" ht="24.95" customHeight="1" x14ac:dyDescent="0.3">
      <c r="A1" s="27" t="s" ph="1">
        <v>119</v>
      </c>
      <c r="B1" s="27" ph="1"/>
      <c r="C1" s="27" t="s" ph="1">
        <v>97</v>
      </c>
      <c r="D1" s="27" ph="1"/>
      <c r="E1" s="27" ph="1"/>
      <c r="F1" s="27" ph="1"/>
      <c r="G1" s="27" ph="1"/>
      <c r="H1" s="27" ph="1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19"/>
      <c r="AG1" s="19" ph="1"/>
      <c r="AH1" ph="1"/>
      <c r="AI1" ph="1"/>
      <c r="AJ1" ph="1"/>
      <c r="AK1" ph="1"/>
      <c r="AL1" ph="1"/>
      <c r="AM1" ph="1"/>
      <c r="AN1" ph="1"/>
      <c r="AO1" ph="1"/>
      <c r="AP1" ph="1"/>
      <c r="AQ1" ph="1"/>
      <c r="AR1" ph="1"/>
      <c r="AS1" ph="1"/>
      <c r="AT1" ph="1"/>
      <c r="AU1" ph="1"/>
      <c r="AV1" ph="1"/>
      <c r="AW1" ph="1"/>
      <c r="AX1" ph="1"/>
      <c r="AY1" ph="1"/>
      <c r="AZ1" ph="1"/>
      <c r="BA1" ph="1"/>
      <c r="BB1" ph="1"/>
      <c r="BC1" ph="1"/>
      <c r="BD1" ph="1"/>
      <c r="BE1" ph="1"/>
      <c r="BF1" ph="1"/>
      <c r="BG1" ph="1"/>
      <c r="BH1" ph="1"/>
      <c r="BI1" ph="1"/>
      <c r="BJ1" ph="1"/>
      <c r="BK1" ph="1"/>
      <c r="BL1" ph="1"/>
      <c r="BM1" ph="1"/>
      <c r="BN1" ph="1"/>
      <c r="BO1" ph="1"/>
      <c r="BP1" ph="1"/>
      <c r="BQ1" ph="1"/>
      <c r="BR1" ph="1"/>
      <c r="BS1" ph="1"/>
      <c r="BT1" ph="1"/>
      <c r="BU1" ph="1"/>
      <c r="BV1" ph="1"/>
      <c r="BW1" ph="1"/>
      <c r="BX1" ph="1"/>
      <c r="BY1" ph="1"/>
      <c r="BZ1" ph="1"/>
      <c r="CA1" ph="1"/>
      <c r="CB1" ph="1"/>
      <c r="CC1" ph="1"/>
      <c r="CD1" ph="1"/>
      <c r="CE1" ph="1"/>
      <c r="CF1" ph="1"/>
      <c r="CG1" ph="1"/>
      <c r="CH1" ph="1"/>
      <c r="CI1" ph="1"/>
      <c r="CJ1" ph="1"/>
      <c r="CK1" ph="1"/>
      <c r="CL1" ph="1"/>
      <c r="CM1" ph="1"/>
      <c r="CN1" ph="1"/>
      <c r="CO1" ph="1"/>
      <c r="CP1" ph="1"/>
      <c r="CQ1" ph="1"/>
      <c r="CR1" ph="1"/>
      <c r="CS1" ph="1"/>
      <c r="CT1" ph="1"/>
    </row>
    <row r="2" spans="1:98" ht="24.95" customHeight="1" x14ac:dyDescent="0.15">
      <c r="A2" s="27" t="s">
        <v>120</v>
      </c>
      <c r="B2" s="27"/>
      <c r="C2" s="27" t="s">
        <v>113</v>
      </c>
      <c r="D2" s="27"/>
      <c r="E2" s="27" t="s">
        <v>101</v>
      </c>
      <c r="F2" s="27" t="s">
        <v>98</v>
      </c>
      <c r="G2" s="27" t="s">
        <v>109</v>
      </c>
      <c r="H2" s="27" t="s">
        <v>89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spans="1:98" ht="24.95" customHeight="1" x14ac:dyDescent="0.15">
      <c r="A3" s="28" t="s">
        <v>115</v>
      </c>
      <c r="B3" s="28"/>
      <c r="C3" s="28"/>
      <c r="D3" s="28"/>
      <c r="E3" s="28">
        <v>15</v>
      </c>
      <c r="F3" s="28"/>
      <c r="G3" s="28"/>
      <c r="H3" s="28">
        <v>15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98" ht="24.95" customHeight="1" x14ac:dyDescent="0.15">
      <c r="A4" s="28" t="s">
        <v>121</v>
      </c>
      <c r="B4" s="28"/>
      <c r="C4" s="28"/>
      <c r="D4" s="28"/>
      <c r="E4" s="28"/>
      <c r="F4" s="28">
        <v>15</v>
      </c>
      <c r="G4" s="28"/>
      <c r="H4" s="28">
        <v>15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1:98" ht="24.95" customHeight="1" x14ac:dyDescent="0.15">
      <c r="A5" s="28" t="s">
        <v>122</v>
      </c>
      <c r="B5" s="28"/>
      <c r="C5" s="28">
        <v>36</v>
      </c>
      <c r="D5" s="28"/>
      <c r="E5" s="28"/>
      <c r="F5" s="28"/>
      <c r="G5" s="28"/>
      <c r="H5" s="28">
        <v>36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spans="1:98" ht="24.95" customHeight="1" x14ac:dyDescent="0.15">
      <c r="A6" s="28" t="s">
        <v>107</v>
      </c>
      <c r="B6" s="28"/>
      <c r="C6" s="28"/>
      <c r="D6" s="28"/>
      <c r="E6" s="28"/>
      <c r="F6" s="28"/>
      <c r="G6" s="28">
        <v>15</v>
      </c>
      <c r="H6" s="28">
        <v>15</v>
      </c>
    </row>
    <row r="7" spans="1:98" ht="24.95" customHeight="1" x14ac:dyDescent="0.15">
      <c r="A7" s="28" t="s">
        <v>114</v>
      </c>
      <c r="B7" s="28"/>
      <c r="C7" s="28"/>
      <c r="D7" s="28"/>
      <c r="E7" s="28"/>
      <c r="F7" s="28">
        <v>15</v>
      </c>
      <c r="G7" s="28"/>
      <c r="H7" s="28">
        <v>15</v>
      </c>
      <c r="Y7" t="s">
        <v>99</v>
      </c>
    </row>
    <row r="8" spans="1:98" ht="24.95" customHeight="1" x14ac:dyDescent="0.15">
      <c r="A8" s="28" t="s">
        <v>123</v>
      </c>
      <c r="B8" s="28"/>
      <c r="C8" s="28"/>
      <c r="D8" s="28"/>
      <c r="E8" s="28"/>
      <c r="F8" s="28"/>
      <c r="G8" s="28">
        <v>15</v>
      </c>
      <c r="H8" s="28">
        <v>15</v>
      </c>
      <c r="Y8" t="s">
        <v>100</v>
      </c>
    </row>
    <row r="9" spans="1:98" ht="24.95" customHeight="1" x14ac:dyDescent="0.15">
      <c r="A9" s="28" t="s">
        <v>110</v>
      </c>
      <c r="B9" s="28"/>
      <c r="C9" s="28">
        <v>24</v>
      </c>
      <c r="D9" s="28"/>
      <c r="E9" s="28">
        <v>15</v>
      </c>
      <c r="F9" s="28"/>
      <c r="G9" s="28"/>
      <c r="H9" s="28">
        <v>39</v>
      </c>
    </row>
    <row r="10" spans="1:98" ht="24.95" customHeight="1" x14ac:dyDescent="0.15">
      <c r="A10" s="28" t="s">
        <v>89</v>
      </c>
      <c r="B10" s="28"/>
      <c r="C10" s="28">
        <v>60</v>
      </c>
      <c r="D10" s="28"/>
      <c r="E10" s="28">
        <v>30</v>
      </c>
      <c r="F10" s="28">
        <v>30</v>
      </c>
      <c r="G10" s="28">
        <v>30</v>
      </c>
      <c r="H10" s="28">
        <v>150</v>
      </c>
    </row>
    <row r="11" spans="1:98" ht="24.95" customHeight="1" x14ac:dyDescent="0.15"/>
    <row r="12" spans="1:98" ht="24.95" customHeight="1" x14ac:dyDescent="0.15"/>
    <row r="13" spans="1:98" ht="24.95" customHeight="1" x14ac:dyDescent="0.15"/>
    <row r="14" spans="1:98" ht="24.95" customHeight="1" x14ac:dyDescent="0.15"/>
  </sheetData>
  <phoneticPr fontId="5" type="noConversion"/>
  <pageMargins left="0.7" right="0.7" top="0.75" bottom="0.75" header="0.3" footer="0.3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H53"/>
  <sheetViews>
    <sheetView zoomScaleNormal="100" workbookViewId="0">
      <selection activeCell="AK25" sqref="AK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5" width="2.33203125" style="5"/>
    <col min="36" max="36" width="23.5546875" style="5" customWidth="1"/>
    <col min="37" max="37" width="29.109375" style="5" customWidth="1"/>
    <col min="38" max="38" width="2.33203125" style="5"/>
    <col min="39" max="39" width="5.6640625" style="5" bestFit="1" customWidth="1"/>
    <col min="40" max="16384" width="2.33203125" style="5"/>
  </cols>
  <sheetData>
    <row r="1" spans="2:34" ht="14.25" thickBot="1" x14ac:dyDescent="0.2"/>
    <row r="2" spans="2:34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4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4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52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4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4" ht="12" customHeight="1" x14ac:dyDescent="0.15">
      <c r="B6" s="138"/>
      <c r="C6" s="141" t="s">
        <v>15</v>
      </c>
      <c r="D6" s="141"/>
      <c r="E6" s="141"/>
      <c r="F6" s="141"/>
      <c r="G6" s="157" t="s">
        <v>20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4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4" ht="12" customHeight="1" x14ac:dyDescent="0.15">
      <c r="B8" s="138"/>
      <c r="C8" s="141" t="s">
        <v>4</v>
      </c>
      <c r="D8" s="149"/>
      <c r="E8" s="149"/>
      <c r="F8" s="149"/>
      <c r="G8" s="167" t="s">
        <v>19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4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4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4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4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4" ht="14.25" customHeight="1" x14ac:dyDescent="0.15">
      <c r="B13" s="166"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104</v>
      </c>
      <c r="AB13" s="30"/>
      <c r="AC13" s="30"/>
      <c r="AD13" s="30"/>
      <c r="AE13" s="30"/>
      <c r="AF13" s="30"/>
      <c r="AG13" s="30"/>
      <c r="AH13" s="31"/>
    </row>
    <row r="14" spans="2:34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</row>
    <row r="15" spans="2:34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</row>
    <row r="16" spans="2:34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15</v>
      </c>
      <c r="S16" s="45"/>
      <c r="T16" s="45"/>
      <c r="U16" s="46"/>
      <c r="V16" s="124">
        <f t="shared" si="0"/>
        <v>1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</row>
    <row r="17" spans="2:34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</row>
    <row r="18" spans="2:34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</row>
    <row r="19" spans="2:34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4" ht="13.5" customHeight="1" x14ac:dyDescent="0.15">
      <c r="B20" s="6"/>
      <c r="C20" s="12"/>
      <c r="D20" s="7"/>
      <c r="E20" s="41"/>
      <c r="F20" s="42"/>
      <c r="G20" s="42"/>
      <c r="H20" s="42"/>
      <c r="I20" s="42"/>
      <c r="J20" s="42"/>
      <c r="K20" s="42"/>
      <c r="L20" s="43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4" ht="12.75" customHeight="1" x14ac:dyDescent="0.15">
      <c r="B21" s="6"/>
      <c r="C21" s="12"/>
      <c r="D21" s="7"/>
      <c r="E21" s="41"/>
      <c r="F21" s="42"/>
      <c r="G21" s="42"/>
      <c r="H21" s="42"/>
      <c r="I21" s="42"/>
      <c r="J21" s="42"/>
      <c r="K21" s="42"/>
      <c r="L21" s="43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4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4" ht="12.75" customHeight="1" x14ac:dyDescent="0.15">
      <c r="B23" s="6"/>
      <c r="C23" s="12"/>
      <c r="D23" s="7"/>
      <c r="E23" s="41"/>
      <c r="F23" s="42"/>
      <c r="G23" s="42"/>
      <c r="H23" s="42"/>
      <c r="I23" s="42"/>
      <c r="J23" s="42"/>
      <c r="K23" s="42"/>
      <c r="L23" s="43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4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15</v>
      </c>
      <c r="S24" s="225"/>
      <c r="T24" s="225"/>
      <c r="U24" s="225"/>
      <c r="V24" s="33">
        <f>SUM(V13:Z23)</f>
        <v>1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4" ht="17.25" customHeight="1" x14ac:dyDescent="0.15">
      <c r="B25" s="59" t="s">
        <v>17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1"/>
      <c r="W25" s="65" t="str">
        <f>G8</f>
        <v>강원도 원주시 문막읍 원문로 2570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4" ht="18.75" customHeight="1" thickBot="1" x14ac:dyDescent="0.2"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4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4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4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ht="20.100000000000001" customHeight="1" x14ac:dyDescent="0.15">
      <c r="B29" s="71" t="s">
        <v>12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3"/>
    </row>
    <row r="30" spans="2:34" ht="20.100000000000001" customHeight="1" x14ac:dyDescent="0.15"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6"/>
    </row>
    <row r="31" spans="2:34" ht="13.5" customHeight="1" x14ac:dyDescent="0.15">
      <c r="B31" s="92" t="s">
        <v>0</v>
      </c>
      <c r="C31" s="77" t="str">
        <f>C4</f>
        <v>등록번호</v>
      </c>
      <c r="D31" s="78"/>
      <c r="E31" s="78"/>
      <c r="F31" s="79"/>
      <c r="G31" s="211" t="str">
        <f>G4</f>
        <v>VV16 (주)지에스리테일원주일배</v>
      </c>
      <c r="H31" s="212"/>
      <c r="I31" s="212"/>
      <c r="J31" s="212"/>
      <c r="K31" s="212"/>
      <c r="L31" s="212"/>
      <c r="M31" s="212"/>
      <c r="N31" s="212"/>
      <c r="O31" s="212"/>
      <c r="P31" s="213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4" ht="13.5" customHeight="1" x14ac:dyDescent="0.15">
      <c r="B32" s="92"/>
      <c r="C32" s="80"/>
      <c r="D32" s="81"/>
      <c r="E32" s="81"/>
      <c r="F32" s="82"/>
      <c r="G32" s="214"/>
      <c r="H32" s="215"/>
      <c r="I32" s="215"/>
      <c r="J32" s="215"/>
      <c r="K32" s="215"/>
      <c r="L32" s="215"/>
      <c r="M32" s="215"/>
      <c r="N32" s="215"/>
      <c r="O32" s="215"/>
      <c r="P32" s="216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77" t="str">
        <f>C6</f>
        <v>상 호
(법인명)</v>
      </c>
      <c r="D33" s="78"/>
      <c r="E33" s="78"/>
      <c r="F33" s="79"/>
      <c r="G33" s="93" t="str">
        <f>G6</f>
        <v>원주센터</v>
      </c>
      <c r="H33" s="94"/>
      <c r="I33" s="94"/>
      <c r="J33" s="94"/>
      <c r="K33" s="94"/>
      <c r="L33" s="94"/>
      <c r="M33" s="94"/>
      <c r="N33" s="94"/>
      <c r="O33" s="94"/>
      <c r="P33" s="95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0"/>
      <c r="D34" s="81"/>
      <c r="E34" s="81"/>
      <c r="F34" s="82"/>
      <c r="G34" s="96"/>
      <c r="H34" s="97"/>
      <c r="I34" s="97"/>
      <c r="J34" s="97"/>
      <c r="K34" s="97"/>
      <c r="L34" s="97"/>
      <c r="M34" s="97"/>
      <c r="N34" s="97"/>
      <c r="O34" s="97"/>
      <c r="P34" s="98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ht="13.5" customHeight="1" x14ac:dyDescent="0.15">
      <c r="B35" s="92"/>
      <c r="C35" s="77" t="s">
        <v>4</v>
      </c>
      <c r="D35" s="78"/>
      <c r="E35" s="78"/>
      <c r="F35" s="79"/>
      <c r="G35" s="83" t="str">
        <f>G8</f>
        <v>강원도 원주시 문막읍 원문로 2570</v>
      </c>
      <c r="H35" s="84"/>
      <c r="I35" s="84"/>
      <c r="J35" s="84"/>
      <c r="K35" s="84"/>
      <c r="L35" s="84"/>
      <c r="M35" s="84"/>
      <c r="N35" s="84"/>
      <c r="O35" s="84"/>
      <c r="P35" s="85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80"/>
      <c r="D36" s="81"/>
      <c r="E36" s="81"/>
      <c r="F36" s="82"/>
      <c r="G36" s="86"/>
      <c r="H36" s="87"/>
      <c r="I36" s="87"/>
      <c r="J36" s="87"/>
      <c r="K36" s="87"/>
      <c r="L36" s="87"/>
      <c r="M36" s="87"/>
      <c r="N36" s="87"/>
      <c r="O36" s="87"/>
      <c r="P36" s="88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77" t="s">
        <v>6</v>
      </c>
      <c r="D37" s="78"/>
      <c r="E37" s="78"/>
      <c r="F37" s="79"/>
      <c r="G37" s="217"/>
      <c r="H37" s="218"/>
      <c r="I37" s="218"/>
      <c r="J37" s="218"/>
      <c r="K37" s="218"/>
      <c r="L37" s="218"/>
      <c r="M37" s="218"/>
      <c r="N37" s="218"/>
      <c r="O37" s="218"/>
      <c r="P37" s="219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3.5" customHeight="1" thickBot="1" x14ac:dyDescent="0.2">
      <c r="B38" s="92"/>
      <c r="C38" s="80"/>
      <c r="D38" s="81"/>
      <c r="E38" s="81"/>
      <c r="F38" s="82"/>
      <c r="G38" s="220"/>
      <c r="H38" s="221"/>
      <c r="I38" s="221"/>
      <c r="J38" s="221"/>
      <c r="K38" s="221"/>
      <c r="L38" s="221"/>
      <c r="M38" s="221"/>
      <c r="N38" s="221"/>
      <c r="O38" s="221"/>
      <c r="P38" s="22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15</v>
      </c>
      <c r="S43" s="54"/>
      <c r="T43" s="54"/>
      <c r="U43" s="55"/>
      <c r="V43" s="56">
        <f t="shared" si="4"/>
        <v>1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15</v>
      </c>
      <c r="S51" s="114"/>
      <c r="T51" s="114"/>
      <c r="U51" s="114"/>
      <c r="V51" s="205">
        <f>V24</f>
        <v>1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9"/>
      <c r="W52" s="192" t="str">
        <f>W25</f>
        <v>강원도 원주시 문막읍 원문로 2570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189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1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B24:D24"/>
    <mergeCell ref="M47:Q47"/>
    <mergeCell ref="R47:U47"/>
    <mergeCell ref="E39:L39"/>
    <mergeCell ref="M39:Q39"/>
    <mergeCell ref="R39:U39"/>
    <mergeCell ref="E43:L43"/>
    <mergeCell ref="M43:Q43"/>
    <mergeCell ref="R43:U43"/>
    <mergeCell ref="C31:F32"/>
    <mergeCell ref="G31:P32"/>
    <mergeCell ref="Q31:Q38"/>
    <mergeCell ref="R31:U32"/>
    <mergeCell ref="C37:F38"/>
    <mergeCell ref="G37:P38"/>
    <mergeCell ref="R37:U38"/>
    <mergeCell ref="M24:Q24"/>
    <mergeCell ref="R24:U24"/>
    <mergeCell ref="E44:L44"/>
    <mergeCell ref="M44:Q44"/>
    <mergeCell ref="R44:U44"/>
    <mergeCell ref="B52:V53"/>
    <mergeCell ref="W52:AH53"/>
    <mergeCell ref="E50:L50"/>
    <mergeCell ref="M50:Q50"/>
    <mergeCell ref="R50:U50"/>
    <mergeCell ref="E49:L49"/>
    <mergeCell ref="M49:Q49"/>
    <mergeCell ref="R49:U49"/>
    <mergeCell ref="B51:D51"/>
    <mergeCell ref="E51:L51"/>
    <mergeCell ref="M51:Q51"/>
    <mergeCell ref="R51:U51"/>
    <mergeCell ref="V49:Z49"/>
    <mergeCell ref="AA49:AH49"/>
    <mergeCell ref="V50:Z50"/>
    <mergeCell ref="AA50:AH50"/>
    <mergeCell ref="V51:Z51"/>
    <mergeCell ref="AA51:AH51"/>
    <mergeCell ref="E12:L12"/>
    <mergeCell ref="M12:Q12"/>
    <mergeCell ref="R12:U12"/>
    <mergeCell ref="E22:L22"/>
    <mergeCell ref="M22:Q22"/>
    <mergeCell ref="R22:U22"/>
    <mergeCell ref="E24:L24"/>
    <mergeCell ref="R19:U19"/>
    <mergeCell ref="E20:L20"/>
    <mergeCell ref="M20:Q20"/>
    <mergeCell ref="R20:U20"/>
    <mergeCell ref="E23:L23"/>
    <mergeCell ref="M23:Q23"/>
    <mergeCell ref="R23:U23"/>
    <mergeCell ref="E21:L21"/>
    <mergeCell ref="M21:Q21"/>
    <mergeCell ref="R21:U21"/>
    <mergeCell ref="R16:U16"/>
    <mergeCell ref="M16:Q16"/>
    <mergeCell ref="E16:L16"/>
    <mergeCell ref="R17:U17"/>
    <mergeCell ref="M17:Q17"/>
    <mergeCell ref="E17:L17"/>
    <mergeCell ref="E14:L14"/>
    <mergeCell ref="G8:P9"/>
    <mergeCell ref="R8:U9"/>
    <mergeCell ref="V8:AH9"/>
    <mergeCell ref="C10:F11"/>
    <mergeCell ref="G10:P11"/>
    <mergeCell ref="R10:U11"/>
    <mergeCell ref="V10:AA11"/>
    <mergeCell ref="AB10:AC11"/>
    <mergeCell ref="AD10:AH11"/>
    <mergeCell ref="B40:D40"/>
    <mergeCell ref="B2:AH3"/>
    <mergeCell ref="B4:B11"/>
    <mergeCell ref="C4:F5"/>
    <mergeCell ref="G4:P5"/>
    <mergeCell ref="Q4:Q11"/>
    <mergeCell ref="R4:U5"/>
    <mergeCell ref="V4:AH5"/>
    <mergeCell ref="E18:L18"/>
    <mergeCell ref="M18:Q18"/>
    <mergeCell ref="R18:U18"/>
    <mergeCell ref="C6:F7"/>
    <mergeCell ref="G6:P7"/>
    <mergeCell ref="R6:U7"/>
    <mergeCell ref="V6:AA7"/>
    <mergeCell ref="AB6:AC7"/>
    <mergeCell ref="AD6:AH7"/>
    <mergeCell ref="M13:Q13"/>
    <mergeCell ref="R13:U13"/>
    <mergeCell ref="E13:L13"/>
    <mergeCell ref="B13:D13"/>
    <mergeCell ref="E19:L19"/>
    <mergeCell ref="M19:Q19"/>
    <mergeCell ref="C8:F9"/>
    <mergeCell ref="V12:Z12"/>
    <mergeCell ref="AA12:AH12"/>
    <mergeCell ref="V13:Z13"/>
    <mergeCell ref="V16:Z16"/>
    <mergeCell ref="V17:Z17"/>
    <mergeCell ref="V18:Z18"/>
    <mergeCell ref="V19:Z19"/>
    <mergeCell ref="V20:Z20"/>
    <mergeCell ref="V21:Z21"/>
    <mergeCell ref="AA13:AH13"/>
    <mergeCell ref="AA16:AH16"/>
    <mergeCell ref="AA17:AH17"/>
    <mergeCell ref="AA18:AH18"/>
    <mergeCell ref="AA19:AH19"/>
    <mergeCell ref="AA20:AH20"/>
    <mergeCell ref="AA21:AH21"/>
    <mergeCell ref="V14:Z14"/>
    <mergeCell ref="AA14:AH14"/>
    <mergeCell ref="V15:Z15"/>
    <mergeCell ref="AA15:AH15"/>
    <mergeCell ref="AA39:AH39"/>
    <mergeCell ref="V40:Z40"/>
    <mergeCell ref="AA40:AH40"/>
    <mergeCell ref="V43:Z4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V48:Z48"/>
    <mergeCell ref="AA48:AH48"/>
    <mergeCell ref="AA41:AH41"/>
    <mergeCell ref="E42:L42"/>
    <mergeCell ref="M42:Q42"/>
    <mergeCell ref="R42:U42"/>
    <mergeCell ref="V42:Z42"/>
    <mergeCell ref="AA42:AH42"/>
    <mergeCell ref="E47:L47"/>
    <mergeCell ref="E48:L48"/>
    <mergeCell ref="M48:Q48"/>
    <mergeCell ref="R48:U48"/>
    <mergeCell ref="E46:L46"/>
    <mergeCell ref="M46:Q46"/>
    <mergeCell ref="R46:U46"/>
    <mergeCell ref="M45:Q45"/>
    <mergeCell ref="R45:U45"/>
    <mergeCell ref="E45:L45"/>
    <mergeCell ref="M14:Q14"/>
    <mergeCell ref="R14:U14"/>
    <mergeCell ref="E15:L15"/>
    <mergeCell ref="M15:Q15"/>
    <mergeCell ref="R15:U15"/>
    <mergeCell ref="E41:L41"/>
    <mergeCell ref="M41:Q41"/>
    <mergeCell ref="R41:U41"/>
    <mergeCell ref="V41:Z41"/>
    <mergeCell ref="V39:Z39"/>
    <mergeCell ref="B25:V26"/>
    <mergeCell ref="W25:AH26"/>
    <mergeCell ref="B29:AH30"/>
    <mergeCell ref="C35:F36"/>
    <mergeCell ref="G35:P36"/>
    <mergeCell ref="R35:U36"/>
    <mergeCell ref="V35:AH36"/>
    <mergeCell ref="B31:B38"/>
    <mergeCell ref="C33:F34"/>
    <mergeCell ref="G33:P34"/>
    <mergeCell ref="R33:U34"/>
    <mergeCell ref="AD33:AH34"/>
    <mergeCell ref="V33:AA34"/>
    <mergeCell ref="AD37:AH38"/>
    <mergeCell ref="AA22:AH22"/>
    <mergeCell ref="AA23:AH23"/>
    <mergeCell ref="V22:Z22"/>
    <mergeCell ref="V23:Z23"/>
    <mergeCell ref="V24:Z24"/>
    <mergeCell ref="AA24:AH24"/>
    <mergeCell ref="AB33:AC34"/>
    <mergeCell ref="V31:AH32"/>
    <mergeCell ref="V37:AA38"/>
    <mergeCell ref="AB37:AC38"/>
  </mergeCells>
  <phoneticPr fontId="5" type="noConversion"/>
  <conditionalFormatting sqref="V13 V40:Z40">
    <cfRule type="expression" dxfId="168" priority="114">
      <formula>R13:U23=0</formula>
    </cfRule>
  </conditionalFormatting>
  <conditionalFormatting sqref="V14:V17">
    <cfRule type="expression" dxfId="167" priority="4">
      <formula>R14:U22=0</formula>
    </cfRule>
  </conditionalFormatting>
  <conditionalFormatting sqref="V18:Z24">
    <cfRule type="expression" dxfId="166" priority="12">
      <formula>R18:U26=0</formula>
    </cfRule>
  </conditionalFormatting>
  <conditionalFormatting sqref="V41:Z45">
    <cfRule type="expression" dxfId="165" priority="2">
      <formula>R41:U49=0</formula>
    </cfRule>
  </conditionalFormatting>
  <conditionalFormatting sqref="V46:AH51">
    <cfRule type="expression" dxfId="164" priority="9">
      <formula>R46:U55=0</formula>
    </cfRule>
  </conditionalFormatting>
  <conditionalFormatting sqref="AA13:AH23">
    <cfRule type="expression" dxfId="163" priority="3">
      <formula>R13:R13=0</formula>
    </cfRule>
  </conditionalFormatting>
  <conditionalFormatting sqref="AA40:AH40">
    <cfRule type="expression" dxfId="162" priority="218">
      <formula>R40:U45=0</formula>
    </cfRule>
  </conditionalFormatting>
  <conditionalFormatting sqref="AA41:AH50">
    <cfRule type="expression" dxfId="161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W25 E24:U24 N6:P11 F46:L46 E23:L23 Q2:AH11 G6:L11 H2:P3 G2:G4 E20:L21 E22 C14:D23 M27:M39 C41:D50 C12:D12 C39:D39 R19:U23 R46:U51 M46:M50 E51:Q51 E12:E19 B12:B25 M6:M23 B39:B52 E39:E50" xr:uid="{00000000-0002-0000-01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B1:AK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5" width="2.33203125" style="5"/>
    <col min="36" max="36" width="20.6640625" style="5" bestFit="1" customWidth="1"/>
    <col min="37" max="37" width="3.33203125" style="5" bestFit="1" customWidth="1"/>
    <col min="38" max="16384" width="2.33203125" style="5"/>
  </cols>
  <sheetData>
    <row r="1" spans="2:37" ht="14.25" thickBot="1" x14ac:dyDescent="0.2"/>
    <row r="2" spans="2:37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7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7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53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7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7" ht="12" customHeight="1" x14ac:dyDescent="0.15">
      <c r="B6" s="138"/>
      <c r="C6" s="141" t="s">
        <v>15</v>
      </c>
      <c r="D6" s="141"/>
      <c r="E6" s="141"/>
      <c r="F6" s="141"/>
      <c r="G6" s="157" t="s">
        <v>36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7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7" ht="12" customHeight="1" x14ac:dyDescent="0.15">
      <c r="B8" s="138"/>
      <c r="C8" s="141" t="s">
        <v>4</v>
      </c>
      <c r="D8" s="149"/>
      <c r="E8" s="149"/>
      <c r="F8" s="149"/>
      <c r="G8" s="167" t="s">
        <v>29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7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7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7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7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7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104</v>
      </c>
      <c r="AB13" s="30"/>
      <c r="AC13" s="30"/>
      <c r="AD13" s="30"/>
      <c r="AE13" s="30"/>
      <c r="AF13" s="30"/>
      <c r="AG13" s="30"/>
      <c r="AH13" s="31"/>
      <c r="AJ13" s="19"/>
      <c r="AK13" s="19"/>
    </row>
    <row r="14" spans="2:37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J14" s="19"/>
      <c r="AK14" s="19"/>
    </row>
    <row r="15" spans="2:37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J15" s="19"/>
      <c r="AK15" s="19"/>
    </row>
    <row r="16" spans="2:37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J16" s="19"/>
      <c r="AK16" s="19"/>
    </row>
    <row r="17" spans="2:37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J17" s="19"/>
      <c r="AK17" s="19"/>
    </row>
    <row r="18" spans="2:37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J18" s="19"/>
      <c r="AK18" s="19"/>
    </row>
    <row r="19" spans="2:37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7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7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7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7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7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7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 xml:space="preserve">강원 강릉시 회산로 171-117 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7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7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7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7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7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7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VV69 ㈜지에스리테일강릉일배센터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7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강릉센터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 xml:space="preserve">강원 강릉시 회산로 171-117 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>AA14</f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>AA15</f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 xml:space="preserve">강원 강릉시 회산로 171-117 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60" priority="115">
      <formula>R13:U23=0</formula>
    </cfRule>
  </conditionalFormatting>
  <conditionalFormatting sqref="V14:V17">
    <cfRule type="expression" dxfId="159" priority="8">
      <formula>R14:U22=0</formula>
    </cfRule>
  </conditionalFormatting>
  <conditionalFormatting sqref="V18:Z24">
    <cfRule type="expression" dxfId="158" priority="14">
      <formula>R18:U26=0</formula>
    </cfRule>
  </conditionalFormatting>
  <conditionalFormatting sqref="V41:Z45">
    <cfRule type="expression" dxfId="157" priority="6">
      <formula>R41:U49=0</formula>
    </cfRule>
  </conditionalFormatting>
  <conditionalFormatting sqref="V46:AH51">
    <cfRule type="expression" dxfId="156" priority="2">
      <formula>R46:U55=0</formula>
    </cfRule>
  </conditionalFormatting>
  <conditionalFormatting sqref="AA13:AH18">
    <cfRule type="expression" dxfId="155" priority="7">
      <formula>R13:R13=0</formula>
    </cfRule>
  </conditionalFormatting>
  <conditionalFormatting sqref="AA40:AH40">
    <cfRule type="expression" dxfId="154" priority="3">
      <formula>R40:U45=0</formula>
    </cfRule>
  </conditionalFormatting>
  <conditionalFormatting sqref="AA41:AH50">
    <cfRule type="expression" dxfId="153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2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 tint="-0.499984740745262"/>
  </sheetPr>
  <dimension ref="B1:AM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6" width="2.33203125" style="5"/>
    <col min="37" max="37" width="3.77734375" style="5" customWidth="1"/>
    <col min="38" max="38" width="20.6640625" style="5" bestFit="1" customWidth="1"/>
    <col min="39" max="39" width="3.33203125" style="5" bestFit="1" customWidth="1"/>
    <col min="40" max="42" width="2.33203125" style="5"/>
    <col min="43" max="43" width="5.664062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9" ht="14.25" thickBot="1" x14ac:dyDescent="0.2"/>
    <row r="2" spans="2:39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9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9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61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9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9" ht="12" customHeight="1" x14ac:dyDescent="0.15">
      <c r="B6" s="138"/>
      <c r="C6" s="141" t="s">
        <v>15</v>
      </c>
      <c r="D6" s="141"/>
      <c r="E6" s="141"/>
      <c r="F6" s="141"/>
      <c r="G6" s="157" t="s">
        <v>44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9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9" ht="12" customHeight="1" x14ac:dyDescent="0.15">
      <c r="B8" s="138"/>
      <c r="C8" s="141" t="s">
        <v>4</v>
      </c>
      <c r="D8" s="149"/>
      <c r="E8" s="149"/>
      <c r="F8" s="149"/>
      <c r="G8" s="167" t="s">
        <v>25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9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9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9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9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9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50" t="s">
        <v>104</v>
      </c>
      <c r="AB13" s="251"/>
      <c r="AC13" s="251"/>
      <c r="AD13" s="251"/>
      <c r="AE13" s="251"/>
      <c r="AF13" s="251"/>
      <c r="AG13" s="251"/>
      <c r="AH13" s="252"/>
      <c r="AL13" s="19"/>
      <c r="AM13" s="19"/>
    </row>
    <row r="14" spans="2:39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50" t="s">
        <v>106</v>
      </c>
      <c r="AB14" s="251"/>
      <c r="AC14" s="251"/>
      <c r="AD14" s="251"/>
      <c r="AE14" s="251"/>
      <c r="AF14" s="251"/>
      <c r="AG14" s="251"/>
      <c r="AH14" s="252"/>
      <c r="AL14" s="19"/>
      <c r="AM14" s="19"/>
    </row>
    <row r="15" spans="2:39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50" t="s">
        <v>112</v>
      </c>
      <c r="AB15" s="251"/>
      <c r="AC15" s="251"/>
      <c r="AD15" s="251"/>
      <c r="AE15" s="251"/>
      <c r="AF15" s="251"/>
      <c r="AG15" s="251"/>
      <c r="AH15" s="252"/>
      <c r="AL15" s="19"/>
      <c r="AM15" s="19"/>
    </row>
    <row r="16" spans="2:39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50" t="s">
        <v>111</v>
      </c>
      <c r="AB16" s="251"/>
      <c r="AC16" s="251"/>
      <c r="AD16" s="251"/>
      <c r="AE16" s="251"/>
      <c r="AF16" s="251"/>
      <c r="AG16" s="251"/>
      <c r="AH16" s="252"/>
      <c r="AL16" s="19"/>
      <c r="AM16" s="19"/>
    </row>
    <row r="17" spans="2:39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50" t="s">
        <v>116</v>
      </c>
      <c r="AB17" s="251"/>
      <c r="AC17" s="251"/>
      <c r="AD17" s="251"/>
      <c r="AE17" s="251"/>
      <c r="AF17" s="251"/>
      <c r="AG17" s="251"/>
      <c r="AH17" s="252"/>
      <c r="AL17" s="19"/>
      <c r="AM17" s="19"/>
    </row>
    <row r="18" spans="2:39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50" t="s">
        <v>117</v>
      </c>
      <c r="AB18" s="251"/>
      <c r="AC18" s="251"/>
      <c r="AD18" s="251"/>
      <c r="AE18" s="251"/>
      <c r="AF18" s="251"/>
      <c r="AG18" s="251"/>
      <c r="AH18" s="252"/>
      <c r="AK18" s="22"/>
      <c r="AL18" s="19"/>
      <c r="AM18" s="19"/>
    </row>
    <row r="19" spans="2:39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9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9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9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9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9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9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경상남도 김해시 상동로 680-77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9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9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9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9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9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9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VV57 (주)지에스리테일김해일배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9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김해센터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경상남도 김해시 상동로 680-77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27.09.12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28.09.17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28.09.20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경상남도 김해시 상동로 680-77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52" priority="112">
      <formula>R13:U23=0</formula>
    </cfRule>
  </conditionalFormatting>
  <conditionalFormatting sqref="V14:V17">
    <cfRule type="expression" dxfId="151" priority="8">
      <formula>R14:U22=0</formula>
    </cfRule>
  </conditionalFormatting>
  <conditionalFormatting sqref="V18:Z24">
    <cfRule type="expression" dxfId="150" priority="14">
      <formula>R18:U26=0</formula>
    </cfRule>
  </conditionalFormatting>
  <conditionalFormatting sqref="V41:Z45">
    <cfRule type="expression" dxfId="149" priority="6">
      <formula>R41:U49=0</formula>
    </cfRule>
  </conditionalFormatting>
  <conditionalFormatting sqref="V46:Z50">
    <cfRule type="expression" dxfId="148" priority="211">
      <formula>R40:S40=0</formula>
    </cfRule>
  </conditionalFormatting>
  <conditionalFormatting sqref="V51:AH51">
    <cfRule type="expression" dxfId="147" priority="11">
      <formula>R47:S47=0</formula>
    </cfRule>
  </conditionalFormatting>
  <conditionalFormatting sqref="AA13:AH23">
    <cfRule type="expression" dxfId="146" priority="1">
      <formula>R13:R13=0</formula>
    </cfRule>
  </conditionalFormatting>
  <conditionalFormatting sqref="AA40:AH40">
    <cfRule type="expression" dxfId="145" priority="212">
      <formula>R40:U45=0</formula>
    </cfRule>
  </conditionalFormatting>
  <conditionalFormatting sqref="AA41:AH50">
    <cfRule type="expression" dxfId="144" priority="5">
      <formula>R41:U44=0</formula>
    </cfRule>
  </conditionalFormatting>
  <dataValidations disablePrompts="1"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600-000000000000}"/>
  </dataValidations>
  <pageMargins left="0.7" right="0.7" top="0.75" bottom="0.75" header="0.3" footer="0.3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-0.499984740745262"/>
  </sheetPr>
  <dimension ref="B1:AH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16384" width="2.33203125" style="5"/>
  </cols>
  <sheetData>
    <row r="1" spans="2:34" ht="14.25" thickBot="1" x14ac:dyDescent="0.2"/>
    <row r="2" spans="2:34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4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4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60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4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4" ht="12" customHeight="1" x14ac:dyDescent="0.15">
      <c r="B6" s="138"/>
      <c r="C6" s="141" t="s">
        <v>15</v>
      </c>
      <c r="D6" s="141"/>
      <c r="E6" s="141"/>
      <c r="F6" s="141"/>
      <c r="G6" s="157" t="s">
        <v>43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4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4" ht="12" customHeight="1" x14ac:dyDescent="0.15">
      <c r="B8" s="138"/>
      <c r="C8" s="141" t="s">
        <v>4</v>
      </c>
      <c r="D8" s="149"/>
      <c r="E8" s="149"/>
      <c r="F8" s="149"/>
      <c r="G8" s="167" t="s">
        <v>22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4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4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4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4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4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50" t="s">
        <v>104</v>
      </c>
      <c r="AB13" s="251"/>
      <c r="AC13" s="251"/>
      <c r="AD13" s="251"/>
      <c r="AE13" s="251"/>
      <c r="AF13" s="251"/>
      <c r="AG13" s="251"/>
      <c r="AH13" s="252"/>
    </row>
    <row r="14" spans="2:34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50" t="s">
        <v>106</v>
      </c>
      <c r="AB14" s="251"/>
      <c r="AC14" s="251"/>
      <c r="AD14" s="251"/>
      <c r="AE14" s="251"/>
      <c r="AF14" s="251"/>
      <c r="AG14" s="251"/>
      <c r="AH14" s="252"/>
    </row>
    <row r="15" spans="2:34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50" t="s">
        <v>112</v>
      </c>
      <c r="AB15" s="251"/>
      <c r="AC15" s="251"/>
      <c r="AD15" s="251"/>
      <c r="AE15" s="251"/>
      <c r="AF15" s="251"/>
      <c r="AG15" s="251"/>
      <c r="AH15" s="252"/>
    </row>
    <row r="16" spans="2:34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50" t="s">
        <v>111</v>
      </c>
      <c r="AB16" s="251"/>
      <c r="AC16" s="251"/>
      <c r="AD16" s="251"/>
      <c r="AE16" s="251"/>
      <c r="AF16" s="251"/>
      <c r="AG16" s="251"/>
      <c r="AH16" s="252"/>
    </row>
    <row r="17" spans="2:34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50" t="s">
        <v>116</v>
      </c>
      <c r="AB17" s="251"/>
      <c r="AC17" s="251"/>
      <c r="AD17" s="251"/>
      <c r="AE17" s="251"/>
      <c r="AF17" s="251"/>
      <c r="AG17" s="251"/>
      <c r="AH17" s="252"/>
    </row>
    <row r="18" spans="2:34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50" t="s">
        <v>117</v>
      </c>
      <c r="AB18" s="251"/>
      <c r="AC18" s="251"/>
      <c r="AD18" s="251"/>
      <c r="AE18" s="251"/>
      <c r="AF18" s="251"/>
      <c r="AG18" s="251"/>
      <c r="AH18" s="252"/>
    </row>
    <row r="19" spans="2:34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4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4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4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4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4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4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경상남도 진주시 정촌면 화개천로 40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4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4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4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4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4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VV25 (주)지에스리테일진주일배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4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진주센터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경상남도 진주시 정촌면 화개천로 40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27.09.12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28.09.17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28.09.20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경상남도 진주시 정촌면 화개천로 40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43" priority="103">
      <formula>R13:U23=0</formula>
    </cfRule>
  </conditionalFormatting>
  <conditionalFormatting sqref="V14:V17">
    <cfRule type="expression" dxfId="142" priority="8">
      <formula>R14:U22=0</formula>
    </cfRule>
  </conditionalFormatting>
  <conditionalFormatting sqref="V18:Z24">
    <cfRule type="expression" dxfId="141" priority="15">
      <formula>R18:U26=0</formula>
    </cfRule>
  </conditionalFormatting>
  <conditionalFormatting sqref="V41:Z45">
    <cfRule type="expression" dxfId="140" priority="6">
      <formula>R41:U49=0</formula>
    </cfRule>
  </conditionalFormatting>
  <conditionalFormatting sqref="V46:AH51">
    <cfRule type="expression" dxfId="139" priority="12">
      <formula>R46:U55=0</formula>
    </cfRule>
  </conditionalFormatting>
  <conditionalFormatting sqref="AA13:AH18">
    <cfRule type="expression" dxfId="138" priority="1">
      <formula>R13:R13=0</formula>
    </cfRule>
  </conditionalFormatting>
  <conditionalFormatting sqref="AA40:AH40">
    <cfRule type="expression" dxfId="137" priority="196">
      <formula>R40:U45=0</formula>
    </cfRule>
  </conditionalFormatting>
  <conditionalFormatting sqref="AA41:AH50">
    <cfRule type="expression" dxfId="136" priority="5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300-000000000000}"/>
  </dataValidations>
  <pageMargins left="0.7" right="0.7" top="0.75" bottom="0.75" header="0.3" footer="0.3"/>
  <pageSetup paperSize="9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B1:AK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5" width="2.33203125" style="5"/>
    <col min="36" max="36" width="20.6640625" style="5" bestFit="1" customWidth="1"/>
    <col min="37" max="37" width="3.33203125" style="5" bestFit="1" customWidth="1"/>
    <col min="38" max="38" width="2.33203125" style="5"/>
    <col min="39" max="39" width="5.6640625" style="5" bestFit="1" customWidth="1"/>
    <col min="40" max="40" width="2.33203125" style="5"/>
    <col min="41" max="41" width="5.6640625" style="5" bestFit="1" customWidth="1"/>
    <col min="42" max="16384" width="2.33203125" style="5"/>
  </cols>
  <sheetData>
    <row r="1" spans="2:37" ht="14.25" thickBot="1" x14ac:dyDescent="0.2"/>
    <row r="2" spans="2:37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7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7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66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7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7" ht="12" customHeight="1" x14ac:dyDescent="0.15">
      <c r="B6" s="138"/>
      <c r="C6" s="141" t="s">
        <v>15</v>
      </c>
      <c r="D6" s="141"/>
      <c r="E6" s="141"/>
      <c r="F6" s="141"/>
      <c r="G6" s="157" t="s">
        <v>50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7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7" ht="12" customHeight="1" x14ac:dyDescent="0.15">
      <c r="B8" s="138"/>
      <c r="C8" s="141" t="s">
        <v>4</v>
      </c>
      <c r="D8" s="149"/>
      <c r="E8" s="149"/>
      <c r="F8" s="149"/>
      <c r="G8" s="256" t="s">
        <v>30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7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7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7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7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7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50" t="s">
        <v>105</v>
      </c>
      <c r="AB13" s="251"/>
      <c r="AC13" s="251"/>
      <c r="AD13" s="251"/>
      <c r="AE13" s="251"/>
      <c r="AF13" s="251"/>
      <c r="AG13" s="251"/>
      <c r="AH13" s="252"/>
      <c r="AJ13" s="19"/>
      <c r="AK13" s="19"/>
    </row>
    <row r="14" spans="2:37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156"/>
      <c r="V14" s="253">
        <f t="shared" si="0"/>
        <v>0</v>
      </c>
      <c r="W14" s="125"/>
      <c r="X14" s="125"/>
      <c r="Y14" s="125"/>
      <c r="Z14" s="126"/>
      <c r="AA14" s="250" t="s">
        <v>106</v>
      </c>
      <c r="AB14" s="251"/>
      <c r="AC14" s="251"/>
      <c r="AD14" s="251"/>
      <c r="AE14" s="251"/>
      <c r="AF14" s="251"/>
      <c r="AG14" s="251"/>
      <c r="AH14" s="252"/>
      <c r="AJ14" s="19"/>
      <c r="AK14" s="19"/>
    </row>
    <row r="15" spans="2:37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156"/>
      <c r="V15" s="253">
        <f t="shared" si="0"/>
        <v>0</v>
      </c>
      <c r="W15" s="125"/>
      <c r="X15" s="125"/>
      <c r="Y15" s="125"/>
      <c r="Z15" s="126"/>
      <c r="AA15" s="250" t="s">
        <v>108</v>
      </c>
      <c r="AB15" s="251"/>
      <c r="AC15" s="251"/>
      <c r="AD15" s="251"/>
      <c r="AE15" s="251"/>
      <c r="AF15" s="251"/>
      <c r="AG15" s="251"/>
      <c r="AH15" s="252"/>
      <c r="AJ15" s="19"/>
      <c r="AK15" s="19"/>
    </row>
    <row r="16" spans="2:37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156"/>
      <c r="V16" s="253">
        <f t="shared" si="0"/>
        <v>0</v>
      </c>
      <c r="W16" s="125"/>
      <c r="X16" s="125"/>
      <c r="Y16" s="125"/>
      <c r="Z16" s="126"/>
      <c r="AA16" s="250" t="s">
        <v>111</v>
      </c>
      <c r="AB16" s="251"/>
      <c r="AC16" s="251"/>
      <c r="AD16" s="251"/>
      <c r="AE16" s="251"/>
      <c r="AF16" s="251"/>
      <c r="AG16" s="251"/>
      <c r="AH16" s="252"/>
      <c r="AJ16" s="19"/>
      <c r="AK16" s="19"/>
    </row>
    <row r="17" spans="2:37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156"/>
      <c r="V17" s="253">
        <f t="shared" si="0"/>
        <v>0</v>
      </c>
      <c r="W17" s="125"/>
      <c r="X17" s="125"/>
      <c r="Y17" s="125"/>
      <c r="Z17" s="126"/>
      <c r="AA17" s="250" t="s">
        <v>118</v>
      </c>
      <c r="AB17" s="251"/>
      <c r="AC17" s="251"/>
      <c r="AD17" s="251"/>
      <c r="AE17" s="251"/>
      <c r="AF17" s="251"/>
      <c r="AG17" s="251"/>
      <c r="AH17" s="252"/>
      <c r="AJ17" s="19"/>
      <c r="AK17" s="19"/>
    </row>
    <row r="18" spans="2:37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50" t="s">
        <v>111</v>
      </c>
      <c r="AB18" s="251"/>
      <c r="AC18" s="251"/>
      <c r="AD18" s="251"/>
      <c r="AE18" s="251"/>
      <c r="AF18" s="251"/>
      <c r="AG18" s="251"/>
      <c r="AH18" s="252"/>
      <c r="AJ18" s="19"/>
      <c r="AK18" s="19"/>
    </row>
    <row r="19" spans="2:37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50"/>
      <c r="AB19" s="251"/>
      <c r="AC19" s="251"/>
      <c r="AD19" s="251"/>
      <c r="AE19" s="251"/>
      <c r="AF19" s="251"/>
      <c r="AG19" s="251"/>
      <c r="AH19" s="252"/>
    </row>
    <row r="20" spans="2:37" ht="13.5" customHeight="1" x14ac:dyDescent="0.15">
      <c r="B20" s="6"/>
      <c r="C20" s="12"/>
      <c r="D20" s="7"/>
      <c r="E20" s="223"/>
      <c r="F20" s="224"/>
      <c r="G20" s="224"/>
      <c r="H20" s="224"/>
      <c r="I20" s="224"/>
      <c r="J20" s="224"/>
      <c r="K20" s="224"/>
      <c r="L20" s="224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7" ht="12.75" customHeight="1" x14ac:dyDescent="0.15">
      <c r="B21" s="6"/>
      <c r="C21" s="12"/>
      <c r="D21" s="7"/>
      <c r="E21" s="223"/>
      <c r="F21" s="224"/>
      <c r="G21" s="224"/>
      <c r="H21" s="224"/>
      <c r="I21" s="224"/>
      <c r="J21" s="224"/>
      <c r="K21" s="224"/>
      <c r="L21" s="224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7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7" ht="12.75" customHeight="1" x14ac:dyDescent="0.15">
      <c r="B23" s="6"/>
      <c r="C23" s="12"/>
      <c r="D23" s="7"/>
      <c r="E23" s="223"/>
      <c r="F23" s="224"/>
      <c r="G23" s="224"/>
      <c r="H23" s="224"/>
      <c r="I23" s="224"/>
      <c r="J23" s="224"/>
      <c r="K23" s="224"/>
      <c r="L23" s="224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7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254"/>
      <c r="AB24" s="254"/>
      <c r="AC24" s="254"/>
      <c r="AD24" s="254"/>
      <c r="AE24" s="254"/>
      <c r="AF24" s="254"/>
      <c r="AG24" s="254"/>
      <c r="AH24" s="255"/>
    </row>
    <row r="25" spans="2:37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충청남도 공주시 월미동
월미농공단지길 55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7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7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7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7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7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7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VV04 (주)지에스리테일공주일배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7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공주센터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100" t="str">
        <f>G8</f>
        <v>충청남도 공주시 월미동
월미농공단지길 55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257"/>
      <c r="S46" s="258"/>
      <c r="T46" s="258"/>
      <c r="U46" s="259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257"/>
      <c r="S47" s="258"/>
      <c r="T47" s="258"/>
      <c r="U47" s="259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257"/>
      <c r="S48" s="258"/>
      <c r="T48" s="258"/>
      <c r="U48" s="259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충청남도 공주시 월미동
월미농공단지길 55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B13:D13"/>
    <mergeCell ref="E40:L40"/>
    <mergeCell ref="M40:Q40"/>
    <mergeCell ref="E46:L46"/>
    <mergeCell ref="M46:Q46"/>
    <mergeCell ref="R46:U46"/>
    <mergeCell ref="E44:L44"/>
    <mergeCell ref="M44:Q44"/>
    <mergeCell ref="R44:U44"/>
    <mergeCell ref="E43:L43"/>
    <mergeCell ref="M43:Q43"/>
    <mergeCell ref="R43:U43"/>
    <mergeCell ref="R39:U39"/>
    <mergeCell ref="R40:U40"/>
    <mergeCell ref="C35:F36"/>
    <mergeCell ref="C37:F38"/>
    <mergeCell ref="G37:P38"/>
    <mergeCell ref="E39:L39"/>
    <mergeCell ref="M39:Q39"/>
    <mergeCell ref="B24:D24"/>
    <mergeCell ref="M24:Q24"/>
    <mergeCell ref="R24:U24"/>
    <mergeCell ref="B25:V26"/>
    <mergeCell ref="R18:U18"/>
    <mergeCell ref="AA39:AH39"/>
    <mergeCell ref="V40:Z40"/>
    <mergeCell ref="AA40:AH40"/>
    <mergeCell ref="V43:Z43"/>
    <mergeCell ref="AA43:AH43"/>
    <mergeCell ref="V44:Z44"/>
    <mergeCell ref="AA44:AH44"/>
    <mergeCell ref="V45:Z45"/>
    <mergeCell ref="B52:V53"/>
    <mergeCell ref="W52:AH53"/>
    <mergeCell ref="E50:L50"/>
    <mergeCell ref="M50:Q50"/>
    <mergeCell ref="R50:U50"/>
    <mergeCell ref="B51:D51"/>
    <mergeCell ref="E49:L49"/>
    <mergeCell ref="M49:Q49"/>
    <mergeCell ref="R49:U49"/>
    <mergeCell ref="E51:L51"/>
    <mergeCell ref="M51:Q51"/>
    <mergeCell ref="R51:U51"/>
    <mergeCell ref="V51:Z51"/>
    <mergeCell ref="AA51:AH51"/>
    <mergeCell ref="V50:Z50"/>
    <mergeCell ref="AA50:AH50"/>
    <mergeCell ref="E47:L47"/>
    <mergeCell ref="M47:Q47"/>
    <mergeCell ref="R47:U47"/>
    <mergeCell ref="E48:L48"/>
    <mergeCell ref="M48:Q48"/>
    <mergeCell ref="R48:U48"/>
    <mergeCell ref="V39:Z39"/>
    <mergeCell ref="B31:B38"/>
    <mergeCell ref="AD33:AH34"/>
    <mergeCell ref="Q31:Q38"/>
    <mergeCell ref="G33:P34"/>
    <mergeCell ref="V31:AH32"/>
    <mergeCell ref="AB33:AC34"/>
    <mergeCell ref="V33:AA34"/>
    <mergeCell ref="R33:U34"/>
    <mergeCell ref="R31:U32"/>
    <mergeCell ref="B40:D40"/>
    <mergeCell ref="E45:L45"/>
    <mergeCell ref="M45:Q45"/>
    <mergeCell ref="R45:U45"/>
    <mergeCell ref="AA45:AH45"/>
    <mergeCell ref="V46:Z46"/>
    <mergeCell ref="AA46:AH46"/>
    <mergeCell ref="V47:Z47"/>
    <mergeCell ref="W25:AH26"/>
    <mergeCell ref="G35:P36"/>
    <mergeCell ref="R35:U36"/>
    <mergeCell ref="R37:U38"/>
    <mergeCell ref="V37:AA38"/>
    <mergeCell ref="AB37:AC38"/>
    <mergeCell ref="C33:F34"/>
    <mergeCell ref="V35:AH36"/>
    <mergeCell ref="AD37:AH38"/>
    <mergeCell ref="C31:F32"/>
    <mergeCell ref="G31:P32"/>
    <mergeCell ref="V8:AH9"/>
    <mergeCell ref="E12:L12"/>
    <mergeCell ref="M12:Q12"/>
    <mergeCell ref="R12:U12"/>
    <mergeCell ref="M13:Q13"/>
    <mergeCell ref="R13:U13"/>
    <mergeCell ref="E13:L13"/>
    <mergeCell ref="V12:Z12"/>
    <mergeCell ref="AA12:AH12"/>
    <mergeCell ref="V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E18:L18"/>
    <mergeCell ref="M18:Q18"/>
    <mergeCell ref="C10:F11"/>
    <mergeCell ref="G10:P11"/>
    <mergeCell ref="R10:U11"/>
    <mergeCell ref="V10:AA11"/>
    <mergeCell ref="AB10:AC11"/>
    <mergeCell ref="AD10:AH11"/>
    <mergeCell ref="G6:P7"/>
    <mergeCell ref="R6:U7"/>
    <mergeCell ref="V6:AA7"/>
    <mergeCell ref="AB6:AC7"/>
    <mergeCell ref="AD6:AH7"/>
    <mergeCell ref="C8:F9"/>
    <mergeCell ref="G8:P9"/>
    <mergeCell ref="R8:U9"/>
    <mergeCell ref="E21:L21"/>
    <mergeCell ref="M21:Q21"/>
    <mergeCell ref="R21:U21"/>
    <mergeCell ref="E22:L22"/>
    <mergeCell ref="R22:U22"/>
    <mergeCell ref="E19:L19"/>
    <mergeCell ref="M19:Q19"/>
    <mergeCell ref="R19:U19"/>
    <mergeCell ref="E20:L20"/>
    <mergeCell ref="M20:Q20"/>
    <mergeCell ref="R20:U20"/>
    <mergeCell ref="M22:Q22"/>
    <mergeCell ref="AA47:AH47"/>
    <mergeCell ref="V48:Z48"/>
    <mergeCell ref="AA48:AH48"/>
    <mergeCell ref="V49:Z49"/>
    <mergeCell ref="AA49:AH49"/>
    <mergeCell ref="E24:L24"/>
    <mergeCell ref="B29:AH30"/>
    <mergeCell ref="V18:Z18"/>
    <mergeCell ref="V19:Z19"/>
    <mergeCell ref="V20:Z20"/>
    <mergeCell ref="V21:Z21"/>
    <mergeCell ref="V22:Z22"/>
    <mergeCell ref="V23:Z23"/>
    <mergeCell ref="V24:Z24"/>
    <mergeCell ref="AA24:AH24"/>
    <mergeCell ref="AA18:AH18"/>
    <mergeCell ref="AA19:AH19"/>
    <mergeCell ref="AA20:AH20"/>
    <mergeCell ref="AA21:AH21"/>
    <mergeCell ref="AA22:AH22"/>
    <mergeCell ref="AA23:AH23"/>
    <mergeCell ref="E23:L23"/>
    <mergeCell ref="M23:Q23"/>
    <mergeCell ref="R23:U23"/>
    <mergeCell ref="AA17:AH17"/>
    <mergeCell ref="AA16:AH16"/>
    <mergeCell ref="V17:Z17"/>
    <mergeCell ref="V16:Z16"/>
    <mergeCell ref="R16:U16"/>
    <mergeCell ref="M16:Q16"/>
    <mergeCell ref="E16:L16"/>
    <mergeCell ref="R17:U17"/>
    <mergeCell ref="M17:Q17"/>
    <mergeCell ref="E17:L1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35" priority="105">
      <formula>R13:U23=0</formula>
    </cfRule>
  </conditionalFormatting>
  <conditionalFormatting sqref="V14:V17">
    <cfRule type="expression" dxfId="134" priority="4">
      <formula>R14:U22=0</formula>
    </cfRule>
  </conditionalFormatting>
  <conditionalFormatting sqref="V18:Z24">
    <cfRule type="expression" dxfId="133" priority="11">
      <formula>R18:U26=0</formula>
    </cfRule>
  </conditionalFormatting>
  <conditionalFormatting sqref="V41:Z45">
    <cfRule type="expression" dxfId="132" priority="2">
      <formula>R41:U49=0</formula>
    </cfRule>
  </conditionalFormatting>
  <conditionalFormatting sqref="V46:AH51">
    <cfRule type="expression" dxfId="131" priority="8">
      <formula>R46:U55=0</formula>
    </cfRule>
  </conditionalFormatting>
  <conditionalFormatting sqref="AA13:AH18">
    <cfRule type="expression" dxfId="130" priority="3">
      <formula>R13:R13=0</formula>
    </cfRule>
  </conditionalFormatting>
  <conditionalFormatting sqref="AA40:AH40">
    <cfRule type="expression" dxfId="129" priority="202">
      <formula>R40:U45=0</formula>
    </cfRule>
  </conditionalFormatting>
  <conditionalFormatting sqref="AA41:AH50">
    <cfRule type="expression" dxfId="128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W25 F24:U24 C14:D23 N6:P11 Q2:AH11 G6:L11 H2:P3 G2:G4 F23:Q23 M20:Q22 F20:L21 C12:D12 M27:M39 F46:L46 C39:D39 R19:U23 R46:U51 E51:Q51 M46:M50 E12:E24 C41:D50 B12:B25 M6:M19 B39:B52 E39:E50" xr:uid="{00000000-0002-0000-0B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B1:AM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7" width="2.33203125" style="5"/>
    <col min="38" max="38" width="20.6640625" style="5" bestFit="1" customWidth="1"/>
    <col min="39" max="39" width="3.33203125" style="5" bestFit="1" customWidth="1"/>
    <col min="40" max="16384" width="2.33203125" style="5"/>
  </cols>
  <sheetData>
    <row r="1" spans="2:39" ht="14.25" thickBot="1" x14ac:dyDescent="0.2"/>
    <row r="2" spans="2:39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9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9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65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9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9" ht="12" customHeight="1" x14ac:dyDescent="0.15">
      <c r="B6" s="138"/>
      <c r="C6" s="141" t="s">
        <v>15</v>
      </c>
      <c r="D6" s="141"/>
      <c r="E6" s="141"/>
      <c r="F6" s="141"/>
      <c r="G6" s="157" t="s">
        <v>49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9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9" ht="12" customHeight="1" x14ac:dyDescent="0.15">
      <c r="B8" s="138"/>
      <c r="C8" s="141" t="s">
        <v>4</v>
      </c>
      <c r="D8" s="149"/>
      <c r="E8" s="149"/>
      <c r="F8" s="149"/>
      <c r="G8" s="167" t="s">
        <v>23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9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9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9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9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9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L13" s="19"/>
      <c r="AM13" s="19"/>
    </row>
    <row r="14" spans="2:39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L14" s="19"/>
      <c r="AM14" s="19"/>
    </row>
    <row r="15" spans="2:39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L15" s="19"/>
      <c r="AM15" s="19"/>
    </row>
    <row r="16" spans="2:39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L16" s="19"/>
      <c r="AM16" s="19"/>
    </row>
    <row r="17" spans="2:39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L17" s="19"/>
      <c r="AM17" s="19"/>
    </row>
    <row r="18" spans="2:39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L18" s="19"/>
      <c r="AM18" s="19"/>
    </row>
    <row r="19" spans="2:39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9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9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9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9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9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9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충청북도 청주시 서원구 청남로 801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9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9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9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9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9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9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VV34 (주)지에스리테일청주일배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9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청주센터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충청북도 청주시 서원구 청남로 801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충청북도 청주시 서원구 청남로 801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27" priority="102">
      <formula>R13:U23=0</formula>
    </cfRule>
  </conditionalFormatting>
  <conditionalFormatting sqref="V14:V17">
    <cfRule type="expression" dxfId="126" priority="4">
      <formula>R14:U22=0</formula>
    </cfRule>
  </conditionalFormatting>
  <conditionalFormatting sqref="V18:Z24">
    <cfRule type="expression" dxfId="125" priority="11">
      <formula>R18:U26=0</formula>
    </cfRule>
  </conditionalFormatting>
  <conditionalFormatting sqref="V41:Z45">
    <cfRule type="expression" dxfId="124" priority="2">
      <formula>R41:U49=0</formula>
    </cfRule>
  </conditionalFormatting>
  <conditionalFormatting sqref="V46:AH51">
    <cfRule type="expression" dxfId="123" priority="8">
      <formula>R46:U55=0</formula>
    </cfRule>
  </conditionalFormatting>
  <conditionalFormatting sqref="AA13:AH18">
    <cfRule type="expression" dxfId="122" priority="3">
      <formula>R13:R13=0</formula>
    </cfRule>
  </conditionalFormatting>
  <conditionalFormatting sqref="AA40:AH40">
    <cfRule type="expression" dxfId="121" priority="197">
      <formula>R40:U45=0</formula>
    </cfRule>
  </conditionalFormatting>
  <conditionalFormatting sqref="AA41:AH50">
    <cfRule type="expression" dxfId="120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D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 tint="-0.499984740745262"/>
  </sheetPr>
  <dimension ref="B1:AN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8" width="2.33203125" style="5"/>
    <col min="39" max="39" width="20.6640625" style="5" bestFit="1" customWidth="1"/>
    <col min="40" max="40" width="3.33203125" style="5" bestFit="1" customWidth="1"/>
    <col min="41" max="41" width="2.33203125" style="5"/>
    <col min="42" max="42" width="5.6640625" style="5" bestFit="1" customWidth="1"/>
    <col min="43" max="43" width="2.33203125" style="5"/>
    <col min="44" max="44" width="5.6640625" style="5" bestFit="1" customWidth="1"/>
    <col min="45" max="16384" width="2.33203125" style="5"/>
  </cols>
  <sheetData>
    <row r="1" spans="2:40" ht="14.25" thickBot="1" x14ac:dyDescent="0.2"/>
    <row r="2" spans="2:40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40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40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63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40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40" ht="12" customHeight="1" x14ac:dyDescent="0.15">
      <c r="B6" s="138"/>
      <c r="C6" s="141" t="s">
        <v>15</v>
      </c>
      <c r="D6" s="141"/>
      <c r="E6" s="141"/>
      <c r="F6" s="141"/>
      <c r="G6" s="157" t="s">
        <v>46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40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40" ht="12" customHeight="1" x14ac:dyDescent="0.15">
      <c r="B8" s="138"/>
      <c r="C8" s="141" t="s">
        <v>4</v>
      </c>
      <c r="D8" s="149"/>
      <c r="E8" s="149"/>
      <c r="F8" s="149"/>
      <c r="G8" s="256" t="s">
        <v>32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40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40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40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40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40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50" t="s">
        <v>104</v>
      </c>
      <c r="AB13" s="251"/>
      <c r="AC13" s="251"/>
      <c r="AD13" s="251"/>
      <c r="AE13" s="251"/>
      <c r="AF13" s="251"/>
      <c r="AG13" s="251"/>
      <c r="AH13" s="252"/>
      <c r="AM13" s="19"/>
      <c r="AN13" s="19"/>
    </row>
    <row r="14" spans="2:40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50" t="s">
        <v>106</v>
      </c>
      <c r="AB14" s="251"/>
      <c r="AC14" s="251"/>
      <c r="AD14" s="251"/>
      <c r="AE14" s="251"/>
      <c r="AF14" s="251"/>
      <c r="AG14" s="251"/>
      <c r="AH14" s="252"/>
      <c r="AM14" s="19"/>
      <c r="AN14" s="19"/>
    </row>
    <row r="15" spans="2:40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50" t="s">
        <v>112</v>
      </c>
      <c r="AB15" s="251"/>
      <c r="AC15" s="251"/>
      <c r="AD15" s="251"/>
      <c r="AE15" s="251"/>
      <c r="AF15" s="251"/>
      <c r="AG15" s="251"/>
      <c r="AH15" s="252"/>
      <c r="AM15" s="19"/>
      <c r="AN15" s="19"/>
    </row>
    <row r="16" spans="2:40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50" t="s">
        <v>111</v>
      </c>
      <c r="AB16" s="251"/>
      <c r="AC16" s="251"/>
      <c r="AD16" s="251"/>
      <c r="AE16" s="251"/>
      <c r="AF16" s="251"/>
      <c r="AG16" s="251"/>
      <c r="AH16" s="252"/>
      <c r="AM16" s="19"/>
      <c r="AN16" s="19"/>
    </row>
    <row r="17" spans="2:40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50" t="s">
        <v>116</v>
      </c>
      <c r="AB17" s="251"/>
      <c r="AC17" s="251"/>
      <c r="AD17" s="251"/>
      <c r="AE17" s="251"/>
      <c r="AF17" s="251"/>
      <c r="AG17" s="251"/>
      <c r="AH17" s="252"/>
      <c r="AM17" s="19"/>
      <c r="AN17" s="19"/>
    </row>
    <row r="18" spans="2:40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50" t="s">
        <v>117</v>
      </c>
      <c r="AB18" s="251"/>
      <c r="AC18" s="251"/>
      <c r="AD18" s="251"/>
      <c r="AE18" s="251"/>
      <c r="AF18" s="251"/>
      <c r="AG18" s="251"/>
      <c r="AH18" s="252"/>
      <c r="AM18" s="19"/>
      <c r="AN18" s="19"/>
    </row>
    <row r="19" spans="2:40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40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40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40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40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40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40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경상남도 김해시 주촌면
서부로 1293번길 29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40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40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40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40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VV20 (주)지에스리테일(해인CVS)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40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해인센터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100" t="str">
        <f>G8</f>
        <v>경상남도 김해시 주촌면
서부로 1293번길 29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27.09.12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28.09.17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28.09.20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경상남도 김해시 주촌면
서부로 1293번길 29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19" priority="100">
      <formula>R13:U23=0</formula>
    </cfRule>
  </conditionalFormatting>
  <conditionalFormatting sqref="V14:V17">
    <cfRule type="expression" dxfId="118" priority="8">
      <formula>R14:U22=0</formula>
    </cfRule>
  </conditionalFormatting>
  <conditionalFormatting sqref="V18:Z24">
    <cfRule type="expression" dxfId="117" priority="15">
      <formula>R18:U26=0</formula>
    </cfRule>
  </conditionalFormatting>
  <conditionalFormatting sqref="V41:Z45">
    <cfRule type="expression" dxfId="116" priority="6">
      <formula>R41:U49=0</formula>
    </cfRule>
  </conditionalFormatting>
  <conditionalFormatting sqref="V46:AH51">
    <cfRule type="expression" dxfId="115" priority="12">
      <formula>R46:U55=0</formula>
    </cfRule>
  </conditionalFormatting>
  <conditionalFormatting sqref="AA13:AH18">
    <cfRule type="expression" dxfId="114" priority="1">
      <formula>R13:R13=0</formula>
    </cfRule>
  </conditionalFormatting>
  <conditionalFormatting sqref="AA40:AH40">
    <cfRule type="expression" dxfId="113" priority="191">
      <formula>R40:U45=0</formula>
    </cfRule>
  </conditionalFormatting>
  <conditionalFormatting sqref="AA41:AH50">
    <cfRule type="expression" dxfId="112" priority="5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400-000000000000}"/>
  </dataValidations>
  <pageMargins left="0.7" right="0.7" top="0.75" bottom="0.75" header="0.3" footer="0.3"/>
  <pageSetup paperSize="9" scale="9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B1:AJ53"/>
  <sheetViews>
    <sheetView topLeftCell="A3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16384" width="2.33203125" style="5"/>
  </cols>
  <sheetData>
    <row r="1" spans="2:34" ht="14.25" thickBot="1" x14ac:dyDescent="0.2"/>
    <row r="2" spans="2:34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4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4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72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4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4" ht="12" customHeight="1" x14ac:dyDescent="0.15">
      <c r="B6" s="138"/>
      <c r="C6" s="141" t="s">
        <v>15</v>
      </c>
      <c r="D6" s="141"/>
      <c r="E6" s="141"/>
      <c r="F6" s="141"/>
      <c r="G6" s="157" t="s">
        <v>73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4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4" ht="12" customHeight="1" x14ac:dyDescent="0.15">
      <c r="B8" s="138"/>
      <c r="C8" s="141" t="s">
        <v>4</v>
      </c>
      <c r="D8" s="149"/>
      <c r="E8" s="149"/>
      <c r="F8" s="149"/>
      <c r="G8" s="167" t="s">
        <v>74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4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4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4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4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4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104</v>
      </c>
      <c r="AB13" s="30"/>
      <c r="AC13" s="30"/>
      <c r="AD13" s="30"/>
      <c r="AE13" s="30"/>
      <c r="AF13" s="30"/>
      <c r="AG13" s="30"/>
      <c r="AH13" s="31"/>
    </row>
    <row r="14" spans="2:34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</row>
    <row r="15" spans="2:34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</row>
    <row r="16" spans="2:34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</row>
    <row r="17" spans="2:36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</row>
    <row r="18" spans="2:36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J18" s="22"/>
    </row>
    <row r="19" spans="2:36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6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6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6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6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 t="s">
        <v>96</v>
      </c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6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6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제주특별자치도 제주시 애월읍 신상로 195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6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6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6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6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6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6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VV92 (주)지에스리테일신제주저온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6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신제주센터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제주특별자치도 제주시 애월읍 신상로 195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제주특별자치도 제주시 애월읍 신상로 195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11" priority="93">
      <formula>R13:U23=0</formula>
    </cfRule>
  </conditionalFormatting>
  <conditionalFormatting sqref="V14:V17">
    <cfRule type="expression" dxfId="110" priority="4">
      <formula>R14:U22=0</formula>
    </cfRule>
  </conditionalFormatting>
  <conditionalFormatting sqref="V18:Z24">
    <cfRule type="expression" dxfId="109" priority="11">
      <formula>R18:U26=0</formula>
    </cfRule>
  </conditionalFormatting>
  <conditionalFormatting sqref="V41:Z45">
    <cfRule type="expression" dxfId="108" priority="2">
      <formula>R41:U49=0</formula>
    </cfRule>
  </conditionalFormatting>
  <conditionalFormatting sqref="V46:AH51">
    <cfRule type="expression" dxfId="107" priority="8">
      <formula>R46:U55=0</formula>
    </cfRule>
  </conditionalFormatting>
  <conditionalFormatting sqref="AA13:AH18">
    <cfRule type="expression" dxfId="106" priority="3">
      <formula>R13:R13=0</formula>
    </cfRule>
  </conditionalFormatting>
  <conditionalFormatting sqref="AA40:AH40">
    <cfRule type="expression" dxfId="105" priority="117">
      <formula>R40:U45=0</formula>
    </cfRule>
  </conditionalFormatting>
  <conditionalFormatting sqref="AA41:AH50">
    <cfRule type="expression" dxfId="104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Q2:AH11 N8:P11 H2:P3 M20:Q22 E20:L21 E22 G6:L11 G2:G4 C14:D23 M6:P7 M27:M39 C41:D50 C12:D12 C39:D39 R19:U23 R46:U51 E51:Q51 M46:M50 M8:M19 B12:B25 E12:E19 B39:B52 E39:E50" xr:uid="{00000000-0002-0000-0500-000000000000}"/>
  </dataValidations>
  <pageMargins left="0.7" right="0.7" top="0.75" bottom="0.75" header="0.3" footer="0.3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9" tint="0.79998168889431442"/>
  </sheetPr>
  <dimension ref="B1:AM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7" width="2.33203125" style="5"/>
    <col min="38" max="38" width="12" style="5" customWidth="1"/>
    <col min="39" max="39" width="14.44140625" style="5" customWidth="1"/>
    <col min="40" max="16384" width="2.33203125" style="5"/>
  </cols>
  <sheetData>
    <row r="1" spans="2:39" ht="14.25" thickBot="1" x14ac:dyDescent="0.2"/>
    <row r="2" spans="2:39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9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9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77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9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9" ht="12" customHeight="1" x14ac:dyDescent="0.15">
      <c r="B6" s="138"/>
      <c r="C6" s="141" t="s">
        <v>15</v>
      </c>
      <c r="D6" s="141"/>
      <c r="E6" s="141"/>
      <c r="F6" s="141"/>
      <c r="G6" s="157" t="s">
        <v>76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9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9" ht="12" customHeight="1" x14ac:dyDescent="0.15">
      <c r="B8" s="138"/>
      <c r="C8" s="141" t="s">
        <v>4</v>
      </c>
      <c r="D8" s="149"/>
      <c r="E8" s="149"/>
      <c r="F8" s="149"/>
      <c r="G8" s="256" t="s">
        <v>78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9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9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9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9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9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L13" s="19"/>
      <c r="AM13" s="19"/>
    </row>
    <row r="14" spans="2:39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156"/>
      <c r="V14" s="253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L14" s="19"/>
      <c r="AM14" s="19"/>
    </row>
    <row r="15" spans="2:39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L15" s="19"/>
      <c r="AM15" s="19"/>
    </row>
    <row r="16" spans="2:39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156"/>
      <c r="V16" s="253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L16" s="19"/>
      <c r="AM16" s="19"/>
    </row>
    <row r="17" spans="2:39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15</v>
      </c>
      <c r="S17" s="45"/>
      <c r="T17" s="45"/>
      <c r="U17" s="46"/>
      <c r="V17" s="124">
        <f t="shared" si="0"/>
        <v>1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L17" s="19"/>
      <c r="AM17" s="19"/>
    </row>
    <row r="18" spans="2:39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L18" s="19"/>
      <c r="AM18" s="19"/>
    </row>
    <row r="19" spans="2:39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9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9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9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9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9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15</v>
      </c>
      <c r="S24" s="225"/>
      <c r="T24" s="225"/>
      <c r="U24" s="225"/>
      <c r="V24" s="33">
        <f>SUM(V13:Z23)</f>
        <v>1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9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광주광역시 광산구 평동산단7번로 1,지하2층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9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9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9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9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9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9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VV95 (주)지에스리테일신광주저온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9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9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신광주센터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9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9" x14ac:dyDescent="0.15">
      <c r="B35" s="92"/>
      <c r="C35" s="89" t="s">
        <v>4</v>
      </c>
      <c r="D35" s="36"/>
      <c r="E35" s="36"/>
      <c r="F35" s="36"/>
      <c r="G35" s="100" t="str">
        <f>G8</f>
        <v>광주광역시 광산구 평동산단7번로 1,지하2층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9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9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9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9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9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  <c r="AL40" s="19"/>
      <c r="AM40" s="19"/>
    </row>
    <row r="41" spans="2:39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  <c r="AL41" s="19"/>
      <c r="AM41" s="19"/>
    </row>
    <row r="42" spans="2:39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  <c r="AL42" s="19"/>
      <c r="AM42" s="19"/>
    </row>
    <row r="43" spans="2:39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  <c r="AL43" s="19"/>
      <c r="AM43" s="19"/>
    </row>
    <row r="44" spans="2:39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15</v>
      </c>
      <c r="S44" s="54"/>
      <c r="T44" s="54"/>
      <c r="U44" s="55"/>
      <c r="V44" s="56">
        <f t="shared" si="4"/>
        <v>1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  <c r="AL44" s="19"/>
      <c r="AM44" s="19"/>
    </row>
    <row r="45" spans="2:39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  <c r="AL45" s="19"/>
      <c r="AM45" s="19"/>
    </row>
    <row r="46" spans="2:39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9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9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15</v>
      </c>
      <c r="S51" s="114"/>
      <c r="T51" s="114"/>
      <c r="U51" s="114"/>
      <c r="V51" s="205">
        <f>V24</f>
        <v>1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광주광역시 광산구 평동산단7번로 1,지하2층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13:Z13"/>
    <mergeCell ref="AA13:AH13"/>
    <mergeCell ref="B13:D13"/>
    <mergeCell ref="E12:L12"/>
    <mergeCell ref="M12:Q12"/>
    <mergeCell ref="R12:U12"/>
    <mergeCell ref="M13:Q13"/>
    <mergeCell ref="R13:U13"/>
    <mergeCell ref="E13:L13"/>
    <mergeCell ref="V18:Z18"/>
    <mergeCell ref="V19:Z19"/>
    <mergeCell ref="V20:Z20"/>
    <mergeCell ref="AA18:AH18"/>
    <mergeCell ref="AA19:AH19"/>
    <mergeCell ref="AA20:AH20"/>
    <mergeCell ref="E18:L18"/>
    <mergeCell ref="M18:Q18"/>
    <mergeCell ref="R18:U18"/>
    <mergeCell ref="E19:L19"/>
    <mergeCell ref="M19:Q19"/>
    <mergeCell ref="R19:U19"/>
    <mergeCell ref="E20:L20"/>
    <mergeCell ref="M20:Q20"/>
    <mergeCell ref="R20:U20"/>
    <mergeCell ref="E24:L24"/>
    <mergeCell ref="M24:Q24"/>
    <mergeCell ref="R24:U24"/>
    <mergeCell ref="B25:V26"/>
    <mergeCell ref="W25:AH26"/>
    <mergeCell ref="B24:D24"/>
    <mergeCell ref="V24:Z24"/>
    <mergeCell ref="AA24:AH24"/>
    <mergeCell ref="E21:L21"/>
    <mergeCell ref="M21:Q21"/>
    <mergeCell ref="R21:U21"/>
    <mergeCell ref="E22:L22"/>
    <mergeCell ref="M22:Q22"/>
    <mergeCell ref="R22:U22"/>
    <mergeCell ref="E23:L23"/>
    <mergeCell ref="M23:Q23"/>
    <mergeCell ref="R23:U23"/>
    <mergeCell ref="V21:Z21"/>
    <mergeCell ref="V22:Z22"/>
    <mergeCell ref="V23:Z23"/>
    <mergeCell ref="AA21:AH21"/>
    <mergeCell ref="AA22:AH22"/>
    <mergeCell ref="AA23:AH23"/>
    <mergeCell ref="C31:F32"/>
    <mergeCell ref="G31:P32"/>
    <mergeCell ref="Q31:Q38"/>
    <mergeCell ref="R31:U32"/>
    <mergeCell ref="V31:AH32"/>
    <mergeCell ref="C33:F34"/>
    <mergeCell ref="G33:P34"/>
    <mergeCell ref="R33:U34"/>
    <mergeCell ref="V33:AA34"/>
    <mergeCell ref="AB33:AC34"/>
    <mergeCell ref="AD33:AH34"/>
    <mergeCell ref="C35:F36"/>
    <mergeCell ref="G35:P36"/>
    <mergeCell ref="R35:U36"/>
    <mergeCell ref="V35:AH36"/>
    <mergeCell ref="C37:F38"/>
    <mergeCell ref="G37:P38"/>
    <mergeCell ref="R37:U38"/>
    <mergeCell ref="V37:AA38"/>
    <mergeCell ref="AB37:AC38"/>
    <mergeCell ref="AD37:AH38"/>
    <mergeCell ref="R46:U46"/>
    <mergeCell ref="E43:L43"/>
    <mergeCell ref="M43:Q43"/>
    <mergeCell ref="R43:U43"/>
    <mergeCell ref="E39:L39"/>
    <mergeCell ref="M39:Q39"/>
    <mergeCell ref="R39:U39"/>
    <mergeCell ref="E44:L44"/>
    <mergeCell ref="M44:Q44"/>
    <mergeCell ref="R44:U44"/>
    <mergeCell ref="R40:U40"/>
    <mergeCell ref="E40:L40"/>
    <mergeCell ref="M40:Q40"/>
    <mergeCell ref="E41:L41"/>
    <mergeCell ref="M41:Q41"/>
    <mergeCell ref="R41:U41"/>
    <mergeCell ref="E42:L42"/>
    <mergeCell ref="M42:Q42"/>
    <mergeCell ref="R42:U42"/>
    <mergeCell ref="B40:D40"/>
    <mergeCell ref="E51:L51"/>
    <mergeCell ref="M51:Q51"/>
    <mergeCell ref="R51:U51"/>
    <mergeCell ref="B52:V53"/>
    <mergeCell ref="W52:AH53"/>
    <mergeCell ref="E49:L49"/>
    <mergeCell ref="M49:Q49"/>
    <mergeCell ref="R49:U49"/>
    <mergeCell ref="E50:L50"/>
    <mergeCell ref="M50:Q50"/>
    <mergeCell ref="R50:U50"/>
    <mergeCell ref="B51:D51"/>
    <mergeCell ref="E47:L47"/>
    <mergeCell ref="M47:Q47"/>
    <mergeCell ref="R47:U47"/>
    <mergeCell ref="E48:L48"/>
    <mergeCell ref="M48:Q48"/>
    <mergeCell ref="R48:U48"/>
    <mergeCell ref="E45:L45"/>
    <mergeCell ref="M45:Q45"/>
    <mergeCell ref="R45:U45"/>
    <mergeCell ref="E46:L46"/>
    <mergeCell ref="M46:Q46"/>
    <mergeCell ref="V51:Z51"/>
    <mergeCell ref="AA51:AH51"/>
    <mergeCell ref="V39:Z39"/>
    <mergeCell ref="AA39:AH39"/>
    <mergeCell ref="V40:Z40"/>
    <mergeCell ref="AA40:AH40"/>
    <mergeCell ref="V43:Z4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V48:Z48"/>
    <mergeCell ref="AA48:AH48"/>
    <mergeCell ref="V49:Z49"/>
    <mergeCell ref="AA49:AH49"/>
    <mergeCell ref="V50:Z50"/>
    <mergeCell ref="AA50:AH50"/>
    <mergeCell ref="V41:Z41"/>
    <mergeCell ref="AA41:AH41"/>
    <mergeCell ref="V42:Z42"/>
    <mergeCell ref="AA42:AH42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R17:U17"/>
    <mergeCell ref="M17:Q17"/>
    <mergeCell ref="E17:L17"/>
    <mergeCell ref="AA17:AH17"/>
    <mergeCell ref="AA16:AH16"/>
    <mergeCell ref="V17:Z17"/>
    <mergeCell ref="V16:Z16"/>
    <mergeCell ref="R16:U16"/>
    <mergeCell ref="M16:Q16"/>
    <mergeCell ref="E16:L16"/>
    <mergeCell ref="B29:AH30"/>
    <mergeCell ref="B31:B38"/>
  </mergeCells>
  <phoneticPr fontId="5" type="noConversion"/>
  <conditionalFormatting sqref="V13 V40:Z40">
    <cfRule type="expression" dxfId="103" priority="90">
      <formula>R13:U23=0</formula>
    </cfRule>
  </conditionalFormatting>
  <conditionalFormatting sqref="V14:V17">
    <cfRule type="expression" dxfId="102" priority="4">
      <formula>R14:U22=0</formula>
    </cfRule>
  </conditionalFormatting>
  <conditionalFormatting sqref="V18:Z24">
    <cfRule type="expression" dxfId="101" priority="12">
      <formula>R18:U26=0</formula>
    </cfRule>
  </conditionalFormatting>
  <conditionalFormatting sqref="V41:Z45">
    <cfRule type="expression" dxfId="100" priority="2">
      <formula>R41:U49=0</formula>
    </cfRule>
  </conditionalFormatting>
  <conditionalFormatting sqref="V46:AH51">
    <cfRule type="expression" dxfId="99" priority="9">
      <formula>R46:U55=0</formula>
    </cfRule>
  </conditionalFormatting>
  <conditionalFormatting sqref="AA13:AH18">
    <cfRule type="expression" dxfId="98" priority="3">
      <formula>R13:R13=0</formula>
    </cfRule>
  </conditionalFormatting>
  <conditionalFormatting sqref="AA40:AH40">
    <cfRule type="expression" dxfId="97" priority="182">
      <formula>R40:U45=0</formula>
    </cfRule>
  </conditionalFormatting>
  <conditionalFormatting sqref="AA41:AH50">
    <cfRule type="expression" dxfId="96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800-000000000000}"/>
  </dataValidations>
  <pageMargins left="0.7" right="0.7" top="0.75" bottom="0.75" header="0.3" footer="0.3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0.79998168889431442"/>
  </sheetPr>
  <dimension ref="B1:AN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8" width="2.33203125" style="5"/>
    <col min="39" max="39" width="20.6640625" style="5" bestFit="1" customWidth="1"/>
    <col min="40" max="40" width="3.33203125" style="5" bestFit="1" customWidth="1"/>
    <col min="41" max="16384" width="2.33203125" style="5"/>
  </cols>
  <sheetData>
    <row r="1" spans="2:40" ht="14.25" thickBot="1" x14ac:dyDescent="0.2"/>
    <row r="2" spans="2:40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40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40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67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40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40" ht="12" customHeight="1" x14ac:dyDescent="0.15">
      <c r="B6" s="138"/>
      <c r="C6" s="141" t="s">
        <v>15</v>
      </c>
      <c r="D6" s="141"/>
      <c r="E6" s="141"/>
      <c r="F6" s="141"/>
      <c r="G6" s="157" t="s">
        <v>51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40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40" ht="12" customHeight="1" x14ac:dyDescent="0.15">
      <c r="B8" s="138"/>
      <c r="C8" s="141" t="s">
        <v>4</v>
      </c>
      <c r="D8" s="149"/>
      <c r="E8" s="149"/>
      <c r="F8" s="149"/>
      <c r="G8" s="256" t="s">
        <v>81</v>
      </c>
      <c r="H8" s="260"/>
      <c r="I8" s="260"/>
      <c r="J8" s="260"/>
      <c r="K8" s="260"/>
      <c r="L8" s="260"/>
      <c r="M8" s="260"/>
      <c r="N8" s="260"/>
      <c r="O8" s="260"/>
      <c r="P8" s="260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40" ht="12" customHeight="1" x14ac:dyDescent="0.15">
      <c r="B9" s="138"/>
      <c r="C9" s="149"/>
      <c r="D9" s="149"/>
      <c r="E9" s="149"/>
      <c r="F9" s="149"/>
      <c r="G9" s="261"/>
      <c r="H9" s="262"/>
      <c r="I9" s="262"/>
      <c r="J9" s="262"/>
      <c r="K9" s="262"/>
      <c r="L9" s="262"/>
      <c r="M9" s="262"/>
      <c r="N9" s="262"/>
      <c r="O9" s="262"/>
      <c r="P9" s="262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40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40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40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40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M13" s="19"/>
      <c r="AN13" s="19"/>
    </row>
    <row r="14" spans="2:40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M14" s="19"/>
      <c r="AN14" s="19"/>
    </row>
    <row r="15" spans="2:40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M15" s="19"/>
      <c r="AN15" s="19"/>
    </row>
    <row r="16" spans="2:40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M16" s="19"/>
      <c r="AN16" s="19"/>
    </row>
    <row r="17" spans="2:40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M17" s="19"/>
      <c r="AN17" s="19"/>
    </row>
    <row r="18" spans="2:40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M18" s="19"/>
      <c r="AN18" s="19"/>
    </row>
    <row r="19" spans="2:40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40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40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40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40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40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40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익산센터 전북특별자치도 익산시 왕궁면 광암리 6001-1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40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40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40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40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VV65 ㈜지에스리테일익산일배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40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익산센터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익산센터 전북특별자치도 익산시 왕궁면 광암리 6001-1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익산센터 전북특별자치도 익산시 왕궁면 광암리 6001-1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95" priority="87">
      <formula>R13:U23=0</formula>
    </cfRule>
  </conditionalFormatting>
  <conditionalFormatting sqref="V14:V17">
    <cfRule type="expression" dxfId="94" priority="4">
      <formula>R14:U22=0</formula>
    </cfRule>
  </conditionalFormatting>
  <conditionalFormatting sqref="V18:Z24">
    <cfRule type="expression" dxfId="93" priority="11">
      <formula>R18:U26=0</formula>
    </cfRule>
  </conditionalFormatting>
  <conditionalFormatting sqref="V41:Z45">
    <cfRule type="expression" dxfId="92" priority="2">
      <formula>R41:U49=0</formula>
    </cfRule>
  </conditionalFormatting>
  <conditionalFormatting sqref="V46:AH51">
    <cfRule type="expression" dxfId="91" priority="8">
      <formula>R46:U55=0</formula>
    </cfRule>
  </conditionalFormatting>
  <conditionalFormatting sqref="AA13:AH18">
    <cfRule type="expression" dxfId="90" priority="3">
      <formula>R13:R13=0</formula>
    </cfRule>
  </conditionalFormatting>
  <conditionalFormatting sqref="AA40:AH40">
    <cfRule type="expression" dxfId="89" priority="177">
      <formula>R40:U45=0</formula>
    </cfRule>
  </conditionalFormatting>
  <conditionalFormatting sqref="AA41:AH50">
    <cfRule type="expression" dxfId="88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A00-000000000000}"/>
  </dataValidations>
  <pageMargins left="0.7" right="0.7" top="0.75" bottom="0.75" header="0.3" footer="0.3"/>
  <pageSetup paperSize="9" scale="9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4" tint="-0.499984740745262"/>
  </sheetPr>
  <dimension ref="B1:AQ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6" width="2.33203125" style="5"/>
    <col min="37" max="37" width="4.33203125" style="5" bestFit="1" customWidth="1"/>
    <col min="38" max="16384" width="2.33203125" style="5"/>
  </cols>
  <sheetData>
    <row r="1" spans="2:37" ht="14.25" thickBot="1" x14ac:dyDescent="0.2"/>
    <row r="2" spans="2:37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7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7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62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7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7" ht="12" customHeight="1" x14ac:dyDescent="0.15">
      <c r="B6" s="138"/>
      <c r="C6" s="141" t="s">
        <v>15</v>
      </c>
      <c r="D6" s="141"/>
      <c r="E6" s="141"/>
      <c r="F6" s="141"/>
      <c r="G6" s="157" t="s">
        <v>45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7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7" ht="12" customHeight="1" x14ac:dyDescent="0.15">
      <c r="B8" s="138"/>
      <c r="C8" s="141" t="s">
        <v>4</v>
      </c>
      <c r="D8" s="149"/>
      <c r="E8" s="149"/>
      <c r="F8" s="149"/>
      <c r="G8" s="167" t="s">
        <v>35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7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7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7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7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7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50" t="s">
        <v>104</v>
      </c>
      <c r="AB13" s="251"/>
      <c r="AC13" s="251"/>
      <c r="AD13" s="251"/>
      <c r="AE13" s="251"/>
      <c r="AF13" s="251"/>
      <c r="AG13" s="251"/>
      <c r="AH13" s="252"/>
      <c r="AK13" s="28"/>
    </row>
    <row r="14" spans="2:37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36</v>
      </c>
      <c r="S14" s="45"/>
      <c r="T14" s="45"/>
      <c r="U14" s="46"/>
      <c r="V14" s="124">
        <f t="shared" si="0"/>
        <v>3</v>
      </c>
      <c r="W14" s="125"/>
      <c r="X14" s="125"/>
      <c r="Y14" s="125"/>
      <c r="Z14" s="126"/>
      <c r="AA14" s="250" t="s">
        <v>106</v>
      </c>
      <c r="AB14" s="251"/>
      <c r="AC14" s="251"/>
      <c r="AD14" s="251"/>
      <c r="AE14" s="251"/>
      <c r="AF14" s="251"/>
      <c r="AG14" s="251"/>
      <c r="AH14" s="252"/>
      <c r="AK14" s="28"/>
    </row>
    <row r="15" spans="2:37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50" t="s">
        <v>112</v>
      </c>
      <c r="AB15" s="251"/>
      <c r="AC15" s="251"/>
      <c r="AD15" s="251"/>
      <c r="AE15" s="251"/>
      <c r="AF15" s="251"/>
      <c r="AG15" s="251"/>
      <c r="AH15" s="252"/>
      <c r="AK15" s="28"/>
    </row>
    <row r="16" spans="2:37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50" t="s">
        <v>111</v>
      </c>
      <c r="AB16" s="251"/>
      <c r="AC16" s="251"/>
      <c r="AD16" s="251"/>
      <c r="AE16" s="251"/>
      <c r="AF16" s="251"/>
      <c r="AG16" s="251"/>
      <c r="AH16" s="252"/>
      <c r="AK16" s="28"/>
    </row>
    <row r="17" spans="2:43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50" t="s">
        <v>116</v>
      </c>
      <c r="AB17" s="251"/>
      <c r="AC17" s="251"/>
      <c r="AD17" s="251"/>
      <c r="AE17" s="251"/>
      <c r="AF17" s="251"/>
      <c r="AG17" s="251"/>
      <c r="AH17" s="252"/>
      <c r="AK17" s="28"/>
    </row>
    <row r="18" spans="2:43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50" t="s">
        <v>117</v>
      </c>
      <c r="AB18" s="251"/>
      <c r="AC18" s="251"/>
      <c r="AD18" s="251"/>
      <c r="AE18" s="251"/>
      <c r="AF18" s="251"/>
      <c r="AG18" s="251"/>
      <c r="AH18" s="252"/>
      <c r="AK18" s="28"/>
    </row>
    <row r="19" spans="2:43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43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43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43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43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43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36</v>
      </c>
      <c r="S24" s="225"/>
      <c r="T24" s="225"/>
      <c r="U24" s="225"/>
      <c r="V24" s="33">
        <f>SUM(V13:Z23)</f>
        <v>3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43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경상북도 경산시 진량읍 일연로 689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  <c r="AQ25" s="5" t="s">
        <v>96</v>
      </c>
    </row>
    <row r="26" spans="2:43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43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3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3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43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43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VV83 지에스리테일경산저온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43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경산센터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경상북도 경산시 진량읍 일연로 689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36</v>
      </c>
      <c r="S41" s="54"/>
      <c r="T41" s="54"/>
      <c r="U41" s="55"/>
      <c r="V41" s="56">
        <f t="shared" si="4"/>
        <v>3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27.09.12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28.09.17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28.09.20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36</v>
      </c>
      <c r="S51" s="114"/>
      <c r="T51" s="114"/>
      <c r="U51" s="114"/>
      <c r="V51" s="205">
        <f>V24</f>
        <v>3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경상북도 경산시 진량읍 일연로 689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87" priority="88">
      <formula>R13:U23=0</formula>
    </cfRule>
  </conditionalFormatting>
  <conditionalFormatting sqref="V14:V17">
    <cfRule type="expression" dxfId="86" priority="8">
      <formula>R14:U22=0</formula>
    </cfRule>
  </conditionalFormatting>
  <conditionalFormatting sqref="V18:Z24">
    <cfRule type="expression" dxfId="85" priority="15">
      <formula>R18:U26=0</formula>
    </cfRule>
  </conditionalFormatting>
  <conditionalFormatting sqref="V41:Z45">
    <cfRule type="expression" dxfId="84" priority="6">
      <formula>R41:U49=0</formula>
    </cfRule>
  </conditionalFormatting>
  <conditionalFormatting sqref="V46:AH51">
    <cfRule type="expression" dxfId="83" priority="12">
      <formula>R46:U55=0</formula>
    </cfRule>
  </conditionalFormatting>
  <conditionalFormatting sqref="AA13:AH18">
    <cfRule type="expression" dxfId="82" priority="1">
      <formula>R13:R13=0</formula>
    </cfRule>
  </conditionalFormatting>
  <conditionalFormatting sqref="AA40:AH40">
    <cfRule type="expression" dxfId="81" priority="176">
      <formula>R40:U45=0</formula>
    </cfRule>
  </conditionalFormatting>
  <conditionalFormatting sqref="AA41:AH50">
    <cfRule type="expression" dxfId="80" priority="5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0E00-000000000000}"/>
  </dataValidations>
  <pageMargins left="0.7" right="0.7" top="0.75" bottom="0.75" header="0.3" footer="0.3"/>
  <pageSetup paperSize="9" scale="9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pageSetUpPr fitToPage="1"/>
  </sheetPr>
  <dimension ref="B1:AN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8" width="2.33203125" style="5"/>
    <col min="39" max="39" width="20.6640625" style="5" bestFit="1" customWidth="1"/>
    <col min="40" max="40" width="3.5546875" style="5" bestFit="1" customWidth="1"/>
    <col min="41" max="42" width="2.33203125" style="5"/>
    <col min="43" max="43" width="5.6640625" style="5" bestFit="1" customWidth="1"/>
    <col min="44" max="45" width="2.33203125" style="5"/>
    <col min="46" max="46" width="5.6640625" style="5" bestFit="1" customWidth="1"/>
    <col min="47" max="16384" width="2.33203125" style="5"/>
  </cols>
  <sheetData>
    <row r="1" spans="2:40" ht="14.25" thickBot="1" x14ac:dyDescent="0.2"/>
    <row r="2" spans="2:40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40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40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57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40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40" ht="12" customHeight="1" x14ac:dyDescent="0.15">
      <c r="B6" s="138"/>
      <c r="C6" s="141" t="s">
        <v>15</v>
      </c>
      <c r="D6" s="141"/>
      <c r="E6" s="141"/>
      <c r="F6" s="141"/>
      <c r="G6" s="157" t="s">
        <v>40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40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40" ht="12" customHeight="1" x14ac:dyDescent="0.15">
      <c r="B8" s="138"/>
      <c r="C8" s="141" t="s">
        <v>4</v>
      </c>
      <c r="D8" s="149"/>
      <c r="E8" s="149"/>
      <c r="F8" s="149"/>
      <c r="G8" s="256" t="s">
        <v>33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40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40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40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40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40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M13" s="19"/>
      <c r="AN13"/>
    </row>
    <row r="14" spans="2:40" ht="13.5" customHeight="1" x14ac:dyDescent="0.15">
      <c r="B14" s="14"/>
      <c r="C14" s="15"/>
      <c r="D14" s="15"/>
      <c r="E14" s="263" t="s">
        <v>102</v>
      </c>
      <c r="F14" s="264"/>
      <c r="G14" s="264"/>
      <c r="H14" s="264"/>
      <c r="I14" s="264"/>
      <c r="J14" s="264"/>
      <c r="K14" s="264"/>
      <c r="L14" s="265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M14" s="19"/>
      <c r="AN14"/>
    </row>
    <row r="15" spans="2:40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M15" s="19"/>
      <c r="AN15"/>
    </row>
    <row r="16" spans="2:40" ht="13.5" customHeight="1" x14ac:dyDescent="0.15">
      <c r="B16" s="14"/>
      <c r="C16" s="15"/>
      <c r="D16" s="15"/>
      <c r="E16" s="263" t="s">
        <v>84</v>
      </c>
      <c r="F16" s="264"/>
      <c r="G16" s="264"/>
      <c r="H16" s="264"/>
      <c r="I16" s="264"/>
      <c r="J16" s="264"/>
      <c r="K16" s="264"/>
      <c r="L16" s="265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M16" s="19"/>
      <c r="AN16"/>
    </row>
    <row r="17" spans="2:40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M17" s="19"/>
      <c r="AN17"/>
    </row>
    <row r="18" spans="2:40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M18" s="19"/>
      <c r="AN18"/>
    </row>
    <row r="19" spans="2:40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40" ht="13.5" customHeight="1" x14ac:dyDescent="0.15">
      <c r="B20" s="6"/>
      <c r="C20" s="12"/>
      <c r="D20" s="7"/>
      <c r="E20" s="266"/>
      <c r="F20" s="267"/>
      <c r="G20" s="267"/>
      <c r="H20" s="267"/>
      <c r="I20" s="267"/>
      <c r="J20" s="267"/>
      <c r="K20" s="267"/>
      <c r="L20" s="268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40" ht="12.75" customHeight="1" x14ac:dyDescent="0.15">
      <c r="B21" s="6"/>
      <c r="C21" s="12"/>
      <c r="D21" s="7"/>
      <c r="E21" s="266"/>
      <c r="F21" s="267"/>
      <c r="G21" s="267"/>
      <c r="H21" s="267"/>
      <c r="I21" s="267"/>
      <c r="J21" s="267"/>
      <c r="K21" s="267"/>
      <c r="L21" s="268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40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40" ht="12.75" customHeight="1" x14ac:dyDescent="0.15">
      <c r="B23" s="6"/>
      <c r="C23" s="12"/>
      <c r="D23" s="7"/>
      <c r="E23" s="266"/>
      <c r="F23" s="267"/>
      <c r="G23" s="267"/>
      <c r="H23" s="267"/>
      <c r="I23" s="267"/>
      <c r="J23" s="267"/>
      <c r="K23" s="267"/>
      <c r="L23" s="268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40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254"/>
      <c r="AB24" s="254"/>
      <c r="AC24" s="254"/>
      <c r="AD24" s="254"/>
      <c r="AE24" s="254"/>
      <c r="AF24" s="254"/>
      <c r="AG24" s="254"/>
      <c r="AH24" s="255"/>
    </row>
    <row r="25" spans="2:40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경기도 용인시 기흥구 하갈로
15번길 34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40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40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40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40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VV03 (주)지에스리테일(아신A)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40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아신센터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100" t="str">
        <f>G8</f>
        <v>경기도 용인시 기흥구 하갈로
15번길 34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경기도 용인시 기흥구 하갈로
15번길 34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7:U47"/>
    <mergeCell ref="E46:L46"/>
    <mergeCell ref="M46:Q46"/>
    <mergeCell ref="R46:U46"/>
    <mergeCell ref="E47:L47"/>
    <mergeCell ref="M47:Q47"/>
    <mergeCell ref="B31:B38"/>
    <mergeCell ref="C31:F32"/>
    <mergeCell ref="G31:P32"/>
    <mergeCell ref="R40:U40"/>
    <mergeCell ref="E40:L40"/>
    <mergeCell ref="M40:Q40"/>
    <mergeCell ref="E45:L45"/>
    <mergeCell ref="M45:Q45"/>
    <mergeCell ref="R45:U45"/>
    <mergeCell ref="E39:L39"/>
    <mergeCell ref="M39:Q39"/>
    <mergeCell ref="R39:U39"/>
    <mergeCell ref="E44:L44"/>
    <mergeCell ref="M44:Q44"/>
    <mergeCell ref="R44:U44"/>
    <mergeCell ref="E43:L43"/>
    <mergeCell ref="M43:Q43"/>
    <mergeCell ref="R43:U43"/>
    <mergeCell ref="B52:V53"/>
    <mergeCell ref="W52:AH53"/>
    <mergeCell ref="E50:L50"/>
    <mergeCell ref="M50:Q50"/>
    <mergeCell ref="R50:U50"/>
    <mergeCell ref="B51:D51"/>
    <mergeCell ref="E48:L48"/>
    <mergeCell ref="M48:Q48"/>
    <mergeCell ref="R48:U48"/>
    <mergeCell ref="E51:L51"/>
    <mergeCell ref="M51:Q51"/>
    <mergeCell ref="R51:U51"/>
    <mergeCell ref="E49:L49"/>
    <mergeCell ref="M49:Q49"/>
    <mergeCell ref="R49:U49"/>
    <mergeCell ref="AA49:AH49"/>
    <mergeCell ref="V50:Z50"/>
    <mergeCell ref="AA50:AH50"/>
    <mergeCell ref="V49:Z49"/>
    <mergeCell ref="G33:P34"/>
    <mergeCell ref="R33:U34"/>
    <mergeCell ref="V33:AA34"/>
    <mergeCell ref="AB33:AC34"/>
    <mergeCell ref="AD33:AH34"/>
    <mergeCell ref="C35:F36"/>
    <mergeCell ref="G35:P36"/>
    <mergeCell ref="R35:U36"/>
    <mergeCell ref="V35:AH36"/>
    <mergeCell ref="Q31:Q38"/>
    <mergeCell ref="M19:Q19"/>
    <mergeCell ref="C37:F38"/>
    <mergeCell ref="G37:P38"/>
    <mergeCell ref="R37:U38"/>
    <mergeCell ref="V37:AA38"/>
    <mergeCell ref="AB37:AC38"/>
    <mergeCell ref="AD37:AH38"/>
    <mergeCell ref="M13:Q13"/>
    <mergeCell ref="R13:U13"/>
    <mergeCell ref="E13:L13"/>
    <mergeCell ref="B25:V26"/>
    <mergeCell ref="W25:AH26"/>
    <mergeCell ref="B29:AH30"/>
    <mergeCell ref="B24:D24"/>
    <mergeCell ref="E22:L22"/>
    <mergeCell ref="M22:Q22"/>
    <mergeCell ref="R22:U22"/>
    <mergeCell ref="E23:L23"/>
    <mergeCell ref="M23:Q23"/>
    <mergeCell ref="R23:U23"/>
    <mergeCell ref="E24:L24"/>
    <mergeCell ref="R31:U32"/>
    <mergeCell ref="V31:AH32"/>
    <mergeCell ref="C33:F34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C10:F11"/>
    <mergeCell ref="G10:P11"/>
    <mergeCell ref="R10:U11"/>
    <mergeCell ref="V10:AA11"/>
    <mergeCell ref="AB10:AC11"/>
    <mergeCell ref="AD10:AH11"/>
    <mergeCell ref="V6:AA7"/>
    <mergeCell ref="AB6:AC7"/>
    <mergeCell ref="AD6:AH7"/>
    <mergeCell ref="C8:F9"/>
    <mergeCell ref="G8:P9"/>
    <mergeCell ref="R8:U9"/>
    <mergeCell ref="V8:AH9"/>
    <mergeCell ref="B40:D40"/>
    <mergeCell ref="R19:U19"/>
    <mergeCell ref="E20:L20"/>
    <mergeCell ref="M20:Q20"/>
    <mergeCell ref="R20:U20"/>
    <mergeCell ref="E21:L21"/>
    <mergeCell ref="M21:Q21"/>
    <mergeCell ref="R21:U21"/>
    <mergeCell ref="E12:L12"/>
    <mergeCell ref="M12:Q12"/>
    <mergeCell ref="R12:U12"/>
    <mergeCell ref="E17:L17"/>
    <mergeCell ref="M17:Q17"/>
    <mergeCell ref="M24:Q24"/>
    <mergeCell ref="R24:U24"/>
    <mergeCell ref="B13:D13"/>
    <mergeCell ref="R17:U17"/>
    <mergeCell ref="E16:L16"/>
    <mergeCell ref="M16:Q16"/>
    <mergeCell ref="R16:U16"/>
    <mergeCell ref="E18:L18"/>
    <mergeCell ref="M18:Q18"/>
    <mergeCell ref="R18:U18"/>
    <mergeCell ref="E19:L19"/>
    <mergeCell ref="V12:Z12"/>
    <mergeCell ref="AA12:AH12"/>
    <mergeCell ref="V13:Z13"/>
    <mergeCell ref="V16:Z16"/>
    <mergeCell ref="V17:Z17"/>
    <mergeCell ref="V18:Z18"/>
    <mergeCell ref="V19:Z19"/>
    <mergeCell ref="V20:Z20"/>
    <mergeCell ref="V21:Z21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V22:Z22"/>
    <mergeCell ref="V23:Z23"/>
    <mergeCell ref="V24:Z24"/>
    <mergeCell ref="AA24:AH24"/>
    <mergeCell ref="V51:Z51"/>
    <mergeCell ref="AA51:AH51"/>
    <mergeCell ref="V39:Z39"/>
    <mergeCell ref="AA39:AH39"/>
    <mergeCell ref="V40:Z40"/>
    <mergeCell ref="AA40:AH40"/>
    <mergeCell ref="V43:Z4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V48:Z48"/>
    <mergeCell ref="AA48:AH48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79" priority="54">
      <formula>R13:U23=0</formula>
    </cfRule>
  </conditionalFormatting>
  <conditionalFormatting sqref="V14:V17">
    <cfRule type="expression" dxfId="78" priority="4">
      <formula>R14:U22=0</formula>
    </cfRule>
  </conditionalFormatting>
  <conditionalFormatting sqref="V18:Z24">
    <cfRule type="expression" dxfId="77" priority="11">
      <formula>R18:U26=0</formula>
    </cfRule>
  </conditionalFormatting>
  <conditionalFormatting sqref="V41:Z45">
    <cfRule type="expression" dxfId="76" priority="2">
      <formula>R41:U49=0</formula>
    </cfRule>
  </conditionalFormatting>
  <conditionalFormatting sqref="V46:AH51">
    <cfRule type="expression" dxfId="75" priority="8">
      <formula>R46:U55=0</formula>
    </cfRule>
  </conditionalFormatting>
  <conditionalFormatting sqref="AA13:AH18">
    <cfRule type="expression" dxfId="74" priority="3">
      <formula>R13:R13=0</formula>
    </cfRule>
  </conditionalFormatting>
  <conditionalFormatting sqref="AA40:AH40">
    <cfRule type="expression" dxfId="73" priority="167">
      <formula>R40:U45=0</formula>
    </cfRule>
  </conditionalFormatting>
  <conditionalFormatting sqref="AA41:AH50">
    <cfRule type="expression" dxfId="72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W25 B2:B4 C37 C6 C10 C4 C33 N27:AH38 B27:C31 G27:L38 C2:F3 D27:F30 E17:E23 N6:P11 F46:L46 E24:U24 Q2:AH11 G6:L11 H2:P3 G2:G4 M20:Q23 C14:D23 M27:M39 R46:U51 C12:D12 C39:D39 R19:U23 M46:M50 E51:Q51 E15 C41:D50 B12:B25 M6:M19 E12:E13 B39:B52 E39:E50" xr:uid="{00000000-0002-0000-1B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B1:AK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16384" width="2.33203125" style="5"/>
  </cols>
  <sheetData>
    <row r="1" spans="2:34" ht="14.25" thickBot="1" x14ac:dyDescent="0.2"/>
    <row r="2" spans="2:34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4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4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71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4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4" ht="12" customHeight="1" x14ac:dyDescent="0.15">
      <c r="B6" s="138"/>
      <c r="C6" s="141" t="s">
        <v>15</v>
      </c>
      <c r="D6" s="141"/>
      <c r="E6" s="141"/>
      <c r="F6" s="141"/>
      <c r="G6" s="157" t="s">
        <v>69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4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4" ht="12" customHeight="1" x14ac:dyDescent="0.15">
      <c r="B8" s="138"/>
      <c r="C8" s="141" t="s">
        <v>4</v>
      </c>
      <c r="D8" s="149"/>
      <c r="E8" s="149"/>
      <c r="F8" s="149"/>
      <c r="G8" s="167" t="s">
        <v>70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4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4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4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4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4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</row>
    <row r="14" spans="2:34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</row>
    <row r="15" spans="2:34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</row>
    <row r="16" spans="2:34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</row>
    <row r="17" spans="2:37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</row>
    <row r="18" spans="2:37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</row>
    <row r="19" spans="2:37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7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7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7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7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7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7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경기도 포천시 설운동 477 지하 2층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7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7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7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7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7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7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VV90 (주)지에스리테일포천저온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7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포천센터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경기도 포천시 설운동 477 지하 2층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경기도 포천시 설운동 477 지하 2층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71" priority="81">
      <formula>R13:U23=0</formula>
    </cfRule>
  </conditionalFormatting>
  <conditionalFormatting sqref="V14:V17">
    <cfRule type="expression" dxfId="70" priority="4">
      <formula>R14:U22=0</formula>
    </cfRule>
  </conditionalFormatting>
  <conditionalFormatting sqref="V18:Z24">
    <cfRule type="expression" dxfId="69" priority="11">
      <formula>R18:U26=0</formula>
    </cfRule>
  </conditionalFormatting>
  <conditionalFormatting sqref="V41:Z45">
    <cfRule type="expression" dxfId="68" priority="2">
      <formula>R41:U49=0</formula>
    </cfRule>
  </conditionalFormatting>
  <conditionalFormatting sqref="V46:AH51">
    <cfRule type="expression" dxfId="67" priority="8">
      <formula>R46:U55=0</formula>
    </cfRule>
  </conditionalFormatting>
  <conditionalFormatting sqref="AA13:AH18">
    <cfRule type="expression" dxfId="66" priority="3">
      <formula>R13:R13=0</formula>
    </cfRule>
  </conditionalFormatting>
  <conditionalFormatting sqref="AA40:AH40">
    <cfRule type="expression" dxfId="65" priority="162">
      <formula>R40:U45=0</formula>
    </cfRule>
  </conditionalFormatting>
  <conditionalFormatting sqref="AA41:AH50">
    <cfRule type="expression" dxfId="64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1000-000000000000}"/>
  </dataValidations>
  <pageMargins left="0.7" right="0.7" top="0.75" bottom="0.75" header="0.3" footer="0.3"/>
  <pageSetup paperSize="9" scale="9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B1CB-38DE-4C0D-9E25-68FFA75F763A}">
  <sheetPr>
    <pageSetUpPr fitToPage="1"/>
  </sheetPr>
  <dimension ref="B1:AN53"/>
  <sheetViews>
    <sheetView topLeftCell="A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8" width="2.33203125" style="5"/>
    <col min="39" max="39" width="16.33203125" style="5" customWidth="1"/>
    <col min="40" max="40" width="25.44140625" style="5" customWidth="1"/>
    <col min="41" max="16384" width="2.33203125" style="5"/>
  </cols>
  <sheetData>
    <row r="1" spans="2:40" ht="14.25" thickBot="1" x14ac:dyDescent="0.2"/>
    <row r="2" spans="2:40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40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40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79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40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40" ht="12" customHeight="1" x14ac:dyDescent="0.15">
      <c r="B6" s="138"/>
      <c r="C6" s="141" t="s">
        <v>15</v>
      </c>
      <c r="D6" s="141"/>
      <c r="E6" s="141"/>
      <c r="F6" s="141"/>
      <c r="G6" s="157" t="s">
        <v>80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40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40" ht="12" customHeight="1" x14ac:dyDescent="0.15">
      <c r="B8" s="138"/>
      <c r="C8" s="141" t="s">
        <v>4</v>
      </c>
      <c r="D8" s="149"/>
      <c r="E8" s="149"/>
      <c r="F8" s="149"/>
      <c r="G8" s="256" t="s">
        <v>82</v>
      </c>
      <c r="H8" s="260"/>
      <c r="I8" s="260"/>
      <c r="J8" s="260"/>
      <c r="K8" s="260"/>
      <c r="L8" s="260"/>
      <c r="M8" s="260"/>
      <c r="N8" s="260"/>
      <c r="O8" s="260"/>
      <c r="P8" s="260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40" ht="12" customHeight="1" x14ac:dyDescent="0.15">
      <c r="B9" s="138"/>
      <c r="C9" s="149"/>
      <c r="D9" s="149"/>
      <c r="E9" s="149"/>
      <c r="F9" s="149"/>
      <c r="G9" s="261"/>
      <c r="H9" s="262"/>
      <c r="I9" s="262"/>
      <c r="J9" s="262"/>
      <c r="K9" s="262"/>
      <c r="L9" s="262"/>
      <c r="M9" s="262"/>
      <c r="N9" s="262"/>
      <c r="O9" s="262"/>
      <c r="P9" s="262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40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40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40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40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M13" s="19"/>
      <c r="AN13"/>
    </row>
    <row r="14" spans="2:40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M14" s="19"/>
      <c r="AN14"/>
    </row>
    <row r="15" spans="2:40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M15" s="19"/>
      <c r="AN15"/>
    </row>
    <row r="16" spans="2:40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M16" s="19"/>
      <c r="AN16"/>
    </row>
    <row r="17" spans="2:40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M17" s="19"/>
      <c r="AN17"/>
    </row>
    <row r="18" spans="2:40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J18" s="22"/>
      <c r="AM18" s="19"/>
      <c r="AN18"/>
    </row>
    <row r="19" spans="2:40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40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40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40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40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40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40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경기도 김포시 고촌읍 아라육로 230번길 16, 지상3층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40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40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40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40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VV98 (주)지에스리테일고촌저온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40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고촌센터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경기도 김포시 고촌읍 아라육로 230번길 16, 지상3층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경기도 김포시 고촌읍 아라육로 230번길 16, 지상3층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V46:Z46"/>
    <mergeCell ref="AA46:AH46"/>
    <mergeCell ref="V47:Z47"/>
    <mergeCell ref="AA47:AH47"/>
    <mergeCell ref="V48:Z48"/>
    <mergeCell ref="AA48:AH48"/>
    <mergeCell ref="V49:Z49"/>
    <mergeCell ref="AA49:AH49"/>
    <mergeCell ref="B52:V53"/>
    <mergeCell ref="W52:AH53"/>
    <mergeCell ref="E50:L50"/>
    <mergeCell ref="M50:Q50"/>
    <mergeCell ref="R50:U50"/>
    <mergeCell ref="B51:D51"/>
    <mergeCell ref="E51:L51"/>
    <mergeCell ref="M51:Q51"/>
    <mergeCell ref="R51:U51"/>
    <mergeCell ref="V51:Z51"/>
    <mergeCell ref="AA51:AH51"/>
    <mergeCell ref="V50:Z50"/>
    <mergeCell ref="AA50:AH50"/>
    <mergeCell ref="E48:L48"/>
    <mergeCell ref="M48:Q48"/>
    <mergeCell ref="R48:U48"/>
    <mergeCell ref="E49:L49"/>
    <mergeCell ref="M49:Q49"/>
    <mergeCell ref="R49:U49"/>
    <mergeCell ref="E46:L46"/>
    <mergeCell ref="M46:Q46"/>
    <mergeCell ref="R46:U46"/>
    <mergeCell ref="E47:L47"/>
    <mergeCell ref="M47:Q47"/>
    <mergeCell ref="R47:U47"/>
    <mergeCell ref="V39:Z39"/>
    <mergeCell ref="AA39:AH39"/>
    <mergeCell ref="V40:Z40"/>
    <mergeCell ref="AA40:AH40"/>
    <mergeCell ref="E45:L45"/>
    <mergeCell ref="M45:Q45"/>
    <mergeCell ref="R45:U45"/>
    <mergeCell ref="E43:L43"/>
    <mergeCell ref="M43:Q43"/>
    <mergeCell ref="R43:U43"/>
    <mergeCell ref="E44:L44"/>
    <mergeCell ref="M44:Q44"/>
    <mergeCell ref="R44:U44"/>
    <mergeCell ref="V43:Z43"/>
    <mergeCell ref="AA43:AH43"/>
    <mergeCell ref="V44:Z44"/>
    <mergeCell ref="AA44:AH44"/>
    <mergeCell ref="V45:Z45"/>
    <mergeCell ref="AA45:AH45"/>
    <mergeCell ref="E39:L39"/>
    <mergeCell ref="M39:Q39"/>
    <mergeCell ref="R39:U39"/>
    <mergeCell ref="E40:L40"/>
    <mergeCell ref="M40:Q40"/>
    <mergeCell ref="R40:U40"/>
    <mergeCell ref="C37:F38"/>
    <mergeCell ref="G37:P38"/>
    <mergeCell ref="R37:U38"/>
    <mergeCell ref="B40:D40"/>
    <mergeCell ref="B31:B38"/>
    <mergeCell ref="C31:F32"/>
    <mergeCell ref="G31:P32"/>
    <mergeCell ref="Q31:Q38"/>
    <mergeCell ref="R31:U32"/>
    <mergeCell ref="V37:AA38"/>
    <mergeCell ref="AB37:AC38"/>
    <mergeCell ref="AD37:AH38"/>
    <mergeCell ref="B24:D24"/>
    <mergeCell ref="E24:L24"/>
    <mergeCell ref="M24:Q24"/>
    <mergeCell ref="R24:U24"/>
    <mergeCell ref="V24:Z24"/>
    <mergeCell ref="AA24:AH24"/>
    <mergeCell ref="B25:V26"/>
    <mergeCell ref="W25:AH26"/>
    <mergeCell ref="B29:AH30"/>
    <mergeCell ref="V31:AH32"/>
    <mergeCell ref="C33:F34"/>
    <mergeCell ref="G33:P34"/>
    <mergeCell ref="R33:U34"/>
    <mergeCell ref="V33:AA34"/>
    <mergeCell ref="AB33:AC34"/>
    <mergeCell ref="AD33:AH34"/>
    <mergeCell ref="C35:F36"/>
    <mergeCell ref="G35:P36"/>
    <mergeCell ref="R35:U36"/>
    <mergeCell ref="V35:AH36"/>
    <mergeCell ref="E23:L23"/>
    <mergeCell ref="M23:Q23"/>
    <mergeCell ref="R23:U23"/>
    <mergeCell ref="E20:L20"/>
    <mergeCell ref="M20:Q20"/>
    <mergeCell ref="R20:U20"/>
    <mergeCell ref="E21:L21"/>
    <mergeCell ref="M21:Q21"/>
    <mergeCell ref="R21:U21"/>
    <mergeCell ref="E18:L18"/>
    <mergeCell ref="M18:Q18"/>
    <mergeCell ref="R18:U18"/>
    <mergeCell ref="E19:L19"/>
    <mergeCell ref="M19:Q19"/>
    <mergeCell ref="R19:U19"/>
    <mergeCell ref="E22:L22"/>
    <mergeCell ref="M22:Q22"/>
    <mergeCell ref="R22:U22"/>
    <mergeCell ref="E12:L12"/>
    <mergeCell ref="M12:Q12"/>
    <mergeCell ref="R12:U12"/>
    <mergeCell ref="E13:L13"/>
    <mergeCell ref="M13:Q13"/>
    <mergeCell ref="R13:U13"/>
    <mergeCell ref="C10:F11"/>
    <mergeCell ref="G10:P11"/>
    <mergeCell ref="R10:U11"/>
    <mergeCell ref="B13:D13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10:AA11"/>
    <mergeCell ref="AB10:AC11"/>
    <mergeCell ref="AD10:AH11"/>
    <mergeCell ref="V6:AA7"/>
    <mergeCell ref="AB6:AC7"/>
    <mergeCell ref="AD6:AH7"/>
    <mergeCell ref="V12:Z12"/>
    <mergeCell ref="AA12:AH12"/>
    <mergeCell ref="V13:Z13"/>
    <mergeCell ref="AA13:AH13"/>
    <mergeCell ref="V16:Z16"/>
    <mergeCell ref="V17:Z17"/>
    <mergeCell ref="V14:Z14"/>
    <mergeCell ref="R14:U14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V18:Z18"/>
    <mergeCell ref="V19:Z19"/>
    <mergeCell ref="V20:Z20"/>
    <mergeCell ref="V21:Z21"/>
    <mergeCell ref="V22:Z22"/>
    <mergeCell ref="V23:Z23"/>
    <mergeCell ref="E42:L42"/>
    <mergeCell ref="M42:Q42"/>
    <mergeCell ref="R42:U42"/>
    <mergeCell ref="V42:Z42"/>
    <mergeCell ref="AA42:AH42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R17:U17"/>
    <mergeCell ref="M17:Q17"/>
    <mergeCell ref="E17:L17"/>
    <mergeCell ref="R16:U16"/>
    <mergeCell ref="M16:Q16"/>
    <mergeCell ref="E16:L16"/>
    <mergeCell ref="E14:L14"/>
    <mergeCell ref="M14:Q14"/>
  </mergeCells>
  <phoneticPr fontId="5" type="noConversion"/>
  <conditionalFormatting sqref="V13 V40:Z40">
    <cfRule type="expression" dxfId="63" priority="78">
      <formula>R13:U23=0</formula>
    </cfRule>
  </conditionalFormatting>
  <conditionalFormatting sqref="V14:V17">
    <cfRule type="expression" dxfId="62" priority="4">
      <formula>R14:U22=0</formula>
    </cfRule>
  </conditionalFormatting>
  <conditionalFormatting sqref="V18:Z24">
    <cfRule type="expression" dxfId="61" priority="11">
      <formula>R18:U26=0</formula>
    </cfRule>
  </conditionalFormatting>
  <conditionalFormatting sqref="V41:Z45">
    <cfRule type="expression" dxfId="60" priority="2">
      <formula>R41:U49=0</formula>
    </cfRule>
  </conditionalFormatting>
  <conditionalFormatting sqref="V46:AH51">
    <cfRule type="expression" dxfId="59" priority="8">
      <formula>R46:U55=0</formula>
    </cfRule>
  </conditionalFormatting>
  <conditionalFormatting sqref="AA13:AH18">
    <cfRule type="expression" dxfId="58" priority="3">
      <formula>R13:R13=0</formula>
    </cfRule>
  </conditionalFormatting>
  <conditionalFormatting sqref="AA40:AH40">
    <cfRule type="expression" dxfId="57" priority="157">
      <formula>R40:U45=0</formula>
    </cfRule>
  </conditionalFormatting>
  <conditionalFormatting sqref="AA41:AH50">
    <cfRule type="expression" dxfId="56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7BBAEC82-DEFB-49B1-AAAC-47176548DBFB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pageSetUpPr fitToPage="1"/>
  </sheetPr>
  <dimension ref="B1:AH53"/>
  <sheetViews>
    <sheetView zoomScaleNormal="100" workbookViewId="0">
      <selection activeCell="AK25" sqref="AK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5" width="2.33203125" style="5"/>
    <col min="36" max="37" width="20.6640625" style="5" bestFit="1" customWidth="1"/>
    <col min="38" max="38" width="4.5546875" style="5" bestFit="1" customWidth="1"/>
    <col min="39" max="39" width="2.33203125" style="5"/>
    <col min="40" max="40" width="5.6640625" style="5" bestFit="1" customWidth="1"/>
    <col min="41" max="42" width="2.33203125" style="5"/>
    <col min="43" max="43" width="5.6640625" style="5" bestFit="1" customWidth="1"/>
    <col min="44" max="16384" width="2.33203125" style="5"/>
  </cols>
  <sheetData>
    <row r="1" spans="2:34" ht="14.25" thickBot="1" x14ac:dyDescent="0.2"/>
    <row r="2" spans="2:34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4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4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54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4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4" ht="12" customHeight="1" x14ac:dyDescent="0.15">
      <c r="B6" s="138"/>
      <c r="C6" s="141" t="s">
        <v>15</v>
      </c>
      <c r="D6" s="141"/>
      <c r="E6" s="141"/>
      <c r="F6" s="141"/>
      <c r="G6" s="157" t="s">
        <v>37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4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4" ht="12" customHeight="1" x14ac:dyDescent="0.15">
      <c r="B8" s="138"/>
      <c r="C8" s="141" t="s">
        <v>4</v>
      </c>
      <c r="D8" s="149"/>
      <c r="E8" s="149"/>
      <c r="F8" s="149"/>
      <c r="G8" s="256" t="s">
        <v>27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4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4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4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4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4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</row>
    <row r="14" spans="2:34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</row>
    <row r="15" spans="2:34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</row>
    <row r="16" spans="2:34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</row>
    <row r="17" spans="2:34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</row>
    <row r="18" spans="2:34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15</v>
      </c>
      <c r="S18" s="45"/>
      <c r="T18" s="45"/>
      <c r="U18" s="156"/>
      <c r="V18" s="122">
        <f t="shared" si="0"/>
        <v>1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</row>
    <row r="19" spans="2:34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4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4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4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4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4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15</v>
      </c>
      <c r="S24" s="225"/>
      <c r="T24" s="225"/>
      <c r="U24" s="225"/>
      <c r="V24" s="33">
        <f>SUM(V13:Z23)</f>
        <v>1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4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경기 고양시 일산동구
 사리현로 101-11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4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4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4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4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4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VV63 ㈜지에스리테일고양일배센터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4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고양센터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100" t="str">
        <f>G8</f>
        <v>경기 고양시 일산동구
 사리현로 101-11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15</v>
      </c>
      <c r="S45" s="54"/>
      <c r="T45" s="54"/>
      <c r="U45" s="55"/>
      <c r="V45" s="56">
        <f t="shared" si="4"/>
        <v>1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15</v>
      </c>
      <c r="S51" s="114"/>
      <c r="T51" s="114"/>
      <c r="U51" s="114"/>
      <c r="V51" s="205">
        <f>V24</f>
        <v>1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 고양시 일산동구
 사리현로 101-11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55" priority="75">
      <formula>R13:U23=0</formula>
    </cfRule>
  </conditionalFormatting>
  <conditionalFormatting sqref="V14:V17">
    <cfRule type="expression" dxfId="54" priority="4">
      <formula>R14:U22=0</formula>
    </cfRule>
  </conditionalFormatting>
  <conditionalFormatting sqref="V18:Z24">
    <cfRule type="expression" dxfId="53" priority="11">
      <formula>R18:U26=0</formula>
    </cfRule>
  </conditionalFormatting>
  <conditionalFormatting sqref="V41:Z45">
    <cfRule type="expression" dxfId="52" priority="2">
      <formula>R41:U49=0</formula>
    </cfRule>
  </conditionalFormatting>
  <conditionalFormatting sqref="V46:AH51">
    <cfRule type="expression" dxfId="51" priority="8">
      <formula>R46:U55=0</formula>
    </cfRule>
  </conditionalFormatting>
  <conditionalFormatting sqref="AA13:AH18">
    <cfRule type="expression" dxfId="50" priority="3">
      <formula>R13:R13=0</formula>
    </cfRule>
  </conditionalFormatting>
  <conditionalFormatting sqref="AA40:AH40">
    <cfRule type="expression" dxfId="49" priority="152">
      <formula>R40:U45=0</formula>
    </cfRule>
  </conditionalFormatting>
  <conditionalFormatting sqref="AA41:AH50">
    <cfRule type="expression" dxfId="48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1C00-000000000000}"/>
  </dataValidations>
  <pageMargins left="0.70866141732283472" right="0.70866141732283472" top="0.27559055118110237" bottom="0.23622047244094491" header="0.19685039370078741" footer="0.31496062992125984"/>
  <pageSetup paperSize="9" scale="9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pageSetUpPr fitToPage="1"/>
  </sheetPr>
  <dimension ref="B1:AN53"/>
  <sheetViews>
    <sheetView topLeftCell="A2" zoomScaleNormal="100" workbookViewId="0">
      <selection activeCell="AK25" sqref="AK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8" width="2.33203125" style="5"/>
    <col min="39" max="39" width="20.6640625" style="5" bestFit="1" customWidth="1"/>
    <col min="40" max="40" width="3.5546875" style="5" bestFit="1" customWidth="1"/>
    <col min="41" max="16384" width="2.33203125" style="5"/>
  </cols>
  <sheetData>
    <row r="1" spans="2:40" ht="14.25" thickBot="1" x14ac:dyDescent="0.2"/>
    <row r="2" spans="2:40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40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40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55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40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40" ht="12" customHeight="1" x14ac:dyDescent="0.15">
      <c r="B6" s="138"/>
      <c r="C6" s="141" t="s">
        <v>15</v>
      </c>
      <c r="D6" s="141"/>
      <c r="E6" s="141"/>
      <c r="F6" s="141"/>
      <c r="G6" s="157" t="s">
        <v>38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40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40" ht="12" customHeight="1" x14ac:dyDescent="0.15">
      <c r="B8" s="138"/>
      <c r="C8" s="141" t="s">
        <v>4</v>
      </c>
      <c r="D8" s="149"/>
      <c r="E8" s="149"/>
      <c r="F8" s="149"/>
      <c r="G8" s="167" t="s">
        <v>26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40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40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40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40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40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M13" s="19"/>
      <c r="AN13"/>
    </row>
    <row r="14" spans="2:40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M14" s="19"/>
      <c r="AN14"/>
    </row>
    <row r="15" spans="2:40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M15" s="19"/>
      <c r="AN15"/>
    </row>
    <row r="16" spans="2:40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M16" s="19"/>
      <c r="AN16"/>
    </row>
    <row r="17" spans="2:40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15</v>
      </c>
      <c r="S17" s="45"/>
      <c r="T17" s="45"/>
      <c r="U17" s="46"/>
      <c r="V17" s="124">
        <f t="shared" si="0"/>
        <v>1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M17" s="19"/>
      <c r="AN17"/>
    </row>
    <row r="18" spans="2:40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M18" s="19"/>
      <c r="AN18"/>
    </row>
    <row r="19" spans="2:40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40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40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40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40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40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15</v>
      </c>
      <c r="S24" s="225"/>
      <c r="T24" s="225"/>
      <c r="U24" s="225"/>
      <c r="V24" s="33">
        <f>SUM(V13:Z23)</f>
        <v>1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40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경기도 김포시 고촌읍 아라육로57번길 108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40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40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40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40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VV62 (주)지에스리테일김포2일배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40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김포2센터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경기도 김포시 고촌읍 아라육로57번길 108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15</v>
      </c>
      <c r="S44" s="54"/>
      <c r="T44" s="54"/>
      <c r="U44" s="55"/>
      <c r="V44" s="56">
        <f t="shared" si="4"/>
        <v>1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15</v>
      </c>
      <c r="S51" s="114"/>
      <c r="T51" s="114"/>
      <c r="U51" s="114"/>
      <c r="V51" s="205">
        <f>V24</f>
        <v>1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경기도 김포시 고촌읍 아라육로57번길 108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47" priority="72">
      <formula>R13:U23=0</formula>
    </cfRule>
  </conditionalFormatting>
  <conditionalFormatting sqref="V14:V17">
    <cfRule type="expression" dxfId="46" priority="4">
      <formula>R14:U22=0</formula>
    </cfRule>
  </conditionalFormatting>
  <conditionalFormatting sqref="V18:Z24">
    <cfRule type="expression" dxfId="45" priority="11">
      <formula>R18:U26=0</formula>
    </cfRule>
  </conditionalFormatting>
  <conditionalFormatting sqref="V41:Z45">
    <cfRule type="expression" dxfId="44" priority="2">
      <formula>R41:U49=0</formula>
    </cfRule>
  </conditionalFormatting>
  <conditionalFormatting sqref="V46:AH51">
    <cfRule type="expression" dxfId="43" priority="8">
      <formula>R46:U55=0</formula>
    </cfRule>
  </conditionalFormatting>
  <conditionalFormatting sqref="AA13:AH18">
    <cfRule type="expression" dxfId="42" priority="3">
      <formula>R13:R13=0</formula>
    </cfRule>
  </conditionalFormatting>
  <conditionalFormatting sqref="AA40:AH40">
    <cfRule type="expression" dxfId="41" priority="147">
      <formula>R40:U45=0</formula>
    </cfRule>
  </conditionalFormatting>
  <conditionalFormatting sqref="AA41:AH50">
    <cfRule type="expression" dxfId="40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1F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B1:AN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8" width="2.33203125" style="5"/>
    <col min="39" max="39" width="20.6640625" style="5" bestFit="1" customWidth="1"/>
    <col min="40" max="40" width="3.5546875" style="5" bestFit="1" customWidth="1"/>
    <col min="41" max="16384" width="2.33203125" style="5"/>
  </cols>
  <sheetData>
    <row r="1" spans="2:40" ht="14.25" thickBot="1" x14ac:dyDescent="0.2"/>
    <row r="2" spans="2:40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40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40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56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40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40" ht="12" customHeight="1" x14ac:dyDescent="0.15">
      <c r="B6" s="138"/>
      <c r="C6" s="141" t="s">
        <v>15</v>
      </c>
      <c r="D6" s="141"/>
      <c r="E6" s="141"/>
      <c r="F6" s="141"/>
      <c r="G6" s="157" t="s">
        <v>39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40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40" ht="12" customHeight="1" x14ac:dyDescent="0.15">
      <c r="B8" s="138"/>
      <c r="C8" s="141" t="s">
        <v>4</v>
      </c>
      <c r="D8" s="149"/>
      <c r="E8" s="149"/>
      <c r="F8" s="149"/>
      <c r="G8" s="256" t="s">
        <v>28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40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40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40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40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40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M13" s="19"/>
      <c r="AN13"/>
    </row>
    <row r="14" spans="2:40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M14" s="19"/>
      <c r="AN14"/>
    </row>
    <row r="15" spans="2:40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M15" s="19"/>
      <c r="AN15"/>
    </row>
    <row r="16" spans="2:40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M16" s="19"/>
      <c r="AN16"/>
    </row>
    <row r="17" spans="2:40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M17" s="19"/>
      <c r="AN17"/>
    </row>
    <row r="18" spans="2:40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M18" s="19"/>
      <c r="AN18"/>
    </row>
    <row r="19" spans="2:40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40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40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40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40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40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40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 xml:space="preserve">인천광역시 미추홀구 염전로 
144번길 25 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40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40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40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40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VV66 지에스리테일인천도화일배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40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도화센터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100" t="str">
        <f>G8</f>
        <v xml:space="preserve">인천광역시 미추홀구 염전로 
144번길 25 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 xml:space="preserve">인천광역시 미추홀구 염전로 
144번길 25 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39" priority="69">
      <formula>R13:U23=0</formula>
    </cfRule>
  </conditionalFormatting>
  <conditionalFormatting sqref="V14:V17">
    <cfRule type="expression" dxfId="38" priority="4">
      <formula>R14:U22=0</formula>
    </cfRule>
  </conditionalFormatting>
  <conditionalFormatting sqref="V18:Z24">
    <cfRule type="expression" dxfId="37" priority="11">
      <formula>R18:U26=0</formula>
    </cfRule>
  </conditionalFormatting>
  <conditionalFormatting sqref="V41:Z45">
    <cfRule type="expression" dxfId="36" priority="2">
      <formula>R41:U49=0</formula>
    </cfRule>
  </conditionalFormatting>
  <conditionalFormatting sqref="V46:AH51">
    <cfRule type="expression" dxfId="35" priority="8">
      <formula>R46:U55=0</formula>
    </cfRule>
  </conditionalFormatting>
  <conditionalFormatting sqref="AA13:AH18">
    <cfRule type="expression" dxfId="34" priority="3">
      <formula>R13:R13=0</formula>
    </cfRule>
  </conditionalFormatting>
  <conditionalFormatting sqref="AA40:AH40">
    <cfRule type="expression" dxfId="33" priority="142">
      <formula>R40:U45=0</formula>
    </cfRule>
  </conditionalFormatting>
  <conditionalFormatting sqref="AA41:AH50">
    <cfRule type="expression" dxfId="32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2100-000000000000}"/>
  </dataValidations>
  <pageMargins left="0.7" right="0.7" top="0.75" bottom="0.75" header="0.3" footer="0.3"/>
  <pageSetup paperSize="9" scale="9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pageSetUpPr fitToPage="1"/>
  </sheetPr>
  <dimension ref="B1:AK53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5" width="2.33203125" style="5"/>
    <col min="36" max="36" width="20.6640625" style="5" bestFit="1" customWidth="1"/>
    <col min="37" max="37" width="3.5546875" style="5" bestFit="1" customWidth="1"/>
    <col min="38" max="16384" width="2.33203125" style="5"/>
  </cols>
  <sheetData>
    <row r="1" spans="2:37" ht="14.25" thickBot="1" x14ac:dyDescent="0.2"/>
    <row r="2" spans="2:37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7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7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59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7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7" ht="12" customHeight="1" x14ac:dyDescent="0.15">
      <c r="B6" s="138"/>
      <c r="C6" s="141" t="s">
        <v>15</v>
      </c>
      <c r="D6" s="141"/>
      <c r="E6" s="141"/>
      <c r="F6" s="141"/>
      <c r="G6" s="157" t="s">
        <v>42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7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7" ht="12" customHeight="1" x14ac:dyDescent="0.15">
      <c r="B8" s="138"/>
      <c r="C8" s="141" t="s">
        <v>4</v>
      </c>
      <c r="D8" s="149"/>
      <c r="E8" s="149"/>
      <c r="F8" s="149"/>
      <c r="G8" s="167" t="s">
        <v>21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7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7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7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7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7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J13" s="19"/>
      <c r="AK13"/>
    </row>
    <row r="14" spans="2:37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J14" s="19"/>
      <c r="AK14"/>
    </row>
    <row r="15" spans="2:37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J15" s="19"/>
      <c r="AK15"/>
    </row>
    <row r="16" spans="2:37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J16" s="19"/>
      <c r="AK16"/>
    </row>
    <row r="17" spans="2:37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J17" s="19"/>
      <c r="AK17"/>
    </row>
    <row r="18" spans="2:37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J18" s="19"/>
      <c r="AK18"/>
    </row>
    <row r="19" spans="2:37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7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7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7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7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7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7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경기도 화성시 팔탄면 온천로 118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7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7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7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7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7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7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VV17 (주)지에스리테일발안일배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7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발안센터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40" t="str">
        <f>G8</f>
        <v>경기도 화성시 팔탄면 온천로 118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경기도 화성시 팔탄면 온천로 118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31" priority="66">
      <formula>R13:U23=0</formula>
    </cfRule>
  </conditionalFormatting>
  <conditionalFormatting sqref="V14:V17">
    <cfRule type="expression" dxfId="30" priority="4">
      <formula>R14:U22=0</formula>
    </cfRule>
  </conditionalFormatting>
  <conditionalFormatting sqref="V18:Z24">
    <cfRule type="expression" dxfId="29" priority="11">
      <formula>R18:U26=0</formula>
    </cfRule>
  </conditionalFormatting>
  <conditionalFormatting sqref="V41:Z45">
    <cfRule type="expression" dxfId="28" priority="2">
      <formula>R41:U49=0</formula>
    </cfRule>
  </conditionalFormatting>
  <conditionalFormatting sqref="V46:AH51">
    <cfRule type="expression" dxfId="27" priority="8">
      <formula>R46:U55=0</formula>
    </cfRule>
  </conditionalFormatting>
  <conditionalFormatting sqref="AA13:AH18">
    <cfRule type="expression" dxfId="26" priority="3">
      <formula>R13:R13=0</formula>
    </cfRule>
  </conditionalFormatting>
  <conditionalFormatting sqref="AA40:AH40">
    <cfRule type="expression" dxfId="25" priority="137">
      <formula>R40:U45=0</formula>
    </cfRule>
  </conditionalFormatting>
  <conditionalFormatting sqref="AA41:AH50">
    <cfRule type="expression" dxfId="24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19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B1:AM53"/>
  <sheetViews>
    <sheetView zoomScaleNormal="100" workbookViewId="0">
      <selection activeCell="AK25" sqref="AK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7" width="2.33203125" style="5"/>
    <col min="38" max="38" width="16.44140625" style="5" customWidth="1"/>
    <col min="39" max="39" width="23" style="5" customWidth="1"/>
    <col min="40" max="41" width="2.33203125" style="5"/>
    <col min="42" max="42" width="5.6640625" style="5" bestFit="1" customWidth="1"/>
    <col min="43" max="43" width="2.33203125" style="5"/>
    <col min="44" max="44" width="5.6640625" style="5" bestFit="1" customWidth="1"/>
    <col min="45" max="16384" width="2.33203125" style="5"/>
  </cols>
  <sheetData>
    <row r="1" spans="2:39" ht="14.25" thickBot="1" x14ac:dyDescent="0.2"/>
    <row r="2" spans="2:39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9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9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64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9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9" ht="12" customHeight="1" x14ac:dyDescent="0.15">
      <c r="B6" s="138"/>
      <c r="C6" s="141" t="s">
        <v>15</v>
      </c>
      <c r="D6" s="141"/>
      <c r="E6" s="141"/>
      <c r="F6" s="141"/>
      <c r="G6" s="157" t="s">
        <v>47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9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9" ht="12" customHeight="1" x14ac:dyDescent="0.15">
      <c r="B8" s="138"/>
      <c r="C8" s="141" t="s">
        <v>4</v>
      </c>
      <c r="D8" s="149"/>
      <c r="E8" s="149"/>
      <c r="F8" s="149"/>
      <c r="G8" s="167" t="s">
        <v>24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9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9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9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9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9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L13" s="19"/>
      <c r="AM13"/>
    </row>
    <row r="14" spans="2:39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24</v>
      </c>
      <c r="S14" s="45"/>
      <c r="T14" s="45"/>
      <c r="U14" s="46"/>
      <c r="V14" s="124">
        <f t="shared" si="0"/>
        <v>2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L14" s="19"/>
      <c r="AM14"/>
    </row>
    <row r="15" spans="2:39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L15" s="19"/>
      <c r="AM15"/>
    </row>
    <row r="16" spans="2:39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15</v>
      </c>
      <c r="S16" s="45"/>
      <c r="T16" s="45"/>
      <c r="U16" s="46"/>
      <c r="V16" s="124">
        <f t="shared" si="0"/>
        <v>1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L16" s="19"/>
      <c r="AM16"/>
    </row>
    <row r="17" spans="2:39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L17" s="19"/>
      <c r="AM17"/>
    </row>
    <row r="18" spans="2:39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L18" s="19"/>
      <c r="AM18"/>
    </row>
    <row r="19" spans="2:39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9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9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9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9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9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39</v>
      </c>
      <c r="S24" s="225"/>
      <c r="T24" s="225"/>
      <c r="U24" s="225"/>
      <c r="V24" s="33">
        <f>SUM(V13:Z23)</f>
        <v>3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9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서울특별시 송파구 송파대로 55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9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9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9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9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9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9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VV53 (주)지에스리테일송파일배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9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9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송파센터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9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9" x14ac:dyDescent="0.15">
      <c r="B35" s="92"/>
      <c r="C35" s="89" t="s">
        <v>4</v>
      </c>
      <c r="D35" s="36"/>
      <c r="E35" s="36"/>
      <c r="F35" s="36"/>
      <c r="G35" s="40" t="str">
        <f>G8</f>
        <v>서울특별시 송파구 송파대로 55</v>
      </c>
      <c r="H35" s="40"/>
      <c r="I35" s="40"/>
      <c r="J35" s="40"/>
      <c r="K35" s="40"/>
      <c r="L35" s="40"/>
      <c r="M35" s="40"/>
      <c r="N35" s="40"/>
      <c r="O35" s="40"/>
      <c r="P35" s="4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9" x14ac:dyDescent="0.15">
      <c r="B36" s="92"/>
      <c r="C36" s="36"/>
      <c r="D36" s="36"/>
      <c r="E36" s="36"/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9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9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9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9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  <c r="AL40" s="19"/>
      <c r="AM40"/>
    </row>
    <row r="41" spans="2:39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24</v>
      </c>
      <c r="S41" s="54"/>
      <c r="T41" s="54"/>
      <c r="U41" s="55"/>
      <c r="V41" s="56">
        <f t="shared" si="4"/>
        <v>2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  <c r="AL41" s="19"/>
      <c r="AM41"/>
    </row>
    <row r="42" spans="2:39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  <c r="AL42" s="19"/>
      <c r="AM42"/>
    </row>
    <row r="43" spans="2:39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15</v>
      </c>
      <c r="S43" s="54"/>
      <c r="T43" s="54"/>
      <c r="U43" s="55"/>
      <c r="V43" s="56">
        <f t="shared" si="4"/>
        <v>1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  <c r="AL43" s="19"/>
      <c r="AM43"/>
    </row>
    <row r="44" spans="2:39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  <c r="AL44" s="19"/>
      <c r="AM44"/>
    </row>
    <row r="45" spans="2:39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  <c r="AL45" s="19"/>
      <c r="AM45"/>
    </row>
    <row r="46" spans="2:39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9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9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39</v>
      </c>
      <c r="S51" s="114"/>
      <c r="T51" s="114"/>
      <c r="U51" s="114"/>
      <c r="V51" s="205">
        <f>V24</f>
        <v>3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서울특별시 송파구 송파대로 55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23" priority="63">
      <formula>R13:U23=0</formula>
    </cfRule>
  </conditionalFormatting>
  <conditionalFormatting sqref="V14:V17">
    <cfRule type="expression" dxfId="22" priority="4">
      <formula>R14:U22=0</formula>
    </cfRule>
  </conditionalFormatting>
  <conditionalFormatting sqref="V18:Z24">
    <cfRule type="expression" dxfId="21" priority="11">
      <formula>R18:U26=0</formula>
    </cfRule>
  </conditionalFormatting>
  <conditionalFormatting sqref="V41:Z45">
    <cfRule type="expression" dxfId="20" priority="2">
      <formula>R41:U49=0</formula>
    </cfRule>
  </conditionalFormatting>
  <conditionalFormatting sqref="V46:AH51">
    <cfRule type="expression" dxfId="19" priority="8">
      <formula>R46:U55=0</formula>
    </cfRule>
  </conditionalFormatting>
  <conditionalFormatting sqref="AA13:AH18">
    <cfRule type="expression" dxfId="18" priority="3">
      <formula>R13:R13=0</formula>
    </cfRule>
  </conditionalFormatting>
  <conditionalFormatting sqref="AA40:AH40">
    <cfRule type="expression" dxfId="17" priority="132">
      <formula>R40:U45=0</formula>
    </cfRule>
  </conditionalFormatting>
  <conditionalFormatting sqref="AA41:AH50">
    <cfRule type="expression" dxfId="16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12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B1:AK53"/>
  <sheetViews>
    <sheetView topLeftCell="A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16384" width="2.33203125" style="5"/>
  </cols>
  <sheetData>
    <row r="1" spans="2:34" ht="14.25" thickBot="1" x14ac:dyDescent="0.2"/>
    <row r="2" spans="2:34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4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4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75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4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4" ht="12" customHeight="1" x14ac:dyDescent="0.15">
      <c r="B6" s="138"/>
      <c r="C6" s="141" t="s">
        <v>15</v>
      </c>
      <c r="D6" s="141"/>
      <c r="E6" s="141"/>
      <c r="F6" s="141"/>
      <c r="G6" s="157" t="s">
        <v>48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4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4" ht="12" customHeight="1" x14ac:dyDescent="0.15">
      <c r="B8" s="138"/>
      <c r="C8" s="141" t="s">
        <v>4</v>
      </c>
      <c r="D8" s="149"/>
      <c r="E8" s="149"/>
      <c r="F8" s="149"/>
      <c r="G8" s="256" t="s">
        <v>31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4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4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4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4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4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</row>
    <row r="14" spans="2:34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</row>
    <row r="15" spans="2:34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</row>
    <row r="16" spans="2:34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</row>
    <row r="17" spans="2:37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</row>
    <row r="18" spans="2:37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0</v>
      </c>
      <c r="S18" s="45"/>
      <c r="T18" s="45"/>
      <c r="U18" s="156"/>
      <c r="V18" s="122">
        <f t="shared" si="0"/>
        <v>0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</row>
    <row r="19" spans="2:37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7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7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7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7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7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0</v>
      </c>
      <c r="S24" s="225"/>
      <c r="T24" s="225"/>
      <c r="U24" s="225"/>
      <c r="V24" s="33">
        <f>SUM(V13:Z23)</f>
        <v>0</v>
      </c>
      <c r="W24" s="32"/>
      <c r="X24" s="32"/>
      <c r="Y24" s="32"/>
      <c r="Z24" s="32"/>
      <c r="AA24" s="34"/>
      <c r="AB24" s="34"/>
      <c r="AC24" s="34"/>
      <c r="AD24" s="34"/>
      <c r="AE24" s="34"/>
      <c r="AF24" s="34"/>
      <c r="AG24" s="34"/>
      <c r="AH24" s="35"/>
    </row>
    <row r="25" spans="2:37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tr">
        <f>G8</f>
        <v>경기도 곤지암읍 신대길 134-14
A동 1층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7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7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7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7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7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7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VV93 (주)지에스리테일곤지암센터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7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곤지암센터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100" t="str">
        <f>G8</f>
        <v>경기도 곤지암읍 신대길 134-14
A동 1층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0</v>
      </c>
      <c r="S45" s="54"/>
      <c r="T45" s="54"/>
      <c r="U45" s="55"/>
      <c r="V45" s="56">
        <f t="shared" si="4"/>
        <v>0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0</v>
      </c>
      <c r="S51" s="114"/>
      <c r="T51" s="114"/>
      <c r="U51" s="114"/>
      <c r="V51" s="205">
        <f>V24</f>
        <v>0</v>
      </c>
      <c r="W51" s="101"/>
      <c r="X51" s="101"/>
      <c r="Y51" s="101"/>
      <c r="Z51" s="101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경기도 곤지암읍 신대길 134-14
A동 1층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15" priority="60">
      <formula>R13:U23=0</formula>
    </cfRule>
  </conditionalFormatting>
  <conditionalFormatting sqref="V14:V17">
    <cfRule type="expression" dxfId="14" priority="4">
      <formula>R14:U22=0</formula>
    </cfRule>
  </conditionalFormatting>
  <conditionalFormatting sqref="V18:Z24">
    <cfRule type="expression" dxfId="13" priority="11">
      <formula>R18:U26=0</formula>
    </cfRule>
  </conditionalFormatting>
  <conditionalFormatting sqref="V41:Z45">
    <cfRule type="expression" dxfId="12" priority="2">
      <formula>R41:U49=0</formula>
    </cfRule>
  </conditionalFormatting>
  <conditionalFormatting sqref="V46:AH51">
    <cfRule type="expression" dxfId="11" priority="8">
      <formula>R46:U55=0</formula>
    </cfRule>
  </conditionalFormatting>
  <conditionalFormatting sqref="AA13:AH18">
    <cfRule type="expression" dxfId="10" priority="3">
      <formula>R13:R13=0</formula>
    </cfRule>
  </conditionalFormatting>
  <conditionalFormatting sqref="AA40:AH40">
    <cfRule type="expression" dxfId="9" priority="127">
      <formula>R40:U45=0</formula>
    </cfRule>
  </conditionalFormatting>
  <conditionalFormatting sqref="AA41:AH50">
    <cfRule type="expression" dxfId="8" priority="1">
      <formula>R41:U44=0</formula>
    </cfRule>
  </conditionalFormatting>
  <dataValidations disablePrompts="1"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N27:AH38 D27:F30 B27:C31 G27:L38 E24:U24 W25 F46:L46 E23:Q23 N6:P11 Q2:AH11 G6:L11 H2:P3 G2:G4 M20:Q22 E20:L21 E22 C14:D23 M27:M39 C41:D50 C12:D12 C39:D39 R19:U23 R46:U51 E51:Q51 M46:M50 E12:E19 B12:B25 M6:M19 B39:B52 E39:E50" xr:uid="{00000000-0002-0000-1400-000000000000}"/>
  </dataValidations>
  <pageMargins left="0.7" right="0.7" top="0.75" bottom="0.75" header="0.3" footer="0.3"/>
  <pageSetup paperSize="9" scale="9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pageSetUpPr fitToPage="1"/>
  </sheetPr>
  <dimension ref="B1:AM53"/>
  <sheetViews>
    <sheetView zoomScaleNormal="100" workbookViewId="0">
      <selection activeCell="AK25" sqref="AK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0" width="2.33203125" style="5"/>
    <col min="21" max="25" width="1.6640625" style="5" customWidth="1"/>
    <col min="26" max="26" width="4" style="5" customWidth="1"/>
    <col min="27" max="33" width="2.33203125" style="5"/>
    <col min="34" max="34" width="3.109375" style="5" customWidth="1"/>
    <col min="35" max="37" width="2.33203125" style="5"/>
    <col min="38" max="38" width="9.5546875" style="5" customWidth="1"/>
    <col min="39" max="39" width="27.5546875" style="5" customWidth="1"/>
    <col min="40" max="41" width="2.33203125" style="5"/>
    <col min="42" max="42" width="5.6640625" style="5" bestFit="1" customWidth="1"/>
    <col min="43" max="44" width="2.33203125" style="5"/>
    <col min="45" max="45" width="5.6640625" style="5" bestFit="1" customWidth="1"/>
    <col min="46" max="16384" width="2.33203125" style="5"/>
  </cols>
  <sheetData>
    <row r="1" spans="2:39" ht="14.25" thickBot="1" x14ac:dyDescent="0.2"/>
    <row r="2" spans="2:39" ht="20.100000000000001" customHeight="1" x14ac:dyDescent="0.15">
      <c r="B2" s="130" t="s">
        <v>11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3"/>
    </row>
    <row r="3" spans="2:39" ht="20.100000000000001" customHeight="1" thickBot="1" x14ac:dyDescent="0.2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6"/>
    </row>
    <row r="4" spans="2:39" ht="12" customHeight="1" x14ac:dyDescent="0.15">
      <c r="B4" s="137" t="s">
        <v>0</v>
      </c>
      <c r="C4" s="140" t="s">
        <v>3</v>
      </c>
      <c r="D4" s="140"/>
      <c r="E4" s="140"/>
      <c r="F4" s="140"/>
      <c r="G4" s="142" t="s">
        <v>58</v>
      </c>
      <c r="H4" s="143"/>
      <c r="I4" s="143"/>
      <c r="J4" s="143"/>
      <c r="K4" s="143"/>
      <c r="L4" s="143"/>
      <c r="M4" s="143"/>
      <c r="N4" s="143"/>
      <c r="O4" s="143"/>
      <c r="P4" s="144"/>
      <c r="Q4" s="137" t="s">
        <v>2</v>
      </c>
      <c r="R4" s="148" t="s">
        <v>3</v>
      </c>
      <c r="S4" s="148"/>
      <c r="T4" s="148"/>
      <c r="U4" s="148"/>
      <c r="V4" s="150" t="s">
        <v>90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</row>
    <row r="5" spans="2:39" ht="12" customHeight="1" x14ac:dyDescent="0.15">
      <c r="B5" s="138"/>
      <c r="C5" s="141"/>
      <c r="D5" s="141"/>
      <c r="E5" s="141"/>
      <c r="F5" s="141"/>
      <c r="G5" s="145"/>
      <c r="H5" s="146"/>
      <c r="I5" s="146"/>
      <c r="J5" s="146"/>
      <c r="K5" s="146"/>
      <c r="L5" s="146"/>
      <c r="M5" s="146"/>
      <c r="N5" s="146"/>
      <c r="O5" s="146"/>
      <c r="P5" s="147"/>
      <c r="Q5" s="138"/>
      <c r="R5" s="149"/>
      <c r="S5" s="149"/>
      <c r="T5" s="149"/>
      <c r="U5" s="149"/>
      <c r="V5" s="153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/>
    </row>
    <row r="6" spans="2:39" ht="12" customHeight="1" x14ac:dyDescent="0.15">
      <c r="B6" s="138"/>
      <c r="C6" s="141" t="s">
        <v>15</v>
      </c>
      <c r="D6" s="141"/>
      <c r="E6" s="141"/>
      <c r="F6" s="141"/>
      <c r="G6" s="157" t="s">
        <v>41</v>
      </c>
      <c r="H6" s="157"/>
      <c r="I6" s="157"/>
      <c r="J6" s="157"/>
      <c r="K6" s="157"/>
      <c r="L6" s="157"/>
      <c r="M6" s="157"/>
      <c r="N6" s="157"/>
      <c r="O6" s="157"/>
      <c r="P6" s="158"/>
      <c r="Q6" s="138"/>
      <c r="R6" s="141" t="s">
        <v>1</v>
      </c>
      <c r="S6" s="141"/>
      <c r="T6" s="141"/>
      <c r="U6" s="141"/>
      <c r="V6" s="159" t="s">
        <v>91</v>
      </c>
      <c r="W6" s="160"/>
      <c r="X6" s="160"/>
      <c r="Y6" s="160"/>
      <c r="Z6" s="160"/>
      <c r="AA6" s="160"/>
      <c r="AB6" s="149" t="s">
        <v>5</v>
      </c>
      <c r="AC6" s="149"/>
      <c r="AD6" s="161" t="s">
        <v>92</v>
      </c>
      <c r="AE6" s="161"/>
      <c r="AF6" s="161"/>
      <c r="AG6" s="161"/>
      <c r="AH6" s="162"/>
    </row>
    <row r="7" spans="2:39" ht="12" customHeight="1" x14ac:dyDescent="0.15">
      <c r="B7" s="138"/>
      <c r="C7" s="141"/>
      <c r="D7" s="141"/>
      <c r="E7" s="141"/>
      <c r="F7" s="141"/>
      <c r="G7" s="157"/>
      <c r="H7" s="157"/>
      <c r="I7" s="157"/>
      <c r="J7" s="157"/>
      <c r="K7" s="157"/>
      <c r="L7" s="157"/>
      <c r="M7" s="157"/>
      <c r="N7" s="157"/>
      <c r="O7" s="157"/>
      <c r="P7" s="158"/>
      <c r="Q7" s="138"/>
      <c r="R7" s="141"/>
      <c r="S7" s="141"/>
      <c r="T7" s="141"/>
      <c r="U7" s="141"/>
      <c r="V7" s="160"/>
      <c r="W7" s="160"/>
      <c r="X7" s="160"/>
      <c r="Y7" s="160"/>
      <c r="Z7" s="160"/>
      <c r="AA7" s="160"/>
      <c r="AB7" s="149"/>
      <c r="AC7" s="149"/>
      <c r="AD7" s="161"/>
      <c r="AE7" s="161"/>
      <c r="AF7" s="161"/>
      <c r="AG7" s="161"/>
      <c r="AH7" s="162"/>
    </row>
    <row r="8" spans="2:39" ht="12" customHeight="1" x14ac:dyDescent="0.15">
      <c r="B8" s="138"/>
      <c r="C8" s="141" t="s">
        <v>4</v>
      </c>
      <c r="D8" s="149"/>
      <c r="E8" s="149"/>
      <c r="F8" s="149"/>
      <c r="G8" s="256" t="s">
        <v>34</v>
      </c>
      <c r="H8" s="168"/>
      <c r="I8" s="168"/>
      <c r="J8" s="168"/>
      <c r="K8" s="168"/>
      <c r="L8" s="168"/>
      <c r="M8" s="168"/>
      <c r="N8" s="168"/>
      <c r="O8" s="168"/>
      <c r="P8" s="168"/>
      <c r="Q8" s="138"/>
      <c r="R8" s="141" t="s">
        <v>4</v>
      </c>
      <c r="S8" s="141"/>
      <c r="T8" s="141"/>
      <c r="U8" s="141"/>
      <c r="V8" s="169" t="s">
        <v>93</v>
      </c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</row>
    <row r="9" spans="2:39" ht="12" customHeight="1" x14ac:dyDescent="0.15">
      <c r="B9" s="138"/>
      <c r="C9" s="149"/>
      <c r="D9" s="149"/>
      <c r="E9" s="149"/>
      <c r="F9" s="149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38"/>
      <c r="R9" s="141"/>
      <c r="S9" s="141"/>
      <c r="T9" s="141"/>
      <c r="U9" s="141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</row>
    <row r="10" spans="2:39" ht="11.25" customHeight="1" x14ac:dyDescent="0.15">
      <c r="B10" s="138"/>
      <c r="C10" s="141" t="s">
        <v>6</v>
      </c>
      <c r="D10" s="141"/>
      <c r="E10" s="141"/>
      <c r="F10" s="141"/>
      <c r="G10" s="172"/>
      <c r="H10" s="173"/>
      <c r="I10" s="173"/>
      <c r="J10" s="173"/>
      <c r="K10" s="173"/>
      <c r="L10" s="173"/>
      <c r="M10" s="173"/>
      <c r="N10" s="173"/>
      <c r="O10" s="173"/>
      <c r="P10" s="174"/>
      <c r="Q10" s="138"/>
      <c r="R10" s="149" t="s">
        <v>13</v>
      </c>
      <c r="S10" s="149"/>
      <c r="T10" s="149"/>
      <c r="U10" s="149"/>
      <c r="V10" s="178" t="s">
        <v>94</v>
      </c>
      <c r="W10" s="161"/>
      <c r="X10" s="161"/>
      <c r="Y10" s="161"/>
      <c r="Z10" s="161"/>
      <c r="AA10" s="161"/>
      <c r="AB10" s="149" t="s">
        <v>14</v>
      </c>
      <c r="AC10" s="149"/>
      <c r="AD10" s="161" t="s">
        <v>95</v>
      </c>
      <c r="AE10" s="161"/>
      <c r="AF10" s="161"/>
      <c r="AG10" s="161"/>
      <c r="AH10" s="162"/>
    </row>
    <row r="11" spans="2:39" ht="11.25" customHeight="1" thickBot="1" x14ac:dyDescent="0.2">
      <c r="B11" s="139"/>
      <c r="C11" s="171"/>
      <c r="D11" s="171"/>
      <c r="E11" s="171"/>
      <c r="F11" s="171"/>
      <c r="G11" s="175"/>
      <c r="H11" s="175"/>
      <c r="I11" s="175"/>
      <c r="J11" s="175"/>
      <c r="K11" s="175"/>
      <c r="L11" s="175"/>
      <c r="M11" s="175"/>
      <c r="N11" s="175"/>
      <c r="O11" s="175"/>
      <c r="P11" s="176"/>
      <c r="Q11" s="139"/>
      <c r="R11" s="177"/>
      <c r="S11" s="177"/>
      <c r="T11" s="177"/>
      <c r="U11" s="177"/>
      <c r="V11" s="179"/>
      <c r="W11" s="179"/>
      <c r="X11" s="179"/>
      <c r="Y11" s="179"/>
      <c r="Z11" s="179"/>
      <c r="AA11" s="179"/>
      <c r="AB11" s="177"/>
      <c r="AC11" s="177"/>
      <c r="AD11" s="179"/>
      <c r="AE11" s="179"/>
      <c r="AF11" s="179"/>
      <c r="AG11" s="179"/>
      <c r="AH11" s="180"/>
    </row>
    <row r="12" spans="2:39" ht="20.100000000000001" customHeight="1" x14ac:dyDescent="0.15">
      <c r="B12" s="2" t="s">
        <v>10</v>
      </c>
      <c r="C12" s="11" t="s">
        <v>7</v>
      </c>
      <c r="D12" s="1" t="s">
        <v>8</v>
      </c>
      <c r="E12" s="148" t="s">
        <v>9</v>
      </c>
      <c r="F12" s="181"/>
      <c r="G12" s="181"/>
      <c r="H12" s="181"/>
      <c r="I12" s="181"/>
      <c r="J12" s="181"/>
      <c r="K12" s="181"/>
      <c r="L12" s="181"/>
      <c r="M12" s="148" t="s">
        <v>16</v>
      </c>
      <c r="N12" s="181"/>
      <c r="O12" s="181"/>
      <c r="P12" s="181"/>
      <c r="Q12" s="181"/>
      <c r="R12" s="181" t="s">
        <v>88</v>
      </c>
      <c r="S12" s="181"/>
      <c r="T12" s="181"/>
      <c r="U12" s="181"/>
      <c r="V12" s="116" t="s">
        <v>87</v>
      </c>
      <c r="W12" s="117"/>
      <c r="X12" s="117"/>
      <c r="Y12" s="117"/>
      <c r="Z12" s="118"/>
      <c r="AA12" s="119" t="s">
        <v>18</v>
      </c>
      <c r="AB12" s="120"/>
      <c r="AC12" s="120"/>
      <c r="AD12" s="120"/>
      <c r="AE12" s="120"/>
      <c r="AF12" s="120"/>
      <c r="AG12" s="120"/>
      <c r="AH12" s="121"/>
    </row>
    <row r="13" spans="2:39" ht="15.75" customHeight="1" x14ac:dyDescent="0.15">
      <c r="B13" s="166">
        <f>'원주 날짜만 바꿔 주세요'!$B$13</f>
        <v>46310</v>
      </c>
      <c r="C13" s="42"/>
      <c r="D13" s="43"/>
      <c r="E13" s="163" t="s">
        <v>83</v>
      </c>
      <c r="F13" s="164"/>
      <c r="G13" s="164"/>
      <c r="H13" s="164"/>
      <c r="I13" s="164"/>
      <c r="J13" s="164"/>
      <c r="K13" s="164"/>
      <c r="L13" s="165"/>
      <c r="M13" s="163">
        <v>15</v>
      </c>
      <c r="N13" s="164"/>
      <c r="O13" s="164"/>
      <c r="P13" s="164"/>
      <c r="Q13" s="165"/>
      <c r="R13" s="44">
        <f>IFERROR(VLOOKUP(G4,발주량!A:CN,2,FALSE),0)</f>
        <v>0</v>
      </c>
      <c r="S13" s="45"/>
      <c r="T13" s="45"/>
      <c r="U13" s="156"/>
      <c r="V13" s="122">
        <f t="shared" ref="V13:V18" si="0">R13/M13</f>
        <v>0</v>
      </c>
      <c r="W13" s="123"/>
      <c r="X13" s="123"/>
      <c r="Y13" s="123"/>
      <c r="Z13" s="123"/>
      <c r="AA13" s="29" t="s">
        <v>105</v>
      </c>
      <c r="AB13" s="30"/>
      <c r="AC13" s="30"/>
      <c r="AD13" s="30"/>
      <c r="AE13" s="30"/>
      <c r="AF13" s="30"/>
      <c r="AG13" s="30"/>
      <c r="AH13" s="31"/>
      <c r="AL13" s="19"/>
      <c r="AM13"/>
    </row>
    <row r="14" spans="2:39" ht="13.5" customHeight="1" x14ac:dyDescent="0.15">
      <c r="B14" s="14"/>
      <c r="C14" s="15"/>
      <c r="D14" s="15"/>
      <c r="E14" s="41" t="s">
        <v>102</v>
      </c>
      <c r="F14" s="42"/>
      <c r="G14" s="42"/>
      <c r="H14" s="42"/>
      <c r="I14" s="42"/>
      <c r="J14" s="42"/>
      <c r="K14" s="42"/>
      <c r="L14" s="43"/>
      <c r="M14" s="41">
        <v>12</v>
      </c>
      <c r="N14" s="42"/>
      <c r="O14" s="42"/>
      <c r="P14" s="42"/>
      <c r="Q14" s="43"/>
      <c r="R14" s="44">
        <f>IFERROR(VLOOKUP(G4,발주량!A:CN,3,FALSE),0)</f>
        <v>0</v>
      </c>
      <c r="S14" s="45"/>
      <c r="T14" s="45"/>
      <c r="U14" s="46"/>
      <c r="V14" s="124">
        <f t="shared" si="0"/>
        <v>0</v>
      </c>
      <c r="W14" s="125"/>
      <c r="X14" s="125"/>
      <c r="Y14" s="125"/>
      <c r="Z14" s="126"/>
      <c r="AA14" s="29" t="s">
        <v>106</v>
      </c>
      <c r="AB14" s="30"/>
      <c r="AC14" s="30"/>
      <c r="AD14" s="30"/>
      <c r="AE14" s="30"/>
      <c r="AF14" s="30"/>
      <c r="AG14" s="30"/>
      <c r="AH14" s="31"/>
      <c r="AL14" s="19"/>
      <c r="AM14"/>
    </row>
    <row r="15" spans="2:39" ht="13.5" customHeight="1" x14ac:dyDescent="0.15">
      <c r="B15" s="14"/>
      <c r="C15" s="15"/>
      <c r="D15" s="15"/>
      <c r="E15" s="41" t="s">
        <v>103</v>
      </c>
      <c r="F15" s="42"/>
      <c r="G15" s="42"/>
      <c r="H15" s="42"/>
      <c r="I15" s="42"/>
      <c r="J15" s="42"/>
      <c r="K15" s="42"/>
      <c r="L15" s="43"/>
      <c r="M15" s="41">
        <v>12</v>
      </c>
      <c r="N15" s="42"/>
      <c r="O15" s="42"/>
      <c r="P15" s="42"/>
      <c r="Q15" s="43"/>
      <c r="R15" s="44">
        <f>IFERROR(VLOOKUP(G4,발주량!A:CN,4,FALSE),0)</f>
        <v>0</v>
      </c>
      <c r="S15" s="45"/>
      <c r="T15" s="45"/>
      <c r="U15" s="46"/>
      <c r="V15" s="124">
        <f t="shared" si="0"/>
        <v>0</v>
      </c>
      <c r="W15" s="125"/>
      <c r="X15" s="125"/>
      <c r="Y15" s="125"/>
      <c r="Z15" s="126"/>
      <c r="AA15" s="29" t="s">
        <v>108</v>
      </c>
      <c r="AB15" s="30"/>
      <c r="AC15" s="30"/>
      <c r="AD15" s="30"/>
      <c r="AE15" s="30"/>
      <c r="AF15" s="30"/>
      <c r="AG15" s="30"/>
      <c r="AH15" s="31"/>
      <c r="AL15" s="19"/>
      <c r="AM15"/>
    </row>
    <row r="16" spans="2:39" ht="13.5" customHeight="1" x14ac:dyDescent="0.15">
      <c r="B16" s="14"/>
      <c r="C16" s="15"/>
      <c r="D16" s="15"/>
      <c r="E16" s="41" t="s">
        <v>84</v>
      </c>
      <c r="F16" s="42"/>
      <c r="G16" s="42"/>
      <c r="H16" s="42"/>
      <c r="I16" s="42"/>
      <c r="J16" s="42"/>
      <c r="K16" s="42"/>
      <c r="L16" s="43"/>
      <c r="M16" s="41">
        <v>15</v>
      </c>
      <c r="N16" s="42"/>
      <c r="O16" s="42"/>
      <c r="P16" s="42"/>
      <c r="Q16" s="43"/>
      <c r="R16" s="44">
        <f>IFERROR(VLOOKUP(G4,발주량!A:CN,5,FALSE),0)</f>
        <v>0</v>
      </c>
      <c r="S16" s="45"/>
      <c r="T16" s="45"/>
      <c r="U16" s="46"/>
      <c r="V16" s="124">
        <f t="shared" si="0"/>
        <v>0</v>
      </c>
      <c r="W16" s="125"/>
      <c r="X16" s="125"/>
      <c r="Y16" s="125"/>
      <c r="Z16" s="126"/>
      <c r="AA16" s="29" t="s">
        <v>111</v>
      </c>
      <c r="AB16" s="30"/>
      <c r="AC16" s="30"/>
      <c r="AD16" s="30"/>
      <c r="AE16" s="30"/>
      <c r="AF16" s="30"/>
      <c r="AG16" s="30"/>
      <c r="AH16" s="31"/>
      <c r="AL16" s="19"/>
      <c r="AM16"/>
    </row>
    <row r="17" spans="2:39" ht="13.5" customHeight="1" x14ac:dyDescent="0.15">
      <c r="B17" s="14"/>
      <c r="C17" s="15"/>
      <c r="D17" s="15"/>
      <c r="E17" s="41" t="s">
        <v>85</v>
      </c>
      <c r="F17" s="42"/>
      <c r="G17" s="42"/>
      <c r="H17" s="42"/>
      <c r="I17" s="42"/>
      <c r="J17" s="42"/>
      <c r="K17" s="42"/>
      <c r="L17" s="43"/>
      <c r="M17" s="41">
        <v>15</v>
      </c>
      <c r="N17" s="42"/>
      <c r="O17" s="42"/>
      <c r="P17" s="42"/>
      <c r="Q17" s="43"/>
      <c r="R17" s="44">
        <f>IFERROR(VLOOKUP(G4,발주량!A:CN,6,FALSE),0)</f>
        <v>0</v>
      </c>
      <c r="S17" s="45"/>
      <c r="T17" s="45"/>
      <c r="U17" s="46"/>
      <c r="V17" s="124">
        <f t="shared" si="0"/>
        <v>0</v>
      </c>
      <c r="W17" s="125"/>
      <c r="X17" s="125"/>
      <c r="Y17" s="125"/>
      <c r="Z17" s="126"/>
      <c r="AA17" s="29" t="s">
        <v>118</v>
      </c>
      <c r="AB17" s="30"/>
      <c r="AC17" s="30"/>
      <c r="AD17" s="30"/>
      <c r="AE17" s="30"/>
      <c r="AF17" s="30"/>
      <c r="AG17" s="30"/>
      <c r="AH17" s="31"/>
      <c r="AL17" s="19"/>
      <c r="AM17"/>
    </row>
    <row r="18" spans="2:39" ht="13.5" customHeight="1" x14ac:dyDescent="0.15">
      <c r="B18" s="14"/>
      <c r="C18" s="20"/>
      <c r="D18" s="15"/>
      <c r="E18" s="41" t="s">
        <v>86</v>
      </c>
      <c r="F18" s="42"/>
      <c r="G18" s="42"/>
      <c r="H18" s="42"/>
      <c r="I18" s="42"/>
      <c r="J18" s="42"/>
      <c r="K18" s="42"/>
      <c r="L18" s="43"/>
      <c r="M18" s="41">
        <v>15</v>
      </c>
      <c r="N18" s="42"/>
      <c r="O18" s="42"/>
      <c r="P18" s="42"/>
      <c r="Q18" s="43"/>
      <c r="R18" s="44">
        <f>IFERROR(VLOOKUP(G4,발주량!A:CN,7,FALSE),0)</f>
        <v>15</v>
      </c>
      <c r="S18" s="45"/>
      <c r="T18" s="45"/>
      <c r="U18" s="156"/>
      <c r="V18" s="122">
        <f t="shared" si="0"/>
        <v>1</v>
      </c>
      <c r="W18" s="123"/>
      <c r="X18" s="123"/>
      <c r="Y18" s="123"/>
      <c r="Z18" s="123"/>
      <c r="AA18" s="29" t="s">
        <v>111</v>
      </c>
      <c r="AB18" s="30"/>
      <c r="AC18" s="30"/>
      <c r="AD18" s="30"/>
      <c r="AE18" s="30"/>
      <c r="AF18" s="30"/>
      <c r="AG18" s="30"/>
      <c r="AH18" s="31"/>
      <c r="AK18" s="22"/>
      <c r="AL18" s="19"/>
      <c r="AM18"/>
    </row>
    <row r="19" spans="2:39" ht="13.5" customHeight="1" x14ac:dyDescent="0.15">
      <c r="B19" s="6"/>
      <c r="C19" s="12"/>
      <c r="D19" s="7"/>
      <c r="E19" s="41"/>
      <c r="F19" s="42"/>
      <c r="G19" s="42"/>
      <c r="H19" s="42"/>
      <c r="I19" s="42"/>
      <c r="J19" s="42"/>
      <c r="K19" s="42"/>
      <c r="L19" s="43"/>
      <c r="M19" s="41"/>
      <c r="N19" s="42"/>
      <c r="O19" s="42"/>
      <c r="P19" s="42"/>
      <c r="Q19" s="43"/>
      <c r="R19" s="182"/>
      <c r="S19" s="183"/>
      <c r="T19" s="183"/>
      <c r="U19" s="184"/>
      <c r="V19" s="32"/>
      <c r="W19" s="32"/>
      <c r="X19" s="32"/>
      <c r="Y19" s="32"/>
      <c r="Z19" s="32"/>
      <c r="AA19" s="29"/>
      <c r="AB19" s="30"/>
      <c r="AC19" s="30"/>
      <c r="AD19" s="30"/>
      <c r="AE19" s="30"/>
      <c r="AF19" s="30"/>
      <c r="AG19" s="30"/>
      <c r="AH19" s="31"/>
    </row>
    <row r="20" spans="2:39" ht="13.5" customHeight="1" x14ac:dyDescent="0.15">
      <c r="B20" s="6"/>
      <c r="C20" s="12"/>
      <c r="D20" s="7"/>
      <c r="E20" s="41"/>
      <c r="F20" s="234"/>
      <c r="G20" s="234"/>
      <c r="H20" s="234"/>
      <c r="I20" s="234"/>
      <c r="J20" s="234"/>
      <c r="K20" s="234"/>
      <c r="L20" s="235"/>
      <c r="M20" s="41"/>
      <c r="N20" s="42"/>
      <c r="O20" s="42"/>
      <c r="P20" s="42"/>
      <c r="Q20" s="43"/>
      <c r="R20" s="182"/>
      <c r="S20" s="183"/>
      <c r="T20" s="183"/>
      <c r="U20" s="184"/>
      <c r="V20" s="32"/>
      <c r="W20" s="32"/>
      <c r="X20" s="32"/>
      <c r="Y20" s="32"/>
      <c r="Z20" s="32"/>
      <c r="AA20" s="29"/>
      <c r="AB20" s="30"/>
      <c r="AC20" s="30"/>
      <c r="AD20" s="30"/>
      <c r="AE20" s="30"/>
      <c r="AF20" s="30"/>
      <c r="AG20" s="30"/>
      <c r="AH20" s="31"/>
    </row>
    <row r="21" spans="2:39" ht="12.75" customHeight="1" x14ac:dyDescent="0.15">
      <c r="B21" s="6"/>
      <c r="C21" s="12"/>
      <c r="D21" s="7"/>
      <c r="E21" s="41"/>
      <c r="F21" s="234"/>
      <c r="G21" s="234"/>
      <c r="H21" s="234"/>
      <c r="I21" s="234"/>
      <c r="J21" s="234"/>
      <c r="K21" s="234"/>
      <c r="L21" s="235"/>
      <c r="M21" s="41"/>
      <c r="N21" s="42"/>
      <c r="O21" s="42"/>
      <c r="P21" s="42"/>
      <c r="Q21" s="43"/>
      <c r="R21" s="182"/>
      <c r="S21" s="183"/>
      <c r="T21" s="183"/>
      <c r="U21" s="184"/>
      <c r="V21" s="32"/>
      <c r="W21" s="32"/>
      <c r="X21" s="32"/>
      <c r="Y21" s="32"/>
      <c r="Z21" s="32"/>
      <c r="AA21" s="29"/>
      <c r="AB21" s="30"/>
      <c r="AC21" s="30"/>
      <c r="AD21" s="30"/>
      <c r="AE21" s="30"/>
      <c r="AF21" s="30"/>
      <c r="AG21" s="30"/>
      <c r="AH21" s="31"/>
    </row>
    <row r="22" spans="2:39" ht="12.75" customHeight="1" x14ac:dyDescent="0.15">
      <c r="B22" s="6"/>
      <c r="C22" s="12"/>
      <c r="D22" s="7"/>
      <c r="E22" s="41"/>
      <c r="F22" s="42"/>
      <c r="G22" s="42"/>
      <c r="H22" s="42"/>
      <c r="I22" s="42"/>
      <c r="J22" s="42"/>
      <c r="K22" s="42"/>
      <c r="L22" s="43"/>
      <c r="M22" s="41"/>
      <c r="N22" s="42"/>
      <c r="O22" s="42"/>
      <c r="P22" s="42"/>
      <c r="Q22" s="43"/>
      <c r="R22" s="182"/>
      <c r="S22" s="183"/>
      <c r="T22" s="183"/>
      <c r="U22" s="184"/>
      <c r="V22" s="32"/>
      <c r="W22" s="32"/>
      <c r="X22" s="32"/>
      <c r="Y22" s="32"/>
      <c r="Z22" s="32"/>
      <c r="AA22" s="29"/>
      <c r="AB22" s="30"/>
      <c r="AC22" s="30"/>
      <c r="AD22" s="30"/>
      <c r="AE22" s="30"/>
      <c r="AF22" s="30"/>
      <c r="AG22" s="30"/>
      <c r="AH22" s="31"/>
    </row>
    <row r="23" spans="2:39" ht="12.75" customHeight="1" x14ac:dyDescent="0.15">
      <c r="B23" s="6"/>
      <c r="C23" s="12"/>
      <c r="D23" s="7"/>
      <c r="E23" s="41"/>
      <c r="F23" s="234"/>
      <c r="G23" s="234"/>
      <c r="H23" s="234"/>
      <c r="I23" s="234"/>
      <c r="J23" s="234"/>
      <c r="K23" s="234"/>
      <c r="L23" s="235"/>
      <c r="M23" s="41"/>
      <c r="N23" s="42"/>
      <c r="O23" s="42"/>
      <c r="P23" s="42"/>
      <c r="Q23" s="43"/>
      <c r="R23" s="187"/>
      <c r="S23" s="187"/>
      <c r="T23" s="187"/>
      <c r="U23" s="187"/>
      <c r="V23" s="32"/>
      <c r="W23" s="32"/>
      <c r="X23" s="32"/>
      <c r="Y23" s="32"/>
      <c r="Z23" s="32"/>
      <c r="AA23" s="29"/>
      <c r="AB23" s="30"/>
      <c r="AC23" s="30"/>
      <c r="AD23" s="30"/>
      <c r="AE23" s="30"/>
      <c r="AF23" s="30"/>
      <c r="AG23" s="30"/>
      <c r="AH23" s="31"/>
    </row>
    <row r="24" spans="2:39" ht="20.100000000000001" customHeight="1" thickBot="1" x14ac:dyDescent="0.2">
      <c r="B24" s="206" t="s">
        <v>68</v>
      </c>
      <c r="C24" s="207"/>
      <c r="D24" s="208"/>
      <c r="E24" s="185"/>
      <c r="F24" s="186"/>
      <c r="G24" s="186"/>
      <c r="H24" s="186"/>
      <c r="I24" s="186"/>
      <c r="J24" s="186"/>
      <c r="K24" s="186"/>
      <c r="L24" s="186"/>
      <c r="M24" s="223"/>
      <c r="N24" s="224"/>
      <c r="O24" s="224"/>
      <c r="P24" s="224"/>
      <c r="Q24" s="224"/>
      <c r="R24" s="225">
        <f>SUM(R13:U23)</f>
        <v>15</v>
      </c>
      <c r="S24" s="225"/>
      <c r="T24" s="225"/>
      <c r="U24" s="225"/>
      <c r="V24" s="122">
        <f>SUM(V13:Z23)</f>
        <v>1</v>
      </c>
      <c r="W24" s="123"/>
      <c r="X24" s="123"/>
      <c r="Y24" s="123"/>
      <c r="Z24" s="123"/>
      <c r="AA24" s="34"/>
      <c r="AB24" s="34"/>
      <c r="AC24" s="34"/>
      <c r="AD24" s="34"/>
      <c r="AE24" s="34"/>
      <c r="AF24" s="34"/>
      <c r="AG24" s="34"/>
      <c r="AH24" s="35"/>
    </row>
    <row r="25" spans="2:39" ht="17.25" customHeight="1" x14ac:dyDescent="0.15">
      <c r="B25" s="59" t="s">
        <v>17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6"/>
      <c r="W25" s="65" t="s">
        <v>34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7"/>
    </row>
    <row r="26" spans="2:39" ht="18.75" customHeight="1" thickBot="1" x14ac:dyDescent="0.2"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68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70"/>
    </row>
    <row r="27" spans="2:39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9" ht="14.25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9" ht="20.100000000000001" customHeight="1" x14ac:dyDescent="0.15">
      <c r="B29" s="236" t="s">
        <v>12</v>
      </c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9"/>
    </row>
    <row r="30" spans="2:39" ht="20.100000000000001" customHeight="1" x14ac:dyDescent="0.15">
      <c r="B30" s="240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3"/>
    </row>
    <row r="31" spans="2:39" ht="13.5" customHeight="1" x14ac:dyDescent="0.15">
      <c r="B31" s="92" t="s">
        <v>0</v>
      </c>
      <c r="C31" s="89" t="str">
        <f>C4</f>
        <v>등록번호</v>
      </c>
      <c r="D31" s="89"/>
      <c r="E31" s="89"/>
      <c r="F31" s="89"/>
      <c r="G31" s="244" t="str">
        <f>G4</f>
        <v>VV85 지에스리테일신오산1저온</v>
      </c>
      <c r="H31" s="244"/>
      <c r="I31" s="244"/>
      <c r="J31" s="244"/>
      <c r="K31" s="244"/>
      <c r="L31" s="244"/>
      <c r="M31" s="244"/>
      <c r="N31" s="244"/>
      <c r="O31" s="244"/>
      <c r="P31" s="244"/>
      <c r="Q31" s="89" t="s">
        <v>2</v>
      </c>
      <c r="R31" s="36" t="s">
        <v>3</v>
      </c>
      <c r="S31" s="36"/>
      <c r="T31" s="36"/>
      <c r="U31" s="36"/>
      <c r="V31" s="37" t="str">
        <f>V4</f>
        <v>129-86-29530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8"/>
    </row>
    <row r="32" spans="2:39" x14ac:dyDescent="0.15">
      <c r="B32" s="92"/>
      <c r="C32" s="89"/>
      <c r="D32" s="89"/>
      <c r="E32" s="89"/>
      <c r="F32" s="89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89"/>
      <c r="R32" s="36"/>
      <c r="S32" s="36"/>
      <c r="T32" s="36"/>
      <c r="U32" s="3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2:34" ht="13.5" customHeight="1" x14ac:dyDescent="0.15">
      <c r="B33" s="92"/>
      <c r="C33" s="89" t="str">
        <f>C6</f>
        <v>상 호
(법인명)</v>
      </c>
      <c r="D33" s="89"/>
      <c r="E33" s="89"/>
      <c r="F33" s="89"/>
      <c r="G33" s="233" t="str">
        <f>G6</f>
        <v>신오산1센터</v>
      </c>
      <c r="H33" s="233"/>
      <c r="I33" s="233"/>
      <c r="J33" s="233"/>
      <c r="K33" s="233"/>
      <c r="L33" s="233"/>
      <c r="M33" s="233"/>
      <c r="N33" s="233"/>
      <c r="O33" s="233"/>
      <c r="P33" s="233"/>
      <c r="Q33" s="89"/>
      <c r="R33" s="89" t="s">
        <v>1</v>
      </c>
      <c r="S33" s="89"/>
      <c r="T33" s="89"/>
      <c r="U33" s="89"/>
      <c r="V33" s="100" t="str">
        <f>V6</f>
        <v>㈜네이쳐앤휴먼지피</v>
      </c>
      <c r="W33" s="100"/>
      <c r="X33" s="100"/>
      <c r="Y33" s="100"/>
      <c r="Z33" s="100"/>
      <c r="AA33" s="100"/>
      <c r="AB33" s="36" t="s">
        <v>5</v>
      </c>
      <c r="AC33" s="36"/>
      <c r="AD33" s="40" t="str">
        <f>AD6</f>
        <v>강혜완</v>
      </c>
      <c r="AE33" s="40"/>
      <c r="AF33" s="40"/>
      <c r="AG33" s="40"/>
      <c r="AH33" s="99"/>
    </row>
    <row r="34" spans="2:34" x14ac:dyDescent="0.15">
      <c r="B34" s="92"/>
      <c r="C34" s="89"/>
      <c r="D34" s="89"/>
      <c r="E34" s="89"/>
      <c r="F34" s="89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89"/>
      <c r="R34" s="89"/>
      <c r="S34" s="89"/>
      <c r="T34" s="89"/>
      <c r="U34" s="89"/>
      <c r="V34" s="100"/>
      <c r="W34" s="100"/>
      <c r="X34" s="100"/>
      <c r="Y34" s="100"/>
      <c r="Z34" s="100"/>
      <c r="AA34" s="100"/>
      <c r="AB34" s="36"/>
      <c r="AC34" s="36"/>
      <c r="AD34" s="40"/>
      <c r="AE34" s="40"/>
      <c r="AF34" s="40"/>
      <c r="AG34" s="40"/>
      <c r="AH34" s="99"/>
    </row>
    <row r="35" spans="2:34" x14ac:dyDescent="0.15">
      <c r="B35" s="92"/>
      <c r="C35" s="89" t="s">
        <v>4</v>
      </c>
      <c r="D35" s="36"/>
      <c r="E35" s="36"/>
      <c r="F35" s="36"/>
      <c r="G35" s="100" t="str">
        <f>G8</f>
        <v>경기도 오산시 수목원로88번길33,
4층</v>
      </c>
      <c r="H35" s="100"/>
      <c r="I35" s="100"/>
      <c r="J35" s="100"/>
      <c r="K35" s="100"/>
      <c r="L35" s="100"/>
      <c r="M35" s="100"/>
      <c r="N35" s="100"/>
      <c r="O35" s="100"/>
      <c r="P35" s="100"/>
      <c r="Q35" s="89"/>
      <c r="R35" s="89" t="s">
        <v>4</v>
      </c>
      <c r="S35" s="89"/>
      <c r="T35" s="89"/>
      <c r="U35" s="89"/>
      <c r="V35" s="90" t="str">
        <f>V8</f>
        <v>경기 성남 분당 황새울로311번길 14, 801호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1"/>
    </row>
    <row r="36" spans="2:34" x14ac:dyDescent="0.15">
      <c r="B36" s="92"/>
      <c r="C36" s="36"/>
      <c r="D36" s="36"/>
      <c r="E36" s="36"/>
      <c r="F36" s="36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89"/>
      <c r="R36" s="89"/>
      <c r="S36" s="89"/>
      <c r="T36" s="89"/>
      <c r="U36" s="89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1"/>
    </row>
    <row r="37" spans="2:34" ht="13.5" customHeight="1" x14ac:dyDescent="0.15">
      <c r="B37" s="92"/>
      <c r="C37" s="89" t="s">
        <v>6</v>
      </c>
      <c r="D37" s="89"/>
      <c r="E37" s="89"/>
      <c r="F37" s="89"/>
      <c r="G37" s="231"/>
      <c r="H37" s="232"/>
      <c r="I37" s="232"/>
      <c r="J37" s="232"/>
      <c r="K37" s="232"/>
      <c r="L37" s="232"/>
      <c r="M37" s="232"/>
      <c r="N37" s="232"/>
      <c r="O37" s="232"/>
      <c r="P37" s="232"/>
      <c r="Q37" s="89"/>
      <c r="R37" s="36" t="s">
        <v>13</v>
      </c>
      <c r="S37" s="36"/>
      <c r="T37" s="36"/>
      <c r="U37" s="36"/>
      <c r="V37" s="39" t="str">
        <f>V10</f>
        <v>제조</v>
      </c>
      <c r="W37" s="40"/>
      <c r="X37" s="40"/>
      <c r="Y37" s="40"/>
      <c r="Z37" s="40"/>
      <c r="AA37" s="40"/>
      <c r="AB37" s="36" t="s">
        <v>14</v>
      </c>
      <c r="AC37" s="36"/>
      <c r="AD37" s="40" t="str">
        <f>AD10</f>
        <v>임가공외</v>
      </c>
      <c r="AE37" s="40"/>
      <c r="AF37" s="40"/>
      <c r="AG37" s="40"/>
      <c r="AH37" s="99"/>
    </row>
    <row r="38" spans="2:34" ht="14.25" thickBot="1" x14ac:dyDescent="0.2">
      <c r="B38" s="92"/>
      <c r="C38" s="89"/>
      <c r="D38" s="89"/>
      <c r="E38" s="89"/>
      <c r="F38" s="89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89"/>
      <c r="R38" s="36"/>
      <c r="S38" s="36"/>
      <c r="T38" s="36"/>
      <c r="U38" s="36"/>
      <c r="V38" s="40"/>
      <c r="W38" s="40"/>
      <c r="X38" s="40"/>
      <c r="Y38" s="40"/>
      <c r="Z38" s="40"/>
      <c r="AA38" s="40"/>
      <c r="AB38" s="36"/>
      <c r="AC38" s="36"/>
      <c r="AD38" s="40"/>
      <c r="AE38" s="40"/>
      <c r="AF38" s="40"/>
      <c r="AG38" s="40"/>
      <c r="AH38" s="99"/>
    </row>
    <row r="39" spans="2:34" ht="20.100000000000001" customHeight="1" x14ac:dyDescent="0.15">
      <c r="B39" s="24" t="s">
        <v>10</v>
      </c>
      <c r="C39" s="25" t="s">
        <v>7</v>
      </c>
      <c r="D39" s="26" t="s">
        <v>8</v>
      </c>
      <c r="E39" s="209" t="s">
        <v>9</v>
      </c>
      <c r="F39" s="210"/>
      <c r="G39" s="210"/>
      <c r="H39" s="210"/>
      <c r="I39" s="210"/>
      <c r="J39" s="210"/>
      <c r="K39" s="210"/>
      <c r="L39" s="210"/>
      <c r="M39" s="209" t="s">
        <v>16</v>
      </c>
      <c r="N39" s="210"/>
      <c r="O39" s="210"/>
      <c r="P39" s="210"/>
      <c r="Q39" s="210"/>
      <c r="R39" s="210" t="str">
        <f t="shared" ref="R39:R45" si="1">R12</f>
        <v>수량</v>
      </c>
      <c r="S39" s="210"/>
      <c r="T39" s="210"/>
      <c r="U39" s="210"/>
      <c r="V39" s="58" t="s">
        <v>87</v>
      </c>
      <c r="W39" s="58"/>
      <c r="X39" s="58"/>
      <c r="Y39" s="58"/>
      <c r="Z39" s="58"/>
      <c r="AA39" s="58" t="s">
        <v>18</v>
      </c>
      <c r="AB39" s="58"/>
      <c r="AC39" s="58"/>
      <c r="AD39" s="58"/>
      <c r="AE39" s="58"/>
      <c r="AF39" s="58"/>
      <c r="AG39" s="58"/>
      <c r="AH39" s="115"/>
    </row>
    <row r="40" spans="2:34" ht="14.25" customHeight="1" x14ac:dyDescent="0.15">
      <c r="B40" s="127">
        <f>B13</f>
        <v>46310</v>
      </c>
      <c r="C40" s="128"/>
      <c r="D40" s="129"/>
      <c r="E40" s="47" t="str">
        <f t="shared" ref="E40:E45" si="2">E13</f>
        <v>그린스무디</v>
      </c>
      <c r="F40" s="48"/>
      <c r="G40" s="48"/>
      <c r="H40" s="48"/>
      <c r="I40" s="48"/>
      <c r="J40" s="48"/>
      <c r="K40" s="48"/>
      <c r="L40" s="49"/>
      <c r="M40" s="50">
        <f t="shared" ref="M40:M45" si="3">M13</f>
        <v>15</v>
      </c>
      <c r="N40" s="51"/>
      <c r="O40" s="51"/>
      <c r="P40" s="51"/>
      <c r="Q40" s="52"/>
      <c r="R40" s="53">
        <f t="shared" si="1"/>
        <v>0</v>
      </c>
      <c r="S40" s="54"/>
      <c r="T40" s="54"/>
      <c r="U40" s="55"/>
      <c r="V40" s="56">
        <f t="shared" ref="V40:V45" si="4">V13</f>
        <v>0</v>
      </c>
      <c r="W40" s="57"/>
      <c r="X40" s="57"/>
      <c r="Y40" s="57"/>
      <c r="Z40" s="57"/>
      <c r="AA40" s="102" t="str">
        <f t="shared" ref="AA40:AA45" si="5">AA13</f>
        <v>28.07.30</v>
      </c>
      <c r="AB40" s="103"/>
      <c r="AC40" s="103"/>
      <c r="AD40" s="103"/>
      <c r="AE40" s="103"/>
      <c r="AF40" s="103"/>
      <c r="AG40" s="103"/>
      <c r="AH40" s="104"/>
    </row>
    <row r="41" spans="2:34" ht="13.5" customHeight="1" x14ac:dyDescent="0.15">
      <c r="B41" s="16"/>
      <c r="C41" s="17"/>
      <c r="D41" s="18"/>
      <c r="E41" s="47" t="str">
        <f t="shared" si="2"/>
        <v>네이쳐)수박스무디</v>
      </c>
      <c r="F41" s="48"/>
      <c r="G41" s="48"/>
      <c r="H41" s="48"/>
      <c r="I41" s="48"/>
      <c r="J41" s="48"/>
      <c r="K41" s="48"/>
      <c r="L41" s="49"/>
      <c r="M41" s="50">
        <f t="shared" si="3"/>
        <v>12</v>
      </c>
      <c r="N41" s="51"/>
      <c r="O41" s="51"/>
      <c r="P41" s="51"/>
      <c r="Q41" s="52"/>
      <c r="R41" s="53">
        <f t="shared" si="1"/>
        <v>0</v>
      </c>
      <c r="S41" s="54"/>
      <c r="T41" s="54"/>
      <c r="U41" s="55"/>
      <c r="V41" s="56">
        <f t="shared" si="4"/>
        <v>0</v>
      </c>
      <c r="W41" s="57"/>
      <c r="X41" s="57"/>
      <c r="Y41" s="57"/>
      <c r="Z41" s="57"/>
      <c r="AA41" s="102" t="str">
        <f t="shared" si="5"/>
        <v>27.09.06</v>
      </c>
      <c r="AB41" s="103"/>
      <c r="AC41" s="103"/>
      <c r="AD41" s="103"/>
      <c r="AE41" s="103"/>
      <c r="AF41" s="103"/>
      <c r="AG41" s="103"/>
      <c r="AH41" s="104"/>
    </row>
    <row r="42" spans="2:34" ht="13.5" customHeight="1" x14ac:dyDescent="0.15">
      <c r="B42" s="16"/>
      <c r="C42" s="17"/>
      <c r="D42" s="18"/>
      <c r="E42" s="47" t="str">
        <f t="shared" si="2"/>
        <v>네이쳐)카페라떼스무디</v>
      </c>
      <c r="F42" s="48"/>
      <c r="G42" s="48"/>
      <c r="H42" s="48"/>
      <c r="I42" s="48"/>
      <c r="J42" s="48"/>
      <c r="K42" s="48"/>
      <c r="L42" s="49"/>
      <c r="M42" s="50">
        <f t="shared" si="3"/>
        <v>12</v>
      </c>
      <c r="N42" s="51"/>
      <c r="O42" s="51"/>
      <c r="P42" s="51"/>
      <c r="Q42" s="52"/>
      <c r="R42" s="53">
        <f t="shared" si="1"/>
        <v>0</v>
      </c>
      <c r="S42" s="54"/>
      <c r="T42" s="54"/>
      <c r="U42" s="55"/>
      <c r="V42" s="56">
        <f t="shared" si="4"/>
        <v>0</v>
      </c>
      <c r="W42" s="57"/>
      <c r="X42" s="57"/>
      <c r="Y42" s="57"/>
      <c r="Z42" s="57"/>
      <c r="AA42" s="102" t="str">
        <f t="shared" si="5"/>
        <v>27.09.16</v>
      </c>
      <c r="AB42" s="103"/>
      <c r="AC42" s="103"/>
      <c r="AD42" s="103"/>
      <c r="AE42" s="103"/>
      <c r="AF42" s="103"/>
      <c r="AG42" s="103"/>
      <c r="AH42" s="104"/>
    </row>
    <row r="43" spans="2:34" ht="13.5" customHeight="1" x14ac:dyDescent="0.15">
      <c r="B43" s="16"/>
      <c r="C43" s="17"/>
      <c r="D43" s="18"/>
      <c r="E43" s="47" t="str">
        <f t="shared" si="2"/>
        <v>딸기바나나스무디</v>
      </c>
      <c r="F43" s="48"/>
      <c r="G43" s="48"/>
      <c r="H43" s="48"/>
      <c r="I43" s="48"/>
      <c r="J43" s="48"/>
      <c r="K43" s="48"/>
      <c r="L43" s="49"/>
      <c r="M43" s="50">
        <f t="shared" si="3"/>
        <v>15</v>
      </c>
      <c r="N43" s="51"/>
      <c r="O43" s="51"/>
      <c r="P43" s="51"/>
      <c r="Q43" s="52"/>
      <c r="R43" s="53">
        <f t="shared" si="1"/>
        <v>0</v>
      </c>
      <c r="S43" s="54"/>
      <c r="T43" s="54"/>
      <c r="U43" s="55"/>
      <c r="V43" s="56">
        <f t="shared" si="4"/>
        <v>0</v>
      </c>
      <c r="W43" s="57"/>
      <c r="X43" s="57"/>
      <c r="Y43" s="57"/>
      <c r="Z43" s="57"/>
      <c r="AA43" s="102" t="str">
        <f t="shared" si="5"/>
        <v>28.10.01</v>
      </c>
      <c r="AB43" s="103"/>
      <c r="AC43" s="103"/>
      <c r="AD43" s="103"/>
      <c r="AE43" s="103"/>
      <c r="AF43" s="103"/>
      <c r="AG43" s="103"/>
      <c r="AH43" s="104"/>
    </row>
    <row r="44" spans="2:34" ht="13.5" customHeight="1" x14ac:dyDescent="0.15">
      <c r="B44" s="16"/>
      <c r="C44" s="17"/>
      <c r="D44" s="18"/>
      <c r="E44" s="47" t="str">
        <f t="shared" si="2"/>
        <v>딸기블루베리망고스무디</v>
      </c>
      <c r="F44" s="48"/>
      <c r="G44" s="48"/>
      <c r="H44" s="48"/>
      <c r="I44" s="48"/>
      <c r="J44" s="48"/>
      <c r="K44" s="48"/>
      <c r="L44" s="49"/>
      <c r="M44" s="50">
        <f t="shared" si="3"/>
        <v>15</v>
      </c>
      <c r="N44" s="51"/>
      <c r="O44" s="51"/>
      <c r="P44" s="51"/>
      <c r="Q44" s="52"/>
      <c r="R44" s="53">
        <f t="shared" si="1"/>
        <v>0</v>
      </c>
      <c r="S44" s="54"/>
      <c r="T44" s="54"/>
      <c r="U44" s="55"/>
      <c r="V44" s="56">
        <f t="shared" si="4"/>
        <v>0</v>
      </c>
      <c r="W44" s="57"/>
      <c r="X44" s="57"/>
      <c r="Y44" s="57"/>
      <c r="Z44" s="57"/>
      <c r="AA44" s="102" t="str">
        <f t="shared" si="5"/>
        <v>28.10.06</v>
      </c>
      <c r="AB44" s="103"/>
      <c r="AC44" s="103"/>
      <c r="AD44" s="103"/>
      <c r="AE44" s="103"/>
      <c r="AF44" s="103"/>
      <c r="AG44" s="103"/>
      <c r="AH44" s="104"/>
    </row>
    <row r="45" spans="2:34" ht="13.5" customHeight="1" x14ac:dyDescent="0.15">
      <c r="B45" s="16"/>
      <c r="C45" s="21"/>
      <c r="D45" s="18"/>
      <c r="E45" s="47" t="str">
        <f t="shared" si="2"/>
        <v>망고바나나스무디</v>
      </c>
      <c r="F45" s="48"/>
      <c r="G45" s="48"/>
      <c r="H45" s="48"/>
      <c r="I45" s="48"/>
      <c r="J45" s="48"/>
      <c r="K45" s="48"/>
      <c r="L45" s="49"/>
      <c r="M45" s="50">
        <f t="shared" si="3"/>
        <v>15</v>
      </c>
      <c r="N45" s="51"/>
      <c r="O45" s="51"/>
      <c r="P45" s="51"/>
      <c r="Q45" s="52"/>
      <c r="R45" s="53">
        <f t="shared" si="1"/>
        <v>15</v>
      </c>
      <c r="S45" s="54"/>
      <c r="T45" s="54"/>
      <c r="U45" s="55"/>
      <c r="V45" s="56">
        <f t="shared" si="4"/>
        <v>1</v>
      </c>
      <c r="W45" s="57"/>
      <c r="X45" s="57"/>
      <c r="Y45" s="57"/>
      <c r="Z45" s="57"/>
      <c r="AA45" s="102" t="str">
        <f t="shared" si="5"/>
        <v>28.10.01</v>
      </c>
      <c r="AB45" s="103"/>
      <c r="AC45" s="103"/>
      <c r="AD45" s="103"/>
      <c r="AE45" s="103"/>
      <c r="AF45" s="103"/>
      <c r="AG45" s="103"/>
      <c r="AH45" s="104"/>
    </row>
    <row r="46" spans="2:34" ht="13.5" customHeight="1" x14ac:dyDescent="0.15">
      <c r="B46" s="9"/>
      <c r="C46" s="13"/>
      <c r="D46" s="10"/>
      <c r="E46" s="108"/>
      <c r="F46" s="109"/>
      <c r="G46" s="109"/>
      <c r="H46" s="109"/>
      <c r="I46" s="109"/>
      <c r="J46" s="109"/>
      <c r="K46" s="109"/>
      <c r="L46" s="110"/>
      <c r="M46" s="111"/>
      <c r="N46" s="112"/>
      <c r="O46" s="112"/>
      <c r="P46" s="112"/>
      <c r="Q46" s="113"/>
      <c r="R46" s="114"/>
      <c r="S46" s="114"/>
      <c r="T46" s="114"/>
      <c r="U46" s="114"/>
      <c r="V46" s="101"/>
      <c r="W46" s="101"/>
      <c r="X46" s="101"/>
      <c r="Y46" s="101"/>
      <c r="Z46" s="101"/>
      <c r="AA46" s="102"/>
      <c r="AB46" s="103"/>
      <c r="AC46" s="103"/>
      <c r="AD46" s="103"/>
      <c r="AE46" s="103"/>
      <c r="AF46" s="103"/>
      <c r="AG46" s="103"/>
      <c r="AH46" s="104"/>
    </row>
    <row r="47" spans="2:34" ht="13.5" customHeight="1" x14ac:dyDescent="0.15">
      <c r="B47" s="9"/>
      <c r="C47" s="13"/>
      <c r="D47" s="10"/>
      <c r="E47" s="108"/>
      <c r="F47" s="109"/>
      <c r="G47" s="109"/>
      <c r="H47" s="109"/>
      <c r="I47" s="109"/>
      <c r="J47" s="109"/>
      <c r="K47" s="109"/>
      <c r="L47" s="110"/>
      <c r="M47" s="111"/>
      <c r="N47" s="112"/>
      <c r="O47" s="112"/>
      <c r="P47" s="112"/>
      <c r="Q47" s="113"/>
      <c r="R47" s="114"/>
      <c r="S47" s="114"/>
      <c r="T47" s="114"/>
      <c r="U47" s="114"/>
      <c r="V47" s="101"/>
      <c r="W47" s="101"/>
      <c r="X47" s="101"/>
      <c r="Y47" s="101"/>
      <c r="Z47" s="101"/>
      <c r="AA47" s="105"/>
      <c r="AB47" s="106"/>
      <c r="AC47" s="106"/>
      <c r="AD47" s="106"/>
      <c r="AE47" s="106"/>
      <c r="AF47" s="106"/>
      <c r="AG47" s="106"/>
      <c r="AH47" s="107"/>
    </row>
    <row r="48" spans="2:34" ht="13.5" customHeight="1" x14ac:dyDescent="0.15">
      <c r="B48" s="9"/>
      <c r="C48" s="13"/>
      <c r="D48" s="10"/>
      <c r="E48" s="108"/>
      <c r="F48" s="109"/>
      <c r="G48" s="109"/>
      <c r="H48" s="109"/>
      <c r="I48" s="109"/>
      <c r="J48" s="109"/>
      <c r="K48" s="109"/>
      <c r="L48" s="110"/>
      <c r="M48" s="111"/>
      <c r="N48" s="112"/>
      <c r="O48" s="112"/>
      <c r="P48" s="112"/>
      <c r="Q48" s="113"/>
      <c r="R48" s="114"/>
      <c r="S48" s="114"/>
      <c r="T48" s="114"/>
      <c r="U48" s="114"/>
      <c r="V48" s="101"/>
      <c r="W48" s="101"/>
      <c r="X48" s="101"/>
      <c r="Y48" s="101"/>
      <c r="Z48" s="101"/>
      <c r="AA48" s="105"/>
      <c r="AB48" s="106"/>
      <c r="AC48" s="106"/>
      <c r="AD48" s="106"/>
      <c r="AE48" s="106"/>
      <c r="AF48" s="106"/>
      <c r="AG48" s="106"/>
      <c r="AH48" s="107"/>
    </row>
    <row r="49" spans="2:34" ht="13.5" customHeight="1" x14ac:dyDescent="0.15">
      <c r="B49" s="9"/>
      <c r="C49" s="13"/>
      <c r="D49" s="10"/>
      <c r="E49" s="108"/>
      <c r="F49" s="109"/>
      <c r="G49" s="109"/>
      <c r="H49" s="109"/>
      <c r="I49" s="109"/>
      <c r="J49" s="109"/>
      <c r="K49" s="109"/>
      <c r="L49" s="110"/>
      <c r="M49" s="111"/>
      <c r="N49" s="112"/>
      <c r="O49" s="112"/>
      <c r="P49" s="112"/>
      <c r="Q49" s="113"/>
      <c r="R49" s="114"/>
      <c r="S49" s="114"/>
      <c r="T49" s="114"/>
      <c r="U49" s="114"/>
      <c r="V49" s="101"/>
      <c r="W49" s="101"/>
      <c r="X49" s="101"/>
      <c r="Y49" s="101"/>
      <c r="Z49" s="101"/>
      <c r="AA49" s="105"/>
      <c r="AB49" s="106"/>
      <c r="AC49" s="106"/>
      <c r="AD49" s="106"/>
      <c r="AE49" s="106"/>
      <c r="AF49" s="106"/>
      <c r="AG49" s="106"/>
      <c r="AH49" s="107"/>
    </row>
    <row r="50" spans="2:34" ht="13.5" customHeight="1" x14ac:dyDescent="0.15">
      <c r="B50" s="9"/>
      <c r="C50" s="13"/>
      <c r="D50" s="10"/>
      <c r="E50" s="108"/>
      <c r="F50" s="109"/>
      <c r="G50" s="109"/>
      <c r="H50" s="109"/>
      <c r="I50" s="109"/>
      <c r="J50" s="109"/>
      <c r="K50" s="109"/>
      <c r="L50" s="110"/>
      <c r="M50" s="111"/>
      <c r="N50" s="112"/>
      <c r="O50" s="112"/>
      <c r="P50" s="112"/>
      <c r="Q50" s="113"/>
      <c r="R50" s="114"/>
      <c r="S50" s="114"/>
      <c r="T50" s="114"/>
      <c r="U50" s="114"/>
      <c r="V50" s="101"/>
      <c r="W50" s="101"/>
      <c r="X50" s="101"/>
      <c r="Y50" s="101"/>
      <c r="Z50" s="101"/>
      <c r="AA50" s="105"/>
      <c r="AB50" s="106"/>
      <c r="AC50" s="106"/>
      <c r="AD50" s="106"/>
      <c r="AE50" s="106"/>
      <c r="AF50" s="106"/>
      <c r="AG50" s="106"/>
      <c r="AH50" s="107"/>
    </row>
    <row r="51" spans="2:34" ht="20.100000000000001" customHeight="1" x14ac:dyDescent="0.15">
      <c r="B51" s="198" t="str">
        <f>B24</f>
        <v>총수량</v>
      </c>
      <c r="C51" s="199"/>
      <c r="D51" s="200"/>
      <c r="E51" s="201"/>
      <c r="F51" s="202"/>
      <c r="G51" s="202"/>
      <c r="H51" s="202"/>
      <c r="I51" s="202"/>
      <c r="J51" s="202"/>
      <c r="K51" s="202"/>
      <c r="L51" s="202"/>
      <c r="M51" s="203"/>
      <c r="N51" s="204"/>
      <c r="O51" s="204"/>
      <c r="P51" s="204"/>
      <c r="Q51" s="204"/>
      <c r="R51" s="114">
        <f>R24</f>
        <v>15</v>
      </c>
      <c r="S51" s="114"/>
      <c r="T51" s="114"/>
      <c r="U51" s="114"/>
      <c r="V51" s="56">
        <f>V24</f>
        <v>1</v>
      </c>
      <c r="W51" s="57"/>
      <c r="X51" s="57"/>
      <c r="Y51" s="57"/>
      <c r="Z51" s="57"/>
      <c r="AA51" s="105"/>
      <c r="AB51" s="106"/>
      <c r="AC51" s="106"/>
      <c r="AD51" s="106"/>
      <c r="AE51" s="106"/>
      <c r="AF51" s="106"/>
      <c r="AG51" s="106"/>
      <c r="AH51" s="107"/>
    </row>
    <row r="52" spans="2:34" ht="17.25" customHeight="1" x14ac:dyDescent="0.15">
      <c r="B52" s="188" t="str">
        <f>B25</f>
        <v>3자물류 (더원물류)
담당자 박병선이사  010-4448-1456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7"/>
      <c r="W52" s="192" t="str">
        <f>W25</f>
        <v>경기도 오산시 수목원로88번길33,
4층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4"/>
    </row>
    <row r="53" spans="2:34" ht="18.75" customHeight="1" thickBot="1" x14ac:dyDescent="0.2"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30"/>
      <c r="W53" s="195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7"/>
    </row>
  </sheetData>
  <mergeCells count="184">
    <mergeCell ref="R40:U40"/>
    <mergeCell ref="E40:L40"/>
    <mergeCell ref="M40:Q40"/>
    <mergeCell ref="M21:Q21"/>
    <mergeCell ref="R21:U21"/>
    <mergeCell ref="E22:L22"/>
    <mergeCell ref="M22:Q22"/>
    <mergeCell ref="R22:U22"/>
    <mergeCell ref="B29:AH30"/>
    <mergeCell ref="B31:B38"/>
    <mergeCell ref="C31:F32"/>
    <mergeCell ref="G31:P32"/>
    <mergeCell ref="E23:L23"/>
    <mergeCell ref="M23:Q23"/>
    <mergeCell ref="B24:D24"/>
    <mergeCell ref="R23:U23"/>
    <mergeCell ref="V31:AH32"/>
    <mergeCell ref="C33:F34"/>
    <mergeCell ref="B25:V26"/>
    <mergeCell ref="W25:AH26"/>
    <mergeCell ref="AB33:AC34"/>
    <mergeCell ref="AD33:AH34"/>
    <mergeCell ref="V24:Z24"/>
    <mergeCell ref="AA24:AH24"/>
    <mergeCell ref="E20:L20"/>
    <mergeCell ref="M20:Q20"/>
    <mergeCell ref="R20:U20"/>
    <mergeCell ref="E21:L21"/>
    <mergeCell ref="R31:U32"/>
    <mergeCell ref="B13:D13"/>
    <mergeCell ref="M13:Q13"/>
    <mergeCell ref="R13:U13"/>
    <mergeCell ref="E13:L13"/>
    <mergeCell ref="E17:L17"/>
    <mergeCell ref="M17:Q17"/>
    <mergeCell ref="R17:U17"/>
    <mergeCell ref="E16:L16"/>
    <mergeCell ref="M16:Q16"/>
    <mergeCell ref="R16:U16"/>
    <mergeCell ref="E19:L19"/>
    <mergeCell ref="M19:Q19"/>
    <mergeCell ref="R19:U19"/>
    <mergeCell ref="E18:L18"/>
    <mergeCell ref="M18:Q18"/>
    <mergeCell ref="R18:U18"/>
    <mergeCell ref="E24:L24"/>
    <mergeCell ref="M24:Q24"/>
    <mergeCell ref="R24:U24"/>
    <mergeCell ref="E44:L44"/>
    <mergeCell ref="M44:Q44"/>
    <mergeCell ref="R44:U44"/>
    <mergeCell ref="M45:Q45"/>
    <mergeCell ref="R45:U45"/>
    <mergeCell ref="E43:L43"/>
    <mergeCell ref="M43:Q43"/>
    <mergeCell ref="R43:U43"/>
    <mergeCell ref="M47:Q47"/>
    <mergeCell ref="R47:U47"/>
    <mergeCell ref="E46:L46"/>
    <mergeCell ref="M46:Q46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Q12"/>
    <mergeCell ref="R12:U12"/>
    <mergeCell ref="C10:F11"/>
    <mergeCell ref="G10:P11"/>
    <mergeCell ref="R10:U11"/>
    <mergeCell ref="V10:AA11"/>
    <mergeCell ref="AB10:AC11"/>
    <mergeCell ref="AD10:AH11"/>
    <mergeCell ref="V12:Z12"/>
    <mergeCell ref="AA12:AH12"/>
    <mergeCell ref="V35:AH36"/>
    <mergeCell ref="AD37:AH38"/>
    <mergeCell ref="V33:AA34"/>
    <mergeCell ref="G35:P36"/>
    <mergeCell ref="R35:U36"/>
    <mergeCell ref="E39:L39"/>
    <mergeCell ref="M39:Q39"/>
    <mergeCell ref="R39:U39"/>
    <mergeCell ref="C35:F36"/>
    <mergeCell ref="C37:F38"/>
    <mergeCell ref="G37:P38"/>
    <mergeCell ref="R37:U38"/>
    <mergeCell ref="AB37:AC38"/>
    <mergeCell ref="V37:AA38"/>
    <mergeCell ref="Q31:Q38"/>
    <mergeCell ref="G33:P34"/>
    <mergeCell ref="R33:U34"/>
    <mergeCell ref="V39:Z39"/>
    <mergeCell ref="AA39:AH39"/>
    <mergeCell ref="B40:D40"/>
    <mergeCell ref="B52:V53"/>
    <mergeCell ref="W52:AH53"/>
    <mergeCell ref="E50:L50"/>
    <mergeCell ref="M50:Q50"/>
    <mergeCell ref="R50:U50"/>
    <mergeCell ref="E51:L51"/>
    <mergeCell ref="M51:Q51"/>
    <mergeCell ref="R51:U51"/>
    <mergeCell ref="E47:L47"/>
    <mergeCell ref="B51:D51"/>
    <mergeCell ref="E48:L48"/>
    <mergeCell ref="M48:Q48"/>
    <mergeCell ref="R48:U48"/>
    <mergeCell ref="R46:U46"/>
    <mergeCell ref="E45:L45"/>
    <mergeCell ref="E49:L49"/>
    <mergeCell ref="M49:Q49"/>
    <mergeCell ref="R49:U49"/>
    <mergeCell ref="V51:Z51"/>
    <mergeCell ref="AA51:AH51"/>
    <mergeCell ref="V40:Z40"/>
    <mergeCell ref="AA40:AH40"/>
    <mergeCell ref="V43:Z43"/>
    <mergeCell ref="V13:Z13"/>
    <mergeCell ref="V16:Z16"/>
    <mergeCell ref="V17:Z17"/>
    <mergeCell ref="V18:Z18"/>
    <mergeCell ref="V19:Z19"/>
    <mergeCell ref="V20:Z20"/>
    <mergeCell ref="V21:Z21"/>
    <mergeCell ref="V22:Z22"/>
    <mergeCell ref="V23:Z23"/>
    <mergeCell ref="V48:Z48"/>
    <mergeCell ref="AA48:AH48"/>
    <mergeCell ref="V49:Z49"/>
    <mergeCell ref="AA49:AH49"/>
    <mergeCell ref="V50:Z50"/>
    <mergeCell ref="AA50:AH50"/>
    <mergeCell ref="AA13:AH13"/>
    <mergeCell ref="AA16:AH16"/>
    <mergeCell ref="AA17:AH17"/>
    <mergeCell ref="AA18:AH18"/>
    <mergeCell ref="AA19:AH19"/>
    <mergeCell ref="AA20:AH20"/>
    <mergeCell ref="AA21:AH21"/>
    <mergeCell ref="AA22:AH22"/>
    <mergeCell ref="AA23:AH23"/>
    <mergeCell ref="AA43:AH43"/>
    <mergeCell ref="V44:Z44"/>
    <mergeCell ref="AA44:AH44"/>
    <mergeCell ref="V45:Z45"/>
    <mergeCell ref="AA45:AH45"/>
    <mergeCell ref="V46:Z46"/>
    <mergeCell ref="AA46:AH46"/>
    <mergeCell ref="V47:Z47"/>
    <mergeCell ref="AA47:AH47"/>
    <mergeCell ref="E14:L14"/>
    <mergeCell ref="M14:Q14"/>
    <mergeCell ref="R14:U14"/>
    <mergeCell ref="V14:Z14"/>
    <mergeCell ref="AA14:AH14"/>
    <mergeCell ref="E15:L15"/>
    <mergeCell ref="M15:Q15"/>
    <mergeCell ref="R15:U15"/>
    <mergeCell ref="V15:Z15"/>
    <mergeCell ref="AA15:AH15"/>
    <mergeCell ref="E41:L41"/>
    <mergeCell ref="M41:Q41"/>
    <mergeCell ref="R41:U41"/>
    <mergeCell ref="V41:Z41"/>
    <mergeCell ref="AA41:AH41"/>
    <mergeCell ref="E42:L42"/>
    <mergeCell ref="M42:Q42"/>
    <mergeCell ref="R42:U42"/>
    <mergeCell ref="V42:Z42"/>
    <mergeCell ref="AA42:AH42"/>
  </mergeCells>
  <phoneticPr fontId="5" type="noConversion"/>
  <conditionalFormatting sqref="V13 V40:Z40">
    <cfRule type="expression" dxfId="7" priority="57">
      <formula>R13:U23=0</formula>
    </cfRule>
  </conditionalFormatting>
  <conditionalFormatting sqref="V14:V17">
    <cfRule type="expression" dxfId="6" priority="4">
      <formula>R14:U22=0</formula>
    </cfRule>
  </conditionalFormatting>
  <conditionalFormatting sqref="V18:Z24">
    <cfRule type="expression" dxfId="5" priority="11">
      <formula>R18:U26=0</formula>
    </cfRule>
  </conditionalFormatting>
  <conditionalFormatting sqref="V41:Z45">
    <cfRule type="expression" dxfId="4" priority="2">
      <formula>R41:U49=0</formula>
    </cfRule>
  </conditionalFormatting>
  <conditionalFormatting sqref="V46:AH51">
    <cfRule type="expression" dxfId="3" priority="8">
      <formula>R46:U55=0</formula>
    </cfRule>
  </conditionalFormatting>
  <conditionalFormatting sqref="AA13:AH18">
    <cfRule type="expression" dxfId="2" priority="3">
      <formula>R13:R13=0</formula>
    </cfRule>
  </conditionalFormatting>
  <conditionalFormatting sqref="AA40:AH40">
    <cfRule type="expression" dxfId="1" priority="122">
      <formula>R40:U45=0</formula>
    </cfRule>
  </conditionalFormatting>
  <conditionalFormatting sqref="AA41:AH50">
    <cfRule type="expression" dxfId="0" priority="1">
      <formula>R41:U44=0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N8:P11 C35 W52 B2:B4 C37 C2:F3 C6 C10 C4 C33 N27:AH38 D27:F30 B27:C31 G27:L38 E24:U24 Q2:AH11 W25 F46:L46 E23:Q23 M6:P7 G6:L11 H2:P3 G2:G4 M20:Q22 E20:L21 E22 C14:D23 M27:M39 C41:D50 C12:D12 C39:D39 R19:U23 R46:U51 E51:Q51 M46:M50 M8:M19 B12:B25 E12:E19 B39:B52 E39:E50" xr:uid="{00000000-0002-0000-1600-000000000000}"/>
  </dataValidations>
  <pageMargins left="0.70866141732283472" right="0.70866141732283472" top="0.27559055118110237" bottom="0.23622047244094491" header="0.19685039370078741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1</vt:i4>
      </vt:variant>
    </vt:vector>
  </HeadingPairs>
  <TitlesOfParts>
    <vt:vector size="23" baseType="lpstr">
      <vt:lpstr>발주량</vt:lpstr>
      <vt:lpstr>원주 날짜만 바꿔 주세요</vt:lpstr>
      <vt:lpstr>강릉(현장전달)</vt:lpstr>
      <vt:lpstr>김해(경남)</vt:lpstr>
      <vt:lpstr>진주</vt:lpstr>
      <vt:lpstr>공주</vt:lpstr>
      <vt:lpstr>청주</vt:lpstr>
      <vt:lpstr>해인</vt:lpstr>
      <vt:lpstr>신제주(신제주재고사용)</vt:lpstr>
      <vt:lpstr>신광주(호남)</vt:lpstr>
      <vt:lpstr>익산</vt:lpstr>
      <vt:lpstr>경산(경북)</vt:lpstr>
      <vt:lpstr>아신</vt:lpstr>
      <vt:lpstr>포천</vt:lpstr>
      <vt:lpstr>고촌</vt:lpstr>
      <vt:lpstr>고양</vt:lpstr>
      <vt:lpstr>김포2</vt:lpstr>
      <vt:lpstr>도화</vt:lpstr>
      <vt:lpstr>발안</vt:lpstr>
      <vt:lpstr>송파</vt:lpstr>
      <vt:lpstr>곤지암</vt:lpstr>
      <vt:lpstr>신오산1</vt:lpstr>
      <vt:lpstr>고양!Print_Area</vt:lpstr>
    </vt:vector>
  </TitlesOfParts>
  <Company>김도희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admin</dc:creator>
  <cp:keywords>www.yesform.com</cp:keywords>
  <dc:description>본 문서의 저작권은 예스폼에 있으며 무단복제 배포시 법적인 처벌을 받을 수 있습니다.</dc:description>
  <cp:lastModifiedBy>oem</cp:lastModifiedBy>
  <cp:lastPrinted>2026-10-14T06:27:54Z</cp:lastPrinted>
  <dcterms:created xsi:type="dcterms:W3CDTF">2010-01-19T05:17:14Z</dcterms:created>
  <dcterms:modified xsi:type="dcterms:W3CDTF">2026-10-14T06:27:57Z</dcterms:modified>
</cp:coreProperties>
</file>