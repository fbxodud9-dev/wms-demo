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35\공유폴더\▶▶BGF, 세븐,코레일 발주+명세서\3.세븐 피킹검수\세븐 피킹검수(유라)\"/>
    </mc:Choice>
  </mc:AlternateContent>
  <xr:revisionPtr revIDLastSave="0" documentId="13_ncr:1_{77B977E9-D4D5-4520-9EB7-EFBA5BFF347C}" xr6:coauthVersionLast="47" xr6:coauthVersionMax="47" xr10:uidLastSave="{00000000-0000-0000-0000-000000000000}"/>
  <bookViews>
    <workbookView xWindow="34665" yWindow="30" windowWidth="22950" windowHeight="15345" tabRatio="906" firstSheet="35" activeTab="40" xr2:uid="{00000000-000D-0000-FFFF-FFFF00000000}"/>
  </bookViews>
  <sheets>
    <sheet name="검수장" sheetId="1" state="hidden" r:id="rId1"/>
    <sheet name="신라명과피벗" sheetId="1252" state="hidden" r:id="rId2"/>
    <sheet name="리얼)모닝롤" sheetId="1253" state="hidden" r:id="rId3"/>
    <sheet name="★은성(주문일-당일)" sheetId="1715" r:id="rId4"/>
    <sheet name="APP예약)닭가슴살샐러드" sheetId="2151" r:id="rId5"/>
    <sheet name="APP예약)밸런스푼꽃맛살듬뿍샐러드" sheetId="2155" r:id="rId6"/>
    <sheet name="APP예약)밸런스푼에그듬뿍샐러드" sheetId="2156" r:id="rId7"/>
    <sheet name="APP예약)밸런스푼훈제오리듬뿍샐러드" sheetId="2157" r:id="rId8"/>
    <sheet name="APP예약)치킨텐더샐러드" sheetId="2152" r:id="rId9"/>
    <sheet name="밸런스푼)꽃맛살듬뿍샐러드 235g" sheetId="2068" r:id="rId10"/>
    <sheet name="밸런스푼)새우듬뿍샐러드 185g" sheetId="2164" r:id="rId11"/>
    <sheet name="밸런스푼)에그듬뿍샐러드 230g" sheetId="1729" r:id="rId12"/>
    <sheet name="밸런스푼)훈제오리듬뿍샐러드 225g" sheetId="1733" r:id="rId13"/>
    <sheet name="은성)닭가슴살샐러드 155g" sheetId="1734" r:id="rId14"/>
    <sheet name="은성)치킨텐더샐러드 150g" sheetId="1735" r:id="rId15"/>
    <sheet name="★삼진 (입고일+2)" sheetId="2111" r:id="rId16"/>
    <sheet name="삼진)1953어묵순살바80g(매운맛)" sheetId="2112" r:id="rId17"/>
    <sheet name="삼진)1953어묵순살바80g(야채맛)" sheetId="2113" r:id="rId18"/>
    <sheet name="삼진)1953어묵순살바80g(오징어맛)" sheetId="2114" r:id="rId19"/>
    <sheet name="★아워홈  (입고일+2일)" sheetId="2117" r:id="rId20"/>
    <sheet name="아워홈)매콤오돌뼈160g" sheetId="2118" r:id="rId21"/>
    <sheet name="★조인앤조인 (발주일_당일)" sheetId="2122" r:id="rId22"/>
    <sheet name="널담)고단백저당포카치아(올리브치즈)85g" sheetId="2123" r:id="rId23"/>
    <sheet name="널담)고단백저당포카치아(치폴레마요)85g" sheetId="2124" r:id="rId24"/>
    <sheet name="널담)고단백황치즈크럼블쿠키75g" sheetId="2125" r:id="rId25"/>
    <sheet name="널담)두바이초코크럼블쿠키75g" sheetId="2142" r:id="rId26"/>
    <sheet name="널담)초코볼크럼블쿠키75g" sheetId="2143" r:id="rId27"/>
    <sheet name="★스윗밸런스 (입고일_익일)" sheetId="2126" r:id="rId28"/>
    <sheet name="APP예약)닭가슴살시저샐러드" sheetId="2127" r:id="rId29"/>
    <sheet name="APP예약)케이준치킨너겟샐러드165g" sheetId="2128" r:id="rId30"/>
    <sheet name="스윗)닭가슴살시저샐러드240g" sheetId="2129" r:id="rId31"/>
    <sheet name="스윗)케이준치킨너겟샐러드165g" sheetId="2130" r:id="rId32"/>
    <sheet name="★효성피벗(주문일-당일). " sheetId="2144" r:id="rId33"/>
    <sheet name="PB)더블매콤야채땡초바160g" sheetId="2145" r:id="rId34"/>
    <sheet name="★맛요일피벗(주문일-당일)" sheetId="2146" r:id="rId35"/>
    <sheet name="후덕죽)해물누룽지탕372g" sheetId="2147" r:id="rId36"/>
    <sheet name="★대광푸드(보승) 피벗(입고일+2)" sheetId="2148" r:id="rId37"/>
    <sheet name="대광)매콤순대곱창볶음200g" sheetId="2149" r:id="rId38"/>
    <sheet name="★화산농협) 피벗(입고일+2)" sheetId="2160" r:id="rId39"/>
    <sheet name="즉석)군고구마(호풍미)" sheetId="2161" r:id="rId40"/>
    <sheet name="★탭스 피벗" sheetId="2153" r:id="rId41"/>
    <sheet name="사선마끼&amp;유부초밥세트" sheetId="2158" r:id="rId42"/>
    <sheet name="바삭마끼 참치와사비" sheetId="2162" r:id="rId43"/>
    <sheet name="바삭마끼 크랩어니언" sheetId="2163" r:id="rId44"/>
    <sheet name="바삭마끼 통소시지" sheetId="2165" r:id="rId45"/>
    <sheet name="올뉴유부초밥4입" sheetId="2168" r:id="rId46"/>
    <sheet name="★열매나무 피벗" sheetId="2166" r:id="rId47"/>
    <sheet name="열매나무_못난이농산물(사과) ea" sheetId="2167" r:id="rId48"/>
    <sheet name="2300원굿딜)매콤불고기1" sheetId="1761" state="hidden" r:id="rId49"/>
    <sheet name="2300원굿딜)매콤불고기2" sheetId="1762" state="hidden" r:id="rId50"/>
    <sheet name="2300원굿딜)불갈비버거1" sheetId="1776" state="hidden" r:id="rId51"/>
    <sheet name="2300원굿딜)불갈비버거2" sheetId="1777" state="hidden" r:id="rId52"/>
    <sheet name="NEW직화석쇠불고기버거1편" sheetId="1484" state="hidden" r:id="rId53"/>
    <sheet name="NEW직화석쇠불고기버거2편" sheetId="1485" state="hidden" r:id="rId54"/>
    <sheet name="매콤직화석쇠불고기버거1편" sheetId="1986" state="hidden" r:id="rId55"/>
    <sheet name="매콤직화석쇠불고기버거2편" sheetId="1987" state="hidden" r:id="rId56"/>
    <sheet name="치즈왕돈까스버거1편" sheetId="1911" state="hidden" r:id="rId57"/>
    <sheet name="치즈왕돈까스버거2편" sheetId="1912" state="hidden" r:id="rId58"/>
    <sheet name="황치즈직화석쇠불고기버거1편" sheetId="1846" state="hidden" r:id="rId59"/>
    <sheet name="황치즈직화석쇠불고기버거2편" sheetId="1847" state="hidden" r:id="rId60"/>
    <sheet name="예)그릭샐러드" sheetId="1882" state="hidden" r:id="rId61"/>
    <sheet name="예)닭가슴살샐러드" sheetId="1883" state="hidden" r:id="rId62"/>
    <sheet name="예)들기름막국수샐러드" sheetId="1888" state="hidden" r:id="rId63"/>
    <sheet name="예)모짜렐라샐러드" sheetId="1887" state="hidden" r:id="rId64"/>
    <sheet name="예)새우샐러드" sheetId="1886" state="hidden" r:id="rId65"/>
    <sheet name="예)연어샐러드" sheetId="1885" state="hidden" r:id="rId66"/>
    <sheet name="예)직화불고기샐러드)" sheetId="1884" state="hidden" r:id="rId67"/>
    <sheet name="예)칠리치킨샐러드" sheetId="1889" state="hidden" r:id="rId68"/>
    <sheet name="예약)26년순살갈비탕" sheetId="2042" state="hidden" r:id="rId69"/>
    <sheet name="예약)26년스지도가니탕" sheetId="2043" state="hidden" r:id="rId70"/>
    <sheet name="예약)26년전통추어탕" sheetId="2044" state="hidden" r:id="rId71"/>
    <sheet name="예약)26년한마리민물장어덮밥" sheetId="2045" state="hidden" r:id="rId72"/>
  </sheets>
  <definedNames>
    <definedName name="_xlnm.Print_Area" localSheetId="36">'★대광푸드(보승) 피벗(입고일+2)'!$A$1:$A$4</definedName>
    <definedName name="_xlnm.Print_Area" localSheetId="34">'★맛요일피벗(주문일-당일)'!$A$1:$A$10</definedName>
    <definedName name="_xlnm.Print_Area" localSheetId="15">'★삼진 (입고일+2)'!$A$1:$A$4</definedName>
    <definedName name="_xlnm.Print_Area" localSheetId="27">'★스윗밸런스 (입고일_익일)'!$A$1:$A$14</definedName>
    <definedName name="_xlnm.Print_Area" localSheetId="19">'★아워홈  (입고일+2일)'!$A$1:$A$4</definedName>
    <definedName name="_xlnm.Print_Area" localSheetId="46">'★열매나무 피벗'!$A$1:$A$4</definedName>
    <definedName name="_xlnm.Print_Area" localSheetId="3">'★은성(주문일-당일)'!$A$1:$A$20</definedName>
    <definedName name="_xlnm.Print_Area" localSheetId="21">'★조인앤조인 (발주일_당일)'!$A$1:$A$19</definedName>
    <definedName name="_xlnm.Print_Area" localSheetId="40">'★탭스 피벗'!$A$1:$A$4</definedName>
    <definedName name="_xlnm.Print_Area" localSheetId="38">'★화산농협) 피벗(입고일+2)'!$A$1:$A$4</definedName>
    <definedName name="_xlnm.Print_Area" localSheetId="32">'★효성피벗(주문일-당일). '!$A$1:$A$4</definedName>
    <definedName name="_xlnm.Print_Area" localSheetId="48">'2300원굿딜)매콤불고기1'!$A$2:$H$49</definedName>
    <definedName name="_xlnm.Print_Area" localSheetId="49">'2300원굿딜)매콤불고기2'!$A$2:$H$49</definedName>
    <definedName name="_xlnm.Print_Area" localSheetId="50">'2300원굿딜)불갈비버거1'!$A$2:$H$49</definedName>
    <definedName name="_xlnm.Print_Area" localSheetId="51">'2300원굿딜)불갈비버거2'!$A$2:$H$49</definedName>
    <definedName name="_xlnm.Print_Area" localSheetId="4">'APP예약)닭가슴살샐러드'!$A$2:$H$37</definedName>
    <definedName name="_xlnm.Print_Area" localSheetId="28">'APP예약)닭가슴살시저샐러드'!$A$2:$H$37</definedName>
    <definedName name="_xlnm.Print_Area" localSheetId="5">'APP예약)밸런스푼꽃맛살듬뿍샐러드'!$A$2:$H$37</definedName>
    <definedName name="_xlnm.Print_Area" localSheetId="6">'APP예약)밸런스푼에그듬뿍샐러드'!$A$2:$H$37</definedName>
    <definedName name="_xlnm.Print_Area" localSheetId="7">'APP예약)밸런스푼훈제오리듬뿍샐러드'!$A$2:$H$37</definedName>
    <definedName name="_xlnm.Print_Area" localSheetId="8">'APP예약)치킨텐더샐러드'!$A$2:$H$37</definedName>
    <definedName name="_xlnm.Print_Area" localSheetId="29">'APP예약)케이준치킨너겟샐러드165g'!$A$2:$H$37</definedName>
    <definedName name="_xlnm.Print_Area" localSheetId="52">NEW직화석쇠불고기버거1편!$A$2:$H$49</definedName>
    <definedName name="_xlnm.Print_Area" localSheetId="53">NEW직화석쇠불고기버거2편!$A$2:$H$49</definedName>
    <definedName name="_xlnm.Print_Area" localSheetId="33">'PB)더블매콤야채땡초바160g'!$A$2:$H$37</definedName>
    <definedName name="_xlnm.Print_Area" localSheetId="0">검수장!$A$1:$R$30</definedName>
    <definedName name="_xlnm.Print_Area" localSheetId="22">'널담)고단백저당포카치아(올리브치즈)85g'!$A$2:$H$37</definedName>
    <definedName name="_xlnm.Print_Area" localSheetId="23">'널담)고단백저당포카치아(치폴레마요)85g'!$A$2:$H$37</definedName>
    <definedName name="_xlnm.Print_Area" localSheetId="24">'널담)고단백황치즈크럼블쿠키75g'!$A$2:$H$37</definedName>
    <definedName name="_xlnm.Print_Area" localSheetId="25">'널담)두바이초코크럼블쿠키75g'!$A$2:$H$37</definedName>
    <definedName name="_xlnm.Print_Area" localSheetId="26">'널담)초코볼크럼블쿠키75g'!$A$2:$H$37</definedName>
    <definedName name="_xlnm.Print_Area" localSheetId="37">'대광)매콤순대곱창볶음200g'!$A$2:$H$37</definedName>
    <definedName name="_xlnm.Print_Area" localSheetId="2">'리얼)모닝롤'!$A$1:$F$13</definedName>
    <definedName name="_xlnm.Print_Area" localSheetId="54">매콤직화석쇠불고기버거1편!$A$2:$H$49</definedName>
    <definedName name="_xlnm.Print_Area" localSheetId="55">매콤직화석쇠불고기버거2편!$A$2:$H$49</definedName>
    <definedName name="_xlnm.Print_Area" localSheetId="42">'바삭마끼 참치와사비'!$A$2:$H$38</definedName>
    <definedName name="_xlnm.Print_Area" localSheetId="43">'바삭마끼 크랩어니언'!$A$2:$H$38</definedName>
    <definedName name="_xlnm.Print_Area" localSheetId="44">'바삭마끼 통소시지'!$A$2:$H$38</definedName>
    <definedName name="_xlnm.Print_Area" localSheetId="9">'밸런스푼)꽃맛살듬뿍샐러드 235g'!$A$2:$H$37</definedName>
    <definedName name="_xlnm.Print_Area" localSheetId="10">'밸런스푼)새우듬뿍샐러드 185g'!$A$2:$H$37</definedName>
    <definedName name="_xlnm.Print_Area" localSheetId="11">'밸런스푼)에그듬뿍샐러드 230g'!$A$2:$H$37</definedName>
    <definedName name="_xlnm.Print_Area" localSheetId="12">'밸런스푼)훈제오리듬뿍샐러드 225g'!$A$2:$H$37</definedName>
    <definedName name="_xlnm.Print_Area" localSheetId="41">'사선마끼&amp;유부초밥세트'!$A$2:$H$38</definedName>
    <definedName name="_xlnm.Print_Area" localSheetId="16">'삼진)1953어묵순살바80g(매운맛)'!$A$2:$H$37</definedName>
    <definedName name="_xlnm.Print_Area" localSheetId="17">'삼진)1953어묵순살바80g(야채맛)'!$A$2:$H$37</definedName>
    <definedName name="_xlnm.Print_Area" localSheetId="18">'삼진)1953어묵순살바80g(오징어맛)'!$A$2:$H$37</definedName>
    <definedName name="_xlnm.Print_Area" localSheetId="30">'스윗)닭가슴살시저샐러드240g'!$A$2:$H$37</definedName>
    <definedName name="_xlnm.Print_Area" localSheetId="31">'스윗)케이준치킨너겟샐러드165g'!$A$2:$H$37</definedName>
    <definedName name="_xlnm.Print_Area" localSheetId="20">'아워홈)매콤오돌뼈160g'!$A$2:$H$37</definedName>
    <definedName name="_xlnm.Print_Area" localSheetId="47">'열매나무_못난이농산물(사과) ea'!$A$2:$H$37</definedName>
    <definedName name="_xlnm.Print_Area" localSheetId="60">'예)그릭샐러드'!$A$2:$H$50</definedName>
    <definedName name="_xlnm.Print_Area" localSheetId="61">'예)닭가슴살샐러드'!$A$2:$H$50</definedName>
    <definedName name="_xlnm.Print_Area" localSheetId="62">'예)들기름막국수샐러드'!$A$2:$H$50</definedName>
    <definedName name="_xlnm.Print_Area" localSheetId="63">'예)모짜렐라샐러드'!$A$2:$H$50</definedName>
    <definedName name="_xlnm.Print_Area" localSheetId="64">'예)새우샐러드'!$A$2:$H$50</definedName>
    <definedName name="_xlnm.Print_Area" localSheetId="65">'예)연어샐러드'!$A$2:$H$50</definedName>
    <definedName name="_xlnm.Print_Area" localSheetId="66">'예)직화불고기샐러드)'!$A$2:$H$50</definedName>
    <definedName name="_xlnm.Print_Area" localSheetId="67">'예)칠리치킨샐러드'!$A$2:$H$50</definedName>
    <definedName name="_xlnm.Print_Area" localSheetId="68">'예약)26년순살갈비탕'!$A$2:$H$50</definedName>
    <definedName name="_xlnm.Print_Area" localSheetId="69">'예약)26년스지도가니탕'!$A$2:$H$50</definedName>
    <definedName name="_xlnm.Print_Area" localSheetId="70">'예약)26년전통추어탕'!$A$2:$H$50</definedName>
    <definedName name="_xlnm.Print_Area" localSheetId="71">'예약)26년한마리민물장어덮밥'!$A$2:$H$50</definedName>
    <definedName name="_xlnm.Print_Area" localSheetId="45">올뉴유부초밥4입!$A$2:$H$38</definedName>
    <definedName name="_xlnm.Print_Area" localSheetId="13">'은성)닭가슴살샐러드 155g'!$A$2:$H$37</definedName>
    <definedName name="_xlnm.Print_Area" localSheetId="14">'은성)치킨텐더샐러드 150g'!$A$2:$H$37</definedName>
    <definedName name="_xlnm.Print_Area" localSheetId="39">'즉석)군고구마(호풍미)'!$A$2:$H$37</definedName>
    <definedName name="_xlnm.Print_Area" localSheetId="56">치즈왕돈까스버거1편!$A$2:$H$49</definedName>
    <definedName name="_xlnm.Print_Area" localSheetId="57">치즈왕돈까스버거2편!$A$2:$H$49</definedName>
    <definedName name="_xlnm.Print_Area" localSheetId="58">황치즈직화석쇠불고기버거1편!$A$2:$H$49</definedName>
    <definedName name="_xlnm.Print_Area" localSheetId="59">황치즈직화석쇠불고기버거2편!$A$2:$H$49</definedName>
    <definedName name="_xlnm.Print_Area" localSheetId="35">'후덕죽)해물누룽지탕372g'!$A$2:$H$37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153" l="1"/>
  <c r="C7" i="2168" s="1"/>
  <c r="B36" i="2168"/>
  <c r="B34" i="2168"/>
  <c r="B32" i="2168"/>
  <c r="B30" i="2168"/>
  <c r="B28" i="2168"/>
  <c r="B27" i="2168"/>
  <c r="B25" i="2168"/>
  <c r="B23" i="2168"/>
  <c r="B22" i="2168"/>
  <c r="B21" i="2168"/>
  <c r="B19" i="2168"/>
  <c r="B17" i="2168"/>
  <c r="B16" i="2168"/>
  <c r="B14" i="2168"/>
  <c r="B12" i="2168"/>
  <c r="B11" i="2168"/>
  <c r="B10" i="2168"/>
  <c r="B9" i="2168"/>
  <c r="B8" i="2168"/>
  <c r="B7" i="2168"/>
  <c r="B6" i="2168"/>
  <c r="B5" i="2168"/>
  <c r="A2" i="2168"/>
  <c r="C4" i="2168" l="1"/>
  <c r="D4" i="2168" s="1"/>
  <c r="F4" i="2168" s="1"/>
  <c r="C27" i="2168"/>
  <c r="D27" i="2168" s="1"/>
  <c r="F27" i="2168" s="1"/>
  <c r="C23" i="2168"/>
  <c r="D23" i="2168" s="1"/>
  <c r="F23" i="2168" s="1"/>
  <c r="C12" i="2168"/>
  <c r="D12" i="2168" s="1"/>
  <c r="F12" i="2168" s="1"/>
  <c r="C22" i="2168"/>
  <c r="D22" i="2168" s="1"/>
  <c r="F22" i="2168" s="1"/>
  <c r="C6" i="2168"/>
  <c r="D6" i="2168" s="1"/>
  <c r="F6" i="2168" s="1"/>
  <c r="C5" i="2168"/>
  <c r="D5" i="2168" s="1"/>
  <c r="F5" i="2168" s="1"/>
  <c r="C11" i="2168"/>
  <c r="D11" i="2168" s="1"/>
  <c r="F11" i="2168" s="1"/>
  <c r="C10" i="2168"/>
  <c r="D10" i="2168" s="1"/>
  <c r="F10" i="2168" s="1"/>
  <c r="C21" i="2168"/>
  <c r="C9" i="2168"/>
  <c r="C32" i="2168"/>
  <c r="C34" i="2168" s="1"/>
  <c r="D34" i="2168" s="1"/>
  <c r="F34" i="2168" s="1"/>
  <c r="C17" i="2168"/>
  <c r="D17" i="2168" s="1"/>
  <c r="F17" i="2168" s="1"/>
  <c r="C8" i="2168"/>
  <c r="D8" i="2168" s="1"/>
  <c r="F8" i="2168" s="1"/>
  <c r="C28" i="2168"/>
  <c r="D28" i="2168" s="1"/>
  <c r="F28" i="2168" s="1"/>
  <c r="C16" i="2168"/>
  <c r="D7" i="2168"/>
  <c r="F7" i="2168" s="1"/>
  <c r="D32" i="2168" l="1"/>
  <c r="F32" i="2168" s="1"/>
  <c r="C36" i="2168"/>
  <c r="D36" i="2168" s="1"/>
  <c r="F36" i="2168" s="1"/>
  <c r="C19" i="2168"/>
  <c r="D19" i="2168" s="1"/>
  <c r="F19" i="2168" s="1"/>
  <c r="C25" i="2168"/>
  <c r="D25" i="2168" s="1"/>
  <c r="F25" i="2168" s="1"/>
  <c r="D16" i="2168"/>
  <c r="F16" i="2168" s="1"/>
  <c r="D9" i="2168"/>
  <c r="F9" i="2168" s="1"/>
  <c r="C14" i="2168"/>
  <c r="D14" i="2168" s="1"/>
  <c r="F14" i="2168" s="1"/>
  <c r="C30" i="2168"/>
  <c r="D30" i="2168" s="1"/>
  <c r="F30" i="2168" s="1"/>
  <c r="D21" i="2168"/>
  <c r="F21" i="2168" s="1"/>
  <c r="D37" i="2168" l="1"/>
  <c r="F37" i="2168"/>
  <c r="G37" i="2168" s="1"/>
  <c r="H37" i="2168" s="1"/>
  <c r="C38" i="2168"/>
  <c r="C39" i="2168" s="1"/>
  <c r="B35" i="2167"/>
  <c r="B33" i="2167"/>
  <c r="C31" i="2167"/>
  <c r="C33" i="2167" s="1"/>
  <c r="B31" i="2167"/>
  <c r="B29" i="2167"/>
  <c r="C27" i="2167"/>
  <c r="B27" i="2167"/>
  <c r="C26" i="2167"/>
  <c r="B26" i="2167"/>
  <c r="B24" i="2167"/>
  <c r="C22" i="2167"/>
  <c r="B22" i="2167"/>
  <c r="C21" i="2167"/>
  <c r="B21" i="2167"/>
  <c r="B19" i="2167"/>
  <c r="C17" i="2167"/>
  <c r="B17" i="2167"/>
  <c r="C16" i="2167"/>
  <c r="B16" i="2167"/>
  <c r="B14" i="2167"/>
  <c r="C12" i="2167"/>
  <c r="B12" i="2167"/>
  <c r="C11" i="2167"/>
  <c r="B11" i="2167"/>
  <c r="C10" i="2167"/>
  <c r="B10" i="2167"/>
  <c r="C9" i="2167"/>
  <c r="B9" i="2167"/>
  <c r="C8" i="2167"/>
  <c r="B8" i="2167"/>
  <c r="C7" i="2167"/>
  <c r="B7" i="2167"/>
  <c r="C6" i="2167"/>
  <c r="B6" i="2167"/>
  <c r="C5" i="2167"/>
  <c r="B5" i="2167"/>
  <c r="C4" i="2167"/>
  <c r="A2" i="2167"/>
  <c r="C9" i="2165"/>
  <c r="B36" i="2165"/>
  <c r="B34" i="2165"/>
  <c r="B32" i="2165"/>
  <c r="B30" i="2165"/>
  <c r="B28" i="2165"/>
  <c r="B27" i="2165"/>
  <c r="B25" i="2165"/>
  <c r="B23" i="2165"/>
  <c r="B22" i="2165"/>
  <c r="B21" i="2165"/>
  <c r="B19" i="2165"/>
  <c r="B17" i="2165"/>
  <c r="B16" i="2165"/>
  <c r="B14" i="2165"/>
  <c r="B12" i="2165"/>
  <c r="B11" i="2165"/>
  <c r="B10" i="2165"/>
  <c r="B9" i="2165"/>
  <c r="B8" i="2165"/>
  <c r="B7" i="2165"/>
  <c r="B6" i="2165"/>
  <c r="B5" i="2165"/>
  <c r="A2" i="2165"/>
  <c r="C35" i="2167" l="1"/>
  <c r="D35" i="2167" s="1"/>
  <c r="F35" i="2167" s="1"/>
  <c r="C24" i="2167"/>
  <c r="D24" i="2167" s="1"/>
  <c r="F24" i="2167" s="1"/>
  <c r="D33" i="2167"/>
  <c r="F33" i="2167" s="1"/>
  <c r="C14" i="2167"/>
  <c r="C19" i="2167"/>
  <c r="C29" i="2167"/>
  <c r="D4" i="2167"/>
  <c r="D5" i="2167"/>
  <c r="F5" i="2167" s="1"/>
  <c r="D6" i="2167"/>
  <c r="F6" i="2167" s="1"/>
  <c r="D7" i="2167"/>
  <c r="F7" i="2167" s="1"/>
  <c r="D8" i="2167"/>
  <c r="F8" i="2167" s="1"/>
  <c r="D9" i="2167"/>
  <c r="F9" i="2167" s="1"/>
  <c r="D10" i="2167"/>
  <c r="F10" i="2167" s="1"/>
  <c r="D11" i="2167"/>
  <c r="F11" i="2167" s="1"/>
  <c r="D12" i="2167"/>
  <c r="F12" i="2167" s="1"/>
  <c r="D16" i="2167"/>
  <c r="F16" i="2167" s="1"/>
  <c r="D17" i="2167"/>
  <c r="F17" i="2167" s="1"/>
  <c r="D21" i="2167"/>
  <c r="F21" i="2167" s="1"/>
  <c r="D22" i="2167"/>
  <c r="F22" i="2167" s="1"/>
  <c r="D26" i="2167"/>
  <c r="F26" i="2167" s="1"/>
  <c r="D27" i="2167"/>
  <c r="F27" i="2167" s="1"/>
  <c r="D31" i="2167"/>
  <c r="F31" i="2167" s="1"/>
  <c r="F4" i="2167"/>
  <c r="C17" i="2165"/>
  <c r="C7" i="2165"/>
  <c r="C32" i="2165"/>
  <c r="C16" i="2165"/>
  <c r="C6" i="2165"/>
  <c r="C28" i="2165"/>
  <c r="C12" i="2165"/>
  <c r="C5" i="2165"/>
  <c r="C27" i="2165"/>
  <c r="C11" i="2165"/>
  <c r="C4" i="2165"/>
  <c r="C23" i="2165"/>
  <c r="C10" i="2165"/>
  <c r="C22" i="2165"/>
  <c r="C8" i="2165"/>
  <c r="C21" i="2165"/>
  <c r="D29" i="2167" l="1"/>
  <c r="F29" i="2167" s="1"/>
  <c r="D19" i="2167"/>
  <c r="F19" i="2167" s="1"/>
  <c r="C37" i="2167"/>
  <c r="C38" i="2167" s="1"/>
  <c r="D14" i="2167"/>
  <c r="F14" i="2167" s="1"/>
  <c r="F36" i="2167"/>
  <c r="D36" i="2167"/>
  <c r="C4" i="1735"/>
  <c r="C5" i="1735"/>
  <c r="C6" i="1735"/>
  <c r="C7" i="1735"/>
  <c r="C8" i="1735"/>
  <c r="C9" i="1735"/>
  <c r="C10" i="1735"/>
  <c r="C11" i="1735"/>
  <c r="C12" i="1735"/>
  <c r="C16" i="1735"/>
  <c r="C17" i="1735"/>
  <c r="C21" i="1735"/>
  <c r="C22" i="1735"/>
  <c r="C26" i="1735"/>
  <c r="C27" i="1735"/>
  <c r="C31" i="1735"/>
  <c r="C4" i="1734"/>
  <c r="C5" i="1734"/>
  <c r="C6" i="1734"/>
  <c r="C7" i="1734"/>
  <c r="C8" i="1734"/>
  <c r="C9" i="1734"/>
  <c r="C10" i="1734"/>
  <c r="C11" i="1734"/>
  <c r="C12" i="1734"/>
  <c r="C16" i="1734"/>
  <c r="C17" i="1734"/>
  <c r="C21" i="1734"/>
  <c r="C22" i="1734"/>
  <c r="C26" i="1734"/>
  <c r="C27" i="1734"/>
  <c r="C31" i="1734"/>
  <c r="C4" i="1733"/>
  <c r="C5" i="1733"/>
  <c r="C6" i="1733"/>
  <c r="C7" i="1733"/>
  <c r="C8" i="1733"/>
  <c r="C9" i="1733"/>
  <c r="C10" i="1733"/>
  <c r="C11" i="1733"/>
  <c r="C12" i="1733"/>
  <c r="C16" i="1733"/>
  <c r="C17" i="1733"/>
  <c r="C21" i="1733"/>
  <c r="C22" i="1733"/>
  <c r="C26" i="1733"/>
  <c r="C27" i="1733"/>
  <c r="C31" i="1733"/>
  <c r="C4" i="1729"/>
  <c r="C5" i="1729"/>
  <c r="C6" i="1729"/>
  <c r="C7" i="1729"/>
  <c r="C8" i="1729"/>
  <c r="C9" i="1729"/>
  <c r="C10" i="1729"/>
  <c r="C11" i="1729"/>
  <c r="C12" i="1729"/>
  <c r="C16" i="1729"/>
  <c r="C17" i="1729"/>
  <c r="C21" i="1729"/>
  <c r="C22" i="1729"/>
  <c r="C26" i="1729"/>
  <c r="C27" i="1729"/>
  <c r="C31" i="1729"/>
  <c r="C4" i="2164"/>
  <c r="C5" i="2164"/>
  <c r="C6" i="2164"/>
  <c r="C7" i="2164"/>
  <c r="C8" i="2164"/>
  <c r="C9" i="2164"/>
  <c r="C10" i="2164"/>
  <c r="C11" i="2164"/>
  <c r="C12" i="2164"/>
  <c r="C16" i="2164"/>
  <c r="C17" i="2164"/>
  <c r="C21" i="2164"/>
  <c r="C22" i="2164"/>
  <c r="C26" i="2164"/>
  <c r="C27" i="2164"/>
  <c r="C31" i="2164"/>
  <c r="C4" i="2068"/>
  <c r="C5" i="2068"/>
  <c r="C6" i="2068"/>
  <c r="C7" i="2068"/>
  <c r="C8" i="2068"/>
  <c r="C9" i="2068"/>
  <c r="C10" i="2068"/>
  <c r="C11" i="2068"/>
  <c r="C12" i="2068"/>
  <c r="C16" i="2068"/>
  <c r="C17" i="2068"/>
  <c r="C21" i="2068"/>
  <c r="C22" i="2068"/>
  <c r="C26" i="2068"/>
  <c r="C27" i="2068"/>
  <c r="C31" i="2068"/>
  <c r="C4" i="2152"/>
  <c r="C5" i="2152"/>
  <c r="C6" i="2152"/>
  <c r="C7" i="2152"/>
  <c r="C8" i="2152"/>
  <c r="C9" i="2152"/>
  <c r="C10" i="2152"/>
  <c r="C11" i="2152"/>
  <c r="C12" i="2152"/>
  <c r="C16" i="2152"/>
  <c r="C17" i="2152"/>
  <c r="C21" i="2152"/>
  <c r="C22" i="2152"/>
  <c r="C26" i="2152"/>
  <c r="C27" i="2152"/>
  <c r="C31" i="2152"/>
  <c r="C4" i="2157"/>
  <c r="C5" i="2157"/>
  <c r="C6" i="2157"/>
  <c r="C7" i="2157"/>
  <c r="C8" i="2157"/>
  <c r="C9" i="2157"/>
  <c r="C10" i="2157"/>
  <c r="C11" i="2157"/>
  <c r="C12" i="2157"/>
  <c r="C16" i="2157"/>
  <c r="C17" i="2157"/>
  <c r="C21" i="2157"/>
  <c r="C22" i="2157"/>
  <c r="C26" i="2157"/>
  <c r="C27" i="2157"/>
  <c r="C31" i="2157"/>
  <c r="G36" i="2167" l="1"/>
  <c r="H36" i="2167" s="1"/>
  <c r="D6" i="2164"/>
  <c r="F6" i="2164" s="1"/>
  <c r="D9" i="2164"/>
  <c r="F9" i="2164" s="1"/>
  <c r="D12" i="2164"/>
  <c r="C33" i="2164"/>
  <c r="B35" i="2164"/>
  <c r="B33" i="2164"/>
  <c r="B31" i="2164"/>
  <c r="B29" i="2164"/>
  <c r="B27" i="2164"/>
  <c r="B26" i="2164"/>
  <c r="B24" i="2164"/>
  <c r="B22" i="2164"/>
  <c r="B21" i="2164"/>
  <c r="B19" i="2164"/>
  <c r="B17" i="2164"/>
  <c r="B16" i="2164"/>
  <c r="B14" i="2164"/>
  <c r="B12" i="2164"/>
  <c r="B11" i="2164"/>
  <c r="B10" i="2164"/>
  <c r="B9" i="2164"/>
  <c r="B8" i="2164"/>
  <c r="B7" i="2164"/>
  <c r="B6" i="2164"/>
  <c r="B5" i="2164"/>
  <c r="A2" i="2164"/>
  <c r="D28" i="2165" l="1"/>
  <c r="F28" i="2165" s="1"/>
  <c r="D6" i="2165"/>
  <c r="F6" i="2165" s="1"/>
  <c r="C34" i="2165"/>
  <c r="D32" i="2165"/>
  <c r="F32" i="2165" s="1"/>
  <c r="D9" i="2165"/>
  <c r="F9" i="2165" s="1"/>
  <c r="D7" i="2165"/>
  <c r="F7" i="2165" s="1"/>
  <c r="D10" i="2165"/>
  <c r="F10" i="2165" s="1"/>
  <c r="D17" i="2165"/>
  <c r="F17" i="2165" s="1"/>
  <c r="C19" i="2165"/>
  <c r="D16" i="2165"/>
  <c r="F16" i="2165" s="1"/>
  <c r="C30" i="2165"/>
  <c r="D27" i="2165"/>
  <c r="F27" i="2165" s="1"/>
  <c r="D21" i="2165"/>
  <c r="F21" i="2165" s="1"/>
  <c r="C25" i="2165"/>
  <c r="D4" i="2165"/>
  <c r="C14" i="2165"/>
  <c r="C36" i="2165"/>
  <c r="D5" i="2165"/>
  <c r="F5" i="2165" s="1"/>
  <c r="D12" i="2165"/>
  <c r="F12" i="2165" s="1"/>
  <c r="D8" i="2165"/>
  <c r="F8" i="2165" s="1"/>
  <c r="D11" i="2165"/>
  <c r="F11" i="2165" s="1"/>
  <c r="D23" i="2165"/>
  <c r="F23" i="2165" s="1"/>
  <c r="D22" i="2165"/>
  <c r="F22" i="2165" s="1"/>
  <c r="D21" i="2164"/>
  <c r="F21" i="2164" s="1"/>
  <c r="C24" i="2164"/>
  <c r="D24" i="2164" s="1"/>
  <c r="F24" i="2164" s="1"/>
  <c r="C19" i="2164"/>
  <c r="D19" i="2164" s="1"/>
  <c r="F19" i="2164" s="1"/>
  <c r="D26" i="2164"/>
  <c r="F26" i="2164" s="1"/>
  <c r="D31" i="2164"/>
  <c r="F31" i="2164" s="1"/>
  <c r="D16" i="2164"/>
  <c r="F16" i="2164" s="1"/>
  <c r="D33" i="2164"/>
  <c r="F33" i="2164" s="1"/>
  <c r="D5" i="2164"/>
  <c r="F5" i="2164" s="1"/>
  <c r="F12" i="2164"/>
  <c r="D17" i="2164"/>
  <c r="F17" i="2164" s="1"/>
  <c r="D22" i="2164"/>
  <c r="F22" i="2164" s="1"/>
  <c r="D27" i="2164"/>
  <c r="F27" i="2164" s="1"/>
  <c r="C29" i="2164"/>
  <c r="D29" i="2164" s="1"/>
  <c r="F29" i="2164" s="1"/>
  <c r="D11" i="2164"/>
  <c r="F11" i="2164" s="1"/>
  <c r="D8" i="2164"/>
  <c r="F8" i="2164" s="1"/>
  <c r="C14" i="2164"/>
  <c r="C35" i="2164"/>
  <c r="D4" i="2164"/>
  <c r="D7" i="2164"/>
  <c r="F7" i="2164" s="1"/>
  <c r="D10" i="2164"/>
  <c r="F10" i="2164" s="1"/>
  <c r="C4" i="2163"/>
  <c r="B36" i="2163"/>
  <c r="B34" i="2163"/>
  <c r="B32" i="2163"/>
  <c r="B30" i="2163"/>
  <c r="B28" i="2163"/>
  <c r="B27" i="2163"/>
  <c r="B25" i="2163"/>
  <c r="B23" i="2163"/>
  <c r="B22" i="2163"/>
  <c r="B21" i="2163"/>
  <c r="B19" i="2163"/>
  <c r="B17" i="2163"/>
  <c r="B16" i="2163"/>
  <c r="B14" i="2163"/>
  <c r="B12" i="2163"/>
  <c r="B11" i="2163"/>
  <c r="B10" i="2163"/>
  <c r="B9" i="2163"/>
  <c r="B8" i="2163"/>
  <c r="B7" i="2163"/>
  <c r="B6" i="2163"/>
  <c r="B5" i="2163"/>
  <c r="A2" i="2163"/>
  <c r="B36" i="2162"/>
  <c r="B34" i="2162"/>
  <c r="B32" i="2162"/>
  <c r="B30" i="2162"/>
  <c r="B28" i="2162"/>
  <c r="B27" i="2162"/>
  <c r="B25" i="2162"/>
  <c r="B23" i="2162"/>
  <c r="B22" i="2162"/>
  <c r="B21" i="2162"/>
  <c r="B19" i="2162"/>
  <c r="B17" i="2162"/>
  <c r="B16" i="2162"/>
  <c r="B14" i="2162"/>
  <c r="B12" i="2162"/>
  <c r="B11" i="2162"/>
  <c r="B10" i="2162"/>
  <c r="B9" i="2162"/>
  <c r="B8" i="2162"/>
  <c r="B7" i="2162"/>
  <c r="B6" i="2162"/>
  <c r="B5" i="2162"/>
  <c r="A2" i="2162"/>
  <c r="D36" i="2165" l="1"/>
  <c r="F36" i="2165" s="1"/>
  <c r="D19" i="2165"/>
  <c r="F19" i="2165" s="1"/>
  <c r="D14" i="2165"/>
  <c r="F14" i="2165" s="1"/>
  <c r="C38" i="2165"/>
  <c r="C39" i="2165" s="1"/>
  <c r="D37" i="2165"/>
  <c r="F4" i="2165"/>
  <c r="F37" i="2165" s="1"/>
  <c r="D30" i="2165"/>
  <c r="F30" i="2165" s="1"/>
  <c r="D25" i="2165"/>
  <c r="F25" i="2165" s="1"/>
  <c r="D34" i="2165"/>
  <c r="F34" i="2165" s="1"/>
  <c r="D36" i="2164"/>
  <c r="D35" i="2164"/>
  <c r="F35" i="2164" s="1"/>
  <c r="C37" i="2164"/>
  <c r="C38" i="2164" s="1"/>
  <c r="D14" i="2164"/>
  <c r="F14" i="2164" s="1"/>
  <c r="F4" i="2164"/>
  <c r="F36" i="2164" s="1"/>
  <c r="C10" i="2163"/>
  <c r="D10" i="2163" s="1"/>
  <c r="F10" i="2163" s="1"/>
  <c r="C4" i="2162"/>
  <c r="C23" i="2162"/>
  <c r="D23" i="2162" s="1"/>
  <c r="F23" i="2162" s="1"/>
  <c r="C22" i="2163"/>
  <c r="D22" i="2163" s="1"/>
  <c r="F22" i="2163" s="1"/>
  <c r="C22" i="2162"/>
  <c r="D22" i="2162" s="1"/>
  <c r="F22" i="2162" s="1"/>
  <c r="C11" i="2162"/>
  <c r="D11" i="2162" s="1"/>
  <c r="F11" i="2162" s="1"/>
  <c r="C10" i="2162"/>
  <c r="D10" i="2162" s="1"/>
  <c r="F10" i="2162" s="1"/>
  <c r="C5" i="2162"/>
  <c r="D5" i="2162" s="1"/>
  <c r="F5" i="2162" s="1"/>
  <c r="C21" i="2163"/>
  <c r="D21" i="2163" s="1"/>
  <c r="C9" i="2163"/>
  <c r="D9" i="2163" s="1"/>
  <c r="F9" i="2163" s="1"/>
  <c r="C21" i="2162"/>
  <c r="C9" i="2162"/>
  <c r="D9" i="2162" s="1"/>
  <c r="F9" i="2162" s="1"/>
  <c r="C32" i="2163"/>
  <c r="C34" i="2163" s="1"/>
  <c r="D34" i="2163" s="1"/>
  <c r="F34" i="2163" s="1"/>
  <c r="C17" i="2163"/>
  <c r="D17" i="2163" s="1"/>
  <c r="F17" i="2163" s="1"/>
  <c r="C8" i="2163"/>
  <c r="D8" i="2163" s="1"/>
  <c r="F8" i="2163" s="1"/>
  <c r="C32" i="2162"/>
  <c r="D32" i="2162" s="1"/>
  <c r="F32" i="2162" s="1"/>
  <c r="C17" i="2162"/>
  <c r="D17" i="2162" s="1"/>
  <c r="F17" i="2162" s="1"/>
  <c r="C8" i="2162"/>
  <c r="D8" i="2162" s="1"/>
  <c r="F8" i="2162" s="1"/>
  <c r="C28" i="2163"/>
  <c r="C16" i="2163"/>
  <c r="D16" i="2163" s="1"/>
  <c r="F16" i="2163" s="1"/>
  <c r="C7" i="2163"/>
  <c r="D7" i="2163" s="1"/>
  <c r="F7" i="2163" s="1"/>
  <c r="C28" i="2162"/>
  <c r="D28" i="2162" s="1"/>
  <c r="F28" i="2162" s="1"/>
  <c r="C16" i="2162"/>
  <c r="C7" i="2162"/>
  <c r="D7" i="2162" s="1"/>
  <c r="F7" i="2162" s="1"/>
  <c r="C27" i="2163"/>
  <c r="C12" i="2163"/>
  <c r="D12" i="2163" s="1"/>
  <c r="F12" i="2163" s="1"/>
  <c r="C6" i="2163"/>
  <c r="D6" i="2163" s="1"/>
  <c r="F6" i="2163" s="1"/>
  <c r="C27" i="2162"/>
  <c r="D27" i="2162" s="1"/>
  <c r="F27" i="2162" s="1"/>
  <c r="C12" i="2162"/>
  <c r="D12" i="2162" s="1"/>
  <c r="F12" i="2162" s="1"/>
  <c r="C6" i="2162"/>
  <c r="D6" i="2162" s="1"/>
  <c r="F6" i="2162" s="1"/>
  <c r="C23" i="2163"/>
  <c r="C11" i="2163"/>
  <c r="D11" i="2163" s="1"/>
  <c r="F11" i="2163" s="1"/>
  <c r="C5" i="2163"/>
  <c r="D5" i="2163" s="1"/>
  <c r="F5" i="2163" s="1"/>
  <c r="D4" i="2163"/>
  <c r="G37" i="2165" l="1"/>
  <c r="H37" i="2165" s="1"/>
  <c r="G36" i="2164"/>
  <c r="H36" i="2164" s="1"/>
  <c r="C36" i="2163"/>
  <c r="D4" i="2162"/>
  <c r="C36" i="2162"/>
  <c r="C19" i="2162"/>
  <c r="D19" i="2162" s="1"/>
  <c r="F19" i="2162" s="1"/>
  <c r="C25" i="2162"/>
  <c r="D25" i="2162" s="1"/>
  <c r="F25" i="2162" s="1"/>
  <c r="C30" i="2162"/>
  <c r="D30" i="2162" s="1"/>
  <c r="F30" i="2162" s="1"/>
  <c r="F21" i="2163"/>
  <c r="C25" i="2163"/>
  <c r="D25" i="2163" s="1"/>
  <c r="F25" i="2163" s="1"/>
  <c r="C34" i="2162"/>
  <c r="D34" i="2162" s="1"/>
  <c r="C14" i="2162"/>
  <c r="D14" i="2162" s="1"/>
  <c r="F14" i="2162" s="1"/>
  <c r="D21" i="2162"/>
  <c r="F21" i="2162" s="1"/>
  <c r="D16" i="2162"/>
  <c r="F16" i="2162" s="1"/>
  <c r="D28" i="2163"/>
  <c r="F28" i="2163" s="1"/>
  <c r="D32" i="2163"/>
  <c r="F32" i="2163" s="1"/>
  <c r="D23" i="2163"/>
  <c r="F23" i="2163" s="1"/>
  <c r="C19" i="2163"/>
  <c r="D19" i="2163" s="1"/>
  <c r="F19" i="2163" s="1"/>
  <c r="C14" i="2163"/>
  <c r="D14" i="2163" s="1"/>
  <c r="F14" i="2163" s="1"/>
  <c r="D27" i="2163"/>
  <c r="F27" i="2163" s="1"/>
  <c r="C30" i="2163"/>
  <c r="D30" i="2163" s="1"/>
  <c r="F30" i="2163" s="1"/>
  <c r="F4" i="2163"/>
  <c r="F37" i="2163" l="1"/>
  <c r="G37" i="2163" s="1"/>
  <c r="H37" i="2163" s="1"/>
  <c r="D36" i="2163"/>
  <c r="F36" i="2163" s="1"/>
  <c r="D37" i="2163"/>
  <c r="D36" i="2162"/>
  <c r="F36" i="2162" s="1"/>
  <c r="F4" i="2162"/>
  <c r="D37" i="2162"/>
  <c r="C38" i="2162"/>
  <c r="C39" i="2162" s="1"/>
  <c r="F34" i="2162"/>
  <c r="C38" i="2163"/>
  <c r="C39" i="2163" s="1"/>
  <c r="F37" i="2162" l="1"/>
  <c r="G37" i="2162" s="1"/>
  <c r="H37" i="2162" s="1"/>
  <c r="B35" i="2161"/>
  <c r="B33" i="2161"/>
  <c r="C31" i="2161"/>
  <c r="C33" i="2161" s="1"/>
  <c r="B31" i="2161"/>
  <c r="B29" i="2161"/>
  <c r="C27" i="2161"/>
  <c r="B27" i="2161"/>
  <c r="C26" i="2161"/>
  <c r="B26" i="2161"/>
  <c r="B24" i="2161"/>
  <c r="C22" i="2161"/>
  <c r="B22" i="2161"/>
  <c r="C21" i="2161"/>
  <c r="B21" i="2161"/>
  <c r="B19" i="2161"/>
  <c r="C17" i="2161"/>
  <c r="B17" i="2161"/>
  <c r="C16" i="2161"/>
  <c r="B16" i="2161"/>
  <c r="B14" i="2161"/>
  <c r="C12" i="2161"/>
  <c r="B12" i="2161"/>
  <c r="C11" i="2161"/>
  <c r="B11" i="2161"/>
  <c r="B10" i="2161"/>
  <c r="B9" i="2161"/>
  <c r="B8" i="2161"/>
  <c r="C7" i="2161"/>
  <c r="B7" i="2161"/>
  <c r="C6" i="2161"/>
  <c r="B6" i="2161"/>
  <c r="C5" i="2161"/>
  <c r="B5" i="2161"/>
  <c r="A2" i="2161"/>
  <c r="C29" i="2161" l="1"/>
  <c r="D29" i="2161" s="1"/>
  <c r="F29" i="2161" s="1"/>
  <c r="C24" i="2161"/>
  <c r="D24" i="2161" s="1"/>
  <c r="F24" i="2161" s="1"/>
  <c r="C19" i="2161"/>
  <c r="D19" i="2161" s="1"/>
  <c r="F19" i="2161" s="1"/>
  <c r="D27" i="2161"/>
  <c r="F27" i="2161" s="1"/>
  <c r="D33" i="2161"/>
  <c r="F33" i="2161" s="1"/>
  <c r="D16" i="2161"/>
  <c r="F16" i="2161" s="1"/>
  <c r="D21" i="2161"/>
  <c r="F21" i="2161" s="1"/>
  <c r="D26" i="2161"/>
  <c r="F26" i="2161" s="1"/>
  <c r="D31" i="2161"/>
  <c r="F31" i="2161" s="1"/>
  <c r="D5" i="2161"/>
  <c r="F5" i="2161" s="1"/>
  <c r="D8" i="2161"/>
  <c r="F8" i="2161" s="1"/>
  <c r="D11" i="2161"/>
  <c r="F11" i="2161" s="1"/>
  <c r="C14" i="2161"/>
  <c r="C35" i="2161"/>
  <c r="D4" i="2161"/>
  <c r="D7" i="2161"/>
  <c r="F7" i="2161" s="1"/>
  <c r="D10" i="2161"/>
  <c r="F10" i="2161" s="1"/>
  <c r="D6" i="2161"/>
  <c r="F6" i="2161" s="1"/>
  <c r="D9" i="2161"/>
  <c r="F9" i="2161" s="1"/>
  <c r="D12" i="2161"/>
  <c r="F12" i="2161" s="1"/>
  <c r="D17" i="2161"/>
  <c r="F17" i="2161" s="1"/>
  <c r="D22" i="2161"/>
  <c r="F22" i="2161" s="1"/>
  <c r="C28" i="2158"/>
  <c r="C22" i="2158"/>
  <c r="C23" i="2158"/>
  <c r="C17" i="2158"/>
  <c r="C32" i="2158"/>
  <c r="C27" i="2158"/>
  <c r="D27" i="2158" s="1"/>
  <c r="F27" i="2158" s="1"/>
  <c r="C21" i="2158"/>
  <c r="C16" i="2158"/>
  <c r="C5" i="2158"/>
  <c r="C6" i="2158"/>
  <c r="C7" i="2158"/>
  <c r="C8" i="2158"/>
  <c r="C9" i="2158"/>
  <c r="D9" i="2158" s="1"/>
  <c r="F9" i="2158" s="1"/>
  <c r="C10" i="2158"/>
  <c r="C11" i="2158"/>
  <c r="C12" i="2158"/>
  <c r="C4" i="2158"/>
  <c r="B36" i="2158"/>
  <c r="B34" i="2158"/>
  <c r="B32" i="2158"/>
  <c r="B30" i="2158"/>
  <c r="B28" i="2158"/>
  <c r="B27" i="2158"/>
  <c r="B25" i="2158"/>
  <c r="B23" i="2158"/>
  <c r="B22" i="2158"/>
  <c r="B21" i="2158"/>
  <c r="B19" i="2158"/>
  <c r="B17" i="2158"/>
  <c r="B16" i="2158"/>
  <c r="B14" i="2158"/>
  <c r="B12" i="2158"/>
  <c r="B11" i="2158"/>
  <c r="B10" i="2158"/>
  <c r="B9" i="2158"/>
  <c r="B8" i="2158"/>
  <c r="B7" i="2158"/>
  <c r="B6" i="2158"/>
  <c r="B5" i="2158"/>
  <c r="A2" i="2158"/>
  <c r="D32" i="2158" l="1"/>
  <c r="F32" i="2158" s="1"/>
  <c r="D12" i="2158"/>
  <c r="F12" i="2158" s="1"/>
  <c r="D6" i="2158"/>
  <c r="F6" i="2158" s="1"/>
  <c r="D17" i="2158"/>
  <c r="F17" i="2158" s="1"/>
  <c r="D22" i="2158"/>
  <c r="F22" i="2158" s="1"/>
  <c r="C36" i="2158"/>
  <c r="D28" i="2158"/>
  <c r="F28" i="2158" s="1"/>
  <c r="D10" i="2158"/>
  <c r="F10" i="2158" s="1"/>
  <c r="D36" i="2161"/>
  <c r="D35" i="2161"/>
  <c r="F35" i="2161" s="1"/>
  <c r="D14" i="2161"/>
  <c r="F14" i="2161" s="1"/>
  <c r="C37" i="2161"/>
  <c r="C38" i="2161" s="1"/>
  <c r="F4" i="2161"/>
  <c r="F36" i="2161" s="1"/>
  <c r="D7" i="2158"/>
  <c r="F7" i="2158" s="1"/>
  <c r="D23" i="2158"/>
  <c r="F23" i="2158" s="1"/>
  <c r="C19" i="2158"/>
  <c r="D19" i="2158" s="1"/>
  <c r="F19" i="2158" s="1"/>
  <c r="C34" i="2158"/>
  <c r="D34" i="2158" s="1"/>
  <c r="F34" i="2158" s="1"/>
  <c r="C30" i="2158"/>
  <c r="D30" i="2158" s="1"/>
  <c r="F30" i="2158" s="1"/>
  <c r="C14" i="2158"/>
  <c r="D14" i="2158" s="1"/>
  <c r="F14" i="2158" s="1"/>
  <c r="D5" i="2158"/>
  <c r="F5" i="2158" s="1"/>
  <c r="D8" i="2158"/>
  <c r="F8" i="2158" s="1"/>
  <c r="D11" i="2158"/>
  <c r="F11" i="2158" s="1"/>
  <c r="D16" i="2158"/>
  <c r="F16" i="2158" s="1"/>
  <c r="D21" i="2158"/>
  <c r="F21" i="2158" s="1"/>
  <c r="D4" i="2158"/>
  <c r="C25" i="2158"/>
  <c r="D36" i="2158" l="1"/>
  <c r="F36" i="2158" s="1"/>
  <c r="D37" i="2158"/>
  <c r="F4" i="2158"/>
  <c r="F37" i="2158" s="1"/>
  <c r="G36" i="2161"/>
  <c r="H36" i="2161" s="1"/>
  <c r="C38" i="2158"/>
  <c r="C39" i="2158" s="1"/>
  <c r="D25" i="2158"/>
  <c r="F25" i="2158" s="1"/>
  <c r="G37" i="2158" l="1"/>
  <c r="H37" i="2158" s="1"/>
  <c r="C4" i="2147"/>
  <c r="D6" i="2157" l="1"/>
  <c r="F6" i="2157" s="1"/>
  <c r="D12" i="2157"/>
  <c r="F12" i="2157" s="1"/>
  <c r="D17" i="2157"/>
  <c r="F17" i="2157" s="1"/>
  <c r="D22" i="2157"/>
  <c r="F22" i="2157" s="1"/>
  <c r="D27" i="2157"/>
  <c r="F27" i="2157" s="1"/>
  <c r="C4" i="2156"/>
  <c r="C5" i="2156"/>
  <c r="D5" i="2156" s="1"/>
  <c r="F5" i="2156" s="1"/>
  <c r="C6" i="2156"/>
  <c r="C7" i="2156"/>
  <c r="C8" i="2156"/>
  <c r="D8" i="2156" s="1"/>
  <c r="F8" i="2156" s="1"/>
  <c r="C9" i="2156"/>
  <c r="C10" i="2156"/>
  <c r="C11" i="2156"/>
  <c r="D11" i="2156" s="1"/>
  <c r="F11" i="2156" s="1"/>
  <c r="C12" i="2156"/>
  <c r="C16" i="2156"/>
  <c r="D16" i="2156" s="1"/>
  <c r="F16" i="2156" s="1"/>
  <c r="C17" i="2156"/>
  <c r="C21" i="2156"/>
  <c r="D21" i="2156" s="1"/>
  <c r="F21" i="2156" s="1"/>
  <c r="C22" i="2156"/>
  <c r="C26" i="2156"/>
  <c r="D26" i="2156" s="1"/>
  <c r="F26" i="2156" s="1"/>
  <c r="C27" i="2156"/>
  <c r="C31" i="2156"/>
  <c r="C33" i="2156" s="1"/>
  <c r="C21" i="2155"/>
  <c r="C22" i="2155"/>
  <c r="D22" i="2155" s="1"/>
  <c r="C4" i="2155"/>
  <c r="D4" i="2155" s="1"/>
  <c r="C5" i="2155"/>
  <c r="C6" i="2155"/>
  <c r="C7" i="2155"/>
  <c r="D7" i="2155" s="1"/>
  <c r="F7" i="2155" s="1"/>
  <c r="C8" i="2155"/>
  <c r="C9" i="2155"/>
  <c r="C10" i="2155"/>
  <c r="D10" i="2155" s="1"/>
  <c r="F10" i="2155" s="1"/>
  <c r="C11" i="2155"/>
  <c r="C12" i="2155"/>
  <c r="C16" i="2155"/>
  <c r="C17" i="2155"/>
  <c r="C26" i="2155"/>
  <c r="C27" i="2155"/>
  <c r="D27" i="2155" s="1"/>
  <c r="C31" i="2155"/>
  <c r="C33" i="2155" s="1"/>
  <c r="B35" i="2157"/>
  <c r="B33" i="2157"/>
  <c r="C33" i="2157"/>
  <c r="B31" i="2157"/>
  <c r="B29" i="2157"/>
  <c r="B27" i="2157"/>
  <c r="B26" i="2157"/>
  <c r="B24" i="2157"/>
  <c r="B22" i="2157"/>
  <c r="B21" i="2157"/>
  <c r="B19" i="2157"/>
  <c r="B17" i="2157"/>
  <c r="B16" i="2157"/>
  <c r="B14" i="2157"/>
  <c r="B12" i="2157"/>
  <c r="B11" i="2157"/>
  <c r="B10" i="2157"/>
  <c r="D9" i="2157"/>
  <c r="F9" i="2157" s="1"/>
  <c r="B9" i="2157"/>
  <c r="B8" i="2157"/>
  <c r="B7" i="2157"/>
  <c r="B6" i="2157"/>
  <c r="B5" i="2157"/>
  <c r="A2" i="2157"/>
  <c r="B35" i="2156"/>
  <c r="B33" i="2156"/>
  <c r="B31" i="2156"/>
  <c r="B29" i="2156"/>
  <c r="B27" i="2156"/>
  <c r="B26" i="2156"/>
  <c r="B24" i="2156"/>
  <c r="B22" i="2156"/>
  <c r="B21" i="2156"/>
  <c r="B19" i="2156"/>
  <c r="B17" i="2156"/>
  <c r="B16" i="2156"/>
  <c r="B14" i="2156"/>
  <c r="B12" i="2156"/>
  <c r="B11" i="2156"/>
  <c r="B10" i="2156"/>
  <c r="B9" i="2156"/>
  <c r="B8" i="2156"/>
  <c r="B7" i="2156"/>
  <c r="B6" i="2156"/>
  <c r="B5" i="2156"/>
  <c r="A2" i="2156"/>
  <c r="B35" i="2155"/>
  <c r="B33" i="2155"/>
  <c r="B31" i="2155"/>
  <c r="B29" i="2155"/>
  <c r="B27" i="2155"/>
  <c r="B26" i="2155"/>
  <c r="B24" i="2155"/>
  <c r="B22" i="2155"/>
  <c r="B21" i="2155"/>
  <c r="B19" i="2155"/>
  <c r="B17" i="2155"/>
  <c r="B16" i="2155"/>
  <c r="B14" i="2155"/>
  <c r="B12" i="2155"/>
  <c r="B11" i="2155"/>
  <c r="B10" i="2155"/>
  <c r="B9" i="2155"/>
  <c r="B8" i="2155"/>
  <c r="B7" i="2155"/>
  <c r="B6" i="2155"/>
  <c r="B5" i="2155"/>
  <c r="A2" i="2155"/>
  <c r="C24" i="2156" l="1"/>
  <c r="D24" i="2156" s="1"/>
  <c r="F24" i="2156" s="1"/>
  <c r="C19" i="2155"/>
  <c r="D19" i="2155" s="1"/>
  <c r="F19" i="2155" s="1"/>
  <c r="C24" i="2155"/>
  <c r="D24" i="2155" s="1"/>
  <c r="F24" i="2155" s="1"/>
  <c r="C29" i="2156"/>
  <c r="D29" i="2156" s="1"/>
  <c r="F29" i="2156" s="1"/>
  <c r="C24" i="2157"/>
  <c r="D24" i="2157" s="1"/>
  <c r="F24" i="2157" s="1"/>
  <c r="C19" i="2157"/>
  <c r="D19" i="2157" s="1"/>
  <c r="F19" i="2157" s="1"/>
  <c r="C19" i="2156"/>
  <c r="D19" i="2156" s="1"/>
  <c r="F19" i="2156" s="1"/>
  <c r="D31" i="2156"/>
  <c r="F31" i="2156" s="1"/>
  <c r="C29" i="2155"/>
  <c r="D29" i="2155" s="1"/>
  <c r="D33" i="2157"/>
  <c r="F33" i="2157" s="1"/>
  <c r="D5" i="2157"/>
  <c r="F5" i="2157" s="1"/>
  <c r="D8" i="2157"/>
  <c r="F8" i="2157" s="1"/>
  <c r="D11" i="2157"/>
  <c r="F11" i="2157" s="1"/>
  <c r="D16" i="2157"/>
  <c r="F16" i="2157" s="1"/>
  <c r="D21" i="2157"/>
  <c r="F21" i="2157" s="1"/>
  <c r="D26" i="2157"/>
  <c r="F26" i="2157" s="1"/>
  <c r="D31" i="2157"/>
  <c r="F31" i="2157" s="1"/>
  <c r="C29" i="2157"/>
  <c r="C35" i="2157"/>
  <c r="C14" i="2157"/>
  <c r="D7" i="2157"/>
  <c r="F7" i="2157" s="1"/>
  <c r="D10" i="2157"/>
  <c r="F10" i="2157" s="1"/>
  <c r="D4" i="2157"/>
  <c r="F4" i="2157" s="1"/>
  <c r="C14" i="2156"/>
  <c r="C35" i="2156"/>
  <c r="D4" i="2156"/>
  <c r="F4" i="2156" s="1"/>
  <c r="D7" i="2156"/>
  <c r="F7" i="2156" s="1"/>
  <c r="D10" i="2156"/>
  <c r="F10" i="2156" s="1"/>
  <c r="D6" i="2156"/>
  <c r="F6" i="2156" s="1"/>
  <c r="D9" i="2156"/>
  <c r="F9" i="2156" s="1"/>
  <c r="D12" i="2156"/>
  <c r="F12" i="2156" s="1"/>
  <c r="D17" i="2156"/>
  <c r="F17" i="2156" s="1"/>
  <c r="D22" i="2156"/>
  <c r="F22" i="2156" s="1"/>
  <c r="D27" i="2156"/>
  <c r="F27" i="2156" s="1"/>
  <c r="D33" i="2156"/>
  <c r="F33" i="2156" s="1"/>
  <c r="F4" i="2155"/>
  <c r="F22" i="2155"/>
  <c r="F27" i="2155"/>
  <c r="D6" i="2155"/>
  <c r="F6" i="2155" s="1"/>
  <c r="D9" i="2155"/>
  <c r="F9" i="2155" s="1"/>
  <c r="D12" i="2155"/>
  <c r="F12" i="2155" s="1"/>
  <c r="D17" i="2155"/>
  <c r="F17" i="2155" s="1"/>
  <c r="D33" i="2155"/>
  <c r="F33" i="2155" s="1"/>
  <c r="D5" i="2155"/>
  <c r="D8" i="2155"/>
  <c r="F8" i="2155" s="1"/>
  <c r="D11" i="2155"/>
  <c r="F11" i="2155" s="1"/>
  <c r="D16" i="2155"/>
  <c r="F16" i="2155" s="1"/>
  <c r="D21" i="2155"/>
  <c r="F21" i="2155" s="1"/>
  <c r="D26" i="2155"/>
  <c r="F26" i="2155" s="1"/>
  <c r="D31" i="2155"/>
  <c r="F31" i="2155" s="1"/>
  <c r="C14" i="2155"/>
  <c r="C35" i="2155"/>
  <c r="F29" i="2155" l="1"/>
  <c r="D36" i="2155"/>
  <c r="C37" i="2157"/>
  <c r="C38" i="2157" s="1"/>
  <c r="D14" i="2157"/>
  <c r="F14" i="2157" s="1"/>
  <c r="D35" i="2157"/>
  <c r="F35" i="2157" s="1"/>
  <c r="F36" i="2157"/>
  <c r="D36" i="2157"/>
  <c r="D29" i="2157"/>
  <c r="F29" i="2157" s="1"/>
  <c r="F36" i="2156"/>
  <c r="D36" i="2156"/>
  <c r="D35" i="2156"/>
  <c r="F35" i="2156" s="1"/>
  <c r="C37" i="2156"/>
  <c r="C38" i="2156" s="1"/>
  <c r="D14" i="2156"/>
  <c r="F14" i="2156" s="1"/>
  <c r="D35" i="2155"/>
  <c r="F35" i="2155" s="1"/>
  <c r="C37" i="2155"/>
  <c r="C38" i="2155" s="1"/>
  <c r="D14" i="2155"/>
  <c r="F14" i="2155" s="1"/>
  <c r="F5" i="2155"/>
  <c r="F36" i="2155" s="1"/>
  <c r="G36" i="2157" l="1"/>
  <c r="H36" i="2157" s="1"/>
  <c r="G36" i="2156"/>
  <c r="H36" i="2156" s="1"/>
  <c r="G36" i="2155"/>
  <c r="H36" i="2155" s="1"/>
  <c r="C19" i="2152" l="1"/>
  <c r="C24" i="2152"/>
  <c r="C29" i="2152"/>
  <c r="C33" i="2152"/>
  <c r="B35" i="2152"/>
  <c r="B33" i="2152"/>
  <c r="B31" i="2152"/>
  <c r="B29" i="2152"/>
  <c r="B27" i="2152"/>
  <c r="B26" i="2152"/>
  <c r="B24" i="2152"/>
  <c r="B22" i="2152"/>
  <c r="B21" i="2152"/>
  <c r="B19" i="2152"/>
  <c r="B17" i="2152"/>
  <c r="B16" i="2152"/>
  <c r="B14" i="2152"/>
  <c r="B12" i="2152"/>
  <c r="B11" i="2152"/>
  <c r="B10" i="2152"/>
  <c r="B9" i="2152"/>
  <c r="B8" i="2152"/>
  <c r="B7" i="2152"/>
  <c r="B6" i="2152"/>
  <c r="B5" i="2152"/>
  <c r="A2" i="2152"/>
  <c r="B35" i="2151"/>
  <c r="B33" i="2151"/>
  <c r="C31" i="2151"/>
  <c r="B31" i="2151"/>
  <c r="B29" i="2151"/>
  <c r="C27" i="2151"/>
  <c r="B27" i="2151"/>
  <c r="C26" i="2151"/>
  <c r="D26" i="2151" s="1"/>
  <c r="F26" i="2151" s="1"/>
  <c r="B26" i="2151"/>
  <c r="B24" i="2151"/>
  <c r="C22" i="2151"/>
  <c r="B22" i="2151"/>
  <c r="C21" i="2151"/>
  <c r="B21" i="2151"/>
  <c r="B19" i="2151"/>
  <c r="C17" i="2151"/>
  <c r="B17" i="2151"/>
  <c r="C16" i="2151"/>
  <c r="B16" i="2151"/>
  <c r="B14" i="2151"/>
  <c r="C12" i="2151"/>
  <c r="B12" i="2151"/>
  <c r="C11" i="2151"/>
  <c r="B11" i="2151"/>
  <c r="C10" i="2151"/>
  <c r="B10" i="2151"/>
  <c r="C9" i="2151"/>
  <c r="B9" i="2151"/>
  <c r="C8" i="2151"/>
  <c r="B8" i="2151"/>
  <c r="C7" i="2151"/>
  <c r="B7" i="2151"/>
  <c r="C6" i="2151"/>
  <c r="B6" i="2151"/>
  <c r="C5" i="2151"/>
  <c r="B5" i="2151"/>
  <c r="C4" i="2151"/>
  <c r="A2" i="2151"/>
  <c r="D21" i="2151" l="1"/>
  <c r="F21" i="2151" s="1"/>
  <c r="D16" i="2151"/>
  <c r="F16" i="2151" s="1"/>
  <c r="D5" i="2151"/>
  <c r="F5" i="2151" s="1"/>
  <c r="D8" i="2151"/>
  <c r="F8" i="2151" s="1"/>
  <c r="D11" i="2151"/>
  <c r="F11" i="2151" s="1"/>
  <c r="D31" i="2151"/>
  <c r="F31" i="2151" s="1"/>
  <c r="C19" i="2151"/>
  <c r="D19" i="2151" s="1"/>
  <c r="F19" i="2151" s="1"/>
  <c r="C24" i="2151"/>
  <c r="D24" i="2151" s="1"/>
  <c r="F24" i="2151" s="1"/>
  <c r="C29" i="2151"/>
  <c r="D29" i="2151" s="1"/>
  <c r="F29" i="2151" s="1"/>
  <c r="C33" i="2151"/>
  <c r="D33" i="2151" s="1"/>
  <c r="F33" i="2151" s="1"/>
  <c r="D16" i="2152"/>
  <c r="F16" i="2152" s="1"/>
  <c r="D21" i="2152"/>
  <c r="F21" i="2152" s="1"/>
  <c r="D26" i="2152"/>
  <c r="F26" i="2152" s="1"/>
  <c r="D31" i="2152"/>
  <c r="F31" i="2152" s="1"/>
  <c r="D5" i="2152"/>
  <c r="F5" i="2152" s="1"/>
  <c r="D8" i="2152"/>
  <c r="F8" i="2152" s="1"/>
  <c r="D11" i="2152"/>
  <c r="F11" i="2152" s="1"/>
  <c r="C14" i="2152"/>
  <c r="C35" i="2152"/>
  <c r="D4" i="2152"/>
  <c r="D7" i="2152"/>
  <c r="F7" i="2152" s="1"/>
  <c r="D10" i="2152"/>
  <c r="F10" i="2152" s="1"/>
  <c r="D19" i="2152"/>
  <c r="F19" i="2152" s="1"/>
  <c r="D24" i="2152"/>
  <c r="F24" i="2152" s="1"/>
  <c r="D29" i="2152"/>
  <c r="F29" i="2152" s="1"/>
  <c r="D6" i="2152"/>
  <c r="F6" i="2152" s="1"/>
  <c r="D9" i="2152"/>
  <c r="F9" i="2152" s="1"/>
  <c r="D12" i="2152"/>
  <c r="F12" i="2152" s="1"/>
  <c r="D17" i="2152"/>
  <c r="F17" i="2152" s="1"/>
  <c r="D22" i="2152"/>
  <c r="F22" i="2152" s="1"/>
  <c r="D27" i="2152"/>
  <c r="F27" i="2152" s="1"/>
  <c r="D33" i="2152"/>
  <c r="F33" i="2152" s="1"/>
  <c r="C14" i="2151"/>
  <c r="C35" i="2151"/>
  <c r="D4" i="2151"/>
  <c r="F4" i="2151" s="1"/>
  <c r="D7" i="2151"/>
  <c r="F7" i="2151" s="1"/>
  <c r="D10" i="2151"/>
  <c r="F10" i="2151" s="1"/>
  <c r="D6" i="2151"/>
  <c r="F6" i="2151" s="1"/>
  <c r="D9" i="2151"/>
  <c r="F9" i="2151" s="1"/>
  <c r="D12" i="2151"/>
  <c r="F12" i="2151" s="1"/>
  <c r="D17" i="2151"/>
  <c r="F17" i="2151" s="1"/>
  <c r="D22" i="2151"/>
  <c r="F22" i="2151" s="1"/>
  <c r="D27" i="2151"/>
  <c r="F27" i="2151" s="1"/>
  <c r="D36" i="2152" l="1"/>
  <c r="C37" i="2152"/>
  <c r="C38" i="2152" s="1"/>
  <c r="D14" i="2152"/>
  <c r="F14" i="2152" s="1"/>
  <c r="D35" i="2152"/>
  <c r="F35" i="2152" s="1"/>
  <c r="F4" i="2152"/>
  <c r="F36" i="2152" s="1"/>
  <c r="C37" i="2151"/>
  <c r="C38" i="2151" s="1"/>
  <c r="D14" i="2151"/>
  <c r="F14" i="2151" s="1"/>
  <c r="D35" i="2151"/>
  <c r="F35" i="2151" s="1"/>
  <c r="F36" i="2151"/>
  <c r="D36" i="2151"/>
  <c r="G36" i="2152" l="1"/>
  <c r="H36" i="2152" s="1"/>
  <c r="G36" i="2151"/>
  <c r="H36" i="2151" s="1"/>
  <c r="B35" i="2149" l="1"/>
  <c r="B33" i="2149"/>
  <c r="C31" i="2149"/>
  <c r="C33" i="2149" s="1"/>
  <c r="B31" i="2149"/>
  <c r="B29" i="2149"/>
  <c r="C27" i="2149"/>
  <c r="B27" i="2149"/>
  <c r="C26" i="2149"/>
  <c r="B26" i="2149"/>
  <c r="B24" i="2149"/>
  <c r="C22" i="2149"/>
  <c r="D22" i="2149" s="1"/>
  <c r="B22" i="2149"/>
  <c r="C21" i="2149"/>
  <c r="B21" i="2149"/>
  <c r="B19" i="2149"/>
  <c r="C17" i="2149"/>
  <c r="B17" i="2149"/>
  <c r="C16" i="2149"/>
  <c r="B16" i="2149"/>
  <c r="B14" i="2149"/>
  <c r="C12" i="2149"/>
  <c r="B12" i="2149"/>
  <c r="C11" i="2149"/>
  <c r="B11" i="2149"/>
  <c r="C10" i="2149"/>
  <c r="D10" i="2149" s="1"/>
  <c r="B10" i="2149"/>
  <c r="C9" i="2149"/>
  <c r="D9" i="2149" s="1"/>
  <c r="B9" i="2149"/>
  <c r="C8" i="2149"/>
  <c r="B8" i="2149"/>
  <c r="C7" i="2149"/>
  <c r="B7" i="2149"/>
  <c r="C6" i="2149"/>
  <c r="D6" i="2149" s="1"/>
  <c r="B6" i="2149"/>
  <c r="C5" i="2149"/>
  <c r="D5" i="2149" s="1"/>
  <c r="B5" i="2149"/>
  <c r="C4" i="2149"/>
  <c r="A2" i="2149"/>
  <c r="B35" i="2147"/>
  <c r="B33" i="2147"/>
  <c r="C31" i="2147"/>
  <c r="C33" i="2147" s="1"/>
  <c r="B31" i="2147"/>
  <c r="B29" i="2147"/>
  <c r="C27" i="2147"/>
  <c r="D27" i="2147" s="1"/>
  <c r="B27" i="2147"/>
  <c r="C26" i="2147"/>
  <c r="B26" i="2147"/>
  <c r="B24" i="2147"/>
  <c r="C22" i="2147"/>
  <c r="B22" i="2147"/>
  <c r="C21" i="2147"/>
  <c r="D21" i="2147" s="1"/>
  <c r="B21" i="2147"/>
  <c r="B19" i="2147"/>
  <c r="C17" i="2147"/>
  <c r="B17" i="2147"/>
  <c r="C16" i="2147"/>
  <c r="B16" i="2147"/>
  <c r="B14" i="2147"/>
  <c r="C12" i="2147"/>
  <c r="D12" i="2147" s="1"/>
  <c r="B12" i="2147"/>
  <c r="C11" i="2147"/>
  <c r="B11" i="2147"/>
  <c r="C10" i="2147"/>
  <c r="B10" i="2147"/>
  <c r="C9" i="2147"/>
  <c r="D9" i="2147" s="1"/>
  <c r="B9" i="2147"/>
  <c r="C8" i="2147"/>
  <c r="B8" i="2147"/>
  <c r="C7" i="2147"/>
  <c r="D7" i="2147" s="1"/>
  <c r="B7" i="2147"/>
  <c r="C6" i="2147"/>
  <c r="B6" i="2147"/>
  <c r="C5" i="2147"/>
  <c r="D5" i="2147" s="1"/>
  <c r="B5" i="2147"/>
  <c r="A2" i="2147"/>
  <c r="B35" i="2145"/>
  <c r="B33" i="2145"/>
  <c r="C31" i="2145"/>
  <c r="C33" i="2145" s="1"/>
  <c r="B31" i="2145"/>
  <c r="B29" i="2145"/>
  <c r="C27" i="2145"/>
  <c r="D27" i="2145" s="1"/>
  <c r="F27" i="2145" s="1"/>
  <c r="B27" i="2145"/>
  <c r="C26" i="2145"/>
  <c r="B26" i="2145"/>
  <c r="B24" i="2145"/>
  <c r="C22" i="2145"/>
  <c r="B22" i="2145"/>
  <c r="C21" i="2145"/>
  <c r="B21" i="2145"/>
  <c r="B19" i="2145"/>
  <c r="C17" i="2145"/>
  <c r="D17" i="2145" s="1"/>
  <c r="F17" i="2145" s="1"/>
  <c r="B17" i="2145"/>
  <c r="C16" i="2145"/>
  <c r="D16" i="2145" s="1"/>
  <c r="F16" i="2145" s="1"/>
  <c r="B16" i="2145"/>
  <c r="B14" i="2145"/>
  <c r="C12" i="2145"/>
  <c r="D12" i="2145" s="1"/>
  <c r="F12" i="2145" s="1"/>
  <c r="B12" i="2145"/>
  <c r="C11" i="2145"/>
  <c r="B11" i="2145"/>
  <c r="C10" i="2145"/>
  <c r="B10" i="2145"/>
  <c r="C9" i="2145"/>
  <c r="B9" i="2145"/>
  <c r="C8" i="2145"/>
  <c r="B8" i="2145"/>
  <c r="C7" i="2145"/>
  <c r="B7" i="2145"/>
  <c r="C6" i="2145"/>
  <c r="B6" i="2145"/>
  <c r="C5" i="2145"/>
  <c r="B5" i="2145"/>
  <c r="C4" i="2145"/>
  <c r="A2" i="2145"/>
  <c r="C31" i="2143"/>
  <c r="D31" i="2143" s="1"/>
  <c r="F31" i="2143" s="1"/>
  <c r="C27" i="2143"/>
  <c r="D27" i="2143" s="1"/>
  <c r="F27" i="2143" s="1"/>
  <c r="C26" i="2143"/>
  <c r="D26" i="2143" s="1"/>
  <c r="F26" i="2143" s="1"/>
  <c r="C22" i="2143"/>
  <c r="D22" i="2143" s="1"/>
  <c r="F22" i="2143" s="1"/>
  <c r="C21" i="2143"/>
  <c r="D21" i="2143" s="1"/>
  <c r="F21" i="2143" s="1"/>
  <c r="C17" i="2143"/>
  <c r="C16" i="2143"/>
  <c r="D16" i="2143" s="1"/>
  <c r="C12" i="2143"/>
  <c r="C11" i="2143"/>
  <c r="D11" i="2143" s="1"/>
  <c r="F11" i="2143" s="1"/>
  <c r="C10" i="2143"/>
  <c r="D10" i="2143" s="1"/>
  <c r="F10" i="2143" s="1"/>
  <c r="C9" i="2143"/>
  <c r="D9" i="2143" s="1"/>
  <c r="F9" i="2143" s="1"/>
  <c r="C8" i="2143"/>
  <c r="D8" i="2143" s="1"/>
  <c r="C7" i="2143"/>
  <c r="D7" i="2143" s="1"/>
  <c r="C6" i="2143"/>
  <c r="D6" i="2143" s="1"/>
  <c r="F6" i="2143" s="1"/>
  <c r="C5" i="2143"/>
  <c r="D5" i="2143" s="1"/>
  <c r="C4" i="2143"/>
  <c r="C31" i="2142"/>
  <c r="C33" i="2142" s="1"/>
  <c r="C27" i="2142"/>
  <c r="C26" i="2142"/>
  <c r="C22" i="2142"/>
  <c r="C21" i="2142"/>
  <c r="C17" i="2142"/>
  <c r="C16" i="2142"/>
  <c r="C12" i="2142"/>
  <c r="C11" i="2142"/>
  <c r="C10" i="2142"/>
  <c r="C9" i="2142"/>
  <c r="C8" i="2142"/>
  <c r="C7" i="2142"/>
  <c r="C6" i="2142"/>
  <c r="C5" i="2142"/>
  <c r="C4" i="2142"/>
  <c r="B35" i="2143"/>
  <c r="B33" i="2143"/>
  <c r="B31" i="2143"/>
  <c r="B29" i="2143"/>
  <c r="B27" i="2143"/>
  <c r="B26" i="2143"/>
  <c r="B24" i="2143"/>
  <c r="B22" i="2143"/>
  <c r="B21" i="2143"/>
  <c r="B19" i="2143"/>
  <c r="B17" i="2143"/>
  <c r="B16" i="2143"/>
  <c r="B14" i="2143"/>
  <c r="B12" i="2143"/>
  <c r="B11" i="2143"/>
  <c r="B10" i="2143"/>
  <c r="B9" i="2143"/>
  <c r="B8" i="2143"/>
  <c r="B7" i="2143"/>
  <c r="B6" i="2143"/>
  <c r="B5" i="2143"/>
  <c r="A2" i="2143"/>
  <c r="B35" i="2142"/>
  <c r="B33" i="2142"/>
  <c r="B31" i="2142"/>
  <c r="B29" i="2142"/>
  <c r="B27" i="2142"/>
  <c r="B26" i="2142"/>
  <c r="B24" i="2142"/>
  <c r="B22" i="2142"/>
  <c r="B21" i="2142"/>
  <c r="B19" i="2142"/>
  <c r="B17" i="2142"/>
  <c r="B16" i="2142"/>
  <c r="B14" i="2142"/>
  <c r="B12" i="2142"/>
  <c r="B11" i="2142"/>
  <c r="B10" i="2142"/>
  <c r="B9" i="2142"/>
  <c r="B8" i="2142"/>
  <c r="B7" i="2142"/>
  <c r="B6" i="2142"/>
  <c r="B5" i="2142"/>
  <c r="A2" i="2142"/>
  <c r="C24" i="2149" l="1"/>
  <c r="D24" i="2149" s="1"/>
  <c r="F24" i="2149" s="1"/>
  <c r="C29" i="2149"/>
  <c r="D29" i="2149" s="1"/>
  <c r="F29" i="2149" s="1"/>
  <c r="C24" i="2143"/>
  <c r="D24" i="2143" s="1"/>
  <c r="F24" i="2143" s="1"/>
  <c r="F5" i="2143"/>
  <c r="C29" i="2142"/>
  <c r="D29" i="2142" s="1"/>
  <c r="F29" i="2142" s="1"/>
  <c r="C19" i="2143"/>
  <c r="D19" i="2143" s="1"/>
  <c r="F19" i="2143" s="1"/>
  <c r="C33" i="2143"/>
  <c r="D33" i="2143" s="1"/>
  <c r="F33" i="2143" s="1"/>
  <c r="D31" i="2149"/>
  <c r="F31" i="2149" s="1"/>
  <c r="D26" i="2149"/>
  <c r="F26" i="2149" s="1"/>
  <c r="D27" i="2149"/>
  <c r="F27" i="2149" s="1"/>
  <c r="D8" i="2149"/>
  <c r="F8" i="2149" s="1"/>
  <c r="D11" i="2149"/>
  <c r="F11" i="2149" s="1"/>
  <c r="D16" i="2149"/>
  <c r="F16" i="2149" s="1"/>
  <c r="D31" i="2147"/>
  <c r="F31" i="2147" s="1"/>
  <c r="C35" i="2145"/>
  <c r="D35" i="2145" s="1"/>
  <c r="F35" i="2145" s="1"/>
  <c r="D8" i="2145"/>
  <c r="F8" i="2145" s="1"/>
  <c r="F7" i="2143"/>
  <c r="D17" i="2143"/>
  <c r="F17" i="2143" s="1"/>
  <c r="C35" i="2142"/>
  <c r="D35" i="2142" s="1"/>
  <c r="F35" i="2142" s="1"/>
  <c r="C35" i="2143"/>
  <c r="D35" i="2143" s="1"/>
  <c r="F35" i="2143" s="1"/>
  <c r="D7" i="2149"/>
  <c r="F7" i="2149" s="1"/>
  <c r="D12" i="2149"/>
  <c r="F12" i="2149" s="1"/>
  <c r="C19" i="2149"/>
  <c r="D19" i="2149" s="1"/>
  <c r="F19" i="2149" s="1"/>
  <c r="F5" i="2149"/>
  <c r="D17" i="2149"/>
  <c r="F17" i="2149" s="1"/>
  <c r="D21" i="2149"/>
  <c r="F21" i="2149" s="1"/>
  <c r="C35" i="2149"/>
  <c r="D35" i="2149" s="1"/>
  <c r="F35" i="2149" s="1"/>
  <c r="F9" i="2149"/>
  <c r="F6" i="2149"/>
  <c r="F10" i="2149"/>
  <c r="F22" i="2149"/>
  <c r="D17" i="2147"/>
  <c r="F17" i="2147" s="1"/>
  <c r="C19" i="2147"/>
  <c r="D19" i="2147" s="1"/>
  <c r="F19" i="2147" s="1"/>
  <c r="C29" i="2147"/>
  <c r="D29" i="2147" s="1"/>
  <c r="F29" i="2147" s="1"/>
  <c r="D26" i="2147"/>
  <c r="F26" i="2147" s="1"/>
  <c r="C35" i="2147"/>
  <c r="D35" i="2147" s="1"/>
  <c r="C24" i="2147"/>
  <c r="D24" i="2147" s="1"/>
  <c r="F24" i="2147" s="1"/>
  <c r="D22" i="2147"/>
  <c r="F22" i="2147" s="1"/>
  <c r="F27" i="2147"/>
  <c r="D22" i="2145"/>
  <c r="F22" i="2145" s="1"/>
  <c r="D11" i="2145"/>
  <c r="F11" i="2145" s="1"/>
  <c r="D7" i="2145"/>
  <c r="F7" i="2145" s="1"/>
  <c r="C29" i="2145"/>
  <c r="D29" i="2145" s="1"/>
  <c r="F29" i="2145" s="1"/>
  <c r="D31" i="2145"/>
  <c r="F31" i="2145" s="1"/>
  <c r="D6" i="2145"/>
  <c r="F6" i="2145" s="1"/>
  <c r="D10" i="2145"/>
  <c r="F10" i="2145" s="1"/>
  <c r="C24" i="2145"/>
  <c r="D24" i="2145" s="1"/>
  <c r="F24" i="2145" s="1"/>
  <c r="D26" i="2145"/>
  <c r="F26" i="2145" s="1"/>
  <c r="D5" i="2145"/>
  <c r="F5" i="2145" s="1"/>
  <c r="D9" i="2145"/>
  <c r="F9" i="2145" s="1"/>
  <c r="C19" i="2145"/>
  <c r="D19" i="2145" s="1"/>
  <c r="F19" i="2145" s="1"/>
  <c r="D21" i="2145"/>
  <c r="F21" i="2145" s="1"/>
  <c r="D33" i="2149"/>
  <c r="F33" i="2149" s="1"/>
  <c r="D4" i="2149"/>
  <c r="C14" i="2149"/>
  <c r="D33" i="2147"/>
  <c r="F33" i="2147" s="1"/>
  <c r="D4" i="2147"/>
  <c r="F4" i="2147" s="1"/>
  <c r="D6" i="2147"/>
  <c r="F6" i="2147" s="1"/>
  <c r="D8" i="2147"/>
  <c r="F8" i="2147" s="1"/>
  <c r="D10" i="2147"/>
  <c r="F10" i="2147" s="1"/>
  <c r="D11" i="2147"/>
  <c r="F11" i="2147" s="1"/>
  <c r="D16" i="2147"/>
  <c r="F16" i="2147" s="1"/>
  <c r="F5" i="2147"/>
  <c r="F7" i="2147"/>
  <c r="F9" i="2147"/>
  <c r="F12" i="2147"/>
  <c r="F21" i="2147"/>
  <c r="C14" i="2147"/>
  <c r="D33" i="2145"/>
  <c r="F33" i="2145" s="1"/>
  <c r="D4" i="2145"/>
  <c r="C14" i="2145"/>
  <c r="F8" i="2143"/>
  <c r="D4" i="2143"/>
  <c r="F4" i="2143" s="1"/>
  <c r="D12" i="2143"/>
  <c r="F12" i="2143" s="1"/>
  <c r="C29" i="2143"/>
  <c r="D29" i="2143" s="1"/>
  <c r="F29" i="2143" s="1"/>
  <c r="F16" i="2143"/>
  <c r="C14" i="2143"/>
  <c r="D33" i="2142"/>
  <c r="F33" i="2142" s="1"/>
  <c r="C19" i="2142"/>
  <c r="C24" i="2142"/>
  <c r="D4" i="2142"/>
  <c r="F4" i="2142" s="1"/>
  <c r="D5" i="2142"/>
  <c r="F5" i="2142" s="1"/>
  <c r="D6" i="2142"/>
  <c r="F6" i="2142" s="1"/>
  <c r="D7" i="2142"/>
  <c r="F7" i="2142" s="1"/>
  <c r="D8" i="2142"/>
  <c r="F8" i="2142" s="1"/>
  <c r="D9" i="2142"/>
  <c r="F9" i="2142" s="1"/>
  <c r="D10" i="2142"/>
  <c r="F10" i="2142" s="1"/>
  <c r="D11" i="2142"/>
  <c r="F11" i="2142" s="1"/>
  <c r="D12" i="2142"/>
  <c r="F12" i="2142" s="1"/>
  <c r="D16" i="2142"/>
  <c r="F16" i="2142" s="1"/>
  <c r="D17" i="2142"/>
  <c r="F17" i="2142" s="1"/>
  <c r="D21" i="2142"/>
  <c r="F21" i="2142" s="1"/>
  <c r="D22" i="2142"/>
  <c r="F22" i="2142" s="1"/>
  <c r="D26" i="2142"/>
  <c r="F26" i="2142" s="1"/>
  <c r="D27" i="2142"/>
  <c r="F27" i="2142" s="1"/>
  <c r="D31" i="2142"/>
  <c r="F31" i="2142" s="1"/>
  <c r="C14" i="2142"/>
  <c r="D36" i="2149" l="1"/>
  <c r="F4" i="2149"/>
  <c r="F36" i="2149" s="1"/>
  <c r="G36" i="2149" s="1"/>
  <c r="H36" i="2149" s="1"/>
  <c r="F35" i="2147"/>
  <c r="D36" i="2145"/>
  <c r="C37" i="2149"/>
  <c r="C38" i="2149" s="1"/>
  <c r="D14" i="2149"/>
  <c r="F14" i="2149" s="1"/>
  <c r="F36" i="2147"/>
  <c r="C37" i="2147"/>
  <c r="C38" i="2147" s="1"/>
  <c r="D14" i="2147"/>
  <c r="F14" i="2147" s="1"/>
  <c r="D36" i="2147"/>
  <c r="C37" i="2145"/>
  <c r="C38" i="2145" s="1"/>
  <c r="D14" i="2145"/>
  <c r="F14" i="2145" s="1"/>
  <c r="F4" i="2145"/>
  <c r="F36" i="2145" s="1"/>
  <c r="D36" i="2143"/>
  <c r="F36" i="2143"/>
  <c r="C37" i="2143"/>
  <c r="C38" i="2143" s="1"/>
  <c r="D14" i="2143"/>
  <c r="F14" i="2143" s="1"/>
  <c r="F36" i="2142"/>
  <c r="D36" i="2142"/>
  <c r="D19" i="2142"/>
  <c r="F19" i="2142" s="1"/>
  <c r="C37" i="2142"/>
  <c r="C38" i="2142" s="1"/>
  <c r="D14" i="2142"/>
  <c r="F14" i="2142" s="1"/>
  <c r="D24" i="2142"/>
  <c r="F24" i="2142" s="1"/>
  <c r="G36" i="2147" l="1"/>
  <c r="H36" i="2147" s="1"/>
  <c r="G36" i="2145"/>
  <c r="H36" i="2145" s="1"/>
  <c r="G36" i="2143"/>
  <c r="H36" i="2143" s="1"/>
  <c r="G36" i="2142"/>
  <c r="H36" i="2142" s="1"/>
  <c r="B5" i="2068" l="1"/>
  <c r="B5" i="1729"/>
  <c r="B5" i="1733"/>
  <c r="B5" i="1734"/>
  <c r="B5" i="1735"/>
  <c r="C5" i="2112"/>
  <c r="B5" i="2112"/>
  <c r="C5" i="2113"/>
  <c r="B5" i="2113"/>
  <c r="C5" i="2114"/>
  <c r="B5" i="2114"/>
  <c r="C5" i="2118"/>
  <c r="B5" i="2118"/>
  <c r="C5" i="2123"/>
  <c r="B5" i="2123"/>
  <c r="C5" i="2124"/>
  <c r="B5" i="2124"/>
  <c r="C5" i="2125"/>
  <c r="B5" i="2125"/>
  <c r="C5" i="2127"/>
  <c r="B5" i="2127"/>
  <c r="C5" i="2128"/>
  <c r="B5" i="2128"/>
  <c r="C5" i="2129"/>
  <c r="B5" i="2129"/>
  <c r="C5" i="2130"/>
  <c r="B5" i="2130"/>
  <c r="B33" i="2068"/>
  <c r="B31" i="2068"/>
  <c r="B33" i="1729"/>
  <c r="B31" i="1729"/>
  <c r="B33" i="1733"/>
  <c r="B31" i="1733"/>
  <c r="B33" i="1734"/>
  <c r="B31" i="1734"/>
  <c r="B33" i="1735"/>
  <c r="B31" i="1735"/>
  <c r="B33" i="2112"/>
  <c r="C31" i="2112"/>
  <c r="B31" i="2112"/>
  <c r="B33" i="2113"/>
  <c r="C31" i="2113"/>
  <c r="B31" i="2113"/>
  <c r="B33" i="2114"/>
  <c r="C31" i="2114"/>
  <c r="B31" i="2114"/>
  <c r="B33" i="2118"/>
  <c r="C31" i="2118"/>
  <c r="B31" i="2118"/>
  <c r="B33" i="2123"/>
  <c r="C31" i="2123"/>
  <c r="B31" i="2123"/>
  <c r="B33" i="2124"/>
  <c r="C31" i="2124"/>
  <c r="B31" i="2124"/>
  <c r="B33" i="2125"/>
  <c r="C31" i="2125"/>
  <c r="B31" i="2125"/>
  <c r="B33" i="2127"/>
  <c r="C31" i="2127"/>
  <c r="B31" i="2127"/>
  <c r="B33" i="2128"/>
  <c r="C31" i="2128"/>
  <c r="B31" i="2128"/>
  <c r="B33" i="2129"/>
  <c r="C31" i="2129"/>
  <c r="B31" i="2129"/>
  <c r="B33" i="2130"/>
  <c r="C31" i="2130"/>
  <c r="B31" i="2130"/>
  <c r="C33" i="2128" l="1"/>
  <c r="D33" i="2128" s="1"/>
  <c r="F33" i="2128" s="1"/>
  <c r="C33" i="2123"/>
  <c r="D33" i="2123" s="1"/>
  <c r="F33" i="2123" s="1"/>
  <c r="C33" i="2127"/>
  <c r="D33" i="2127" s="1"/>
  <c r="F33" i="2127" s="1"/>
  <c r="D5" i="1735"/>
  <c r="F5" i="1735" s="1"/>
  <c r="D5" i="2118"/>
  <c r="F5" i="2118" s="1"/>
  <c r="C33" i="2130"/>
  <c r="D33" i="2130" s="1"/>
  <c r="F33" i="2130" s="1"/>
  <c r="C33" i="2125"/>
  <c r="D33" i="2125" s="1"/>
  <c r="F33" i="2125" s="1"/>
  <c r="C33" i="2113"/>
  <c r="D33" i="2113" s="1"/>
  <c r="F33" i="2113" s="1"/>
  <c r="C33" i="1735"/>
  <c r="D33" i="1735" s="1"/>
  <c r="F33" i="1735" s="1"/>
  <c r="C33" i="1733"/>
  <c r="D33" i="1733" s="1"/>
  <c r="F33" i="1733" s="1"/>
  <c r="C33" i="2068"/>
  <c r="D33" i="2068" s="1"/>
  <c r="F33" i="2068" s="1"/>
  <c r="C33" i="2114"/>
  <c r="D33" i="2114" s="1"/>
  <c r="F33" i="2114" s="1"/>
  <c r="C33" i="2112"/>
  <c r="D33" i="2112" s="1"/>
  <c r="F33" i="2112" s="1"/>
  <c r="C33" i="1734"/>
  <c r="D33" i="1734" s="1"/>
  <c r="F33" i="1734" s="1"/>
  <c r="C33" i="1729"/>
  <c r="D33" i="1729" s="1"/>
  <c r="F33" i="1729" s="1"/>
  <c r="C33" i="2129"/>
  <c r="D33" i="2129" s="1"/>
  <c r="F33" i="2129" s="1"/>
  <c r="C33" i="2124"/>
  <c r="D33" i="2124" s="1"/>
  <c r="F33" i="2124" s="1"/>
  <c r="C33" i="2118"/>
  <c r="D33" i="2118" s="1"/>
  <c r="F33" i="2118" s="1"/>
  <c r="D5" i="2128"/>
  <c r="F5" i="2128" s="1"/>
  <c r="D5" i="2124"/>
  <c r="F5" i="2124" s="1"/>
  <c r="D5" i="2112"/>
  <c r="F5" i="2112" s="1"/>
  <c r="D5" i="2129"/>
  <c r="F5" i="2129" s="1"/>
  <c r="D5" i="2125"/>
  <c r="F5" i="2125" s="1"/>
  <c r="D5" i="1733"/>
  <c r="F5" i="1733" s="1"/>
  <c r="D5" i="1729"/>
  <c r="F5" i="1729" s="1"/>
  <c r="D5" i="1734"/>
  <c r="F5" i="1734" s="1"/>
  <c r="D5" i="2113"/>
  <c r="F5" i="2113" s="1"/>
  <c r="D31" i="2123"/>
  <c r="F31" i="2123" s="1"/>
  <c r="D5" i="2114"/>
  <c r="F5" i="2114" s="1"/>
  <c r="D5" i="2068"/>
  <c r="F5" i="2068" s="1"/>
  <c r="D5" i="2130"/>
  <c r="F5" i="2130" s="1"/>
  <c r="D5" i="2127"/>
  <c r="F5" i="2127" s="1"/>
  <c r="D5" i="2123"/>
  <c r="F5" i="2123" s="1"/>
  <c r="D31" i="2130"/>
  <c r="F31" i="2130" s="1"/>
  <c r="D31" i="1733"/>
  <c r="F31" i="1733" s="1"/>
  <c r="D31" i="2127"/>
  <c r="F31" i="2127" s="1"/>
  <c r="D31" i="2124"/>
  <c r="F31" i="2124" s="1"/>
  <c r="D31" i="1734"/>
  <c r="F31" i="1734" s="1"/>
  <c r="D31" i="2112"/>
  <c r="F31" i="2112" s="1"/>
  <c r="D31" i="2125"/>
  <c r="F31" i="2125" s="1"/>
  <c r="D31" i="2118"/>
  <c r="F31" i="2118" s="1"/>
  <c r="D31" i="1735"/>
  <c r="F31" i="1735" s="1"/>
  <c r="D31" i="2129"/>
  <c r="F31" i="2129" s="1"/>
  <c r="D31" i="2114"/>
  <c r="F31" i="2114" s="1"/>
  <c r="D31" i="1729"/>
  <c r="F31" i="1729" s="1"/>
  <c r="D31" i="2128"/>
  <c r="F31" i="2128" s="1"/>
  <c r="D31" i="2113"/>
  <c r="F31" i="2113" s="1"/>
  <c r="D31" i="2068"/>
  <c r="F31" i="2068" s="1"/>
  <c r="A2" i="1729"/>
  <c r="A2" i="1733"/>
  <c r="A2" i="1734"/>
  <c r="A2" i="1735"/>
  <c r="A2" i="2112"/>
  <c r="A2" i="2113"/>
  <c r="A2" i="2114"/>
  <c r="A2" i="2118"/>
  <c r="A2" i="2123"/>
  <c r="A2" i="2124"/>
  <c r="A2" i="2125"/>
  <c r="A2" i="2127"/>
  <c r="A2" i="2128"/>
  <c r="A2" i="2129"/>
  <c r="A2" i="2130"/>
  <c r="A2" i="2068"/>
  <c r="B35" i="2130"/>
  <c r="B29" i="2130"/>
  <c r="C27" i="2130"/>
  <c r="B27" i="2130"/>
  <c r="C26" i="2130"/>
  <c r="B26" i="2130"/>
  <c r="B24" i="2130"/>
  <c r="C22" i="2130"/>
  <c r="B22" i="2130"/>
  <c r="C21" i="2130"/>
  <c r="B21" i="2130"/>
  <c r="B19" i="2130"/>
  <c r="C17" i="2130"/>
  <c r="B17" i="2130"/>
  <c r="C16" i="2130"/>
  <c r="B16" i="2130"/>
  <c r="B14" i="2130"/>
  <c r="C10" i="2130"/>
  <c r="B10" i="2130"/>
  <c r="C12" i="2130"/>
  <c r="B12" i="2130"/>
  <c r="C7" i="2130"/>
  <c r="B7" i="2130"/>
  <c r="C6" i="2130"/>
  <c r="B6" i="2130"/>
  <c r="C8" i="2130"/>
  <c r="B8" i="2130"/>
  <c r="C11" i="2130"/>
  <c r="B11" i="2130"/>
  <c r="C9" i="2130"/>
  <c r="B9" i="2130"/>
  <c r="C4" i="2130"/>
  <c r="B35" i="2129"/>
  <c r="B29" i="2129"/>
  <c r="C27" i="2129"/>
  <c r="B27" i="2129"/>
  <c r="C26" i="2129"/>
  <c r="B26" i="2129"/>
  <c r="B24" i="2129"/>
  <c r="C22" i="2129"/>
  <c r="B22" i="2129"/>
  <c r="C21" i="2129"/>
  <c r="B21" i="2129"/>
  <c r="B19" i="2129"/>
  <c r="C17" i="2129"/>
  <c r="B17" i="2129"/>
  <c r="C16" i="2129"/>
  <c r="B16" i="2129"/>
  <c r="B14" i="2129"/>
  <c r="C10" i="2129"/>
  <c r="B10" i="2129"/>
  <c r="C12" i="2129"/>
  <c r="B12" i="2129"/>
  <c r="C7" i="2129"/>
  <c r="B7" i="2129"/>
  <c r="C6" i="2129"/>
  <c r="B6" i="2129"/>
  <c r="C8" i="2129"/>
  <c r="B8" i="2129"/>
  <c r="C11" i="2129"/>
  <c r="B11" i="2129"/>
  <c r="C9" i="2129"/>
  <c r="B9" i="2129"/>
  <c r="C4" i="2129"/>
  <c r="B35" i="2128"/>
  <c r="B29" i="2128"/>
  <c r="C27" i="2128"/>
  <c r="B27" i="2128"/>
  <c r="C26" i="2128"/>
  <c r="B26" i="2128"/>
  <c r="B24" i="2128"/>
  <c r="C22" i="2128"/>
  <c r="B22" i="2128"/>
  <c r="C21" i="2128"/>
  <c r="B21" i="2128"/>
  <c r="B19" i="2128"/>
  <c r="C17" i="2128"/>
  <c r="B17" i="2128"/>
  <c r="C16" i="2128"/>
  <c r="B16" i="2128"/>
  <c r="B14" i="2128"/>
  <c r="C10" i="2128"/>
  <c r="B10" i="2128"/>
  <c r="C12" i="2128"/>
  <c r="B12" i="2128"/>
  <c r="C7" i="2128"/>
  <c r="B7" i="2128"/>
  <c r="C6" i="2128"/>
  <c r="B6" i="2128"/>
  <c r="C8" i="2128"/>
  <c r="B8" i="2128"/>
  <c r="C11" i="2128"/>
  <c r="B11" i="2128"/>
  <c r="C9" i="2128"/>
  <c r="B9" i="2128"/>
  <c r="C4" i="2128"/>
  <c r="B35" i="2127"/>
  <c r="B29" i="2127"/>
  <c r="C27" i="2127"/>
  <c r="B27" i="2127"/>
  <c r="C26" i="2127"/>
  <c r="B26" i="2127"/>
  <c r="B24" i="2127"/>
  <c r="C22" i="2127"/>
  <c r="B22" i="2127"/>
  <c r="C21" i="2127"/>
  <c r="B21" i="2127"/>
  <c r="B19" i="2127"/>
  <c r="C17" i="2127"/>
  <c r="B17" i="2127"/>
  <c r="C16" i="2127"/>
  <c r="B16" i="2127"/>
  <c r="B14" i="2127"/>
  <c r="C10" i="2127"/>
  <c r="B10" i="2127"/>
  <c r="C12" i="2127"/>
  <c r="B12" i="2127"/>
  <c r="C7" i="2127"/>
  <c r="B7" i="2127"/>
  <c r="C6" i="2127"/>
  <c r="B6" i="2127"/>
  <c r="C8" i="2127"/>
  <c r="B8" i="2127"/>
  <c r="C11" i="2127"/>
  <c r="B11" i="2127"/>
  <c r="C9" i="2127"/>
  <c r="B9" i="2127"/>
  <c r="C4" i="2127"/>
  <c r="B35" i="2125"/>
  <c r="B29" i="2125"/>
  <c r="C27" i="2125"/>
  <c r="B27" i="2125"/>
  <c r="C26" i="2125"/>
  <c r="B26" i="2125"/>
  <c r="B24" i="2125"/>
  <c r="C22" i="2125"/>
  <c r="B22" i="2125"/>
  <c r="C21" i="2125"/>
  <c r="B21" i="2125"/>
  <c r="B19" i="2125"/>
  <c r="C17" i="2125"/>
  <c r="B17" i="2125"/>
  <c r="C16" i="2125"/>
  <c r="B16" i="2125"/>
  <c r="B14" i="2125"/>
  <c r="C10" i="2125"/>
  <c r="B10" i="2125"/>
  <c r="C12" i="2125"/>
  <c r="B12" i="2125"/>
  <c r="C7" i="2125"/>
  <c r="B7" i="2125"/>
  <c r="C6" i="2125"/>
  <c r="B6" i="2125"/>
  <c r="C8" i="2125"/>
  <c r="B8" i="2125"/>
  <c r="C11" i="2125"/>
  <c r="B11" i="2125"/>
  <c r="C9" i="2125"/>
  <c r="B9" i="2125"/>
  <c r="C4" i="2125"/>
  <c r="B35" i="2124"/>
  <c r="B29" i="2124"/>
  <c r="C27" i="2124"/>
  <c r="B27" i="2124"/>
  <c r="C26" i="2124"/>
  <c r="B26" i="2124"/>
  <c r="B24" i="2124"/>
  <c r="C22" i="2124"/>
  <c r="B22" i="2124"/>
  <c r="C21" i="2124"/>
  <c r="B21" i="2124"/>
  <c r="B19" i="2124"/>
  <c r="C17" i="2124"/>
  <c r="B17" i="2124"/>
  <c r="C16" i="2124"/>
  <c r="B16" i="2124"/>
  <c r="B14" i="2124"/>
  <c r="C10" i="2124"/>
  <c r="B10" i="2124"/>
  <c r="C12" i="2124"/>
  <c r="B12" i="2124"/>
  <c r="C7" i="2124"/>
  <c r="B7" i="2124"/>
  <c r="C6" i="2124"/>
  <c r="B6" i="2124"/>
  <c r="C8" i="2124"/>
  <c r="B8" i="2124"/>
  <c r="C11" i="2124"/>
  <c r="B11" i="2124"/>
  <c r="C9" i="2124"/>
  <c r="B9" i="2124"/>
  <c r="C4" i="2124"/>
  <c r="B35" i="2123"/>
  <c r="B29" i="2123"/>
  <c r="C27" i="2123"/>
  <c r="B27" i="2123"/>
  <c r="C26" i="2123"/>
  <c r="B26" i="2123"/>
  <c r="B24" i="2123"/>
  <c r="C22" i="2123"/>
  <c r="B22" i="2123"/>
  <c r="C21" i="2123"/>
  <c r="B21" i="2123"/>
  <c r="B19" i="2123"/>
  <c r="C17" i="2123"/>
  <c r="B17" i="2123"/>
  <c r="C16" i="2123"/>
  <c r="B16" i="2123"/>
  <c r="B14" i="2123"/>
  <c r="C10" i="2123"/>
  <c r="B10" i="2123"/>
  <c r="C12" i="2123"/>
  <c r="B12" i="2123"/>
  <c r="C7" i="2123"/>
  <c r="B7" i="2123"/>
  <c r="C6" i="2123"/>
  <c r="B6" i="2123"/>
  <c r="C8" i="2123"/>
  <c r="B8" i="2123"/>
  <c r="C11" i="2123"/>
  <c r="B11" i="2123"/>
  <c r="C9" i="2123"/>
  <c r="B9" i="2123"/>
  <c r="C4" i="2123"/>
  <c r="B35" i="2118"/>
  <c r="B29" i="2118"/>
  <c r="C27" i="2118"/>
  <c r="B27" i="2118"/>
  <c r="C26" i="2118"/>
  <c r="B26" i="2118"/>
  <c r="B24" i="2118"/>
  <c r="C22" i="2118"/>
  <c r="B22" i="2118"/>
  <c r="C21" i="2118"/>
  <c r="B21" i="2118"/>
  <c r="B19" i="2118"/>
  <c r="C17" i="2118"/>
  <c r="B17" i="2118"/>
  <c r="C16" i="2118"/>
  <c r="B16" i="2118"/>
  <c r="B14" i="2118"/>
  <c r="C10" i="2118"/>
  <c r="B10" i="2118"/>
  <c r="C12" i="2118"/>
  <c r="B12" i="2118"/>
  <c r="C7" i="2118"/>
  <c r="B7" i="2118"/>
  <c r="C6" i="2118"/>
  <c r="B6" i="2118"/>
  <c r="C8" i="2118"/>
  <c r="B8" i="2118"/>
  <c r="C11" i="2118"/>
  <c r="B11" i="2118"/>
  <c r="C9" i="2118"/>
  <c r="B9" i="2118"/>
  <c r="C4" i="2118"/>
  <c r="B35" i="2114"/>
  <c r="B29" i="2114"/>
  <c r="C27" i="2114"/>
  <c r="B27" i="2114"/>
  <c r="C26" i="2114"/>
  <c r="B26" i="2114"/>
  <c r="B24" i="2114"/>
  <c r="C22" i="2114"/>
  <c r="B22" i="2114"/>
  <c r="C21" i="2114"/>
  <c r="B21" i="2114"/>
  <c r="B19" i="2114"/>
  <c r="C17" i="2114"/>
  <c r="B17" i="2114"/>
  <c r="C16" i="2114"/>
  <c r="B16" i="2114"/>
  <c r="B14" i="2114"/>
  <c r="C10" i="2114"/>
  <c r="B10" i="2114"/>
  <c r="C12" i="2114"/>
  <c r="B12" i="2114"/>
  <c r="C7" i="2114"/>
  <c r="B7" i="2114"/>
  <c r="C6" i="2114"/>
  <c r="B6" i="2114"/>
  <c r="C8" i="2114"/>
  <c r="B8" i="2114"/>
  <c r="C11" i="2114"/>
  <c r="B11" i="2114"/>
  <c r="C9" i="2114"/>
  <c r="B9" i="2114"/>
  <c r="C4" i="2114"/>
  <c r="B35" i="2113"/>
  <c r="B29" i="2113"/>
  <c r="C27" i="2113"/>
  <c r="B27" i="2113"/>
  <c r="C26" i="2113"/>
  <c r="B26" i="2113"/>
  <c r="B24" i="2113"/>
  <c r="C22" i="2113"/>
  <c r="B22" i="2113"/>
  <c r="C21" i="2113"/>
  <c r="B21" i="2113"/>
  <c r="B19" i="2113"/>
  <c r="C17" i="2113"/>
  <c r="B17" i="2113"/>
  <c r="C16" i="2113"/>
  <c r="B16" i="2113"/>
  <c r="B14" i="2113"/>
  <c r="C10" i="2113"/>
  <c r="B10" i="2113"/>
  <c r="C12" i="2113"/>
  <c r="B12" i="2113"/>
  <c r="C7" i="2113"/>
  <c r="B7" i="2113"/>
  <c r="C6" i="2113"/>
  <c r="B6" i="2113"/>
  <c r="C8" i="2113"/>
  <c r="B8" i="2113"/>
  <c r="C11" i="2113"/>
  <c r="B11" i="2113"/>
  <c r="C9" i="2113"/>
  <c r="B9" i="2113"/>
  <c r="C4" i="2113"/>
  <c r="B35" i="2112"/>
  <c r="B29" i="2112"/>
  <c r="C27" i="2112"/>
  <c r="B27" i="2112"/>
  <c r="C26" i="2112"/>
  <c r="B26" i="2112"/>
  <c r="B24" i="2112"/>
  <c r="C22" i="2112"/>
  <c r="B22" i="2112"/>
  <c r="C21" i="2112"/>
  <c r="B21" i="2112"/>
  <c r="B19" i="2112"/>
  <c r="C17" i="2112"/>
  <c r="B17" i="2112"/>
  <c r="C16" i="2112"/>
  <c r="B16" i="2112"/>
  <c r="B14" i="2112"/>
  <c r="C10" i="2112"/>
  <c r="B10" i="2112"/>
  <c r="C12" i="2112"/>
  <c r="B12" i="2112"/>
  <c r="C7" i="2112"/>
  <c r="B7" i="2112"/>
  <c r="C6" i="2112"/>
  <c r="B6" i="2112"/>
  <c r="C8" i="2112"/>
  <c r="B8" i="2112"/>
  <c r="C11" i="2112"/>
  <c r="B11" i="2112"/>
  <c r="C9" i="2112"/>
  <c r="B9" i="2112"/>
  <c r="C4" i="2112"/>
  <c r="B35" i="1729"/>
  <c r="B29" i="1729"/>
  <c r="B27" i="1729"/>
  <c r="B26" i="1729"/>
  <c r="B24" i="1729"/>
  <c r="B22" i="1729"/>
  <c r="B21" i="1729"/>
  <c r="B19" i="1729"/>
  <c r="B17" i="1729"/>
  <c r="B16" i="1729"/>
  <c r="B14" i="1729"/>
  <c r="B10" i="1729"/>
  <c r="B12" i="1729"/>
  <c r="B7" i="1729"/>
  <c r="B6" i="1729"/>
  <c r="B8" i="1729"/>
  <c r="B11" i="1729"/>
  <c r="B9" i="1729"/>
  <c r="C29" i="2127" l="1"/>
  <c r="D29" i="2127" s="1"/>
  <c r="F29" i="2127" s="1"/>
  <c r="C29" i="2129"/>
  <c r="D29" i="2129" s="1"/>
  <c r="F29" i="2129" s="1"/>
  <c r="C19" i="2113"/>
  <c r="D19" i="2113" s="1"/>
  <c r="F19" i="2113" s="1"/>
  <c r="C24" i="2118"/>
  <c r="D24" i="2118" s="1"/>
  <c r="F24" i="2118" s="1"/>
  <c r="C24" i="2112"/>
  <c r="D24" i="2112" s="1"/>
  <c r="F24" i="2112" s="1"/>
  <c r="C29" i="2112"/>
  <c r="D29" i="2112" s="1"/>
  <c r="F29" i="2112" s="1"/>
  <c r="C29" i="2114"/>
  <c r="D29" i="2114" s="1"/>
  <c r="F29" i="2114" s="1"/>
  <c r="C19" i="2123"/>
  <c r="D19" i="2123" s="1"/>
  <c r="F19" i="2123" s="1"/>
  <c r="C24" i="2068"/>
  <c r="C24" i="1734"/>
  <c r="C24" i="1729"/>
  <c r="D24" i="1729" s="1"/>
  <c r="F24" i="1729" s="1"/>
  <c r="C24" i="2113"/>
  <c r="D24" i="2113" s="1"/>
  <c r="F24" i="2113" s="1"/>
  <c r="C24" i="1735"/>
  <c r="C24" i="1733"/>
  <c r="C19" i="2112"/>
  <c r="D19" i="2112" s="1"/>
  <c r="F19" i="2112" s="1"/>
  <c r="C29" i="2113"/>
  <c r="D29" i="2113" s="1"/>
  <c r="F29" i="2113" s="1"/>
  <c r="C19" i="2114"/>
  <c r="D19" i="2114" s="1"/>
  <c r="F19" i="2114" s="1"/>
  <c r="C29" i="2128"/>
  <c r="D29" i="2128" s="1"/>
  <c r="F29" i="2128" s="1"/>
  <c r="C29" i="2130"/>
  <c r="D29" i="2130" s="1"/>
  <c r="F29" i="2130" s="1"/>
  <c r="C24" i="2114"/>
  <c r="D24" i="2114" s="1"/>
  <c r="F24" i="2114" s="1"/>
  <c r="C19" i="2127"/>
  <c r="D19" i="2127" s="1"/>
  <c r="F19" i="2127" s="1"/>
  <c r="C19" i="2128"/>
  <c r="D19" i="2128" s="1"/>
  <c r="F19" i="2128" s="1"/>
  <c r="C19" i="2129"/>
  <c r="D19" i="2129" s="1"/>
  <c r="F19" i="2129" s="1"/>
  <c r="C19" i="2130"/>
  <c r="D19" i="2130" s="1"/>
  <c r="F19" i="2130" s="1"/>
  <c r="C19" i="2118"/>
  <c r="D19" i="2118" s="1"/>
  <c r="F19" i="2118" s="1"/>
  <c r="C29" i="2118"/>
  <c r="D29" i="2118" s="1"/>
  <c r="F29" i="2118" s="1"/>
  <c r="C24" i="2123"/>
  <c r="D24" i="2123" s="1"/>
  <c r="F24" i="2123" s="1"/>
  <c r="C24" i="2124"/>
  <c r="D24" i="2124" s="1"/>
  <c r="F24" i="2124" s="1"/>
  <c r="C24" i="2125"/>
  <c r="D24" i="2125" s="1"/>
  <c r="F24" i="2125" s="1"/>
  <c r="C24" i="2127"/>
  <c r="D24" i="2127" s="1"/>
  <c r="F24" i="2127" s="1"/>
  <c r="C24" i="2128"/>
  <c r="D24" i="2128" s="1"/>
  <c r="F24" i="2128" s="1"/>
  <c r="C24" i="2129"/>
  <c r="D24" i="2129" s="1"/>
  <c r="F24" i="2129" s="1"/>
  <c r="C24" i="2130"/>
  <c r="D24" i="2130" s="1"/>
  <c r="F24" i="2130" s="1"/>
  <c r="D4" i="2128"/>
  <c r="F4" i="2128" s="1"/>
  <c r="C14" i="2128"/>
  <c r="C35" i="2128"/>
  <c r="D4" i="2129"/>
  <c r="F4" i="2129" s="1"/>
  <c r="C14" i="2129"/>
  <c r="C35" i="2129"/>
  <c r="C14" i="2130"/>
  <c r="C35" i="2130"/>
  <c r="D4" i="2127"/>
  <c r="F4" i="2127" s="1"/>
  <c r="C35" i="2127"/>
  <c r="C14" i="2127"/>
  <c r="C29" i="2123"/>
  <c r="D29" i="2123" s="1"/>
  <c r="F29" i="2123" s="1"/>
  <c r="C19" i="2124"/>
  <c r="D19" i="2124" s="1"/>
  <c r="F19" i="2124" s="1"/>
  <c r="C29" i="2124"/>
  <c r="D29" i="2124" s="1"/>
  <c r="F29" i="2124" s="1"/>
  <c r="C19" i="2125"/>
  <c r="D19" i="2125" s="1"/>
  <c r="F19" i="2125" s="1"/>
  <c r="C29" i="2125"/>
  <c r="D29" i="2125" s="1"/>
  <c r="F29" i="2125" s="1"/>
  <c r="C14" i="2124"/>
  <c r="C35" i="2124"/>
  <c r="C14" i="2123"/>
  <c r="C35" i="2123"/>
  <c r="C14" i="2125"/>
  <c r="C35" i="2125"/>
  <c r="D4" i="2118"/>
  <c r="F4" i="2118" s="1"/>
  <c r="C14" i="2118"/>
  <c r="C35" i="2118"/>
  <c r="D4" i="2112"/>
  <c r="F4" i="2112" s="1"/>
  <c r="C35" i="2112"/>
  <c r="C14" i="2112"/>
  <c r="D4" i="2113"/>
  <c r="F4" i="2113" s="1"/>
  <c r="C35" i="2113"/>
  <c r="C14" i="2113"/>
  <c r="D4" i="2114"/>
  <c r="F4" i="2114" s="1"/>
  <c r="C35" i="2114"/>
  <c r="C14" i="2114"/>
  <c r="D27" i="2130"/>
  <c r="F27" i="2130" s="1"/>
  <c r="D9" i="2130"/>
  <c r="F9" i="2130" s="1"/>
  <c r="D7" i="2130"/>
  <c r="F7" i="2130" s="1"/>
  <c r="D27" i="2129"/>
  <c r="F27" i="2129" s="1"/>
  <c r="D9" i="2129"/>
  <c r="F9" i="2129" s="1"/>
  <c r="D12" i="2130"/>
  <c r="F12" i="2130" s="1"/>
  <c r="D10" i="2130"/>
  <c r="F10" i="2130" s="1"/>
  <c r="D12" i="2127"/>
  <c r="F12" i="2127" s="1"/>
  <c r="D17" i="2130"/>
  <c r="F17" i="2130" s="1"/>
  <c r="D7" i="2129"/>
  <c r="F7" i="2129" s="1"/>
  <c r="D11" i="2130"/>
  <c r="F11" i="2130" s="1"/>
  <c r="D6" i="2130"/>
  <c r="F6" i="2130" s="1"/>
  <c r="D21" i="2130"/>
  <c r="F21" i="2130" s="1"/>
  <c r="D26" i="2130"/>
  <c r="F26" i="2130" s="1"/>
  <c r="D16" i="2128"/>
  <c r="F16" i="2128" s="1"/>
  <c r="D21" i="2128"/>
  <c r="F21" i="2128" s="1"/>
  <c r="D8" i="2130"/>
  <c r="F8" i="2130" s="1"/>
  <c r="D22" i="2130"/>
  <c r="F22" i="2130" s="1"/>
  <c r="D9" i="2127"/>
  <c r="F9" i="2127" s="1"/>
  <c r="D7" i="2127"/>
  <c r="F7" i="2127" s="1"/>
  <c r="D11" i="2129"/>
  <c r="F11" i="2129" s="1"/>
  <c r="D16" i="2129"/>
  <c r="F16" i="2129" s="1"/>
  <c r="D21" i="2129"/>
  <c r="F21" i="2129" s="1"/>
  <c r="D16" i="2127"/>
  <c r="F16" i="2127" s="1"/>
  <c r="D8" i="2129"/>
  <c r="F8" i="2129" s="1"/>
  <c r="D9" i="2128"/>
  <c r="F9" i="2128" s="1"/>
  <c r="D7" i="2128"/>
  <c r="F7" i="2128" s="1"/>
  <c r="D6" i="2129"/>
  <c r="F6" i="2129" s="1"/>
  <c r="D12" i="2129"/>
  <c r="F12" i="2129" s="1"/>
  <c r="D10" i="2129"/>
  <c r="F10" i="2129" s="1"/>
  <c r="D17" i="2129"/>
  <c r="F17" i="2129" s="1"/>
  <c r="D22" i="2129"/>
  <c r="F22" i="2129" s="1"/>
  <c r="D4" i="2130"/>
  <c r="D16" i="2130"/>
  <c r="F16" i="2130" s="1"/>
  <c r="D16" i="2125"/>
  <c r="F16" i="2125" s="1"/>
  <c r="D11" i="2127"/>
  <c r="F11" i="2127" s="1"/>
  <c r="D7" i="2124"/>
  <c r="F7" i="2124" s="1"/>
  <c r="D11" i="2128"/>
  <c r="F11" i="2128" s="1"/>
  <c r="D26" i="2129"/>
  <c r="F26" i="2129" s="1"/>
  <c r="D17" i="2127"/>
  <c r="F17" i="2127" s="1"/>
  <c r="D12" i="2128"/>
  <c r="F12" i="2128" s="1"/>
  <c r="D21" i="2127"/>
  <c r="F21" i="2127" s="1"/>
  <c r="D6" i="2128"/>
  <c r="F6" i="2128" s="1"/>
  <c r="D27" i="2128"/>
  <c r="F27" i="2128" s="1"/>
  <c r="D22" i="2124"/>
  <c r="F22" i="2124" s="1"/>
  <c r="D8" i="2127"/>
  <c r="F8" i="2127" s="1"/>
  <c r="D10" i="2127"/>
  <c r="F10" i="2127" s="1"/>
  <c r="D8" i="2128"/>
  <c r="F8" i="2128" s="1"/>
  <c r="D10" i="2128"/>
  <c r="F10" i="2128" s="1"/>
  <c r="D17" i="2128"/>
  <c r="F17" i="2128" s="1"/>
  <c r="D22" i="2128"/>
  <c r="F22" i="2128" s="1"/>
  <c r="D26" i="2128"/>
  <c r="D9" i="2123"/>
  <c r="F9" i="2123" s="1"/>
  <c r="D6" i="2124"/>
  <c r="F6" i="2124" s="1"/>
  <c r="D16" i="2124"/>
  <c r="F16" i="2124" s="1"/>
  <c r="D6" i="2127"/>
  <c r="F6" i="2127" s="1"/>
  <c r="D27" i="2127"/>
  <c r="F27" i="2127" s="1"/>
  <c r="D22" i="2127"/>
  <c r="F22" i="2127" s="1"/>
  <c r="D26" i="2127"/>
  <c r="F26" i="2127" s="1"/>
  <c r="D11" i="2124"/>
  <c r="F11" i="2124" s="1"/>
  <c r="D21" i="2124"/>
  <c r="F21" i="2124" s="1"/>
  <c r="D16" i="2123"/>
  <c r="F16" i="2123" s="1"/>
  <c r="D17" i="2125"/>
  <c r="F17" i="2125" s="1"/>
  <c r="D7" i="2123"/>
  <c r="F7" i="2123" s="1"/>
  <c r="D17" i="2123"/>
  <c r="F17" i="2123" s="1"/>
  <c r="D9" i="2124"/>
  <c r="F9" i="2124" s="1"/>
  <c r="D27" i="2124"/>
  <c r="F27" i="2124" s="1"/>
  <c r="D11" i="2123"/>
  <c r="F11" i="2123" s="1"/>
  <c r="D12" i="2123"/>
  <c r="F12" i="2123" s="1"/>
  <c r="D10" i="2124"/>
  <c r="F10" i="2124" s="1"/>
  <c r="D26" i="2123"/>
  <c r="F26" i="2123" s="1"/>
  <c r="D12" i="2124"/>
  <c r="F12" i="2124" s="1"/>
  <c r="D22" i="2125"/>
  <c r="F22" i="2125" s="1"/>
  <c r="D8" i="2125"/>
  <c r="F8" i="2125" s="1"/>
  <c r="D7" i="2125"/>
  <c r="F7" i="2125" s="1"/>
  <c r="D10" i="2125"/>
  <c r="F10" i="2125" s="1"/>
  <c r="D26" i="2125"/>
  <c r="F26" i="2125" s="1"/>
  <c r="D11" i="2125"/>
  <c r="F11" i="2125" s="1"/>
  <c r="D21" i="2123"/>
  <c r="F21" i="2123" s="1"/>
  <c r="D21" i="2125"/>
  <c r="F21" i="2125" s="1"/>
  <c r="D8" i="2123"/>
  <c r="F8" i="2123" s="1"/>
  <c r="D22" i="2123"/>
  <c r="F22" i="2123" s="1"/>
  <c r="D8" i="2124"/>
  <c r="F8" i="2124" s="1"/>
  <c r="D17" i="2124"/>
  <c r="F17" i="2124" s="1"/>
  <c r="D26" i="2124"/>
  <c r="F26" i="2124" s="1"/>
  <c r="D27" i="2125"/>
  <c r="F27" i="2125" s="1"/>
  <c r="D10" i="2123"/>
  <c r="F10" i="2123" s="1"/>
  <c r="D4" i="2125"/>
  <c r="D9" i="2125"/>
  <c r="F9" i="2125" s="1"/>
  <c r="D6" i="2125"/>
  <c r="F6" i="2125" s="1"/>
  <c r="D12" i="2125"/>
  <c r="F12" i="2125" s="1"/>
  <c r="D4" i="2124"/>
  <c r="D6" i="2123"/>
  <c r="F6" i="2123" s="1"/>
  <c r="D27" i="2123"/>
  <c r="F27" i="2123" s="1"/>
  <c r="D16" i="2114"/>
  <c r="F16" i="2114" s="1"/>
  <c r="D27" i="2118"/>
  <c r="F27" i="2118" s="1"/>
  <c r="D4" i="2123"/>
  <c r="D7" i="2118"/>
  <c r="F7" i="2118" s="1"/>
  <c r="D21" i="2118"/>
  <c r="F21" i="2118" s="1"/>
  <c r="D11" i="2118"/>
  <c r="F11" i="2118" s="1"/>
  <c r="D9" i="2118"/>
  <c r="F9" i="2118" s="1"/>
  <c r="D6" i="2118"/>
  <c r="F6" i="2118" s="1"/>
  <c r="D12" i="2118"/>
  <c r="F12" i="2118" s="1"/>
  <c r="D16" i="2118"/>
  <c r="F16" i="2118" s="1"/>
  <c r="D16" i="2113"/>
  <c r="F16" i="2113" s="1"/>
  <c r="D9" i="2112"/>
  <c r="F9" i="2112" s="1"/>
  <c r="D11" i="2113"/>
  <c r="F11" i="2113" s="1"/>
  <c r="D12" i="2113"/>
  <c r="F12" i="2113" s="1"/>
  <c r="D8" i="2118"/>
  <c r="D10" i="2118"/>
  <c r="F10" i="2118" s="1"/>
  <c r="D17" i="2118"/>
  <c r="F17" i="2118" s="1"/>
  <c r="D22" i="2118"/>
  <c r="F22" i="2118" s="1"/>
  <c r="D26" i="2118"/>
  <c r="F26" i="2118" s="1"/>
  <c r="D9" i="2114"/>
  <c r="F9" i="2114" s="1"/>
  <c r="D7" i="2114"/>
  <c r="F7" i="2114" s="1"/>
  <c r="D21" i="2113"/>
  <c r="F21" i="2113" s="1"/>
  <c r="D12" i="2114"/>
  <c r="F12" i="2114" s="1"/>
  <c r="D21" i="2114"/>
  <c r="F21" i="2114" s="1"/>
  <c r="D11" i="2114"/>
  <c r="F11" i="2114" s="1"/>
  <c r="D6" i="2114"/>
  <c r="F6" i="2114" s="1"/>
  <c r="D22" i="2113"/>
  <c r="F22" i="2113" s="1"/>
  <c r="D8" i="2113"/>
  <c r="F8" i="2113" s="1"/>
  <c r="D7" i="2113"/>
  <c r="F7" i="2113" s="1"/>
  <c r="D27" i="2113"/>
  <c r="F27" i="2113" s="1"/>
  <c r="D21" i="2112"/>
  <c r="F21" i="2112" s="1"/>
  <c r="D9" i="2113"/>
  <c r="F9" i="2113" s="1"/>
  <c r="D10" i="2114"/>
  <c r="F10" i="2114" s="1"/>
  <c r="D16" i="2112"/>
  <c r="F16" i="2112" s="1"/>
  <c r="D6" i="2112"/>
  <c r="F6" i="2112" s="1"/>
  <c r="D7" i="2112"/>
  <c r="F7" i="2112" s="1"/>
  <c r="D6" i="2113"/>
  <c r="F6" i="2113" s="1"/>
  <c r="D17" i="2113"/>
  <c r="F17" i="2113" s="1"/>
  <c r="D27" i="2114"/>
  <c r="F27" i="2114" s="1"/>
  <c r="D10" i="2113"/>
  <c r="F10" i="2113" s="1"/>
  <c r="D8" i="2114"/>
  <c r="F8" i="2114" s="1"/>
  <c r="D17" i="2114"/>
  <c r="F17" i="2114" s="1"/>
  <c r="D22" i="2114"/>
  <c r="D26" i="2114"/>
  <c r="F26" i="2114" s="1"/>
  <c r="D11" i="2112"/>
  <c r="F11" i="2112" s="1"/>
  <c r="D26" i="2113"/>
  <c r="F26" i="2113" s="1"/>
  <c r="D12" i="2112"/>
  <c r="F12" i="2112" s="1"/>
  <c r="D27" i="2112"/>
  <c r="F27" i="2112" s="1"/>
  <c r="D8" i="2112"/>
  <c r="F8" i="2112" s="1"/>
  <c r="D10" i="2112"/>
  <c r="F10" i="2112" s="1"/>
  <c r="D17" i="2112"/>
  <c r="F17" i="2112" s="1"/>
  <c r="D22" i="2112"/>
  <c r="F22" i="2112" s="1"/>
  <c r="D26" i="2112"/>
  <c r="F26" i="2112" s="1"/>
  <c r="D22" i="1729"/>
  <c r="F22" i="1729" s="1"/>
  <c r="D21" i="1729"/>
  <c r="F21" i="1729" s="1"/>
  <c r="F36" i="2113" l="1"/>
  <c r="G36" i="2113" s="1"/>
  <c r="H36" i="2113" s="1"/>
  <c r="D36" i="2123"/>
  <c r="D36" i="2130"/>
  <c r="F36" i="2127"/>
  <c r="F36" i="2129"/>
  <c r="G36" i="2129" s="1"/>
  <c r="H36" i="2129" s="1"/>
  <c r="D36" i="2127"/>
  <c r="D35" i="2130"/>
  <c r="F35" i="2130" s="1"/>
  <c r="D36" i="2129"/>
  <c r="D35" i="2128"/>
  <c r="F35" i="2128" s="1"/>
  <c r="D14" i="2130"/>
  <c r="F14" i="2130" s="1"/>
  <c r="C37" i="2130"/>
  <c r="C38" i="2130" s="1"/>
  <c r="C37" i="2128"/>
  <c r="C38" i="2128" s="1"/>
  <c r="D14" i="2128"/>
  <c r="F14" i="2128" s="1"/>
  <c r="D14" i="2127"/>
  <c r="F14" i="2127" s="1"/>
  <c r="C37" i="2127"/>
  <c r="C38" i="2127" s="1"/>
  <c r="D35" i="2129"/>
  <c r="F35" i="2129" s="1"/>
  <c r="D36" i="2128"/>
  <c r="D35" i="2127"/>
  <c r="F35" i="2127" s="1"/>
  <c r="D14" i="2129"/>
  <c r="F14" i="2129" s="1"/>
  <c r="C37" i="2129"/>
  <c r="C38" i="2129" s="1"/>
  <c r="F4" i="2125"/>
  <c r="F36" i="2125" s="1"/>
  <c r="D36" i="2125"/>
  <c r="D14" i="2123"/>
  <c r="F14" i="2123" s="1"/>
  <c r="C37" i="2123"/>
  <c r="C38" i="2123" s="1"/>
  <c r="D35" i="2125"/>
  <c r="F35" i="2125" s="1"/>
  <c r="D35" i="2124"/>
  <c r="F35" i="2124" s="1"/>
  <c r="F4" i="2124"/>
  <c r="F36" i="2124" s="1"/>
  <c r="D36" i="2124"/>
  <c r="D14" i="2125"/>
  <c r="F14" i="2125" s="1"/>
  <c r="C37" i="2125"/>
  <c r="C38" i="2125" s="1"/>
  <c r="C37" i="2124"/>
  <c r="C38" i="2124" s="1"/>
  <c r="D14" i="2124"/>
  <c r="F14" i="2124" s="1"/>
  <c r="D35" i="2123"/>
  <c r="F35" i="2123" s="1"/>
  <c r="D35" i="2118"/>
  <c r="F35" i="2118" s="1"/>
  <c r="C37" i="2118"/>
  <c r="C38" i="2118" s="1"/>
  <c r="D14" i="2118"/>
  <c r="F14" i="2118" s="1"/>
  <c r="D36" i="2118"/>
  <c r="D36" i="2113"/>
  <c r="D36" i="2114"/>
  <c r="D14" i="2112"/>
  <c r="F14" i="2112" s="1"/>
  <c r="C37" i="2112"/>
  <c r="C38" i="2112" s="1"/>
  <c r="C37" i="2113"/>
  <c r="C38" i="2113" s="1"/>
  <c r="D14" i="2113"/>
  <c r="F14" i="2113" s="1"/>
  <c r="D35" i="2112"/>
  <c r="F35" i="2112" s="1"/>
  <c r="D35" i="2114"/>
  <c r="F35" i="2114" s="1"/>
  <c r="F36" i="2112"/>
  <c r="D14" i="2114"/>
  <c r="F14" i="2114" s="1"/>
  <c r="C37" i="2114"/>
  <c r="C38" i="2114" s="1"/>
  <c r="D35" i="2113"/>
  <c r="F35" i="2113" s="1"/>
  <c r="D36" i="2112"/>
  <c r="F4" i="2130"/>
  <c r="F26" i="2128"/>
  <c r="F4" i="2123"/>
  <c r="F36" i="2123" s="1"/>
  <c r="F8" i="2118"/>
  <c r="F36" i="2118" s="1"/>
  <c r="F22" i="2114"/>
  <c r="F36" i="2114" s="1"/>
  <c r="F36" i="2128" l="1"/>
  <c r="G36" i="2128" s="1"/>
  <c r="H36" i="2128" s="1"/>
  <c r="F36" i="2130"/>
  <c r="G36" i="2130" s="1"/>
  <c r="H36" i="2130" s="1"/>
  <c r="G36" i="2125"/>
  <c r="H36" i="2125" s="1"/>
  <c r="G36" i="2127"/>
  <c r="H36" i="2127" s="1"/>
  <c r="G36" i="2124"/>
  <c r="H36" i="2124" s="1"/>
  <c r="G36" i="2123"/>
  <c r="H36" i="2123" s="1"/>
  <c r="G36" i="2118"/>
  <c r="H36" i="2118" s="1"/>
  <c r="G36" i="2114"/>
  <c r="H36" i="2114" s="1"/>
  <c r="G36" i="2112"/>
  <c r="H36" i="2112" s="1"/>
  <c r="C25" i="2045" l="1"/>
  <c r="C26" i="2045"/>
  <c r="C27" i="2045"/>
  <c r="C28" i="2045"/>
  <c r="C29" i="2045"/>
  <c r="C30" i="2045"/>
  <c r="C31" i="2045"/>
  <c r="C32" i="2045"/>
  <c r="C33" i="2045"/>
  <c r="C34" i="2045"/>
  <c r="C35" i="2045"/>
  <c r="C36" i="2045"/>
  <c r="C37" i="2045"/>
  <c r="C38" i="2045"/>
  <c r="C39" i="2045"/>
  <c r="C40" i="2045"/>
  <c r="C41" i="2045"/>
  <c r="C42" i="2045"/>
  <c r="C43" i="2045"/>
  <c r="C24" i="2045"/>
  <c r="C5" i="2045"/>
  <c r="C6" i="2045"/>
  <c r="C7" i="2045"/>
  <c r="C8" i="2045"/>
  <c r="C9" i="2045"/>
  <c r="C10" i="2045"/>
  <c r="C11" i="2045"/>
  <c r="C12" i="2045"/>
  <c r="C13" i="2045"/>
  <c r="C14" i="2045"/>
  <c r="C15" i="2045"/>
  <c r="C16" i="2045"/>
  <c r="C17" i="2045"/>
  <c r="C18" i="2045"/>
  <c r="C19" i="2045"/>
  <c r="C20" i="2045"/>
  <c r="C4" i="2045"/>
  <c r="C5" i="2044"/>
  <c r="C6" i="2044"/>
  <c r="C7" i="2044"/>
  <c r="C8" i="2044"/>
  <c r="C9" i="2044"/>
  <c r="C10" i="2044"/>
  <c r="C11" i="2044"/>
  <c r="C12" i="2044"/>
  <c r="C13" i="2044"/>
  <c r="C14" i="2044"/>
  <c r="C15" i="2044"/>
  <c r="C16" i="2044"/>
  <c r="C17" i="2044"/>
  <c r="C18" i="2044"/>
  <c r="C19" i="2044"/>
  <c r="C20" i="2044"/>
  <c r="C4" i="2044"/>
  <c r="C25" i="2044"/>
  <c r="C26" i="2044"/>
  <c r="C27" i="2044"/>
  <c r="C28" i="2044"/>
  <c r="C29" i="2044"/>
  <c r="C30" i="2044"/>
  <c r="C31" i="2044"/>
  <c r="C32" i="2044"/>
  <c r="C33" i="2044"/>
  <c r="C34" i="2044"/>
  <c r="C35" i="2044"/>
  <c r="C36" i="2044"/>
  <c r="C37" i="2044"/>
  <c r="C38" i="2044"/>
  <c r="C39" i="2044"/>
  <c r="C40" i="2044"/>
  <c r="C41" i="2044"/>
  <c r="C42" i="2044"/>
  <c r="C43" i="2044"/>
  <c r="C24" i="2044"/>
  <c r="C25" i="2043"/>
  <c r="C26" i="2043"/>
  <c r="C27" i="2043"/>
  <c r="C28" i="2043"/>
  <c r="C29" i="2043"/>
  <c r="C30" i="2043"/>
  <c r="C31" i="2043"/>
  <c r="C32" i="2043"/>
  <c r="C33" i="2043"/>
  <c r="C34" i="2043"/>
  <c r="C35" i="2043"/>
  <c r="C36" i="2043"/>
  <c r="C37" i="2043"/>
  <c r="C38" i="2043"/>
  <c r="C39" i="2043"/>
  <c r="C40" i="2043"/>
  <c r="C41" i="2043"/>
  <c r="C42" i="2043"/>
  <c r="C43" i="2043"/>
  <c r="C24" i="2043"/>
  <c r="C5" i="2043"/>
  <c r="C6" i="2043"/>
  <c r="C7" i="2043"/>
  <c r="C8" i="2043"/>
  <c r="C9" i="2043"/>
  <c r="C10" i="2043"/>
  <c r="C11" i="2043"/>
  <c r="C12" i="2043"/>
  <c r="C13" i="2043"/>
  <c r="C14" i="2043"/>
  <c r="C15" i="2043"/>
  <c r="C16" i="2043"/>
  <c r="C17" i="2043"/>
  <c r="C18" i="2043"/>
  <c r="C19" i="2043"/>
  <c r="C20" i="2043"/>
  <c r="C4" i="2043"/>
  <c r="C25" i="2042"/>
  <c r="C26" i="2042"/>
  <c r="C27" i="2042"/>
  <c r="C28" i="2042"/>
  <c r="C29" i="2042"/>
  <c r="C30" i="2042"/>
  <c r="C31" i="2042"/>
  <c r="C32" i="2042"/>
  <c r="C33" i="2042"/>
  <c r="C34" i="2042"/>
  <c r="C35" i="2042"/>
  <c r="C36" i="2042"/>
  <c r="C37" i="2042"/>
  <c r="C38" i="2042"/>
  <c r="C39" i="2042"/>
  <c r="C40" i="2042"/>
  <c r="C41" i="2042"/>
  <c r="C42" i="2042"/>
  <c r="C43" i="2042"/>
  <c r="C24" i="2042"/>
  <c r="C5" i="2042"/>
  <c r="C6" i="2042"/>
  <c r="C7" i="2042"/>
  <c r="C8" i="2042"/>
  <c r="C9" i="2042"/>
  <c r="C10" i="2042"/>
  <c r="C11" i="2042"/>
  <c r="C12" i="2042"/>
  <c r="C13" i="2042"/>
  <c r="C14" i="2042"/>
  <c r="C15" i="2042"/>
  <c r="C16" i="2042"/>
  <c r="C17" i="2042"/>
  <c r="C18" i="2042"/>
  <c r="C19" i="2042"/>
  <c r="C20" i="2042"/>
  <c r="C4" i="2042"/>
  <c r="B47" i="2045"/>
  <c r="B45" i="2045"/>
  <c r="B43" i="2045"/>
  <c r="B42" i="2045"/>
  <c r="B41" i="2045"/>
  <c r="B40" i="2045"/>
  <c r="B39" i="2045"/>
  <c r="B38" i="2045"/>
  <c r="B37" i="2045"/>
  <c r="B36" i="2045"/>
  <c r="B35" i="2045"/>
  <c r="B34" i="2045"/>
  <c r="B33" i="2045"/>
  <c r="B32" i="2045"/>
  <c r="B31" i="2045"/>
  <c r="B30" i="2045"/>
  <c r="B29" i="2045"/>
  <c r="B28" i="2045"/>
  <c r="B27" i="2045"/>
  <c r="B26" i="2045"/>
  <c r="B25" i="2045"/>
  <c r="B24" i="2045"/>
  <c r="B22" i="2045"/>
  <c r="B20" i="2045"/>
  <c r="B19" i="2045"/>
  <c r="B18" i="2045"/>
  <c r="B17" i="2045"/>
  <c r="B16" i="2045"/>
  <c r="B15" i="2045"/>
  <c r="B14" i="2045"/>
  <c r="B13" i="2045"/>
  <c r="B12" i="2045"/>
  <c r="B11" i="2045"/>
  <c r="B10" i="2045"/>
  <c r="B9" i="2045"/>
  <c r="B8" i="2045"/>
  <c r="B7" i="2045"/>
  <c r="B6" i="2045"/>
  <c r="B5" i="2045"/>
  <c r="A2" i="2045"/>
  <c r="B47" i="2044"/>
  <c r="B45" i="2044"/>
  <c r="B43" i="2044"/>
  <c r="B42" i="2044"/>
  <c r="B41" i="2044"/>
  <c r="B40" i="2044"/>
  <c r="B39" i="2044"/>
  <c r="B38" i="2044"/>
  <c r="B37" i="2044"/>
  <c r="B36" i="2044"/>
  <c r="B35" i="2044"/>
  <c r="B34" i="2044"/>
  <c r="B33" i="2044"/>
  <c r="B32" i="2044"/>
  <c r="B31" i="2044"/>
  <c r="B30" i="2044"/>
  <c r="B29" i="2044"/>
  <c r="B28" i="2044"/>
  <c r="B27" i="2044"/>
  <c r="B26" i="2044"/>
  <c r="B25" i="2044"/>
  <c r="B24" i="2044"/>
  <c r="B22" i="2044"/>
  <c r="B20" i="2044"/>
  <c r="B19" i="2044"/>
  <c r="B18" i="2044"/>
  <c r="B17" i="2044"/>
  <c r="B16" i="2044"/>
  <c r="B15" i="2044"/>
  <c r="B14" i="2044"/>
  <c r="B13" i="2044"/>
  <c r="B12" i="2044"/>
  <c r="B11" i="2044"/>
  <c r="B10" i="2044"/>
  <c r="B9" i="2044"/>
  <c r="B8" i="2044"/>
  <c r="B7" i="2044"/>
  <c r="B6" i="2044"/>
  <c r="B5" i="2044"/>
  <c r="A2" i="2044"/>
  <c r="B47" i="2043"/>
  <c r="B45" i="2043"/>
  <c r="B43" i="2043"/>
  <c r="B42" i="2043"/>
  <c r="B41" i="2043"/>
  <c r="B40" i="2043"/>
  <c r="B39" i="2043"/>
  <c r="B38" i="2043"/>
  <c r="B37" i="2043"/>
  <c r="B36" i="2043"/>
  <c r="B35" i="2043"/>
  <c r="B34" i="2043"/>
  <c r="B33" i="2043"/>
  <c r="B32" i="2043"/>
  <c r="B31" i="2043"/>
  <c r="B30" i="2043"/>
  <c r="B29" i="2043"/>
  <c r="B28" i="2043"/>
  <c r="B27" i="2043"/>
  <c r="B26" i="2043"/>
  <c r="B25" i="2043"/>
  <c r="B24" i="2043"/>
  <c r="B22" i="2043"/>
  <c r="B20" i="2043"/>
  <c r="B19" i="2043"/>
  <c r="B18" i="2043"/>
  <c r="B17" i="2043"/>
  <c r="B16" i="2043"/>
  <c r="B15" i="2043"/>
  <c r="B14" i="2043"/>
  <c r="B13" i="2043"/>
  <c r="B12" i="2043"/>
  <c r="B11" i="2043"/>
  <c r="B10" i="2043"/>
  <c r="B9" i="2043"/>
  <c r="B8" i="2043"/>
  <c r="B7" i="2043"/>
  <c r="B6" i="2043"/>
  <c r="B5" i="2043"/>
  <c r="A2" i="2043"/>
  <c r="B47" i="2042"/>
  <c r="B45" i="2042"/>
  <c r="B43" i="2042"/>
  <c r="B42" i="2042"/>
  <c r="B41" i="2042"/>
  <c r="B40" i="2042"/>
  <c r="B39" i="2042"/>
  <c r="B38" i="2042"/>
  <c r="B37" i="2042"/>
  <c r="B36" i="2042"/>
  <c r="B35" i="2042"/>
  <c r="B34" i="2042"/>
  <c r="B33" i="2042"/>
  <c r="B32" i="2042"/>
  <c r="B31" i="2042"/>
  <c r="B30" i="2042"/>
  <c r="B29" i="2042"/>
  <c r="B28" i="2042"/>
  <c r="B27" i="2042"/>
  <c r="B26" i="2042"/>
  <c r="B25" i="2042"/>
  <c r="B24" i="2042"/>
  <c r="B22" i="2042"/>
  <c r="B20" i="2042"/>
  <c r="B19" i="2042"/>
  <c r="B18" i="2042"/>
  <c r="B17" i="2042"/>
  <c r="B16" i="2042"/>
  <c r="B15" i="2042"/>
  <c r="B14" i="2042"/>
  <c r="B13" i="2042"/>
  <c r="B12" i="2042"/>
  <c r="B11" i="2042"/>
  <c r="B10" i="2042"/>
  <c r="B9" i="2042"/>
  <c r="B8" i="2042"/>
  <c r="B7" i="2042"/>
  <c r="B6" i="2042"/>
  <c r="B5" i="2042"/>
  <c r="A2" i="2042"/>
  <c r="C18" i="1912"/>
  <c r="C19" i="1912"/>
  <c r="C18" i="1762"/>
  <c r="C19" i="1911"/>
  <c r="C19" i="1986"/>
  <c r="C19" i="1761"/>
  <c r="C19" i="1847"/>
  <c r="C20" i="1847"/>
  <c r="C21" i="1847"/>
  <c r="C22" i="1847"/>
  <c r="C23" i="1847"/>
  <c r="C24" i="1847"/>
  <c r="C25" i="1847"/>
  <c r="C26" i="1847"/>
  <c r="C27" i="1847"/>
  <c r="C28" i="1847"/>
  <c r="C29" i="1847"/>
  <c r="C30" i="1847"/>
  <c r="C31" i="1847"/>
  <c r="C32" i="1847"/>
  <c r="C33" i="1847"/>
  <c r="C34" i="1847"/>
  <c r="C35" i="1847"/>
  <c r="C36" i="1847"/>
  <c r="C37" i="1847"/>
  <c r="C38" i="1847"/>
  <c r="C39" i="1847"/>
  <c r="C40" i="1847"/>
  <c r="C41" i="1847"/>
  <c r="C42" i="1847"/>
  <c r="C43" i="1847"/>
  <c r="C18" i="1847"/>
  <c r="C5" i="1847"/>
  <c r="C6" i="1847"/>
  <c r="C7" i="1847"/>
  <c r="C8" i="1847"/>
  <c r="C9" i="1847"/>
  <c r="C10" i="1847"/>
  <c r="C11" i="1847"/>
  <c r="C12" i="1847"/>
  <c r="C13" i="1847"/>
  <c r="C14" i="1847"/>
  <c r="C4" i="1847"/>
  <c r="C20" i="1846"/>
  <c r="C24" i="1846"/>
  <c r="C25" i="1846"/>
  <c r="C26" i="1846"/>
  <c r="C27" i="1846"/>
  <c r="C28" i="1846"/>
  <c r="C29" i="1846"/>
  <c r="C30" i="1846"/>
  <c r="C31" i="1846"/>
  <c r="C32" i="1846"/>
  <c r="C37" i="1846"/>
  <c r="C38" i="1846"/>
  <c r="C39" i="1846"/>
  <c r="C33" i="1846"/>
  <c r="C34" i="1846"/>
  <c r="C35" i="1846"/>
  <c r="C36" i="1846"/>
  <c r="C40" i="1846"/>
  <c r="C41" i="1846"/>
  <c r="C42" i="1846"/>
  <c r="C43" i="1846"/>
  <c r="C16" i="1846"/>
  <c r="C5" i="1846"/>
  <c r="C6" i="1846"/>
  <c r="C7" i="1846"/>
  <c r="C8" i="1846"/>
  <c r="C9" i="1846"/>
  <c r="C10" i="1846"/>
  <c r="C11" i="1846"/>
  <c r="C12" i="1846"/>
  <c r="C13" i="1846"/>
  <c r="C14" i="1846"/>
  <c r="C15" i="1846"/>
  <c r="C19" i="1846"/>
  <c r="C17" i="1846"/>
  <c r="C18" i="1846"/>
  <c r="C4" i="1846"/>
  <c r="C20" i="1912"/>
  <c r="C21" i="1912"/>
  <c r="C22" i="1912"/>
  <c r="C23" i="1912"/>
  <c r="C24" i="1912"/>
  <c r="C25" i="1912"/>
  <c r="C26" i="1912"/>
  <c r="C27" i="1912"/>
  <c r="C28" i="1912"/>
  <c r="C29" i="1912"/>
  <c r="C30" i="1912"/>
  <c r="C31" i="1912"/>
  <c r="C32" i="1912"/>
  <c r="C33" i="1912"/>
  <c r="C34" i="1912"/>
  <c r="C35" i="1912"/>
  <c r="C36" i="1912"/>
  <c r="C37" i="1912"/>
  <c r="C38" i="1912"/>
  <c r="C39" i="1912"/>
  <c r="C40" i="1912"/>
  <c r="C41" i="1912"/>
  <c r="C42" i="1912"/>
  <c r="C43" i="1912"/>
  <c r="C5" i="1912"/>
  <c r="C6" i="1912"/>
  <c r="C7" i="1912"/>
  <c r="C8" i="1912"/>
  <c r="C9" i="1912"/>
  <c r="C10" i="1912"/>
  <c r="C11" i="1912"/>
  <c r="C12" i="1912"/>
  <c r="C13" i="1912"/>
  <c r="C14" i="1912"/>
  <c r="C4" i="1912"/>
  <c r="C20" i="1911"/>
  <c r="C24" i="1911"/>
  <c r="C25" i="1911"/>
  <c r="C26" i="1911"/>
  <c r="C27" i="1911"/>
  <c r="C28" i="1911"/>
  <c r="C29" i="1911"/>
  <c r="C30" i="1911"/>
  <c r="C31" i="1911"/>
  <c r="C32" i="1911"/>
  <c r="C37" i="1911"/>
  <c r="C38" i="1911"/>
  <c r="C39" i="1911"/>
  <c r="C33" i="1911"/>
  <c r="C34" i="1911"/>
  <c r="C35" i="1911"/>
  <c r="C36" i="1911"/>
  <c r="C40" i="1911"/>
  <c r="C41" i="1911"/>
  <c r="C42" i="1911"/>
  <c r="C43" i="1911"/>
  <c r="C16" i="1911"/>
  <c r="C5" i="1911"/>
  <c r="C6" i="1911"/>
  <c r="C7" i="1911"/>
  <c r="C8" i="1911"/>
  <c r="C9" i="1911"/>
  <c r="C10" i="1911"/>
  <c r="C11" i="1911"/>
  <c r="C12" i="1911"/>
  <c r="C13" i="1911"/>
  <c r="C14" i="1911"/>
  <c r="C15" i="1911"/>
  <c r="C17" i="1911"/>
  <c r="C18" i="1911"/>
  <c r="C4" i="1911"/>
  <c r="C19" i="1987"/>
  <c r="C20" i="1987"/>
  <c r="C21" i="1987"/>
  <c r="C22" i="1987"/>
  <c r="C23" i="1987"/>
  <c r="C24" i="1987"/>
  <c r="C25" i="1987"/>
  <c r="C26" i="1987"/>
  <c r="C27" i="1987"/>
  <c r="C28" i="1987"/>
  <c r="C29" i="1987"/>
  <c r="C30" i="1987"/>
  <c r="C31" i="1987"/>
  <c r="C32" i="1987"/>
  <c r="C33" i="1987"/>
  <c r="C34" i="1987"/>
  <c r="C35" i="1987"/>
  <c r="C36" i="1987"/>
  <c r="C37" i="1987"/>
  <c r="C38" i="1987"/>
  <c r="C39" i="1987"/>
  <c r="C40" i="1987"/>
  <c r="C41" i="1987"/>
  <c r="C42" i="1987"/>
  <c r="C43" i="1987"/>
  <c r="C18" i="1987"/>
  <c r="C5" i="1987"/>
  <c r="C6" i="1987"/>
  <c r="C7" i="1987"/>
  <c r="C8" i="1987"/>
  <c r="C9" i="1987"/>
  <c r="C10" i="1987"/>
  <c r="C11" i="1987"/>
  <c r="C12" i="1987"/>
  <c r="C13" i="1987"/>
  <c r="C14" i="1987"/>
  <c r="C4" i="1987"/>
  <c r="C20" i="1986"/>
  <c r="C24" i="1986"/>
  <c r="C25" i="1986"/>
  <c r="C26" i="1986"/>
  <c r="C27" i="1986"/>
  <c r="C28" i="1986"/>
  <c r="C29" i="1986"/>
  <c r="C30" i="1986"/>
  <c r="C31" i="1986"/>
  <c r="C32" i="1986"/>
  <c r="C37" i="1986"/>
  <c r="C38" i="1986"/>
  <c r="C39" i="1986"/>
  <c r="C33" i="1986"/>
  <c r="C34" i="1986"/>
  <c r="C35" i="1986"/>
  <c r="C36" i="1986"/>
  <c r="C40" i="1986"/>
  <c r="C41" i="1986"/>
  <c r="C42" i="1986"/>
  <c r="C43" i="1986"/>
  <c r="C16" i="1986"/>
  <c r="C5" i="1986"/>
  <c r="C6" i="1986"/>
  <c r="C7" i="1986"/>
  <c r="C8" i="1986"/>
  <c r="C9" i="1986"/>
  <c r="C10" i="1986"/>
  <c r="C11" i="1986"/>
  <c r="C12" i="1986"/>
  <c r="C13" i="1986"/>
  <c r="C14" i="1986"/>
  <c r="C15" i="1986"/>
  <c r="C17" i="1986"/>
  <c r="C18" i="1986"/>
  <c r="C4" i="1986"/>
  <c r="B43" i="1987"/>
  <c r="B42" i="1987"/>
  <c r="B41" i="1987"/>
  <c r="B40" i="1987"/>
  <c r="B39" i="1987"/>
  <c r="B38" i="1987"/>
  <c r="B37" i="1987"/>
  <c r="B36" i="1987"/>
  <c r="B35" i="1987"/>
  <c r="B34" i="1987"/>
  <c r="B33" i="1987"/>
  <c r="B32" i="1987"/>
  <c r="B31" i="1987"/>
  <c r="B30" i="1987"/>
  <c r="B29" i="1987"/>
  <c r="B28" i="1987"/>
  <c r="B27" i="1987"/>
  <c r="B47" i="1987" s="1"/>
  <c r="B26" i="1987"/>
  <c r="B25" i="1987"/>
  <c r="B24" i="1987"/>
  <c r="B23" i="1987"/>
  <c r="B22" i="1987"/>
  <c r="B21" i="1987"/>
  <c r="B20" i="1987"/>
  <c r="B45" i="1987" s="1"/>
  <c r="B19" i="1987"/>
  <c r="B18" i="1987"/>
  <c r="B16" i="1987"/>
  <c r="B14" i="1987"/>
  <c r="B13" i="1987"/>
  <c r="B12" i="1987"/>
  <c r="B11" i="1987"/>
  <c r="B10" i="1987"/>
  <c r="B9" i="1987"/>
  <c r="B8" i="1987"/>
  <c r="B7" i="1987"/>
  <c r="B6" i="1987"/>
  <c r="B5" i="1987"/>
  <c r="A2" i="1987"/>
  <c r="B47" i="1986"/>
  <c r="B45" i="1986"/>
  <c r="B43" i="1986"/>
  <c r="B42" i="1986"/>
  <c r="B41" i="1986"/>
  <c r="B40" i="1986"/>
  <c r="B36" i="1986"/>
  <c r="B35" i="1986"/>
  <c r="B34" i="1986"/>
  <c r="B33" i="1986"/>
  <c r="B39" i="1986"/>
  <c r="B38" i="1986"/>
  <c r="B37" i="1986"/>
  <c r="B32" i="1986"/>
  <c r="B31" i="1986"/>
  <c r="B30" i="1986"/>
  <c r="B29" i="1986"/>
  <c r="B28" i="1986"/>
  <c r="B27" i="1986"/>
  <c r="B26" i="1986"/>
  <c r="B25" i="1986"/>
  <c r="B24" i="1986"/>
  <c r="B20" i="1986"/>
  <c r="B16" i="1986"/>
  <c r="B22" i="1986"/>
  <c r="B18" i="1986"/>
  <c r="B17" i="1986"/>
  <c r="B19" i="1986"/>
  <c r="B15" i="1986"/>
  <c r="B14" i="1986"/>
  <c r="B13" i="1986"/>
  <c r="B12" i="1986"/>
  <c r="B11" i="1986"/>
  <c r="B10" i="1986"/>
  <c r="B9" i="1986"/>
  <c r="B8" i="1986"/>
  <c r="B7" i="1986"/>
  <c r="B6" i="1986"/>
  <c r="B5" i="1986"/>
  <c r="A2" i="1986"/>
  <c r="B47" i="1889"/>
  <c r="B45" i="1889"/>
  <c r="C43" i="1889"/>
  <c r="B43" i="1889"/>
  <c r="C42" i="1889"/>
  <c r="B42" i="1889"/>
  <c r="C41" i="1889"/>
  <c r="B41" i="1889"/>
  <c r="C40" i="1889"/>
  <c r="B40" i="1889"/>
  <c r="C39" i="1889"/>
  <c r="B39" i="1889"/>
  <c r="C38" i="1889"/>
  <c r="B38" i="1889"/>
  <c r="C37" i="1889"/>
  <c r="B37" i="1889"/>
  <c r="C36" i="1889"/>
  <c r="B36" i="1889"/>
  <c r="C35" i="1889"/>
  <c r="B35" i="1889"/>
  <c r="C34" i="1889"/>
  <c r="B34" i="1889"/>
  <c r="C33" i="1889"/>
  <c r="B33" i="1889"/>
  <c r="C32" i="1889"/>
  <c r="B32" i="1889"/>
  <c r="C31" i="1889"/>
  <c r="B31" i="1889"/>
  <c r="C30" i="1889"/>
  <c r="B30" i="1889"/>
  <c r="C29" i="1889"/>
  <c r="B29" i="1889"/>
  <c r="C28" i="1889"/>
  <c r="B28" i="1889"/>
  <c r="C27" i="1889"/>
  <c r="B27" i="1889"/>
  <c r="C26" i="1889"/>
  <c r="B26" i="1889"/>
  <c r="C25" i="1889"/>
  <c r="B25" i="1889"/>
  <c r="C24" i="1889"/>
  <c r="B24" i="1889"/>
  <c r="C23" i="1889"/>
  <c r="B23" i="1889"/>
  <c r="C22" i="1889"/>
  <c r="B22" i="1889"/>
  <c r="B20" i="1889"/>
  <c r="C18" i="1889"/>
  <c r="B18" i="1889"/>
  <c r="C17" i="1889"/>
  <c r="B17" i="1889"/>
  <c r="C16" i="1889"/>
  <c r="B16" i="1889"/>
  <c r="C15" i="1889"/>
  <c r="B15" i="1889"/>
  <c r="C14" i="1889"/>
  <c r="B14" i="1889"/>
  <c r="C13" i="1889"/>
  <c r="B13" i="1889"/>
  <c r="C12" i="1889"/>
  <c r="B12" i="1889"/>
  <c r="C11" i="1889"/>
  <c r="B11" i="1889"/>
  <c r="C10" i="1889"/>
  <c r="B10" i="1889"/>
  <c r="C9" i="1889"/>
  <c r="B9" i="1889"/>
  <c r="C8" i="1889"/>
  <c r="B8" i="1889"/>
  <c r="C7" i="1889"/>
  <c r="B7" i="1889"/>
  <c r="C6" i="1889"/>
  <c r="B6" i="1889"/>
  <c r="C5" i="1889"/>
  <c r="B5" i="1889"/>
  <c r="C4" i="1889"/>
  <c r="A2" i="1889"/>
  <c r="B47" i="1884"/>
  <c r="B45" i="1884"/>
  <c r="C43" i="1884"/>
  <c r="B43" i="1884"/>
  <c r="C42" i="1884"/>
  <c r="B42" i="1884"/>
  <c r="C41" i="1884"/>
  <c r="B41" i="1884"/>
  <c r="C40" i="1884"/>
  <c r="B40" i="1884"/>
  <c r="C39" i="1884"/>
  <c r="B39" i="1884"/>
  <c r="C38" i="1884"/>
  <c r="B38" i="1884"/>
  <c r="C37" i="1884"/>
  <c r="B37" i="1884"/>
  <c r="C36" i="1884"/>
  <c r="B36" i="1884"/>
  <c r="C35" i="1884"/>
  <c r="B35" i="1884"/>
  <c r="C34" i="1884"/>
  <c r="B34" i="1884"/>
  <c r="C33" i="1884"/>
  <c r="B33" i="1884"/>
  <c r="C32" i="1884"/>
  <c r="B32" i="1884"/>
  <c r="C31" i="1884"/>
  <c r="B31" i="1884"/>
  <c r="C30" i="1884"/>
  <c r="B30" i="1884"/>
  <c r="C29" i="1884"/>
  <c r="B29" i="1884"/>
  <c r="C28" i="1884"/>
  <c r="B28" i="1884"/>
  <c r="C27" i="1884"/>
  <c r="B27" i="1884"/>
  <c r="C26" i="1884"/>
  <c r="B26" i="1884"/>
  <c r="C25" i="1884"/>
  <c r="B25" i="1884"/>
  <c r="C24" i="1884"/>
  <c r="B24" i="1884"/>
  <c r="C23" i="1884"/>
  <c r="B23" i="1884"/>
  <c r="C22" i="1884"/>
  <c r="B22" i="1884"/>
  <c r="B20" i="1884"/>
  <c r="C18" i="1884"/>
  <c r="B18" i="1884"/>
  <c r="C17" i="1884"/>
  <c r="B17" i="1884"/>
  <c r="C16" i="1884"/>
  <c r="B16" i="1884"/>
  <c r="C15" i="1884"/>
  <c r="B15" i="1884"/>
  <c r="C14" i="1884"/>
  <c r="B14" i="1884"/>
  <c r="C13" i="1884"/>
  <c r="B13" i="1884"/>
  <c r="C12" i="1884"/>
  <c r="B12" i="1884"/>
  <c r="C11" i="1884"/>
  <c r="B11" i="1884"/>
  <c r="C10" i="1884"/>
  <c r="B10" i="1884"/>
  <c r="C9" i="1884"/>
  <c r="B9" i="1884"/>
  <c r="C8" i="1884"/>
  <c r="B8" i="1884"/>
  <c r="C7" i="1884"/>
  <c r="B7" i="1884"/>
  <c r="C6" i="1884"/>
  <c r="B6" i="1884"/>
  <c r="C5" i="1884"/>
  <c r="B5" i="1884"/>
  <c r="C4" i="1884"/>
  <c r="A2" i="1884"/>
  <c r="B47" i="1885"/>
  <c r="B45" i="1885"/>
  <c r="C43" i="1885"/>
  <c r="B43" i="1885"/>
  <c r="C42" i="1885"/>
  <c r="B42" i="1885"/>
  <c r="C41" i="1885"/>
  <c r="B41" i="1885"/>
  <c r="C40" i="1885"/>
  <c r="B40" i="1885"/>
  <c r="C39" i="1885"/>
  <c r="B39" i="1885"/>
  <c r="C38" i="1885"/>
  <c r="B38" i="1885"/>
  <c r="C37" i="1885"/>
  <c r="B37" i="1885"/>
  <c r="C36" i="1885"/>
  <c r="B36" i="1885"/>
  <c r="C35" i="1885"/>
  <c r="B35" i="1885"/>
  <c r="C34" i="1885"/>
  <c r="B34" i="1885"/>
  <c r="C33" i="1885"/>
  <c r="B33" i="1885"/>
  <c r="C32" i="1885"/>
  <c r="B32" i="1885"/>
  <c r="C31" i="1885"/>
  <c r="B31" i="1885"/>
  <c r="C30" i="1885"/>
  <c r="B30" i="1885"/>
  <c r="C29" i="1885"/>
  <c r="B29" i="1885"/>
  <c r="C28" i="1885"/>
  <c r="B28" i="1885"/>
  <c r="C27" i="1885"/>
  <c r="B27" i="1885"/>
  <c r="C26" i="1885"/>
  <c r="B26" i="1885"/>
  <c r="C25" i="1885"/>
  <c r="B25" i="1885"/>
  <c r="C24" i="1885"/>
  <c r="B24" i="1885"/>
  <c r="C23" i="1885"/>
  <c r="B23" i="1885"/>
  <c r="C22" i="1885"/>
  <c r="B22" i="1885"/>
  <c r="B20" i="1885"/>
  <c r="C18" i="1885"/>
  <c r="B18" i="1885"/>
  <c r="C17" i="1885"/>
  <c r="B17" i="1885"/>
  <c r="C16" i="1885"/>
  <c r="B16" i="1885"/>
  <c r="C15" i="1885"/>
  <c r="B15" i="1885"/>
  <c r="C14" i="1885"/>
  <c r="B14" i="1885"/>
  <c r="C13" i="1885"/>
  <c r="B13" i="1885"/>
  <c r="C12" i="1885"/>
  <c r="B12" i="1885"/>
  <c r="C11" i="1885"/>
  <c r="B11" i="1885"/>
  <c r="C10" i="1885"/>
  <c r="B10" i="1885"/>
  <c r="C9" i="1885"/>
  <c r="B9" i="1885"/>
  <c r="C8" i="1885"/>
  <c r="B8" i="1885"/>
  <c r="C7" i="1885"/>
  <c r="B7" i="1885"/>
  <c r="C6" i="1885"/>
  <c r="B6" i="1885"/>
  <c r="C5" i="1885"/>
  <c r="B5" i="1885"/>
  <c r="C4" i="1885"/>
  <c r="A2" i="1885"/>
  <c r="B47" i="1886"/>
  <c r="B45" i="1886"/>
  <c r="C43" i="1886"/>
  <c r="B43" i="1886"/>
  <c r="C42" i="1886"/>
  <c r="B42" i="1886"/>
  <c r="C41" i="1886"/>
  <c r="B41" i="1886"/>
  <c r="C40" i="1886"/>
  <c r="B40" i="1886"/>
  <c r="C39" i="1886"/>
  <c r="B39" i="1886"/>
  <c r="C38" i="1886"/>
  <c r="B38" i="1886"/>
  <c r="C37" i="1886"/>
  <c r="B37" i="1886"/>
  <c r="C36" i="1886"/>
  <c r="B36" i="1886"/>
  <c r="C35" i="1886"/>
  <c r="B35" i="1886"/>
  <c r="C34" i="1886"/>
  <c r="B34" i="1886"/>
  <c r="C33" i="1886"/>
  <c r="B33" i="1886"/>
  <c r="C32" i="1886"/>
  <c r="B32" i="1886"/>
  <c r="C31" i="1886"/>
  <c r="B31" i="1886"/>
  <c r="C30" i="1886"/>
  <c r="B30" i="1886"/>
  <c r="C29" i="1886"/>
  <c r="B29" i="1886"/>
  <c r="C28" i="1886"/>
  <c r="B28" i="1886"/>
  <c r="C27" i="1886"/>
  <c r="B27" i="1886"/>
  <c r="C26" i="1886"/>
  <c r="B26" i="1886"/>
  <c r="C25" i="1886"/>
  <c r="B25" i="1886"/>
  <c r="C24" i="1886"/>
  <c r="B24" i="1886"/>
  <c r="C23" i="1886"/>
  <c r="B23" i="1886"/>
  <c r="C22" i="1886"/>
  <c r="B22" i="1886"/>
  <c r="B20" i="1886"/>
  <c r="C18" i="1886"/>
  <c r="B18" i="1886"/>
  <c r="C17" i="1886"/>
  <c r="B17" i="1886"/>
  <c r="C16" i="1886"/>
  <c r="B16" i="1886"/>
  <c r="C15" i="1886"/>
  <c r="B15" i="1886"/>
  <c r="C14" i="1886"/>
  <c r="B14" i="1886"/>
  <c r="C13" i="1886"/>
  <c r="B13" i="1886"/>
  <c r="C12" i="1886"/>
  <c r="B12" i="1886"/>
  <c r="C11" i="1886"/>
  <c r="B11" i="1886"/>
  <c r="C10" i="1886"/>
  <c r="B10" i="1886"/>
  <c r="C9" i="1886"/>
  <c r="B9" i="1886"/>
  <c r="C8" i="1886"/>
  <c r="B8" i="1886"/>
  <c r="C7" i="1886"/>
  <c r="B7" i="1886"/>
  <c r="C6" i="1886"/>
  <c r="B6" i="1886"/>
  <c r="C5" i="1886"/>
  <c r="B5" i="1886"/>
  <c r="C4" i="1886"/>
  <c r="A2" i="1886"/>
  <c r="B47" i="1887"/>
  <c r="B45" i="1887"/>
  <c r="C43" i="1887"/>
  <c r="B43" i="1887"/>
  <c r="C42" i="1887"/>
  <c r="B42" i="1887"/>
  <c r="C41" i="1887"/>
  <c r="B41" i="1887"/>
  <c r="C40" i="1887"/>
  <c r="B40" i="1887"/>
  <c r="C39" i="1887"/>
  <c r="B39" i="1887"/>
  <c r="C38" i="1887"/>
  <c r="B38" i="1887"/>
  <c r="C37" i="1887"/>
  <c r="B37" i="1887"/>
  <c r="C36" i="1887"/>
  <c r="B36" i="1887"/>
  <c r="C35" i="1887"/>
  <c r="B35" i="1887"/>
  <c r="C34" i="1887"/>
  <c r="B34" i="1887"/>
  <c r="C33" i="1887"/>
  <c r="B33" i="1887"/>
  <c r="C32" i="1887"/>
  <c r="B32" i="1887"/>
  <c r="C31" i="1887"/>
  <c r="B31" i="1887"/>
  <c r="C30" i="1887"/>
  <c r="B30" i="1887"/>
  <c r="C29" i="1887"/>
  <c r="B29" i="1887"/>
  <c r="C28" i="1887"/>
  <c r="B28" i="1887"/>
  <c r="C27" i="1887"/>
  <c r="B27" i="1887"/>
  <c r="C26" i="1887"/>
  <c r="B26" i="1887"/>
  <c r="C25" i="1887"/>
  <c r="B25" i="1887"/>
  <c r="C24" i="1887"/>
  <c r="B24" i="1887"/>
  <c r="C23" i="1887"/>
  <c r="B23" i="1887"/>
  <c r="C22" i="1887"/>
  <c r="B22" i="1887"/>
  <c r="B20" i="1887"/>
  <c r="C18" i="1887"/>
  <c r="B18" i="1887"/>
  <c r="C17" i="1887"/>
  <c r="B17" i="1887"/>
  <c r="C16" i="1887"/>
  <c r="B16" i="1887"/>
  <c r="C15" i="1887"/>
  <c r="B15" i="1887"/>
  <c r="C14" i="1887"/>
  <c r="B14" i="1887"/>
  <c r="C13" i="1887"/>
  <c r="B13" i="1887"/>
  <c r="C12" i="1887"/>
  <c r="B12" i="1887"/>
  <c r="C11" i="1887"/>
  <c r="B11" i="1887"/>
  <c r="C10" i="1887"/>
  <c r="B10" i="1887"/>
  <c r="C9" i="1887"/>
  <c r="B9" i="1887"/>
  <c r="C8" i="1887"/>
  <c r="B8" i="1887"/>
  <c r="C7" i="1887"/>
  <c r="B7" i="1887"/>
  <c r="C6" i="1887"/>
  <c r="B6" i="1887"/>
  <c r="C5" i="1887"/>
  <c r="B5" i="1887"/>
  <c r="C4" i="1887"/>
  <c r="A2" i="1887"/>
  <c r="B47" i="1888"/>
  <c r="B45" i="1888"/>
  <c r="C43" i="1888"/>
  <c r="B43" i="1888"/>
  <c r="C42" i="1888"/>
  <c r="B42" i="1888"/>
  <c r="C41" i="1888"/>
  <c r="B41" i="1888"/>
  <c r="C40" i="1888"/>
  <c r="B40" i="1888"/>
  <c r="C39" i="1888"/>
  <c r="B39" i="1888"/>
  <c r="C38" i="1888"/>
  <c r="B38" i="1888"/>
  <c r="C37" i="1888"/>
  <c r="B37" i="1888"/>
  <c r="C36" i="1888"/>
  <c r="B36" i="1888"/>
  <c r="C35" i="1888"/>
  <c r="B35" i="1888"/>
  <c r="C34" i="1888"/>
  <c r="B34" i="1888"/>
  <c r="C33" i="1888"/>
  <c r="B33" i="1888"/>
  <c r="C32" i="1888"/>
  <c r="B32" i="1888"/>
  <c r="C31" i="1888"/>
  <c r="B31" i="1888"/>
  <c r="C30" i="1888"/>
  <c r="B30" i="1888"/>
  <c r="C29" i="1888"/>
  <c r="B29" i="1888"/>
  <c r="C28" i="1888"/>
  <c r="B28" i="1888"/>
  <c r="C27" i="1888"/>
  <c r="B27" i="1888"/>
  <c r="C26" i="1888"/>
  <c r="B26" i="1888"/>
  <c r="C25" i="1888"/>
  <c r="B25" i="1888"/>
  <c r="C24" i="1888"/>
  <c r="B24" i="1888"/>
  <c r="C23" i="1888"/>
  <c r="B23" i="1888"/>
  <c r="C22" i="1888"/>
  <c r="B22" i="1888"/>
  <c r="B20" i="1888"/>
  <c r="C18" i="1888"/>
  <c r="B18" i="1888"/>
  <c r="C17" i="1888"/>
  <c r="B17" i="1888"/>
  <c r="C16" i="1888"/>
  <c r="B16" i="1888"/>
  <c r="C15" i="1888"/>
  <c r="B15" i="1888"/>
  <c r="C14" i="1888"/>
  <c r="B14" i="1888"/>
  <c r="C13" i="1888"/>
  <c r="B13" i="1888"/>
  <c r="C12" i="1888"/>
  <c r="B12" i="1888"/>
  <c r="C11" i="1888"/>
  <c r="B11" i="1888"/>
  <c r="C10" i="1888"/>
  <c r="B10" i="1888"/>
  <c r="C9" i="1888"/>
  <c r="B9" i="1888"/>
  <c r="C8" i="1888"/>
  <c r="B8" i="1888"/>
  <c r="C7" i="1888"/>
  <c r="B7" i="1888"/>
  <c r="C6" i="1888"/>
  <c r="B6" i="1888"/>
  <c r="C5" i="1888"/>
  <c r="B5" i="1888"/>
  <c r="C4" i="1888"/>
  <c r="A2" i="1888"/>
  <c r="B47" i="1883"/>
  <c r="B45" i="1883"/>
  <c r="C43" i="1883"/>
  <c r="B43" i="1883"/>
  <c r="C42" i="1883"/>
  <c r="B42" i="1883"/>
  <c r="C41" i="1883"/>
  <c r="B41" i="1883"/>
  <c r="C40" i="1883"/>
  <c r="B40" i="1883"/>
  <c r="C39" i="1883"/>
  <c r="B39" i="1883"/>
  <c r="C38" i="1883"/>
  <c r="B38" i="1883"/>
  <c r="C37" i="1883"/>
  <c r="B37" i="1883"/>
  <c r="C36" i="1883"/>
  <c r="B36" i="1883"/>
  <c r="C35" i="1883"/>
  <c r="B35" i="1883"/>
  <c r="C34" i="1883"/>
  <c r="B34" i="1883"/>
  <c r="C33" i="1883"/>
  <c r="B33" i="1883"/>
  <c r="C32" i="1883"/>
  <c r="B32" i="1883"/>
  <c r="C31" i="1883"/>
  <c r="B31" i="1883"/>
  <c r="C30" i="1883"/>
  <c r="B30" i="1883"/>
  <c r="C29" i="1883"/>
  <c r="B29" i="1883"/>
  <c r="C28" i="1883"/>
  <c r="B28" i="1883"/>
  <c r="C27" i="1883"/>
  <c r="B27" i="1883"/>
  <c r="C26" i="1883"/>
  <c r="B26" i="1883"/>
  <c r="C25" i="1883"/>
  <c r="B25" i="1883"/>
  <c r="C24" i="1883"/>
  <c r="B24" i="1883"/>
  <c r="C23" i="1883"/>
  <c r="B23" i="1883"/>
  <c r="C22" i="1883"/>
  <c r="B22" i="1883"/>
  <c r="B20" i="1883"/>
  <c r="C18" i="1883"/>
  <c r="B18" i="1883"/>
  <c r="C17" i="1883"/>
  <c r="B17" i="1883"/>
  <c r="C16" i="1883"/>
  <c r="B16" i="1883"/>
  <c r="C15" i="1883"/>
  <c r="B15" i="1883"/>
  <c r="C14" i="1883"/>
  <c r="B14" i="1883"/>
  <c r="C13" i="1883"/>
  <c r="B13" i="1883"/>
  <c r="C12" i="1883"/>
  <c r="B12" i="1883"/>
  <c r="C11" i="1883"/>
  <c r="B11" i="1883"/>
  <c r="C10" i="1883"/>
  <c r="B10" i="1883"/>
  <c r="C9" i="1883"/>
  <c r="B9" i="1883"/>
  <c r="C8" i="1883"/>
  <c r="B8" i="1883"/>
  <c r="C7" i="1883"/>
  <c r="B7" i="1883"/>
  <c r="C6" i="1883"/>
  <c r="B6" i="1883"/>
  <c r="C5" i="1883"/>
  <c r="B5" i="1883"/>
  <c r="C4" i="1883"/>
  <c r="A2" i="1883"/>
  <c r="B47" i="1882"/>
  <c r="B45" i="1882"/>
  <c r="C43" i="1882"/>
  <c r="B43" i="1882"/>
  <c r="C42" i="1882"/>
  <c r="B42" i="1882"/>
  <c r="C41" i="1882"/>
  <c r="B41" i="1882"/>
  <c r="C40" i="1882"/>
  <c r="B40" i="1882"/>
  <c r="C39" i="1882"/>
  <c r="B39" i="1882"/>
  <c r="C38" i="1882"/>
  <c r="B38" i="1882"/>
  <c r="C37" i="1882"/>
  <c r="B37" i="1882"/>
  <c r="C36" i="1882"/>
  <c r="B36" i="1882"/>
  <c r="C35" i="1882"/>
  <c r="B35" i="1882"/>
  <c r="C34" i="1882"/>
  <c r="B34" i="1882"/>
  <c r="C33" i="1882"/>
  <c r="B33" i="1882"/>
  <c r="C32" i="1882"/>
  <c r="B32" i="1882"/>
  <c r="C31" i="1882"/>
  <c r="B31" i="1882"/>
  <c r="C30" i="1882"/>
  <c r="B30" i="1882"/>
  <c r="C29" i="1882"/>
  <c r="B29" i="1882"/>
  <c r="C28" i="1882"/>
  <c r="B28" i="1882"/>
  <c r="C27" i="1882"/>
  <c r="B27" i="1882"/>
  <c r="C26" i="1882"/>
  <c r="B26" i="1882"/>
  <c r="C25" i="1882"/>
  <c r="B25" i="1882"/>
  <c r="C24" i="1882"/>
  <c r="B24" i="1882"/>
  <c r="C23" i="1882"/>
  <c r="B23" i="1882"/>
  <c r="C22" i="1882"/>
  <c r="B22" i="1882"/>
  <c r="B20" i="1882"/>
  <c r="C18" i="1882"/>
  <c r="B18" i="1882"/>
  <c r="C17" i="1882"/>
  <c r="B17" i="1882"/>
  <c r="C16" i="1882"/>
  <c r="B16" i="1882"/>
  <c r="C15" i="1882"/>
  <c r="B15" i="1882"/>
  <c r="C14" i="1882"/>
  <c r="B14" i="1882"/>
  <c r="C13" i="1882"/>
  <c r="B13" i="1882"/>
  <c r="C12" i="1882"/>
  <c r="B12" i="1882"/>
  <c r="C11" i="1882"/>
  <c r="B11" i="1882"/>
  <c r="C10" i="1882"/>
  <c r="B10" i="1882"/>
  <c r="C9" i="1882"/>
  <c r="B9" i="1882"/>
  <c r="C8" i="1882"/>
  <c r="B8" i="1882"/>
  <c r="C7" i="1882"/>
  <c r="B7" i="1882"/>
  <c r="C6" i="1882"/>
  <c r="B6" i="1882"/>
  <c r="C5" i="1882"/>
  <c r="B5" i="1882"/>
  <c r="C4" i="1882"/>
  <c r="A2" i="1882"/>
  <c r="B43" i="1847"/>
  <c r="B42" i="1847"/>
  <c r="B41" i="1847"/>
  <c r="B40" i="1847"/>
  <c r="B39" i="1847"/>
  <c r="B38" i="1847"/>
  <c r="B37" i="1847"/>
  <c r="B36" i="1847"/>
  <c r="B35" i="1847"/>
  <c r="B34" i="1847"/>
  <c r="B33" i="1847"/>
  <c r="B32" i="1847"/>
  <c r="B31" i="1847"/>
  <c r="B30" i="1847"/>
  <c r="B29" i="1847"/>
  <c r="B28" i="1847"/>
  <c r="B27" i="1847"/>
  <c r="B47" i="1847" s="1"/>
  <c r="B26" i="1847"/>
  <c r="B25" i="1847"/>
  <c r="B24" i="1847"/>
  <c r="B23" i="1847"/>
  <c r="B22" i="1847"/>
  <c r="B21" i="1847"/>
  <c r="B20" i="1847"/>
  <c r="B45" i="1847" s="1"/>
  <c r="B19" i="1847"/>
  <c r="B18" i="1847"/>
  <c r="B16" i="1847"/>
  <c r="B14" i="1847"/>
  <c r="B13" i="1847"/>
  <c r="B12" i="1847"/>
  <c r="B11" i="1847"/>
  <c r="B10" i="1847"/>
  <c r="B9" i="1847"/>
  <c r="B8" i="1847"/>
  <c r="B7" i="1847"/>
  <c r="B6" i="1847"/>
  <c r="B5" i="1847"/>
  <c r="A2" i="1847"/>
  <c r="B47" i="1846"/>
  <c r="B45" i="1846"/>
  <c r="B43" i="1846"/>
  <c r="B42" i="1846"/>
  <c r="B41" i="1846"/>
  <c r="B40" i="1846"/>
  <c r="B36" i="1846"/>
  <c r="B35" i="1846"/>
  <c r="B34" i="1846"/>
  <c r="B33" i="1846"/>
  <c r="B39" i="1846"/>
  <c r="B38" i="1846"/>
  <c r="B37" i="1846"/>
  <c r="B32" i="1846"/>
  <c r="B31" i="1846"/>
  <c r="B30" i="1846"/>
  <c r="B29" i="1846"/>
  <c r="B28" i="1846"/>
  <c r="B27" i="1846"/>
  <c r="B26" i="1846"/>
  <c r="B25" i="1846"/>
  <c r="B24" i="1846"/>
  <c r="B20" i="1846"/>
  <c r="B16" i="1846"/>
  <c r="B22" i="1846"/>
  <c r="B18" i="1846"/>
  <c r="B17" i="1846"/>
  <c r="B19" i="1846"/>
  <c r="B15" i="1846"/>
  <c r="B14" i="1846"/>
  <c r="B13" i="1846"/>
  <c r="B12" i="1846"/>
  <c r="B11" i="1846"/>
  <c r="B10" i="1846"/>
  <c r="B9" i="1846"/>
  <c r="B8" i="1846"/>
  <c r="B7" i="1846"/>
  <c r="B6" i="1846"/>
  <c r="B5" i="1846"/>
  <c r="A2" i="1846"/>
  <c r="B43" i="1912"/>
  <c r="B42" i="1912"/>
  <c r="B41" i="1912"/>
  <c r="B40" i="1912"/>
  <c r="B39" i="1912"/>
  <c r="B38" i="1912"/>
  <c r="B37" i="1912"/>
  <c r="B36" i="1912"/>
  <c r="B35" i="1912"/>
  <c r="B34" i="1912"/>
  <c r="B33" i="1912"/>
  <c r="B32" i="1912"/>
  <c r="B31" i="1912"/>
  <c r="B30" i="1912"/>
  <c r="B29" i="1912"/>
  <c r="B28" i="1912"/>
  <c r="B27" i="1912"/>
  <c r="B47" i="1912" s="1"/>
  <c r="B26" i="1912"/>
  <c r="B25" i="1912"/>
  <c r="B24" i="1912"/>
  <c r="B23" i="1912"/>
  <c r="B22" i="1912"/>
  <c r="B21" i="1912"/>
  <c r="B20" i="1912"/>
  <c r="B45" i="1912" s="1"/>
  <c r="B19" i="1912"/>
  <c r="B18" i="1912"/>
  <c r="B16" i="1912"/>
  <c r="B14" i="1912"/>
  <c r="B13" i="1912"/>
  <c r="B12" i="1912"/>
  <c r="B11" i="1912"/>
  <c r="B10" i="1912"/>
  <c r="B9" i="1912"/>
  <c r="B8" i="1912"/>
  <c r="B7" i="1912"/>
  <c r="B6" i="1912"/>
  <c r="B5" i="1912"/>
  <c r="A2" i="1912"/>
  <c r="B47" i="1911"/>
  <c r="B45" i="1911"/>
  <c r="B43" i="1911"/>
  <c r="B42" i="1911"/>
  <c r="B41" i="1911"/>
  <c r="B40" i="1911"/>
  <c r="B36" i="1911"/>
  <c r="B35" i="1911"/>
  <c r="B34" i="1911"/>
  <c r="B33" i="1911"/>
  <c r="B39" i="1911"/>
  <c r="B38" i="1911"/>
  <c r="B37" i="1911"/>
  <c r="B32" i="1911"/>
  <c r="B31" i="1911"/>
  <c r="B30" i="1911"/>
  <c r="B29" i="1911"/>
  <c r="B28" i="1911"/>
  <c r="B27" i="1911"/>
  <c r="B26" i="1911"/>
  <c r="B25" i="1911"/>
  <c r="B24" i="1911"/>
  <c r="B20" i="1911"/>
  <c r="B16" i="1911"/>
  <c r="B22" i="1911"/>
  <c r="B18" i="1911"/>
  <c r="B17" i="1911"/>
  <c r="B19" i="1911"/>
  <c r="B15" i="1911"/>
  <c r="B14" i="1911"/>
  <c r="B13" i="1911"/>
  <c r="B12" i="1911"/>
  <c r="B11" i="1911"/>
  <c r="B10" i="1911"/>
  <c r="B9" i="1911"/>
  <c r="B8" i="1911"/>
  <c r="B7" i="1911"/>
  <c r="B6" i="1911"/>
  <c r="B5" i="1911"/>
  <c r="A2" i="1911"/>
  <c r="C43" i="1485"/>
  <c r="B43" i="1485"/>
  <c r="C42" i="1485"/>
  <c r="B42" i="1485"/>
  <c r="C41" i="1485"/>
  <c r="B41" i="1485"/>
  <c r="C40" i="1485"/>
  <c r="B40" i="1485"/>
  <c r="C39" i="1485"/>
  <c r="B39" i="1485"/>
  <c r="C38" i="1485"/>
  <c r="B38" i="1485"/>
  <c r="C37" i="1485"/>
  <c r="B37" i="1485"/>
  <c r="C36" i="1485"/>
  <c r="B36" i="1485"/>
  <c r="C35" i="1485"/>
  <c r="B35" i="1485"/>
  <c r="C34" i="1485"/>
  <c r="B34" i="1485"/>
  <c r="C33" i="1485"/>
  <c r="B33" i="1485"/>
  <c r="C32" i="1485"/>
  <c r="B32" i="1485"/>
  <c r="C31" i="1485"/>
  <c r="B31" i="1485"/>
  <c r="C30" i="1485"/>
  <c r="B30" i="1485"/>
  <c r="C29" i="1485"/>
  <c r="B29" i="1485"/>
  <c r="C28" i="1485"/>
  <c r="B28" i="1485"/>
  <c r="C27" i="1485"/>
  <c r="B27" i="1485"/>
  <c r="B47" i="1485" s="1"/>
  <c r="C26" i="1485"/>
  <c r="B26" i="1485"/>
  <c r="C25" i="1485"/>
  <c r="B25" i="1485"/>
  <c r="C24" i="1485"/>
  <c r="B24" i="1485"/>
  <c r="C23" i="1485"/>
  <c r="B23" i="1485"/>
  <c r="C22" i="1485"/>
  <c r="B22" i="1485"/>
  <c r="C21" i="1485"/>
  <c r="B21" i="1485"/>
  <c r="C20" i="1485"/>
  <c r="B20" i="1485"/>
  <c r="B45" i="1485" s="1"/>
  <c r="C19" i="1485"/>
  <c r="B19" i="1485"/>
  <c r="C18" i="1485"/>
  <c r="B18" i="1485"/>
  <c r="B16" i="1485"/>
  <c r="C14" i="1485"/>
  <c r="B14" i="1485"/>
  <c r="C13" i="1485"/>
  <c r="B13" i="1485"/>
  <c r="C12" i="1485"/>
  <c r="B12" i="1485"/>
  <c r="C11" i="1485"/>
  <c r="B11" i="1485"/>
  <c r="C10" i="1485"/>
  <c r="B10" i="1485"/>
  <c r="C9" i="1485"/>
  <c r="B9" i="1485"/>
  <c r="C8" i="1485"/>
  <c r="B8" i="1485"/>
  <c r="C7" i="1485"/>
  <c r="B7" i="1485"/>
  <c r="C6" i="1485"/>
  <c r="B6" i="1485"/>
  <c r="C5" i="1485"/>
  <c r="B5" i="1485"/>
  <c r="C4" i="1485"/>
  <c r="A2" i="1485"/>
  <c r="B47" i="1484"/>
  <c r="B45" i="1484"/>
  <c r="C43" i="1484"/>
  <c r="B43" i="1484"/>
  <c r="C42" i="1484"/>
  <c r="B42" i="1484"/>
  <c r="C41" i="1484"/>
  <c r="B41" i="1484"/>
  <c r="C40" i="1484"/>
  <c r="B40" i="1484"/>
  <c r="C36" i="1484"/>
  <c r="B36" i="1484"/>
  <c r="C35" i="1484"/>
  <c r="B35" i="1484"/>
  <c r="C34" i="1484"/>
  <c r="B34" i="1484"/>
  <c r="C33" i="1484"/>
  <c r="B33" i="1484"/>
  <c r="C39" i="1484"/>
  <c r="B39" i="1484"/>
  <c r="C38" i="1484"/>
  <c r="B38" i="1484"/>
  <c r="C37" i="1484"/>
  <c r="B37" i="1484"/>
  <c r="C32" i="1484"/>
  <c r="B32" i="1484"/>
  <c r="C31" i="1484"/>
  <c r="B31" i="1484"/>
  <c r="C30" i="1484"/>
  <c r="B30" i="1484"/>
  <c r="C29" i="1484"/>
  <c r="B29" i="1484"/>
  <c r="C28" i="1484"/>
  <c r="B28" i="1484"/>
  <c r="C27" i="1484"/>
  <c r="B27" i="1484"/>
  <c r="C26" i="1484"/>
  <c r="B26" i="1484"/>
  <c r="C25" i="1484"/>
  <c r="B25" i="1484"/>
  <c r="C24" i="1484"/>
  <c r="B24" i="1484"/>
  <c r="C20" i="1484"/>
  <c r="B20" i="1484"/>
  <c r="C16" i="1484"/>
  <c r="B16" i="1484"/>
  <c r="B22" i="1484"/>
  <c r="C18" i="1484"/>
  <c r="B18" i="1484"/>
  <c r="C17" i="1484"/>
  <c r="B17" i="1484"/>
  <c r="C19" i="1484"/>
  <c r="B19" i="1484"/>
  <c r="C15" i="1484"/>
  <c r="B15" i="1484"/>
  <c r="C14" i="1484"/>
  <c r="B14" i="1484"/>
  <c r="C13" i="1484"/>
  <c r="B13" i="1484"/>
  <c r="C12" i="1484"/>
  <c r="B12" i="1484"/>
  <c r="C11" i="1484"/>
  <c r="B11" i="1484"/>
  <c r="C10" i="1484"/>
  <c r="B10" i="1484"/>
  <c r="C9" i="1484"/>
  <c r="B9" i="1484"/>
  <c r="C8" i="1484"/>
  <c r="B8" i="1484"/>
  <c r="C7" i="1484"/>
  <c r="B7" i="1484"/>
  <c r="C6" i="1484"/>
  <c r="B6" i="1484"/>
  <c r="C5" i="1484"/>
  <c r="B5" i="1484"/>
  <c r="C4" i="1484"/>
  <c r="A2" i="1484"/>
  <c r="C43" i="1777"/>
  <c r="B43" i="1777"/>
  <c r="C42" i="1777"/>
  <c r="B42" i="1777"/>
  <c r="C41" i="1777"/>
  <c r="B41" i="1777"/>
  <c r="C40" i="1777"/>
  <c r="B40" i="1777"/>
  <c r="C39" i="1777"/>
  <c r="B39" i="1777"/>
  <c r="C38" i="1777"/>
  <c r="B38" i="1777"/>
  <c r="C37" i="1777"/>
  <c r="B37" i="1777"/>
  <c r="C36" i="1777"/>
  <c r="B36" i="1777"/>
  <c r="C35" i="1777"/>
  <c r="B35" i="1777"/>
  <c r="C34" i="1777"/>
  <c r="B34" i="1777"/>
  <c r="C33" i="1777"/>
  <c r="B33" i="1777"/>
  <c r="C32" i="1777"/>
  <c r="B32" i="1777"/>
  <c r="C31" i="1777"/>
  <c r="B31" i="1777"/>
  <c r="C30" i="1777"/>
  <c r="B30" i="1777"/>
  <c r="C29" i="1777"/>
  <c r="B29" i="1777"/>
  <c r="C28" i="1777"/>
  <c r="B28" i="1777"/>
  <c r="C27" i="1777"/>
  <c r="B27" i="1777"/>
  <c r="B47" i="1777" s="1"/>
  <c r="C26" i="1777"/>
  <c r="B26" i="1777"/>
  <c r="C25" i="1777"/>
  <c r="B25" i="1777"/>
  <c r="C24" i="1777"/>
  <c r="B24" i="1777"/>
  <c r="C23" i="1777"/>
  <c r="B23" i="1777"/>
  <c r="C22" i="1777"/>
  <c r="B22" i="1777"/>
  <c r="C21" i="1777"/>
  <c r="B21" i="1777"/>
  <c r="C20" i="1777"/>
  <c r="B20" i="1777"/>
  <c r="B45" i="1777" s="1"/>
  <c r="C19" i="1777"/>
  <c r="B19" i="1777"/>
  <c r="C18" i="1777"/>
  <c r="B18" i="1777"/>
  <c r="B16" i="1777"/>
  <c r="C14" i="1777"/>
  <c r="B14" i="1777"/>
  <c r="C13" i="1777"/>
  <c r="B13" i="1777"/>
  <c r="C12" i="1777"/>
  <c r="B12" i="1777"/>
  <c r="C11" i="1777"/>
  <c r="B11" i="1777"/>
  <c r="C10" i="1777"/>
  <c r="B10" i="1777"/>
  <c r="C9" i="1777"/>
  <c r="B9" i="1777"/>
  <c r="C8" i="1777"/>
  <c r="B8" i="1777"/>
  <c r="C7" i="1777"/>
  <c r="B7" i="1777"/>
  <c r="C6" i="1777"/>
  <c r="B6" i="1777"/>
  <c r="C5" i="1777"/>
  <c r="B5" i="1777"/>
  <c r="C4" i="1777"/>
  <c r="A2" i="1777"/>
  <c r="B47" i="1776"/>
  <c r="B45" i="1776"/>
  <c r="C43" i="1776"/>
  <c r="B43" i="1776"/>
  <c r="C42" i="1776"/>
  <c r="B42" i="1776"/>
  <c r="C41" i="1776"/>
  <c r="B41" i="1776"/>
  <c r="C40" i="1776"/>
  <c r="B40" i="1776"/>
  <c r="C36" i="1776"/>
  <c r="B36" i="1776"/>
  <c r="C35" i="1776"/>
  <c r="B35" i="1776"/>
  <c r="C34" i="1776"/>
  <c r="B34" i="1776"/>
  <c r="C33" i="1776"/>
  <c r="B33" i="1776"/>
  <c r="C39" i="1776"/>
  <c r="B39" i="1776"/>
  <c r="C38" i="1776"/>
  <c r="B38" i="1776"/>
  <c r="C37" i="1776"/>
  <c r="B37" i="1776"/>
  <c r="C32" i="1776"/>
  <c r="B32" i="1776"/>
  <c r="C31" i="1776"/>
  <c r="B31" i="1776"/>
  <c r="C30" i="1776"/>
  <c r="B30" i="1776"/>
  <c r="C29" i="1776"/>
  <c r="B29" i="1776"/>
  <c r="C28" i="1776"/>
  <c r="B28" i="1776"/>
  <c r="C27" i="1776"/>
  <c r="B27" i="1776"/>
  <c r="C26" i="1776"/>
  <c r="B26" i="1776"/>
  <c r="C25" i="1776"/>
  <c r="B25" i="1776"/>
  <c r="C24" i="1776"/>
  <c r="B24" i="1776"/>
  <c r="C20" i="1776"/>
  <c r="B20" i="1776"/>
  <c r="C16" i="1776"/>
  <c r="B16" i="1776"/>
  <c r="B22" i="1776"/>
  <c r="C18" i="1776"/>
  <c r="B18" i="1776"/>
  <c r="C17" i="1776"/>
  <c r="B17" i="1776"/>
  <c r="C19" i="1776"/>
  <c r="B19" i="1776"/>
  <c r="C15" i="1776"/>
  <c r="B15" i="1776"/>
  <c r="C14" i="1776"/>
  <c r="B14" i="1776"/>
  <c r="C13" i="1776"/>
  <c r="B13" i="1776"/>
  <c r="C12" i="1776"/>
  <c r="B12" i="1776"/>
  <c r="C11" i="1776"/>
  <c r="B11" i="1776"/>
  <c r="C10" i="1776"/>
  <c r="B10" i="1776"/>
  <c r="C9" i="1776"/>
  <c r="B9" i="1776"/>
  <c r="C8" i="1776"/>
  <c r="B8" i="1776"/>
  <c r="C7" i="1776"/>
  <c r="B7" i="1776"/>
  <c r="C6" i="1776"/>
  <c r="B6" i="1776"/>
  <c r="C5" i="1776"/>
  <c r="B5" i="1776"/>
  <c r="C4" i="1776"/>
  <c r="A2" i="1776"/>
  <c r="C43" i="1762"/>
  <c r="B43" i="1762"/>
  <c r="C42" i="1762"/>
  <c r="B42" i="1762"/>
  <c r="C41" i="1762"/>
  <c r="B41" i="1762"/>
  <c r="C40" i="1762"/>
  <c r="B40" i="1762"/>
  <c r="C39" i="1762"/>
  <c r="B39" i="1762"/>
  <c r="C38" i="1762"/>
  <c r="B38" i="1762"/>
  <c r="C37" i="1762"/>
  <c r="B37" i="1762"/>
  <c r="C36" i="1762"/>
  <c r="B36" i="1762"/>
  <c r="C35" i="1762"/>
  <c r="B35" i="1762"/>
  <c r="C34" i="1762"/>
  <c r="B34" i="1762"/>
  <c r="C33" i="1762"/>
  <c r="B33" i="1762"/>
  <c r="C32" i="1762"/>
  <c r="B32" i="1762"/>
  <c r="C31" i="1762"/>
  <c r="B31" i="1762"/>
  <c r="C30" i="1762"/>
  <c r="B30" i="1762"/>
  <c r="C29" i="1762"/>
  <c r="B29" i="1762"/>
  <c r="C28" i="1762"/>
  <c r="B28" i="1762"/>
  <c r="C27" i="1762"/>
  <c r="B27" i="1762"/>
  <c r="B47" i="1762" s="1"/>
  <c r="C26" i="1762"/>
  <c r="B26" i="1762"/>
  <c r="C25" i="1762"/>
  <c r="B25" i="1762"/>
  <c r="C24" i="1762"/>
  <c r="B24" i="1762"/>
  <c r="C23" i="1762"/>
  <c r="B23" i="1762"/>
  <c r="C22" i="1762"/>
  <c r="B22" i="1762"/>
  <c r="C21" i="1762"/>
  <c r="B21" i="1762"/>
  <c r="C20" i="1762"/>
  <c r="B20" i="1762"/>
  <c r="B45" i="1762" s="1"/>
  <c r="C19" i="1762"/>
  <c r="B19" i="1762"/>
  <c r="B18" i="1762"/>
  <c r="B16" i="1762"/>
  <c r="C14" i="1762"/>
  <c r="B14" i="1762"/>
  <c r="C13" i="1762"/>
  <c r="B13" i="1762"/>
  <c r="C12" i="1762"/>
  <c r="B12" i="1762"/>
  <c r="C11" i="1762"/>
  <c r="B11" i="1762"/>
  <c r="C10" i="1762"/>
  <c r="B10" i="1762"/>
  <c r="C9" i="1762"/>
  <c r="B9" i="1762"/>
  <c r="C8" i="1762"/>
  <c r="B8" i="1762"/>
  <c r="C7" i="1762"/>
  <c r="B7" i="1762"/>
  <c r="C6" i="1762"/>
  <c r="B6" i="1762"/>
  <c r="C5" i="1762"/>
  <c r="B5" i="1762"/>
  <c r="C4" i="1762"/>
  <c r="A2" i="1762"/>
  <c r="B47" i="1761"/>
  <c r="B45" i="1761"/>
  <c r="C43" i="1761"/>
  <c r="B43" i="1761"/>
  <c r="C42" i="1761"/>
  <c r="B42" i="1761"/>
  <c r="C41" i="1761"/>
  <c r="B41" i="1761"/>
  <c r="C40" i="1761"/>
  <c r="B40" i="1761"/>
  <c r="C36" i="1761"/>
  <c r="B36" i="1761"/>
  <c r="C35" i="1761"/>
  <c r="B35" i="1761"/>
  <c r="C34" i="1761"/>
  <c r="B34" i="1761"/>
  <c r="C33" i="1761"/>
  <c r="B33" i="1761"/>
  <c r="C39" i="1761"/>
  <c r="B39" i="1761"/>
  <c r="C38" i="1761"/>
  <c r="B38" i="1761"/>
  <c r="C37" i="1761"/>
  <c r="B37" i="1761"/>
  <c r="C32" i="1761"/>
  <c r="B32" i="1761"/>
  <c r="C31" i="1761"/>
  <c r="B31" i="1761"/>
  <c r="C30" i="1761"/>
  <c r="B30" i="1761"/>
  <c r="C29" i="1761"/>
  <c r="B29" i="1761"/>
  <c r="C28" i="1761"/>
  <c r="B28" i="1761"/>
  <c r="C27" i="1761"/>
  <c r="B27" i="1761"/>
  <c r="C26" i="1761"/>
  <c r="B26" i="1761"/>
  <c r="C25" i="1761"/>
  <c r="B25" i="1761"/>
  <c r="C24" i="1761"/>
  <c r="B24" i="1761"/>
  <c r="C20" i="1761"/>
  <c r="B20" i="1761"/>
  <c r="C16" i="1761"/>
  <c r="B16" i="1761"/>
  <c r="B22" i="1761"/>
  <c r="C18" i="1761"/>
  <c r="B18" i="1761"/>
  <c r="C17" i="1761"/>
  <c r="B17" i="1761"/>
  <c r="B19" i="1761"/>
  <c r="C15" i="1761"/>
  <c r="B15" i="1761"/>
  <c r="C14" i="1761"/>
  <c r="B14" i="1761"/>
  <c r="C13" i="1761"/>
  <c r="B13" i="1761"/>
  <c r="C12" i="1761"/>
  <c r="B12" i="1761"/>
  <c r="C11" i="1761"/>
  <c r="B11" i="1761"/>
  <c r="C10" i="1761"/>
  <c r="B10" i="1761"/>
  <c r="C9" i="1761"/>
  <c r="B9" i="1761"/>
  <c r="C8" i="1761"/>
  <c r="B8" i="1761"/>
  <c r="C7" i="1761"/>
  <c r="B7" i="1761"/>
  <c r="C6" i="1761"/>
  <c r="B6" i="1761"/>
  <c r="C5" i="1761"/>
  <c r="B5" i="1761"/>
  <c r="C4" i="1761"/>
  <c r="A2" i="1761"/>
  <c r="B50" i="1253"/>
  <c r="C46" i="1253"/>
  <c r="B46" i="1253"/>
  <c r="C45" i="1253"/>
  <c r="B45" i="1253"/>
  <c r="C44" i="1253"/>
  <c r="B44" i="1253"/>
  <c r="C43" i="1253"/>
  <c r="B43" i="1253"/>
  <c r="C42" i="1253"/>
  <c r="B42" i="1253"/>
  <c r="C41" i="1253"/>
  <c r="B41" i="1253"/>
  <c r="C40" i="1253"/>
  <c r="B40" i="1253"/>
  <c r="C39" i="1253"/>
  <c r="B39" i="1253"/>
  <c r="C38" i="1253"/>
  <c r="B38" i="1253"/>
  <c r="C37" i="1253"/>
  <c r="B37" i="1253"/>
  <c r="C36" i="1253"/>
  <c r="B36" i="1253"/>
  <c r="C35" i="1253"/>
  <c r="B35" i="1253"/>
  <c r="C34" i="1253"/>
  <c r="B34" i="1253"/>
  <c r="C33" i="1253"/>
  <c r="B33" i="1253"/>
  <c r="C32" i="1253"/>
  <c r="B32" i="1253"/>
  <c r="C31" i="1253"/>
  <c r="B31" i="1253"/>
  <c r="C30" i="1253"/>
  <c r="B30" i="1253"/>
  <c r="C29" i="1253"/>
  <c r="B29" i="1253"/>
  <c r="C28" i="1253"/>
  <c r="B28" i="1253"/>
  <c r="C27" i="1253"/>
  <c r="B27" i="1253"/>
  <c r="C26" i="1253"/>
  <c r="B26" i="1253"/>
  <c r="C25" i="1253"/>
  <c r="B25" i="1253"/>
  <c r="C24" i="1253"/>
  <c r="B24" i="1253"/>
  <c r="C23" i="1253"/>
  <c r="B23" i="1253"/>
  <c r="C22" i="1253"/>
  <c r="B22" i="1253"/>
  <c r="C21" i="1253"/>
  <c r="B21" i="1253"/>
  <c r="B48" i="1253" s="1"/>
  <c r="B19" i="1253"/>
  <c r="C17" i="1253"/>
  <c r="B17" i="1253"/>
  <c r="C16" i="1253"/>
  <c r="B16" i="1253"/>
  <c r="C15" i="1253"/>
  <c r="B15" i="1253"/>
  <c r="B13" i="1253"/>
  <c r="C11" i="1253"/>
  <c r="B11" i="1253"/>
  <c r="C10" i="1253"/>
  <c r="B10" i="1253"/>
  <c r="C9" i="1253"/>
  <c r="B9" i="1253"/>
  <c r="C8" i="1253"/>
  <c r="B8" i="1253"/>
  <c r="C7" i="1253"/>
  <c r="B7" i="1253"/>
  <c r="C6" i="1253"/>
  <c r="B6" i="1253"/>
  <c r="C5" i="1253"/>
  <c r="B5" i="1253"/>
  <c r="C4" i="1253"/>
  <c r="A2" i="1253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R29" i="1" s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R28" i="1" s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R27" i="1" s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R26" i="1" s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R25" i="1" s="1"/>
  <c r="N24" i="1"/>
  <c r="M24" i="1"/>
  <c r="R24" i="1" s="1"/>
  <c r="Q23" i="1"/>
  <c r="P23" i="1"/>
  <c r="O23" i="1"/>
  <c r="N23" i="1"/>
  <c r="L23" i="1"/>
  <c r="K23" i="1"/>
  <c r="J23" i="1"/>
  <c r="I23" i="1"/>
  <c r="H23" i="1"/>
  <c r="G23" i="1"/>
  <c r="F23" i="1"/>
  <c r="E23" i="1"/>
  <c r="D23" i="1"/>
  <c r="C23" i="1"/>
  <c r="B23" i="1"/>
  <c r="R23" i="1" s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R22" i="1" s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R21" i="1" s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R20" i="1" s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R19" i="1" s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R18" i="1" s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R17" i="1" s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R16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R15" i="1" s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R14" i="1" s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R13" i="1" s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R12" i="1" s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R11" i="1" s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R10" i="1" s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R9" i="1" s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R8" i="1" s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R7" i="1" s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R6" i="1" s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R5" i="1" s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R4" i="1" s="1"/>
  <c r="Q3" i="1"/>
  <c r="Q30" i="1" s="1"/>
  <c r="P3" i="1"/>
  <c r="P30" i="1" s="1"/>
  <c r="O3" i="1"/>
  <c r="O30" i="1" s="1"/>
  <c r="N3" i="1"/>
  <c r="N30" i="1" s="1"/>
  <c r="M3" i="1"/>
  <c r="M30" i="1" s="1"/>
  <c r="L3" i="1"/>
  <c r="L30" i="1" s="1"/>
  <c r="K3" i="1"/>
  <c r="K30" i="1" s="1"/>
  <c r="J3" i="1"/>
  <c r="J30" i="1" s="1"/>
  <c r="I3" i="1"/>
  <c r="I30" i="1" s="1"/>
  <c r="H3" i="1"/>
  <c r="H30" i="1" s="1"/>
  <c r="G3" i="1"/>
  <c r="G30" i="1" s="1"/>
  <c r="F3" i="1"/>
  <c r="F30" i="1" s="1"/>
  <c r="E3" i="1"/>
  <c r="E30" i="1" s="1"/>
  <c r="D3" i="1"/>
  <c r="D30" i="1" s="1"/>
  <c r="C3" i="1"/>
  <c r="C30" i="1" s="1"/>
  <c r="B3" i="1"/>
  <c r="C29" i="1729" l="1"/>
  <c r="D29" i="1729" s="1"/>
  <c r="F29" i="1729" s="1"/>
  <c r="C29" i="1734"/>
  <c r="C19" i="1729"/>
  <c r="C14" i="1734"/>
  <c r="C35" i="1734"/>
  <c r="C35" i="1729"/>
  <c r="C14" i="1729"/>
  <c r="C29" i="2068"/>
  <c r="C19" i="2068"/>
  <c r="C35" i="2068"/>
  <c r="C14" i="2068"/>
  <c r="C29" i="1733"/>
  <c r="C19" i="1733"/>
  <c r="C35" i="1733"/>
  <c r="C14" i="1733"/>
  <c r="C29" i="1735"/>
  <c r="C19" i="1735"/>
  <c r="C35" i="1735"/>
  <c r="C14" i="1735"/>
  <c r="C19" i="1734"/>
  <c r="C45" i="2045"/>
  <c r="D43" i="2045"/>
  <c r="D42" i="2045"/>
  <c r="D41" i="2045"/>
  <c r="D40" i="2045"/>
  <c r="D39" i="2045"/>
  <c r="D38" i="2045"/>
  <c r="D37" i="2045"/>
  <c r="D36" i="2045"/>
  <c r="D35" i="2045"/>
  <c r="D34" i="2045"/>
  <c r="D33" i="2045"/>
  <c r="D32" i="2045"/>
  <c r="D31" i="2045"/>
  <c r="D30" i="2045"/>
  <c r="D29" i="2045"/>
  <c r="D28" i="2045"/>
  <c r="D27" i="2045"/>
  <c r="D26" i="2045"/>
  <c r="D25" i="2045"/>
  <c r="D24" i="2045"/>
  <c r="C22" i="2045"/>
  <c r="D20" i="2045"/>
  <c r="D19" i="2045"/>
  <c r="D18" i="2045"/>
  <c r="D17" i="2045"/>
  <c r="D16" i="2045"/>
  <c r="D15" i="2045"/>
  <c r="D14" i="2045"/>
  <c r="D13" i="2045"/>
  <c r="D12" i="2045"/>
  <c r="D11" i="2045"/>
  <c r="D10" i="2045"/>
  <c r="D9" i="2045"/>
  <c r="D8" i="2045"/>
  <c r="D7" i="2045"/>
  <c r="D6" i="2045"/>
  <c r="D5" i="2045"/>
  <c r="D4" i="2045"/>
  <c r="C45" i="2044"/>
  <c r="D43" i="2044"/>
  <c r="D42" i="2044"/>
  <c r="D41" i="2044"/>
  <c r="D40" i="2044"/>
  <c r="D39" i="2044"/>
  <c r="D38" i="2044"/>
  <c r="D37" i="2044"/>
  <c r="D36" i="2044"/>
  <c r="D35" i="2044"/>
  <c r="D34" i="2044"/>
  <c r="D33" i="2044"/>
  <c r="D32" i="2044"/>
  <c r="D31" i="2044"/>
  <c r="D30" i="2044"/>
  <c r="D29" i="2044"/>
  <c r="D28" i="2044"/>
  <c r="D27" i="2044"/>
  <c r="D26" i="2044"/>
  <c r="D25" i="2044"/>
  <c r="D24" i="2044"/>
  <c r="C22" i="2044"/>
  <c r="D20" i="2044"/>
  <c r="D19" i="2044"/>
  <c r="D18" i="2044"/>
  <c r="D17" i="2044"/>
  <c r="D16" i="2044"/>
  <c r="D15" i="2044"/>
  <c r="D13" i="2044"/>
  <c r="D12" i="2044"/>
  <c r="D11" i="2044"/>
  <c r="D10" i="2044"/>
  <c r="D9" i="2044"/>
  <c r="D7" i="2044"/>
  <c r="D6" i="2044"/>
  <c r="D5" i="2044"/>
  <c r="D4" i="2044"/>
  <c r="F4" i="2044" s="1"/>
  <c r="D14" i="2044"/>
  <c r="D8" i="2044"/>
  <c r="C45" i="2043"/>
  <c r="D43" i="2043"/>
  <c r="D42" i="2043"/>
  <c r="D41" i="2043"/>
  <c r="D40" i="2043"/>
  <c r="D39" i="2043"/>
  <c r="D38" i="2043"/>
  <c r="D37" i="2043"/>
  <c r="D36" i="2043"/>
  <c r="D35" i="2043"/>
  <c r="D34" i="2043"/>
  <c r="D33" i="2043"/>
  <c r="D32" i="2043"/>
  <c r="D31" i="2043"/>
  <c r="D30" i="2043"/>
  <c r="D29" i="2043"/>
  <c r="D28" i="2043"/>
  <c r="D27" i="2043"/>
  <c r="D26" i="2043"/>
  <c r="D25" i="2043"/>
  <c r="D24" i="2043"/>
  <c r="C22" i="2043"/>
  <c r="D20" i="2043"/>
  <c r="D19" i="2043"/>
  <c r="D18" i="2043"/>
  <c r="D17" i="2043"/>
  <c r="D16" i="2043"/>
  <c r="D15" i="2043"/>
  <c r="D14" i="2043"/>
  <c r="D13" i="2043"/>
  <c r="D12" i="2043"/>
  <c r="D11" i="2043"/>
  <c r="D10" i="2043"/>
  <c r="D9" i="2043"/>
  <c r="D8" i="2043"/>
  <c r="D7" i="2043"/>
  <c r="D6" i="2043"/>
  <c r="D5" i="2043"/>
  <c r="D4" i="2043"/>
  <c r="C45" i="2042"/>
  <c r="D43" i="2042"/>
  <c r="D42" i="2042"/>
  <c r="D41" i="2042"/>
  <c r="D40" i="2042"/>
  <c r="D39" i="2042"/>
  <c r="D38" i="2042"/>
  <c r="D37" i="2042"/>
  <c r="D36" i="2042"/>
  <c r="D35" i="2042"/>
  <c r="D34" i="2042"/>
  <c r="D33" i="2042"/>
  <c r="D32" i="2042"/>
  <c r="D31" i="2042"/>
  <c r="D30" i="2042"/>
  <c r="D29" i="2042"/>
  <c r="D28" i="2042"/>
  <c r="D27" i="2042"/>
  <c r="D26" i="2042"/>
  <c r="D25" i="2042"/>
  <c r="D24" i="2042"/>
  <c r="C22" i="2042"/>
  <c r="D20" i="2042"/>
  <c r="D19" i="2042"/>
  <c r="D18" i="2042"/>
  <c r="D17" i="2042"/>
  <c r="D16" i="2042"/>
  <c r="D15" i="2042"/>
  <c r="D14" i="2042"/>
  <c r="D13" i="2042"/>
  <c r="D12" i="2042"/>
  <c r="D11" i="2042"/>
  <c r="D10" i="2042"/>
  <c r="D9" i="2042"/>
  <c r="D8" i="2042"/>
  <c r="D7" i="2042"/>
  <c r="D6" i="2042"/>
  <c r="D5" i="2042"/>
  <c r="D4" i="2042"/>
  <c r="C45" i="1761"/>
  <c r="C45" i="1776"/>
  <c r="C45" i="1484"/>
  <c r="C45" i="1986"/>
  <c r="C45" i="1911"/>
  <c r="C45" i="1846"/>
  <c r="C22" i="1761"/>
  <c r="C22" i="1776"/>
  <c r="C22" i="1484"/>
  <c r="C22" i="1986"/>
  <c r="C22" i="1911"/>
  <c r="C22" i="1846"/>
  <c r="D43" i="1987"/>
  <c r="F43" i="1987" s="1"/>
  <c r="D42" i="1987"/>
  <c r="F42" i="1987" s="1"/>
  <c r="D41" i="1987"/>
  <c r="F41" i="1987" s="1"/>
  <c r="D40" i="1987"/>
  <c r="F40" i="1987" s="1"/>
  <c r="D39" i="1987"/>
  <c r="F39" i="1987" s="1"/>
  <c r="D38" i="1987"/>
  <c r="F38" i="1987" s="1"/>
  <c r="D37" i="1987"/>
  <c r="F37" i="1987" s="1"/>
  <c r="D36" i="1987"/>
  <c r="F36" i="1987" s="1"/>
  <c r="D35" i="1987"/>
  <c r="D34" i="1987"/>
  <c r="F34" i="1987" s="1"/>
  <c r="D33" i="1987"/>
  <c r="F33" i="1987" s="1"/>
  <c r="D32" i="1987"/>
  <c r="F32" i="1987" s="1"/>
  <c r="D31" i="1987"/>
  <c r="F31" i="1987" s="1"/>
  <c r="D30" i="1987"/>
  <c r="F30" i="1987" s="1"/>
  <c r="D29" i="1987"/>
  <c r="F29" i="1987" s="1"/>
  <c r="D28" i="1987"/>
  <c r="F28" i="1987" s="1"/>
  <c r="D27" i="1987"/>
  <c r="F27" i="1987" s="1"/>
  <c r="D26" i="1987"/>
  <c r="F26" i="1987" s="1"/>
  <c r="D25" i="1987"/>
  <c r="F25" i="1987" s="1"/>
  <c r="D24" i="1987"/>
  <c r="F24" i="1987" s="1"/>
  <c r="D23" i="1987"/>
  <c r="F23" i="1987" s="1"/>
  <c r="D22" i="1987"/>
  <c r="F22" i="1987" s="1"/>
  <c r="D21" i="1987"/>
  <c r="F21" i="1987" s="1"/>
  <c r="D20" i="1987"/>
  <c r="F20" i="1987" s="1"/>
  <c r="D19" i="1987"/>
  <c r="F19" i="1987" s="1"/>
  <c r="C45" i="1987"/>
  <c r="D18" i="1987"/>
  <c r="F18" i="1987" s="1"/>
  <c r="D14" i="1987"/>
  <c r="D13" i="1987"/>
  <c r="D12" i="1987"/>
  <c r="F12" i="1987" s="1"/>
  <c r="D11" i="1987"/>
  <c r="F11" i="1987" s="1"/>
  <c r="D10" i="1987"/>
  <c r="F10" i="1987" s="1"/>
  <c r="D9" i="1987"/>
  <c r="F9" i="1987" s="1"/>
  <c r="D8" i="1987"/>
  <c r="F8" i="1987" s="1"/>
  <c r="D7" i="1987"/>
  <c r="F7" i="1987" s="1"/>
  <c r="D6" i="1987"/>
  <c r="F6" i="1987" s="1"/>
  <c r="D5" i="1987"/>
  <c r="F5" i="1987" s="1"/>
  <c r="C16" i="1987"/>
  <c r="D4" i="1987"/>
  <c r="D43" i="1986"/>
  <c r="F43" i="1986" s="1"/>
  <c r="D42" i="1986"/>
  <c r="F42" i="1986" s="1"/>
  <c r="D41" i="1986"/>
  <c r="F41" i="1986" s="1"/>
  <c r="D40" i="1986"/>
  <c r="F40" i="1986" s="1"/>
  <c r="D36" i="1986"/>
  <c r="F36" i="1986" s="1"/>
  <c r="D35" i="1986"/>
  <c r="F35" i="1986" s="1"/>
  <c r="D34" i="1986"/>
  <c r="F34" i="1986" s="1"/>
  <c r="D33" i="1986"/>
  <c r="D39" i="1986"/>
  <c r="F39" i="1986" s="1"/>
  <c r="D38" i="1986"/>
  <c r="F38" i="1986" s="1"/>
  <c r="D37" i="1986"/>
  <c r="F37" i="1986" s="1"/>
  <c r="D32" i="1986"/>
  <c r="F32" i="1986" s="1"/>
  <c r="D31" i="1986"/>
  <c r="F31" i="1986" s="1"/>
  <c r="D30" i="1986"/>
  <c r="F30" i="1986" s="1"/>
  <c r="D29" i="1986"/>
  <c r="F29" i="1986" s="1"/>
  <c r="D28" i="1986"/>
  <c r="F28" i="1986" s="1"/>
  <c r="D27" i="1986"/>
  <c r="F27" i="1986" s="1"/>
  <c r="D26" i="1986"/>
  <c r="D25" i="1986"/>
  <c r="F25" i="1986" s="1"/>
  <c r="D24" i="1986"/>
  <c r="F24" i="1986" s="1"/>
  <c r="D20" i="1986"/>
  <c r="F20" i="1986" s="1"/>
  <c r="D16" i="1986"/>
  <c r="F16" i="1986" s="1"/>
  <c r="D18" i="1986"/>
  <c r="F18" i="1986" s="1"/>
  <c r="D17" i="1986"/>
  <c r="F17" i="1986" s="1"/>
  <c r="D19" i="1986"/>
  <c r="F19" i="1986" s="1"/>
  <c r="D15" i="1986"/>
  <c r="F15" i="1986" s="1"/>
  <c r="D14" i="1986"/>
  <c r="D13" i="1986"/>
  <c r="D12" i="1986"/>
  <c r="F12" i="1986" s="1"/>
  <c r="D11" i="1986"/>
  <c r="F11" i="1986" s="1"/>
  <c r="D10" i="1986"/>
  <c r="F10" i="1986" s="1"/>
  <c r="D9" i="1986"/>
  <c r="F9" i="1986" s="1"/>
  <c r="D8" i="1986"/>
  <c r="F8" i="1986" s="1"/>
  <c r="D7" i="1986"/>
  <c r="F7" i="1986" s="1"/>
  <c r="D6" i="1986"/>
  <c r="F6" i="1986" s="1"/>
  <c r="D5" i="1986"/>
  <c r="F5" i="1986" s="1"/>
  <c r="D4" i="1986"/>
  <c r="D43" i="1889"/>
  <c r="F43" i="1889" s="1"/>
  <c r="D42" i="1889"/>
  <c r="F42" i="1889" s="1"/>
  <c r="D41" i="1889"/>
  <c r="D40" i="1889"/>
  <c r="F40" i="1889" s="1"/>
  <c r="D39" i="1889"/>
  <c r="F39" i="1889" s="1"/>
  <c r="D38" i="1889"/>
  <c r="F38" i="1889" s="1"/>
  <c r="D37" i="1889"/>
  <c r="F37" i="1889" s="1"/>
  <c r="D36" i="1889"/>
  <c r="F36" i="1889" s="1"/>
  <c r="D35" i="1889"/>
  <c r="F35" i="1889" s="1"/>
  <c r="D34" i="1889"/>
  <c r="F34" i="1889" s="1"/>
  <c r="D33" i="1889"/>
  <c r="F33" i="1889" s="1"/>
  <c r="D32" i="1889"/>
  <c r="F32" i="1889" s="1"/>
  <c r="D31" i="1889"/>
  <c r="F31" i="1889" s="1"/>
  <c r="D30" i="1889"/>
  <c r="F30" i="1889" s="1"/>
  <c r="D29" i="1889"/>
  <c r="F29" i="1889" s="1"/>
  <c r="D28" i="1889"/>
  <c r="F28" i="1889" s="1"/>
  <c r="D27" i="1889"/>
  <c r="F27" i="1889" s="1"/>
  <c r="D26" i="1889"/>
  <c r="F26" i="1889" s="1"/>
  <c r="D25" i="1889"/>
  <c r="F25" i="1889" s="1"/>
  <c r="D24" i="1889"/>
  <c r="F24" i="1889" s="1"/>
  <c r="D23" i="1889"/>
  <c r="F23" i="1889" s="1"/>
  <c r="C45" i="1889"/>
  <c r="D22" i="1889"/>
  <c r="F22" i="1889" s="1"/>
  <c r="D18" i="1889"/>
  <c r="F18" i="1889" s="1"/>
  <c r="D17" i="1889"/>
  <c r="F17" i="1889" s="1"/>
  <c r="D16" i="1889"/>
  <c r="F16" i="1889" s="1"/>
  <c r="D15" i="1889"/>
  <c r="F15" i="1889" s="1"/>
  <c r="D14" i="1889"/>
  <c r="F14" i="1889" s="1"/>
  <c r="D13" i="1889"/>
  <c r="D12" i="1889"/>
  <c r="F12" i="1889" s="1"/>
  <c r="D11" i="1889"/>
  <c r="F11" i="1889" s="1"/>
  <c r="D10" i="1889"/>
  <c r="F10" i="1889" s="1"/>
  <c r="D9" i="1889"/>
  <c r="F9" i="1889" s="1"/>
  <c r="D8" i="1889"/>
  <c r="F8" i="1889" s="1"/>
  <c r="D7" i="1889"/>
  <c r="F7" i="1889" s="1"/>
  <c r="D6" i="1889"/>
  <c r="F6" i="1889" s="1"/>
  <c r="D5" i="1889"/>
  <c r="F5" i="1889" s="1"/>
  <c r="C20" i="1889"/>
  <c r="D4" i="1889"/>
  <c r="D43" i="1884"/>
  <c r="F43" i="1884" s="1"/>
  <c r="D42" i="1884"/>
  <c r="F42" i="1884" s="1"/>
  <c r="D41" i="1884"/>
  <c r="F41" i="1884" s="1"/>
  <c r="D40" i="1884"/>
  <c r="F40" i="1884" s="1"/>
  <c r="D39" i="1884"/>
  <c r="F39" i="1884" s="1"/>
  <c r="D38" i="1884"/>
  <c r="F38" i="1884" s="1"/>
  <c r="D37" i="1884"/>
  <c r="F37" i="1884" s="1"/>
  <c r="D36" i="1884"/>
  <c r="F36" i="1884" s="1"/>
  <c r="D35" i="1884"/>
  <c r="F35" i="1884" s="1"/>
  <c r="D34" i="1884"/>
  <c r="F34" i="1884" s="1"/>
  <c r="D33" i="1884"/>
  <c r="F33" i="1884" s="1"/>
  <c r="D32" i="1884"/>
  <c r="F32" i="1884" s="1"/>
  <c r="D31" i="1884"/>
  <c r="F31" i="1884" s="1"/>
  <c r="D30" i="1884"/>
  <c r="F30" i="1884" s="1"/>
  <c r="D29" i="1884"/>
  <c r="F29" i="1884" s="1"/>
  <c r="D28" i="1884"/>
  <c r="F28" i="1884" s="1"/>
  <c r="D27" i="1884"/>
  <c r="F27" i="1884" s="1"/>
  <c r="D26" i="1884"/>
  <c r="F26" i="1884" s="1"/>
  <c r="D25" i="1884"/>
  <c r="F25" i="1884" s="1"/>
  <c r="D24" i="1884"/>
  <c r="F24" i="1884" s="1"/>
  <c r="D23" i="1884"/>
  <c r="F23" i="1884" s="1"/>
  <c r="D22" i="1884"/>
  <c r="F22" i="1884" s="1"/>
  <c r="C45" i="1884"/>
  <c r="D18" i="1884"/>
  <c r="F18" i="1884" s="1"/>
  <c r="D17" i="1884"/>
  <c r="F17" i="1884" s="1"/>
  <c r="D16" i="1884"/>
  <c r="F16" i="1884" s="1"/>
  <c r="D15" i="1884"/>
  <c r="F15" i="1884" s="1"/>
  <c r="D14" i="1884"/>
  <c r="F14" i="1884" s="1"/>
  <c r="D13" i="1884"/>
  <c r="F13" i="1884" s="1"/>
  <c r="D12" i="1884"/>
  <c r="F12" i="1884" s="1"/>
  <c r="D11" i="1884"/>
  <c r="F11" i="1884" s="1"/>
  <c r="D10" i="1884"/>
  <c r="F10" i="1884" s="1"/>
  <c r="D9" i="1884"/>
  <c r="F9" i="1884" s="1"/>
  <c r="D8" i="1884"/>
  <c r="F8" i="1884" s="1"/>
  <c r="D7" i="1884"/>
  <c r="F7" i="1884" s="1"/>
  <c r="D6" i="1884"/>
  <c r="F6" i="1884" s="1"/>
  <c r="D5" i="1884"/>
  <c r="F5" i="1884" s="1"/>
  <c r="C20" i="1884"/>
  <c r="D4" i="1884"/>
  <c r="D43" i="1885"/>
  <c r="F43" i="1885" s="1"/>
  <c r="D42" i="1885"/>
  <c r="F42" i="1885" s="1"/>
  <c r="D41" i="1885"/>
  <c r="F41" i="1885" s="1"/>
  <c r="D40" i="1885"/>
  <c r="F40" i="1885" s="1"/>
  <c r="D39" i="1885"/>
  <c r="F39" i="1885" s="1"/>
  <c r="D38" i="1885"/>
  <c r="F38" i="1885" s="1"/>
  <c r="D37" i="1885"/>
  <c r="F37" i="1885" s="1"/>
  <c r="D36" i="1885"/>
  <c r="D35" i="1885"/>
  <c r="F35" i="1885" s="1"/>
  <c r="D34" i="1885"/>
  <c r="F34" i="1885" s="1"/>
  <c r="D33" i="1885"/>
  <c r="F33" i="1885" s="1"/>
  <c r="D32" i="1885"/>
  <c r="F32" i="1885" s="1"/>
  <c r="D31" i="1885"/>
  <c r="F31" i="1885" s="1"/>
  <c r="D30" i="1885"/>
  <c r="F30" i="1885" s="1"/>
  <c r="D29" i="1885"/>
  <c r="F29" i="1885" s="1"/>
  <c r="D28" i="1885"/>
  <c r="F28" i="1885" s="1"/>
  <c r="D27" i="1885"/>
  <c r="F27" i="1885" s="1"/>
  <c r="D26" i="1885"/>
  <c r="F26" i="1885" s="1"/>
  <c r="D25" i="1885"/>
  <c r="F25" i="1885" s="1"/>
  <c r="D24" i="1885"/>
  <c r="F24" i="1885" s="1"/>
  <c r="D23" i="1885"/>
  <c r="F23" i="1885" s="1"/>
  <c r="D22" i="1885"/>
  <c r="F22" i="1885" s="1"/>
  <c r="C45" i="1885"/>
  <c r="D18" i="1885"/>
  <c r="F18" i="1885" s="1"/>
  <c r="D17" i="1885"/>
  <c r="F17" i="1885" s="1"/>
  <c r="D16" i="1885"/>
  <c r="F16" i="1885" s="1"/>
  <c r="D15" i="1885"/>
  <c r="F15" i="1885" s="1"/>
  <c r="D14" i="1885"/>
  <c r="F14" i="1885" s="1"/>
  <c r="D13" i="1885"/>
  <c r="F13" i="1885" s="1"/>
  <c r="D12" i="1885"/>
  <c r="F12" i="1885" s="1"/>
  <c r="D11" i="1885"/>
  <c r="F11" i="1885" s="1"/>
  <c r="D10" i="1885"/>
  <c r="F10" i="1885" s="1"/>
  <c r="D9" i="1885"/>
  <c r="F9" i="1885" s="1"/>
  <c r="D8" i="1885"/>
  <c r="F8" i="1885" s="1"/>
  <c r="D7" i="1885"/>
  <c r="D6" i="1885"/>
  <c r="F6" i="1885" s="1"/>
  <c r="D5" i="1885"/>
  <c r="F5" i="1885" s="1"/>
  <c r="C20" i="1885"/>
  <c r="D4" i="1885"/>
  <c r="D43" i="1886"/>
  <c r="F43" i="1886" s="1"/>
  <c r="D42" i="1886"/>
  <c r="F42" i="1886" s="1"/>
  <c r="D41" i="1886"/>
  <c r="D40" i="1886"/>
  <c r="F40" i="1886" s="1"/>
  <c r="D39" i="1886"/>
  <c r="F39" i="1886" s="1"/>
  <c r="D38" i="1886"/>
  <c r="F38" i="1886" s="1"/>
  <c r="D37" i="1886"/>
  <c r="F37" i="1886" s="1"/>
  <c r="D36" i="1886"/>
  <c r="F36" i="1886" s="1"/>
  <c r="D35" i="1886"/>
  <c r="F35" i="1886" s="1"/>
  <c r="D34" i="1886"/>
  <c r="F34" i="1886" s="1"/>
  <c r="D33" i="1886"/>
  <c r="F33" i="1886" s="1"/>
  <c r="D32" i="1886"/>
  <c r="F32" i="1886" s="1"/>
  <c r="D31" i="1886"/>
  <c r="F31" i="1886" s="1"/>
  <c r="D30" i="1886"/>
  <c r="F30" i="1886" s="1"/>
  <c r="D29" i="1886"/>
  <c r="F29" i="1886" s="1"/>
  <c r="D28" i="1886"/>
  <c r="F28" i="1886" s="1"/>
  <c r="D27" i="1886"/>
  <c r="F27" i="1886" s="1"/>
  <c r="D26" i="1886"/>
  <c r="F26" i="1886" s="1"/>
  <c r="D25" i="1886"/>
  <c r="F25" i="1886" s="1"/>
  <c r="D24" i="1886"/>
  <c r="F24" i="1886" s="1"/>
  <c r="D23" i="1886"/>
  <c r="F23" i="1886" s="1"/>
  <c r="D22" i="1886"/>
  <c r="F22" i="1886" s="1"/>
  <c r="C45" i="1886"/>
  <c r="D18" i="1886"/>
  <c r="F18" i="1886" s="1"/>
  <c r="D17" i="1886"/>
  <c r="F17" i="1886" s="1"/>
  <c r="D16" i="1886"/>
  <c r="F16" i="1886" s="1"/>
  <c r="D15" i="1886"/>
  <c r="F15" i="1886" s="1"/>
  <c r="D14" i="1886"/>
  <c r="F14" i="1886" s="1"/>
  <c r="D13" i="1886"/>
  <c r="F13" i="1886" s="1"/>
  <c r="D12" i="1886"/>
  <c r="F12" i="1886" s="1"/>
  <c r="D11" i="1886"/>
  <c r="F11" i="1886" s="1"/>
  <c r="D10" i="1886"/>
  <c r="F10" i="1886" s="1"/>
  <c r="D9" i="1886"/>
  <c r="F9" i="1886" s="1"/>
  <c r="D8" i="1886"/>
  <c r="F8" i="1886" s="1"/>
  <c r="D7" i="1886"/>
  <c r="F7" i="1886" s="1"/>
  <c r="D6" i="1886"/>
  <c r="F6" i="1886" s="1"/>
  <c r="D5" i="1886"/>
  <c r="F5" i="1886" s="1"/>
  <c r="D4" i="1886"/>
  <c r="C20" i="1886"/>
  <c r="D43" i="1887"/>
  <c r="F43" i="1887" s="1"/>
  <c r="D42" i="1887"/>
  <c r="F42" i="1887" s="1"/>
  <c r="D41" i="1887"/>
  <c r="D40" i="1887"/>
  <c r="F40" i="1887" s="1"/>
  <c r="D39" i="1887"/>
  <c r="F39" i="1887" s="1"/>
  <c r="D38" i="1887"/>
  <c r="F38" i="1887" s="1"/>
  <c r="D37" i="1887"/>
  <c r="F37" i="1887" s="1"/>
  <c r="D36" i="1887"/>
  <c r="F36" i="1887" s="1"/>
  <c r="D35" i="1887"/>
  <c r="F35" i="1887" s="1"/>
  <c r="D34" i="1887"/>
  <c r="F34" i="1887" s="1"/>
  <c r="D33" i="1887"/>
  <c r="F33" i="1887" s="1"/>
  <c r="D32" i="1887"/>
  <c r="F32" i="1887" s="1"/>
  <c r="D31" i="1887"/>
  <c r="F31" i="1887" s="1"/>
  <c r="D30" i="1887"/>
  <c r="F30" i="1887" s="1"/>
  <c r="D29" i="1887"/>
  <c r="F29" i="1887" s="1"/>
  <c r="D28" i="1887"/>
  <c r="F28" i="1887" s="1"/>
  <c r="D27" i="1887"/>
  <c r="F27" i="1887" s="1"/>
  <c r="D26" i="1887"/>
  <c r="D25" i="1887"/>
  <c r="F25" i="1887" s="1"/>
  <c r="D24" i="1887"/>
  <c r="F24" i="1887" s="1"/>
  <c r="D23" i="1887"/>
  <c r="F23" i="1887" s="1"/>
  <c r="D22" i="1887"/>
  <c r="F22" i="1887" s="1"/>
  <c r="C45" i="1887"/>
  <c r="D18" i="1887"/>
  <c r="F18" i="1887" s="1"/>
  <c r="D17" i="1887"/>
  <c r="F17" i="1887" s="1"/>
  <c r="D16" i="1887"/>
  <c r="F16" i="1887" s="1"/>
  <c r="D15" i="1887"/>
  <c r="F15" i="1887" s="1"/>
  <c r="D14" i="1887"/>
  <c r="F14" i="1887" s="1"/>
  <c r="D13" i="1887"/>
  <c r="F13" i="1887" s="1"/>
  <c r="D12" i="1887"/>
  <c r="F12" i="1887" s="1"/>
  <c r="D11" i="1887"/>
  <c r="F11" i="1887" s="1"/>
  <c r="D10" i="1887"/>
  <c r="F10" i="1887" s="1"/>
  <c r="D9" i="1887"/>
  <c r="F9" i="1887" s="1"/>
  <c r="D8" i="1887"/>
  <c r="F8" i="1887" s="1"/>
  <c r="D7" i="1887"/>
  <c r="F7" i="1887" s="1"/>
  <c r="D6" i="1887"/>
  <c r="F6" i="1887" s="1"/>
  <c r="D5" i="1887"/>
  <c r="F5" i="1887" s="1"/>
  <c r="D4" i="1887"/>
  <c r="C20" i="1887"/>
  <c r="D43" i="1888"/>
  <c r="F43" i="1888" s="1"/>
  <c r="D42" i="1888"/>
  <c r="F42" i="1888" s="1"/>
  <c r="D41" i="1888"/>
  <c r="F41" i="1888" s="1"/>
  <c r="D40" i="1888"/>
  <c r="F40" i="1888" s="1"/>
  <c r="D39" i="1888"/>
  <c r="F39" i="1888" s="1"/>
  <c r="D38" i="1888"/>
  <c r="F38" i="1888" s="1"/>
  <c r="D37" i="1888"/>
  <c r="F37" i="1888" s="1"/>
  <c r="D36" i="1888"/>
  <c r="F36" i="1888" s="1"/>
  <c r="D35" i="1888"/>
  <c r="F35" i="1888" s="1"/>
  <c r="D34" i="1888"/>
  <c r="F34" i="1888" s="1"/>
  <c r="D33" i="1888"/>
  <c r="F33" i="1888" s="1"/>
  <c r="D32" i="1888"/>
  <c r="F32" i="1888" s="1"/>
  <c r="D31" i="1888"/>
  <c r="F31" i="1888" s="1"/>
  <c r="D30" i="1888"/>
  <c r="F30" i="1888" s="1"/>
  <c r="D29" i="1888"/>
  <c r="F29" i="1888" s="1"/>
  <c r="D28" i="1888"/>
  <c r="F28" i="1888" s="1"/>
  <c r="D27" i="1888"/>
  <c r="F27" i="1888" s="1"/>
  <c r="D26" i="1888"/>
  <c r="F26" i="1888" s="1"/>
  <c r="D25" i="1888"/>
  <c r="F25" i="1888" s="1"/>
  <c r="D24" i="1888"/>
  <c r="F24" i="1888" s="1"/>
  <c r="D23" i="1888"/>
  <c r="F23" i="1888" s="1"/>
  <c r="D22" i="1888"/>
  <c r="F22" i="1888" s="1"/>
  <c r="C45" i="1888"/>
  <c r="D18" i="1888"/>
  <c r="F18" i="1888" s="1"/>
  <c r="D17" i="1888"/>
  <c r="F17" i="1888" s="1"/>
  <c r="D16" i="1888"/>
  <c r="F16" i="1888" s="1"/>
  <c r="D15" i="1888"/>
  <c r="F15" i="1888" s="1"/>
  <c r="D14" i="1888"/>
  <c r="F14" i="1888" s="1"/>
  <c r="D13" i="1888"/>
  <c r="F13" i="1888" s="1"/>
  <c r="D12" i="1888"/>
  <c r="F12" i="1888" s="1"/>
  <c r="D11" i="1888"/>
  <c r="F11" i="1888" s="1"/>
  <c r="D10" i="1888"/>
  <c r="F10" i="1888" s="1"/>
  <c r="D9" i="1888"/>
  <c r="F9" i="1888" s="1"/>
  <c r="D8" i="1888"/>
  <c r="F8" i="1888" s="1"/>
  <c r="D7" i="1888"/>
  <c r="F7" i="1888" s="1"/>
  <c r="D6" i="1888"/>
  <c r="F6" i="1888" s="1"/>
  <c r="D5" i="1888"/>
  <c r="F5" i="1888" s="1"/>
  <c r="C20" i="1888"/>
  <c r="D4" i="1888"/>
  <c r="D43" i="1883"/>
  <c r="F43" i="1883" s="1"/>
  <c r="D42" i="1883"/>
  <c r="F42" i="1883" s="1"/>
  <c r="D41" i="1883"/>
  <c r="F41" i="1883" s="1"/>
  <c r="D40" i="1883"/>
  <c r="F40" i="1883" s="1"/>
  <c r="D39" i="1883"/>
  <c r="F39" i="1883" s="1"/>
  <c r="D38" i="1883"/>
  <c r="F38" i="1883" s="1"/>
  <c r="D37" i="1883"/>
  <c r="F37" i="1883" s="1"/>
  <c r="D36" i="1883"/>
  <c r="F36" i="1883" s="1"/>
  <c r="D35" i="1883"/>
  <c r="F35" i="1883" s="1"/>
  <c r="D34" i="1883"/>
  <c r="F34" i="1883" s="1"/>
  <c r="D33" i="1883"/>
  <c r="F33" i="1883" s="1"/>
  <c r="D32" i="1883"/>
  <c r="F32" i="1883" s="1"/>
  <c r="D31" i="1883"/>
  <c r="F31" i="1883" s="1"/>
  <c r="D30" i="1883"/>
  <c r="F30" i="1883" s="1"/>
  <c r="D29" i="1883"/>
  <c r="F29" i="1883" s="1"/>
  <c r="D28" i="1883"/>
  <c r="F28" i="1883" s="1"/>
  <c r="D27" i="1883"/>
  <c r="F27" i="1883" s="1"/>
  <c r="D26" i="1883"/>
  <c r="F26" i="1883" s="1"/>
  <c r="D25" i="1883"/>
  <c r="F25" i="1883" s="1"/>
  <c r="D24" i="1883"/>
  <c r="F24" i="1883" s="1"/>
  <c r="D23" i="1883"/>
  <c r="F23" i="1883" s="1"/>
  <c r="C45" i="1883"/>
  <c r="D22" i="1883"/>
  <c r="F22" i="1883" s="1"/>
  <c r="D18" i="1883"/>
  <c r="F18" i="1883" s="1"/>
  <c r="D17" i="1883"/>
  <c r="F17" i="1883" s="1"/>
  <c r="D16" i="1883"/>
  <c r="F16" i="1883" s="1"/>
  <c r="D15" i="1883"/>
  <c r="F15" i="1883" s="1"/>
  <c r="D14" i="1883"/>
  <c r="F14" i="1883" s="1"/>
  <c r="D13" i="1883"/>
  <c r="F13" i="1883" s="1"/>
  <c r="D12" i="1883"/>
  <c r="F12" i="1883" s="1"/>
  <c r="D11" i="1883"/>
  <c r="F11" i="1883" s="1"/>
  <c r="D10" i="1883"/>
  <c r="F10" i="1883" s="1"/>
  <c r="D9" i="1883"/>
  <c r="F9" i="1883" s="1"/>
  <c r="D8" i="1883"/>
  <c r="F8" i="1883" s="1"/>
  <c r="D7" i="1883"/>
  <c r="F7" i="1883" s="1"/>
  <c r="D6" i="1883"/>
  <c r="F6" i="1883" s="1"/>
  <c r="D5" i="1883"/>
  <c r="F5" i="1883" s="1"/>
  <c r="D4" i="1883"/>
  <c r="C20" i="1883"/>
  <c r="D43" i="1882"/>
  <c r="F43" i="1882" s="1"/>
  <c r="D42" i="1882"/>
  <c r="F42" i="1882" s="1"/>
  <c r="D41" i="1882"/>
  <c r="F41" i="1882" s="1"/>
  <c r="D40" i="1882"/>
  <c r="F40" i="1882" s="1"/>
  <c r="D39" i="1882"/>
  <c r="F39" i="1882" s="1"/>
  <c r="D38" i="1882"/>
  <c r="F38" i="1882" s="1"/>
  <c r="D37" i="1882"/>
  <c r="F37" i="1882" s="1"/>
  <c r="D36" i="1882"/>
  <c r="F36" i="1882" s="1"/>
  <c r="D35" i="1882"/>
  <c r="F35" i="1882" s="1"/>
  <c r="D34" i="1882"/>
  <c r="F34" i="1882" s="1"/>
  <c r="D33" i="1882"/>
  <c r="F33" i="1882" s="1"/>
  <c r="D32" i="1882"/>
  <c r="F32" i="1882" s="1"/>
  <c r="D31" i="1882"/>
  <c r="F31" i="1882" s="1"/>
  <c r="D30" i="1882"/>
  <c r="F30" i="1882" s="1"/>
  <c r="D29" i="1882"/>
  <c r="F29" i="1882" s="1"/>
  <c r="D28" i="1882"/>
  <c r="F28" i="1882" s="1"/>
  <c r="D27" i="1882"/>
  <c r="F27" i="1882" s="1"/>
  <c r="D26" i="1882"/>
  <c r="D25" i="1882"/>
  <c r="F25" i="1882" s="1"/>
  <c r="D24" i="1882"/>
  <c r="F24" i="1882" s="1"/>
  <c r="D23" i="1882"/>
  <c r="F23" i="1882" s="1"/>
  <c r="D22" i="1882"/>
  <c r="F22" i="1882" s="1"/>
  <c r="C45" i="1882"/>
  <c r="D18" i="1882"/>
  <c r="F18" i="1882" s="1"/>
  <c r="D17" i="1882"/>
  <c r="F17" i="1882" s="1"/>
  <c r="D16" i="1882"/>
  <c r="F16" i="1882" s="1"/>
  <c r="D15" i="1882"/>
  <c r="F15" i="1882" s="1"/>
  <c r="D14" i="1882"/>
  <c r="F14" i="1882" s="1"/>
  <c r="D13" i="1882"/>
  <c r="D12" i="1882"/>
  <c r="F12" i="1882" s="1"/>
  <c r="D11" i="1882"/>
  <c r="F11" i="1882" s="1"/>
  <c r="D10" i="1882"/>
  <c r="F10" i="1882" s="1"/>
  <c r="D9" i="1882"/>
  <c r="F9" i="1882" s="1"/>
  <c r="D8" i="1882"/>
  <c r="F8" i="1882" s="1"/>
  <c r="D7" i="1882"/>
  <c r="F7" i="1882" s="1"/>
  <c r="D6" i="1882"/>
  <c r="F6" i="1882" s="1"/>
  <c r="D5" i="1882"/>
  <c r="F5" i="1882" s="1"/>
  <c r="C20" i="1882"/>
  <c r="D4" i="1882"/>
  <c r="D43" i="1847"/>
  <c r="F43" i="1847" s="1"/>
  <c r="D42" i="1847"/>
  <c r="F42" i="1847" s="1"/>
  <c r="D41" i="1847"/>
  <c r="F41" i="1847" s="1"/>
  <c r="D40" i="1847"/>
  <c r="F40" i="1847" s="1"/>
  <c r="D39" i="1847"/>
  <c r="F39" i="1847" s="1"/>
  <c r="D38" i="1847"/>
  <c r="F38" i="1847" s="1"/>
  <c r="D37" i="1847"/>
  <c r="F37" i="1847" s="1"/>
  <c r="D36" i="1847"/>
  <c r="F36" i="1847" s="1"/>
  <c r="D35" i="1847"/>
  <c r="F35" i="1847" s="1"/>
  <c r="D34" i="1847"/>
  <c r="F34" i="1847" s="1"/>
  <c r="D33" i="1847"/>
  <c r="F33" i="1847" s="1"/>
  <c r="D32" i="1847"/>
  <c r="F32" i="1847" s="1"/>
  <c r="D31" i="1847"/>
  <c r="F31" i="1847" s="1"/>
  <c r="D30" i="1847"/>
  <c r="F30" i="1847" s="1"/>
  <c r="D29" i="1847"/>
  <c r="F29" i="1847" s="1"/>
  <c r="D28" i="1847"/>
  <c r="F28" i="1847" s="1"/>
  <c r="D27" i="1847"/>
  <c r="F27" i="1847" s="1"/>
  <c r="D26" i="1847"/>
  <c r="F26" i="1847" s="1"/>
  <c r="D25" i="1847"/>
  <c r="F25" i="1847" s="1"/>
  <c r="D24" i="1847"/>
  <c r="F24" i="1847" s="1"/>
  <c r="D23" i="1847"/>
  <c r="F23" i="1847" s="1"/>
  <c r="D22" i="1847"/>
  <c r="F22" i="1847" s="1"/>
  <c r="D21" i="1847"/>
  <c r="F21" i="1847" s="1"/>
  <c r="D20" i="1847"/>
  <c r="F20" i="1847" s="1"/>
  <c r="D19" i="1847"/>
  <c r="F19" i="1847" s="1"/>
  <c r="D18" i="1847"/>
  <c r="F18" i="1847" s="1"/>
  <c r="C45" i="1847"/>
  <c r="D14" i="1847"/>
  <c r="F14" i="1847" s="1"/>
  <c r="D13" i="1847"/>
  <c r="F13" i="1847" s="1"/>
  <c r="D12" i="1847"/>
  <c r="F12" i="1847" s="1"/>
  <c r="D11" i="1847"/>
  <c r="F11" i="1847" s="1"/>
  <c r="D10" i="1847"/>
  <c r="F10" i="1847" s="1"/>
  <c r="D9" i="1847"/>
  <c r="F9" i="1847" s="1"/>
  <c r="D8" i="1847"/>
  <c r="F8" i="1847" s="1"/>
  <c r="D7" i="1847"/>
  <c r="F7" i="1847" s="1"/>
  <c r="D6" i="1847"/>
  <c r="F6" i="1847" s="1"/>
  <c r="D5" i="1847"/>
  <c r="F5" i="1847" s="1"/>
  <c r="C16" i="1847"/>
  <c r="D4" i="1847"/>
  <c r="D43" i="1846"/>
  <c r="F43" i="1846" s="1"/>
  <c r="D42" i="1846"/>
  <c r="F42" i="1846" s="1"/>
  <c r="D41" i="1846"/>
  <c r="F41" i="1846" s="1"/>
  <c r="D40" i="1846"/>
  <c r="F40" i="1846" s="1"/>
  <c r="D36" i="1846"/>
  <c r="F36" i="1846" s="1"/>
  <c r="D35" i="1846"/>
  <c r="F35" i="1846" s="1"/>
  <c r="D34" i="1846"/>
  <c r="F34" i="1846" s="1"/>
  <c r="D33" i="1846"/>
  <c r="F33" i="1846" s="1"/>
  <c r="D39" i="1846"/>
  <c r="F39" i="1846" s="1"/>
  <c r="D38" i="1846"/>
  <c r="F38" i="1846" s="1"/>
  <c r="D37" i="1846"/>
  <c r="F37" i="1846" s="1"/>
  <c r="D32" i="1846"/>
  <c r="F32" i="1846" s="1"/>
  <c r="D31" i="1846"/>
  <c r="F31" i="1846" s="1"/>
  <c r="D30" i="1846"/>
  <c r="F30" i="1846" s="1"/>
  <c r="D29" i="1846"/>
  <c r="F29" i="1846" s="1"/>
  <c r="D28" i="1846"/>
  <c r="F28" i="1846" s="1"/>
  <c r="D27" i="1846"/>
  <c r="F27" i="1846" s="1"/>
  <c r="D26" i="1846"/>
  <c r="F26" i="1846" s="1"/>
  <c r="D25" i="1846"/>
  <c r="F25" i="1846" s="1"/>
  <c r="D24" i="1846"/>
  <c r="F24" i="1846" s="1"/>
  <c r="D20" i="1846"/>
  <c r="F20" i="1846" s="1"/>
  <c r="D16" i="1846"/>
  <c r="F16" i="1846" s="1"/>
  <c r="D18" i="1846"/>
  <c r="F18" i="1846" s="1"/>
  <c r="D17" i="1846"/>
  <c r="F17" i="1846" s="1"/>
  <c r="D19" i="1846"/>
  <c r="F19" i="1846" s="1"/>
  <c r="D15" i="1846"/>
  <c r="F15" i="1846" s="1"/>
  <c r="D14" i="1846"/>
  <c r="F14" i="1846" s="1"/>
  <c r="D13" i="1846"/>
  <c r="F13" i="1846" s="1"/>
  <c r="D12" i="1846"/>
  <c r="F12" i="1846" s="1"/>
  <c r="D11" i="1846"/>
  <c r="F11" i="1846" s="1"/>
  <c r="D10" i="1846"/>
  <c r="F10" i="1846" s="1"/>
  <c r="D9" i="1846"/>
  <c r="F9" i="1846" s="1"/>
  <c r="D8" i="1846"/>
  <c r="F8" i="1846" s="1"/>
  <c r="D7" i="1846"/>
  <c r="F7" i="1846" s="1"/>
  <c r="D6" i="1846"/>
  <c r="F6" i="1846" s="1"/>
  <c r="D5" i="1846"/>
  <c r="F5" i="1846" s="1"/>
  <c r="D4" i="1846"/>
  <c r="D43" i="1912"/>
  <c r="F43" i="1912" s="1"/>
  <c r="D42" i="1912"/>
  <c r="F42" i="1912" s="1"/>
  <c r="D41" i="1912"/>
  <c r="F41" i="1912" s="1"/>
  <c r="D40" i="1912"/>
  <c r="F40" i="1912" s="1"/>
  <c r="D39" i="1912"/>
  <c r="F39" i="1912" s="1"/>
  <c r="D38" i="1912"/>
  <c r="F38" i="1912" s="1"/>
  <c r="D37" i="1912"/>
  <c r="F37" i="1912" s="1"/>
  <c r="D36" i="1912"/>
  <c r="F36" i="1912" s="1"/>
  <c r="D35" i="1912"/>
  <c r="F35" i="1912" s="1"/>
  <c r="D34" i="1912"/>
  <c r="F34" i="1912" s="1"/>
  <c r="D33" i="1912"/>
  <c r="F33" i="1912" s="1"/>
  <c r="D32" i="1912"/>
  <c r="F32" i="1912" s="1"/>
  <c r="D31" i="1912"/>
  <c r="F31" i="1912" s="1"/>
  <c r="D30" i="1912"/>
  <c r="F30" i="1912" s="1"/>
  <c r="D29" i="1912"/>
  <c r="F29" i="1912" s="1"/>
  <c r="D28" i="1912"/>
  <c r="F28" i="1912" s="1"/>
  <c r="D27" i="1912"/>
  <c r="F27" i="1912" s="1"/>
  <c r="D26" i="1912"/>
  <c r="F26" i="1912" s="1"/>
  <c r="D25" i="1912"/>
  <c r="F25" i="1912" s="1"/>
  <c r="D24" i="1912"/>
  <c r="F24" i="1912" s="1"/>
  <c r="D23" i="1912"/>
  <c r="F23" i="1912" s="1"/>
  <c r="D22" i="1912"/>
  <c r="F22" i="1912" s="1"/>
  <c r="D21" i="1912"/>
  <c r="F21" i="1912" s="1"/>
  <c r="D20" i="1912"/>
  <c r="F20" i="1912" s="1"/>
  <c r="D19" i="1912"/>
  <c r="F19" i="1912" s="1"/>
  <c r="D18" i="1912"/>
  <c r="F18" i="1912" s="1"/>
  <c r="C45" i="1912"/>
  <c r="D14" i="1912"/>
  <c r="F14" i="1912" s="1"/>
  <c r="D13" i="1912"/>
  <c r="F13" i="1912" s="1"/>
  <c r="D12" i="1912"/>
  <c r="F12" i="1912" s="1"/>
  <c r="D11" i="1912"/>
  <c r="F11" i="1912" s="1"/>
  <c r="D10" i="1912"/>
  <c r="F10" i="1912" s="1"/>
  <c r="D9" i="1912"/>
  <c r="F9" i="1912" s="1"/>
  <c r="D8" i="1912"/>
  <c r="F8" i="1912" s="1"/>
  <c r="D7" i="1912"/>
  <c r="F7" i="1912" s="1"/>
  <c r="D6" i="1912"/>
  <c r="F6" i="1912" s="1"/>
  <c r="D5" i="1912"/>
  <c r="F5" i="1912" s="1"/>
  <c r="C16" i="1912"/>
  <c r="D4" i="1912"/>
  <c r="D43" i="1911"/>
  <c r="F43" i="1911" s="1"/>
  <c r="D42" i="1911"/>
  <c r="F42" i="1911" s="1"/>
  <c r="D41" i="1911"/>
  <c r="F41" i="1911" s="1"/>
  <c r="D40" i="1911"/>
  <c r="F40" i="1911" s="1"/>
  <c r="D36" i="1911"/>
  <c r="F36" i="1911" s="1"/>
  <c r="D35" i="1911"/>
  <c r="F35" i="1911" s="1"/>
  <c r="D34" i="1911"/>
  <c r="F34" i="1911" s="1"/>
  <c r="D33" i="1911"/>
  <c r="F33" i="1911" s="1"/>
  <c r="D39" i="1911"/>
  <c r="F39" i="1911" s="1"/>
  <c r="D38" i="1911"/>
  <c r="F38" i="1911" s="1"/>
  <c r="D37" i="1911"/>
  <c r="F37" i="1911" s="1"/>
  <c r="D32" i="1911"/>
  <c r="F32" i="1911" s="1"/>
  <c r="D31" i="1911"/>
  <c r="F31" i="1911" s="1"/>
  <c r="D30" i="1911"/>
  <c r="F30" i="1911" s="1"/>
  <c r="D29" i="1911"/>
  <c r="F29" i="1911" s="1"/>
  <c r="D28" i="1911"/>
  <c r="F28" i="1911" s="1"/>
  <c r="D27" i="1911"/>
  <c r="F27" i="1911" s="1"/>
  <c r="D26" i="1911"/>
  <c r="F26" i="1911" s="1"/>
  <c r="D25" i="1911"/>
  <c r="F25" i="1911" s="1"/>
  <c r="D24" i="1911"/>
  <c r="F24" i="1911" s="1"/>
  <c r="D20" i="1911"/>
  <c r="F20" i="1911" s="1"/>
  <c r="D16" i="1911"/>
  <c r="F16" i="1911" s="1"/>
  <c r="D18" i="1911"/>
  <c r="F18" i="1911" s="1"/>
  <c r="D17" i="1911"/>
  <c r="F17" i="1911" s="1"/>
  <c r="D19" i="1911"/>
  <c r="F19" i="1911" s="1"/>
  <c r="D15" i="1911"/>
  <c r="F15" i="1911" s="1"/>
  <c r="D14" i="1911"/>
  <c r="F14" i="1911" s="1"/>
  <c r="D13" i="1911"/>
  <c r="F13" i="1911" s="1"/>
  <c r="D12" i="1911"/>
  <c r="F12" i="1911" s="1"/>
  <c r="D11" i="1911"/>
  <c r="F11" i="1911" s="1"/>
  <c r="D10" i="1911"/>
  <c r="F10" i="1911" s="1"/>
  <c r="D9" i="1911"/>
  <c r="F9" i="1911" s="1"/>
  <c r="D8" i="1911"/>
  <c r="F8" i="1911" s="1"/>
  <c r="D7" i="1911"/>
  <c r="F7" i="1911" s="1"/>
  <c r="D6" i="1911"/>
  <c r="F6" i="1911" s="1"/>
  <c r="D5" i="1911"/>
  <c r="F5" i="1911" s="1"/>
  <c r="D4" i="1911"/>
  <c r="D43" i="1485"/>
  <c r="F43" i="1485" s="1"/>
  <c r="D42" i="1485"/>
  <c r="F42" i="1485" s="1"/>
  <c r="D41" i="1485"/>
  <c r="F41" i="1485" s="1"/>
  <c r="D40" i="1485"/>
  <c r="F40" i="1485" s="1"/>
  <c r="D39" i="1485"/>
  <c r="F39" i="1485" s="1"/>
  <c r="D38" i="1485"/>
  <c r="F38" i="1485" s="1"/>
  <c r="D37" i="1485"/>
  <c r="F37" i="1485" s="1"/>
  <c r="D36" i="1485"/>
  <c r="F36" i="1485" s="1"/>
  <c r="D35" i="1485"/>
  <c r="F35" i="1485" s="1"/>
  <c r="D34" i="1485"/>
  <c r="F34" i="1485" s="1"/>
  <c r="D33" i="1485"/>
  <c r="F33" i="1485" s="1"/>
  <c r="D32" i="1485"/>
  <c r="F32" i="1485" s="1"/>
  <c r="D31" i="1485"/>
  <c r="F31" i="1485" s="1"/>
  <c r="D30" i="1485"/>
  <c r="F30" i="1485" s="1"/>
  <c r="D29" i="1485"/>
  <c r="F29" i="1485" s="1"/>
  <c r="D28" i="1485"/>
  <c r="F28" i="1485" s="1"/>
  <c r="D27" i="1485"/>
  <c r="F27" i="1485" s="1"/>
  <c r="D26" i="1485"/>
  <c r="F26" i="1485" s="1"/>
  <c r="D25" i="1485"/>
  <c r="F25" i="1485" s="1"/>
  <c r="D24" i="1485"/>
  <c r="F24" i="1485" s="1"/>
  <c r="D23" i="1485"/>
  <c r="F23" i="1485" s="1"/>
  <c r="D22" i="1485"/>
  <c r="F22" i="1485" s="1"/>
  <c r="D21" i="1485"/>
  <c r="F21" i="1485" s="1"/>
  <c r="D20" i="1485"/>
  <c r="F20" i="1485" s="1"/>
  <c r="D19" i="1485"/>
  <c r="F19" i="1485" s="1"/>
  <c r="C45" i="1485"/>
  <c r="D18" i="1485"/>
  <c r="F18" i="1485" s="1"/>
  <c r="D14" i="1485"/>
  <c r="F14" i="1485" s="1"/>
  <c r="D13" i="1485"/>
  <c r="F13" i="1485" s="1"/>
  <c r="D12" i="1485"/>
  <c r="F12" i="1485" s="1"/>
  <c r="D11" i="1485"/>
  <c r="F11" i="1485" s="1"/>
  <c r="D10" i="1485"/>
  <c r="F10" i="1485" s="1"/>
  <c r="D9" i="1485"/>
  <c r="F9" i="1485" s="1"/>
  <c r="D8" i="1485"/>
  <c r="F8" i="1485" s="1"/>
  <c r="D7" i="1485"/>
  <c r="F7" i="1485" s="1"/>
  <c r="D6" i="1485"/>
  <c r="F6" i="1485" s="1"/>
  <c r="D5" i="1485"/>
  <c r="F5" i="1485" s="1"/>
  <c r="D4" i="1485"/>
  <c r="C16" i="1485"/>
  <c r="D43" i="1484"/>
  <c r="F43" i="1484" s="1"/>
  <c r="D42" i="1484"/>
  <c r="F42" i="1484" s="1"/>
  <c r="D41" i="1484"/>
  <c r="F41" i="1484" s="1"/>
  <c r="D40" i="1484"/>
  <c r="F40" i="1484" s="1"/>
  <c r="D36" i="1484"/>
  <c r="F36" i="1484" s="1"/>
  <c r="D35" i="1484"/>
  <c r="F35" i="1484" s="1"/>
  <c r="D34" i="1484"/>
  <c r="F34" i="1484" s="1"/>
  <c r="D33" i="1484"/>
  <c r="F33" i="1484" s="1"/>
  <c r="D39" i="1484"/>
  <c r="F39" i="1484" s="1"/>
  <c r="D38" i="1484"/>
  <c r="F38" i="1484" s="1"/>
  <c r="D37" i="1484"/>
  <c r="F37" i="1484" s="1"/>
  <c r="D32" i="1484"/>
  <c r="D31" i="1484"/>
  <c r="F31" i="1484" s="1"/>
  <c r="D30" i="1484"/>
  <c r="F30" i="1484" s="1"/>
  <c r="D29" i="1484"/>
  <c r="F29" i="1484" s="1"/>
  <c r="D28" i="1484"/>
  <c r="F28" i="1484" s="1"/>
  <c r="D27" i="1484"/>
  <c r="F27" i="1484" s="1"/>
  <c r="D26" i="1484"/>
  <c r="F26" i="1484" s="1"/>
  <c r="D25" i="1484"/>
  <c r="F25" i="1484" s="1"/>
  <c r="D24" i="1484"/>
  <c r="F24" i="1484" s="1"/>
  <c r="D20" i="1484"/>
  <c r="F20" i="1484" s="1"/>
  <c r="D16" i="1484"/>
  <c r="F16" i="1484" s="1"/>
  <c r="D18" i="1484"/>
  <c r="F18" i="1484" s="1"/>
  <c r="D17" i="1484"/>
  <c r="F17" i="1484" s="1"/>
  <c r="D19" i="1484"/>
  <c r="F19" i="1484" s="1"/>
  <c r="D15" i="1484"/>
  <c r="F15" i="1484" s="1"/>
  <c r="D14" i="1484"/>
  <c r="F14" i="1484" s="1"/>
  <c r="D13" i="1484"/>
  <c r="F13" i="1484" s="1"/>
  <c r="D12" i="1484"/>
  <c r="F12" i="1484" s="1"/>
  <c r="D11" i="1484"/>
  <c r="F11" i="1484" s="1"/>
  <c r="D10" i="1484"/>
  <c r="F10" i="1484" s="1"/>
  <c r="D9" i="1484"/>
  <c r="F9" i="1484" s="1"/>
  <c r="D8" i="1484"/>
  <c r="F8" i="1484" s="1"/>
  <c r="D7" i="1484"/>
  <c r="F7" i="1484" s="1"/>
  <c r="D6" i="1484"/>
  <c r="F6" i="1484" s="1"/>
  <c r="D5" i="1484"/>
  <c r="F5" i="1484" s="1"/>
  <c r="D4" i="1484"/>
  <c r="D43" i="1777"/>
  <c r="F43" i="1777" s="1"/>
  <c r="D42" i="1777"/>
  <c r="F42" i="1777" s="1"/>
  <c r="D41" i="1777"/>
  <c r="F41" i="1777" s="1"/>
  <c r="D40" i="1777"/>
  <c r="F40" i="1777" s="1"/>
  <c r="D39" i="1777"/>
  <c r="F39" i="1777" s="1"/>
  <c r="D38" i="1777"/>
  <c r="F38" i="1777" s="1"/>
  <c r="D37" i="1777"/>
  <c r="F37" i="1777" s="1"/>
  <c r="D36" i="1777"/>
  <c r="D35" i="1777"/>
  <c r="F35" i="1777" s="1"/>
  <c r="D34" i="1777"/>
  <c r="F34" i="1777" s="1"/>
  <c r="D33" i="1777"/>
  <c r="F33" i="1777" s="1"/>
  <c r="D32" i="1777"/>
  <c r="F32" i="1777" s="1"/>
  <c r="D31" i="1777"/>
  <c r="F31" i="1777" s="1"/>
  <c r="D30" i="1777"/>
  <c r="F30" i="1777" s="1"/>
  <c r="D29" i="1777"/>
  <c r="F29" i="1777" s="1"/>
  <c r="D28" i="1777"/>
  <c r="F28" i="1777" s="1"/>
  <c r="D27" i="1777"/>
  <c r="F27" i="1777" s="1"/>
  <c r="D26" i="1777"/>
  <c r="F26" i="1777" s="1"/>
  <c r="D25" i="1777"/>
  <c r="F25" i="1777" s="1"/>
  <c r="D24" i="1777"/>
  <c r="F24" i="1777" s="1"/>
  <c r="D23" i="1777"/>
  <c r="F23" i="1777" s="1"/>
  <c r="D22" i="1777"/>
  <c r="F22" i="1777" s="1"/>
  <c r="D21" i="1777"/>
  <c r="F21" i="1777" s="1"/>
  <c r="D20" i="1777"/>
  <c r="F20" i="1777" s="1"/>
  <c r="D19" i="1777"/>
  <c r="F19" i="1777" s="1"/>
  <c r="C45" i="1777"/>
  <c r="D18" i="1777"/>
  <c r="F18" i="1777" s="1"/>
  <c r="D14" i="1777"/>
  <c r="F14" i="1777" s="1"/>
  <c r="D13" i="1777"/>
  <c r="F13" i="1777" s="1"/>
  <c r="D12" i="1777"/>
  <c r="F12" i="1777" s="1"/>
  <c r="D11" i="1777"/>
  <c r="F11" i="1777" s="1"/>
  <c r="D10" i="1777"/>
  <c r="F10" i="1777" s="1"/>
  <c r="D9" i="1777"/>
  <c r="F9" i="1777" s="1"/>
  <c r="D8" i="1777"/>
  <c r="F8" i="1777" s="1"/>
  <c r="D7" i="1777"/>
  <c r="F7" i="1777" s="1"/>
  <c r="D6" i="1777"/>
  <c r="F6" i="1777" s="1"/>
  <c r="D5" i="1777"/>
  <c r="F5" i="1777" s="1"/>
  <c r="D4" i="1777"/>
  <c r="C16" i="1777"/>
  <c r="D43" i="1776"/>
  <c r="F43" i="1776" s="1"/>
  <c r="D42" i="1776"/>
  <c r="F42" i="1776" s="1"/>
  <c r="D41" i="1776"/>
  <c r="F41" i="1776" s="1"/>
  <c r="D40" i="1776"/>
  <c r="F40" i="1776" s="1"/>
  <c r="D36" i="1776"/>
  <c r="F36" i="1776" s="1"/>
  <c r="D35" i="1776"/>
  <c r="F35" i="1776" s="1"/>
  <c r="D34" i="1776"/>
  <c r="F34" i="1776" s="1"/>
  <c r="D33" i="1776"/>
  <c r="F33" i="1776" s="1"/>
  <c r="D39" i="1776"/>
  <c r="F39" i="1776" s="1"/>
  <c r="D38" i="1776"/>
  <c r="F38" i="1776" s="1"/>
  <c r="D37" i="1776"/>
  <c r="F37" i="1776" s="1"/>
  <c r="D32" i="1776"/>
  <c r="F32" i="1776" s="1"/>
  <c r="D31" i="1776"/>
  <c r="F31" i="1776" s="1"/>
  <c r="D30" i="1776"/>
  <c r="F30" i="1776" s="1"/>
  <c r="D29" i="1776"/>
  <c r="F29" i="1776" s="1"/>
  <c r="D28" i="1776"/>
  <c r="F28" i="1776" s="1"/>
  <c r="D27" i="1776"/>
  <c r="F27" i="1776" s="1"/>
  <c r="D26" i="1776"/>
  <c r="F26" i="1776" s="1"/>
  <c r="D25" i="1776"/>
  <c r="F25" i="1776" s="1"/>
  <c r="D24" i="1776"/>
  <c r="F24" i="1776" s="1"/>
  <c r="D20" i="1776"/>
  <c r="F20" i="1776" s="1"/>
  <c r="D16" i="1776"/>
  <c r="F16" i="1776" s="1"/>
  <c r="D18" i="1776"/>
  <c r="F18" i="1776" s="1"/>
  <c r="D17" i="1776"/>
  <c r="F17" i="1776" s="1"/>
  <c r="D19" i="1776"/>
  <c r="F19" i="1776" s="1"/>
  <c r="D15" i="1776"/>
  <c r="F15" i="1776" s="1"/>
  <c r="D14" i="1776"/>
  <c r="F14" i="1776" s="1"/>
  <c r="D13" i="1776"/>
  <c r="F13" i="1776" s="1"/>
  <c r="D12" i="1776"/>
  <c r="F12" i="1776" s="1"/>
  <c r="D11" i="1776"/>
  <c r="F11" i="1776" s="1"/>
  <c r="D10" i="1776"/>
  <c r="F10" i="1776" s="1"/>
  <c r="D9" i="1776"/>
  <c r="F9" i="1776" s="1"/>
  <c r="D8" i="1776"/>
  <c r="F8" i="1776" s="1"/>
  <c r="D7" i="1776"/>
  <c r="F7" i="1776" s="1"/>
  <c r="D6" i="1776"/>
  <c r="F6" i="1776" s="1"/>
  <c r="D5" i="1776"/>
  <c r="F5" i="1776" s="1"/>
  <c r="D4" i="1776"/>
  <c r="D43" i="1762"/>
  <c r="F43" i="1762" s="1"/>
  <c r="D42" i="1762"/>
  <c r="F42" i="1762" s="1"/>
  <c r="D41" i="1762"/>
  <c r="F41" i="1762" s="1"/>
  <c r="D40" i="1762"/>
  <c r="F40" i="1762" s="1"/>
  <c r="D39" i="1762"/>
  <c r="F39" i="1762" s="1"/>
  <c r="D38" i="1762"/>
  <c r="F38" i="1762" s="1"/>
  <c r="D37" i="1762"/>
  <c r="F37" i="1762" s="1"/>
  <c r="D36" i="1762"/>
  <c r="F36" i="1762" s="1"/>
  <c r="D35" i="1762"/>
  <c r="F35" i="1762" s="1"/>
  <c r="D34" i="1762"/>
  <c r="F34" i="1762" s="1"/>
  <c r="D33" i="1762"/>
  <c r="F33" i="1762" s="1"/>
  <c r="D32" i="1762"/>
  <c r="F32" i="1762" s="1"/>
  <c r="D31" i="1762"/>
  <c r="F31" i="1762" s="1"/>
  <c r="D30" i="1762"/>
  <c r="F30" i="1762" s="1"/>
  <c r="D29" i="1762"/>
  <c r="F29" i="1762" s="1"/>
  <c r="D28" i="1762"/>
  <c r="F28" i="1762" s="1"/>
  <c r="D27" i="1762"/>
  <c r="F27" i="1762" s="1"/>
  <c r="D26" i="1762"/>
  <c r="F26" i="1762" s="1"/>
  <c r="D25" i="1762"/>
  <c r="F25" i="1762" s="1"/>
  <c r="D24" i="1762"/>
  <c r="F24" i="1762" s="1"/>
  <c r="D23" i="1762"/>
  <c r="F23" i="1762" s="1"/>
  <c r="D22" i="1762"/>
  <c r="F22" i="1762" s="1"/>
  <c r="D21" i="1762"/>
  <c r="F21" i="1762" s="1"/>
  <c r="D20" i="1762"/>
  <c r="F20" i="1762" s="1"/>
  <c r="D19" i="1762"/>
  <c r="F19" i="1762" s="1"/>
  <c r="C45" i="1762"/>
  <c r="D18" i="1762"/>
  <c r="F18" i="1762" s="1"/>
  <c r="D14" i="1762"/>
  <c r="F14" i="1762" s="1"/>
  <c r="D13" i="1762"/>
  <c r="F13" i="1762" s="1"/>
  <c r="D12" i="1762"/>
  <c r="F12" i="1762" s="1"/>
  <c r="D11" i="1762"/>
  <c r="F11" i="1762" s="1"/>
  <c r="D10" i="1762"/>
  <c r="F10" i="1762" s="1"/>
  <c r="D9" i="1762"/>
  <c r="F9" i="1762" s="1"/>
  <c r="D8" i="1762"/>
  <c r="F8" i="1762" s="1"/>
  <c r="D7" i="1762"/>
  <c r="F7" i="1762" s="1"/>
  <c r="D6" i="1762"/>
  <c r="F6" i="1762" s="1"/>
  <c r="D5" i="1762"/>
  <c r="F5" i="1762" s="1"/>
  <c r="C16" i="1762"/>
  <c r="D4" i="1762"/>
  <c r="F4" i="1762" s="1"/>
  <c r="D43" i="1761"/>
  <c r="F43" i="1761" s="1"/>
  <c r="D42" i="1761"/>
  <c r="F42" i="1761" s="1"/>
  <c r="D41" i="1761"/>
  <c r="F41" i="1761" s="1"/>
  <c r="D40" i="1761"/>
  <c r="F40" i="1761" s="1"/>
  <c r="D36" i="1761"/>
  <c r="F36" i="1761" s="1"/>
  <c r="D35" i="1761"/>
  <c r="F35" i="1761" s="1"/>
  <c r="D34" i="1761"/>
  <c r="F34" i="1761" s="1"/>
  <c r="D33" i="1761"/>
  <c r="F33" i="1761" s="1"/>
  <c r="D39" i="1761"/>
  <c r="F39" i="1761" s="1"/>
  <c r="D38" i="1761"/>
  <c r="F38" i="1761" s="1"/>
  <c r="D37" i="1761"/>
  <c r="F37" i="1761" s="1"/>
  <c r="D32" i="1761"/>
  <c r="F32" i="1761" s="1"/>
  <c r="D31" i="1761"/>
  <c r="F31" i="1761" s="1"/>
  <c r="D30" i="1761"/>
  <c r="F30" i="1761" s="1"/>
  <c r="D29" i="1761"/>
  <c r="F29" i="1761" s="1"/>
  <c r="D28" i="1761"/>
  <c r="F28" i="1761" s="1"/>
  <c r="D27" i="1761"/>
  <c r="F27" i="1761" s="1"/>
  <c r="D26" i="1761"/>
  <c r="F26" i="1761" s="1"/>
  <c r="D25" i="1761"/>
  <c r="F25" i="1761" s="1"/>
  <c r="D24" i="1761"/>
  <c r="F24" i="1761" s="1"/>
  <c r="D20" i="1761"/>
  <c r="F20" i="1761" s="1"/>
  <c r="D16" i="1761"/>
  <c r="F16" i="1761" s="1"/>
  <c r="D18" i="1761"/>
  <c r="F18" i="1761" s="1"/>
  <c r="D17" i="1761"/>
  <c r="F17" i="1761" s="1"/>
  <c r="D19" i="1761"/>
  <c r="F19" i="1761" s="1"/>
  <c r="D15" i="1761"/>
  <c r="F15" i="1761" s="1"/>
  <c r="D14" i="1761"/>
  <c r="F14" i="1761" s="1"/>
  <c r="D13" i="1761"/>
  <c r="D12" i="1761"/>
  <c r="F12" i="1761" s="1"/>
  <c r="D11" i="1761"/>
  <c r="F11" i="1761" s="1"/>
  <c r="D10" i="1761"/>
  <c r="F10" i="1761" s="1"/>
  <c r="D9" i="1761"/>
  <c r="F9" i="1761" s="1"/>
  <c r="D8" i="1761"/>
  <c r="F8" i="1761" s="1"/>
  <c r="D7" i="1761"/>
  <c r="F7" i="1761" s="1"/>
  <c r="D6" i="1761"/>
  <c r="F6" i="1761" s="1"/>
  <c r="D5" i="1761"/>
  <c r="F5" i="1761" s="1"/>
  <c r="D4" i="1761"/>
  <c r="D4" i="1729"/>
  <c r="D10" i="1729"/>
  <c r="F10" i="1729" s="1"/>
  <c r="D8" i="1729"/>
  <c r="F8" i="1729" s="1"/>
  <c r="D7" i="1729"/>
  <c r="F7" i="1729" s="1"/>
  <c r="D6" i="1729"/>
  <c r="F6" i="1729" s="1"/>
  <c r="D12" i="1729"/>
  <c r="F12" i="1729" s="1"/>
  <c r="D11" i="1729"/>
  <c r="F11" i="1729" s="1"/>
  <c r="D9" i="1729"/>
  <c r="F9" i="1729" s="1"/>
  <c r="D17" i="1729"/>
  <c r="F17" i="1729" s="1"/>
  <c r="D16" i="1729"/>
  <c r="F16" i="1729" s="1"/>
  <c r="D27" i="1729"/>
  <c r="D26" i="1729"/>
  <c r="D46" i="1253"/>
  <c r="F46" i="1253" s="1"/>
  <c r="D45" i="1253"/>
  <c r="F45" i="1253" s="1"/>
  <c r="D44" i="1253"/>
  <c r="F44" i="1253" s="1"/>
  <c r="D43" i="1253"/>
  <c r="F43" i="1253" s="1"/>
  <c r="D42" i="1253"/>
  <c r="F42" i="1253" s="1"/>
  <c r="D41" i="1253"/>
  <c r="F41" i="1253" s="1"/>
  <c r="D40" i="1253"/>
  <c r="F40" i="1253" s="1"/>
  <c r="D39" i="1253"/>
  <c r="F39" i="1253" s="1"/>
  <c r="D38" i="1253"/>
  <c r="F38" i="1253" s="1"/>
  <c r="D37" i="1253"/>
  <c r="F37" i="1253" s="1"/>
  <c r="D36" i="1253"/>
  <c r="F36" i="1253" s="1"/>
  <c r="D35" i="1253"/>
  <c r="F35" i="1253" s="1"/>
  <c r="D34" i="1253"/>
  <c r="F34" i="1253" s="1"/>
  <c r="D33" i="1253"/>
  <c r="F33" i="1253" s="1"/>
  <c r="D32" i="1253"/>
  <c r="F32" i="1253" s="1"/>
  <c r="D31" i="1253"/>
  <c r="F31" i="1253" s="1"/>
  <c r="D30" i="1253"/>
  <c r="F30" i="1253" s="1"/>
  <c r="D29" i="1253"/>
  <c r="F29" i="1253" s="1"/>
  <c r="D28" i="1253"/>
  <c r="F28" i="1253" s="1"/>
  <c r="D27" i="1253"/>
  <c r="F27" i="1253" s="1"/>
  <c r="D26" i="1253"/>
  <c r="F26" i="1253" s="1"/>
  <c r="D25" i="1253"/>
  <c r="F25" i="1253" s="1"/>
  <c r="D24" i="1253"/>
  <c r="F24" i="1253" s="1"/>
  <c r="D23" i="1253"/>
  <c r="F23" i="1253" s="1"/>
  <c r="D22" i="1253"/>
  <c r="F22" i="1253" s="1"/>
  <c r="D21" i="1253"/>
  <c r="F21" i="1253" s="1"/>
  <c r="C48" i="1253"/>
  <c r="D17" i="1253"/>
  <c r="F17" i="1253" s="1"/>
  <c r="D16" i="1253"/>
  <c r="F16" i="1253" s="1"/>
  <c r="D15" i="1253"/>
  <c r="F15" i="1253" s="1"/>
  <c r="C19" i="1253"/>
  <c r="D11" i="1253"/>
  <c r="F11" i="1253" s="1"/>
  <c r="D10" i="1253"/>
  <c r="F10" i="1253" s="1"/>
  <c r="D9" i="1253"/>
  <c r="F9" i="1253" s="1"/>
  <c r="D8" i="1253"/>
  <c r="F8" i="1253" s="1"/>
  <c r="D7" i="1253"/>
  <c r="F7" i="1253" s="1"/>
  <c r="D6" i="1253"/>
  <c r="F6" i="1253" s="1"/>
  <c r="D5" i="1253"/>
  <c r="F5" i="1253" s="1"/>
  <c r="D4" i="1253"/>
  <c r="F4" i="1253" s="1"/>
  <c r="C13" i="1253"/>
  <c r="R3" i="1"/>
  <c r="R30" i="1" s="1"/>
  <c r="B30" i="1"/>
  <c r="D36" i="1729" l="1"/>
  <c r="D35" i="1729"/>
  <c r="F35" i="1729" s="1"/>
  <c r="C37" i="1734"/>
  <c r="C37" i="1735"/>
  <c r="C37" i="1733"/>
  <c r="C38" i="1733" s="1"/>
  <c r="C37" i="2068"/>
  <c r="D14" i="1729"/>
  <c r="F14" i="1729" s="1"/>
  <c r="C37" i="1729"/>
  <c r="G37" i="1777"/>
  <c r="H37" i="1777" s="1"/>
  <c r="C47" i="1986"/>
  <c r="C47" i="1484"/>
  <c r="C47" i="1911"/>
  <c r="C47" i="1761"/>
  <c r="D48" i="1761"/>
  <c r="C47" i="1846"/>
  <c r="C47" i="1776"/>
  <c r="F4" i="1729"/>
  <c r="D19" i="1729"/>
  <c r="F19" i="1729" s="1"/>
  <c r="F27" i="1729"/>
  <c r="D48" i="1986"/>
  <c r="G37" i="1885"/>
  <c r="H37" i="1885" s="1"/>
  <c r="D48" i="1484"/>
  <c r="F26" i="1882"/>
  <c r="D48" i="2043"/>
  <c r="D48" i="2045"/>
  <c r="D48" i="2042"/>
  <c r="D45" i="2045"/>
  <c r="D22" i="2045"/>
  <c r="C47" i="2045"/>
  <c r="F43" i="2045"/>
  <c r="F42" i="2045"/>
  <c r="F41" i="2045"/>
  <c r="F40" i="2045"/>
  <c r="F39" i="2045"/>
  <c r="F38" i="2045"/>
  <c r="F37" i="2045"/>
  <c r="F36" i="2045"/>
  <c r="F35" i="2045"/>
  <c r="F34" i="2045"/>
  <c r="F33" i="2045"/>
  <c r="F32" i="2045"/>
  <c r="F31" i="2045"/>
  <c r="F30" i="2045"/>
  <c r="F29" i="2045"/>
  <c r="F28" i="2045"/>
  <c r="F27" i="2045"/>
  <c r="F26" i="2045"/>
  <c r="F25" i="2045"/>
  <c r="F24" i="2045"/>
  <c r="F20" i="2045"/>
  <c r="F19" i="2045"/>
  <c r="F18" i="2045"/>
  <c r="F17" i="2045"/>
  <c r="F16" i="2045"/>
  <c r="F15" i="2045"/>
  <c r="F14" i="2045"/>
  <c r="F13" i="2045"/>
  <c r="F12" i="2045"/>
  <c r="F11" i="2045"/>
  <c r="F10" i="2045"/>
  <c r="F9" i="2045"/>
  <c r="F8" i="2045"/>
  <c r="F7" i="2045"/>
  <c r="F6" i="2045"/>
  <c r="F5" i="2045"/>
  <c r="F4" i="2045"/>
  <c r="D45" i="2044"/>
  <c r="D22" i="2044"/>
  <c r="C47" i="2044"/>
  <c r="F43" i="2044"/>
  <c r="F42" i="2044"/>
  <c r="F41" i="2044"/>
  <c r="F40" i="2044"/>
  <c r="F39" i="2044"/>
  <c r="F38" i="2044"/>
  <c r="F37" i="2044"/>
  <c r="F36" i="2044"/>
  <c r="F35" i="2044"/>
  <c r="F34" i="2044"/>
  <c r="F33" i="2044"/>
  <c r="F32" i="2044"/>
  <c r="F31" i="2044"/>
  <c r="F30" i="2044"/>
  <c r="F29" i="2044"/>
  <c r="F28" i="2044"/>
  <c r="F27" i="2044"/>
  <c r="F26" i="2044"/>
  <c r="F25" i="2044"/>
  <c r="F24" i="2044"/>
  <c r="F20" i="2044"/>
  <c r="F19" i="2044"/>
  <c r="F18" i="2044"/>
  <c r="F17" i="2044"/>
  <c r="F16" i="2044"/>
  <c r="F15" i="2044"/>
  <c r="F13" i="2044"/>
  <c r="F12" i="2044"/>
  <c r="F11" i="2044"/>
  <c r="F10" i="2044"/>
  <c r="F9" i="2044"/>
  <c r="F7" i="2044"/>
  <c r="F5" i="2044"/>
  <c r="D48" i="2044"/>
  <c r="F14" i="2044"/>
  <c r="F8" i="2044"/>
  <c r="F6" i="2044"/>
  <c r="D45" i="2043"/>
  <c r="D22" i="2043"/>
  <c r="C47" i="2043"/>
  <c r="F43" i="2043"/>
  <c r="F42" i="2043"/>
  <c r="F41" i="2043"/>
  <c r="F40" i="2043"/>
  <c r="F39" i="2043"/>
  <c r="F38" i="2043"/>
  <c r="F37" i="2043"/>
  <c r="F36" i="2043"/>
  <c r="F35" i="2043"/>
  <c r="F34" i="2043"/>
  <c r="F33" i="2043"/>
  <c r="F32" i="2043"/>
  <c r="F31" i="2043"/>
  <c r="F30" i="2043"/>
  <c r="F29" i="2043"/>
  <c r="F28" i="2043"/>
  <c r="F27" i="2043"/>
  <c r="F26" i="2043"/>
  <c r="F25" i="2043"/>
  <c r="F24" i="2043"/>
  <c r="F20" i="2043"/>
  <c r="F19" i="2043"/>
  <c r="F18" i="2043"/>
  <c r="F17" i="2043"/>
  <c r="F16" i="2043"/>
  <c r="F15" i="2043"/>
  <c r="F14" i="2043"/>
  <c r="F13" i="2043"/>
  <c r="F12" i="2043"/>
  <c r="F11" i="2043"/>
  <c r="F10" i="2043"/>
  <c r="F9" i="2043"/>
  <c r="F8" i="2043"/>
  <c r="F7" i="2043"/>
  <c r="F6" i="2043"/>
  <c r="F5" i="2043"/>
  <c r="F4" i="2043"/>
  <c r="F7" i="1885"/>
  <c r="D45" i="2042"/>
  <c r="D22" i="2042"/>
  <c r="C47" i="2042"/>
  <c r="F43" i="2042"/>
  <c r="F42" i="2042"/>
  <c r="F41" i="2042"/>
  <c r="F40" i="2042"/>
  <c r="F39" i="2042"/>
  <c r="F38" i="2042"/>
  <c r="F37" i="2042"/>
  <c r="F36" i="2042"/>
  <c r="F35" i="2042"/>
  <c r="F34" i="2042"/>
  <c r="F33" i="2042"/>
  <c r="F32" i="2042"/>
  <c r="F31" i="2042"/>
  <c r="F30" i="2042"/>
  <c r="F29" i="2042"/>
  <c r="F28" i="2042"/>
  <c r="F27" i="2042"/>
  <c r="F26" i="2042"/>
  <c r="F25" i="2042"/>
  <c r="F24" i="2042"/>
  <c r="F20" i="2042"/>
  <c r="F19" i="2042"/>
  <c r="F18" i="2042"/>
  <c r="F17" i="2042"/>
  <c r="F16" i="2042"/>
  <c r="F15" i="2042"/>
  <c r="F14" i="2042"/>
  <c r="F13" i="2042"/>
  <c r="F12" i="2042"/>
  <c r="F11" i="2042"/>
  <c r="F10" i="2042"/>
  <c r="F9" i="2042"/>
  <c r="F8" i="2042"/>
  <c r="F7" i="2042"/>
  <c r="F6" i="2042"/>
  <c r="F5" i="2042"/>
  <c r="F4" i="2042"/>
  <c r="D48" i="1911"/>
  <c r="F26" i="1887"/>
  <c r="D48" i="1846"/>
  <c r="F36" i="1885"/>
  <c r="F13" i="1882"/>
  <c r="D48" i="1776"/>
  <c r="G37" i="1987"/>
  <c r="H37" i="1987" s="1"/>
  <c r="G39" i="1986"/>
  <c r="G34" i="1986"/>
  <c r="G39" i="1846"/>
  <c r="G34" i="1846"/>
  <c r="G28" i="1846"/>
  <c r="G20" i="1846"/>
  <c r="G12" i="1846"/>
  <c r="G5" i="1846"/>
  <c r="G39" i="1911"/>
  <c r="G34" i="1911"/>
  <c r="G28" i="1911"/>
  <c r="G20" i="1911"/>
  <c r="G12" i="1911"/>
  <c r="G5" i="1911"/>
  <c r="G39" i="1484"/>
  <c r="G34" i="1484"/>
  <c r="G39" i="1776"/>
  <c r="G34" i="1776"/>
  <c r="G28" i="1776"/>
  <c r="G20" i="1776"/>
  <c r="G12" i="1776"/>
  <c r="G5" i="1776"/>
  <c r="G39" i="1761"/>
  <c r="G34" i="1761"/>
  <c r="G28" i="1761"/>
  <c r="G20" i="1761"/>
  <c r="F41" i="1886"/>
  <c r="G37" i="1886" s="1"/>
  <c r="H37" i="1886" s="1"/>
  <c r="F41" i="1889"/>
  <c r="F13" i="1889"/>
  <c r="F41" i="1887"/>
  <c r="F36" i="1777"/>
  <c r="F32" i="1484"/>
  <c r="F13" i="1761"/>
  <c r="F35" i="1987"/>
  <c r="F14" i="1987"/>
  <c r="F14" i="1986"/>
  <c r="F13" i="1987"/>
  <c r="F13" i="1986"/>
  <c r="F33" i="1986"/>
  <c r="F26" i="1986"/>
  <c r="D45" i="1987"/>
  <c r="D16" i="1987"/>
  <c r="F16" i="1987" s="1"/>
  <c r="C47" i="1987"/>
  <c r="D48" i="1987"/>
  <c r="F4" i="1987"/>
  <c r="D45" i="1986"/>
  <c r="D22" i="1986"/>
  <c r="F22" i="1986" s="1"/>
  <c r="F4" i="1986"/>
  <c r="D48" i="1887"/>
  <c r="F4" i="1887"/>
  <c r="D48" i="1883"/>
  <c r="F4" i="1883"/>
  <c r="F48" i="1883" s="1"/>
  <c r="D48" i="1777"/>
  <c r="F4" i="1777"/>
  <c r="G37" i="1883"/>
  <c r="H37" i="1883" s="1"/>
  <c r="G11" i="1883"/>
  <c r="H11" i="1883" s="1"/>
  <c r="G37" i="1847"/>
  <c r="H37" i="1847" s="1"/>
  <c r="G14" i="1847"/>
  <c r="H14" i="1847" s="1"/>
  <c r="G8" i="1847"/>
  <c r="H8" i="1847" s="1"/>
  <c r="G37" i="1912"/>
  <c r="H37" i="1912" s="1"/>
  <c r="G29" i="1883"/>
  <c r="H29" i="1883" s="1"/>
  <c r="G18" i="1883"/>
  <c r="H18" i="1883" s="1"/>
  <c r="G26" i="1847"/>
  <c r="H26" i="1847" s="1"/>
  <c r="G11" i="1888"/>
  <c r="H11" i="1888" s="1"/>
  <c r="D48" i="1889"/>
  <c r="F4" i="1889"/>
  <c r="D48" i="1882"/>
  <c r="F4" i="1882"/>
  <c r="G20" i="1847"/>
  <c r="H20" i="1847" s="1"/>
  <c r="G23" i="1847"/>
  <c r="H23" i="1847" s="1"/>
  <c r="G20" i="1485"/>
  <c r="H20" i="1485" s="1"/>
  <c r="G8" i="1485"/>
  <c r="H8" i="1485" s="1"/>
  <c r="G26" i="1762"/>
  <c r="H26" i="1762" s="1"/>
  <c r="G14" i="1762"/>
  <c r="H14" i="1762" s="1"/>
  <c r="G5" i="1912"/>
  <c r="H5" i="1912" s="1"/>
  <c r="G5" i="1485"/>
  <c r="H5" i="1485" s="1"/>
  <c r="G8" i="1912"/>
  <c r="H8" i="1912" s="1"/>
  <c r="G8" i="1762"/>
  <c r="H8" i="1762" s="1"/>
  <c r="D48" i="1762"/>
  <c r="D48" i="1847"/>
  <c r="F4" i="1847"/>
  <c r="F48" i="1847" s="1"/>
  <c r="F4" i="1846"/>
  <c r="F48" i="1846" s="1"/>
  <c r="G48" i="1846" s="1"/>
  <c r="G26" i="1485"/>
  <c r="H26" i="1485" s="1"/>
  <c r="G23" i="1485"/>
  <c r="H23" i="1485" s="1"/>
  <c r="F4" i="1484"/>
  <c r="F4" i="1776"/>
  <c r="F48" i="1776" s="1"/>
  <c r="G48" i="1776" s="1"/>
  <c r="F26" i="1729"/>
  <c r="G28" i="1253"/>
  <c r="H28" i="1253" s="1"/>
  <c r="G37" i="1884"/>
  <c r="H37" i="1884" s="1"/>
  <c r="G29" i="1884"/>
  <c r="H29" i="1884" s="1"/>
  <c r="G37" i="1888"/>
  <c r="H37" i="1888" s="1"/>
  <c r="G29" i="1888"/>
  <c r="H29" i="1888" s="1"/>
  <c r="G18" i="1888"/>
  <c r="H18" i="1888" s="1"/>
  <c r="G37" i="1882"/>
  <c r="H37" i="1882" s="1"/>
  <c r="G29" i="1882"/>
  <c r="H29" i="1882" s="1"/>
  <c r="G11" i="1847"/>
  <c r="H11" i="1847" s="1"/>
  <c r="G26" i="1912"/>
  <c r="H26" i="1912" s="1"/>
  <c r="G23" i="1912"/>
  <c r="H23" i="1912" s="1"/>
  <c r="G20" i="1912"/>
  <c r="H20" i="1912" s="1"/>
  <c r="G37" i="1485"/>
  <c r="H37" i="1485" s="1"/>
  <c r="G37" i="1762"/>
  <c r="H37" i="1762" s="1"/>
  <c r="G23" i="1762"/>
  <c r="H23" i="1762" s="1"/>
  <c r="G20" i="1762"/>
  <c r="H20" i="1762" s="1"/>
  <c r="G11" i="1762"/>
  <c r="H11" i="1762" s="1"/>
  <c r="F51" i="1253"/>
  <c r="D45" i="1889"/>
  <c r="F45" i="1889" s="1"/>
  <c r="D20" i="1889"/>
  <c r="F20" i="1889" s="1"/>
  <c r="C47" i="1889"/>
  <c r="D45" i="1884"/>
  <c r="F45" i="1884" s="1"/>
  <c r="D20" i="1884"/>
  <c r="F20" i="1884" s="1"/>
  <c r="C47" i="1884"/>
  <c r="D45" i="1885"/>
  <c r="F45" i="1885" s="1"/>
  <c r="D20" i="1885"/>
  <c r="F20" i="1885" s="1"/>
  <c r="C47" i="1885"/>
  <c r="D45" i="1886"/>
  <c r="F45" i="1886" s="1"/>
  <c r="D20" i="1886"/>
  <c r="C47" i="1886"/>
  <c r="D45" i="1887"/>
  <c r="F45" i="1887" s="1"/>
  <c r="D20" i="1887"/>
  <c r="F20" i="1887" s="1"/>
  <c r="C47" i="1887"/>
  <c r="D45" i="1888"/>
  <c r="F45" i="1888" s="1"/>
  <c r="D20" i="1888"/>
  <c r="F20" i="1888" s="1"/>
  <c r="C47" i="1888"/>
  <c r="D45" i="1883"/>
  <c r="F45" i="1883" s="1"/>
  <c r="D20" i="1883"/>
  <c r="F20" i="1883" s="1"/>
  <c r="C47" i="1883"/>
  <c r="D45" i="1882"/>
  <c r="F45" i="1882" s="1"/>
  <c r="D20" i="1882"/>
  <c r="F20" i="1882" s="1"/>
  <c r="C47" i="1882"/>
  <c r="D45" i="1847"/>
  <c r="F45" i="1847" s="1"/>
  <c r="D16" i="1847"/>
  <c r="F16" i="1847" s="1"/>
  <c r="C47" i="1847"/>
  <c r="D22" i="1846"/>
  <c r="F22" i="1846" s="1"/>
  <c r="D45" i="1912"/>
  <c r="F45" i="1912" s="1"/>
  <c r="D16" i="1912"/>
  <c r="F16" i="1912" s="1"/>
  <c r="C47" i="1912"/>
  <c r="D22" i="1911"/>
  <c r="F22" i="1911" s="1"/>
  <c r="D45" i="1485"/>
  <c r="F45" i="1485" s="1"/>
  <c r="D16" i="1485"/>
  <c r="F16" i="1485" s="1"/>
  <c r="C47" i="1485"/>
  <c r="D22" i="1484"/>
  <c r="F22" i="1484" s="1"/>
  <c r="D45" i="1777"/>
  <c r="F45" i="1777" s="1"/>
  <c r="D16" i="1777"/>
  <c r="F16" i="1777" s="1"/>
  <c r="C47" i="1777"/>
  <c r="D22" i="1776"/>
  <c r="F22" i="1776" s="1"/>
  <c r="D45" i="1762"/>
  <c r="F45" i="1762" s="1"/>
  <c r="D16" i="1762"/>
  <c r="F16" i="1762" s="1"/>
  <c r="C47" i="1762"/>
  <c r="D22" i="1761"/>
  <c r="F22" i="1761" s="1"/>
  <c r="D48" i="1253"/>
  <c r="F48" i="1253" s="1"/>
  <c r="D19" i="1253"/>
  <c r="D13" i="1253"/>
  <c r="F13" i="1253" s="1"/>
  <c r="C50" i="1253"/>
  <c r="G11" i="1884"/>
  <c r="H11" i="1884" s="1"/>
  <c r="G18" i="1884"/>
  <c r="H18" i="1884" s="1"/>
  <c r="D48" i="1884"/>
  <c r="F4" i="1884"/>
  <c r="F48" i="1884" s="1"/>
  <c r="D48" i="1885"/>
  <c r="F4" i="1885"/>
  <c r="D48" i="1886"/>
  <c r="F4" i="1886"/>
  <c r="D48" i="1888"/>
  <c r="F4" i="1888"/>
  <c r="F48" i="1888" s="1"/>
  <c r="G5" i="1847"/>
  <c r="H5" i="1847" s="1"/>
  <c r="G11" i="1912"/>
  <c r="H11" i="1912" s="1"/>
  <c r="G14" i="1912"/>
  <c r="H14" i="1912" s="1"/>
  <c r="D48" i="1912"/>
  <c r="F4" i="1912"/>
  <c r="F48" i="1912" s="1"/>
  <c r="F4" i="1911"/>
  <c r="F48" i="1911" s="1"/>
  <c r="G48" i="1911" s="1"/>
  <c r="G11" i="1485"/>
  <c r="H11" i="1485" s="1"/>
  <c r="G14" i="1485"/>
  <c r="H14" i="1485" s="1"/>
  <c r="D48" i="1485"/>
  <c r="F4" i="1485"/>
  <c r="F48" i="1485" s="1"/>
  <c r="F48" i="1762"/>
  <c r="G5" i="1762"/>
  <c r="H5" i="1762" s="1"/>
  <c r="F4" i="1761"/>
  <c r="G35" i="1253"/>
  <c r="H35" i="1253" s="1"/>
  <c r="G41" i="1253"/>
  <c r="H41" i="1253" s="1"/>
  <c r="F36" i="1729" l="1"/>
  <c r="G39" i="2043"/>
  <c r="H39" i="2043" s="1"/>
  <c r="G39" i="2044"/>
  <c r="H39" i="2044" s="1"/>
  <c r="G39" i="2045"/>
  <c r="H39" i="2045" s="1"/>
  <c r="G18" i="1882"/>
  <c r="H18" i="1882" s="1"/>
  <c r="G20" i="2042"/>
  <c r="H20" i="2042" s="1"/>
  <c r="F45" i="2045"/>
  <c r="F45" i="2044"/>
  <c r="F22" i="2043"/>
  <c r="F22" i="2045"/>
  <c r="F22" i="2044"/>
  <c r="G12" i="2045"/>
  <c r="H12" i="2045" s="1"/>
  <c r="G20" i="2045"/>
  <c r="H20" i="2045" s="1"/>
  <c r="G20" i="2044"/>
  <c r="H20" i="2044" s="1"/>
  <c r="G20" i="2043"/>
  <c r="H20" i="2043" s="1"/>
  <c r="F45" i="2043"/>
  <c r="G12" i="2043"/>
  <c r="H12" i="2043" s="1"/>
  <c r="F48" i="2043"/>
  <c r="G48" i="2043" s="1"/>
  <c r="F45" i="2042"/>
  <c r="G39" i="2042"/>
  <c r="H39" i="2042" s="1"/>
  <c r="G12" i="2042"/>
  <c r="H12" i="2042" s="1"/>
  <c r="F48" i="2042"/>
  <c r="G48" i="2042" s="1"/>
  <c r="F22" i="2042"/>
  <c r="D47" i="2045"/>
  <c r="G34" i="2045"/>
  <c r="G28" i="2045"/>
  <c r="G5" i="2045"/>
  <c r="F48" i="2045"/>
  <c r="D47" i="2044"/>
  <c r="G34" i="2044"/>
  <c r="G28" i="2044"/>
  <c r="G5" i="2044"/>
  <c r="G12" i="2044"/>
  <c r="H12" i="2044" s="1"/>
  <c r="F48" i="2044"/>
  <c r="D47" i="2043"/>
  <c r="G34" i="2043"/>
  <c r="G28" i="2043"/>
  <c r="G5" i="2043"/>
  <c r="D47" i="2042"/>
  <c r="G34" i="2042"/>
  <c r="G28" i="2042"/>
  <c r="G5" i="2042"/>
  <c r="F45" i="1987"/>
  <c r="G23" i="1987"/>
  <c r="H23" i="1987" s="1"/>
  <c r="G5" i="1987"/>
  <c r="H5" i="1987" s="1"/>
  <c r="G14" i="1987"/>
  <c r="H14" i="1987" s="1"/>
  <c r="G8" i="1987"/>
  <c r="H8" i="1987" s="1"/>
  <c r="G26" i="1987"/>
  <c r="H26" i="1987" s="1"/>
  <c r="G11" i="1987"/>
  <c r="H11" i="1987" s="1"/>
  <c r="G20" i="1987"/>
  <c r="H20" i="1987" s="1"/>
  <c r="F48" i="1987"/>
  <c r="F48" i="1986"/>
  <c r="G48" i="1986" s="1"/>
  <c r="F48" i="1887"/>
  <c r="F48" i="1777"/>
  <c r="G18" i="1889"/>
  <c r="H18" i="1889" s="1"/>
  <c r="G11" i="1885"/>
  <c r="H11" i="1885" s="1"/>
  <c r="G29" i="1886"/>
  <c r="H29" i="1886" s="1"/>
  <c r="G11" i="1887"/>
  <c r="H11" i="1887" s="1"/>
  <c r="G29" i="1885"/>
  <c r="H29" i="1885" s="1"/>
  <c r="G11" i="1882"/>
  <c r="H11" i="1882" s="1"/>
  <c r="F48" i="1882"/>
  <c r="G18" i="1885"/>
  <c r="H18" i="1885" s="1"/>
  <c r="F48" i="1885"/>
  <c r="G29" i="1889"/>
  <c r="H29" i="1889" s="1"/>
  <c r="G11" i="1889"/>
  <c r="H11" i="1889" s="1"/>
  <c r="F20" i="1886"/>
  <c r="H34" i="1986"/>
  <c r="H12" i="1846"/>
  <c r="H5" i="1846"/>
  <c r="H28" i="1911"/>
  <c r="F48" i="1889"/>
  <c r="G23" i="1777"/>
  <c r="H23" i="1777" s="1"/>
  <c r="G20" i="1777"/>
  <c r="H20" i="1777" s="1"/>
  <c r="G14" i="1777"/>
  <c r="H14" i="1777" s="1"/>
  <c r="G8" i="1777"/>
  <c r="H8" i="1777" s="1"/>
  <c r="G5" i="1777"/>
  <c r="H5" i="1777" s="1"/>
  <c r="G11" i="1777"/>
  <c r="H11" i="1777" s="1"/>
  <c r="F48" i="1484"/>
  <c r="G48" i="1484" s="1"/>
  <c r="H12" i="1911"/>
  <c r="H39" i="1776"/>
  <c r="H34" i="1776"/>
  <c r="H39" i="1846"/>
  <c r="H39" i="1484"/>
  <c r="F48" i="1761"/>
  <c r="G48" i="1761" s="1"/>
  <c r="H12" i="1776"/>
  <c r="H5" i="1776"/>
  <c r="H28" i="1776"/>
  <c r="H39" i="1761"/>
  <c r="H34" i="1761"/>
  <c r="H20" i="1761"/>
  <c r="H39" i="1986"/>
  <c r="G28" i="1986"/>
  <c r="G20" i="1986"/>
  <c r="G5" i="1986"/>
  <c r="H34" i="1846"/>
  <c r="H28" i="1846"/>
  <c r="H20" i="1846"/>
  <c r="H39" i="1911"/>
  <c r="H34" i="1911"/>
  <c r="H20" i="1911"/>
  <c r="H5" i="1911"/>
  <c r="H34" i="1484"/>
  <c r="G28" i="1484"/>
  <c r="G20" i="1484"/>
  <c r="G12" i="1484"/>
  <c r="G5" i="1484"/>
  <c r="H20" i="1776"/>
  <c r="H28" i="1761"/>
  <c r="G5" i="1761"/>
  <c r="G37" i="1889"/>
  <c r="H37" i="1889" s="1"/>
  <c r="G18" i="1886"/>
  <c r="H18" i="1886" s="1"/>
  <c r="G11" i="1886"/>
  <c r="H11" i="1886" s="1"/>
  <c r="G37" i="1887"/>
  <c r="H37" i="1887" s="1"/>
  <c r="G29" i="1887"/>
  <c r="H29" i="1887" s="1"/>
  <c r="G18" i="1887"/>
  <c r="H18" i="1887" s="1"/>
  <c r="F48" i="1886"/>
  <c r="F45" i="1986"/>
  <c r="G12" i="1761"/>
  <c r="G12" i="1986"/>
  <c r="D45" i="1846"/>
  <c r="D45" i="1911"/>
  <c r="D45" i="1484"/>
  <c r="D45" i="1776"/>
  <c r="D45" i="1761"/>
  <c r="G26" i="1777"/>
  <c r="H26" i="1777" s="1"/>
  <c r="D51" i="1253"/>
  <c r="F19" i="1253"/>
  <c r="D47" i="1987"/>
  <c r="F47" i="1987" s="1"/>
  <c r="G48" i="1883"/>
  <c r="H48" i="1883" s="1"/>
  <c r="H48" i="1846"/>
  <c r="H48" i="1776"/>
  <c r="G51" i="1253"/>
  <c r="H51" i="1253" s="1"/>
  <c r="D47" i="1889"/>
  <c r="D47" i="1884"/>
  <c r="F47" i="1884" s="1"/>
  <c r="D47" i="1885"/>
  <c r="F47" i="1885" s="1"/>
  <c r="D47" i="1886"/>
  <c r="F47" i="1886" s="1"/>
  <c r="D47" i="1887"/>
  <c r="F47" i="1887" s="1"/>
  <c r="D47" i="1888"/>
  <c r="F47" i="1888" s="1"/>
  <c r="D47" i="1883"/>
  <c r="F47" i="1883" s="1"/>
  <c r="D47" i="1882"/>
  <c r="F47" i="1882" s="1"/>
  <c r="D47" i="1847"/>
  <c r="F47" i="1847" s="1"/>
  <c r="D47" i="1912"/>
  <c r="F47" i="1912" s="1"/>
  <c r="D47" i="1485"/>
  <c r="F47" i="1485" s="1"/>
  <c r="D47" i="1777"/>
  <c r="F47" i="1777" s="1"/>
  <c r="D47" i="1762"/>
  <c r="F47" i="1762" s="1"/>
  <c r="D50" i="1253"/>
  <c r="F50" i="1253" s="1"/>
  <c r="G48" i="1884"/>
  <c r="H48" i="1884" s="1"/>
  <c r="G48" i="1888"/>
  <c r="H48" i="1888" s="1"/>
  <c r="G48" i="1847"/>
  <c r="H48" i="1847" s="1"/>
  <c r="G48" i="1912"/>
  <c r="H48" i="1912" s="1"/>
  <c r="H48" i="1911"/>
  <c r="G48" i="1485"/>
  <c r="H48" i="1485" s="1"/>
  <c r="G48" i="1762"/>
  <c r="H48" i="1762" s="1"/>
  <c r="C38" i="1729" l="1"/>
  <c r="C38" i="1734"/>
  <c r="C38" i="1735"/>
  <c r="C38" i="2068"/>
  <c r="F47" i="2044"/>
  <c r="F47" i="2045"/>
  <c r="F47" i="2043"/>
  <c r="F47" i="2042"/>
  <c r="G48" i="2045"/>
  <c r="H34" i="2045"/>
  <c r="H28" i="2045"/>
  <c r="H5" i="2045"/>
  <c r="G48" i="2044"/>
  <c r="H34" i="2044"/>
  <c r="H28" i="2044"/>
  <c r="H5" i="2044"/>
  <c r="H34" i="2043"/>
  <c r="H28" i="2043"/>
  <c r="H5" i="2043"/>
  <c r="H48" i="2043"/>
  <c r="H34" i="2042"/>
  <c r="H28" i="2042"/>
  <c r="H5" i="2042"/>
  <c r="H48" i="2042"/>
  <c r="G48" i="1987"/>
  <c r="H48" i="1987" s="1"/>
  <c r="H48" i="1986"/>
  <c r="G48" i="1887"/>
  <c r="H48" i="1887" s="1"/>
  <c r="G48" i="1882"/>
  <c r="H48" i="1882" s="1"/>
  <c r="G48" i="1777"/>
  <c r="H48" i="1777" s="1"/>
  <c r="G48" i="1885"/>
  <c r="H48" i="1885" s="1"/>
  <c r="H12" i="1761"/>
  <c r="H12" i="1986"/>
  <c r="H20" i="1484"/>
  <c r="H5" i="1761"/>
  <c r="G48" i="1886"/>
  <c r="H48" i="1886" s="1"/>
  <c r="G48" i="1889"/>
  <c r="H48" i="1889" s="1"/>
  <c r="H48" i="1484"/>
  <c r="F45" i="1484"/>
  <c r="F45" i="1776"/>
  <c r="F45" i="1911"/>
  <c r="F45" i="1846"/>
  <c r="F45" i="1761"/>
  <c r="D47" i="1986"/>
  <c r="D47" i="1846"/>
  <c r="D47" i="1911"/>
  <c r="D47" i="1484"/>
  <c r="D47" i="1776"/>
  <c r="D47" i="1761"/>
  <c r="H28" i="1986"/>
  <c r="H20" i="1986"/>
  <c r="H5" i="1986"/>
  <c r="H28" i="1484"/>
  <c r="H12" i="1484"/>
  <c r="H5" i="1484"/>
  <c r="F47" i="1889"/>
  <c r="H48" i="1761"/>
  <c r="G36" i="1729" l="1"/>
  <c r="H36" i="1729" s="1"/>
  <c r="H48" i="2044"/>
  <c r="H48" i="2045"/>
  <c r="F47" i="1986"/>
  <c r="F47" i="1846"/>
  <c r="F47" i="1911"/>
  <c r="F47" i="1484"/>
  <c r="F47" i="1776"/>
  <c r="F47" i="1761"/>
  <c r="B35" i="2068"/>
  <c r="D35" i="2068" s="1"/>
  <c r="F35" i="2068" s="1"/>
  <c r="B27" i="2068"/>
  <c r="D27" i="2068" s="1"/>
  <c r="F27" i="2068" s="1"/>
  <c r="B19" i="2068"/>
  <c r="D19" i="2068" s="1"/>
  <c r="F19" i="2068" s="1"/>
  <c r="D4" i="2068"/>
  <c r="B14" i="2068"/>
  <c r="D14" i="2068" s="1"/>
  <c r="F14" i="2068" s="1"/>
  <c r="B29" i="2068"/>
  <c r="D29" i="2068" s="1"/>
  <c r="F29" i="2068" s="1"/>
  <c r="B17" i="2068"/>
  <c r="D17" i="2068" s="1"/>
  <c r="F17" i="2068" s="1"/>
  <c r="B7" i="2068"/>
  <c r="D7" i="2068" s="1"/>
  <c r="F7" i="2068" s="1"/>
  <c r="B11" i="2068"/>
  <c r="D11" i="2068" s="1"/>
  <c r="F11" i="2068" s="1"/>
  <c r="B12" i="2068"/>
  <c r="D12" i="2068" s="1"/>
  <c r="F12" i="2068" s="1"/>
  <c r="B9" i="2068"/>
  <c r="D9" i="2068" s="1"/>
  <c r="F9" i="2068" s="1"/>
  <c r="B8" i="2068"/>
  <c r="D8" i="2068" s="1"/>
  <c r="F8" i="2068" s="1"/>
  <c r="B10" i="2068"/>
  <c r="D10" i="2068" s="1"/>
  <c r="F10" i="2068" s="1"/>
  <c r="B16" i="2068"/>
  <c r="D16" i="2068" s="1"/>
  <c r="F16" i="2068" s="1"/>
  <c r="B6" i="2068"/>
  <c r="D6" i="2068" s="1"/>
  <c r="F6" i="2068" s="1"/>
  <c r="B24" i="2068"/>
  <c r="D24" i="2068" s="1"/>
  <c r="F24" i="2068" s="1"/>
  <c r="B22" i="2068"/>
  <c r="D22" i="2068" s="1"/>
  <c r="F22" i="2068" s="1"/>
  <c r="B21" i="2068"/>
  <c r="D21" i="2068" s="1"/>
  <c r="F21" i="2068" s="1"/>
  <c r="B26" i="2068"/>
  <c r="D26" i="2068" s="1"/>
  <c r="F26" i="2068" s="1"/>
  <c r="F4" i="2068" l="1"/>
  <c r="F36" i="2068" s="1"/>
  <c r="D36" i="2068"/>
  <c r="B29" i="1733"/>
  <c r="D29" i="1733" s="1"/>
  <c r="F29" i="1733" s="1"/>
  <c r="B24" i="1733"/>
  <c r="D24" i="1733" s="1"/>
  <c r="F24" i="1733" s="1"/>
  <c r="B10" i="1733"/>
  <c r="D10" i="1733" s="1"/>
  <c r="F10" i="1733" s="1"/>
  <c r="B21" i="1733"/>
  <c r="D21" i="1733" s="1"/>
  <c r="F21" i="1733" s="1"/>
  <c r="B17" i="1733"/>
  <c r="D17" i="1733" s="1"/>
  <c r="F17" i="1733" s="1"/>
  <c r="B6" i="1733"/>
  <c r="D6" i="1733" s="1"/>
  <c r="F6" i="1733" s="1"/>
  <c r="B7" i="1733"/>
  <c r="D7" i="1733" s="1"/>
  <c r="F7" i="1733" s="1"/>
  <c r="B22" i="1733"/>
  <c r="D22" i="1733" s="1"/>
  <c r="F22" i="1733" s="1"/>
  <c r="B9" i="1733"/>
  <c r="D9" i="1733" s="1"/>
  <c r="F9" i="1733" s="1"/>
  <c r="B14" i="1733"/>
  <c r="D14" i="1733" s="1"/>
  <c r="F14" i="1733" s="1"/>
  <c r="B35" i="1733"/>
  <c r="D35" i="1733" s="1"/>
  <c r="F35" i="1733" s="1"/>
  <c r="B16" i="1733"/>
  <c r="D16" i="1733" s="1"/>
  <c r="F16" i="1733" s="1"/>
  <c r="B8" i="1733"/>
  <c r="D8" i="1733" s="1"/>
  <c r="F8" i="1733" s="1"/>
  <c r="B19" i="1733"/>
  <c r="D19" i="1733" s="1"/>
  <c r="F19" i="1733" s="1"/>
  <c r="B27" i="1733"/>
  <c r="D27" i="1733" s="1"/>
  <c r="F27" i="1733" s="1"/>
  <c r="B11" i="1733"/>
  <c r="D11" i="1733" s="1"/>
  <c r="F11" i="1733" s="1"/>
  <c r="D4" i="1733"/>
  <c r="B26" i="1733"/>
  <c r="D26" i="1733" s="1"/>
  <c r="F26" i="1733" s="1"/>
  <c r="B12" i="1733"/>
  <c r="D12" i="1733" s="1"/>
  <c r="F12" i="1733" s="1"/>
  <c r="G36" i="2068" l="1"/>
  <c r="H36" i="2068" s="1"/>
  <c r="F4" i="1733"/>
  <c r="F36" i="1733" s="1"/>
  <c r="G36" i="1733" s="1"/>
  <c r="H36" i="1733" s="1"/>
  <c r="D36" i="1733"/>
  <c r="B22" i="1734"/>
  <c r="D22" i="1734" s="1"/>
  <c r="F22" i="1734" s="1"/>
  <c r="B21" i="1734"/>
  <c r="D21" i="1734" s="1"/>
  <c r="F21" i="1734" s="1"/>
  <c r="B24" i="1734"/>
  <c r="D24" i="1734" s="1"/>
  <c r="F24" i="1734" s="1"/>
  <c r="B11" i="1734"/>
  <c r="D11" i="1734" s="1"/>
  <c r="F11" i="1734" s="1"/>
  <c r="B29" i="1734"/>
  <c r="D29" i="1734" s="1"/>
  <c r="F29" i="1734" s="1"/>
  <c r="B8" i="1734"/>
  <c r="D8" i="1734" s="1"/>
  <c r="F8" i="1734" s="1"/>
  <c r="B12" i="1734"/>
  <c r="D12" i="1734" s="1"/>
  <c r="F12" i="1734" s="1"/>
  <c r="B27" i="1734"/>
  <c r="D27" i="1734" s="1"/>
  <c r="F27" i="1734" s="1"/>
  <c r="B17" i="1734"/>
  <c r="D17" i="1734" s="1"/>
  <c r="F17" i="1734" s="1"/>
  <c r="B10" i="1734"/>
  <c r="D10" i="1734" s="1"/>
  <c r="F10" i="1734" s="1"/>
  <c r="B14" i="1734"/>
  <c r="D14" i="1734" s="1"/>
  <c r="F14" i="1734" s="1"/>
  <c r="B19" i="1734"/>
  <c r="D19" i="1734" s="1"/>
  <c r="F19" i="1734" s="1"/>
  <c r="B7" i="1734"/>
  <c r="D7" i="1734" s="1"/>
  <c r="F7" i="1734" s="1"/>
  <c r="D4" i="1734"/>
  <c r="B35" i="1734"/>
  <c r="D35" i="1734" s="1"/>
  <c r="F35" i="1734" s="1"/>
  <c r="B9" i="1734"/>
  <c r="D9" i="1734" s="1"/>
  <c r="F9" i="1734" s="1"/>
  <c r="B6" i="1734"/>
  <c r="D6" i="1734" s="1"/>
  <c r="F6" i="1734" s="1"/>
  <c r="B26" i="1734"/>
  <c r="D26" i="1734" s="1"/>
  <c r="F26" i="1734" s="1"/>
  <c r="B16" i="1734"/>
  <c r="D16" i="1734" s="1"/>
  <c r="F16" i="1734" s="1"/>
  <c r="F4" i="1734" l="1"/>
  <c r="F36" i="1734" s="1"/>
  <c r="G36" i="1734" s="1"/>
  <c r="H36" i="1734" s="1"/>
  <c r="D36" i="1734"/>
  <c r="B27" i="1735"/>
  <c r="D27" i="1735" s="1"/>
  <c r="F27" i="1735" s="1"/>
  <c r="B29" i="1735"/>
  <c r="D29" i="1735" s="1"/>
  <c r="F29" i="1735" s="1"/>
  <c r="B16" i="1735"/>
  <c r="D16" i="1735" s="1"/>
  <c r="F16" i="1735" s="1"/>
  <c r="B8" i="1735"/>
  <c r="D8" i="1735" s="1"/>
  <c r="F8" i="1735" s="1"/>
  <c r="B17" i="1735"/>
  <c r="D17" i="1735" s="1"/>
  <c r="F17" i="1735" s="1"/>
  <c r="B10" i="1735"/>
  <c r="D10" i="1735" s="1"/>
  <c r="F10" i="1735" s="1"/>
  <c r="B19" i="1735"/>
  <c r="D19" i="1735" s="1"/>
  <c r="F19" i="1735" s="1"/>
  <c r="B35" i="1735"/>
  <c r="D35" i="1735" s="1"/>
  <c r="F35" i="1735" s="1"/>
  <c r="B9" i="1735"/>
  <c r="D9" i="1735" s="1"/>
  <c r="F9" i="1735" s="1"/>
  <c r="B14" i="1735"/>
  <c r="D14" i="1735" s="1"/>
  <c r="F14" i="1735" s="1"/>
  <c r="B7" i="1735"/>
  <c r="D7" i="1735" s="1"/>
  <c r="F7" i="1735" s="1"/>
  <c r="B6" i="1735"/>
  <c r="D6" i="1735" s="1"/>
  <c r="F6" i="1735" s="1"/>
  <c r="B12" i="1735"/>
  <c r="D12" i="1735" s="1"/>
  <c r="F12" i="1735" s="1"/>
  <c r="B21" i="1735"/>
  <c r="D21" i="1735" s="1"/>
  <c r="F21" i="1735" s="1"/>
  <c r="B24" i="1735"/>
  <c r="D24" i="1735" s="1"/>
  <c r="F24" i="1735" s="1"/>
  <c r="B11" i="1735"/>
  <c r="D11" i="1735" s="1"/>
  <c r="F11" i="1735" s="1"/>
  <c r="B22" i="1735"/>
  <c r="D22" i="1735" s="1"/>
  <c r="F22" i="1735" s="1"/>
  <c r="B26" i="1735"/>
  <c r="D26" i="1735" s="1"/>
  <c r="F26" i="1735" s="1"/>
  <c r="D4" i="1735"/>
  <c r="F4" i="1735" l="1"/>
  <c r="F36" i="1735" s="1"/>
  <c r="G36" i="1735" s="1"/>
  <c r="H36" i="1735" s="1"/>
  <c r="D36" i="1735"/>
</calcChain>
</file>

<file path=xl/sharedStrings.xml><?xml version="1.0" encoding="utf-8"?>
<sst xmlns="http://schemas.openxmlformats.org/spreadsheetml/2006/main" count="4368" uniqueCount="352">
  <si>
    <t>샐만사)리코타닭가슴살에그</t>
  </si>
  <si>
    <t>카카오)라이언초코케이크</t>
  </si>
  <si>
    <t>박스</t>
  </si>
  <si>
    <t>총합계</t>
  </si>
  <si>
    <t>족발</t>
  </si>
  <si>
    <t>익산</t>
  </si>
  <si>
    <t>고양2</t>
  </si>
  <si>
    <t>김포2</t>
  </si>
  <si>
    <t>도화</t>
  </si>
  <si>
    <t>도화2</t>
  </si>
  <si>
    <t>강릉</t>
  </si>
  <si>
    <t>고양</t>
  </si>
  <si>
    <t>김포3</t>
  </si>
  <si>
    <t>입수</t>
  </si>
  <si>
    <t>낱개</t>
  </si>
  <si>
    <t>껍데기</t>
  </si>
  <si>
    <t>발안</t>
  </si>
  <si>
    <t>원주</t>
  </si>
  <si>
    <t>경산2</t>
  </si>
  <si>
    <t>송파</t>
  </si>
  <si>
    <t>송파2</t>
  </si>
  <si>
    <t>아신A</t>
  </si>
  <si>
    <t>경산</t>
  </si>
  <si>
    <t>센터명</t>
  </si>
  <si>
    <t>발안2</t>
  </si>
  <si>
    <t>곤지암</t>
  </si>
  <si>
    <t>모서리족발
(냉장)</t>
  </si>
  <si>
    <t>소시지콘
치즈그라탕</t>
  </si>
  <si>
    <t>치킨에그콥
샐러드</t>
  </si>
  <si>
    <t>진가쭈꾸미 짬뽕</t>
  </si>
  <si>
    <t>쉬림프레몬콥샐러드</t>
  </si>
  <si>
    <t>직화)모둠햄부대찌개</t>
  </si>
  <si>
    <t>직화)스팸김치찌개</t>
  </si>
  <si>
    <t>케이준치킨에그샐러드</t>
  </si>
  <si>
    <t>VV68 ㈜지에스리테일경산일배센터</t>
  </si>
  <si>
    <t>VV69 ㈜지에스리테일강릉일배센터</t>
  </si>
  <si>
    <t>총 박스 수량  / 총 낱개 수량</t>
  </si>
  <si>
    <t>VV70 ㈜지에스리테일김포3일배</t>
  </si>
  <si>
    <t>VV71 (주)지에스리테일발안2일배</t>
  </si>
  <si>
    <t>VV55 (주)지에스리테일송파2일배</t>
  </si>
  <si>
    <t>VV17 (주)지에스리테일발안일배</t>
  </si>
  <si>
    <t>VV25 (주)지에스리테일진주일배</t>
  </si>
  <si>
    <t>VV11 (주)지에스리테일장성일배</t>
  </si>
  <si>
    <t>VV18 (주)지에스리테일이천일배</t>
  </si>
  <si>
    <t>VV52 (주)지에스리테일남양주일배</t>
  </si>
  <si>
    <t>VV53 (주)지에스리테일송파일배</t>
  </si>
  <si>
    <t>VV57 (주)지에스리테일김해일배</t>
  </si>
  <si>
    <t>VV50 (주)지에스리테일(제성)</t>
  </si>
  <si>
    <t>VV04 (주)지에스리테일공주일배</t>
  </si>
  <si>
    <t>VV60 ㈜지에스리테일오산일배</t>
  </si>
  <si>
    <t>VV16 (주)지에스리테일원주일배</t>
  </si>
  <si>
    <t>VV62 (주)지에스리테일김포2일배</t>
  </si>
  <si>
    <t>VV65 ㈜지에스리테일익산일배</t>
  </si>
  <si>
    <t>VV64 ㈜지에스리테일고양일배2</t>
  </si>
  <si>
    <t>VV66 지에스리테일인천도화일배</t>
  </si>
  <si>
    <t>VV03 (주)지에스리테일(아신A)</t>
  </si>
  <si>
    <t>VV58 (주)지에스리테일김해2일배</t>
  </si>
  <si>
    <t>VV75 (주)지에스리테일공주2일배</t>
  </si>
  <si>
    <t>VV63 ㈜지에스리테일고양일배센터</t>
  </si>
  <si>
    <t>VV34 (주)지에스리테일청주일배</t>
  </si>
  <si>
    <t>VV67 지에스리테일인천도화2일배</t>
  </si>
  <si>
    <t>VV40 (주)지에스리테일(해인경산)</t>
  </si>
  <si>
    <t>VV20 (주)지에스리테일(해인CVS)</t>
  </si>
  <si>
    <t>VV23 (주)지에스리테일(해인FF)</t>
  </si>
  <si>
    <t>돼지갈비</t>
  </si>
  <si>
    <t>반반족보세트</t>
  </si>
  <si>
    <t>검수 리스트</t>
  </si>
  <si>
    <t>행 레이블</t>
  </si>
  <si>
    <t>수제치즈돈까스</t>
  </si>
  <si>
    <t>직화불닭발</t>
  </si>
  <si>
    <t>고양3</t>
  </si>
  <si>
    <t>VV81 (주)지에스리테일고양저온3</t>
  </si>
  <si>
    <t>곤지암2</t>
  </si>
  <si>
    <t>VV83 지에스리테일경산저온</t>
  </si>
  <si>
    <t>VV84 ㈜지에스리테일경산2저온</t>
  </si>
  <si>
    <t>VV85 지에스리테일신오산1저온</t>
  </si>
  <si>
    <t>VV86 지에스리테일신오산2저온</t>
  </si>
  <si>
    <t>VV87 지에스리테일신오산3저온</t>
  </si>
  <si>
    <t>신오산1</t>
  </si>
  <si>
    <t>신오산2</t>
  </si>
  <si>
    <t>신오산3</t>
  </si>
  <si>
    <t>VV90 (주)지에스리테일포천저온</t>
  </si>
  <si>
    <t>VV91 (주)지에스리테일포천2저온</t>
  </si>
  <si>
    <t>낱개</t>
    <phoneticPr fontId="13" type="noConversion"/>
  </si>
  <si>
    <t>VV92 (주)지에스리테일신제주저온</t>
  </si>
  <si>
    <t>VV93 (주)지에스리테일곤지암센터</t>
  </si>
  <si>
    <t>VV94 (주)지에스리테일곤지암2센</t>
  </si>
  <si>
    <t>고기</t>
    <phoneticPr fontId="13" type="noConversion"/>
  </si>
  <si>
    <t>디저트</t>
    <phoneticPr fontId="13" type="noConversion"/>
  </si>
  <si>
    <t>열 레이블</t>
  </si>
  <si>
    <t>VV95 (주)지에스리테일신광주저온</t>
  </si>
  <si>
    <t>VV96 (주)지에스리테일신광주2저</t>
  </si>
  <si>
    <t>박스</t>
    <phoneticPr fontId="13" type="noConversion"/>
  </si>
  <si>
    <t>VV97 (주)지에스리테일경산3저온</t>
  </si>
  <si>
    <t>신광주</t>
  </si>
  <si>
    <t>신광주2</t>
  </si>
  <si>
    <t>포천</t>
  </si>
  <si>
    <t>포천2</t>
  </si>
  <si>
    <t>경산3</t>
  </si>
  <si>
    <t>고촌</t>
    <phoneticPr fontId="13" type="noConversion"/>
  </si>
  <si>
    <t>VV98 (주)지에스리테일고촌저온</t>
  </si>
  <si>
    <t>VV98 (주)지에스리테일고촌저온</t>
    <phoneticPr fontId="13" type="noConversion"/>
  </si>
  <si>
    <t>고촌2</t>
    <phoneticPr fontId="13" type="noConversion"/>
  </si>
  <si>
    <t>VV99 (주)지에스리테일고촌2저온</t>
  </si>
  <si>
    <t>VV99 (주)지에스리테일고촌2저온</t>
    <phoneticPr fontId="13" type="noConversion"/>
  </si>
  <si>
    <t>VV16 (주)지에스리테일원주일배</t>
    <phoneticPr fontId="13" type="noConversion"/>
  </si>
  <si>
    <t>김해</t>
    <phoneticPr fontId="13" type="noConversion"/>
  </si>
  <si>
    <t>김해2</t>
    <phoneticPr fontId="13" type="noConversion"/>
  </si>
  <si>
    <t>원주</t>
    <phoneticPr fontId="13" type="noConversion"/>
  </si>
  <si>
    <t>강릉</t>
    <phoneticPr fontId="13" type="noConversion"/>
  </si>
  <si>
    <t>소분박스</t>
    <phoneticPr fontId="13" type="noConversion"/>
  </si>
  <si>
    <t>소분낱개</t>
    <phoneticPr fontId="13" type="noConversion"/>
  </si>
  <si>
    <t>신광주</t>
    <phoneticPr fontId="13" type="noConversion"/>
  </si>
  <si>
    <t>신광주2</t>
    <phoneticPr fontId="13" type="noConversion"/>
  </si>
  <si>
    <t>익산</t>
    <phoneticPr fontId="13" type="noConversion"/>
  </si>
  <si>
    <t>공주</t>
    <phoneticPr fontId="13" type="noConversion"/>
  </si>
  <si>
    <t>공주2</t>
    <phoneticPr fontId="13" type="noConversion"/>
  </si>
  <si>
    <t>청주</t>
    <phoneticPr fontId="13" type="noConversion"/>
  </si>
  <si>
    <t>진주</t>
    <phoneticPr fontId="13" type="noConversion"/>
  </si>
  <si>
    <t>CVS</t>
    <phoneticPr fontId="13" type="noConversion"/>
  </si>
  <si>
    <t>신제주</t>
    <phoneticPr fontId="13" type="noConversion"/>
  </si>
  <si>
    <t>영남 합계</t>
    <phoneticPr fontId="13" type="noConversion"/>
  </si>
  <si>
    <t>수도권 합계</t>
    <phoneticPr fontId="13" type="noConversion"/>
  </si>
  <si>
    <t>호남 합계</t>
    <phoneticPr fontId="13" type="noConversion"/>
  </si>
  <si>
    <t>VV92 (주)지에스리테일신제주저온</t>
    <phoneticPr fontId="13" type="noConversion"/>
  </si>
  <si>
    <t>신라명과</t>
    <phoneticPr fontId="13" type="noConversion"/>
  </si>
  <si>
    <t>리얼)모닝롤208G</t>
    <phoneticPr fontId="13" type="noConversion"/>
  </si>
  <si>
    <t>리얼)모닝롤208G</t>
  </si>
  <si>
    <t>12/17</t>
  </si>
  <si>
    <t>NEW직화석쇠불고기버거1편</t>
    <phoneticPr fontId="13" type="noConversion"/>
  </si>
  <si>
    <t>NEW직화석쇠불고기버거2편</t>
    <phoneticPr fontId="13" type="noConversion"/>
  </si>
  <si>
    <t>2300원굿딜)매콤불고기1</t>
  </si>
  <si>
    <t>2300원굿딜)매콤불고기2</t>
  </si>
  <si>
    <t>2300원굿딜)불갈비버거1</t>
  </si>
  <si>
    <t>2300원굿딜)불갈비버거2</t>
  </si>
  <si>
    <t>(주)지에스리테일원주일배</t>
    <phoneticPr fontId="13" type="noConversion"/>
  </si>
  <si>
    <t>㈜지에스리테일강릉일배센터</t>
    <phoneticPr fontId="13" type="noConversion"/>
  </si>
  <si>
    <t>(주)지에스리테일김해일배</t>
    <phoneticPr fontId="13" type="noConversion"/>
  </si>
  <si>
    <t>(주)지에스리테일김해2일배</t>
    <phoneticPr fontId="13" type="noConversion"/>
  </si>
  <si>
    <t>(주)지에스리테일공주일배</t>
    <phoneticPr fontId="13" type="noConversion"/>
  </si>
  <si>
    <t>(주)지에스리테일공주2일배</t>
    <phoneticPr fontId="13" type="noConversion"/>
  </si>
  <si>
    <t>(주)지에스리테일청주일배</t>
    <phoneticPr fontId="13" type="noConversion"/>
  </si>
  <si>
    <t>(주)지에스리테일신제주저온</t>
    <phoneticPr fontId="13" type="noConversion"/>
  </si>
  <si>
    <t>(주)지에스리테일진주일배</t>
    <phoneticPr fontId="13" type="noConversion"/>
  </si>
  <si>
    <t>(주)지에스리테일(해인CVS)</t>
    <phoneticPr fontId="13" type="noConversion"/>
  </si>
  <si>
    <t>(주)지에스리테일신광주저온</t>
    <phoneticPr fontId="13" type="noConversion"/>
  </si>
  <si>
    <t>(주)지에스리테일신광주2저</t>
    <phoneticPr fontId="13" type="noConversion"/>
  </si>
  <si>
    <t>지에스리테일경산저온</t>
    <phoneticPr fontId="13" type="noConversion"/>
  </si>
  <si>
    <t>㈜지에스리테일경산2저온</t>
    <phoneticPr fontId="13" type="noConversion"/>
  </si>
  <si>
    <t>(주)지에스리테일경산3저온</t>
    <phoneticPr fontId="13" type="noConversion"/>
  </si>
  <si>
    <t>(주)지에스리테일(아신A)</t>
    <phoneticPr fontId="13" type="noConversion"/>
  </si>
  <si>
    <t>(주)지에스리테일포천저온</t>
    <phoneticPr fontId="13" type="noConversion"/>
  </si>
  <si>
    <t>(주)지에스리테일포천2저온</t>
    <phoneticPr fontId="13" type="noConversion"/>
  </si>
  <si>
    <t>(주)지에스리테일고촌저온</t>
    <phoneticPr fontId="13" type="noConversion"/>
  </si>
  <si>
    <t>(주)지에스리테일고촌2저온</t>
    <phoneticPr fontId="13" type="noConversion"/>
  </si>
  <si>
    <t>㈜지에스리테일고양일배센터</t>
    <phoneticPr fontId="13" type="noConversion"/>
  </si>
  <si>
    <t>㈜지에스리테일고양일배2</t>
    <phoneticPr fontId="13" type="noConversion"/>
  </si>
  <si>
    <t>(주)지에스리테일고양저온3</t>
    <phoneticPr fontId="13" type="noConversion"/>
  </si>
  <si>
    <t>(주)지에스리테일김포2일배</t>
    <phoneticPr fontId="13" type="noConversion"/>
  </si>
  <si>
    <t>㈜지에스리테일김포3일배</t>
    <phoneticPr fontId="13" type="noConversion"/>
  </si>
  <si>
    <t>지에스리테일인천도화일배</t>
    <phoneticPr fontId="13" type="noConversion"/>
  </si>
  <si>
    <t>지에스리테일인천도화2일배</t>
    <phoneticPr fontId="13" type="noConversion"/>
  </si>
  <si>
    <t>(주)지에스리테일발안일배</t>
    <phoneticPr fontId="13" type="noConversion"/>
  </si>
  <si>
    <t>(주)지에스리테일발안2일배</t>
    <phoneticPr fontId="13" type="noConversion"/>
  </si>
  <si>
    <t>(주)지에스리테일송파일배</t>
    <phoneticPr fontId="13" type="noConversion"/>
  </si>
  <si>
    <t>(주)지에스리테일송파2일배</t>
    <phoneticPr fontId="13" type="noConversion"/>
  </si>
  <si>
    <t>(주)지에스리테일곤지암센터</t>
    <phoneticPr fontId="13" type="noConversion"/>
  </si>
  <si>
    <t>(주)지에스리테일곤지암2센</t>
    <phoneticPr fontId="13" type="noConversion"/>
  </si>
  <si>
    <t>지에스리테일신오산1저온</t>
    <phoneticPr fontId="13" type="noConversion"/>
  </si>
  <si>
    <t>지에스리테일신오산2저온</t>
    <phoneticPr fontId="13" type="noConversion"/>
  </si>
  <si>
    <t>㈜지에스리테일익산일배</t>
    <phoneticPr fontId="13" type="noConversion"/>
  </si>
  <si>
    <t>A구역 합계</t>
    <phoneticPr fontId="13" type="noConversion"/>
  </si>
  <si>
    <t>B구역 합계</t>
    <phoneticPr fontId="13" type="noConversion"/>
  </si>
  <si>
    <t>□</t>
  </si>
  <si>
    <t>□</t>
    <phoneticPr fontId="13" type="noConversion"/>
  </si>
  <si>
    <t>대신 □</t>
    <phoneticPr fontId="13" type="noConversion"/>
  </si>
  <si>
    <t>황치즈직화석쇠불고기버거1편</t>
  </si>
  <si>
    <t>황치즈직화석쇠불고기버거2편</t>
  </si>
  <si>
    <t>김하나</t>
    <phoneticPr fontId="13" type="noConversion"/>
  </si>
  <si>
    <t>예)그릭샐러드</t>
    <phoneticPr fontId="13" type="noConversion"/>
  </si>
  <si>
    <t>예)닭가슴살샐러드</t>
    <phoneticPr fontId="13" type="noConversion"/>
  </si>
  <si>
    <t>예)들기름막국수샐러드</t>
    <phoneticPr fontId="13" type="noConversion"/>
  </si>
  <si>
    <t>예)모짜렐라샐러드</t>
    <phoneticPr fontId="13" type="noConversion"/>
  </si>
  <si>
    <t>예)새우샐러드</t>
    <phoneticPr fontId="13" type="noConversion"/>
  </si>
  <si>
    <t>예)연어샐러드</t>
    <phoneticPr fontId="13" type="noConversion"/>
  </si>
  <si>
    <t>예)직화불고기샐러드</t>
    <phoneticPr fontId="13" type="noConversion"/>
  </si>
  <si>
    <t>예)칠리치킨샐러드</t>
    <phoneticPr fontId="13" type="noConversion"/>
  </si>
  <si>
    <t>샐러드판다 □</t>
    <phoneticPr fontId="13" type="noConversion"/>
  </si>
  <si>
    <t>(주)지에스리테일(아신A)</t>
  </si>
  <si>
    <t>(주)지에스리테일(해인CVS)</t>
  </si>
  <si>
    <t>(주)지에스리테일경산3저온</t>
  </si>
  <si>
    <t>(주)지에스리테일고양저온3</t>
  </si>
  <si>
    <t>(주)지에스리테일고촌2저온</t>
  </si>
  <si>
    <t>(주)지에스리테일고촌저온</t>
  </si>
  <si>
    <t>(주)지에스리테일곤지암2센</t>
  </si>
  <si>
    <t>(주)지에스리테일곤지암센터</t>
  </si>
  <si>
    <t>(주)지에스리테일공주2일배</t>
  </si>
  <si>
    <t>(주)지에스리테일공주일배</t>
  </si>
  <si>
    <t>(주)지에스리테일김포2일배</t>
  </si>
  <si>
    <t>(주)지에스리테일김해2일배</t>
  </si>
  <si>
    <t>(주)지에스리테일김해일배</t>
  </si>
  <si>
    <t>(주)지에스리테일발안2일배</t>
  </si>
  <si>
    <t>(주)지에스리테일발안일배</t>
  </si>
  <si>
    <t>(주)지에스리테일송파2일배</t>
  </si>
  <si>
    <t>(주)지에스리테일송파일배</t>
  </si>
  <si>
    <t>(주)지에스리테일신광주2저</t>
  </si>
  <si>
    <t>(주)지에스리테일신광주저온</t>
  </si>
  <si>
    <t>(주)지에스리테일원주일배</t>
  </si>
  <si>
    <t>(주)지에스리테일진주일배</t>
  </si>
  <si>
    <t>(주)지에스리테일청주일배</t>
  </si>
  <si>
    <t>(주)지에스리테일포천2저온</t>
  </si>
  <si>
    <t>(주)지에스리테일포천저온</t>
  </si>
  <si>
    <t>지에스리테일신오산3저온</t>
  </si>
  <si>
    <t>㈜지에스리테일강릉일배센터</t>
  </si>
  <si>
    <t>㈜지에스리테일경산2저온</t>
  </si>
  <si>
    <t>㈜지에스리테일고양일배2</t>
  </si>
  <si>
    <t>㈜지에스리테일고양일배센터</t>
  </si>
  <si>
    <t>㈜지에스리테일김포3일배</t>
  </si>
  <si>
    <t>㈜지에스리테일익산일배</t>
  </si>
  <si>
    <t>지에스리테일경산저온</t>
  </si>
  <si>
    <t>지에스리테일신오산1저온</t>
  </si>
  <si>
    <t>지에스리테일신오산2저온</t>
  </si>
  <si>
    <t>지에스리테일인천도화2일배</t>
  </si>
  <si>
    <t>지에스리테일인천도화일배</t>
  </si>
  <si>
    <t>지에스리테일신오산3저온</t>
    <phoneticPr fontId="13" type="noConversion"/>
  </si>
  <si>
    <t>(주)지에스리테일신제주저온</t>
  </si>
  <si>
    <t>치즈왕돈까스버거1편</t>
  </si>
  <si>
    <t>치즈왕돈까스버거2편</t>
  </si>
  <si>
    <t>매콤직화석쇠불고기버거1편</t>
  </si>
  <si>
    <t>매콤직화석쇠불고기버거2편</t>
    <phoneticPr fontId="13" type="noConversion"/>
  </si>
  <si>
    <t>골든에프앤디 □</t>
    <phoneticPr fontId="13" type="noConversion"/>
  </si>
  <si>
    <t>예약)26년한마리민물장어덮밥</t>
    <phoneticPr fontId="13" type="noConversion"/>
  </si>
  <si>
    <t>예약)26년순살갈비탕</t>
    <phoneticPr fontId="13" type="noConversion"/>
  </si>
  <si>
    <t>예약)26년스지도가니탕</t>
    <phoneticPr fontId="13" type="noConversion"/>
  </si>
  <si>
    <t>예약)26년전통추어탕</t>
    <phoneticPr fontId="13" type="noConversion"/>
  </si>
  <si>
    <t>대구</t>
    <phoneticPr fontId="13" type="noConversion"/>
  </si>
  <si>
    <t>양산</t>
    <phoneticPr fontId="13" type="noConversion"/>
  </si>
  <si>
    <t>부산</t>
    <phoneticPr fontId="13" type="noConversion"/>
  </si>
  <si>
    <t>안성</t>
    <phoneticPr fontId="13" type="noConversion"/>
  </si>
  <si>
    <t>광주</t>
    <phoneticPr fontId="13" type="noConversion"/>
  </si>
  <si>
    <t>양주</t>
    <phoneticPr fontId="13" type="noConversion"/>
  </si>
  <si>
    <t>제주</t>
    <phoneticPr fontId="13" type="noConversion"/>
  </si>
  <si>
    <t>호남권 합계</t>
    <phoneticPr fontId="13" type="noConversion"/>
  </si>
  <si>
    <t>경북(칠곡)합계</t>
    <phoneticPr fontId="13" type="noConversion"/>
  </si>
  <si>
    <t>경남(김해)합계</t>
    <phoneticPr fontId="13" type="noConversion"/>
  </si>
  <si>
    <t>총 박스/총 낱개수량</t>
    <phoneticPr fontId="13" type="noConversion"/>
  </si>
  <si>
    <t>제주권 합계</t>
    <phoneticPr fontId="13" type="noConversion"/>
  </si>
  <si>
    <t>수도권냉장</t>
  </si>
  <si>
    <t>안성저온센터</t>
  </si>
  <si>
    <t>세종냉장센터</t>
  </si>
  <si>
    <t>인천저온</t>
  </si>
  <si>
    <t>해인기흥저온센터</t>
  </si>
  <si>
    <t>수원저온센터</t>
  </si>
  <si>
    <t>오포저온</t>
  </si>
  <si>
    <t>양주저온</t>
  </si>
  <si>
    <t>원주저온</t>
  </si>
  <si>
    <t>수도권</t>
    <phoneticPr fontId="13" type="noConversion"/>
  </si>
  <si>
    <t>세종</t>
    <phoneticPr fontId="13" type="noConversion"/>
  </si>
  <si>
    <t>인천</t>
    <phoneticPr fontId="13" type="noConversion"/>
  </si>
  <si>
    <t>해인기흥</t>
    <phoneticPr fontId="13" type="noConversion"/>
  </si>
  <si>
    <t>수원</t>
    <phoneticPr fontId="13" type="noConversion"/>
  </si>
  <si>
    <t>오포</t>
    <phoneticPr fontId="13" type="noConversion"/>
  </si>
  <si>
    <t>부산냉장</t>
  </si>
  <si>
    <t>양산냉장</t>
  </si>
  <si>
    <t>대구냉장</t>
  </si>
  <si>
    <t>칠곡저온</t>
  </si>
  <si>
    <t>광주냉장</t>
  </si>
  <si>
    <t>광주B저온센터</t>
  </si>
  <si>
    <t>제주냉장센터</t>
  </si>
  <si>
    <t>칠곡</t>
    <phoneticPr fontId="13" type="noConversion"/>
  </si>
  <si>
    <t>광주B</t>
    <phoneticPr fontId="13" type="noConversion"/>
  </si>
  <si>
    <t>밸런스푼)꽃맛살듬뿍샐러드 235g</t>
  </si>
  <si>
    <t>밸런스푼)에그듬뿍샐러드 230g</t>
  </si>
  <si>
    <t>은성)닭가슴살샐러드 155g</t>
  </si>
  <si>
    <t>은성)치킨텐더샐러드 150g</t>
  </si>
  <si>
    <t>밸런스푼)꽃맛살듬뿍샐러드 
235g</t>
    <phoneticPr fontId="13" type="noConversion"/>
  </si>
  <si>
    <t>밸런스푼)에그듬뿍샐러드 
230g</t>
    <phoneticPr fontId="13" type="noConversion"/>
  </si>
  <si>
    <t>삼진)1953어묵순살바80g(매운맛)</t>
  </si>
  <si>
    <t>삼진)1953어묵순살바80g(야채맛)</t>
  </si>
  <si>
    <t>삼진)1953어묵순살바80g(오징어맛)</t>
  </si>
  <si>
    <t>삼진)1953어묵순살바80g
(매운맛)</t>
    <phoneticPr fontId="13" type="noConversion"/>
  </si>
  <si>
    <t>삼진)1953어묵순살바80g
(야채맛)</t>
    <phoneticPr fontId="13" type="noConversion"/>
  </si>
  <si>
    <t>삼진)1953어묵순살바80g
(오징어맛)</t>
    <phoneticPr fontId="13" type="noConversion"/>
  </si>
  <si>
    <t>아워홈)매콤오돌뼈160g</t>
  </si>
  <si>
    <t>널담)고단백저당포카치아(올리브치즈)85g</t>
  </si>
  <si>
    <t>널담)고단백황치즈크럼블쿠키75g</t>
  </si>
  <si>
    <t>널담)두바이초코크럼블쿠키75g</t>
  </si>
  <si>
    <t>널담)초코볼크럼블쿠키75g</t>
  </si>
  <si>
    <t>널담)고단백저당포카치아
(올리브치즈)85g</t>
    <phoneticPr fontId="13" type="noConversion"/>
  </si>
  <si>
    <t>널담)고단백저당포카치아
(치폴레마요)85g</t>
    <phoneticPr fontId="13" type="noConversion"/>
  </si>
  <si>
    <t xml:space="preserve">조인앤조인 _세븐 &lt;1편&gt;  □ </t>
    <phoneticPr fontId="13" type="noConversion"/>
  </si>
  <si>
    <t>스윗)닭가슴살시저샐러드240g</t>
  </si>
  <si>
    <t>스윗)케이준치킨너겟샐러드165g</t>
  </si>
  <si>
    <t>APP예약)닭가슴살시저샐러드</t>
  </si>
  <si>
    <t>스윗밸런스 _ 세븐 &lt;2편&gt;  □</t>
    <phoneticPr fontId="13" type="noConversion"/>
  </si>
  <si>
    <t>PB)더블매콤야채땡초바160g</t>
  </si>
  <si>
    <t>효성  _ 세븐 &lt;1편&gt;  □</t>
    <phoneticPr fontId="13" type="noConversion"/>
  </si>
  <si>
    <t>후덕죽)해물누룽지탕372g</t>
  </si>
  <si>
    <t>맛요일 _ 세븐 &lt;1편&gt; □</t>
    <phoneticPr fontId="13" type="noConversion"/>
  </si>
  <si>
    <t>대광)매콤순대곱창볶음200g</t>
  </si>
  <si>
    <t>대광 보승 _ 세븐 &lt;1편&gt; □</t>
    <phoneticPr fontId="13" type="noConversion"/>
  </si>
  <si>
    <t>은성파머스_ 세븐 &lt;2편&gt; □</t>
    <phoneticPr fontId="13" type="noConversion"/>
  </si>
  <si>
    <t>삼진_ 세븐 &lt;1편&gt; □</t>
    <phoneticPr fontId="13" type="noConversion"/>
  </si>
  <si>
    <t>아워홈 _ 세븐 &lt;1편&gt; □</t>
    <phoneticPr fontId="13" type="noConversion"/>
  </si>
  <si>
    <t>밸런스푼)훈제오리듬뿍샐러드 225g</t>
  </si>
  <si>
    <t>PB)더블매콤야채땡초바
160g</t>
    <phoneticPr fontId="13" type="noConversion"/>
  </si>
  <si>
    <t>후덕죽)해물누룽지탕
372g</t>
    <phoneticPr fontId="13" type="noConversion"/>
  </si>
  <si>
    <t>대광)매콤순대곱창볶음
200g</t>
    <phoneticPr fontId="13" type="noConversion"/>
  </si>
  <si>
    <t xml:space="preserve"> </t>
    <phoneticPr fontId="13" type="noConversion"/>
  </si>
  <si>
    <t>널담)고단백황치즈
크럼블쿠키75g</t>
    <phoneticPr fontId="13" type="noConversion"/>
  </si>
  <si>
    <t>널담)두바이초코
크럼블쿠키75g</t>
    <phoneticPr fontId="13" type="noConversion"/>
  </si>
  <si>
    <t>널담)초코볼크럼블
쿠키75g</t>
    <phoneticPr fontId="13" type="noConversion"/>
  </si>
  <si>
    <t>APP예약)케이준치킨너겟샐러드 165g</t>
    <phoneticPr fontId="13" type="noConversion"/>
  </si>
  <si>
    <t>스윗)닭가슴살
시저샐러드240g</t>
    <phoneticPr fontId="13" type="noConversion"/>
  </si>
  <si>
    <t>스윗)케이준치킨너겟
샐러드165g</t>
    <phoneticPr fontId="13" type="noConversion"/>
  </si>
  <si>
    <t>밸런스푼)훈제오리듬뿍
샐러드 225g</t>
    <phoneticPr fontId="13" type="noConversion"/>
  </si>
  <si>
    <t>APP예약)치킨텐더샐러드</t>
  </si>
  <si>
    <t>APP예약)밸런스푼훈제오리
듬뿍샐러드</t>
    <phoneticPr fontId="13" type="noConversion"/>
  </si>
  <si>
    <t>탭스 _ 세븐 &lt;2편&gt; □</t>
    <phoneticPr fontId="13" type="noConversion"/>
  </si>
  <si>
    <t>APP예약)닭가슴살샐러드</t>
  </si>
  <si>
    <t>APP예약)밸런스푼꽃맛살
듬뿍샐러드</t>
    <phoneticPr fontId="13" type="noConversion"/>
  </si>
  <si>
    <t>APP예약)밸런스푼에그
듬뿍샐러드</t>
    <phoneticPr fontId="13" type="noConversion"/>
  </si>
  <si>
    <t>사선마끼&amp;유부초밥세트</t>
    <phoneticPr fontId="13" type="noConversion"/>
  </si>
  <si>
    <t>대구냉장A</t>
    <phoneticPr fontId="44" type="noConversion"/>
  </si>
  <si>
    <t>대구A</t>
    <phoneticPr fontId="13" type="noConversion"/>
  </si>
  <si>
    <t>대구냉장B</t>
    <phoneticPr fontId="44" type="noConversion"/>
  </si>
  <si>
    <t>대구B</t>
    <phoneticPr fontId="13" type="noConversion"/>
  </si>
  <si>
    <t>대구냉장A</t>
  </si>
  <si>
    <t>대구냉장B</t>
  </si>
  <si>
    <t>화산농협 _ 세븐 &lt;1편&gt; □</t>
    <phoneticPr fontId="13" type="noConversion"/>
  </si>
  <si>
    <t xml:space="preserve">오포 </t>
    <phoneticPr fontId="13" type="noConversion"/>
  </si>
  <si>
    <t>**제외센터**</t>
    <phoneticPr fontId="13" type="noConversion"/>
  </si>
  <si>
    <r>
      <t xml:space="preserve">바삭마끼 </t>
    </r>
    <r>
      <rPr>
        <b/>
        <sz val="22"/>
        <color rgb="FF000000"/>
        <rFont val="맑은 고딕"/>
        <family val="3"/>
        <charset val="129"/>
      </rPr>
      <t>참치와사비</t>
    </r>
    <phoneticPr fontId="13" type="noConversion"/>
  </si>
  <si>
    <r>
      <t xml:space="preserve">바삭마끼 </t>
    </r>
    <r>
      <rPr>
        <b/>
        <sz val="22"/>
        <color rgb="FF000000"/>
        <rFont val="맑은 고딕"/>
        <family val="3"/>
        <charset val="129"/>
      </rPr>
      <t>크랩어니언</t>
    </r>
    <phoneticPr fontId="13" type="noConversion"/>
  </si>
  <si>
    <t>합계</t>
  </si>
  <si>
    <t>사선마끼
&amp;유부초밥세트</t>
  </si>
  <si>
    <t>바삭마끼
참치와사비</t>
  </si>
  <si>
    <t>바삭마끼
크랩어니언</t>
  </si>
  <si>
    <t>즉석)군고구마(호풍미)</t>
  </si>
  <si>
    <t>밸런스푼)새우듬뿍샐러드 185g</t>
  </si>
  <si>
    <t>밸런스푼)새우듬뿍
샐러드 185g</t>
    <phoneticPr fontId="13" type="noConversion"/>
  </si>
  <si>
    <t>바삭마끼통소시지</t>
  </si>
  <si>
    <r>
      <t xml:space="preserve">바삭마끼 </t>
    </r>
    <r>
      <rPr>
        <b/>
        <sz val="22"/>
        <color rgb="FF000000"/>
        <rFont val="맑은 고딕"/>
        <family val="3"/>
        <charset val="129"/>
      </rPr>
      <t>통소시지</t>
    </r>
    <phoneticPr fontId="13" type="noConversion"/>
  </si>
  <si>
    <t>APP예약)밸런스푼훈제오리듬뿍샐러드</t>
  </si>
  <si>
    <t>10/11</t>
  </si>
  <si>
    <t>열매나무_못난이농산물(사과)/ea</t>
  </si>
  <si>
    <t>열매나무 _ 세븐 &lt;1편&gt; □</t>
    <phoneticPr fontId="13" type="noConversion"/>
  </si>
  <si>
    <t>못난이농산물(사과)</t>
    <phoneticPr fontId="13" type="noConversion"/>
  </si>
  <si>
    <t>APP예약)밸런스푼에그듬뿍샐러드</t>
  </si>
  <si>
    <t>올뉴유부초밥4입</t>
    <phoneticPr fontId="13" type="noConversion"/>
  </si>
  <si>
    <t>올뉴유부초밥4입</t>
  </si>
  <si>
    <t>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</si>
</sst>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mm&quot;월&quot;\ dd&quot;일&quot;"/>
  </numFmts>
  <fonts count="4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 tint="4.9989318521683403E-2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2"/>
      <color rgb="FF000000"/>
      <name val="맑은 고딕"/>
      <family val="3"/>
      <charset val="129"/>
    </font>
    <font>
      <b/>
      <sz val="22"/>
      <color rgb="FFFF0000"/>
      <name val="맑은 고딕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B7DEE8"/>
        <bgColor rgb="FFDCE6F1"/>
      </patternFill>
    </fill>
    <fill>
      <patternFill patternType="solid">
        <fgColor rgb="FF92D050"/>
        <bgColor rgb="FFDCE6F1"/>
      </patternFill>
    </fill>
    <fill>
      <patternFill patternType="solid">
        <fgColor rgb="FF568ED4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FF00"/>
        <bgColor rgb="FFDCE6F1"/>
      </patternFill>
    </fill>
    <fill>
      <patternFill patternType="solid">
        <fgColor rgb="FF7030A0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1F9C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">
    <xf numFmtId="0" fontId="0" fillId="0" borderId="0">
      <alignment vertical="center"/>
    </xf>
    <xf numFmtId="41" fontId="12" fillId="0" borderId="0">
      <alignment vertical="center"/>
    </xf>
    <xf numFmtId="0" fontId="1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31" applyNumberFormat="0" applyAlignment="0" applyProtection="0">
      <alignment vertical="center"/>
    </xf>
    <xf numFmtId="0" fontId="29" fillId="17" borderId="32" applyNumberFormat="0" applyAlignment="0" applyProtection="0">
      <alignment vertical="center"/>
    </xf>
    <xf numFmtId="0" fontId="30" fillId="17" borderId="31" applyNumberForma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8" borderId="3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9" borderId="35" applyNumberFormat="0" applyFont="0" applyAlignment="0" applyProtection="0">
      <alignment vertical="center"/>
    </xf>
    <xf numFmtId="0" fontId="2" fillId="0" borderId="0">
      <alignment vertical="center"/>
    </xf>
    <xf numFmtId="0" fontId="2" fillId="19" borderId="3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41" fontId="12" fillId="0" borderId="0">
      <alignment vertical="center"/>
    </xf>
    <xf numFmtId="0" fontId="1" fillId="0" borderId="0">
      <alignment vertical="center"/>
    </xf>
  </cellStyleXfs>
  <cellXfs count="29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41" fontId="0" fillId="0" borderId="0" xfId="1" applyFont="1">
      <alignment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2" borderId="8" xfId="0" applyFont="1" applyFill="1" applyBorder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41" fontId="0" fillId="0" borderId="6" xfId="1" applyFont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8" fillId="0" borderId="1" xfId="1" applyFont="1" applyBorder="1">
      <alignment vertical="center"/>
    </xf>
    <xf numFmtId="176" fontId="0" fillId="0" borderId="0" xfId="0" applyNumberFormat="1">
      <alignment vertical="center"/>
    </xf>
    <xf numFmtId="41" fontId="5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0" fillId="0" borderId="1" xfId="1" applyFont="1" applyBorder="1">
      <alignment vertical="center"/>
    </xf>
    <xf numFmtId="41" fontId="5" fillId="0" borderId="15" xfId="1" applyFont="1" applyBorder="1" applyAlignment="1">
      <alignment horizontal="center" vertical="center"/>
    </xf>
    <xf numFmtId="41" fontId="8" fillId="0" borderId="15" xfId="1" applyFont="1" applyBorder="1">
      <alignment vertical="center"/>
    </xf>
    <xf numFmtId="41" fontId="10" fillId="10" borderId="1" xfId="1" applyFont="1" applyFill="1" applyBorder="1">
      <alignment vertical="center"/>
    </xf>
    <xf numFmtId="41" fontId="8" fillId="10" borderId="1" xfId="1" applyFont="1" applyFill="1" applyBorder="1">
      <alignment vertical="center"/>
    </xf>
    <xf numFmtId="41" fontId="12" fillId="0" borderId="0" xfId="1">
      <alignment vertical="center"/>
    </xf>
    <xf numFmtId="0" fontId="12" fillId="0" borderId="0" xfId="0" applyFont="1">
      <alignment vertical="center"/>
    </xf>
    <xf numFmtId="41" fontId="8" fillId="10" borderId="15" xfId="1" applyFont="1" applyFill="1" applyBorder="1">
      <alignment vertical="center"/>
    </xf>
    <xf numFmtId="41" fontId="12" fillId="0" borderId="0" xfId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12" fillId="0" borderId="0" xfId="2">
      <alignment vertical="center"/>
    </xf>
    <xf numFmtId="0" fontId="4" fillId="0" borderId="1" xfId="2" applyFont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12" fillId="10" borderId="1" xfId="2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11" borderId="0" xfId="2" applyFill="1">
      <alignment vertical="center"/>
    </xf>
    <xf numFmtId="41" fontId="17" fillId="11" borderId="4" xfId="1" applyFont="1" applyFill="1" applyBorder="1">
      <alignment vertical="center"/>
    </xf>
    <xf numFmtId="41" fontId="6" fillId="11" borderId="4" xfId="1" applyFont="1" applyFill="1" applyBorder="1">
      <alignment vertical="center"/>
    </xf>
    <xf numFmtId="0" fontId="11" fillId="11" borderId="3" xfId="2" applyFont="1" applyFill="1" applyBorder="1" applyAlignment="1">
      <alignment horizontal="left" vertical="center"/>
    </xf>
    <xf numFmtId="0" fontId="10" fillId="11" borderId="4" xfId="2" applyFont="1" applyFill="1" applyBorder="1" applyAlignment="1">
      <alignment horizontal="center" vertical="center"/>
    </xf>
    <xf numFmtId="0" fontId="4" fillId="0" borderId="2" xfId="2" applyFont="1" applyBorder="1">
      <alignment vertical="center"/>
    </xf>
    <xf numFmtId="41" fontId="11" fillId="0" borderId="15" xfId="1" applyFont="1" applyBorder="1" applyAlignment="1">
      <alignment horizontal="center" vertical="center"/>
    </xf>
    <xf numFmtId="0" fontId="12" fillId="10" borderId="2" xfId="2" applyFill="1" applyBorder="1">
      <alignment vertical="center"/>
    </xf>
    <xf numFmtId="0" fontId="12" fillId="10" borderId="2" xfId="2" applyFill="1" applyBorder="1" applyAlignment="1">
      <alignment horizontal="left" vertical="center"/>
    </xf>
    <xf numFmtId="0" fontId="6" fillId="11" borderId="4" xfId="2" applyFont="1" applyFill="1" applyBorder="1" applyAlignment="1">
      <alignment horizontal="left" vertical="center"/>
    </xf>
    <xf numFmtId="0" fontId="12" fillId="0" borderId="2" xfId="2" applyBorder="1" applyAlignment="1">
      <alignment horizontal="left" vertical="center"/>
    </xf>
    <xf numFmtId="0" fontId="12" fillId="0" borderId="1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2" xfId="2" applyBorder="1">
      <alignment vertical="center"/>
    </xf>
    <xf numFmtId="14" fontId="12" fillId="0" borderId="0" xfId="2" applyNumberFormat="1">
      <alignment vertical="center"/>
    </xf>
    <xf numFmtId="41" fontId="6" fillId="10" borderId="1" xfId="1" applyFont="1" applyFill="1" applyBorder="1">
      <alignment vertical="center"/>
    </xf>
    <xf numFmtId="41" fontId="18" fillId="10" borderId="1" xfId="1" applyFont="1" applyFill="1" applyBorder="1">
      <alignment vertical="center"/>
    </xf>
    <xf numFmtId="0" fontId="6" fillId="10" borderId="1" xfId="2" applyFont="1" applyFill="1" applyBorder="1" applyAlignment="1">
      <alignment horizontal="left" vertical="center"/>
    </xf>
    <xf numFmtId="0" fontId="10" fillId="10" borderId="1" xfId="2" applyFont="1" applyFill="1" applyBorder="1" applyAlignment="1">
      <alignment horizontal="center" vertical="center"/>
    </xf>
    <xf numFmtId="0" fontId="16" fillId="0" borderId="0" xfId="2" applyFont="1">
      <alignment vertical="center"/>
    </xf>
    <xf numFmtId="0" fontId="7" fillId="0" borderId="0" xfId="0" applyFont="1" applyAlignment="1">
      <alignment horizontal="center" vertical="center"/>
    </xf>
    <xf numFmtId="14" fontId="7" fillId="0" borderId="22" xfId="2" applyNumberFormat="1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14" fontId="12" fillId="0" borderId="0" xfId="1" applyNumberFormat="1">
      <alignment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0" fillId="0" borderId="0" xfId="2" applyFont="1">
      <alignment vertical="center"/>
    </xf>
    <xf numFmtId="0" fontId="11" fillId="0" borderId="2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7" fillId="0" borderId="21" xfId="2" applyFont="1" applyBorder="1" applyAlignment="1">
      <alignment horizontal="center" vertical="center"/>
    </xf>
    <xf numFmtId="0" fontId="37" fillId="0" borderId="1" xfId="2" applyFont="1" applyBorder="1" applyAlignment="1">
      <alignment horizontal="center" vertical="center"/>
    </xf>
    <xf numFmtId="0" fontId="17" fillId="0" borderId="0" xfId="2" applyFont="1">
      <alignment vertical="center"/>
    </xf>
    <xf numFmtId="0" fontId="5" fillId="12" borderId="24" xfId="0" applyFont="1" applyFill="1" applyBorder="1">
      <alignment vertical="center"/>
    </xf>
    <xf numFmtId="0" fontId="20" fillId="12" borderId="19" xfId="0" applyFont="1" applyFill="1" applyBorder="1" applyAlignment="1">
      <alignment horizontal="center" vertical="center"/>
    </xf>
    <xf numFmtId="41" fontId="6" fillId="10" borderId="1" xfId="2" applyNumberFormat="1" applyFont="1" applyFill="1" applyBorder="1">
      <alignment vertical="center"/>
    </xf>
    <xf numFmtId="41" fontId="12" fillId="0" borderId="0" xfId="2" applyNumberFormat="1">
      <alignment vertical="center"/>
    </xf>
    <xf numFmtId="0" fontId="12" fillId="0" borderId="0" xfId="2" applyAlignment="1">
      <alignment horizontal="left" vertical="center"/>
    </xf>
    <xf numFmtId="0" fontId="5" fillId="12" borderId="38" xfId="0" applyFont="1" applyFill="1" applyBorder="1">
      <alignment vertical="center"/>
    </xf>
    <xf numFmtId="0" fontId="20" fillId="12" borderId="39" xfId="0" applyFont="1" applyFill="1" applyBorder="1" applyAlignment="1">
      <alignment horizontal="center" vertical="center"/>
    </xf>
    <xf numFmtId="0" fontId="11" fillId="11" borderId="40" xfId="2" applyFont="1" applyFill="1" applyBorder="1" applyAlignment="1">
      <alignment horizontal="left" vertical="center"/>
    </xf>
    <xf numFmtId="0" fontId="10" fillId="11" borderId="41" xfId="2" applyFont="1" applyFill="1" applyBorder="1" applyAlignment="1">
      <alignment horizontal="center" vertical="center"/>
    </xf>
    <xf numFmtId="41" fontId="17" fillId="11" borderId="41" xfId="1" applyFont="1" applyFill="1" applyBorder="1">
      <alignment vertical="center"/>
    </xf>
    <xf numFmtId="41" fontId="6" fillId="11" borderId="41" xfId="1" applyFont="1" applyFill="1" applyBorder="1">
      <alignment vertical="center"/>
    </xf>
    <xf numFmtId="0" fontId="6" fillId="11" borderId="41" xfId="2" applyFont="1" applyFill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11" fillId="10" borderId="2" xfId="2" applyFont="1" applyFill="1" applyBorder="1" applyAlignment="1">
      <alignment horizontal="left" vertical="center"/>
    </xf>
    <xf numFmtId="0" fontId="39" fillId="12" borderId="24" xfId="2" applyFont="1" applyFill="1" applyBorder="1">
      <alignment vertical="center"/>
    </xf>
    <xf numFmtId="0" fontId="39" fillId="12" borderId="3" xfId="2" applyFont="1" applyFill="1" applyBorder="1">
      <alignment vertical="center"/>
    </xf>
    <xf numFmtId="0" fontId="39" fillId="12" borderId="19" xfId="2" applyFont="1" applyFill="1" applyBorder="1">
      <alignment vertical="center"/>
    </xf>
    <xf numFmtId="0" fontId="4" fillId="0" borderId="11" xfId="2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6" fillId="11" borderId="19" xfId="1" applyFont="1" applyFill="1" applyBorder="1">
      <alignment vertical="center"/>
    </xf>
    <xf numFmtId="0" fontId="11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horizontal="center" vertical="center"/>
    </xf>
    <xf numFmtId="41" fontId="6" fillId="0" borderId="4" xfId="1" applyFont="1" applyBorder="1">
      <alignment vertical="center"/>
    </xf>
    <xf numFmtId="0" fontId="6" fillId="0" borderId="4" xfId="2" applyFont="1" applyBorder="1" applyAlignment="1">
      <alignment horizontal="left" vertical="center"/>
    </xf>
    <xf numFmtId="41" fontId="6" fillId="0" borderId="19" xfId="1" applyFont="1" applyBorder="1">
      <alignment vertical="center"/>
    </xf>
    <xf numFmtId="0" fontId="11" fillId="44" borderId="46" xfId="2" applyFont="1" applyFill="1" applyBorder="1" applyAlignment="1">
      <alignment horizontal="left" vertical="center"/>
    </xf>
    <xf numFmtId="0" fontId="10" fillId="44" borderId="47" xfId="2" applyFont="1" applyFill="1" applyBorder="1" applyAlignment="1">
      <alignment horizontal="center" vertical="center"/>
    </xf>
    <xf numFmtId="41" fontId="6" fillId="44" borderId="47" xfId="1" applyFont="1" applyFill="1" applyBorder="1">
      <alignment vertical="center"/>
    </xf>
    <xf numFmtId="0" fontId="6" fillId="44" borderId="47" xfId="2" applyFont="1" applyFill="1" applyBorder="1" applyAlignment="1">
      <alignment horizontal="left" vertical="center"/>
    </xf>
    <xf numFmtId="0" fontId="12" fillId="0" borderId="45" xfId="2" applyBorder="1" applyAlignment="1">
      <alignment horizontal="center" vertical="center"/>
    </xf>
    <xf numFmtId="41" fontId="10" fillId="0" borderId="45" xfId="1" applyFont="1" applyBorder="1">
      <alignment vertical="center"/>
    </xf>
    <xf numFmtId="41" fontId="8" fillId="0" borderId="45" xfId="1" applyFont="1" applyBorder="1">
      <alignment vertical="center"/>
    </xf>
    <xf numFmtId="0" fontId="6" fillId="0" borderId="45" xfId="2" applyFont="1" applyBorder="1" applyAlignment="1">
      <alignment horizontal="center" vertical="center"/>
    </xf>
    <xf numFmtId="0" fontId="12" fillId="45" borderId="6" xfId="2" applyFill="1" applyBorder="1" applyAlignment="1">
      <alignment horizontal="center" vertical="center"/>
    </xf>
    <xf numFmtId="41" fontId="10" fillId="45" borderId="6" xfId="1" applyFont="1" applyFill="1" applyBorder="1">
      <alignment vertical="center"/>
    </xf>
    <xf numFmtId="41" fontId="8" fillId="45" borderId="6" xfId="1" applyFont="1" applyFill="1" applyBorder="1">
      <alignment vertical="center"/>
    </xf>
    <xf numFmtId="0" fontId="6" fillId="45" borderId="6" xfId="2" applyFont="1" applyFill="1" applyBorder="1" applyAlignment="1">
      <alignment horizontal="center" vertical="center"/>
    </xf>
    <xf numFmtId="41" fontId="10" fillId="45" borderId="1" xfId="1" applyFont="1" applyFill="1" applyBorder="1">
      <alignment vertical="center"/>
    </xf>
    <xf numFmtId="41" fontId="8" fillId="45" borderId="1" xfId="1" applyFont="1" applyFill="1" applyBorder="1">
      <alignment vertical="center"/>
    </xf>
    <xf numFmtId="0" fontId="6" fillId="45" borderId="1" xfId="2" applyFont="1" applyFill="1" applyBorder="1" applyAlignment="1">
      <alignment horizontal="center" vertical="center"/>
    </xf>
    <xf numFmtId="0" fontId="12" fillId="45" borderId="1" xfId="2" applyFill="1" applyBorder="1" applyAlignment="1">
      <alignment horizontal="center" vertical="center"/>
    </xf>
    <xf numFmtId="0" fontId="11" fillId="10" borderId="22" xfId="2" applyFont="1" applyFill="1" applyBorder="1" applyAlignment="1">
      <alignment horizontal="left" vertical="center"/>
    </xf>
    <xf numFmtId="0" fontId="10" fillId="10" borderId="23" xfId="2" applyFont="1" applyFill="1" applyBorder="1" applyAlignment="1">
      <alignment horizontal="center" vertical="center"/>
    </xf>
    <xf numFmtId="41" fontId="6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left" vertical="center"/>
    </xf>
    <xf numFmtId="0" fontId="6" fillId="0" borderId="1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6" fillId="10" borderId="15" xfId="1" applyFont="1" applyFill="1" applyBorder="1">
      <alignment vertical="center"/>
    </xf>
    <xf numFmtId="0" fontId="11" fillId="0" borderId="50" xfId="2" applyFont="1" applyBorder="1" applyAlignment="1">
      <alignment horizontal="left" vertical="center"/>
    </xf>
    <xf numFmtId="0" fontId="10" fillId="0" borderId="51" xfId="2" applyFont="1" applyBorder="1" applyAlignment="1">
      <alignment horizontal="center" vertical="center"/>
    </xf>
    <xf numFmtId="41" fontId="6" fillId="0" borderId="51" xfId="1" applyFont="1" applyBorder="1">
      <alignment vertical="center"/>
    </xf>
    <xf numFmtId="0" fontId="6" fillId="0" borderId="51" xfId="2" applyFont="1" applyBorder="1" applyAlignment="1">
      <alignment horizontal="left" vertical="center"/>
    </xf>
    <xf numFmtId="41" fontId="6" fillId="0" borderId="52" xfId="1" applyFont="1" applyBorder="1">
      <alignment vertical="center"/>
    </xf>
    <xf numFmtId="0" fontId="4" fillId="0" borderId="16" xfId="2" applyFont="1" applyBorder="1">
      <alignment vertical="center"/>
    </xf>
    <xf numFmtId="41" fontId="5" fillId="0" borderId="17" xfId="1" applyFont="1" applyBorder="1" applyAlignment="1">
      <alignment horizontal="center" vertical="center"/>
    </xf>
    <xf numFmtId="0" fontId="12" fillId="0" borderId="53" xfId="2" applyBorder="1" applyAlignment="1">
      <alignment horizontal="left" vertical="center"/>
    </xf>
    <xf numFmtId="41" fontId="8" fillId="0" borderId="54" xfId="1" applyFont="1" applyBorder="1">
      <alignment vertical="center"/>
    </xf>
    <xf numFmtId="0" fontId="12" fillId="45" borderId="5" xfId="2" applyFill="1" applyBorder="1" applyAlignment="1">
      <alignment horizontal="left" vertical="center"/>
    </xf>
    <xf numFmtId="41" fontId="8" fillId="45" borderId="7" xfId="1" applyFont="1" applyFill="1" applyBorder="1">
      <alignment vertical="center"/>
    </xf>
    <xf numFmtId="0" fontId="12" fillId="45" borderId="2" xfId="2" applyFill="1" applyBorder="1">
      <alignment vertical="center"/>
    </xf>
    <xf numFmtId="41" fontId="8" fillId="45" borderId="15" xfId="1" applyFont="1" applyFill="1" applyBorder="1">
      <alignment vertical="center"/>
    </xf>
    <xf numFmtId="0" fontId="12" fillId="45" borderId="2" xfId="2" applyFill="1" applyBorder="1" applyAlignment="1">
      <alignment horizontal="left" vertical="center"/>
    </xf>
    <xf numFmtId="0" fontId="15" fillId="0" borderId="0" xfId="2" applyFont="1">
      <alignment vertical="center"/>
    </xf>
    <xf numFmtId="0" fontId="11" fillId="0" borderId="57" xfId="2" applyFont="1" applyBorder="1" applyAlignment="1">
      <alignment horizontal="left" vertical="center"/>
    </xf>
    <xf numFmtId="0" fontId="10" fillId="0" borderId="55" xfId="2" applyFont="1" applyBorder="1" applyAlignment="1">
      <alignment horizontal="center" vertical="center"/>
    </xf>
    <xf numFmtId="41" fontId="6" fillId="0" borderId="55" xfId="1" applyFont="1" applyBorder="1">
      <alignment vertical="center"/>
    </xf>
    <xf numFmtId="0" fontId="6" fillId="0" borderId="55" xfId="2" applyFont="1" applyBorder="1" applyAlignment="1">
      <alignment horizontal="left" vertical="center"/>
    </xf>
    <xf numFmtId="41" fontId="6" fillId="0" borderId="56" xfId="1" applyFont="1" applyBorder="1">
      <alignment vertical="center"/>
    </xf>
    <xf numFmtId="0" fontId="17" fillId="0" borderId="20" xfId="2" applyFont="1" applyBorder="1" applyAlignment="1">
      <alignment horizontal="center" vertical="center"/>
    </xf>
    <xf numFmtId="41" fontId="6" fillId="44" borderId="58" xfId="1" applyFont="1" applyFill="1" applyBorder="1">
      <alignment vertical="center"/>
    </xf>
    <xf numFmtId="41" fontId="6" fillId="11" borderId="59" xfId="1" applyFont="1" applyFill="1" applyBorder="1">
      <alignment vertical="center"/>
    </xf>
    <xf numFmtId="0" fontId="17" fillId="12" borderId="20" xfId="2" applyFont="1" applyFill="1" applyBorder="1" applyAlignment="1">
      <alignment horizontal="center" vertical="center"/>
    </xf>
    <xf numFmtId="41" fontId="6" fillId="10" borderId="24" xfId="1" applyFont="1" applyFill="1" applyBorder="1">
      <alignment vertical="center"/>
    </xf>
    <xf numFmtId="0" fontId="15" fillId="0" borderId="0" xfId="0" applyFont="1">
      <alignment vertical="center"/>
    </xf>
    <xf numFmtId="0" fontId="40" fillId="0" borderId="0" xfId="2" applyFont="1">
      <alignment vertical="center"/>
    </xf>
    <xf numFmtId="0" fontId="12" fillId="10" borderId="22" xfId="2" applyFill="1" applyBorder="1" applyAlignment="1">
      <alignment horizontal="left" vertical="center"/>
    </xf>
    <xf numFmtId="0" fontId="12" fillId="10" borderId="23" xfId="2" applyFill="1" applyBorder="1" applyAlignment="1">
      <alignment horizontal="center" vertical="center"/>
    </xf>
    <xf numFmtId="41" fontId="10" fillId="10" borderId="23" xfId="1" applyFont="1" applyFill="1" applyBorder="1">
      <alignment vertical="center"/>
    </xf>
    <xf numFmtId="41" fontId="8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41" fontId="8" fillId="10" borderId="24" xfId="1" applyFont="1" applyFill="1" applyBorder="1">
      <alignment vertical="center"/>
    </xf>
    <xf numFmtId="0" fontId="12" fillId="0" borderId="3" xfId="2" applyBorder="1" applyAlignment="1">
      <alignment horizontal="left" vertical="center"/>
    </xf>
    <xf numFmtId="41" fontId="10" fillId="0" borderId="4" xfId="1" applyFont="1" applyBorder="1">
      <alignment vertical="center"/>
    </xf>
    <xf numFmtId="41" fontId="8" fillId="0" borderId="4" xfId="1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41" fontId="8" fillId="0" borderId="19" xfId="1" applyFont="1" applyBorder="1">
      <alignment vertical="center"/>
    </xf>
    <xf numFmtId="0" fontId="12" fillId="0" borderId="4" xfId="2" applyBorder="1" applyAlignment="1">
      <alignment horizontal="center" vertical="center"/>
    </xf>
    <xf numFmtId="0" fontId="12" fillId="0" borderId="6" xfId="2" applyBorder="1" applyAlignment="1">
      <alignment horizontal="center" vertical="center"/>
    </xf>
    <xf numFmtId="0" fontId="38" fillId="12" borderId="19" xfId="2" applyFont="1" applyFill="1" applyBorder="1">
      <alignment vertical="center"/>
    </xf>
    <xf numFmtId="0" fontId="9" fillId="12" borderId="1" xfId="2" applyFont="1" applyFill="1" applyBorder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41" fontId="10" fillId="0" borderId="0" xfId="1" applyFont="1">
      <alignment vertical="center"/>
    </xf>
    <xf numFmtId="41" fontId="8" fillId="0" borderId="0" xfId="1" applyFont="1">
      <alignment vertical="center"/>
    </xf>
    <xf numFmtId="0" fontId="6" fillId="0" borderId="0" xfId="2" applyFont="1" applyAlignment="1">
      <alignment horizontal="center" vertical="center"/>
    </xf>
    <xf numFmtId="0" fontId="12" fillId="0" borderId="64" xfId="2" applyBorder="1">
      <alignment vertical="center"/>
    </xf>
    <xf numFmtId="41" fontId="8" fillId="0" borderId="65" xfId="1" applyFont="1" applyBorder="1">
      <alignment vertical="center"/>
    </xf>
    <xf numFmtId="0" fontId="18" fillId="0" borderId="3" xfId="2" applyFont="1" applyBorder="1">
      <alignment vertical="center"/>
    </xf>
    <xf numFmtId="0" fontId="39" fillId="12" borderId="38" xfId="2" applyFont="1" applyFill="1" applyBorder="1">
      <alignment vertical="center"/>
    </xf>
    <xf numFmtId="0" fontId="18" fillId="0" borderId="3" xfId="2" applyFont="1" applyBorder="1" applyAlignment="1">
      <alignment horizontal="center" vertical="center"/>
    </xf>
    <xf numFmtId="0" fontId="12" fillId="0" borderId="22" xfId="2" applyBorder="1" applyAlignment="1">
      <alignment horizontal="left" vertical="center"/>
    </xf>
    <xf numFmtId="0" fontId="6" fillId="0" borderId="23" xfId="2" applyFont="1" applyBorder="1" applyAlignment="1">
      <alignment horizontal="center" vertical="center"/>
    </xf>
    <xf numFmtId="0" fontId="12" fillId="0" borderId="23" xfId="2" applyBorder="1" applyAlignment="1">
      <alignment horizontal="center" vertical="center"/>
    </xf>
    <xf numFmtId="41" fontId="10" fillId="0" borderId="23" xfId="1" applyFont="1" applyBorder="1">
      <alignment vertical="center"/>
    </xf>
    <xf numFmtId="41" fontId="8" fillId="0" borderId="23" xfId="1" applyFont="1" applyBorder="1">
      <alignment vertical="center"/>
    </xf>
    <xf numFmtId="41" fontId="8" fillId="0" borderId="24" xfId="1" applyFont="1" applyBorder="1">
      <alignment vertical="center"/>
    </xf>
    <xf numFmtId="0" fontId="4" fillId="0" borderId="4" xfId="2" applyFont="1" applyBorder="1" applyAlignment="1">
      <alignment horizontal="center" vertical="center"/>
    </xf>
    <xf numFmtId="41" fontId="11" fillId="0" borderId="4" xfId="1" applyFont="1" applyBorder="1">
      <alignment vertical="center"/>
    </xf>
    <xf numFmtId="41" fontId="6" fillId="0" borderId="4" xfId="2" applyNumberFormat="1" applyFont="1" applyBorder="1" applyAlignment="1">
      <alignment horizontal="center" vertical="center"/>
    </xf>
    <xf numFmtId="0" fontId="12" fillId="0" borderId="5" xfId="2" applyBorder="1" applyAlignment="1">
      <alignment horizontal="left" vertical="center"/>
    </xf>
    <xf numFmtId="41" fontId="10" fillId="0" borderId="6" xfId="1" applyFont="1" applyBorder="1">
      <alignment vertical="center"/>
    </xf>
    <xf numFmtId="41" fontId="8" fillId="0" borderId="6" xfId="1" applyFont="1" applyBorder="1">
      <alignment vertical="center"/>
    </xf>
    <xf numFmtId="0" fontId="6" fillId="0" borderId="6" xfId="2" applyFont="1" applyBorder="1" applyAlignment="1">
      <alignment horizontal="center" vertical="center"/>
    </xf>
    <xf numFmtId="41" fontId="8" fillId="0" borderId="7" xfId="1" applyFont="1" applyBorder="1">
      <alignment vertical="center"/>
    </xf>
    <xf numFmtId="41" fontId="6" fillId="10" borderId="23" xfId="2" applyNumberFormat="1" applyFont="1" applyFill="1" applyBorder="1">
      <alignment vertical="center"/>
    </xf>
    <xf numFmtId="0" fontId="11" fillId="0" borderId="5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64" xfId="2" applyBorder="1" applyAlignment="1">
      <alignment horizontal="center" vertical="center"/>
    </xf>
    <xf numFmtId="0" fontId="12" fillId="0" borderId="65" xfId="2" applyBorder="1" applyAlignment="1">
      <alignment horizontal="center" vertical="center"/>
    </xf>
    <xf numFmtId="0" fontId="11" fillId="10" borderId="2" xfId="2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2" applyFont="1">
      <alignment vertical="center"/>
    </xf>
    <xf numFmtId="0" fontId="11" fillId="0" borderId="68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38" fillId="12" borderId="39" xfId="2" applyFont="1" applyFill="1" applyBorder="1">
      <alignment vertical="center"/>
    </xf>
    <xf numFmtId="0" fontId="41" fillId="0" borderId="0" xfId="2" applyFont="1">
      <alignment vertical="center"/>
    </xf>
    <xf numFmtId="0" fontId="41" fillId="0" borderId="0" xfId="0" applyFont="1">
      <alignment vertical="center"/>
    </xf>
    <xf numFmtId="0" fontId="12" fillId="46" borderId="1" xfId="2" applyFill="1" applyBorder="1" applyAlignment="1">
      <alignment horizontal="center" vertical="center"/>
    </xf>
    <xf numFmtId="0" fontId="9" fillId="47" borderId="1" xfId="2" applyFont="1" applyFill="1" applyBorder="1" applyAlignment="1">
      <alignment horizontal="center" vertical="center" wrapText="1"/>
    </xf>
    <xf numFmtId="0" fontId="12" fillId="10" borderId="16" xfId="2" applyFill="1" applyBorder="1">
      <alignment vertical="center"/>
    </xf>
    <xf numFmtId="0" fontId="6" fillId="10" borderId="2" xfId="2" applyFont="1" applyFill="1" applyBorder="1" applyAlignment="1">
      <alignment horizontal="left" vertical="center"/>
    </xf>
    <xf numFmtId="41" fontId="6" fillId="10" borderId="1" xfId="2" applyNumberFormat="1" applyFont="1" applyFill="1" applyBorder="1" applyAlignment="1">
      <alignment horizontal="center" vertical="center"/>
    </xf>
    <xf numFmtId="0" fontId="18" fillId="10" borderId="2" xfId="2" applyFont="1" applyFill="1" applyBorder="1" applyAlignment="1">
      <alignment horizontal="left" vertical="center"/>
    </xf>
    <xf numFmtId="41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/>
    </xf>
    <xf numFmtId="41" fontId="18" fillId="10" borderId="15" xfId="1" applyFont="1" applyFill="1" applyBorder="1">
      <alignment vertical="center"/>
    </xf>
    <xf numFmtId="0" fontId="38" fillId="12" borderId="39" xfId="2" applyFont="1" applyFill="1" applyBorder="1" applyAlignment="1">
      <alignment horizontal="center" vertical="center"/>
    </xf>
    <xf numFmtId="0" fontId="38" fillId="12" borderId="19" xfId="2" applyFont="1" applyFill="1" applyBorder="1" applyAlignment="1">
      <alignment horizontal="center" vertical="center"/>
    </xf>
    <xf numFmtId="0" fontId="42" fillId="12" borderId="22" xfId="2" applyFont="1" applyFill="1" applyBorder="1" applyAlignment="1">
      <alignment horizontal="center" vertical="center"/>
    </xf>
    <xf numFmtId="0" fontId="42" fillId="12" borderId="24" xfId="2" applyFont="1" applyFill="1" applyBorder="1" applyAlignment="1">
      <alignment horizontal="center" vertical="center"/>
    </xf>
    <xf numFmtId="0" fontId="42" fillId="12" borderId="38" xfId="2" applyFont="1" applyFill="1" applyBorder="1" applyAlignment="1">
      <alignment horizontal="center" vertical="center"/>
    </xf>
    <xf numFmtId="14" fontId="6" fillId="48" borderId="22" xfId="2" applyNumberFormat="1" applyFont="1" applyFill="1" applyBorder="1" applyAlignment="1">
      <alignment horizontal="left" vertical="center"/>
    </xf>
    <xf numFmtId="0" fontId="6" fillId="48" borderId="2" xfId="2" applyFont="1" applyFill="1" applyBorder="1">
      <alignment vertical="center"/>
    </xf>
    <xf numFmtId="0" fontId="6" fillId="48" borderId="1" xfId="2" applyFont="1" applyFill="1" applyBorder="1" applyAlignment="1">
      <alignment horizontal="center" vertical="center"/>
    </xf>
    <xf numFmtId="0" fontId="6" fillId="48" borderId="1" xfId="2" applyFont="1" applyFill="1" applyBorder="1" applyAlignment="1">
      <alignment horizontal="center" vertical="center" wrapText="1"/>
    </xf>
    <xf numFmtId="41" fontId="6" fillId="48" borderId="1" xfId="1" applyFont="1" applyFill="1" applyBorder="1" applyAlignment="1">
      <alignment horizontal="center" vertical="center"/>
    </xf>
    <xf numFmtId="41" fontId="6" fillId="48" borderId="15" xfId="1" applyFont="1" applyFill="1" applyBorder="1" applyAlignment="1">
      <alignment horizontal="center" vertical="center"/>
    </xf>
    <xf numFmtId="0" fontId="17" fillId="0" borderId="2" xfId="2" applyFont="1" applyBorder="1">
      <alignment vertical="center"/>
    </xf>
    <xf numFmtId="0" fontId="17" fillId="0" borderId="1" xfId="2" applyFont="1" applyBorder="1" applyAlignment="1">
      <alignment horizontal="center" vertical="center"/>
    </xf>
    <xf numFmtId="41" fontId="17" fillId="0" borderId="1" xfId="1" applyFont="1" applyBorder="1">
      <alignment vertical="center"/>
    </xf>
    <xf numFmtId="41" fontId="17" fillId="0" borderId="15" xfId="1" applyFont="1" applyBorder="1">
      <alignment vertical="center"/>
    </xf>
    <xf numFmtId="0" fontId="17" fillId="0" borderId="2" xfId="2" applyFont="1" applyBorder="1" applyAlignment="1">
      <alignment horizontal="left" vertical="center"/>
    </xf>
    <xf numFmtId="0" fontId="17" fillId="0" borderId="2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43" fillId="10" borderId="1" xfId="2" applyFont="1" applyFill="1" applyBorder="1" applyAlignment="1">
      <alignment horizontal="center" vertical="center"/>
    </xf>
    <xf numFmtId="0" fontId="17" fillId="10" borderId="1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left" vertical="center"/>
    </xf>
    <xf numFmtId="0" fontId="17" fillId="11" borderId="4" xfId="2" applyFont="1" applyFill="1" applyBorder="1" applyAlignment="1">
      <alignment horizontal="center" vertical="center"/>
    </xf>
    <xf numFmtId="0" fontId="38" fillId="12" borderId="3" xfId="2" applyFont="1" applyFill="1" applyBorder="1" applyAlignment="1">
      <alignment horizontal="center" vertical="center"/>
    </xf>
    <xf numFmtId="0" fontId="6" fillId="12" borderId="1" xfId="2" applyFont="1" applyFill="1" applyBorder="1" applyAlignment="1">
      <alignment horizontal="center" vertical="center" wrapText="1"/>
    </xf>
    <xf numFmtId="14" fontId="12" fillId="0" borderId="0" xfId="1" quotePrefix="1" applyNumberFormat="1">
      <alignment vertical="center"/>
    </xf>
    <xf numFmtId="0" fontId="17" fillId="49" borderId="2" xfId="2" applyFont="1" applyFill="1" applyBorder="1">
      <alignment vertical="center"/>
    </xf>
    <xf numFmtId="0" fontId="17" fillId="49" borderId="1" xfId="2" applyFont="1" applyFill="1" applyBorder="1" applyAlignment="1">
      <alignment horizontal="center" vertical="center"/>
    </xf>
    <xf numFmtId="41" fontId="17" fillId="49" borderId="1" xfId="1" applyFont="1" applyFill="1" applyBorder="1">
      <alignment vertical="center"/>
    </xf>
    <xf numFmtId="0" fontId="6" fillId="49" borderId="1" xfId="2" applyFont="1" applyFill="1" applyBorder="1" applyAlignment="1">
      <alignment horizontal="center" vertical="center"/>
    </xf>
    <xf numFmtId="41" fontId="17" fillId="49" borderId="15" xfId="1" applyFont="1" applyFill="1" applyBorder="1">
      <alignment vertical="center"/>
    </xf>
    <xf numFmtId="0" fontId="17" fillId="49" borderId="2" xfId="2" applyFont="1" applyFill="1" applyBorder="1" applyAlignment="1">
      <alignment horizontal="left" vertical="center"/>
    </xf>
    <xf numFmtId="0" fontId="46" fillId="0" borderId="0" xfId="2" applyFont="1">
      <alignment vertical="center"/>
    </xf>
    <xf numFmtId="0" fontId="12" fillId="12" borderId="0" xfId="2" applyFill="1">
      <alignment vertical="center"/>
    </xf>
    <xf numFmtId="0" fontId="12" fillId="50" borderId="0" xfId="2" applyFill="1">
      <alignment vertical="center"/>
    </xf>
    <xf numFmtId="0" fontId="12" fillId="0" borderId="0" xfId="2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14" fillId="50" borderId="0" xfId="2" applyFont="1" applyFill="1">
      <alignment vertical="center"/>
    </xf>
    <xf numFmtId="0" fontId="12" fillId="0" borderId="0" xfId="2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12" fillId="0" borderId="3" xfId="2" applyBorder="1" applyAlignment="1">
      <alignment horizontal="center" vertical="center"/>
    </xf>
    <xf numFmtId="0" fontId="12" fillId="0" borderId="4" xfId="2" applyBorder="1" applyAlignment="1">
      <alignment horizontal="center" vertical="center"/>
    </xf>
    <xf numFmtId="0" fontId="12" fillId="0" borderId="19" xfId="2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57" xfId="2" applyBorder="1" applyAlignment="1">
      <alignment horizontal="center" vertical="center"/>
    </xf>
    <xf numFmtId="0" fontId="12" fillId="0" borderId="55" xfId="2" applyBorder="1" applyAlignment="1">
      <alignment horizontal="center" vertical="center"/>
    </xf>
    <xf numFmtId="0" fontId="12" fillId="0" borderId="56" xfId="2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14" fontId="11" fillId="0" borderId="0" xfId="2" applyNumberFormat="1" applyFont="1" applyAlignment="1">
      <alignment horizontal="center" vertical="center"/>
    </xf>
    <xf numFmtId="0" fontId="6" fillId="48" borderId="23" xfId="2" applyFont="1" applyFill="1" applyBorder="1" applyAlignment="1">
      <alignment horizontal="center" vertical="center"/>
    </xf>
    <xf numFmtId="0" fontId="6" fillId="48" borderId="24" xfId="2" applyFont="1" applyFill="1" applyBorder="1" applyAlignment="1">
      <alignment horizontal="center" vertical="center"/>
    </xf>
    <xf numFmtId="0" fontId="17" fillId="0" borderId="48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49" xfId="2" applyFont="1" applyBorder="1" applyAlignment="1">
      <alignment horizontal="center" vertical="center"/>
    </xf>
    <xf numFmtId="0" fontId="6" fillId="48" borderId="25" xfId="2" applyFont="1" applyFill="1" applyBorder="1" applyAlignment="1">
      <alignment horizontal="center" vertical="center"/>
    </xf>
    <xf numFmtId="0" fontId="6" fillId="48" borderId="14" xfId="2" applyFont="1" applyFill="1" applyBorder="1" applyAlignment="1">
      <alignment horizontal="center" vertical="center"/>
    </xf>
    <xf numFmtId="0" fontId="6" fillId="48" borderId="18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2" fillId="0" borderId="16" xfId="2" applyBorder="1" applyAlignment="1">
      <alignment horizontal="center" vertical="center"/>
    </xf>
    <xf numFmtId="0" fontId="12" fillId="0" borderId="11" xfId="2" applyBorder="1" applyAlignment="1">
      <alignment horizontal="center" vertical="center"/>
    </xf>
    <xf numFmtId="0" fontId="12" fillId="0" borderId="17" xfId="2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12" fillId="0" borderId="48" xfId="2" applyBorder="1" applyAlignment="1">
      <alignment horizontal="center" vertical="center"/>
    </xf>
    <xf numFmtId="0" fontId="12" fillId="0" borderId="27" xfId="2" applyBorder="1" applyAlignment="1">
      <alignment horizontal="center" vertical="center"/>
    </xf>
    <xf numFmtId="0" fontId="12" fillId="0" borderId="49" xfId="2" applyBorder="1" applyAlignment="1">
      <alignment horizontal="center" vertical="center"/>
    </xf>
    <xf numFmtId="0" fontId="12" fillId="0" borderId="66" xfId="2" applyBorder="1" applyAlignment="1">
      <alignment horizontal="center" vertical="center"/>
    </xf>
    <xf numFmtId="0" fontId="12" fillId="0" borderId="67" xfId="2" applyBorder="1" applyAlignment="1">
      <alignment horizontal="center" vertical="center"/>
    </xf>
    <xf numFmtId="0" fontId="12" fillId="0" borderId="69" xfId="2" applyBorder="1" applyAlignment="1">
      <alignment horizontal="center" vertical="center"/>
    </xf>
    <xf numFmtId="14" fontId="11" fillId="0" borderId="61" xfId="2" applyNumberFormat="1" applyFont="1" applyBorder="1" applyAlignment="1">
      <alignment horizontal="center" vertical="center"/>
    </xf>
    <xf numFmtId="14" fontId="11" fillId="0" borderId="62" xfId="2" applyNumberFormat="1" applyFont="1" applyBorder="1" applyAlignment="1">
      <alignment horizontal="center" vertical="center"/>
    </xf>
    <xf numFmtId="14" fontId="11" fillId="0" borderId="63" xfId="2" applyNumberFormat="1" applyFont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4" fontId="11" fillId="0" borderId="42" xfId="2" applyNumberFormat="1" applyFont="1" applyBorder="1" applyAlignment="1">
      <alignment horizontal="center" vertical="center"/>
    </xf>
    <xf numFmtId="14" fontId="11" fillId="0" borderId="43" xfId="2" applyNumberFormat="1" applyFont="1" applyBorder="1" applyAlignment="1">
      <alignment horizontal="center" vertical="center"/>
    </xf>
    <xf numFmtId="14" fontId="11" fillId="0" borderId="44" xfId="2" applyNumberFormat="1" applyFont="1" applyBorder="1" applyAlignment="1">
      <alignment horizontal="center" vertical="center"/>
    </xf>
  </cellXfs>
  <cellStyles count="61">
    <cellStyle name="20% - 강조색1" xfId="20" builtinId="30" customBuiltin="1"/>
    <cellStyle name="20% - 강조색1 2" xfId="47" xr:uid="{00000000-0005-0000-0000-000001000000}"/>
    <cellStyle name="20% - 강조색2" xfId="24" builtinId="34" customBuiltin="1"/>
    <cellStyle name="20% - 강조색2 2" xfId="49" xr:uid="{00000000-0005-0000-0000-000003000000}"/>
    <cellStyle name="20% - 강조색3" xfId="28" builtinId="38" customBuiltin="1"/>
    <cellStyle name="20% - 강조색3 2" xfId="51" xr:uid="{00000000-0005-0000-0000-000005000000}"/>
    <cellStyle name="20% - 강조색4" xfId="32" builtinId="42" customBuiltin="1"/>
    <cellStyle name="20% - 강조색4 2" xfId="53" xr:uid="{00000000-0005-0000-0000-000007000000}"/>
    <cellStyle name="20% - 강조색5" xfId="36" builtinId="46" customBuiltin="1"/>
    <cellStyle name="20% - 강조색5 2" xfId="55" xr:uid="{00000000-0005-0000-0000-000009000000}"/>
    <cellStyle name="20% - 강조색6" xfId="40" builtinId="50" customBuiltin="1"/>
    <cellStyle name="20% - 강조색6 2" xfId="57" xr:uid="{00000000-0005-0000-0000-00000B000000}"/>
    <cellStyle name="40% - 강조색1" xfId="21" builtinId="31" customBuiltin="1"/>
    <cellStyle name="40% - 강조색1 2" xfId="48" xr:uid="{00000000-0005-0000-0000-00000D000000}"/>
    <cellStyle name="40% - 강조색2" xfId="25" builtinId="35" customBuiltin="1"/>
    <cellStyle name="40% - 강조색2 2" xfId="50" xr:uid="{00000000-0005-0000-0000-00000F000000}"/>
    <cellStyle name="40% - 강조색3" xfId="29" builtinId="39" customBuiltin="1"/>
    <cellStyle name="40% - 강조색3 2" xfId="52" xr:uid="{00000000-0005-0000-0000-000011000000}"/>
    <cellStyle name="40% - 강조색4" xfId="33" builtinId="43" customBuiltin="1"/>
    <cellStyle name="40% - 강조색4 2" xfId="54" xr:uid="{00000000-0005-0000-0000-000013000000}"/>
    <cellStyle name="40% - 강조색5" xfId="37" builtinId="47" customBuiltin="1"/>
    <cellStyle name="40% - 강조색5 2" xfId="56" xr:uid="{00000000-0005-0000-0000-000015000000}"/>
    <cellStyle name="40% - 강조색6" xfId="41" builtinId="51" customBuiltin="1"/>
    <cellStyle name="40% - 강조색6 2" xfId="58" xr:uid="{00000000-0005-0000-0000-000017000000}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4" xr:uid="{00000000-0005-0000-0000-000027000000}"/>
    <cellStyle name="메모 3" xfId="46" xr:uid="{00000000-0005-0000-0000-000028000000}"/>
    <cellStyle name="보통" xfId="10" builtinId="28" customBuiltin="1"/>
    <cellStyle name="설명 텍스트" xfId="17" builtinId="53" customBuiltin="1"/>
    <cellStyle name="셀 확인" xfId="15" builtinId="23" customBuiltin="1"/>
    <cellStyle name="쉼표 [0]" xfId="1" builtinId="6"/>
    <cellStyle name="쉼표 [0] 2" xfId="59" xr:uid="{00000000-0005-0000-0000-00002D000000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2" xr:uid="{00000000-0005-0000-0000-000039000000}"/>
    <cellStyle name="표준 3" xfId="43" xr:uid="{00000000-0005-0000-0000-00003A000000}"/>
    <cellStyle name="표준 4" xfId="45" xr:uid="{00000000-0005-0000-0000-00003B000000}"/>
    <cellStyle name="표준 5" xfId="60" xr:uid="{00000000-0005-0000-0000-00003C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8E5A54"/>
      <color rgb="FFB1F9C6"/>
      <color rgb="FFE977DB"/>
      <color rgb="FFF9BFEE"/>
      <color rgb="FFFFD85D"/>
      <color rgb="FFD48FFF"/>
      <color rgb="FFCCFF33"/>
      <color rgb="FFF599E3"/>
      <color rgb="FFFF5050"/>
      <color rgb="FFB89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R30"/>
  <sheetViews>
    <sheetView zoomScale="70" zoomScaleNormal="70" zoomScaleSheetLayoutView="70" workbookViewId="0">
      <selection activeCell="I8" sqref="I8"/>
    </sheetView>
  </sheetViews>
  <sheetFormatPr defaultColWidth="9" defaultRowHeight="16.5" x14ac:dyDescent="0.3"/>
  <cols>
    <col min="1" max="1" width="31.625" customWidth="1"/>
    <col min="2" max="4" width="11.625" customWidth="1"/>
    <col min="5" max="5" width="13.75" customWidth="1"/>
    <col min="6" max="6" width="11.625" customWidth="1"/>
    <col min="7" max="7" width="14.625" customWidth="1"/>
    <col min="8" max="8" width="11.625" customWidth="1"/>
    <col min="9" max="9" width="15.5" customWidth="1"/>
    <col min="10" max="10" width="14.25" customWidth="1"/>
    <col min="11" max="12" width="12.25" customWidth="1"/>
    <col min="13" max="17" width="11.625" customWidth="1"/>
    <col min="18" max="18" width="10.75" customWidth="1"/>
  </cols>
  <sheetData>
    <row r="1" spans="1:18" x14ac:dyDescent="0.3">
      <c r="A1" t="s">
        <v>66</v>
      </c>
    </row>
    <row r="2" spans="1:18" ht="43.9" customHeight="1" x14ac:dyDescent="0.3">
      <c r="A2" s="9" t="s">
        <v>67</v>
      </c>
      <c r="B2" s="14" t="s">
        <v>15</v>
      </c>
      <c r="C2" s="14" t="s">
        <v>64</v>
      </c>
      <c r="D2" s="14" t="s">
        <v>69</v>
      </c>
      <c r="E2" s="14" t="s">
        <v>68</v>
      </c>
      <c r="F2" s="12" t="s">
        <v>4</v>
      </c>
      <c r="G2" s="12" t="s">
        <v>65</v>
      </c>
      <c r="H2" s="12" t="s">
        <v>27</v>
      </c>
      <c r="I2" s="15" t="s">
        <v>0</v>
      </c>
      <c r="J2" s="15" t="s">
        <v>30</v>
      </c>
      <c r="K2" s="15" t="s">
        <v>28</v>
      </c>
      <c r="L2" s="15" t="s">
        <v>33</v>
      </c>
      <c r="M2" s="13" t="s">
        <v>26</v>
      </c>
      <c r="N2" s="16" t="s">
        <v>1</v>
      </c>
      <c r="O2" s="17" t="s">
        <v>31</v>
      </c>
      <c r="P2" s="17" t="s">
        <v>32</v>
      </c>
      <c r="Q2" s="18" t="s">
        <v>29</v>
      </c>
      <c r="R2" s="10" t="s">
        <v>3</v>
      </c>
    </row>
    <row r="3" spans="1:18" ht="21" customHeight="1" x14ac:dyDescent="0.3">
      <c r="A3" s="6" t="s">
        <v>44</v>
      </c>
      <c r="B3" s="7" t="e">
        <f>VLOOKUP(A:A,#REF!,2,0)</f>
        <v>#REF!</v>
      </c>
      <c r="C3" s="7" t="e">
        <f>VLOOKUP(A:A,#REF!,3,0)</f>
        <v>#REF!</v>
      </c>
      <c r="D3" s="7" t="e">
        <f>VLOOKUP(A:A,#REF!,4,0)</f>
        <v>#REF!</v>
      </c>
      <c r="E3" s="7" t="e">
        <f>VLOOKUP(A:A,#REF!,5,0)</f>
        <v>#REF!</v>
      </c>
      <c r="F3" s="7" t="e">
        <f>VLOOKUP(A:A,#REF!,2,0)</f>
        <v>#REF!</v>
      </c>
      <c r="G3" s="7" t="e">
        <f>VLOOKUP(A:A,#REF!,3,0)</f>
        <v>#REF!</v>
      </c>
      <c r="H3" s="7" t="e">
        <f>VLOOKUP(A:A,#REF!,4,0)</f>
        <v>#REF!</v>
      </c>
      <c r="I3" s="7" t="e">
        <f>VLOOKUP(A3,#REF!,2,0)</f>
        <v>#REF!</v>
      </c>
      <c r="J3" s="7" t="e">
        <f>VLOOKUP(A3,#REF!,3,0)</f>
        <v>#REF!</v>
      </c>
      <c r="K3" s="7" t="e">
        <f>VLOOKUP(A:A,#REF!,4,0)</f>
        <v>#REF!</v>
      </c>
      <c r="L3" s="7" t="e">
        <f>VLOOKUP(A3,#REF!,5,0)</f>
        <v>#REF!</v>
      </c>
      <c r="M3" s="7" t="e">
        <f>VLOOKUP(A:A,#REF!,2,0)</f>
        <v>#REF!</v>
      </c>
      <c r="N3" s="7" t="e">
        <f>VLOOKUP(A:A,#REF!,3,0)</f>
        <v>#REF!</v>
      </c>
      <c r="O3" s="7" t="e">
        <f>VLOOKUP(A:A,#REF!,2,0)</f>
        <v>#REF!</v>
      </c>
      <c r="P3" s="7" t="e">
        <f>VLOOKUP(A:A,#REF!,2,0)</f>
        <v>#REF!</v>
      </c>
      <c r="Q3" s="7" t="e">
        <f>VLOOKUP(A:A,#REF!,2,0)</f>
        <v>#REF!</v>
      </c>
      <c r="R3" s="8" t="e">
        <f>SUM(B3:Q3)</f>
        <v>#REF!</v>
      </c>
    </row>
    <row r="4" spans="1:18" ht="21" customHeight="1" x14ac:dyDescent="0.3">
      <c r="A4" s="3" t="s">
        <v>45</v>
      </c>
      <c r="B4" s="7" t="e">
        <f>VLOOKUP(A:A,#REF!,2,0)</f>
        <v>#REF!</v>
      </c>
      <c r="C4" s="7" t="e">
        <f>VLOOKUP(A:A,#REF!,3,0)</f>
        <v>#REF!</v>
      </c>
      <c r="D4" s="7" t="e">
        <f>VLOOKUP(A:A,#REF!,4,0)</f>
        <v>#REF!</v>
      </c>
      <c r="E4" s="7" t="e">
        <f>VLOOKUP(A:A,#REF!,5,0)</f>
        <v>#REF!</v>
      </c>
      <c r="F4" s="7" t="e">
        <f>VLOOKUP(A:A,#REF!,2,0)</f>
        <v>#REF!</v>
      </c>
      <c r="G4" s="7" t="e">
        <f>VLOOKUP(A:A,#REF!,3,0)</f>
        <v>#REF!</v>
      </c>
      <c r="H4" s="7" t="e">
        <f>VLOOKUP(A:A,#REF!,4,0)</f>
        <v>#REF!</v>
      </c>
      <c r="I4" s="7" t="e">
        <f>VLOOKUP(A4,#REF!,2,0)</f>
        <v>#REF!</v>
      </c>
      <c r="J4" s="7" t="e">
        <f>VLOOKUP(A4,#REF!,3,0)</f>
        <v>#REF!</v>
      </c>
      <c r="K4" s="7" t="e">
        <f>VLOOKUP(A:A,#REF!,4,0)</f>
        <v>#REF!</v>
      </c>
      <c r="L4" s="7" t="e">
        <f>VLOOKUP(A4,#REF!,5,0)</f>
        <v>#REF!</v>
      </c>
      <c r="M4" s="7" t="e">
        <f>VLOOKUP(A:A,#REF!,2,0)</f>
        <v>#REF!</v>
      </c>
      <c r="N4" s="7" t="e">
        <f>VLOOKUP(A:A,#REF!,3,0)</f>
        <v>#REF!</v>
      </c>
      <c r="O4" s="7" t="e">
        <f>VLOOKUP(A:A,#REF!,2,0)</f>
        <v>#REF!</v>
      </c>
      <c r="P4" s="7" t="e">
        <f>VLOOKUP(A:A,#REF!,3,0)</f>
        <v>#REF!</v>
      </c>
      <c r="Q4" s="7" t="e">
        <f>VLOOKUP(A:A,#REF!,2,0)</f>
        <v>#REF!</v>
      </c>
      <c r="R4" s="8" t="e">
        <f t="shared" ref="R4:R29" si="0">SUM(B4:Q4)</f>
        <v>#REF!</v>
      </c>
    </row>
    <row r="5" spans="1:18" ht="21" customHeight="1" x14ac:dyDescent="0.3">
      <c r="A5" s="3" t="s">
        <v>39</v>
      </c>
      <c r="B5" s="7" t="e">
        <f>VLOOKUP(A:A,#REF!,2,0)</f>
        <v>#REF!</v>
      </c>
      <c r="C5" s="7" t="e">
        <f>VLOOKUP(A:A,#REF!,3,0)</f>
        <v>#REF!</v>
      </c>
      <c r="D5" s="7" t="e">
        <f>VLOOKUP(A:A,#REF!,4,0)</f>
        <v>#REF!</v>
      </c>
      <c r="E5" s="7" t="e">
        <f>VLOOKUP(A:A,#REF!,5,0)</f>
        <v>#REF!</v>
      </c>
      <c r="F5" s="7" t="e">
        <f>VLOOKUP(A:A,#REF!,2,0)</f>
        <v>#REF!</v>
      </c>
      <c r="G5" s="7" t="e">
        <f>VLOOKUP(A:A,#REF!,3,0)</f>
        <v>#REF!</v>
      </c>
      <c r="H5" s="7" t="e">
        <f>VLOOKUP(A:A,#REF!,4,0)</f>
        <v>#REF!</v>
      </c>
      <c r="I5" s="7" t="e">
        <f>VLOOKUP(A5,#REF!,2,0)</f>
        <v>#REF!</v>
      </c>
      <c r="J5" s="7" t="e">
        <f>VLOOKUP(A5,#REF!,3,0)</f>
        <v>#REF!</v>
      </c>
      <c r="K5" s="7" t="e">
        <f>VLOOKUP(A:A,#REF!,4,0)</f>
        <v>#REF!</v>
      </c>
      <c r="L5" s="7" t="e">
        <f>VLOOKUP(A5,#REF!,5,0)</f>
        <v>#REF!</v>
      </c>
      <c r="M5" s="7" t="e">
        <f>VLOOKUP(A:A,#REF!,2,0)</f>
        <v>#REF!</v>
      </c>
      <c r="N5" s="7" t="e">
        <f>VLOOKUP(A:A,#REF!,3,0)</f>
        <v>#REF!</v>
      </c>
      <c r="O5" s="7" t="e">
        <f>VLOOKUP(A:A,#REF!,2,0)</f>
        <v>#REF!</v>
      </c>
      <c r="P5" s="7" t="e">
        <f>VLOOKUP(A:A,#REF!,3,0)</f>
        <v>#REF!</v>
      </c>
      <c r="Q5" s="7" t="e">
        <f>VLOOKUP(A:A,#REF!,2,0)</f>
        <v>#REF!</v>
      </c>
      <c r="R5" s="8" t="e">
        <f t="shared" si="0"/>
        <v>#REF!</v>
      </c>
    </row>
    <row r="6" spans="1:18" ht="21" customHeight="1" x14ac:dyDescent="0.3">
      <c r="A6" s="3" t="s">
        <v>58</v>
      </c>
      <c r="B6" s="7" t="e">
        <f>VLOOKUP(A:A,#REF!,2,0)</f>
        <v>#REF!</v>
      </c>
      <c r="C6" s="7" t="e">
        <f>VLOOKUP(A:A,#REF!,3,0)</f>
        <v>#REF!</v>
      </c>
      <c r="D6" s="7" t="e">
        <f>VLOOKUP(A:A,#REF!,4,0)</f>
        <v>#REF!</v>
      </c>
      <c r="E6" s="7" t="e">
        <f>VLOOKUP(A:A,#REF!,5,0)</f>
        <v>#REF!</v>
      </c>
      <c r="F6" s="7" t="e">
        <f>VLOOKUP(A:A,#REF!,2,0)</f>
        <v>#REF!</v>
      </c>
      <c r="G6" s="7" t="e">
        <f>VLOOKUP(A:A,#REF!,3,0)</f>
        <v>#REF!</v>
      </c>
      <c r="H6" s="7" t="e">
        <f>VLOOKUP(A:A,#REF!,4,0)</f>
        <v>#REF!</v>
      </c>
      <c r="I6" s="7" t="e">
        <f>VLOOKUP(A6,#REF!,2,0)</f>
        <v>#REF!</v>
      </c>
      <c r="J6" s="7" t="e">
        <f>VLOOKUP(A6,#REF!,3,0)</f>
        <v>#REF!</v>
      </c>
      <c r="K6" s="7" t="e">
        <f>VLOOKUP(A:A,#REF!,4,0)</f>
        <v>#REF!</v>
      </c>
      <c r="L6" s="7" t="e">
        <f>VLOOKUP(A6,#REF!,5,0)</f>
        <v>#REF!</v>
      </c>
      <c r="M6" s="7" t="e">
        <f>VLOOKUP(A:A,#REF!,2,0)</f>
        <v>#REF!</v>
      </c>
      <c r="N6" s="7" t="e">
        <f>VLOOKUP(A:A,#REF!,3,0)</f>
        <v>#REF!</v>
      </c>
      <c r="O6" s="7" t="e">
        <f>VLOOKUP(A:A,#REF!,2,0)</f>
        <v>#REF!</v>
      </c>
      <c r="P6" s="7" t="e">
        <f>VLOOKUP(A:A,#REF!,3,0)</f>
        <v>#REF!</v>
      </c>
      <c r="Q6" s="7" t="e">
        <f>VLOOKUP(A:A,#REF!,2,0)</f>
        <v>#REF!</v>
      </c>
      <c r="R6" s="8" t="e">
        <f t="shared" si="0"/>
        <v>#REF!</v>
      </c>
    </row>
    <row r="7" spans="1:18" ht="21" customHeight="1" x14ac:dyDescent="0.3">
      <c r="A7" s="3" t="s">
        <v>53</v>
      </c>
      <c r="B7" s="7" t="e">
        <f>VLOOKUP(A:A,#REF!,2,0)</f>
        <v>#REF!</v>
      </c>
      <c r="C7" s="7" t="e">
        <f>VLOOKUP(A:A,#REF!,3,0)</f>
        <v>#REF!</v>
      </c>
      <c r="D7" s="7" t="e">
        <f>VLOOKUP(A:A,#REF!,4,0)</f>
        <v>#REF!</v>
      </c>
      <c r="E7" s="7" t="e">
        <f>VLOOKUP(A:A,#REF!,5,0)</f>
        <v>#REF!</v>
      </c>
      <c r="F7" s="7" t="e">
        <f>VLOOKUP(A:A,#REF!,2,0)</f>
        <v>#REF!</v>
      </c>
      <c r="G7" s="7" t="e">
        <f>VLOOKUP(A:A,#REF!,3,0)</f>
        <v>#REF!</v>
      </c>
      <c r="H7" s="7" t="e">
        <f>VLOOKUP(A:A,#REF!,4,0)</f>
        <v>#REF!</v>
      </c>
      <c r="I7" s="7" t="e">
        <f>VLOOKUP(A7,#REF!,2,0)</f>
        <v>#REF!</v>
      </c>
      <c r="J7" s="7" t="e">
        <f>VLOOKUP(A7,#REF!,3,0)</f>
        <v>#REF!</v>
      </c>
      <c r="K7" s="7" t="e">
        <f>VLOOKUP(A:A,#REF!,4,0)</f>
        <v>#REF!</v>
      </c>
      <c r="L7" s="7" t="e">
        <f>VLOOKUP(A7,#REF!,5,0)</f>
        <v>#REF!</v>
      </c>
      <c r="M7" s="7" t="e">
        <f>VLOOKUP(A:A,#REF!,2,0)</f>
        <v>#REF!</v>
      </c>
      <c r="N7" s="7" t="e">
        <f>VLOOKUP(A:A,#REF!,3,0)</f>
        <v>#REF!</v>
      </c>
      <c r="O7" s="7" t="e">
        <f>VLOOKUP(A:A,#REF!,2,0)</f>
        <v>#REF!</v>
      </c>
      <c r="P7" s="7" t="e">
        <f>VLOOKUP(A:A,#REF!,3,0)</f>
        <v>#REF!</v>
      </c>
      <c r="Q7" s="7" t="e">
        <f>VLOOKUP(A:A,#REF!,2,0)</f>
        <v>#REF!</v>
      </c>
      <c r="R7" s="8" t="e">
        <f t="shared" si="0"/>
        <v>#REF!</v>
      </c>
    </row>
    <row r="8" spans="1:18" ht="21" customHeight="1" x14ac:dyDescent="0.3">
      <c r="A8" s="3" t="s">
        <v>51</v>
      </c>
      <c r="B8" s="7" t="e">
        <f>VLOOKUP(A:A,#REF!,2,0)</f>
        <v>#REF!</v>
      </c>
      <c r="C8" s="7" t="e">
        <f>VLOOKUP(A:A,#REF!,3,0)</f>
        <v>#REF!</v>
      </c>
      <c r="D8" s="7" t="e">
        <f>VLOOKUP(A:A,#REF!,4,0)</f>
        <v>#REF!</v>
      </c>
      <c r="E8" s="7" t="e">
        <f>VLOOKUP(A:A,#REF!,5,0)</f>
        <v>#REF!</v>
      </c>
      <c r="F8" s="7" t="e">
        <f>VLOOKUP(A:A,#REF!,2,0)</f>
        <v>#REF!</v>
      </c>
      <c r="G8" s="7" t="e">
        <f>VLOOKUP(A:A,#REF!,3,0)</f>
        <v>#REF!</v>
      </c>
      <c r="H8" s="7" t="e">
        <f>VLOOKUP(A:A,#REF!,4,0)</f>
        <v>#REF!</v>
      </c>
      <c r="I8" s="7" t="e">
        <f>VLOOKUP(A8,#REF!,2,0)</f>
        <v>#REF!</v>
      </c>
      <c r="J8" s="7" t="e">
        <f>VLOOKUP(A8,#REF!,3,0)</f>
        <v>#REF!</v>
      </c>
      <c r="K8" s="7" t="e">
        <f>VLOOKUP(A:A,#REF!,4,0)</f>
        <v>#REF!</v>
      </c>
      <c r="L8" s="7" t="e">
        <f>VLOOKUP(A8,#REF!,5,0)</f>
        <v>#REF!</v>
      </c>
      <c r="M8" s="7" t="e">
        <f>VLOOKUP(A:A,#REF!,2,0)</f>
        <v>#REF!</v>
      </c>
      <c r="N8" s="7" t="e">
        <f>VLOOKUP(A:A,#REF!,3,0)</f>
        <v>#REF!</v>
      </c>
      <c r="O8" s="7" t="e">
        <f>VLOOKUP(A:A,#REF!,2,0)</f>
        <v>#REF!</v>
      </c>
      <c r="P8" s="7" t="e">
        <f>VLOOKUP(A:A,#REF!,3,0)</f>
        <v>#REF!</v>
      </c>
      <c r="Q8" s="7" t="e">
        <f>VLOOKUP(A:A,#REF!,2,0)</f>
        <v>#REF!</v>
      </c>
      <c r="R8" s="8" t="e">
        <f t="shared" si="0"/>
        <v>#REF!</v>
      </c>
    </row>
    <row r="9" spans="1:18" ht="21" customHeight="1" x14ac:dyDescent="0.3">
      <c r="A9" s="3" t="s">
        <v>37</v>
      </c>
      <c r="B9" s="7" t="e">
        <f>VLOOKUP(A:A,#REF!,2,0)</f>
        <v>#REF!</v>
      </c>
      <c r="C9" s="7" t="e">
        <f>VLOOKUP(A:A,#REF!,3,0)</f>
        <v>#REF!</v>
      </c>
      <c r="D9" s="7" t="e">
        <f>VLOOKUP(A:A,#REF!,4,0)</f>
        <v>#REF!</v>
      </c>
      <c r="E9" s="7" t="e">
        <f>VLOOKUP(A:A,#REF!,5,0)</f>
        <v>#REF!</v>
      </c>
      <c r="F9" s="7" t="e">
        <f>VLOOKUP(A:A,#REF!,2,0)</f>
        <v>#REF!</v>
      </c>
      <c r="G9" s="7" t="e">
        <f>VLOOKUP(A:A,#REF!,3,0)</f>
        <v>#REF!</v>
      </c>
      <c r="H9" s="7" t="e">
        <f>VLOOKUP(A:A,#REF!,4,0)</f>
        <v>#REF!</v>
      </c>
      <c r="I9" s="7" t="e">
        <f>VLOOKUP(A9,#REF!,2,0)</f>
        <v>#REF!</v>
      </c>
      <c r="J9" s="7" t="e">
        <f>VLOOKUP(A9,#REF!,3,0)</f>
        <v>#REF!</v>
      </c>
      <c r="K9" s="7" t="e">
        <f>VLOOKUP(A:A,#REF!,4,0)</f>
        <v>#REF!</v>
      </c>
      <c r="L9" s="7" t="e">
        <f>VLOOKUP(A9,#REF!,5,0)</f>
        <v>#REF!</v>
      </c>
      <c r="M9" s="7" t="e">
        <f>VLOOKUP(A:A,#REF!,2,0)</f>
        <v>#REF!</v>
      </c>
      <c r="N9" s="7" t="e">
        <f>VLOOKUP(A:A,#REF!,3,0)</f>
        <v>#REF!</v>
      </c>
      <c r="O9" s="7" t="e">
        <f>VLOOKUP(A:A,#REF!,2,0)</f>
        <v>#REF!</v>
      </c>
      <c r="P9" s="7" t="e">
        <f>VLOOKUP(A:A,#REF!,3,0)</f>
        <v>#REF!</v>
      </c>
      <c r="Q9" s="7" t="e">
        <f>VLOOKUP(A:A,#REF!,2,0)</f>
        <v>#REF!</v>
      </c>
      <c r="R9" s="8" t="e">
        <f t="shared" si="0"/>
        <v>#REF!</v>
      </c>
    </row>
    <row r="10" spans="1:18" ht="21" customHeight="1" x14ac:dyDescent="0.3">
      <c r="A10" s="3" t="s">
        <v>54</v>
      </c>
      <c r="B10" s="7" t="e">
        <f>VLOOKUP(A:A,#REF!,2,0)</f>
        <v>#REF!</v>
      </c>
      <c r="C10" s="7" t="e">
        <f>VLOOKUP(A:A,#REF!,3,0)</f>
        <v>#REF!</v>
      </c>
      <c r="D10" s="7" t="e">
        <f>VLOOKUP(A:A,#REF!,4,0)</f>
        <v>#REF!</v>
      </c>
      <c r="E10" s="7" t="e">
        <f>VLOOKUP(A:A,#REF!,5,0)</f>
        <v>#REF!</v>
      </c>
      <c r="F10" s="7" t="e">
        <f>VLOOKUP(A:A,#REF!,2,0)</f>
        <v>#REF!</v>
      </c>
      <c r="G10" s="7" t="e">
        <f>VLOOKUP(A:A,#REF!,3,0)</f>
        <v>#REF!</v>
      </c>
      <c r="H10" s="7" t="e">
        <f>VLOOKUP(A:A,#REF!,4,0)</f>
        <v>#REF!</v>
      </c>
      <c r="I10" s="7" t="e">
        <f>VLOOKUP(A10,#REF!,2,0)</f>
        <v>#REF!</v>
      </c>
      <c r="J10" s="7" t="e">
        <f>VLOOKUP(A10,#REF!,3,0)</f>
        <v>#REF!</v>
      </c>
      <c r="K10" s="7" t="e">
        <f>VLOOKUP(A:A,#REF!,4,0)</f>
        <v>#REF!</v>
      </c>
      <c r="L10" s="7" t="e">
        <f>VLOOKUP(A10,#REF!,5,0)</f>
        <v>#REF!</v>
      </c>
      <c r="M10" s="7" t="e">
        <f>VLOOKUP(A:A,#REF!,2,0)</f>
        <v>#REF!</v>
      </c>
      <c r="N10" s="7" t="e">
        <f>VLOOKUP(A:A,#REF!,3,0)</f>
        <v>#REF!</v>
      </c>
      <c r="O10" s="7" t="e">
        <f>VLOOKUP(A:A,#REF!,2,0)</f>
        <v>#REF!</v>
      </c>
      <c r="P10" s="7" t="e">
        <f>VLOOKUP(A:A,#REF!,3,0)</f>
        <v>#REF!</v>
      </c>
      <c r="Q10" s="7" t="e">
        <f>VLOOKUP(A:A,#REF!,2,0)</f>
        <v>#REF!</v>
      </c>
      <c r="R10" s="8" t="e">
        <f t="shared" si="0"/>
        <v>#REF!</v>
      </c>
    </row>
    <row r="11" spans="1:18" ht="21" customHeight="1" x14ac:dyDescent="0.3">
      <c r="A11" s="3" t="s">
        <v>60</v>
      </c>
      <c r="B11" s="7" t="e">
        <f>VLOOKUP(A:A,#REF!,2,0)</f>
        <v>#REF!</v>
      </c>
      <c r="C11" s="7" t="e">
        <f>VLOOKUP(A:A,#REF!,3,0)</f>
        <v>#REF!</v>
      </c>
      <c r="D11" s="7" t="e">
        <f>VLOOKUP(A:A,#REF!,4,0)</f>
        <v>#REF!</v>
      </c>
      <c r="E11" s="7" t="e">
        <f>VLOOKUP(A:A,#REF!,5,0)</f>
        <v>#REF!</v>
      </c>
      <c r="F11" s="7" t="e">
        <f>VLOOKUP(A:A,#REF!,2,0)</f>
        <v>#REF!</v>
      </c>
      <c r="G11" s="7" t="e">
        <f>VLOOKUP(A:A,#REF!,3,0)</f>
        <v>#REF!</v>
      </c>
      <c r="H11" s="7" t="e">
        <f>VLOOKUP(A:A,#REF!,4,0)</f>
        <v>#REF!</v>
      </c>
      <c r="I11" s="7" t="e">
        <f>VLOOKUP(A11,#REF!,2,0)</f>
        <v>#REF!</v>
      </c>
      <c r="J11" s="7" t="e">
        <f>VLOOKUP(A11,#REF!,3,0)</f>
        <v>#REF!</v>
      </c>
      <c r="K11" s="7" t="e">
        <f>VLOOKUP(A:A,#REF!,4,0)</f>
        <v>#REF!</v>
      </c>
      <c r="L11" s="7" t="e">
        <f>VLOOKUP(A11,#REF!,5,0)</f>
        <v>#REF!</v>
      </c>
      <c r="M11" s="7" t="e">
        <f>VLOOKUP(A:A,#REF!,2,0)</f>
        <v>#REF!</v>
      </c>
      <c r="N11" s="7" t="e">
        <f>VLOOKUP(A:A,#REF!,3,0)</f>
        <v>#REF!</v>
      </c>
      <c r="O11" s="7" t="e">
        <f>VLOOKUP(A:A,#REF!,2,0)</f>
        <v>#REF!</v>
      </c>
      <c r="P11" s="7" t="e">
        <f>VLOOKUP(A:A,#REF!,3,0)</f>
        <v>#REF!</v>
      </c>
      <c r="Q11" s="7" t="e">
        <f>VLOOKUP(A:A,#REF!,2,0)</f>
        <v>#REF!</v>
      </c>
      <c r="R11" s="8" t="e">
        <f t="shared" si="0"/>
        <v>#REF!</v>
      </c>
    </row>
    <row r="12" spans="1:18" ht="21" customHeight="1" x14ac:dyDescent="0.3">
      <c r="A12" s="3" t="s">
        <v>40</v>
      </c>
      <c r="B12" s="7" t="e">
        <f>VLOOKUP(A:A,#REF!,2,0)</f>
        <v>#REF!</v>
      </c>
      <c r="C12" s="7" t="e">
        <f>VLOOKUP(A:A,#REF!,3,0)</f>
        <v>#REF!</v>
      </c>
      <c r="D12" s="7" t="e">
        <f>VLOOKUP(A:A,#REF!,4,0)</f>
        <v>#REF!</v>
      </c>
      <c r="E12" s="7" t="e">
        <f>VLOOKUP(A:A,#REF!,5,0)</f>
        <v>#REF!</v>
      </c>
      <c r="F12" s="7" t="e">
        <f>VLOOKUP(A:A,#REF!,2,0)</f>
        <v>#REF!</v>
      </c>
      <c r="G12" s="7" t="e">
        <f>VLOOKUP(A:A,#REF!,3,0)</f>
        <v>#REF!</v>
      </c>
      <c r="H12" s="7" t="e">
        <f>VLOOKUP(A:A,#REF!,4,0)</f>
        <v>#REF!</v>
      </c>
      <c r="I12" s="7" t="e">
        <f>VLOOKUP(A12,#REF!,2,0)</f>
        <v>#REF!</v>
      </c>
      <c r="J12" s="7" t="e">
        <f>VLOOKUP(A12,#REF!,3,0)</f>
        <v>#REF!</v>
      </c>
      <c r="K12" s="7" t="e">
        <f>VLOOKUP(A:A,#REF!,4,0)</f>
        <v>#REF!</v>
      </c>
      <c r="L12" s="7" t="e">
        <f>VLOOKUP(A12,#REF!,5,0)</f>
        <v>#REF!</v>
      </c>
      <c r="M12" s="7" t="e">
        <f>VLOOKUP(A:A,#REF!,2,0)</f>
        <v>#REF!</v>
      </c>
      <c r="N12" s="7" t="e">
        <f>VLOOKUP(A:A,#REF!,3,0)</f>
        <v>#REF!</v>
      </c>
      <c r="O12" s="7" t="e">
        <f>VLOOKUP(A:A,#REF!,2,0)</f>
        <v>#REF!</v>
      </c>
      <c r="P12" s="7" t="e">
        <f>VLOOKUP(A:A,#REF!,3,0)</f>
        <v>#REF!</v>
      </c>
      <c r="Q12" s="7" t="e">
        <f>VLOOKUP(A:A,#REF!,2,0)</f>
        <v>#REF!</v>
      </c>
      <c r="R12" s="8" t="e">
        <f t="shared" si="0"/>
        <v>#REF!</v>
      </c>
    </row>
    <row r="13" spans="1:18" ht="21" customHeight="1" x14ac:dyDescent="0.3">
      <c r="A13" s="1" t="s">
        <v>38</v>
      </c>
      <c r="B13" s="7" t="e">
        <f>VLOOKUP(A:A,#REF!,2,0)</f>
        <v>#REF!</v>
      </c>
      <c r="C13" s="7" t="e">
        <f>VLOOKUP(A:A,#REF!,3,0)</f>
        <v>#REF!</v>
      </c>
      <c r="D13" s="7" t="e">
        <f>VLOOKUP(A:A,#REF!,4,0)</f>
        <v>#REF!</v>
      </c>
      <c r="E13" s="7" t="e">
        <f>VLOOKUP(A:A,#REF!,5,0)</f>
        <v>#REF!</v>
      </c>
      <c r="F13" s="7" t="e">
        <f>VLOOKUP(A:A,#REF!,2,0)</f>
        <v>#REF!</v>
      </c>
      <c r="G13" s="7" t="e">
        <f>VLOOKUP(A:A,#REF!,3,0)</f>
        <v>#REF!</v>
      </c>
      <c r="H13" s="7" t="e">
        <f>VLOOKUP(A:A,#REF!,4,0)</f>
        <v>#REF!</v>
      </c>
      <c r="I13" s="7" t="e">
        <f>VLOOKUP(A13,#REF!,2,0)</f>
        <v>#REF!</v>
      </c>
      <c r="J13" s="7" t="e">
        <f>VLOOKUP(A13,#REF!,3,0)</f>
        <v>#REF!</v>
      </c>
      <c r="K13" s="7" t="e">
        <f>VLOOKUP(A:A,#REF!,4,0)</f>
        <v>#REF!</v>
      </c>
      <c r="L13" s="7" t="e">
        <f>VLOOKUP(A13,#REF!,5,0)</f>
        <v>#REF!</v>
      </c>
      <c r="M13" s="7" t="e">
        <f>VLOOKUP(A:A,#REF!,2,0)</f>
        <v>#REF!</v>
      </c>
      <c r="N13" s="7" t="e">
        <f>VLOOKUP(A:A,#REF!,3,0)</f>
        <v>#REF!</v>
      </c>
      <c r="O13" s="7" t="e">
        <f>VLOOKUP(A:A,#REF!,2,0)</f>
        <v>#REF!</v>
      </c>
      <c r="P13" s="7" t="e">
        <f>VLOOKUP(A:A,#REF!,3,0)</f>
        <v>#REF!</v>
      </c>
      <c r="Q13" s="7" t="e">
        <f>VLOOKUP(A:A,#REF!,2,0)</f>
        <v>#REF!</v>
      </c>
      <c r="R13" s="8" t="e">
        <f t="shared" si="0"/>
        <v>#REF!</v>
      </c>
    </row>
    <row r="14" spans="1:18" ht="21" customHeight="1" x14ac:dyDescent="0.3">
      <c r="A14" s="3" t="s">
        <v>49</v>
      </c>
      <c r="B14" s="7" t="e">
        <f>VLOOKUP(A:A,#REF!,2,0)</f>
        <v>#REF!</v>
      </c>
      <c r="C14" s="7" t="e">
        <f>VLOOKUP(A:A,#REF!,3,0)</f>
        <v>#REF!</v>
      </c>
      <c r="D14" s="7" t="e">
        <f>VLOOKUP(A:A,#REF!,4,0)</f>
        <v>#REF!</v>
      </c>
      <c r="E14" s="7" t="e">
        <f>VLOOKUP(A:A,#REF!,5,0)</f>
        <v>#REF!</v>
      </c>
      <c r="F14" s="7" t="e">
        <f>VLOOKUP(A:A,#REF!,2,0)</f>
        <v>#REF!</v>
      </c>
      <c r="G14" s="7" t="e">
        <f>VLOOKUP(A:A,#REF!,3,0)</f>
        <v>#REF!</v>
      </c>
      <c r="H14" s="7" t="e">
        <f>VLOOKUP(A:A,#REF!,4,0)</f>
        <v>#REF!</v>
      </c>
      <c r="I14" s="7" t="e">
        <f>VLOOKUP(A14,#REF!,2,0)</f>
        <v>#REF!</v>
      </c>
      <c r="J14" s="7" t="e">
        <f>VLOOKUP(A14,#REF!,3,0)</f>
        <v>#REF!</v>
      </c>
      <c r="K14" s="7" t="e">
        <f>VLOOKUP(A:A,#REF!,4,0)</f>
        <v>#REF!</v>
      </c>
      <c r="L14" s="7" t="e">
        <f>VLOOKUP(A14,#REF!,5,0)</f>
        <v>#REF!</v>
      </c>
      <c r="M14" s="7" t="e">
        <f>VLOOKUP(A:A,#REF!,2,0)</f>
        <v>#REF!</v>
      </c>
      <c r="N14" s="7" t="e">
        <f>VLOOKUP(A:A,#REF!,3,0)</f>
        <v>#REF!</v>
      </c>
      <c r="O14" s="7" t="e">
        <f>VLOOKUP(A:A,#REF!,2,0)</f>
        <v>#REF!</v>
      </c>
      <c r="P14" s="7" t="e">
        <f>VLOOKUP(A:A,#REF!,3,0)</f>
        <v>#REF!</v>
      </c>
      <c r="Q14" s="7" t="e">
        <f>VLOOKUP(A:A,#REF!,2,0)</f>
        <v>#REF!</v>
      </c>
      <c r="R14" s="8" t="e">
        <f t="shared" si="0"/>
        <v>#REF!</v>
      </c>
    </row>
    <row r="15" spans="1:18" ht="21" customHeight="1" x14ac:dyDescent="0.3">
      <c r="A15" s="3" t="s">
        <v>55</v>
      </c>
      <c r="B15" s="7" t="e">
        <f>VLOOKUP(A:A,#REF!,2,0)</f>
        <v>#REF!</v>
      </c>
      <c r="C15" s="7" t="e">
        <f>VLOOKUP(A:A,#REF!,3,0)</f>
        <v>#REF!</v>
      </c>
      <c r="D15" s="7" t="e">
        <f>VLOOKUP(A:A,#REF!,4,0)</f>
        <v>#REF!</v>
      </c>
      <c r="E15" s="7" t="e">
        <f>VLOOKUP(A:A,#REF!,5,0)</f>
        <v>#REF!</v>
      </c>
      <c r="F15" s="7" t="e">
        <f>VLOOKUP(A:A,#REF!,2,0)</f>
        <v>#REF!</v>
      </c>
      <c r="G15" s="7" t="e">
        <f>VLOOKUP(A:A,#REF!,3,0)</f>
        <v>#REF!</v>
      </c>
      <c r="H15" s="7" t="e">
        <f>VLOOKUP(A:A,#REF!,4,0)</f>
        <v>#REF!</v>
      </c>
      <c r="I15" s="7" t="e">
        <f>VLOOKUP(A15,#REF!,2,0)</f>
        <v>#REF!</v>
      </c>
      <c r="J15" s="7" t="e">
        <f>VLOOKUP(A15,#REF!,3,0)</f>
        <v>#REF!</v>
      </c>
      <c r="K15" s="7" t="e">
        <f>VLOOKUP(A:A,#REF!,4,0)</f>
        <v>#REF!</v>
      </c>
      <c r="L15" s="7" t="e">
        <f>VLOOKUP(A15,#REF!,5,0)</f>
        <v>#REF!</v>
      </c>
      <c r="M15" s="7" t="e">
        <f>VLOOKUP(A:A,#REF!,2,0)</f>
        <v>#REF!</v>
      </c>
      <c r="N15" s="7" t="e">
        <f>VLOOKUP(A:A,#REF!,3,0)</f>
        <v>#REF!</v>
      </c>
      <c r="O15" s="7" t="e">
        <f>VLOOKUP(A:A,#REF!,2,0)</f>
        <v>#REF!</v>
      </c>
      <c r="P15" s="7" t="e">
        <f>VLOOKUP(A:A,#REF!,3,0)</f>
        <v>#REF!</v>
      </c>
      <c r="Q15" s="7" t="e">
        <f>VLOOKUP(A:A,#REF!,2,0)</f>
        <v>#REF!</v>
      </c>
      <c r="R15" s="8" t="e">
        <f t="shared" si="0"/>
        <v>#REF!</v>
      </c>
    </row>
    <row r="16" spans="1:18" ht="21" customHeight="1" x14ac:dyDescent="0.3">
      <c r="A16" s="3" t="s">
        <v>48</v>
      </c>
      <c r="B16" s="7" t="e">
        <f>VLOOKUP(A:A,#REF!,2,0)</f>
        <v>#REF!</v>
      </c>
      <c r="C16" s="7" t="e">
        <f>VLOOKUP(A:A,#REF!,3,0)</f>
        <v>#REF!</v>
      </c>
      <c r="D16" s="7" t="e">
        <f>VLOOKUP(A:A,#REF!,4,0)</f>
        <v>#REF!</v>
      </c>
      <c r="E16" s="7" t="e">
        <f>VLOOKUP(A:A,#REF!,5,0)</f>
        <v>#REF!</v>
      </c>
      <c r="F16" s="7" t="e">
        <f>VLOOKUP(A:A,#REF!,2,0)</f>
        <v>#REF!</v>
      </c>
      <c r="G16" s="7" t="e">
        <f>VLOOKUP(A:A,#REF!,3,0)</f>
        <v>#REF!</v>
      </c>
      <c r="H16" s="7" t="e">
        <f>VLOOKUP(A:A,#REF!,4,0)</f>
        <v>#REF!</v>
      </c>
      <c r="I16" s="7" t="e">
        <f>VLOOKUP(A16,#REF!,2,0)</f>
        <v>#REF!</v>
      </c>
      <c r="J16" s="7" t="e">
        <f>VLOOKUP(A16,#REF!,3,0)</f>
        <v>#REF!</v>
      </c>
      <c r="K16" s="7" t="e">
        <f>VLOOKUP(A:A,#REF!,4,0)</f>
        <v>#REF!</v>
      </c>
      <c r="L16" s="7" t="e">
        <f>VLOOKUP(A16,#REF!,5,0)</f>
        <v>#REF!</v>
      </c>
      <c r="M16" s="7" t="e">
        <f>VLOOKUP(A:A,#REF!,2,0)</f>
        <v>#REF!</v>
      </c>
      <c r="N16" s="7" t="e">
        <f>VLOOKUP(A:A,#REF!,3,0)</f>
        <v>#REF!</v>
      </c>
      <c r="O16" s="7" t="e">
        <f>VLOOKUP(A:A,#REF!,2,0)</f>
        <v>#REF!</v>
      </c>
      <c r="P16" s="7" t="e">
        <f>VLOOKUP(A:A,#REF!,3,0)</f>
        <v>#REF!</v>
      </c>
      <c r="Q16" s="7" t="e">
        <f>VLOOKUP(A:A,#REF!,2,0)</f>
        <v>#REF!</v>
      </c>
      <c r="R16" s="8" t="e">
        <f t="shared" si="0"/>
        <v>#REF!</v>
      </c>
    </row>
    <row r="17" spans="1:18" ht="21" customHeight="1" x14ac:dyDescent="0.3">
      <c r="A17" s="3" t="s">
        <v>59</v>
      </c>
      <c r="B17" s="7" t="e">
        <f>VLOOKUP(A:A,#REF!,2,0)</f>
        <v>#REF!</v>
      </c>
      <c r="C17" s="7" t="e">
        <f>VLOOKUP(A:A,#REF!,3,0)</f>
        <v>#REF!</v>
      </c>
      <c r="D17" s="7" t="e">
        <f>VLOOKUP(A:A,#REF!,4,0)</f>
        <v>#REF!</v>
      </c>
      <c r="E17" s="7" t="e">
        <f>VLOOKUP(A:A,#REF!,5,0)</f>
        <v>#REF!</v>
      </c>
      <c r="F17" s="7" t="e">
        <f>VLOOKUP(A:A,#REF!,2,0)</f>
        <v>#REF!</v>
      </c>
      <c r="G17" s="7" t="e">
        <f>VLOOKUP(A:A,#REF!,3,0)</f>
        <v>#REF!</v>
      </c>
      <c r="H17" s="7" t="e">
        <f>VLOOKUP(A:A,#REF!,4,0)</f>
        <v>#REF!</v>
      </c>
      <c r="I17" s="7" t="e">
        <f>VLOOKUP(A17,#REF!,2,0)</f>
        <v>#REF!</v>
      </c>
      <c r="J17" s="7" t="e">
        <f>VLOOKUP(A17,#REF!,3,0)</f>
        <v>#REF!</v>
      </c>
      <c r="K17" s="7" t="e">
        <f>VLOOKUP(A:A,#REF!,4,0)</f>
        <v>#REF!</v>
      </c>
      <c r="L17" s="7" t="e">
        <f>VLOOKUP(A17,#REF!,5,0)</f>
        <v>#REF!</v>
      </c>
      <c r="M17" s="7" t="e">
        <f>VLOOKUP(A:A,#REF!,2,0)</f>
        <v>#REF!</v>
      </c>
      <c r="N17" s="7" t="e">
        <f>VLOOKUP(A:A,#REF!,3,0)</f>
        <v>#REF!</v>
      </c>
      <c r="O17" s="7" t="e">
        <f>VLOOKUP(A:A,#REF!,2,0)</f>
        <v>#REF!</v>
      </c>
      <c r="P17" s="7" t="e">
        <f>VLOOKUP(A:A,#REF!,3,0)</f>
        <v>#REF!</v>
      </c>
      <c r="Q17" s="7" t="e">
        <f>VLOOKUP(A:A,#REF!,2,0)</f>
        <v>#REF!</v>
      </c>
      <c r="R17" s="8" t="e">
        <f t="shared" si="0"/>
        <v>#REF!</v>
      </c>
    </row>
    <row r="18" spans="1:18" ht="21" customHeight="1" x14ac:dyDescent="0.3">
      <c r="A18" s="3" t="s">
        <v>50</v>
      </c>
      <c r="B18" s="7" t="e">
        <f>VLOOKUP(A:A,#REF!,2,0)</f>
        <v>#REF!</v>
      </c>
      <c r="C18" s="7" t="e">
        <f>VLOOKUP(A:A,#REF!,3,0)</f>
        <v>#REF!</v>
      </c>
      <c r="D18" s="7" t="e">
        <f>VLOOKUP(A:A,#REF!,4,0)</f>
        <v>#REF!</v>
      </c>
      <c r="E18" s="7" t="e">
        <f>VLOOKUP(A:A,#REF!,5,0)</f>
        <v>#REF!</v>
      </c>
      <c r="F18" s="7" t="e">
        <f>VLOOKUP(A:A,#REF!,2,0)</f>
        <v>#REF!</v>
      </c>
      <c r="G18" s="7" t="e">
        <f>VLOOKUP(A:A,#REF!,3,0)</f>
        <v>#REF!</v>
      </c>
      <c r="H18" s="7" t="e">
        <f>VLOOKUP(A:A,#REF!,4,0)</f>
        <v>#REF!</v>
      </c>
      <c r="I18" s="7" t="e">
        <f>VLOOKUP(A18,#REF!,2,0)</f>
        <v>#REF!</v>
      </c>
      <c r="J18" s="7" t="e">
        <f>VLOOKUP(A18,#REF!,3,0)</f>
        <v>#REF!</v>
      </c>
      <c r="K18" s="7" t="e">
        <f>VLOOKUP(A:A,#REF!,4,0)</f>
        <v>#REF!</v>
      </c>
      <c r="L18" s="7" t="e">
        <f>VLOOKUP(A18,#REF!,5,0)</f>
        <v>#REF!</v>
      </c>
      <c r="M18" s="7" t="e">
        <f>VLOOKUP(A:A,#REF!,2,0)</f>
        <v>#REF!</v>
      </c>
      <c r="N18" s="7" t="e">
        <f>VLOOKUP(A:A,#REF!,3,0)</f>
        <v>#REF!</v>
      </c>
      <c r="O18" s="7" t="e">
        <f>VLOOKUP(A:A,#REF!,2,0)</f>
        <v>#REF!</v>
      </c>
      <c r="P18" s="7" t="e">
        <f>VLOOKUP(A:A,#REF!,3,0)</f>
        <v>#REF!</v>
      </c>
      <c r="Q18" s="7" t="e">
        <f>VLOOKUP(A:A,#REF!,2,0)</f>
        <v>#REF!</v>
      </c>
      <c r="R18" s="8" t="e">
        <f t="shared" si="0"/>
        <v>#REF!</v>
      </c>
    </row>
    <row r="19" spans="1:18" ht="21" customHeight="1" x14ac:dyDescent="0.3">
      <c r="A19" s="3" t="s">
        <v>43</v>
      </c>
      <c r="B19" s="7" t="e">
        <f>VLOOKUP(A:A,#REF!,2,0)</f>
        <v>#REF!</v>
      </c>
      <c r="C19" s="7" t="e">
        <f>VLOOKUP(A:A,#REF!,3,0)</f>
        <v>#REF!</v>
      </c>
      <c r="D19" s="7" t="e">
        <f>VLOOKUP(A:A,#REF!,4,0)</f>
        <v>#REF!</v>
      </c>
      <c r="E19" s="7" t="e">
        <f>VLOOKUP(A:A,#REF!,5,0)</f>
        <v>#REF!</v>
      </c>
      <c r="F19" s="7" t="e">
        <f>VLOOKUP(A:A,#REF!,2,0)</f>
        <v>#REF!</v>
      </c>
      <c r="G19" s="7" t="e">
        <f>VLOOKUP(A:A,#REF!,3,0)</f>
        <v>#REF!</v>
      </c>
      <c r="H19" s="7" t="e">
        <f>VLOOKUP(A:A,#REF!,4,0)</f>
        <v>#REF!</v>
      </c>
      <c r="I19" s="7" t="e">
        <f>VLOOKUP(A19,#REF!,2,0)</f>
        <v>#REF!</v>
      </c>
      <c r="J19" s="7" t="e">
        <f>VLOOKUP(A19,#REF!,3,0)</f>
        <v>#REF!</v>
      </c>
      <c r="K19" s="7" t="e">
        <f>VLOOKUP(A:A,#REF!,4,0)</f>
        <v>#REF!</v>
      </c>
      <c r="L19" s="7" t="e">
        <f>VLOOKUP(A19,#REF!,5,0)</f>
        <v>#REF!</v>
      </c>
      <c r="M19" s="7" t="e">
        <f>VLOOKUP(A:A,#REF!,2,0)</f>
        <v>#REF!</v>
      </c>
      <c r="N19" s="7" t="e">
        <f>VLOOKUP(A:A,#REF!,3,0)</f>
        <v>#REF!</v>
      </c>
      <c r="O19" s="7" t="e">
        <f>VLOOKUP(A:A,#REF!,2,0)</f>
        <v>#REF!</v>
      </c>
      <c r="P19" s="7" t="e">
        <f>VLOOKUP(A:A,#REF!,3,0)</f>
        <v>#REF!</v>
      </c>
      <c r="Q19" s="7" t="e">
        <f>VLOOKUP(A:A,#REF!,2,0)</f>
        <v>#REF!</v>
      </c>
      <c r="R19" s="8" t="e">
        <f t="shared" si="0"/>
        <v>#REF!</v>
      </c>
    </row>
    <row r="20" spans="1:18" ht="21" customHeight="1" x14ac:dyDescent="0.3">
      <c r="A20" s="3" t="s">
        <v>34</v>
      </c>
      <c r="B20" s="7" t="e">
        <f>VLOOKUP(A:A,#REF!,2,0)</f>
        <v>#REF!</v>
      </c>
      <c r="C20" s="7" t="e">
        <f>VLOOKUP(A:A,#REF!,3,0)</f>
        <v>#REF!</v>
      </c>
      <c r="D20" s="7" t="e">
        <f>VLOOKUP(A:A,#REF!,4,0)</f>
        <v>#REF!</v>
      </c>
      <c r="E20" s="7" t="e">
        <f>VLOOKUP(A:A,#REF!,5,0)</f>
        <v>#REF!</v>
      </c>
      <c r="F20" s="7" t="e">
        <f>VLOOKUP(A:A,#REF!,2,0)</f>
        <v>#REF!</v>
      </c>
      <c r="G20" s="7" t="e">
        <f>VLOOKUP(A:A,#REF!,3,0)</f>
        <v>#REF!</v>
      </c>
      <c r="H20" s="7" t="e">
        <f>VLOOKUP(A:A,#REF!,4,0)</f>
        <v>#REF!</v>
      </c>
      <c r="I20" s="7" t="e">
        <f>VLOOKUP(A20,#REF!,2,0)</f>
        <v>#REF!</v>
      </c>
      <c r="J20" s="7" t="e">
        <f>VLOOKUP(A20,#REF!,3,0)</f>
        <v>#REF!</v>
      </c>
      <c r="K20" s="7" t="e">
        <f>VLOOKUP(A:A,#REF!,4,0)</f>
        <v>#REF!</v>
      </c>
      <c r="L20" s="7" t="e">
        <f>VLOOKUP(A20,#REF!,5,0)</f>
        <v>#REF!</v>
      </c>
      <c r="M20" s="7" t="e">
        <f>VLOOKUP(A:A,#REF!,2,0)</f>
        <v>#REF!</v>
      </c>
      <c r="N20" s="7" t="e">
        <f>VLOOKUP(A:A,#REF!,3,0)</f>
        <v>#REF!</v>
      </c>
      <c r="O20" s="7" t="e">
        <f>VLOOKUP(A:A,#REF!,2,0)</f>
        <v>#REF!</v>
      </c>
      <c r="P20" s="7" t="e">
        <f>VLOOKUP(A:A,#REF!,3,0)</f>
        <v>#REF!</v>
      </c>
      <c r="Q20" s="7" t="e">
        <f>VLOOKUP(A:A,#REF!,2,0)</f>
        <v>#REF!</v>
      </c>
      <c r="R20" s="8" t="e">
        <f t="shared" si="0"/>
        <v>#REF!</v>
      </c>
    </row>
    <row r="21" spans="1:18" ht="21" customHeight="1" x14ac:dyDescent="0.3">
      <c r="A21" s="3" t="s">
        <v>61</v>
      </c>
      <c r="B21" s="7" t="e">
        <f>VLOOKUP(A:A,#REF!,2,0)</f>
        <v>#REF!</v>
      </c>
      <c r="C21" s="7" t="e">
        <f>VLOOKUP(A:A,#REF!,3,0)</f>
        <v>#REF!</v>
      </c>
      <c r="D21" s="7" t="e">
        <f>VLOOKUP(A:A,#REF!,4,0)</f>
        <v>#REF!</v>
      </c>
      <c r="E21" s="7" t="e">
        <f>VLOOKUP(A:A,#REF!,5,0)</f>
        <v>#REF!</v>
      </c>
      <c r="F21" s="7" t="e">
        <f>VLOOKUP(A:A,#REF!,2,0)</f>
        <v>#REF!</v>
      </c>
      <c r="G21" s="7" t="e">
        <f>VLOOKUP(A:A,#REF!,3,0)</f>
        <v>#REF!</v>
      </c>
      <c r="H21" s="7" t="e">
        <f>VLOOKUP(A:A,#REF!,4,0)</f>
        <v>#REF!</v>
      </c>
      <c r="I21" s="7" t="e">
        <f>VLOOKUP(A21,#REF!,2,0)</f>
        <v>#REF!</v>
      </c>
      <c r="J21" s="7" t="e">
        <f>VLOOKUP(A21,#REF!,3,0)</f>
        <v>#REF!</v>
      </c>
      <c r="K21" s="7" t="e">
        <f>VLOOKUP(A:A,#REF!,4,0)</f>
        <v>#REF!</v>
      </c>
      <c r="L21" s="7" t="e">
        <f>VLOOKUP(A21,#REF!,5,0)</f>
        <v>#REF!</v>
      </c>
      <c r="M21" s="7" t="e">
        <f>VLOOKUP(A:A,#REF!,2,0)</f>
        <v>#REF!</v>
      </c>
      <c r="N21" s="7" t="e">
        <f>VLOOKUP(A:A,#REF!,3,0)</f>
        <v>#REF!</v>
      </c>
      <c r="O21" s="7" t="e">
        <f>VLOOKUP(A:A,#REF!,2,0)</f>
        <v>#REF!</v>
      </c>
      <c r="P21" s="7" t="e">
        <f>VLOOKUP(A:A,#REF!,3,0)</f>
        <v>#REF!</v>
      </c>
      <c r="Q21" s="7" t="e">
        <f>VLOOKUP(A:A,#REF!,2,0)</f>
        <v>#REF!</v>
      </c>
      <c r="R21" s="8" t="e">
        <f t="shared" si="0"/>
        <v>#REF!</v>
      </c>
    </row>
    <row r="22" spans="1:18" ht="21" customHeight="1" x14ac:dyDescent="0.3">
      <c r="A22" s="3" t="s">
        <v>46</v>
      </c>
      <c r="B22" s="7" t="e">
        <f>VLOOKUP(A:A,#REF!,2,0)</f>
        <v>#REF!</v>
      </c>
      <c r="C22" s="7" t="e">
        <f>VLOOKUP(A:A,#REF!,3,0)</f>
        <v>#REF!</v>
      </c>
      <c r="D22" s="7" t="e">
        <f>VLOOKUP(A:A,#REF!,4,0)</f>
        <v>#REF!</v>
      </c>
      <c r="E22" s="7" t="e">
        <f>VLOOKUP(A:A,#REF!,5,0)</f>
        <v>#REF!</v>
      </c>
      <c r="F22" s="7" t="e">
        <f>VLOOKUP(A:A,#REF!,2,0)</f>
        <v>#REF!</v>
      </c>
      <c r="G22" s="7" t="e">
        <f>VLOOKUP(A:A,#REF!,3,0)</f>
        <v>#REF!</v>
      </c>
      <c r="H22" s="7" t="e">
        <f>VLOOKUP(A:A,#REF!,4,0)</f>
        <v>#REF!</v>
      </c>
      <c r="I22" s="7" t="e">
        <f>VLOOKUP(A22,#REF!,2,0)</f>
        <v>#REF!</v>
      </c>
      <c r="J22" s="7" t="e">
        <f>VLOOKUP(A22,#REF!,3,0)</f>
        <v>#REF!</v>
      </c>
      <c r="K22" s="7" t="e">
        <f>VLOOKUP(A:A,#REF!,4,0)</f>
        <v>#REF!</v>
      </c>
      <c r="L22" s="7" t="e">
        <f>VLOOKUP(A22,#REF!,5,0)</f>
        <v>#REF!</v>
      </c>
      <c r="M22" s="7" t="e">
        <f>VLOOKUP(A:A,#REF!,2,0)</f>
        <v>#REF!</v>
      </c>
      <c r="N22" s="7" t="e">
        <f>VLOOKUP(A:A,#REF!,3,0)</f>
        <v>#REF!</v>
      </c>
      <c r="O22" s="7" t="e">
        <f>VLOOKUP(A:A,#REF!,2,0)</f>
        <v>#REF!</v>
      </c>
      <c r="P22" s="7" t="e">
        <f>VLOOKUP(A:A,#REF!,3,0)</f>
        <v>#REF!</v>
      </c>
      <c r="Q22" s="7" t="e">
        <f>VLOOKUP(A:A,#REF!,2,0)</f>
        <v>#REF!</v>
      </c>
      <c r="R22" s="8" t="e">
        <f t="shared" si="0"/>
        <v>#REF!</v>
      </c>
    </row>
    <row r="23" spans="1:18" ht="21" customHeight="1" x14ac:dyDescent="0.3">
      <c r="A23" s="3" t="s">
        <v>63</v>
      </c>
      <c r="B23" s="7" t="e">
        <f>VLOOKUP(A:A,#REF!,2,0)</f>
        <v>#REF!</v>
      </c>
      <c r="C23" s="7" t="e">
        <f>VLOOKUP(A:A,#REF!,3,0)</f>
        <v>#REF!</v>
      </c>
      <c r="D23" s="7" t="e">
        <f>VLOOKUP(A:A,#REF!,4,0)</f>
        <v>#REF!</v>
      </c>
      <c r="E23" s="7" t="e">
        <f>VLOOKUP(A:A,#REF!,5,0)</f>
        <v>#REF!</v>
      </c>
      <c r="F23" s="7" t="e">
        <f>VLOOKUP(A:A,#REF!,2,0)</f>
        <v>#REF!</v>
      </c>
      <c r="G23" s="7" t="e">
        <f>VLOOKUP(A:A,#REF!,3,0)</f>
        <v>#REF!</v>
      </c>
      <c r="H23" s="7" t="e">
        <f>VLOOKUP(A:A,#REF!,4,0)</f>
        <v>#REF!</v>
      </c>
      <c r="I23" s="7" t="e">
        <f>VLOOKUP(A23,#REF!,2,0)</f>
        <v>#REF!</v>
      </c>
      <c r="J23" s="7" t="e">
        <f>VLOOKUP(A23,#REF!,3,0)</f>
        <v>#REF!</v>
      </c>
      <c r="K23" s="7" t="e">
        <f>VLOOKUP(A:A,#REF!,4,0)</f>
        <v>#REF!</v>
      </c>
      <c r="L23" s="7" t="e">
        <f>VLOOKUP(A23,#REF!,5,0)</f>
        <v>#REF!</v>
      </c>
      <c r="M23" s="7"/>
      <c r="N23" s="7" t="e">
        <f>VLOOKUP(A:A,#REF!,3,0)</f>
        <v>#REF!</v>
      </c>
      <c r="O23" s="7" t="e">
        <f>VLOOKUP(A:A,#REF!,2,0)</f>
        <v>#REF!</v>
      </c>
      <c r="P23" s="7" t="e">
        <f>VLOOKUP(A:A,#REF!,3,0)</f>
        <v>#REF!</v>
      </c>
      <c r="Q23" s="7" t="e">
        <f>VLOOKUP(A:A,#REF!,2,0)</f>
        <v>#REF!</v>
      </c>
      <c r="R23" s="8" t="e">
        <f t="shared" si="0"/>
        <v>#REF!</v>
      </c>
    </row>
    <row r="24" spans="1:18" ht="21" customHeight="1" x14ac:dyDescent="0.3">
      <c r="A24" s="3" t="s">
        <v>62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e">
        <f>VLOOKUP(A:A,#REF!,2,0)</f>
        <v>#REF!</v>
      </c>
      <c r="N24" s="7" t="e">
        <f>VLOOKUP(A:A,#REF!,3,0)</f>
        <v>#REF!</v>
      </c>
      <c r="O24" s="7"/>
      <c r="P24" s="7"/>
      <c r="Q24" s="7"/>
      <c r="R24" s="8" t="e">
        <f t="shared" si="0"/>
        <v>#REF!</v>
      </c>
    </row>
    <row r="25" spans="1:18" ht="21" customHeight="1" x14ac:dyDescent="0.3">
      <c r="A25" s="3" t="s">
        <v>47</v>
      </c>
      <c r="B25" s="7" t="e">
        <f>VLOOKUP(A:A,#REF!,2,0)</f>
        <v>#REF!</v>
      </c>
      <c r="C25" s="7" t="e">
        <f>VLOOKUP(A:A,#REF!,3,0)</f>
        <v>#REF!</v>
      </c>
      <c r="D25" s="7" t="e">
        <f>VLOOKUP(A:A,#REF!,4,0)</f>
        <v>#REF!</v>
      </c>
      <c r="E25" s="7" t="e">
        <f>VLOOKUP(A:A,#REF!,5,0)</f>
        <v>#REF!</v>
      </c>
      <c r="F25" s="11" t="str">
        <f>IFERROR(VLOOKUP(A:A,#REF!,2,0),"0")</f>
        <v>0</v>
      </c>
      <c r="G25" s="7" t="e">
        <f>VLOOKUP(A:A,#REF!,3,0)</f>
        <v>#REF!</v>
      </c>
      <c r="H25" s="7" t="e">
        <f>VLOOKUP(A:A,#REF!,4,0)</f>
        <v>#REF!</v>
      </c>
      <c r="I25" s="7" t="e">
        <f>VLOOKUP(A25,#REF!,2,0)</f>
        <v>#REF!</v>
      </c>
      <c r="J25" s="7" t="e">
        <f>VLOOKUP(A25,#REF!,3,0)</f>
        <v>#REF!</v>
      </c>
      <c r="K25" s="7" t="e">
        <f>VLOOKUP(A:A,#REF!,4,0)</f>
        <v>#REF!</v>
      </c>
      <c r="L25" s="7" t="e">
        <f>VLOOKUP(A25,#REF!,5,0)</f>
        <v>#REF!</v>
      </c>
      <c r="M25" s="7" t="e">
        <f>VLOOKUP(A:A,#REF!,2,0)</f>
        <v>#REF!</v>
      </c>
      <c r="N25" s="7" t="e">
        <f>VLOOKUP(A:A,#REF!,3,0)</f>
        <v>#REF!</v>
      </c>
      <c r="O25" s="7" t="e">
        <f>VLOOKUP(A:A,#REF!,2,0)</f>
        <v>#REF!</v>
      </c>
      <c r="P25" s="7" t="e">
        <f>VLOOKUP(A:A,#REF!,3,0)</f>
        <v>#REF!</v>
      </c>
      <c r="Q25" s="7" t="e">
        <f>VLOOKUP(A:A,#REF!,2,0)</f>
        <v>#REF!</v>
      </c>
      <c r="R25" s="8" t="e">
        <f t="shared" si="0"/>
        <v>#REF!</v>
      </c>
    </row>
    <row r="26" spans="1:18" ht="21" customHeight="1" x14ac:dyDescent="0.3">
      <c r="A26" s="3" t="s">
        <v>52</v>
      </c>
      <c r="B26" s="7" t="e">
        <f>VLOOKUP(A:A,#REF!,2,0)</f>
        <v>#REF!</v>
      </c>
      <c r="C26" s="7" t="e">
        <f>VLOOKUP(A:A,#REF!,3,0)</f>
        <v>#REF!</v>
      </c>
      <c r="D26" s="7" t="e">
        <f>VLOOKUP(A:A,#REF!,4,0)</f>
        <v>#REF!</v>
      </c>
      <c r="E26" s="7" t="e">
        <f>VLOOKUP(A:A,#REF!,5,0)</f>
        <v>#REF!</v>
      </c>
      <c r="F26" s="7" t="e">
        <f>VLOOKUP(A:A,#REF!,2,0)</f>
        <v>#REF!</v>
      </c>
      <c r="G26" s="7" t="e">
        <f>VLOOKUP(A:A,#REF!,3,0)</f>
        <v>#REF!</v>
      </c>
      <c r="H26" s="7" t="e">
        <f>VLOOKUP(A:A,#REF!,4,0)</f>
        <v>#REF!</v>
      </c>
      <c r="I26" s="7" t="e">
        <f>VLOOKUP(A26,#REF!,2,0)</f>
        <v>#REF!</v>
      </c>
      <c r="J26" s="7" t="e">
        <f>VLOOKUP(A26,#REF!,3,0)</f>
        <v>#REF!</v>
      </c>
      <c r="K26" s="7" t="e">
        <f>VLOOKUP(A:A,#REF!,4,0)</f>
        <v>#REF!</v>
      </c>
      <c r="L26" s="7" t="e">
        <f>VLOOKUP(A26,#REF!,5,0)</f>
        <v>#REF!</v>
      </c>
      <c r="M26" s="7" t="e">
        <f>VLOOKUP(A:A,#REF!,2,0)</f>
        <v>#REF!</v>
      </c>
      <c r="N26" s="7" t="e">
        <f>VLOOKUP(A:A,#REF!,3,0)</f>
        <v>#REF!</v>
      </c>
      <c r="O26" s="7" t="e">
        <f>VLOOKUP(A:A,#REF!,2,0)</f>
        <v>#REF!</v>
      </c>
      <c r="P26" s="7" t="e">
        <f>VLOOKUP(A:A,#REF!,3,0)</f>
        <v>#REF!</v>
      </c>
      <c r="Q26" s="7" t="e">
        <f>VLOOKUP(A:A,#REF!,2,0)</f>
        <v>#REF!</v>
      </c>
      <c r="R26" s="8" t="e">
        <f t="shared" si="0"/>
        <v>#REF!</v>
      </c>
    </row>
    <row r="27" spans="1:18" ht="21" customHeight="1" x14ac:dyDescent="0.3">
      <c r="A27" s="3" t="s">
        <v>42</v>
      </c>
      <c r="B27" s="7" t="e">
        <f>VLOOKUP(A:A,#REF!,2,0)</f>
        <v>#REF!</v>
      </c>
      <c r="C27" s="7" t="e">
        <f>VLOOKUP(A:A,#REF!,3,0)</f>
        <v>#REF!</v>
      </c>
      <c r="D27" s="7" t="e">
        <f>VLOOKUP(A:A,#REF!,4,0)</f>
        <v>#REF!</v>
      </c>
      <c r="E27" s="7" t="e">
        <f>VLOOKUP(A:A,#REF!,5,0)</f>
        <v>#REF!</v>
      </c>
      <c r="F27" s="7" t="e">
        <f>VLOOKUP(A:A,#REF!,2,0)</f>
        <v>#REF!</v>
      </c>
      <c r="G27" s="7" t="e">
        <f>VLOOKUP(A:A,#REF!,3,0)</f>
        <v>#REF!</v>
      </c>
      <c r="H27" s="7" t="e">
        <f>VLOOKUP(A:A,#REF!,4,0)</f>
        <v>#REF!</v>
      </c>
      <c r="I27" s="7" t="e">
        <f>VLOOKUP(A27,#REF!,2,0)</f>
        <v>#REF!</v>
      </c>
      <c r="J27" s="7" t="e">
        <f>VLOOKUP(A27,#REF!,3,0)</f>
        <v>#REF!</v>
      </c>
      <c r="K27" s="7" t="e">
        <f>VLOOKUP(A:A,#REF!,4,0)</f>
        <v>#REF!</v>
      </c>
      <c r="L27" s="7" t="e">
        <f>VLOOKUP(A27,#REF!,5,0)</f>
        <v>#REF!</v>
      </c>
      <c r="M27" s="7" t="e">
        <f>VLOOKUP(A:A,#REF!,2,0)</f>
        <v>#REF!</v>
      </c>
      <c r="N27" s="7" t="e">
        <f>VLOOKUP(A:A,#REF!,3,0)</f>
        <v>#REF!</v>
      </c>
      <c r="O27" s="7" t="e">
        <f>VLOOKUP(A:A,#REF!,2,0)</f>
        <v>#REF!</v>
      </c>
      <c r="P27" s="7" t="e">
        <f>VLOOKUP(A:A,#REF!,3,0)</f>
        <v>#REF!</v>
      </c>
      <c r="Q27" s="7" t="e">
        <f>VLOOKUP(A:A,#REF!,2,0)</f>
        <v>#REF!</v>
      </c>
      <c r="R27" s="8" t="e">
        <f t="shared" si="0"/>
        <v>#REF!</v>
      </c>
    </row>
    <row r="28" spans="1:18" ht="21" customHeight="1" x14ac:dyDescent="0.3">
      <c r="A28" s="3" t="s">
        <v>35</v>
      </c>
      <c r="B28" s="7" t="e">
        <f>VLOOKUP(A:A,#REF!,2,0)</f>
        <v>#REF!</v>
      </c>
      <c r="C28" s="7" t="e">
        <f>VLOOKUP(A:A,#REF!,3,0)</f>
        <v>#REF!</v>
      </c>
      <c r="D28" s="7" t="e">
        <f>VLOOKUP(A:A,#REF!,4,0)</f>
        <v>#REF!</v>
      </c>
      <c r="E28" s="7" t="e">
        <f>VLOOKUP(A:A,#REF!,5,0)</f>
        <v>#REF!</v>
      </c>
      <c r="F28" s="7" t="e">
        <f>VLOOKUP(A:A,#REF!,2,0)</f>
        <v>#REF!</v>
      </c>
      <c r="G28" s="7" t="e">
        <f>VLOOKUP(A:A,#REF!,3,0)</f>
        <v>#REF!</v>
      </c>
      <c r="H28" s="7" t="e">
        <f>VLOOKUP(A:A,#REF!,4,0)</f>
        <v>#REF!</v>
      </c>
      <c r="I28" s="7" t="e">
        <f>VLOOKUP(A28,#REF!,2,0)</f>
        <v>#REF!</v>
      </c>
      <c r="J28" s="7" t="e">
        <f>VLOOKUP(A28,#REF!,3,0)</f>
        <v>#REF!</v>
      </c>
      <c r="K28" s="7" t="e">
        <f>VLOOKUP(A:A,#REF!,4,0)</f>
        <v>#REF!</v>
      </c>
      <c r="L28" s="7" t="e">
        <f>VLOOKUP(A28,#REF!,5,0)</f>
        <v>#REF!</v>
      </c>
      <c r="M28" s="7" t="e">
        <f>VLOOKUP(A:A,#REF!,2,0)</f>
        <v>#REF!</v>
      </c>
      <c r="N28" s="7" t="e">
        <f>VLOOKUP(A:A,#REF!,3,0)</f>
        <v>#REF!</v>
      </c>
      <c r="O28" s="7" t="e">
        <f>VLOOKUP(A:A,#REF!,2,0)</f>
        <v>#REF!</v>
      </c>
      <c r="P28" s="7" t="e">
        <f>VLOOKUP(A:A,#REF!,3,0)</f>
        <v>#REF!</v>
      </c>
      <c r="Q28" s="7" t="e">
        <f>VLOOKUP(A:A,#REF!,2,0)</f>
        <v>#REF!</v>
      </c>
      <c r="R28" s="8" t="e">
        <f t="shared" si="0"/>
        <v>#REF!</v>
      </c>
    </row>
    <row r="29" spans="1:18" ht="21" customHeight="1" x14ac:dyDescent="0.3">
      <c r="A29" s="3" t="s">
        <v>41</v>
      </c>
      <c r="B29" s="7" t="e">
        <f>VLOOKUP(A:A,#REF!,2,0)</f>
        <v>#REF!</v>
      </c>
      <c r="C29" s="7" t="e">
        <f>VLOOKUP(A:A,#REF!,3,0)</f>
        <v>#REF!</v>
      </c>
      <c r="D29" s="7" t="e">
        <f>VLOOKUP(A:A,#REF!,4,0)</f>
        <v>#REF!</v>
      </c>
      <c r="E29" s="7" t="e">
        <f>VLOOKUP(A:A,#REF!,5,0)</f>
        <v>#REF!</v>
      </c>
      <c r="F29" s="7" t="e">
        <f>VLOOKUP(A:A,#REF!,2,0)</f>
        <v>#REF!</v>
      </c>
      <c r="G29" s="7" t="e">
        <f>VLOOKUP(A:A,#REF!,3,0)</f>
        <v>#REF!</v>
      </c>
      <c r="H29" s="7" t="e">
        <f>VLOOKUP(A:A,#REF!,4,0)</f>
        <v>#REF!</v>
      </c>
      <c r="I29" s="7" t="e">
        <f>VLOOKUP(A29,#REF!,2,0)</f>
        <v>#REF!</v>
      </c>
      <c r="J29" s="7" t="e">
        <f>VLOOKUP(A29,#REF!,3,0)</f>
        <v>#REF!</v>
      </c>
      <c r="K29" s="7" t="e">
        <f>VLOOKUP(A:A,#REF!,4,0)</f>
        <v>#REF!</v>
      </c>
      <c r="L29" s="7" t="e">
        <f>VLOOKUP(A29,#REF!,5,0)</f>
        <v>#REF!</v>
      </c>
      <c r="M29" s="7" t="e">
        <f>VLOOKUP(A:A,#REF!,2,0)</f>
        <v>#REF!</v>
      </c>
      <c r="N29" s="7" t="e">
        <f>VLOOKUP(A:A,#REF!,3,0)</f>
        <v>#REF!</v>
      </c>
      <c r="O29" s="7" t="e">
        <f>VLOOKUP(A:A,#REF!,2,0)</f>
        <v>#REF!</v>
      </c>
      <c r="P29" s="7" t="e">
        <f>VLOOKUP(A:A,#REF!,3,0)</f>
        <v>#REF!</v>
      </c>
      <c r="Q29" s="7" t="e">
        <f>VLOOKUP(A:A,#REF!,2,0)</f>
        <v>#REF!</v>
      </c>
      <c r="R29" s="8" t="e">
        <f t="shared" si="0"/>
        <v>#REF!</v>
      </c>
    </row>
    <row r="30" spans="1:18" ht="21" customHeight="1" x14ac:dyDescent="0.3">
      <c r="A30" s="4" t="s">
        <v>3</v>
      </c>
      <c r="B30" s="5" t="e">
        <f t="shared" ref="B30:H30" si="1">SUM(B3:B29)</f>
        <v>#REF!</v>
      </c>
      <c r="C30" s="5" t="e">
        <f t="shared" si="1"/>
        <v>#REF!</v>
      </c>
      <c r="D30" s="5" t="e">
        <f t="shared" si="1"/>
        <v>#REF!</v>
      </c>
      <c r="E30" s="5" t="e">
        <f t="shared" si="1"/>
        <v>#REF!</v>
      </c>
      <c r="F30" s="5" t="e">
        <f t="shared" si="1"/>
        <v>#REF!</v>
      </c>
      <c r="G30" s="5" t="e">
        <f t="shared" si="1"/>
        <v>#REF!</v>
      </c>
      <c r="H30" s="5" t="e">
        <f t="shared" si="1"/>
        <v>#REF!</v>
      </c>
      <c r="I30" s="5" t="e">
        <f t="shared" ref="I30:R30" si="2">SUM(I3:I29)</f>
        <v>#REF!</v>
      </c>
      <c r="J30" s="5" t="e">
        <f t="shared" si="2"/>
        <v>#REF!</v>
      </c>
      <c r="K30" s="5" t="e">
        <f t="shared" si="2"/>
        <v>#REF!</v>
      </c>
      <c r="L30" s="5" t="e">
        <f t="shared" si="2"/>
        <v>#REF!</v>
      </c>
      <c r="M30" s="5" t="e">
        <f t="shared" si="2"/>
        <v>#REF!</v>
      </c>
      <c r="N30" s="5" t="e">
        <f t="shared" si="2"/>
        <v>#REF!</v>
      </c>
      <c r="O30" s="5" t="e">
        <f>SUM(O3:O29)</f>
        <v>#REF!</v>
      </c>
      <c r="P30" s="5" t="e">
        <f t="shared" si="2"/>
        <v>#REF!</v>
      </c>
      <c r="Q30" s="5" t="e">
        <f t="shared" si="2"/>
        <v>#REF!</v>
      </c>
      <c r="R30" s="5" t="e">
        <f t="shared" si="2"/>
        <v>#REF!</v>
      </c>
    </row>
  </sheetData>
  <phoneticPr fontId="13" type="noConversion"/>
  <printOptions horizontalCentered="1" verticalCentered="1"/>
  <pageMargins left="0" right="0" top="0" bottom="0" header="0" footer="0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FFC000"/>
  </sheetPr>
  <dimension ref="A1:G39"/>
  <sheetViews>
    <sheetView zoomScale="70" zoomScaleNormal="70" workbookViewId="0">
      <selection activeCell="E46" sqref="E46"/>
    </sheetView>
  </sheetViews>
  <sheetFormatPr defaultRowHeight="15" customHeight="1" x14ac:dyDescent="0.3"/>
  <cols>
    <col min="1" max="1" width="33.25" bestFit="1" customWidth="1"/>
    <col min="2" max="2" width="16.75" bestFit="1" customWidth="1"/>
    <col min="3" max="3" width="7.5" bestFit="1" customWidth="1"/>
    <col min="4" max="4" width="11" bestFit="1" customWidth="1"/>
  </cols>
  <sheetData>
    <row r="1" spans="1:7" ht="15" customHeight="1" x14ac:dyDescent="0.3">
      <c r="A1" s="21" t="s">
        <v>128</v>
      </c>
      <c r="B1" t="s">
        <v>89</v>
      </c>
    </row>
    <row r="2" spans="1:7" ht="15" customHeight="1" x14ac:dyDescent="0.3">
      <c r="A2" t="s">
        <v>67</v>
      </c>
      <c r="B2" s="30" t="s">
        <v>127</v>
      </c>
      <c r="C2" t="s">
        <v>3</v>
      </c>
      <c r="D2" s="147"/>
      <c r="G2" s="30"/>
    </row>
    <row r="3" spans="1:7" ht="10.5" customHeight="1" x14ac:dyDescent="0.3">
      <c r="A3" t="s">
        <v>50</v>
      </c>
    </row>
    <row r="4" spans="1:7" ht="15" customHeight="1" x14ac:dyDescent="0.3">
      <c r="A4" t="s">
        <v>35</v>
      </c>
    </row>
    <row r="5" spans="1:7" ht="15" customHeight="1" x14ac:dyDescent="0.3">
      <c r="A5" t="s">
        <v>46</v>
      </c>
      <c r="D5" s="19"/>
    </row>
    <row r="6" spans="1:7" ht="15" customHeight="1" x14ac:dyDescent="0.3">
      <c r="A6" t="s">
        <v>56</v>
      </c>
      <c r="D6" s="19"/>
    </row>
    <row r="7" spans="1:7" ht="15" customHeight="1" x14ac:dyDescent="0.3">
      <c r="A7" t="s">
        <v>48</v>
      </c>
      <c r="D7" s="19"/>
    </row>
    <row r="8" spans="1:7" ht="15" customHeight="1" x14ac:dyDescent="0.3">
      <c r="A8" t="s">
        <v>57</v>
      </c>
      <c r="D8" s="19"/>
    </row>
    <row r="9" spans="1:7" ht="15" customHeight="1" x14ac:dyDescent="0.3">
      <c r="A9" t="s">
        <v>59</v>
      </c>
      <c r="D9" s="19"/>
    </row>
    <row r="10" spans="1:7" ht="15" customHeight="1" x14ac:dyDescent="0.3">
      <c r="A10" t="s">
        <v>84</v>
      </c>
      <c r="D10" s="19"/>
    </row>
    <row r="11" spans="1:7" ht="15" customHeight="1" x14ac:dyDescent="0.3">
      <c r="A11" t="s">
        <v>41</v>
      </c>
      <c r="D11" s="19"/>
    </row>
    <row r="12" spans="1:7" ht="15" customHeight="1" x14ac:dyDescent="0.3">
      <c r="A12" t="s">
        <v>62</v>
      </c>
      <c r="D12" s="19"/>
    </row>
    <row r="13" spans="1:7" ht="15" customHeight="1" x14ac:dyDescent="0.3">
      <c r="A13" t="s">
        <v>90</v>
      </c>
      <c r="D13" s="19"/>
    </row>
    <row r="14" spans="1:7" ht="15" customHeight="1" x14ac:dyDescent="0.3">
      <c r="A14" t="s">
        <v>91</v>
      </c>
      <c r="D14" s="19"/>
    </row>
    <row r="15" spans="1:7" ht="15" customHeight="1" x14ac:dyDescent="0.3">
      <c r="A15" t="s">
        <v>52</v>
      </c>
      <c r="D15" s="19"/>
    </row>
    <row r="16" spans="1:7" ht="15" customHeight="1" x14ac:dyDescent="0.3">
      <c r="A16" t="s">
        <v>73</v>
      </c>
      <c r="D16" s="19"/>
    </row>
    <row r="17" spans="1:4" ht="15" customHeight="1" x14ac:dyDescent="0.3">
      <c r="A17" t="s">
        <v>74</v>
      </c>
      <c r="D17" s="19"/>
    </row>
    <row r="18" spans="1:4" ht="15" customHeight="1" x14ac:dyDescent="0.3">
      <c r="A18" t="s">
        <v>55</v>
      </c>
      <c r="D18" s="19"/>
    </row>
    <row r="19" spans="1:4" ht="15" customHeight="1" x14ac:dyDescent="0.3">
      <c r="A19" t="s">
        <v>81</v>
      </c>
      <c r="D19" s="19"/>
    </row>
    <row r="20" spans="1:4" ht="15" customHeight="1" x14ac:dyDescent="0.3">
      <c r="A20" t="s">
        <v>82</v>
      </c>
      <c r="D20" s="19"/>
    </row>
    <row r="21" spans="1:4" ht="15" customHeight="1" x14ac:dyDescent="0.3">
      <c r="A21" t="s">
        <v>100</v>
      </c>
      <c r="D21" s="19"/>
    </row>
    <row r="22" spans="1:4" ht="15" customHeight="1" x14ac:dyDescent="0.3">
      <c r="A22" t="s">
        <v>103</v>
      </c>
      <c r="D22" s="19"/>
    </row>
    <row r="23" spans="1:4" ht="15" customHeight="1" x14ac:dyDescent="0.3">
      <c r="A23" t="s">
        <v>58</v>
      </c>
      <c r="D23" s="19"/>
    </row>
    <row r="24" spans="1:4" ht="15" customHeight="1" x14ac:dyDescent="0.3">
      <c r="A24" t="s">
        <v>53</v>
      </c>
      <c r="D24" s="19"/>
    </row>
    <row r="25" spans="1:4" ht="15" customHeight="1" x14ac:dyDescent="0.3">
      <c r="A25" t="s">
        <v>71</v>
      </c>
      <c r="D25" s="19"/>
    </row>
    <row r="26" spans="1:4" ht="15" customHeight="1" x14ac:dyDescent="0.3">
      <c r="A26" t="s">
        <v>51</v>
      </c>
      <c r="D26" s="19"/>
    </row>
    <row r="27" spans="1:4" ht="15" customHeight="1" x14ac:dyDescent="0.3">
      <c r="A27" t="s">
        <v>37</v>
      </c>
      <c r="D27" s="19"/>
    </row>
    <row r="28" spans="1:4" ht="15" customHeight="1" x14ac:dyDescent="0.3">
      <c r="A28" t="s">
        <v>54</v>
      </c>
      <c r="D28" s="19"/>
    </row>
    <row r="29" spans="1:4" ht="15" customHeight="1" x14ac:dyDescent="0.3">
      <c r="A29" t="s">
        <v>60</v>
      </c>
      <c r="D29" s="19"/>
    </row>
    <row r="30" spans="1:4" ht="15" customHeight="1" x14ac:dyDescent="0.3">
      <c r="A30" t="s">
        <v>40</v>
      </c>
      <c r="D30" s="19"/>
    </row>
    <row r="31" spans="1:4" ht="15" customHeight="1" x14ac:dyDescent="0.3">
      <c r="A31" t="s">
        <v>38</v>
      </c>
      <c r="D31" s="19"/>
    </row>
    <row r="32" spans="1:4" ht="15" customHeight="1" x14ac:dyDescent="0.3">
      <c r="A32" t="s">
        <v>45</v>
      </c>
      <c r="D32" s="19"/>
    </row>
    <row r="33" spans="1:4" ht="15" customHeight="1" x14ac:dyDescent="0.3">
      <c r="A33" t="s">
        <v>39</v>
      </c>
      <c r="D33" s="19"/>
    </row>
    <row r="34" spans="1:4" ht="15" customHeight="1" x14ac:dyDescent="0.3">
      <c r="A34" t="s">
        <v>85</v>
      </c>
      <c r="D34" s="19"/>
    </row>
    <row r="35" spans="1:4" ht="15" customHeight="1" x14ac:dyDescent="0.3">
      <c r="A35" t="s">
        <v>86</v>
      </c>
      <c r="D35" s="19"/>
    </row>
    <row r="36" spans="1:4" ht="15" customHeight="1" x14ac:dyDescent="0.3">
      <c r="A36" t="s">
        <v>75</v>
      </c>
      <c r="D36" s="19"/>
    </row>
    <row r="37" spans="1:4" ht="15" customHeight="1" x14ac:dyDescent="0.3">
      <c r="A37" t="s">
        <v>76</v>
      </c>
      <c r="D37" s="19"/>
    </row>
    <row r="38" spans="1:4" ht="15" customHeight="1" x14ac:dyDescent="0.3">
      <c r="A38" t="s">
        <v>77</v>
      </c>
      <c r="D38" s="19"/>
    </row>
    <row r="39" spans="1:4" ht="15" customHeight="1" x14ac:dyDescent="0.3">
      <c r="A39" t="s">
        <v>3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FFC000"/>
    <pageSetUpPr fitToPage="1"/>
  </sheetPr>
  <dimension ref="A1:H52"/>
  <sheetViews>
    <sheetView zoomScale="40" zoomScaleNormal="40" zoomScaleSheetLayoutView="70" workbookViewId="0">
      <selection activeCell="E46" sqref="E46"/>
    </sheetView>
  </sheetViews>
  <sheetFormatPr defaultColWidth="9" defaultRowHeight="16.5" x14ac:dyDescent="0.3"/>
  <cols>
    <col min="1" max="1" width="31.5" style="34" customWidth="1"/>
    <col min="2" max="2" width="7.625" style="38" customWidth="1"/>
    <col min="3" max="3" width="27.75" style="34" customWidth="1"/>
    <col min="4" max="4" width="9.875" style="2" customWidth="1"/>
    <col min="5" max="5" width="11.375" style="34" customWidth="1"/>
    <col min="6" max="6" width="11.125" style="2" customWidth="1"/>
    <col min="7" max="8" width="12.25" style="34" customWidth="1"/>
    <col min="9" max="16384" width="9" style="34"/>
  </cols>
  <sheetData>
    <row r="1" spans="1:8" ht="25.9" customHeight="1" thickBot="1" x14ac:dyDescent="0.35">
      <c r="A1" s="253" t="s">
        <v>88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46310</v>
      </c>
      <c r="B2" s="254" t="s">
        <v>125</v>
      </c>
      <c r="C2" s="254"/>
      <c r="D2" s="254"/>
      <c r="E2" s="254"/>
      <c r="F2" s="255"/>
      <c r="G2" s="145" t="s">
        <v>92</v>
      </c>
      <c r="H2" s="145" t="s">
        <v>83</v>
      </c>
    </row>
    <row r="3" spans="1:8" ht="40.5" customHeight="1" x14ac:dyDescent="0.3">
      <c r="A3" s="127" t="s">
        <v>67</v>
      </c>
      <c r="B3" s="91" t="s">
        <v>13</v>
      </c>
      <c r="C3" s="119" t="s">
        <v>126</v>
      </c>
      <c r="D3" s="92" t="s">
        <v>2</v>
      </c>
      <c r="E3" s="91" t="s">
        <v>23</v>
      </c>
      <c r="F3" s="128" t="s">
        <v>14</v>
      </c>
    </row>
    <row r="4" spans="1:8" ht="25.35" customHeight="1" x14ac:dyDescent="0.3">
      <c r="A4" s="129" t="s">
        <v>46</v>
      </c>
      <c r="B4" s="103">
        <v>10</v>
      </c>
      <c r="C4" s="104">
        <f>IFERROR(VLOOKUP(A4,신라명과피벗!A:HN,2,FALSE),0)</f>
        <v>0</v>
      </c>
      <c r="D4" s="105">
        <f t="shared" ref="D4:D11" si="0">IFERROR(ROUNDDOWN(C4/B4,0),"")</f>
        <v>0</v>
      </c>
      <c r="E4" s="106" t="s">
        <v>106</v>
      </c>
      <c r="F4" s="130">
        <f t="shared" ref="F4:F11" si="1">IFERROR(C4-(D4*B4),"")</f>
        <v>0</v>
      </c>
    </row>
    <row r="5" spans="1:8" ht="25.35" customHeight="1" x14ac:dyDescent="0.3">
      <c r="A5" s="131" t="s">
        <v>56</v>
      </c>
      <c r="B5" s="107">
        <f>$B$4</f>
        <v>10</v>
      </c>
      <c r="C5" s="108">
        <f>IFERROR(VLOOKUP(A5,신라명과피벗!A:HN,2,FALSE),0)</f>
        <v>0</v>
      </c>
      <c r="D5" s="109">
        <f t="shared" si="0"/>
        <v>0</v>
      </c>
      <c r="E5" s="110" t="s">
        <v>107</v>
      </c>
      <c r="F5" s="132">
        <f t="shared" si="1"/>
        <v>0</v>
      </c>
    </row>
    <row r="6" spans="1:8" ht="25.35" customHeight="1" x14ac:dyDescent="0.3">
      <c r="A6" s="49" t="s">
        <v>84</v>
      </c>
      <c r="B6" s="162">
        <f t="shared" ref="B6:B11" si="2">$B$4</f>
        <v>10</v>
      </c>
      <c r="C6" s="24">
        <f>IFERROR(VLOOKUP(A6,신라명과피벗!A:HN,2,FALSE),0)</f>
        <v>0</v>
      </c>
      <c r="D6" s="20">
        <f t="shared" si="0"/>
        <v>0</v>
      </c>
      <c r="E6" s="51" t="s">
        <v>120</v>
      </c>
      <c r="F6" s="26">
        <f t="shared" si="1"/>
        <v>0</v>
      </c>
    </row>
    <row r="7" spans="1:8" ht="25.35" customHeight="1" x14ac:dyDescent="0.3">
      <c r="A7" s="133" t="s">
        <v>41</v>
      </c>
      <c r="B7" s="107">
        <f t="shared" si="2"/>
        <v>10</v>
      </c>
      <c r="C7" s="111">
        <f>IFERROR(VLOOKUP(A7,신라명과피벗!A:HN,2,FALSE),0)</f>
        <v>0</v>
      </c>
      <c r="D7" s="112">
        <f t="shared" si="0"/>
        <v>0</v>
      </c>
      <c r="E7" s="113" t="s">
        <v>118</v>
      </c>
      <c r="F7" s="134">
        <f t="shared" si="1"/>
        <v>0</v>
      </c>
    </row>
    <row r="8" spans="1:8" ht="25.35" customHeight="1" x14ac:dyDescent="0.3">
      <c r="A8" s="49" t="s">
        <v>62</v>
      </c>
      <c r="B8" s="162">
        <f t="shared" si="2"/>
        <v>10</v>
      </c>
      <c r="C8" s="24">
        <f>IFERROR(VLOOKUP(A8,신라명과피벗!A:HN,2,FALSE),0)</f>
        <v>0</v>
      </c>
      <c r="D8" s="20">
        <f t="shared" si="0"/>
        <v>0</v>
      </c>
      <c r="E8" s="51" t="s">
        <v>119</v>
      </c>
      <c r="F8" s="26">
        <f t="shared" si="1"/>
        <v>0</v>
      </c>
    </row>
    <row r="9" spans="1:8" ht="25.35" customHeight="1" x14ac:dyDescent="0.3">
      <c r="A9" s="135" t="s">
        <v>73</v>
      </c>
      <c r="B9" s="107">
        <f t="shared" si="2"/>
        <v>10</v>
      </c>
      <c r="C9" s="111">
        <f>IFERROR(VLOOKUP(A9,신라명과피벗!A:HN,2,FALSE),0)</f>
        <v>0</v>
      </c>
      <c r="D9" s="112">
        <f t="shared" si="0"/>
        <v>0</v>
      </c>
      <c r="E9" s="113" t="s">
        <v>22</v>
      </c>
      <c r="F9" s="134">
        <f t="shared" si="1"/>
        <v>0</v>
      </c>
    </row>
    <row r="10" spans="1:8" ht="25.35" customHeight="1" x14ac:dyDescent="0.3">
      <c r="A10" s="49" t="s">
        <v>74</v>
      </c>
      <c r="B10" s="162">
        <f t="shared" si="2"/>
        <v>10</v>
      </c>
      <c r="C10" s="24">
        <f>IFERROR(VLOOKUP(A10,신라명과피벗!A:HN,2,FALSE),0)</f>
        <v>0</v>
      </c>
      <c r="D10" s="20">
        <f t="shared" si="0"/>
        <v>0</v>
      </c>
      <c r="E10" s="51" t="s">
        <v>18</v>
      </c>
      <c r="F10" s="26">
        <f t="shared" si="1"/>
        <v>0</v>
      </c>
    </row>
    <row r="11" spans="1:8" ht="26.25" x14ac:dyDescent="0.3">
      <c r="A11" s="135" t="s">
        <v>93</v>
      </c>
      <c r="B11" s="107">
        <f t="shared" si="2"/>
        <v>10</v>
      </c>
      <c r="C11" s="111">
        <f>IFERROR(VLOOKUP(A11,신라명과피벗!A:HN,2,FALSE),0)</f>
        <v>0</v>
      </c>
      <c r="D11" s="112">
        <f t="shared" si="0"/>
        <v>0</v>
      </c>
      <c r="E11" s="113" t="s">
        <v>98</v>
      </c>
      <c r="F11" s="134">
        <f t="shared" si="1"/>
        <v>0</v>
      </c>
    </row>
    <row r="12" spans="1:8" ht="4.5" customHeight="1" thickBot="1" x14ac:dyDescent="0.35">
      <c r="A12" s="256"/>
      <c r="B12" s="257"/>
      <c r="C12" s="257"/>
      <c r="D12" s="257"/>
      <c r="E12" s="257"/>
      <c r="F12" s="258"/>
    </row>
    <row r="13" spans="1:8" ht="25.35" customHeight="1" thickBot="1" x14ac:dyDescent="0.35">
      <c r="A13" s="122" t="s">
        <v>121</v>
      </c>
      <c r="B13" s="123">
        <f>B4</f>
        <v>10</v>
      </c>
      <c r="C13" s="124">
        <f>SUM($C$4:$C$11)</f>
        <v>0</v>
      </c>
      <c r="D13" s="124">
        <f>IFERROR(ROUNDDOWN(C13/B13,0),"")</f>
        <v>0</v>
      </c>
      <c r="E13" s="125"/>
      <c r="F13" s="126">
        <f>IFERROR(C13-(D13*B13),"")</f>
        <v>0</v>
      </c>
    </row>
    <row r="14" spans="1:8" ht="15" customHeight="1" x14ac:dyDescent="0.3">
      <c r="A14" s="259"/>
      <c r="B14" s="259"/>
      <c r="C14" s="259"/>
      <c r="D14" s="259"/>
      <c r="E14" s="259"/>
      <c r="F14" s="259"/>
    </row>
    <row r="15" spans="1:8" ht="26.25" x14ac:dyDescent="0.3">
      <c r="A15" s="135" t="s">
        <v>90</v>
      </c>
      <c r="B15" s="114">
        <f>$B$4</f>
        <v>10</v>
      </c>
      <c r="C15" s="111">
        <f>IFERROR(VLOOKUP(A15,신라명과피벗!A:HN,2,FALSE),0)</f>
        <v>0</v>
      </c>
      <c r="D15" s="112">
        <f>IFERROR(ROUNDDOWN(C15/B15,0),"")</f>
        <v>0</v>
      </c>
      <c r="E15" s="113" t="s">
        <v>94</v>
      </c>
      <c r="F15" s="134">
        <f>IFERROR(C15-(D15*B15),"")</f>
        <v>0</v>
      </c>
    </row>
    <row r="16" spans="1:8" ht="25.35" customHeight="1" x14ac:dyDescent="0.3">
      <c r="A16" s="49" t="s">
        <v>91</v>
      </c>
      <c r="B16" s="50">
        <f>$B$4</f>
        <v>10</v>
      </c>
      <c r="C16" s="24">
        <f>IFERROR(VLOOKUP(A16,신라명과피벗!A:HN,2,FALSE),0)</f>
        <v>0</v>
      </c>
      <c r="D16" s="20">
        <f>IFERROR(ROUNDDOWN(C16/B16,0),"")</f>
        <v>0</v>
      </c>
      <c r="E16" s="51" t="s">
        <v>95</v>
      </c>
      <c r="F16" s="26">
        <f>IFERROR(C16-(D16*B16),"")</f>
        <v>0</v>
      </c>
    </row>
    <row r="17" spans="1:8" ht="25.35" customHeight="1" x14ac:dyDescent="0.3">
      <c r="A17" s="135" t="s">
        <v>52</v>
      </c>
      <c r="B17" s="114">
        <f>$B$4</f>
        <v>10</v>
      </c>
      <c r="C17" s="111">
        <f>IFERROR(VLOOKUP(A17,신라명과피벗!A:HN,2,FALSE),0)</f>
        <v>0</v>
      </c>
      <c r="D17" s="112">
        <f>IFERROR(ROUNDDOWN(C17/B17,0),"")</f>
        <v>0</v>
      </c>
      <c r="E17" s="113" t="s">
        <v>5</v>
      </c>
      <c r="F17" s="134">
        <f>IFERROR(C17-(D17*B17),"")</f>
        <v>0</v>
      </c>
    </row>
    <row r="18" spans="1:8" ht="5.25" customHeight="1" x14ac:dyDescent="0.3">
      <c r="A18" s="263"/>
      <c r="B18" s="264"/>
      <c r="C18" s="264"/>
      <c r="D18" s="264"/>
      <c r="E18" s="264"/>
      <c r="F18" s="265"/>
    </row>
    <row r="19" spans="1:8" ht="23.25" customHeight="1" thickBot="1" x14ac:dyDescent="0.35">
      <c r="A19" s="94" t="s">
        <v>123</v>
      </c>
      <c r="B19" s="95">
        <f>$B$4</f>
        <v>10</v>
      </c>
      <c r="C19" s="96">
        <f>SUM(C15:C17)</f>
        <v>0</v>
      </c>
      <c r="D19" s="96">
        <f>IFERROR(ROUNDDOWN(C19/B19,0),"")</f>
        <v>0</v>
      </c>
      <c r="E19" s="97"/>
      <c r="F19" s="98">
        <f>IFERROR(C19-(D19*B19),"")</f>
        <v>0</v>
      </c>
    </row>
    <row r="20" spans="1:8" ht="17.25" thickBot="1" x14ac:dyDescent="0.35">
      <c r="A20" s="252"/>
      <c r="B20" s="252"/>
      <c r="C20" s="252"/>
      <c r="D20" s="252"/>
      <c r="E20" s="252"/>
      <c r="F20" s="252"/>
    </row>
    <row r="21" spans="1:8" ht="25.35" customHeight="1" x14ac:dyDescent="0.3">
      <c r="A21" s="149" t="s">
        <v>105</v>
      </c>
      <c r="B21" s="150">
        <f>$B$4</f>
        <v>10</v>
      </c>
      <c r="C21" s="151">
        <f>IFERROR(VLOOKUP(A21,신라명과피벗!A:HN,2,FALSE),0)</f>
        <v>0</v>
      </c>
      <c r="D21" s="152">
        <f>IFERROR(ROUNDDOWN(C21/B21,0),"")</f>
        <v>0</v>
      </c>
      <c r="E21" s="153" t="s">
        <v>108</v>
      </c>
      <c r="F21" s="155">
        <f>IFERROR(C21-(D21*B21),"")</f>
        <v>0</v>
      </c>
    </row>
    <row r="22" spans="1:8" ht="25.35" customHeight="1" x14ac:dyDescent="0.3">
      <c r="A22" s="49" t="s">
        <v>35</v>
      </c>
      <c r="B22" s="50">
        <f t="shared" ref="B22:B46" si="3">$B$4</f>
        <v>10</v>
      </c>
      <c r="C22" s="24">
        <f>IFERROR(VLOOKUP(A22,신라명과피벗!A:HN,2,FALSE),0)</f>
        <v>0</v>
      </c>
      <c r="D22" s="20">
        <f>IFERROR(ROUNDDOWN(C22/B22,0),"")</f>
        <v>0</v>
      </c>
      <c r="E22" s="51" t="s">
        <v>109</v>
      </c>
      <c r="F22" s="26">
        <f>IFERROR(C22-(D22*B22),"")</f>
        <v>0</v>
      </c>
    </row>
    <row r="23" spans="1:8" ht="26.25" x14ac:dyDescent="0.3">
      <c r="A23" s="47" t="s">
        <v>48</v>
      </c>
      <c r="B23" s="37">
        <f t="shared" si="3"/>
        <v>10</v>
      </c>
      <c r="C23" s="27">
        <f>IFERROR(VLOOKUP(A23,신라명과피벗!A:HN,2,FALSE),0)</f>
        <v>0</v>
      </c>
      <c r="D23" s="28">
        <f>IFERROR(ROUNDDOWN(C23/B23,0),"")</f>
        <v>0</v>
      </c>
      <c r="E23" s="36" t="s">
        <v>115</v>
      </c>
      <c r="F23" s="31">
        <f>IFERROR(C23-(D23*B23),"")</f>
        <v>0</v>
      </c>
    </row>
    <row r="24" spans="1:8" ht="26.25" x14ac:dyDescent="0.3">
      <c r="A24" s="49" t="s">
        <v>57</v>
      </c>
      <c r="B24" s="50">
        <f t="shared" si="3"/>
        <v>10</v>
      </c>
      <c r="C24" s="24">
        <f>IFERROR(VLOOKUP(A24,신라명과피벗!A:HN,2,FALSE),0)</f>
        <v>0</v>
      </c>
      <c r="D24" s="20">
        <f>IFERROR(ROUNDDOWN(C24/B24,0),"")</f>
        <v>0</v>
      </c>
      <c r="E24" s="51" t="s">
        <v>116</v>
      </c>
      <c r="F24" s="26">
        <f>IFERROR(C24-(D24*B24),"")</f>
        <v>0</v>
      </c>
    </row>
    <row r="25" spans="1:8" ht="25.35" customHeight="1" x14ac:dyDescent="0.3">
      <c r="A25" s="47" t="s">
        <v>59</v>
      </c>
      <c r="B25" s="37">
        <f t="shared" si="3"/>
        <v>10</v>
      </c>
      <c r="C25" s="27">
        <f>IFERROR(VLOOKUP(A25,신라명과피벗!A:HN,2,FALSE),0)</f>
        <v>0</v>
      </c>
      <c r="D25" s="28">
        <f>IFERROR(ROUNDDOWN(C25/B25,0),"")</f>
        <v>0</v>
      </c>
      <c r="E25" s="36" t="s">
        <v>117</v>
      </c>
      <c r="F25" s="31">
        <f>IFERROR(C25-(D25*B25),"")</f>
        <v>0</v>
      </c>
    </row>
    <row r="26" spans="1:8" ht="25.35" customHeight="1" x14ac:dyDescent="0.3">
      <c r="A26" s="52" t="s">
        <v>55</v>
      </c>
      <c r="B26" s="50">
        <f t="shared" si="3"/>
        <v>10</v>
      </c>
      <c r="C26" s="24">
        <f>IFERROR(VLOOKUP(A26,신라명과피벗!A:HN,2,FALSE),0)</f>
        <v>0</v>
      </c>
      <c r="D26" s="20">
        <f t="shared" ref="D26:D37" si="4">IFERROR(ROUNDDOWN(C26/B26,0),"")</f>
        <v>0</v>
      </c>
      <c r="E26" s="51" t="s">
        <v>21</v>
      </c>
      <c r="F26" s="26">
        <f t="shared" ref="F26:F37" si="5">IFERROR(C26-(D26*B26),"")</f>
        <v>0</v>
      </c>
    </row>
    <row r="27" spans="1:8" ht="25.35" customHeight="1" thickBot="1" x14ac:dyDescent="0.35">
      <c r="A27" s="46" t="s">
        <v>81</v>
      </c>
      <c r="B27" s="37">
        <f t="shared" si="3"/>
        <v>10</v>
      </c>
      <c r="C27" s="27">
        <f>IFERROR(VLOOKUP(A27,신라명과피벗!A:HN,2,FALSE),0)</f>
        <v>0</v>
      </c>
      <c r="D27" s="28">
        <f t="shared" si="4"/>
        <v>0</v>
      </c>
      <c r="E27" s="36" t="s">
        <v>96</v>
      </c>
      <c r="F27" s="31">
        <f t="shared" si="5"/>
        <v>0</v>
      </c>
    </row>
    <row r="28" spans="1:8" ht="27" thickBot="1" x14ac:dyDescent="0.35">
      <c r="A28" s="52" t="s">
        <v>82</v>
      </c>
      <c r="B28" s="50">
        <f t="shared" si="3"/>
        <v>10</v>
      </c>
      <c r="C28" s="24">
        <f>IFERROR(VLOOKUP(A28,신라명과피벗!A:HN,2,FALSE),0)</f>
        <v>0</v>
      </c>
      <c r="D28" s="20">
        <f t="shared" si="4"/>
        <v>0</v>
      </c>
      <c r="E28" s="51" t="s">
        <v>97</v>
      </c>
      <c r="F28" s="26">
        <f t="shared" si="5"/>
        <v>0</v>
      </c>
      <c r="G28" s="154">
        <f>IFERROR(ROUNDDOWN(SUM($F$29:$F$46)/$B$4,0),"")</f>
        <v>0</v>
      </c>
      <c r="H28" s="142">
        <f>IFERROR(SUM($F$29:$F$46)-($G$28*$B$4),"")</f>
        <v>0</v>
      </c>
    </row>
    <row r="29" spans="1:8" ht="25.35" customHeight="1" x14ac:dyDescent="0.3">
      <c r="A29" s="47" t="s">
        <v>101</v>
      </c>
      <c r="B29" s="37">
        <f t="shared" si="3"/>
        <v>10</v>
      </c>
      <c r="C29" s="27">
        <f>IFERROR(VLOOKUP(A29,신라명과피벗!A:HN,2,FALSE),0)</f>
        <v>0</v>
      </c>
      <c r="D29" s="28">
        <f>IFERROR(ROUNDDOWN(C29/B29,0),"")</f>
        <v>0</v>
      </c>
      <c r="E29" s="36" t="s">
        <v>99</v>
      </c>
      <c r="F29" s="31">
        <f>IFERROR(C29-(D29*B29),"")</f>
        <v>0</v>
      </c>
    </row>
    <row r="30" spans="1:8" ht="25.35" customHeight="1" x14ac:dyDescent="0.3">
      <c r="A30" s="49" t="s">
        <v>104</v>
      </c>
      <c r="B30" s="50">
        <f t="shared" si="3"/>
        <v>10</v>
      </c>
      <c r="C30" s="24">
        <f>IFERROR(VLOOKUP(A30,신라명과피벗!A:HN,2,FALSE),0)</f>
        <v>0</v>
      </c>
      <c r="D30" s="20">
        <f>IFERROR(ROUNDDOWN(C30/B30,0),"")</f>
        <v>0</v>
      </c>
      <c r="E30" s="51" t="s">
        <v>102</v>
      </c>
      <c r="F30" s="26">
        <f>IFERROR(C30-(D30*B30),"")</f>
        <v>0</v>
      </c>
    </row>
    <row r="31" spans="1:8" ht="25.35" customHeight="1" x14ac:dyDescent="0.3">
      <c r="A31" s="47" t="s">
        <v>58</v>
      </c>
      <c r="B31" s="37">
        <f t="shared" si="3"/>
        <v>10</v>
      </c>
      <c r="C31" s="27">
        <f>IFERROR(VLOOKUP(A31,신라명과피벗!A:HN,2,FALSE),0)</f>
        <v>0</v>
      </c>
      <c r="D31" s="28">
        <f t="shared" si="4"/>
        <v>0</v>
      </c>
      <c r="E31" s="36" t="s">
        <v>11</v>
      </c>
      <c r="F31" s="31">
        <f t="shared" si="5"/>
        <v>0</v>
      </c>
    </row>
    <row r="32" spans="1:8" ht="25.35" customHeight="1" x14ac:dyDescent="0.3">
      <c r="A32" s="49" t="s">
        <v>53</v>
      </c>
      <c r="B32" s="50">
        <f t="shared" si="3"/>
        <v>10</v>
      </c>
      <c r="C32" s="24">
        <f>IFERROR(VLOOKUP(A32,신라명과피벗!A:HN,2,FALSE),0)</f>
        <v>0</v>
      </c>
      <c r="D32" s="20">
        <f t="shared" si="4"/>
        <v>0</v>
      </c>
      <c r="E32" s="51" t="s">
        <v>6</v>
      </c>
      <c r="F32" s="26">
        <f t="shared" si="5"/>
        <v>0</v>
      </c>
    </row>
    <row r="33" spans="1:8" ht="25.35" customHeight="1" x14ac:dyDescent="0.3">
      <c r="A33" s="47" t="s">
        <v>71</v>
      </c>
      <c r="B33" s="37">
        <f t="shared" si="3"/>
        <v>10</v>
      </c>
      <c r="C33" s="27">
        <f>IFERROR(VLOOKUP(A33,신라명과피벗!A:HN,2,FALSE),0)</f>
        <v>0</v>
      </c>
      <c r="D33" s="28">
        <f t="shared" si="4"/>
        <v>0</v>
      </c>
      <c r="E33" s="36" t="s">
        <v>70</v>
      </c>
      <c r="F33" s="31">
        <f t="shared" si="5"/>
        <v>0</v>
      </c>
    </row>
    <row r="34" spans="1:8" ht="25.35" customHeight="1" thickBot="1" x14ac:dyDescent="0.35">
      <c r="A34" s="49" t="s">
        <v>51</v>
      </c>
      <c r="B34" s="50">
        <f t="shared" si="3"/>
        <v>10</v>
      </c>
      <c r="C34" s="24">
        <f>IFERROR(VLOOKUP(A34,신라명과피벗!A:HN,2,FALSE),0)</f>
        <v>0</v>
      </c>
      <c r="D34" s="20">
        <f t="shared" si="4"/>
        <v>0</v>
      </c>
      <c r="E34" s="51" t="s">
        <v>7</v>
      </c>
      <c r="F34" s="26">
        <f t="shared" si="5"/>
        <v>0</v>
      </c>
    </row>
    <row r="35" spans="1:8" ht="25.35" customHeight="1" thickBot="1" x14ac:dyDescent="0.35">
      <c r="A35" s="47" t="s">
        <v>37</v>
      </c>
      <c r="B35" s="37">
        <f t="shared" si="3"/>
        <v>10</v>
      </c>
      <c r="C35" s="27">
        <f>IFERROR(VLOOKUP(A35,신라명과피벗!A:HN,2,FALSE),0)</f>
        <v>0</v>
      </c>
      <c r="D35" s="28">
        <f t="shared" si="4"/>
        <v>0</v>
      </c>
      <c r="E35" s="36" t="s">
        <v>12</v>
      </c>
      <c r="F35" s="31">
        <f t="shared" si="5"/>
        <v>0</v>
      </c>
      <c r="G35" s="154">
        <f>IFERROR(ROUNDDOWN(SUM($F$36:$F$46)/$B$4,0),"")</f>
        <v>0</v>
      </c>
      <c r="H35" s="142">
        <f>IFERROR(SUM($F$36:$F$46)-($G$35*$B$4),"")</f>
        <v>0</v>
      </c>
    </row>
    <row r="36" spans="1:8" ht="25.35" customHeight="1" x14ac:dyDescent="0.3">
      <c r="A36" s="49" t="s">
        <v>54</v>
      </c>
      <c r="B36" s="50">
        <f t="shared" si="3"/>
        <v>10</v>
      </c>
      <c r="C36" s="24">
        <f>IFERROR(VLOOKUP(A36,신라명과피벗!A:HN,2,FALSE),0)</f>
        <v>0</v>
      </c>
      <c r="D36" s="20">
        <f t="shared" si="4"/>
        <v>0</v>
      </c>
      <c r="E36" s="51" t="s">
        <v>8</v>
      </c>
      <c r="F36" s="26">
        <f t="shared" si="5"/>
        <v>0</v>
      </c>
    </row>
    <row r="37" spans="1:8" ht="26.25" x14ac:dyDescent="0.3">
      <c r="A37" s="47" t="s">
        <v>60</v>
      </c>
      <c r="B37" s="37">
        <f t="shared" si="3"/>
        <v>10</v>
      </c>
      <c r="C37" s="27">
        <f>IFERROR(VLOOKUP(A37,신라명과피벗!A:HN,2,FALSE),0)</f>
        <v>0</v>
      </c>
      <c r="D37" s="28">
        <f t="shared" si="4"/>
        <v>0</v>
      </c>
      <c r="E37" s="36" t="s">
        <v>9</v>
      </c>
      <c r="F37" s="31">
        <f t="shared" si="5"/>
        <v>0</v>
      </c>
    </row>
    <row r="38" spans="1:8" ht="26.25" x14ac:dyDescent="0.3">
      <c r="A38" s="49" t="s">
        <v>40</v>
      </c>
      <c r="B38" s="50">
        <f t="shared" si="3"/>
        <v>10</v>
      </c>
      <c r="C38" s="24">
        <f>IFERROR(VLOOKUP(A38,신라명과피벗!A:HN,2,FALSE),0)</f>
        <v>0</v>
      </c>
      <c r="D38" s="20">
        <f t="shared" ref="D38:D46" si="6">IFERROR(ROUNDDOWN(C38/B38,0),"")</f>
        <v>0</v>
      </c>
      <c r="E38" s="51" t="s">
        <v>16</v>
      </c>
      <c r="F38" s="26">
        <f t="shared" ref="F38:F46" si="7">IFERROR(C38-(D38*B38),"")</f>
        <v>0</v>
      </c>
    </row>
    <row r="39" spans="1:8" ht="25.35" customHeight="1" x14ac:dyDescent="0.3">
      <c r="A39" s="47" t="s">
        <v>38</v>
      </c>
      <c r="B39" s="37">
        <f t="shared" si="3"/>
        <v>10</v>
      </c>
      <c r="C39" s="27">
        <f>IFERROR(VLOOKUP(A39,신라명과피벗!A:HN,2,FALSE),0)</f>
        <v>0</v>
      </c>
      <c r="D39" s="28">
        <f t="shared" si="6"/>
        <v>0</v>
      </c>
      <c r="E39" s="36" t="s">
        <v>24</v>
      </c>
      <c r="F39" s="31">
        <f t="shared" si="7"/>
        <v>0</v>
      </c>
    </row>
    <row r="40" spans="1:8" ht="27" thickBot="1" x14ac:dyDescent="0.35">
      <c r="A40" s="49" t="s">
        <v>45</v>
      </c>
      <c r="B40" s="50">
        <f t="shared" si="3"/>
        <v>10</v>
      </c>
      <c r="C40" s="24">
        <f>IFERROR(VLOOKUP(A40,신라명과피벗!A:HN,2,FALSE),0)</f>
        <v>0</v>
      </c>
      <c r="D40" s="20">
        <f t="shared" si="6"/>
        <v>0</v>
      </c>
      <c r="E40" s="51" t="s">
        <v>19</v>
      </c>
      <c r="F40" s="26">
        <f t="shared" si="7"/>
        <v>0</v>
      </c>
    </row>
    <row r="41" spans="1:8" ht="25.35" customHeight="1" thickBot="1" x14ac:dyDescent="0.35">
      <c r="A41" s="47" t="s">
        <v>39</v>
      </c>
      <c r="B41" s="37">
        <f t="shared" si="3"/>
        <v>10</v>
      </c>
      <c r="C41" s="27">
        <f>IFERROR(VLOOKUP(A41,신라명과피벗!A:HN,2,FALSE),0)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154">
        <f>IFERROR(ROUNDDOWN(SUM($F$42:$F$46)/$B$4,0),"")</f>
        <v>0</v>
      </c>
      <c r="H41" s="142">
        <f>IFERROR(SUM($F$42:$F$46)-($G$41*$B$4),"")</f>
        <v>0</v>
      </c>
    </row>
    <row r="42" spans="1:8" ht="25.35" customHeight="1" x14ac:dyDescent="0.3">
      <c r="A42" s="52" t="s">
        <v>85</v>
      </c>
      <c r="B42" s="50">
        <f t="shared" si="3"/>
        <v>10</v>
      </c>
      <c r="C42" s="24">
        <f>IFERROR(VLOOKUP(A42,신라명과피벗!A:HN,2,FALSE),0)</f>
        <v>0</v>
      </c>
      <c r="D42" s="20">
        <f t="shared" si="6"/>
        <v>0</v>
      </c>
      <c r="E42" s="51" t="s">
        <v>25</v>
      </c>
      <c r="F42" s="26">
        <f t="shared" si="7"/>
        <v>0</v>
      </c>
    </row>
    <row r="43" spans="1:8" ht="25.35" customHeight="1" x14ac:dyDescent="0.3">
      <c r="A43" s="46" t="s">
        <v>86</v>
      </c>
      <c r="B43" s="37">
        <f t="shared" si="3"/>
        <v>10</v>
      </c>
      <c r="C43" s="27">
        <f>IFERROR(VLOOKUP(A43,신라명과피벗!A:HN,2,FALSE),0)</f>
        <v>0</v>
      </c>
      <c r="D43" s="28">
        <f t="shared" si="6"/>
        <v>0</v>
      </c>
      <c r="E43" s="36" t="s">
        <v>72</v>
      </c>
      <c r="F43" s="31">
        <f t="shared" si="7"/>
        <v>0</v>
      </c>
    </row>
    <row r="44" spans="1:8" ht="25.35" customHeight="1" x14ac:dyDescent="0.3">
      <c r="A44" s="49" t="s">
        <v>75</v>
      </c>
      <c r="B44" s="50">
        <f t="shared" si="3"/>
        <v>10</v>
      </c>
      <c r="C44" s="24">
        <f>IFERROR(VLOOKUP(A44,신라명과피벗!A:HN,2,FALSE),0)</f>
        <v>0</v>
      </c>
      <c r="D44" s="20">
        <f t="shared" si="6"/>
        <v>0</v>
      </c>
      <c r="E44" s="51" t="s">
        <v>78</v>
      </c>
      <c r="F44" s="26">
        <f t="shared" si="7"/>
        <v>0</v>
      </c>
    </row>
    <row r="45" spans="1:8" ht="24.75" customHeight="1" x14ac:dyDescent="0.3">
      <c r="A45" s="47" t="s">
        <v>76</v>
      </c>
      <c r="B45" s="37">
        <f t="shared" si="3"/>
        <v>10</v>
      </c>
      <c r="C45" s="27">
        <f>IFERROR(VLOOKUP(A45,신라명과피벗!A:HN,2,FALSE),0)</f>
        <v>0</v>
      </c>
      <c r="D45" s="28">
        <f t="shared" si="6"/>
        <v>0</v>
      </c>
      <c r="E45" s="36" t="s">
        <v>79</v>
      </c>
      <c r="F45" s="31">
        <f t="shared" si="7"/>
        <v>0</v>
      </c>
    </row>
    <row r="46" spans="1:8" ht="25.35" customHeight="1" thickBot="1" x14ac:dyDescent="0.35">
      <c r="A46" s="156" t="s">
        <v>77</v>
      </c>
      <c r="B46" s="161">
        <f t="shared" si="3"/>
        <v>10</v>
      </c>
      <c r="C46" s="157">
        <f>IFERROR(VLOOKUP(A46,신라명과피벗!A:HN,2,FALSE),0)</f>
        <v>0</v>
      </c>
      <c r="D46" s="158">
        <f t="shared" si="6"/>
        <v>0</v>
      </c>
      <c r="E46" s="159" t="s">
        <v>80</v>
      </c>
      <c r="F46" s="160">
        <f t="shared" si="7"/>
        <v>0</v>
      </c>
    </row>
    <row r="47" spans="1:8" ht="4.5" customHeight="1" thickBot="1" x14ac:dyDescent="0.35">
      <c r="A47" s="260"/>
      <c r="B47" s="261"/>
      <c r="C47" s="261"/>
      <c r="D47" s="261"/>
      <c r="E47" s="261"/>
      <c r="F47" s="262"/>
    </row>
    <row r="48" spans="1:8" ht="25.35" customHeight="1" thickBot="1" x14ac:dyDescent="0.35">
      <c r="A48" s="137" t="s">
        <v>122</v>
      </c>
      <c r="B48" s="138">
        <f>B21</f>
        <v>10</v>
      </c>
      <c r="C48" s="139">
        <f>SUM($C$21:$C$46)</f>
        <v>0</v>
      </c>
      <c r="D48" s="139">
        <f>IFERROR(ROUNDDOWN(C48/B48,0),"")</f>
        <v>0</v>
      </c>
      <c r="E48" s="140"/>
      <c r="F48" s="141">
        <f>IFERROR(C48-(D48*B48),"")</f>
        <v>0</v>
      </c>
    </row>
    <row r="49" spans="1:8" ht="17.25" thickBot="1" x14ac:dyDescent="0.35">
      <c r="A49" s="252"/>
      <c r="B49" s="252"/>
      <c r="C49" s="252"/>
      <c r="D49" s="252"/>
      <c r="E49" s="252"/>
      <c r="F49" s="252"/>
    </row>
    <row r="50" spans="1:8" ht="27" thickBot="1" x14ac:dyDescent="0.35">
      <c r="A50" s="99" t="s">
        <v>3</v>
      </c>
      <c r="B50" s="100">
        <f>$B$4</f>
        <v>10</v>
      </c>
      <c r="C50" s="101">
        <f>SUM($C$13,$C$48,$C$19)</f>
        <v>0</v>
      </c>
      <c r="D50" s="101">
        <f>IFERROR(ROUNDDOWN(C50/B50,0),"")</f>
        <v>0</v>
      </c>
      <c r="E50" s="102"/>
      <c r="F50" s="143">
        <f>IFERROR(C50-(D50*B50),"")</f>
        <v>0</v>
      </c>
      <c r="G50" s="145" t="s">
        <v>110</v>
      </c>
      <c r="H50" s="145" t="s">
        <v>111</v>
      </c>
    </row>
    <row r="51" spans="1:8" ht="23.25" customHeight="1" thickBot="1" x14ac:dyDescent="0.35">
      <c r="A51" s="81" t="s">
        <v>36</v>
      </c>
      <c r="B51" s="82"/>
      <c r="C51" s="83"/>
      <c r="D51" s="84">
        <f>SUM($D$4:$D$11,$D$21:$D$46,$D$19)</f>
        <v>0</v>
      </c>
      <c r="E51" s="85"/>
      <c r="F51" s="144">
        <f>SUM($F$4:$F$11,$F$21:$F$46,$F$15:$F$18)</f>
        <v>0</v>
      </c>
      <c r="G51" s="145">
        <f>IFERROR(ROUNDDOWN($F$51/$B$4,0),"")</f>
        <v>0</v>
      </c>
      <c r="H51" s="145">
        <f>IFERROR($F$51-($G$51*$B$4),"")</f>
        <v>0</v>
      </c>
    </row>
    <row r="52" spans="1:8" ht="5.25" customHeight="1" x14ac:dyDescent="0.3"/>
  </sheetData>
  <mergeCells count="8">
    <mergeCell ref="A49:F49"/>
    <mergeCell ref="A1:F1"/>
    <mergeCell ref="B2:F2"/>
    <mergeCell ref="A12:F12"/>
    <mergeCell ref="A14:F14"/>
    <mergeCell ref="A47:F47"/>
    <mergeCell ref="A18:F18"/>
    <mergeCell ref="A20:F20"/>
  </mergeCells>
  <phoneticPr fontId="13" type="noConversion"/>
  <printOptions horizontalCentered="1" verticalCentered="1"/>
  <pageMargins left="0.2" right="0.19680555164813995" top="0.19680555164813995" bottom="0.19680555164813995" header="0.19680555164813995" footer="0.19680555164813995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5" tint="0.59999389629810485"/>
  </sheetPr>
  <dimension ref="A1:SH40"/>
  <sheetViews>
    <sheetView zoomScale="40" zoomScaleNormal="40" zoomScaleSheetLayoutView="75" workbookViewId="0">
      <selection activeCell="M18" sqref="M18"/>
    </sheetView>
  </sheetViews>
  <sheetFormatPr defaultColWidth="9" defaultRowHeight="15" customHeight="1" x14ac:dyDescent="0.3"/>
  <cols>
    <col min="1" max="14" width="37.625" style="34" customWidth="1"/>
    <col min="15" max="16" width="18.375" style="34" customWidth="1"/>
    <col min="17" max="17" width="27.625" style="34" bestFit="1" customWidth="1"/>
    <col min="18" max="19" width="18.375" style="34" customWidth="1"/>
    <col min="20" max="20" width="27.625" style="34" bestFit="1" customWidth="1"/>
    <col min="21" max="21" width="18.375" style="34" customWidth="1"/>
    <col min="22" max="22" width="25.375" style="34" bestFit="1" customWidth="1"/>
    <col min="23" max="23" width="21" style="34" bestFit="1" customWidth="1"/>
    <col min="24" max="24" width="27.625" style="34" bestFit="1" customWidth="1"/>
    <col min="25" max="25" width="18.375" style="34" customWidth="1"/>
    <col min="26" max="26" width="27.625" style="34" bestFit="1" customWidth="1"/>
    <col min="27" max="380" width="30.375" style="34" customWidth="1"/>
    <col min="381" max="382" width="21.25" style="34" customWidth="1"/>
    <col min="383" max="398" width="20.5" style="34" customWidth="1"/>
    <col min="399" max="399" width="21" style="34" bestFit="1" customWidth="1"/>
    <col min="400" max="400" width="25.125" style="34" bestFit="1" customWidth="1"/>
    <col min="401" max="401" width="23" style="34" bestFit="1" customWidth="1"/>
    <col min="402" max="402" width="33.375" style="34" bestFit="1" customWidth="1"/>
    <col min="403" max="403" width="25.125" style="34" bestFit="1" customWidth="1"/>
    <col min="404" max="404" width="28.875" style="34" bestFit="1" customWidth="1"/>
    <col min="405" max="405" width="23" style="34" bestFit="1" customWidth="1"/>
    <col min="406" max="406" width="18.875" style="34" customWidth="1"/>
    <col min="407" max="407" width="23" style="34" bestFit="1" customWidth="1"/>
    <col min="408" max="408" width="25.125" style="34" bestFit="1" customWidth="1"/>
    <col min="409" max="409" width="18.875" style="34" customWidth="1"/>
    <col min="410" max="410" width="19.125" style="34" customWidth="1"/>
    <col min="411" max="411" width="18.125" style="34" customWidth="1"/>
    <col min="412" max="412" width="18.875" style="34" customWidth="1"/>
    <col min="413" max="413" width="26.625" style="34" customWidth="1"/>
    <col min="414" max="414" width="22.125" style="34" customWidth="1"/>
    <col min="415" max="415" width="24.125" style="34" customWidth="1"/>
    <col min="416" max="416" width="21.375" style="34" customWidth="1"/>
    <col min="417" max="417" width="19.375" style="34" customWidth="1"/>
    <col min="418" max="418" width="20" style="34" customWidth="1"/>
    <col min="419" max="419" width="23.25" style="34" customWidth="1"/>
    <col min="420" max="420" width="18" style="34" customWidth="1"/>
    <col min="421" max="451" width="19" style="34" customWidth="1"/>
    <col min="452" max="456" width="20.25" style="34" customWidth="1"/>
    <col min="457" max="457" width="17.25" style="34" customWidth="1"/>
    <col min="458" max="458" width="17.75" style="34" customWidth="1"/>
    <col min="459" max="459" width="16.5" style="34" customWidth="1"/>
    <col min="460" max="462" width="21" style="34" customWidth="1"/>
    <col min="463" max="463" width="18.5" style="34" customWidth="1"/>
    <col min="464" max="468" width="21" style="34" customWidth="1"/>
    <col min="469" max="469" width="15.125" style="34" customWidth="1"/>
    <col min="470" max="485" width="21" style="34" customWidth="1"/>
    <col min="486" max="486" width="24.25" style="34" customWidth="1"/>
    <col min="487" max="487" width="18.875" style="34" bestFit="1" customWidth="1"/>
    <col min="488" max="488" width="21" style="34" bestFit="1" customWidth="1"/>
    <col min="489" max="489" width="23" style="38" bestFit="1" customWidth="1"/>
    <col min="490" max="490" width="8.625" style="38" bestFit="1" customWidth="1"/>
    <col min="491" max="491" width="21" style="38" bestFit="1" customWidth="1"/>
    <col min="492" max="492" width="23" style="38" bestFit="1" customWidth="1"/>
    <col min="493" max="493" width="8.625" style="38" bestFit="1" customWidth="1"/>
    <col min="494" max="494" width="22.875" style="34" customWidth="1"/>
    <col min="495" max="501" width="20.875" style="38" customWidth="1"/>
    <col min="502" max="502" width="23.25" style="38" customWidth="1"/>
    <col min="503" max="16384" width="9" style="34"/>
  </cols>
  <sheetData>
    <row r="1" spans="1:494" s="38" customFormat="1" ht="30" customHeight="1" x14ac:dyDescent="0.3">
      <c r="A1" s="62" t="s">
        <v>351</v>
      </c>
      <c r="B1" s="62"/>
      <c r="C1" s="62"/>
      <c r="D1" s="62" t="s">
        <v>89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2"/>
      <c r="AB1" s="2"/>
      <c r="AC1" s="2"/>
      <c r="AD1" s="2"/>
      <c r="AE1" s="2"/>
      <c r="AF1" s="2"/>
      <c r="AG1" s="2"/>
      <c r="AH1" s="2"/>
      <c r="AI1" s="29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32"/>
      <c r="LY1" s="23"/>
      <c r="LZ1" s="23"/>
      <c r="MA1" s="23"/>
      <c r="MB1" s="23"/>
      <c r="MC1" s="32"/>
      <c r="MD1" s="32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32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32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32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</row>
    <row r="2" spans="1:494" s="38" customFormat="1" ht="30" customHeight="1" x14ac:dyDescent="0.3">
      <c r="A2" s="53" t="s">
        <v>67</v>
      </c>
      <c r="B2" s="53"/>
      <c r="C2" s="53"/>
      <c r="D2" s="53" t="s">
        <v>348</v>
      </c>
      <c r="E2" s="53" t="s">
        <v>343</v>
      </c>
      <c r="F2" s="53" t="s">
        <v>316</v>
      </c>
      <c r="G2" s="53" t="s">
        <v>271</v>
      </c>
      <c r="H2" s="53" t="s">
        <v>339</v>
      </c>
      <c r="I2" s="53" t="s">
        <v>272</v>
      </c>
      <c r="J2" s="53" t="s">
        <v>304</v>
      </c>
      <c r="K2" s="53" t="s">
        <v>273</v>
      </c>
      <c r="L2" s="53" t="s">
        <v>274</v>
      </c>
      <c r="M2" s="53" t="s">
        <v>3</v>
      </c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</row>
    <row r="3" spans="1:494" s="38" customFormat="1" ht="30" customHeight="1" x14ac:dyDescent="0.3">
      <c r="A3" s="34" t="s">
        <v>267</v>
      </c>
      <c r="B3" s="34"/>
      <c r="C3" s="34"/>
      <c r="D3" s="34"/>
      <c r="E3" s="34">
        <v>2</v>
      </c>
      <c r="F3" s="34">
        <v>1</v>
      </c>
      <c r="G3" s="34">
        <v>4</v>
      </c>
      <c r="H3" s="34">
        <v>13</v>
      </c>
      <c r="I3" s="34">
        <v>14</v>
      </c>
      <c r="J3" s="34">
        <v>11</v>
      </c>
      <c r="K3" s="34">
        <v>1</v>
      </c>
      <c r="L3" s="34">
        <v>1</v>
      </c>
      <c r="M3" s="34">
        <v>47</v>
      </c>
      <c r="N3" s="34"/>
      <c r="O3" s="58" t="s">
        <v>267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</row>
    <row r="4" spans="1:494" s="38" customFormat="1" ht="30" customHeight="1" x14ac:dyDescent="0.3">
      <c r="A4" s="34" t="s">
        <v>266</v>
      </c>
      <c r="B4" s="34"/>
      <c r="C4" s="34"/>
      <c r="D4" s="34"/>
      <c r="E4" s="34"/>
      <c r="F4" s="34"/>
      <c r="G4" s="34">
        <v>5</v>
      </c>
      <c r="H4" s="34">
        <v>6</v>
      </c>
      <c r="I4" s="34">
        <v>8</v>
      </c>
      <c r="J4" s="34">
        <v>8</v>
      </c>
      <c r="K4" s="34">
        <v>1</v>
      </c>
      <c r="L4" s="34">
        <v>2</v>
      </c>
      <c r="M4" s="34">
        <v>30</v>
      </c>
      <c r="N4" s="34"/>
      <c r="O4" s="58" t="s">
        <v>266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</row>
    <row r="5" spans="1:494" s="38" customFormat="1" ht="30" customHeight="1" x14ac:dyDescent="0.3">
      <c r="A5" s="34" t="s">
        <v>264</v>
      </c>
      <c r="B5" s="34"/>
      <c r="C5" s="34"/>
      <c r="D5" s="34"/>
      <c r="E5" s="34"/>
      <c r="F5" s="34"/>
      <c r="G5" s="34">
        <v>16</v>
      </c>
      <c r="H5" s="34">
        <v>18</v>
      </c>
      <c r="I5" s="34">
        <v>19</v>
      </c>
      <c r="J5" s="34">
        <v>17</v>
      </c>
      <c r="K5" s="34">
        <v>4</v>
      </c>
      <c r="L5" s="34">
        <v>3</v>
      </c>
      <c r="M5" s="34">
        <v>77</v>
      </c>
      <c r="N5" s="34"/>
      <c r="O5" s="58" t="s">
        <v>264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</row>
    <row r="6" spans="1:494" s="38" customFormat="1" ht="30" customHeight="1" x14ac:dyDescent="0.3">
      <c r="A6" s="34" t="s">
        <v>262</v>
      </c>
      <c r="B6" s="34"/>
      <c r="C6" s="34"/>
      <c r="D6" s="34"/>
      <c r="E6" s="34"/>
      <c r="F6" s="34"/>
      <c r="G6" s="34">
        <v>5</v>
      </c>
      <c r="H6" s="34">
        <v>5</v>
      </c>
      <c r="I6" s="34">
        <v>13</v>
      </c>
      <c r="J6" s="34">
        <v>10</v>
      </c>
      <c r="K6" s="34"/>
      <c r="L6" s="34">
        <v>1</v>
      </c>
      <c r="M6" s="34">
        <v>34</v>
      </c>
      <c r="N6" s="34"/>
      <c r="O6" s="58" t="s">
        <v>262</v>
      </c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</row>
    <row r="7" spans="1:494" s="38" customFormat="1" ht="30" customHeight="1" x14ac:dyDescent="0.3">
      <c r="A7" s="34" t="s">
        <v>249</v>
      </c>
      <c r="B7" s="34"/>
      <c r="C7" s="34"/>
      <c r="D7" s="34"/>
      <c r="E7" s="34"/>
      <c r="F7" s="34"/>
      <c r="G7" s="34">
        <v>13</v>
      </c>
      <c r="H7" s="34">
        <v>34</v>
      </c>
      <c r="I7" s="34">
        <v>19</v>
      </c>
      <c r="J7" s="34">
        <v>28</v>
      </c>
      <c r="K7" s="34">
        <v>12</v>
      </c>
      <c r="L7" s="34">
        <v>9</v>
      </c>
      <c r="M7" s="34">
        <v>115</v>
      </c>
      <c r="N7" s="34"/>
      <c r="O7" s="58" t="s">
        <v>249</v>
      </c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</row>
    <row r="8" spans="1:494" s="38" customFormat="1" ht="30" customHeight="1" x14ac:dyDescent="0.3">
      <c r="A8" s="34" t="s">
        <v>252</v>
      </c>
      <c r="B8" s="34"/>
      <c r="C8" s="34"/>
      <c r="D8" s="34"/>
      <c r="E8" s="34"/>
      <c r="F8" s="34"/>
      <c r="G8" s="34">
        <v>27</v>
      </c>
      <c r="H8" s="34">
        <v>39</v>
      </c>
      <c r="I8" s="34">
        <v>45</v>
      </c>
      <c r="J8" s="34">
        <v>36</v>
      </c>
      <c r="K8" s="34">
        <v>13</v>
      </c>
      <c r="L8" s="34">
        <v>19</v>
      </c>
      <c r="M8" s="34">
        <v>179</v>
      </c>
      <c r="N8" s="34"/>
      <c r="O8" s="58" t="s">
        <v>252</v>
      </c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</row>
    <row r="9" spans="1:494" s="38" customFormat="1" ht="30" customHeight="1" x14ac:dyDescent="0.3">
      <c r="A9" s="34" t="s">
        <v>248</v>
      </c>
      <c r="B9" s="34"/>
      <c r="C9" s="34"/>
      <c r="D9" s="34"/>
      <c r="E9" s="34"/>
      <c r="F9" s="34"/>
      <c r="G9" s="34">
        <v>14</v>
      </c>
      <c r="H9" s="34">
        <v>19</v>
      </c>
      <c r="I9" s="34">
        <v>29</v>
      </c>
      <c r="J9" s="34">
        <v>20</v>
      </c>
      <c r="K9" s="34">
        <v>9</v>
      </c>
      <c r="L9" s="34">
        <v>4</v>
      </c>
      <c r="M9" s="34">
        <v>95</v>
      </c>
      <c r="N9" s="34"/>
      <c r="O9" s="58" t="s">
        <v>248</v>
      </c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</row>
    <row r="10" spans="1:494" s="38" customFormat="1" ht="30" customHeight="1" x14ac:dyDescent="0.3">
      <c r="A10" s="34" t="s">
        <v>263</v>
      </c>
      <c r="B10" s="34"/>
      <c r="C10" s="34"/>
      <c r="D10" s="34"/>
      <c r="E10" s="34"/>
      <c r="F10" s="34"/>
      <c r="G10" s="34">
        <v>11</v>
      </c>
      <c r="H10" s="34">
        <v>13</v>
      </c>
      <c r="I10" s="34">
        <v>14</v>
      </c>
      <c r="J10" s="34">
        <v>14</v>
      </c>
      <c r="K10" s="34">
        <v>2</v>
      </c>
      <c r="L10" s="34"/>
      <c r="M10" s="34">
        <v>54</v>
      </c>
      <c r="N10" s="34"/>
      <c r="O10" s="58" t="s">
        <v>263</v>
      </c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OL10" s="63"/>
    </row>
    <row r="11" spans="1:494" s="38" customFormat="1" ht="30" customHeight="1" x14ac:dyDescent="0.3">
      <c r="A11" s="34" t="s">
        <v>254</v>
      </c>
      <c r="B11" s="34"/>
      <c r="C11" s="34"/>
      <c r="D11" s="34"/>
      <c r="E11" s="34"/>
      <c r="F11" s="34"/>
      <c r="G11" s="34">
        <v>33</v>
      </c>
      <c r="H11" s="34">
        <v>43</v>
      </c>
      <c r="I11" s="34">
        <v>67</v>
      </c>
      <c r="J11" s="34">
        <v>57</v>
      </c>
      <c r="K11" s="34">
        <v>21</v>
      </c>
      <c r="L11" s="34">
        <v>20</v>
      </c>
      <c r="M11" s="34">
        <v>241</v>
      </c>
      <c r="N11" s="34"/>
      <c r="O11" s="58" t="s">
        <v>254</v>
      </c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OI11" s="64"/>
      <c r="OL11" s="63"/>
    </row>
    <row r="12" spans="1:494" s="38" customFormat="1" ht="30" customHeight="1" x14ac:dyDescent="0.3">
      <c r="A12" s="34" t="s">
        <v>253</v>
      </c>
      <c r="B12" s="34"/>
      <c r="C12" s="34"/>
      <c r="D12" s="34">
        <v>1</v>
      </c>
      <c r="E12" s="34"/>
      <c r="F12" s="34"/>
      <c r="G12" s="34">
        <v>30</v>
      </c>
      <c r="H12" s="34">
        <v>46</v>
      </c>
      <c r="I12" s="34">
        <v>44</v>
      </c>
      <c r="J12" s="34">
        <v>51</v>
      </c>
      <c r="K12" s="34">
        <v>22</v>
      </c>
      <c r="L12" s="34">
        <v>23</v>
      </c>
      <c r="M12" s="34">
        <v>217</v>
      </c>
      <c r="N12" s="34"/>
      <c r="O12" s="58" t="s">
        <v>253</v>
      </c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OI12" s="64"/>
      <c r="OL12" s="63"/>
    </row>
    <row r="13" spans="1:494" s="38" customFormat="1" ht="30" customHeight="1" x14ac:dyDescent="0.3">
      <c r="A13" s="34" t="s">
        <v>255</v>
      </c>
      <c r="B13" s="34"/>
      <c r="C13" s="34"/>
      <c r="D13" s="34"/>
      <c r="E13" s="34"/>
      <c r="F13" s="34"/>
      <c r="G13" s="34">
        <v>16</v>
      </c>
      <c r="H13" s="34">
        <v>25</v>
      </c>
      <c r="I13" s="34">
        <v>25</v>
      </c>
      <c r="J13" s="34">
        <v>24</v>
      </c>
      <c r="K13" s="34">
        <v>6</v>
      </c>
      <c r="L13" s="34">
        <v>11</v>
      </c>
      <c r="M13" s="34">
        <v>107</v>
      </c>
      <c r="N13" s="34"/>
      <c r="O13" s="58" t="s">
        <v>255</v>
      </c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OL13" s="63"/>
    </row>
    <row r="14" spans="1:494" s="38" customFormat="1" ht="30" customHeight="1" x14ac:dyDescent="0.3">
      <c r="A14" s="34" t="s">
        <v>250</v>
      </c>
      <c r="B14" s="34"/>
      <c r="C14" s="34"/>
      <c r="D14" s="34"/>
      <c r="E14" s="34"/>
      <c r="F14" s="34"/>
      <c r="G14" s="34">
        <v>35</v>
      </c>
      <c r="H14" s="34">
        <v>36</v>
      </c>
      <c r="I14" s="34">
        <v>44</v>
      </c>
      <c r="J14" s="34">
        <v>36</v>
      </c>
      <c r="K14" s="34">
        <v>14</v>
      </c>
      <c r="L14" s="34">
        <v>6</v>
      </c>
      <c r="M14" s="34">
        <v>171</v>
      </c>
      <c r="N14" s="34"/>
      <c r="O14" s="58" t="s">
        <v>250</v>
      </c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OL14" s="63"/>
    </row>
    <row r="15" spans="1:494" s="38" customFormat="1" ht="30" customHeight="1" x14ac:dyDescent="0.3">
      <c r="A15" s="34" t="s">
        <v>268</v>
      </c>
      <c r="B15" s="34"/>
      <c r="C15" s="34"/>
      <c r="D15" s="34"/>
      <c r="E15" s="34"/>
      <c r="F15" s="34"/>
      <c r="G15" s="34">
        <v>6</v>
      </c>
      <c r="H15" s="34">
        <v>9</v>
      </c>
      <c r="I15" s="34">
        <v>5</v>
      </c>
      <c r="J15" s="34">
        <v>11</v>
      </c>
      <c r="K15" s="34">
        <v>3</v>
      </c>
      <c r="L15" s="34"/>
      <c r="M15" s="34">
        <v>34</v>
      </c>
      <c r="N15" s="34"/>
      <c r="O15" s="58" t="s">
        <v>268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</row>
    <row r="16" spans="1:494" s="38" customFormat="1" ht="30" customHeight="1" x14ac:dyDescent="0.3">
      <c r="A16" s="34" t="s">
        <v>265</v>
      </c>
      <c r="B16" s="34"/>
      <c r="C16" s="34"/>
      <c r="D16" s="34"/>
      <c r="E16" s="34"/>
      <c r="F16" s="34"/>
      <c r="G16" s="34">
        <v>13</v>
      </c>
      <c r="H16" s="34">
        <v>20</v>
      </c>
      <c r="I16" s="34">
        <v>11</v>
      </c>
      <c r="J16" s="34">
        <v>22</v>
      </c>
      <c r="K16" s="34">
        <v>7</v>
      </c>
      <c r="L16" s="34">
        <v>5</v>
      </c>
      <c r="M16" s="34">
        <v>78</v>
      </c>
      <c r="N16" s="34"/>
      <c r="O16" s="58" t="s">
        <v>265</v>
      </c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</row>
    <row r="17" spans="1:192" s="38" customFormat="1" ht="30" customHeight="1" x14ac:dyDescent="0.3">
      <c r="A17" s="34" t="s">
        <v>251</v>
      </c>
      <c r="B17" s="34"/>
      <c r="C17" s="34"/>
      <c r="D17" s="34"/>
      <c r="E17" s="34"/>
      <c r="F17" s="34"/>
      <c r="G17" s="34">
        <v>33</v>
      </c>
      <c r="H17" s="34">
        <v>59</v>
      </c>
      <c r="I17" s="34">
        <v>61</v>
      </c>
      <c r="J17" s="34">
        <v>49</v>
      </c>
      <c r="K17" s="34">
        <v>10</v>
      </c>
      <c r="L17" s="34">
        <v>11</v>
      </c>
      <c r="M17" s="34">
        <v>223</v>
      </c>
      <c r="N17" s="34"/>
      <c r="O17" s="58" t="s">
        <v>251</v>
      </c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</row>
    <row r="18" spans="1:192" s="38" customFormat="1" ht="30" customHeight="1" x14ac:dyDescent="0.3">
      <c r="A18" s="34" t="s">
        <v>3</v>
      </c>
      <c r="B18" s="34"/>
      <c r="C18" s="34"/>
      <c r="D18" s="34">
        <v>1</v>
      </c>
      <c r="E18" s="34">
        <v>2</v>
      </c>
      <c r="F18" s="34">
        <v>1</v>
      </c>
      <c r="G18" s="34">
        <v>261</v>
      </c>
      <c r="H18" s="34">
        <v>385</v>
      </c>
      <c r="I18" s="34">
        <v>418</v>
      </c>
      <c r="J18" s="34">
        <v>394</v>
      </c>
      <c r="K18" s="34">
        <v>125</v>
      </c>
      <c r="L18" s="34">
        <v>115</v>
      </c>
      <c r="M18" s="34">
        <v>1702</v>
      </c>
      <c r="N18" s="34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</row>
    <row r="19" spans="1:192" s="38" customFormat="1" ht="30" customHeight="1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</row>
    <row r="20" spans="1:192" s="38" customFormat="1" ht="16.5" customHeigh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</row>
    <row r="21" spans="1:192" s="38" customFormat="1" ht="15" customHeigh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</row>
    <row r="22" spans="1:192" s="38" customFormat="1" ht="15" customHeigh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</row>
    <row r="23" spans="1:192" s="38" customFormat="1" ht="15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</row>
    <row r="24" spans="1:192" s="38" customFormat="1" ht="15" customHeight="1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</row>
    <row r="25" spans="1:192" s="38" customFormat="1" ht="15" customHeigh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</row>
    <row r="26" spans="1:192" s="38" customFormat="1" ht="15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</row>
    <row r="27" spans="1:192" s="38" customFormat="1" ht="1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</row>
    <row r="28" spans="1:192" s="38" customFormat="1" ht="15" customHeight="1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</row>
    <row r="29" spans="1:192" ht="15" customHeight="1" x14ac:dyDescent="0.3"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192" ht="13.5" customHeight="1" x14ac:dyDescent="0.3"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192" ht="15" customHeight="1" x14ac:dyDescent="0.3"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spans="1:192" ht="15" customHeight="1" x14ac:dyDescent="0.3"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5:28" ht="15" customHeight="1" x14ac:dyDescent="0.3"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5:28" ht="15" customHeight="1" x14ac:dyDescent="0.3"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5:28" ht="15" customHeight="1" x14ac:dyDescent="0.3"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5:28" ht="15" customHeight="1" x14ac:dyDescent="0.3"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5:28" ht="15" customHeight="1" x14ac:dyDescent="0.3"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5:28" ht="15" customHeight="1" x14ac:dyDescent="0.3"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5:28" ht="15" customHeight="1" x14ac:dyDescent="0.3"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B39" s="39"/>
    </row>
    <row r="40" spans="15:28" ht="15" customHeight="1" x14ac:dyDescent="0.3"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FB3D-6A99-4CD6-8BF6-523825866D48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319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36</v>
      </c>
      <c r="C4" s="226">
        <f>IFERROR(VLOOKUP(A4,'★은성(주문일-당일)'!A:RV,2,FALSE),0)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36</v>
      </c>
      <c r="C5" s="226">
        <f>IFERROR(VLOOKUP(A5,'★은성(주문일-당일)'!A:RV,2,FALSE),0)</f>
        <v>0</v>
      </c>
      <c r="D5" s="226">
        <f t="shared" si="0"/>
        <v>0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36</v>
      </c>
      <c r="C6" s="226">
        <f>IFERROR(VLOOKUP(A6,'★은성(주문일-당일)'!A:RV,2,FALSE),0)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36</v>
      </c>
      <c r="C7" s="226">
        <f>IFERROR(VLOOKUP(A7,'★은성(주문일-당일)'!A:RV,2,FALSE),0)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36</v>
      </c>
      <c r="C8" s="226">
        <f>IFERROR(VLOOKUP(A8,'★은성(주문일-당일)'!A:RV,2,FALSE),0)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36</v>
      </c>
      <c r="C9" s="226">
        <f>IFERROR(VLOOKUP(A9,'★은성(주문일-당일)'!A:RV,2,FALSE),0)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36</v>
      </c>
      <c r="C10" s="226">
        <f>IFERROR(VLOOKUP(A10,'★은성(주문일-당일)'!A:RV,2,FALSE),0)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36</v>
      </c>
      <c r="C11" s="226">
        <f>IFERROR(VLOOKUP(A11,'★은성(주문일-당일)'!A:RV,2,FALSE),0)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36</v>
      </c>
      <c r="C12" s="226">
        <f>IFERROR(VLOOKUP(A12,'★은성(주문일-당일)'!A:RV,2,FALSE),0)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36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36</v>
      </c>
      <c r="C16" s="226">
        <f>IFERROR(VLOOKUP(A16,'★은성(주문일-당일)'!A:RV,2,FALSE),0)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36</v>
      </c>
      <c r="C17" s="226">
        <f>IFERROR(VLOOKUP(A17,'★은성(주문일-당일)'!A:RV,2,FALSE),0)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36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36</v>
      </c>
      <c r="C21" s="226">
        <f>IFERROR(VLOOKUP(A21,'★은성(주문일-당일)'!A:RV,2,FALSE),0)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36</v>
      </c>
      <c r="C22" s="226">
        <f>IFERROR(VLOOKUP(A22,'★은성(주문일-당일)'!A:RV,2,FALSE),0)</f>
        <v>0</v>
      </c>
      <c r="D22" s="226">
        <f t="shared" si="5"/>
        <v>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36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36</v>
      </c>
      <c r="C26" s="226">
        <f>IFERROR(VLOOKUP(A26,'★은성(주문일-당일)'!A:RV,2,FALSE),0)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36</v>
      </c>
      <c r="C27" s="226">
        <f>IFERROR(VLOOKUP(A27,'★은성(주문일-당일)'!A:RV,2,FALSE),0)</f>
        <v>0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0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36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36</v>
      </c>
      <c r="C31" s="226">
        <f>IFERROR(VLOOKUP(A31,'★은성(주문일-당일)'!A:RV,2,FALSE),0)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36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36</v>
      </c>
      <c r="C35" s="55">
        <f>SUM(C4:C12,C26:C27,C21:C22,C16:C17,C31:C31)</f>
        <v>0</v>
      </c>
      <c r="D35" s="54">
        <f>IFERROR(ROUNDDOWN(C35/B35,0),"")</f>
        <v>0</v>
      </c>
      <c r="E35" s="56"/>
      <c r="F35" s="121">
        <f>IFERROR(C35-(D35*B35),"")</f>
        <v>0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0</v>
      </c>
      <c r="G36" s="235">
        <f>IFERROR(ROUNDDOWN(F36/B26,0),"")</f>
        <v>0</v>
      </c>
      <c r="H36" s="214">
        <f>IFERROR(F36-(G36*B26),"")</f>
        <v>0</v>
      </c>
    </row>
    <row r="37" spans="1:11" ht="22.5" customHeight="1" x14ac:dyDescent="0.3">
      <c r="C37" s="77">
        <f>C14+C19+C24+C29+C33</f>
        <v>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0352-8D8D-46FA-B181-DBBA7E8A7AF2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320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IFERROR(VLOOKUP(A4,'★은성(주문일-당일)'!A:RV,3,FALSE),0)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IFERROR(VLOOKUP(A5,'★은성(주문일-당일)'!A:RV,3,FALSE),0)</f>
        <v>0</v>
      </c>
      <c r="D5" s="226">
        <f t="shared" si="0"/>
        <v>0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IFERROR(VLOOKUP(A6,'★은성(주문일-당일)'!A:RV,3,FALSE),0)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IFERROR(VLOOKUP(A7,'★은성(주문일-당일)'!A:RV,3,FALSE),0)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IFERROR(VLOOKUP(A8,'★은성(주문일-당일)'!A:RV,3,FALSE),0)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IFERROR(VLOOKUP(A9,'★은성(주문일-당일)'!A:RV,3,FALSE),0)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IFERROR(VLOOKUP(A10,'★은성(주문일-당일)'!A:RV,3,FALSE),0)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IFERROR(VLOOKUP(A11,'★은성(주문일-당일)'!A:RV,3,FALSE),0)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IFERROR(VLOOKUP(A12,'★은성(주문일-당일)'!A:RV,3,FALSE),0)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30</v>
      </c>
      <c r="C16" s="226">
        <f>IFERROR(VLOOKUP(A16,'★은성(주문일-당일)'!A:RV,3,FALSE),0)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30</v>
      </c>
      <c r="C17" s="226">
        <f>IFERROR(VLOOKUP(A17,'★은성(주문일-당일)'!A:RV,3,FALSE),0)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30</v>
      </c>
      <c r="C21" s="226">
        <f>IFERROR(VLOOKUP(A21,'★은성(주문일-당일)'!A:RV,3,FALSE),0)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30</v>
      </c>
      <c r="C22" s="226">
        <f>IFERROR(VLOOKUP(A22,'★은성(주문일-당일)'!A:RV,3,FALSE),0)</f>
        <v>0</v>
      </c>
      <c r="D22" s="226">
        <f t="shared" si="5"/>
        <v>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30</v>
      </c>
      <c r="C26" s="226">
        <f>IFERROR(VLOOKUP(A26,'★은성(주문일-당일)'!A:RV,3,FALSE),0)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30</v>
      </c>
      <c r="C27" s="226">
        <f>IFERROR(VLOOKUP(A27,'★은성(주문일-당일)'!A:RV,3,FALSE),0)</f>
        <v>0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0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30</v>
      </c>
      <c r="C31" s="226">
        <f>IFERROR(VLOOKUP(A31,'★은성(주문일-당일)'!A:RV,3,FALSE),0)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0</v>
      </c>
      <c r="D35" s="54">
        <f>IFERROR(ROUNDDOWN(C35/B35,0),"")</f>
        <v>0</v>
      </c>
      <c r="E35" s="56"/>
      <c r="F35" s="121">
        <f>IFERROR(C35-(D35*B35),"")</f>
        <v>0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0</v>
      </c>
      <c r="G36" s="235">
        <f>IFERROR(ROUNDDOWN(F36/B26,0),"")</f>
        <v>0</v>
      </c>
      <c r="H36" s="214">
        <f>IFERROR(F36-(G36*B26),"")</f>
        <v>0</v>
      </c>
    </row>
    <row r="37" spans="1:11" ht="22.5" customHeight="1" x14ac:dyDescent="0.3">
      <c r="C37" s="77">
        <f>C14+C19+C24+C29+C33</f>
        <v>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B051-4B26-45F5-ACE1-82968163E83F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321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IFERROR(VLOOKUP(A4,'★은성(주문일-당일)'!A:RV,4,FALSE),0)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IFERROR(VLOOKUP(A5,'★은성(주문일-당일)'!A:RV,4,FALSE),0)</f>
        <v>0</v>
      </c>
      <c r="D5" s="226">
        <f t="shared" si="0"/>
        <v>0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IFERROR(VLOOKUP(A6,'★은성(주문일-당일)'!A:RV,4,FALSE),0)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IFERROR(VLOOKUP(A7,'★은성(주문일-당일)'!A:RV,4,FALSE),0)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IFERROR(VLOOKUP(A8,'★은성(주문일-당일)'!A:RV,4,FALSE),0)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IFERROR(VLOOKUP(A9,'★은성(주문일-당일)'!A:RV,4,FALSE),0)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IFERROR(VLOOKUP(A10,'★은성(주문일-당일)'!A:RV,4,FALSE),0)</f>
        <v>1</v>
      </c>
      <c r="D10" s="226">
        <f>IFERROR(ROUNDDOWN(C10/B10,0),"")</f>
        <v>0</v>
      </c>
      <c r="E10" s="51" t="s">
        <v>261</v>
      </c>
      <c r="F10" s="227">
        <f>IFERROR(C10-(D10*B10),"")</f>
        <v>1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IFERROR(VLOOKUP(A11,'★은성(주문일-당일)'!A:RV,4,FALSE),0)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IFERROR(VLOOKUP(A12,'★은성(주문일-당일)'!A:RV,4,FALSE),0)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1</v>
      </c>
      <c r="D14" s="55">
        <f>IFERROR(ROUNDDOWN(C14/B14,0),"")</f>
        <v>0</v>
      </c>
      <c r="E14" s="211"/>
      <c r="F14" s="212">
        <f>IFERROR(C14-(D14*B14),"")</f>
        <v>1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30</v>
      </c>
      <c r="C16" s="226">
        <f>IFERROR(VLOOKUP(A16,'★은성(주문일-당일)'!A:RV,4,FALSE),0)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30</v>
      </c>
      <c r="C17" s="226">
        <f>IFERROR(VLOOKUP(A17,'★은성(주문일-당일)'!A:RV,4,FALSE),0)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30</v>
      </c>
      <c r="C21" s="226">
        <f>IFERROR(VLOOKUP(A21,'★은성(주문일-당일)'!A:RV,4,FALSE),0)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30</v>
      </c>
      <c r="C22" s="226">
        <f>IFERROR(VLOOKUP(A22,'★은성(주문일-당일)'!A:RV,4,FALSE),0)</f>
        <v>0</v>
      </c>
      <c r="D22" s="226">
        <f t="shared" si="5"/>
        <v>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30</v>
      </c>
      <c r="C26" s="226">
        <f>IFERROR(VLOOKUP(A26,'★은성(주문일-당일)'!A:RV,4,FALSE),0)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30</v>
      </c>
      <c r="C27" s="226">
        <f>IFERROR(VLOOKUP(A27,'★은성(주문일-당일)'!A:RV,4,FALSE),0)</f>
        <v>0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0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30</v>
      </c>
      <c r="C31" s="226">
        <f>IFERROR(VLOOKUP(A31,'★은성(주문일-당일)'!A:RV,4,FALSE),0)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1</v>
      </c>
      <c r="D35" s="54">
        <f>IFERROR(ROUNDDOWN(C35/B35,0),"")</f>
        <v>0</v>
      </c>
      <c r="E35" s="56"/>
      <c r="F35" s="121">
        <f>IFERROR(C35-(D35*B35),"")</f>
        <v>1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1</v>
      </c>
      <c r="G36" s="235">
        <f>IFERROR(ROUNDDOWN(F36/B26,0),"")</f>
        <v>0</v>
      </c>
      <c r="H36" s="214">
        <f>IFERROR(F36-(G36*B26),"")</f>
        <v>1</v>
      </c>
    </row>
    <row r="37" spans="1:11" ht="22.5" customHeight="1" x14ac:dyDescent="0.3">
      <c r="C37" s="77">
        <f>C14+C19+C24+C29+C33</f>
        <v>1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B059-89B8-4C64-B6C7-9C77C001C45F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317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IFERROR(VLOOKUP(A4,'★은성(주문일-당일)'!A:RV,5,FALSE),0)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IFERROR(VLOOKUP(A5,'★은성(주문일-당일)'!A:RV,5,FALSE),0)</f>
        <v>0</v>
      </c>
      <c r="D5" s="226">
        <f t="shared" si="0"/>
        <v>0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IFERROR(VLOOKUP(A6,'★은성(주문일-당일)'!A:RV,5,FALSE),0)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IFERROR(VLOOKUP(A7,'★은성(주문일-당일)'!A:RV,5,FALSE),0)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IFERROR(VLOOKUP(A8,'★은성(주문일-당일)'!A:RV,5,FALSE),0)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IFERROR(VLOOKUP(A9,'★은성(주문일-당일)'!A:RV,5,FALSE),0)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IFERROR(VLOOKUP(A10,'★은성(주문일-당일)'!A:RV,5,FALSE),0)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IFERROR(VLOOKUP(A11,'★은성(주문일-당일)'!A:RV,5,FALSE),0)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IFERROR(VLOOKUP(A12,'★은성(주문일-당일)'!A:RV,5,FALSE),0)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30</v>
      </c>
      <c r="C16" s="226">
        <f>IFERROR(VLOOKUP(A16,'★은성(주문일-당일)'!A:RV,5,FALSE),0)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30</v>
      </c>
      <c r="C17" s="226">
        <f>IFERROR(VLOOKUP(A17,'★은성(주문일-당일)'!A:RV,5,FALSE),0)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30</v>
      </c>
      <c r="C21" s="226">
        <f>IFERROR(VLOOKUP(A21,'★은성(주문일-당일)'!A:RV,5,FALSE),0)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30</v>
      </c>
      <c r="C22" s="226">
        <f>IFERROR(VLOOKUP(A22,'★은성(주문일-당일)'!A:RV,5,FALSE),0)</f>
        <v>0</v>
      </c>
      <c r="D22" s="226">
        <f t="shared" si="5"/>
        <v>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30</v>
      </c>
      <c r="C26" s="226">
        <f>IFERROR(VLOOKUP(A26,'★은성(주문일-당일)'!A:RV,5,FALSE),0)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30</v>
      </c>
      <c r="C27" s="226">
        <f>IFERROR(VLOOKUP(A27,'★은성(주문일-당일)'!A:RV,5,FALSE),0)</f>
        <v>2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2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2</v>
      </c>
      <c r="D29" s="55">
        <f>IFERROR(ROUNDDOWN(C29/B29,0),"")</f>
        <v>0</v>
      </c>
      <c r="E29" s="211"/>
      <c r="F29" s="212">
        <f>IFERROR(C29-(D29*B29),"")</f>
        <v>2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30</v>
      </c>
      <c r="C31" s="226">
        <f>IFERROR(VLOOKUP(A31,'★은성(주문일-당일)'!A:RV,5,FALSE),0)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2</v>
      </c>
      <c r="D35" s="54">
        <f>IFERROR(ROUNDDOWN(C35/B35,0),"")</f>
        <v>0</v>
      </c>
      <c r="E35" s="56"/>
      <c r="F35" s="121">
        <f>IFERROR(C35-(D35*B35),"")</f>
        <v>2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2</v>
      </c>
      <c r="G36" s="235">
        <f>IFERROR(ROUNDDOWN(F36/B26,0),"")</f>
        <v>0</v>
      </c>
      <c r="H36" s="214">
        <f>IFERROR(F36-(G36*B26),"")</f>
        <v>2</v>
      </c>
    </row>
    <row r="37" spans="1:11" ht="22.5" customHeight="1" x14ac:dyDescent="0.3">
      <c r="C37" s="77">
        <f>C14+C19+C24+C29+C33</f>
        <v>2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2170-A06A-4A0F-8554-EEB19692F938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316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36</v>
      </c>
      <c r="C4" s="226">
        <f>IFERROR(VLOOKUP(A4,'★은성(주문일-당일)'!A:RV,6,FALSE),0)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36</v>
      </c>
      <c r="C5" s="226">
        <f>IFERROR(VLOOKUP(A5,'★은성(주문일-당일)'!A:RV,6,FALSE),0)</f>
        <v>0</v>
      </c>
      <c r="D5" s="226">
        <f t="shared" si="0"/>
        <v>0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36</v>
      </c>
      <c r="C6" s="226">
        <f>IFERROR(VLOOKUP(A6,'★은성(주문일-당일)'!A:RV,6,FALSE),0)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36</v>
      </c>
      <c r="C7" s="226">
        <f>IFERROR(VLOOKUP(A7,'★은성(주문일-당일)'!A:RV,6,FALSE),0)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36</v>
      </c>
      <c r="C8" s="226">
        <f>IFERROR(VLOOKUP(A8,'★은성(주문일-당일)'!A:RV,6,FALSE),0)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36</v>
      </c>
      <c r="C9" s="226">
        <f>IFERROR(VLOOKUP(A9,'★은성(주문일-당일)'!A:RV,6,FALSE),0)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36</v>
      </c>
      <c r="C10" s="226">
        <f>IFERROR(VLOOKUP(A10,'★은성(주문일-당일)'!A:RV,6,FALSE),0)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36</v>
      </c>
      <c r="C11" s="226">
        <f>IFERROR(VLOOKUP(A11,'★은성(주문일-당일)'!A:RV,6,FALSE),0)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36</v>
      </c>
      <c r="C12" s="226">
        <f>IFERROR(VLOOKUP(A12,'★은성(주문일-당일)'!A:RV,6,FALSE),0)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36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36</v>
      </c>
      <c r="C16" s="226">
        <f>IFERROR(VLOOKUP(A16,'★은성(주문일-당일)'!A:RV,6,FALSE),0)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36</v>
      </c>
      <c r="C17" s="226">
        <f>IFERROR(VLOOKUP(A17,'★은성(주문일-당일)'!A:RV,6,FALSE),0)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36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36</v>
      </c>
      <c r="C21" s="226">
        <f>IFERROR(VLOOKUP(A21,'★은성(주문일-당일)'!A:RV,6,FALSE),0)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36</v>
      </c>
      <c r="C22" s="226">
        <f>IFERROR(VLOOKUP(A22,'★은성(주문일-당일)'!A:RV,6,FALSE),0)</f>
        <v>0</v>
      </c>
      <c r="D22" s="226">
        <f t="shared" si="5"/>
        <v>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36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36</v>
      </c>
      <c r="C26" s="226">
        <f>IFERROR(VLOOKUP(A26,'★은성(주문일-당일)'!A:RV,6,FALSE),0)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36</v>
      </c>
      <c r="C27" s="226">
        <f>IFERROR(VLOOKUP(A27,'★은성(주문일-당일)'!A:RV,6,FALSE),0)</f>
        <v>1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1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36</v>
      </c>
      <c r="C29" s="210">
        <f>SUM(C26:C27)</f>
        <v>1</v>
      </c>
      <c r="D29" s="55">
        <f>IFERROR(ROUNDDOWN(C29/B29,0),"")</f>
        <v>0</v>
      </c>
      <c r="E29" s="211"/>
      <c r="F29" s="212">
        <f>IFERROR(C29-(D29*B29),"")</f>
        <v>1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36</v>
      </c>
      <c r="C31" s="226">
        <f>IFERROR(VLOOKUP(A31,'★은성(주문일-당일)'!A:RV,6,FALSE),0)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36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36</v>
      </c>
      <c r="C35" s="55">
        <f>SUM(C4:C12,C26:C27,C21:C22,C16:C17,C31:C31)</f>
        <v>1</v>
      </c>
      <c r="D35" s="54">
        <f>IFERROR(ROUNDDOWN(C35/B35,0),"")</f>
        <v>0</v>
      </c>
      <c r="E35" s="56"/>
      <c r="F35" s="121">
        <f>IFERROR(C35-(D35*B35),"")</f>
        <v>1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1</v>
      </c>
      <c r="G36" s="235">
        <f>IFERROR(ROUNDDOWN(F36/B26,0),"")</f>
        <v>0</v>
      </c>
      <c r="H36" s="214">
        <f>IFERROR(F36-(G36*B26),"")</f>
        <v>1</v>
      </c>
    </row>
    <row r="37" spans="1:11" ht="22.5" customHeight="1" x14ac:dyDescent="0.3">
      <c r="C37" s="77">
        <f>C14+C19+C24+C29+C33</f>
        <v>1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5882-8822-485E-9E1A-234956980374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275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IFERROR(VLOOKUP(A4,'★은성(주문일-당일)'!A:RV,7,FALSE),0)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IFERROR(VLOOKUP(A5,'★은성(주문일-당일)'!A:RV,7,FALSE),0)</f>
        <v>14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14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IFERROR(VLOOKUP(A6,'★은성(주문일-당일)'!A:RV,7,FALSE),0)</f>
        <v>13</v>
      </c>
      <c r="D6" s="226">
        <f>IFERROR(ROUNDDOWN(C6/B6,0),"")</f>
        <v>0</v>
      </c>
      <c r="E6" s="51" t="s">
        <v>257</v>
      </c>
      <c r="F6" s="227">
        <f>IFERROR(C6-(D6*B6),"")</f>
        <v>13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IFERROR(VLOOKUP(A7,'★은성(주문일-당일)'!A:RV,7,FALSE),0)</f>
        <v>35</v>
      </c>
      <c r="D7" s="226">
        <f>IFERROR(ROUNDDOWN(C7/B7,0),"")</f>
        <v>1</v>
      </c>
      <c r="E7" s="51" t="s">
        <v>258</v>
      </c>
      <c r="F7" s="227">
        <f>IFERROR(C7-(D7*B7),"")</f>
        <v>5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IFERROR(VLOOKUP(A8,'★은성(주문일-당일)'!A:RV,7,FALSE),0)</f>
        <v>33</v>
      </c>
      <c r="D8" s="226">
        <f>IFERROR(ROUNDDOWN(C8/B8,0),"")</f>
        <v>1</v>
      </c>
      <c r="E8" s="51" t="s">
        <v>259</v>
      </c>
      <c r="F8" s="227">
        <f>IFERROR(C8-(D8*B8),"")</f>
        <v>3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IFERROR(VLOOKUP(A9,'★은성(주문일-당일)'!A:RV,7,FALSE),0)</f>
        <v>27</v>
      </c>
      <c r="D9" s="226">
        <f t="shared" si="0"/>
        <v>0</v>
      </c>
      <c r="E9" s="51" t="s">
        <v>260</v>
      </c>
      <c r="F9" s="227">
        <f t="shared" si="1"/>
        <v>27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IFERROR(VLOOKUP(A10,'★은성(주문일-당일)'!A:RV,7,FALSE),0)</f>
        <v>30</v>
      </c>
      <c r="D10" s="226">
        <f>IFERROR(ROUNDDOWN(C10/B10,0),"")</f>
        <v>1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IFERROR(VLOOKUP(A11,'★은성(주문일-당일)'!A:RV,7,FALSE),0)</f>
        <v>33</v>
      </c>
      <c r="D11" s="226">
        <f t="shared" si="0"/>
        <v>1</v>
      </c>
      <c r="E11" s="51" t="s">
        <v>240</v>
      </c>
      <c r="F11" s="227">
        <f t="shared" si="1"/>
        <v>3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IFERROR(VLOOKUP(A12,'★은성(주문일-당일)'!A:RV,7,FALSE),0)</f>
        <v>16</v>
      </c>
      <c r="D12" s="226">
        <f t="shared" si="0"/>
        <v>0</v>
      </c>
      <c r="E12" s="51" t="s">
        <v>108</v>
      </c>
      <c r="F12" s="227">
        <f t="shared" si="1"/>
        <v>16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201</v>
      </c>
      <c r="D14" s="55">
        <f>IFERROR(ROUNDDOWN(C14/B14,0),"")</f>
        <v>6</v>
      </c>
      <c r="E14" s="211"/>
      <c r="F14" s="212">
        <f>IFERROR(C14-(D14*B14),"")</f>
        <v>21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30</v>
      </c>
      <c r="C16" s="226">
        <f>IFERROR(VLOOKUP(A16,'★은성(주문일-당일)'!A:RV,7,FALSE),0)</f>
        <v>5</v>
      </c>
      <c r="D16" s="226">
        <f>IFERROR(ROUNDDOWN(C16/B16,0),"")</f>
        <v>0</v>
      </c>
      <c r="E16" s="51" t="s">
        <v>237</v>
      </c>
      <c r="F16" s="227">
        <f>IFERROR(C16-(D16*B16),"")</f>
        <v>5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30</v>
      </c>
      <c r="C17" s="226">
        <f>IFERROR(VLOOKUP(A17,'★은성(주문일-당일)'!A:RV,7,FALSE),0)</f>
        <v>11</v>
      </c>
      <c r="D17" s="226">
        <f>IFERROR(ROUNDDOWN(C17/B17,0),"")</f>
        <v>0</v>
      </c>
      <c r="E17" s="51" t="s">
        <v>236</v>
      </c>
      <c r="F17" s="227">
        <f>IFERROR(C17-(D17*B17),"")</f>
        <v>11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16</v>
      </c>
      <c r="D19" s="55">
        <f>IFERROR(ROUNDDOWN(C19/B19,0),"")</f>
        <v>0</v>
      </c>
      <c r="E19" s="211"/>
      <c r="F19" s="212">
        <f>IFERROR(C19-(D19*B19),"")</f>
        <v>16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30</v>
      </c>
      <c r="C21" s="226">
        <f>IFERROR(VLOOKUP(A21,'★은성(주문일-당일)'!A:RV,7,FALSE),0)</f>
        <v>16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16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30</v>
      </c>
      <c r="C22" s="226">
        <f>IFERROR(VLOOKUP(A22,'★은성(주문일-당일)'!A:RV,7,FALSE),0)</f>
        <v>13</v>
      </c>
      <c r="D22" s="226">
        <f t="shared" si="7"/>
        <v>0</v>
      </c>
      <c r="E22" s="51" t="s">
        <v>269</v>
      </c>
      <c r="F22" s="227">
        <f t="shared" si="8"/>
        <v>13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29</v>
      </c>
      <c r="D24" s="55">
        <f>IFERROR(ROUNDDOWN(C24/B24,0),"")</f>
        <v>0</v>
      </c>
      <c r="E24" s="211"/>
      <c r="F24" s="212">
        <f>IFERROR(C24-(D24*B24),"")</f>
        <v>29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30</v>
      </c>
      <c r="C26" s="226">
        <f>IFERROR(VLOOKUP(A26,'★은성(주문일-당일)'!A:RV,7,FALSE),0)</f>
        <v>5</v>
      </c>
      <c r="D26" s="226">
        <f>IFERROR(ROUNDDOWN(C26/B26,0),"")</f>
        <v>0</v>
      </c>
      <c r="E26" s="51" t="s">
        <v>239</v>
      </c>
      <c r="F26" s="227">
        <f>IFERROR(C26-(D26*B26),"")</f>
        <v>5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30</v>
      </c>
      <c r="C27" s="226">
        <f>IFERROR(VLOOKUP(A27,'★은성(주문일-당일)'!A:RV,7,FALSE),0)</f>
        <v>4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4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9</v>
      </c>
      <c r="D29" s="55">
        <f>IFERROR(ROUNDDOWN(C29/B29,0),"")</f>
        <v>0</v>
      </c>
      <c r="E29" s="211"/>
      <c r="F29" s="212">
        <f>IFERROR(C29-(D29*B29),"")</f>
        <v>9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30</v>
      </c>
      <c r="C31" s="226">
        <f>IFERROR(VLOOKUP(A31,'★은성(주문일-당일)'!A:RV,7,FALSE),0)</f>
        <v>6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6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6</v>
      </c>
      <c r="D33" s="55">
        <f>IFERROR(ROUNDDOWN(C33/B33,0),"")</f>
        <v>0</v>
      </c>
      <c r="E33" s="211"/>
      <c r="F33" s="212">
        <f>IFERROR(C33-(D33*B33),"")</f>
        <v>6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261</v>
      </c>
      <c r="D35" s="54">
        <f>IFERROR(ROUNDDOWN(C35/B35,0),"")</f>
        <v>8</v>
      </c>
      <c r="E35" s="56"/>
      <c r="F35" s="121">
        <f>IFERROR(C35-(D35*B35),"")</f>
        <v>21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4</v>
      </c>
      <c r="E36" s="48"/>
      <c r="F36" s="93">
        <f>SUM(F4:F12,F26:F27,F21:F22,F16:F17,F31:F31)</f>
        <v>141</v>
      </c>
      <c r="G36" s="235">
        <f>IFERROR(ROUNDDOWN(F36/B26,0),"")</f>
        <v>4</v>
      </c>
      <c r="H36" s="214">
        <f>IFERROR(F36-(G36*B26),"")</f>
        <v>21</v>
      </c>
    </row>
    <row r="37" spans="1:11" ht="22.5" customHeight="1" x14ac:dyDescent="0.3">
      <c r="C37" s="77">
        <f>C14+C19+C24+C29+C33</f>
        <v>261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1:F1"/>
    <mergeCell ref="B2:F2"/>
    <mergeCell ref="A28:F28"/>
    <mergeCell ref="A23:F23"/>
    <mergeCell ref="A18:F18"/>
    <mergeCell ref="A20:F20"/>
    <mergeCell ref="A13:F1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6FF1-0DE3-4BFA-B0C0-FD16F86856A6}">
  <sheetPr>
    <tabColor theme="5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37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36" t="s">
        <v>340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IFERROR(VLOOKUP(A4,'★은성(주문일-당일)'!A:RV,8,FALSE),0)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IFERROR(VLOOKUP(A5,'★은성(주문일-당일)'!A:RV,8,FALSE),0)</f>
        <v>19</v>
      </c>
      <c r="D5" s="226">
        <f t="shared" si="0"/>
        <v>0</v>
      </c>
      <c r="E5" s="51" t="s">
        <v>238</v>
      </c>
      <c r="F5" s="227">
        <f t="shared" si="1"/>
        <v>19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IFERROR(VLOOKUP(A6,'★은성(주문일-당일)'!A:RV,8,FALSE),0)</f>
        <v>34</v>
      </c>
      <c r="D6" s="226">
        <f>IFERROR(ROUNDDOWN(C6/B6,0),"")</f>
        <v>1</v>
      </c>
      <c r="E6" s="51" t="s">
        <v>257</v>
      </c>
      <c r="F6" s="227">
        <f>IFERROR(C6-(D6*B6),"")</f>
        <v>4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IFERROR(VLOOKUP(A7,'★은성(주문일-당일)'!A:RV,8,FALSE),0)</f>
        <v>36</v>
      </c>
      <c r="D7" s="226">
        <f>IFERROR(ROUNDDOWN(C7/B7,0),"")</f>
        <v>1</v>
      </c>
      <c r="E7" s="51" t="s">
        <v>258</v>
      </c>
      <c r="F7" s="227">
        <f>IFERROR(C7-(D7*B7),"")</f>
        <v>6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IFERROR(VLOOKUP(A8,'★은성(주문일-당일)'!A:RV,8,FALSE),0)</f>
        <v>59</v>
      </c>
      <c r="D8" s="226">
        <f>IFERROR(ROUNDDOWN(C8/B8,0),"")</f>
        <v>1</v>
      </c>
      <c r="E8" s="51" t="s">
        <v>259</v>
      </c>
      <c r="F8" s="227">
        <f>IFERROR(C8-(D8*B8),"")</f>
        <v>29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IFERROR(VLOOKUP(A9,'★은성(주문일-당일)'!A:RV,8,FALSE),0)</f>
        <v>39</v>
      </c>
      <c r="D9" s="226">
        <f t="shared" si="0"/>
        <v>1</v>
      </c>
      <c r="E9" s="51" t="s">
        <v>260</v>
      </c>
      <c r="F9" s="227">
        <f t="shared" si="1"/>
        <v>9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IFERROR(VLOOKUP(A10,'★은성(주문일-당일)'!A:RV,8,FALSE),0)</f>
        <v>46</v>
      </c>
      <c r="D10" s="226">
        <f>IFERROR(ROUNDDOWN(C10/B10,0),"")</f>
        <v>1</v>
      </c>
      <c r="E10" s="51" t="s">
        <v>261</v>
      </c>
      <c r="F10" s="227">
        <f>IFERROR(C10-(D10*B10),"")</f>
        <v>16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IFERROR(VLOOKUP(A11,'★은성(주문일-당일)'!A:RV,8,FALSE),0)</f>
        <v>43</v>
      </c>
      <c r="D11" s="226">
        <f t="shared" si="0"/>
        <v>1</v>
      </c>
      <c r="E11" s="51" t="s">
        <v>240</v>
      </c>
      <c r="F11" s="227">
        <f t="shared" si="1"/>
        <v>13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IFERROR(VLOOKUP(A12,'★은성(주문일-당일)'!A:RV,8,FALSE),0)</f>
        <v>25</v>
      </c>
      <c r="D12" s="226">
        <f t="shared" si="0"/>
        <v>0</v>
      </c>
      <c r="E12" s="51" t="s">
        <v>108</v>
      </c>
      <c r="F12" s="227">
        <f t="shared" si="1"/>
        <v>25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301</v>
      </c>
      <c r="D14" s="55">
        <f>IFERROR(ROUNDDOWN(C14/B14,0),"")</f>
        <v>10</v>
      </c>
      <c r="E14" s="211"/>
      <c r="F14" s="212">
        <f>IFERROR(C14-(D14*B14),"")</f>
        <v>1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30</v>
      </c>
      <c r="C16" s="226">
        <f>IFERROR(VLOOKUP(A16,'★은성(주문일-당일)'!A:RV,8,FALSE),0)</f>
        <v>5</v>
      </c>
      <c r="D16" s="226">
        <f>IFERROR(ROUNDDOWN(C16/B16,0),"")</f>
        <v>0</v>
      </c>
      <c r="E16" s="51" t="s">
        <v>237</v>
      </c>
      <c r="F16" s="227">
        <f>IFERROR(C16-(D16*B16),"")</f>
        <v>5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30</v>
      </c>
      <c r="C17" s="226">
        <f>IFERROR(VLOOKUP(A17,'★은성(주문일-당일)'!A:RV,8,FALSE),0)</f>
        <v>13</v>
      </c>
      <c r="D17" s="226">
        <f>IFERROR(ROUNDDOWN(C17/B17,0),"")</f>
        <v>0</v>
      </c>
      <c r="E17" s="51" t="s">
        <v>236</v>
      </c>
      <c r="F17" s="227">
        <f>IFERROR(C17-(D17*B17),"")</f>
        <v>13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18</v>
      </c>
      <c r="D19" s="55">
        <f>IFERROR(ROUNDDOWN(C19/B19,0),"")</f>
        <v>0</v>
      </c>
      <c r="E19" s="211"/>
      <c r="F19" s="212">
        <f>IFERROR(C19-(D19*B19),"")</f>
        <v>18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30</v>
      </c>
      <c r="C21" s="226">
        <f>IFERROR(VLOOKUP(A21,'★은성(주문일-당일)'!A:RV,8,FALSE),0)</f>
        <v>18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18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30</v>
      </c>
      <c r="C22" s="226">
        <f>IFERROR(VLOOKUP(A22,'★은성(주문일-당일)'!A:RV,8,FALSE),0)</f>
        <v>20</v>
      </c>
      <c r="D22" s="226">
        <f t="shared" si="5"/>
        <v>0</v>
      </c>
      <c r="E22" s="51" t="s">
        <v>269</v>
      </c>
      <c r="F22" s="227">
        <f t="shared" si="6"/>
        <v>20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38</v>
      </c>
      <c r="D24" s="55">
        <f>IFERROR(ROUNDDOWN(C24/B24,0),"")</f>
        <v>1</v>
      </c>
      <c r="E24" s="211"/>
      <c r="F24" s="212">
        <f>IFERROR(C24-(D24*B24),"")</f>
        <v>8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30</v>
      </c>
      <c r="C26" s="226">
        <f>IFERROR(VLOOKUP(A26,'★은성(주문일-당일)'!A:RV,8,FALSE),0)</f>
        <v>6</v>
      </c>
      <c r="D26" s="226">
        <f>IFERROR(ROUNDDOWN(C26/B26,0),"")</f>
        <v>0</v>
      </c>
      <c r="E26" s="51" t="s">
        <v>239</v>
      </c>
      <c r="F26" s="227">
        <f>IFERROR(C26-(D26*B26),"")</f>
        <v>6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30</v>
      </c>
      <c r="C27" s="226">
        <f>IFERROR(VLOOKUP(A27,'★은성(주문일-당일)'!A:RV,8,FALSE),0)</f>
        <v>13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13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19</v>
      </c>
      <c r="D29" s="55">
        <f>IFERROR(ROUNDDOWN(C29/B29,0),"")</f>
        <v>0</v>
      </c>
      <c r="E29" s="211"/>
      <c r="F29" s="212">
        <f>IFERROR(C29-(D29*B29),"")</f>
        <v>19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30</v>
      </c>
      <c r="C31" s="226">
        <f>IFERROR(VLOOKUP(A31,'★은성(주문일-당일)'!A:RV,8,FALSE),0)</f>
        <v>9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9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9</v>
      </c>
      <c r="D33" s="55">
        <f>IFERROR(ROUNDDOWN(C33/B33,0),"")</f>
        <v>0</v>
      </c>
      <c r="E33" s="211"/>
      <c r="F33" s="212">
        <f>IFERROR(C33-(D33*B33),"")</f>
        <v>9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385</v>
      </c>
      <c r="D35" s="54">
        <f>IFERROR(ROUNDDOWN(C35/B35,0),"")</f>
        <v>12</v>
      </c>
      <c r="E35" s="56"/>
      <c r="F35" s="121">
        <f>IFERROR(C35-(D35*B35),"")</f>
        <v>25</v>
      </c>
      <c r="G35" s="215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6</v>
      </c>
      <c r="E36" s="48"/>
      <c r="F36" s="93">
        <f>SUM(F4:F12,F26:F27,F21:F22,F16:F17,F31:F31)</f>
        <v>205</v>
      </c>
      <c r="G36" s="235">
        <f>IFERROR(ROUNDDOWN(F36/B26,0),"")</f>
        <v>6</v>
      </c>
      <c r="H36" s="214">
        <f>IFERROR(F36-(G36*B26),"")</f>
        <v>25</v>
      </c>
    </row>
    <row r="37" spans="1:11" ht="22.5" customHeight="1" x14ac:dyDescent="0.3">
      <c r="C37" s="77">
        <f>C14+C19+C24+C29+C33</f>
        <v>385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5" tint="0.59999389629810485"/>
    <pageSetUpPr fitToPage="1"/>
  </sheetPr>
  <dimension ref="A1:H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.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69"/>
      <c r="B1" s="269"/>
      <c r="C1" s="269"/>
      <c r="D1" s="269"/>
      <c r="E1" s="269"/>
      <c r="F1" s="269"/>
    </row>
    <row r="2" spans="1:8" ht="30.75" customHeight="1" x14ac:dyDescent="0.3">
      <c r="A2" s="218">
        <f ca="1">TODAY()</f>
        <v>46310</v>
      </c>
      <c r="B2" s="275" t="s">
        <v>301</v>
      </c>
      <c r="C2" s="276"/>
      <c r="D2" s="276"/>
      <c r="E2" s="276"/>
      <c r="F2" s="277"/>
      <c r="G2" s="67"/>
      <c r="H2" s="67"/>
    </row>
    <row r="3" spans="1:8" ht="57" customHeight="1" x14ac:dyDescent="0.3">
      <c r="A3" s="219" t="s">
        <v>67</v>
      </c>
      <c r="B3" s="220" t="s">
        <v>13</v>
      </c>
      <c r="C3" s="221" t="s">
        <v>276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8" ht="30" customHeight="1" x14ac:dyDescent="0.3">
      <c r="A4" s="224" t="s">
        <v>247</v>
      </c>
      <c r="B4" s="225">
        <v>30</v>
      </c>
      <c r="C4" s="226">
        <f>IFERROR(VLOOKUP(A4,'★은성(주문일-당일)'!A:RV,9,FALSE),0)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</row>
    <row r="5" spans="1:8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IFERROR(VLOOKUP(A5,'★은성(주문일-당일)'!A:RV,9,FALSE),0)</f>
        <v>29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29</v>
      </c>
      <c r="G5" s="67"/>
      <c r="H5" s="67"/>
    </row>
    <row r="6" spans="1:8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IFERROR(VLOOKUP(A6,'★은성(주문일-당일)'!A:RV,9,FALSE),0)</f>
        <v>19</v>
      </c>
      <c r="D6" s="226">
        <f>IFERROR(ROUNDDOWN(C6/B6,0),"")</f>
        <v>0</v>
      </c>
      <c r="E6" s="51" t="s">
        <v>257</v>
      </c>
      <c r="F6" s="227">
        <f>IFERROR(C6-(D6*B6),"")</f>
        <v>19</v>
      </c>
      <c r="G6" s="67"/>
      <c r="H6" s="67"/>
    </row>
    <row r="7" spans="1:8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IFERROR(VLOOKUP(A7,'★은성(주문일-당일)'!A:RV,9,FALSE),0)</f>
        <v>44</v>
      </c>
      <c r="D7" s="226">
        <f>IFERROR(ROUNDDOWN(C7/B7,0),"")</f>
        <v>1</v>
      </c>
      <c r="E7" s="51" t="s">
        <v>258</v>
      </c>
      <c r="F7" s="227">
        <f>IFERROR(C7-(D7*B7),"")</f>
        <v>14</v>
      </c>
      <c r="G7" s="67"/>
      <c r="H7" s="67"/>
    </row>
    <row r="8" spans="1:8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IFERROR(VLOOKUP(A8,'★은성(주문일-당일)'!A:RV,9,FALSE),0)</f>
        <v>61</v>
      </c>
      <c r="D8" s="226">
        <f>IFERROR(ROUNDDOWN(C8/B8,0),"")</f>
        <v>2</v>
      </c>
      <c r="E8" s="51" t="s">
        <v>259</v>
      </c>
      <c r="F8" s="227">
        <f>IFERROR(C8-(D8*B8),"")</f>
        <v>1</v>
      </c>
      <c r="G8" s="67"/>
      <c r="H8" s="67"/>
    </row>
    <row r="9" spans="1:8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IFERROR(VLOOKUP(A9,'★은성(주문일-당일)'!A:RV,9,FALSE),0)</f>
        <v>45</v>
      </c>
      <c r="D9" s="226">
        <f t="shared" si="0"/>
        <v>1</v>
      </c>
      <c r="E9" s="51" t="s">
        <v>260</v>
      </c>
      <c r="F9" s="227">
        <f t="shared" si="1"/>
        <v>15</v>
      </c>
      <c r="G9" s="67"/>
      <c r="H9" s="67"/>
    </row>
    <row r="10" spans="1:8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IFERROR(VLOOKUP(A10,'★은성(주문일-당일)'!A:RV,9,FALSE),0)</f>
        <v>44</v>
      </c>
      <c r="D10" s="226">
        <f>IFERROR(ROUNDDOWN(C10/B10,0),"")</f>
        <v>1</v>
      </c>
      <c r="E10" s="51" t="s">
        <v>261</v>
      </c>
      <c r="F10" s="227">
        <f>IFERROR(C10-(D10*B10),"")</f>
        <v>14</v>
      </c>
      <c r="G10" s="67"/>
      <c r="H10" s="67"/>
    </row>
    <row r="11" spans="1:8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IFERROR(VLOOKUP(A11,'★은성(주문일-당일)'!A:RV,9,FALSE),0)</f>
        <v>67</v>
      </c>
      <c r="D11" s="226">
        <f t="shared" si="0"/>
        <v>2</v>
      </c>
      <c r="E11" s="51" t="s">
        <v>240</v>
      </c>
      <c r="F11" s="227">
        <f t="shared" si="1"/>
        <v>7</v>
      </c>
      <c r="G11" s="67"/>
      <c r="H11" s="67"/>
    </row>
    <row r="12" spans="1:8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IFERROR(VLOOKUP(A12,'★은성(주문일-당일)'!A:RV,9,FALSE),0)</f>
        <v>25</v>
      </c>
      <c r="D12" s="226">
        <f t="shared" si="0"/>
        <v>0</v>
      </c>
      <c r="E12" s="51" t="s">
        <v>108</v>
      </c>
      <c r="F12" s="227">
        <f t="shared" si="1"/>
        <v>25</v>
      </c>
      <c r="G12" s="67"/>
      <c r="H12" s="67"/>
    </row>
    <row r="13" spans="1:8" ht="4.5" customHeight="1" x14ac:dyDescent="0.3">
      <c r="A13" s="272"/>
      <c r="B13" s="273"/>
      <c r="C13" s="273"/>
      <c r="D13" s="273"/>
      <c r="E13" s="273"/>
      <c r="F13" s="274"/>
    </row>
    <row r="14" spans="1:8" ht="32.450000000000003" customHeight="1" x14ac:dyDescent="0.3">
      <c r="A14" s="209" t="s">
        <v>122</v>
      </c>
      <c r="B14" s="231">
        <f>$B$4</f>
        <v>30</v>
      </c>
      <c r="C14" s="210">
        <f>SUM(C4:C12)</f>
        <v>334</v>
      </c>
      <c r="D14" s="55">
        <f>IFERROR(ROUNDDOWN(C14/B14,0),"")</f>
        <v>11</v>
      </c>
      <c r="E14" s="211"/>
      <c r="F14" s="212">
        <f>IFERROR(C14-(D14*B14),"")</f>
        <v>4</v>
      </c>
    </row>
    <row r="15" spans="1:8" ht="4.5" customHeight="1" x14ac:dyDescent="0.3">
      <c r="A15" s="229"/>
      <c r="B15" s="225"/>
      <c r="C15" s="225"/>
      <c r="D15" s="225"/>
      <c r="E15" s="225"/>
      <c r="F15" s="230"/>
    </row>
    <row r="16" spans="1:8" ht="30" customHeight="1" x14ac:dyDescent="0.3">
      <c r="A16" s="228" t="s">
        <v>262</v>
      </c>
      <c r="B16" s="225">
        <f t="shared" ref="B16:B17" si="5">$B$4</f>
        <v>30</v>
      </c>
      <c r="C16" s="226">
        <f>IFERROR(VLOOKUP(A16,'★은성(주문일-당일)'!A:RV,9,FALSE),0)</f>
        <v>13</v>
      </c>
      <c r="D16" s="226">
        <f>IFERROR(ROUNDDOWN(C16/B16,0),"")</f>
        <v>0</v>
      </c>
      <c r="E16" s="51" t="s">
        <v>237</v>
      </c>
      <c r="F16" s="227">
        <f>IFERROR(C16-(D16*B16),"")</f>
        <v>13</v>
      </c>
      <c r="G16" s="67"/>
      <c r="H16" s="67"/>
    </row>
    <row r="17" spans="1:8" ht="30" customHeight="1" x14ac:dyDescent="0.3">
      <c r="A17" s="228" t="s">
        <v>263</v>
      </c>
      <c r="B17" s="225">
        <f t="shared" si="5"/>
        <v>30</v>
      </c>
      <c r="C17" s="226">
        <f>IFERROR(VLOOKUP(A17,'★은성(주문일-당일)'!A:RV,9,FALSE),0)</f>
        <v>14</v>
      </c>
      <c r="D17" s="226">
        <f>IFERROR(ROUNDDOWN(C17/B17,0),"")</f>
        <v>0</v>
      </c>
      <c r="E17" s="51" t="s">
        <v>236</v>
      </c>
      <c r="F17" s="227">
        <f>IFERROR(C17-(D17*B17),"")</f>
        <v>14</v>
      </c>
      <c r="G17" s="67"/>
      <c r="H17" s="67"/>
    </row>
    <row r="18" spans="1:8" ht="4.5" customHeight="1" x14ac:dyDescent="0.3">
      <c r="A18" s="272"/>
      <c r="B18" s="273"/>
      <c r="C18" s="273"/>
      <c r="D18" s="273"/>
      <c r="E18" s="273"/>
      <c r="F18" s="274"/>
      <c r="G18" s="67"/>
      <c r="H18" s="67"/>
    </row>
    <row r="19" spans="1:8" ht="32.450000000000003" customHeight="1" x14ac:dyDescent="0.3">
      <c r="A19" s="209" t="s">
        <v>244</v>
      </c>
      <c r="B19" s="231">
        <f>$B$4</f>
        <v>30</v>
      </c>
      <c r="C19" s="210">
        <f>SUM(C16:C17)</f>
        <v>27</v>
      </c>
      <c r="D19" s="55">
        <f>IFERROR(ROUNDDOWN(C19/B19,0),"")</f>
        <v>0</v>
      </c>
      <c r="E19" s="211"/>
      <c r="F19" s="212">
        <f>IFERROR(C19-(D19*B19),"")</f>
        <v>27</v>
      </c>
      <c r="G19" s="67"/>
      <c r="H19" s="67"/>
    </row>
    <row r="20" spans="1:8" ht="4.5" customHeight="1" x14ac:dyDescent="0.3">
      <c r="A20" s="272"/>
      <c r="B20" s="273"/>
      <c r="C20" s="273"/>
      <c r="D20" s="273"/>
      <c r="E20" s="273"/>
      <c r="F20" s="274"/>
      <c r="G20" s="67"/>
      <c r="H20" s="67"/>
    </row>
    <row r="21" spans="1:8" ht="30" customHeight="1" x14ac:dyDescent="0.3">
      <c r="A21" s="228" t="s">
        <v>264</v>
      </c>
      <c r="B21" s="225">
        <f t="shared" ref="B21:B22" si="6">$B$4</f>
        <v>30</v>
      </c>
      <c r="C21" s="226">
        <f>IFERROR(VLOOKUP(A21,'★은성(주문일-당일)'!A:RV,9,FALSE),0)</f>
        <v>19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19</v>
      </c>
      <c r="G21" s="67"/>
      <c r="H21" s="67"/>
    </row>
    <row r="22" spans="1:8" ht="30" customHeight="1" x14ac:dyDescent="0.3">
      <c r="A22" s="228" t="s">
        <v>265</v>
      </c>
      <c r="B22" s="225">
        <f t="shared" si="6"/>
        <v>30</v>
      </c>
      <c r="C22" s="226">
        <f>IFERROR(VLOOKUP(A22,'★은성(주문일-당일)'!A:RV,9,FALSE),0)</f>
        <v>11</v>
      </c>
      <c r="D22" s="226">
        <f t="shared" si="7"/>
        <v>0</v>
      </c>
      <c r="E22" s="51" t="s">
        <v>269</v>
      </c>
      <c r="F22" s="227">
        <f t="shared" si="8"/>
        <v>11</v>
      </c>
      <c r="G22" s="67"/>
      <c r="H22" s="67"/>
    </row>
    <row r="23" spans="1:8" ht="4.5" customHeight="1" x14ac:dyDescent="0.3">
      <c r="A23" s="272"/>
      <c r="B23" s="273"/>
      <c r="C23" s="273"/>
      <c r="D23" s="273"/>
      <c r="E23" s="273"/>
      <c r="F23" s="274"/>
      <c r="G23" s="67"/>
      <c r="H23" s="67"/>
    </row>
    <row r="24" spans="1:8" ht="32.450000000000003" customHeight="1" x14ac:dyDescent="0.3">
      <c r="A24" s="209" t="s">
        <v>243</v>
      </c>
      <c r="B24" s="231">
        <f>$B$4</f>
        <v>30</v>
      </c>
      <c r="C24" s="210">
        <f>SUM(C21:C22)</f>
        <v>30</v>
      </c>
      <c r="D24" s="55">
        <f>IFERROR(ROUNDDOWN(C24/B24,0),"")</f>
        <v>1</v>
      </c>
      <c r="E24" s="211"/>
      <c r="F24" s="212">
        <f>IFERROR(C24-(D24*B24),"")</f>
        <v>0</v>
      </c>
      <c r="G24" s="67"/>
      <c r="H24" s="67"/>
    </row>
    <row r="25" spans="1:8" ht="4.5" customHeight="1" x14ac:dyDescent="0.3">
      <c r="A25" s="229"/>
      <c r="B25" s="225"/>
      <c r="C25" s="225"/>
      <c r="D25" s="225"/>
      <c r="E25" s="225"/>
      <c r="F25" s="230"/>
      <c r="G25" s="67"/>
      <c r="H25" s="67"/>
    </row>
    <row r="26" spans="1:8" ht="30" customHeight="1" x14ac:dyDescent="0.3">
      <c r="A26" s="228" t="s">
        <v>266</v>
      </c>
      <c r="B26" s="225">
        <f t="shared" ref="B26:B27" si="9">$B$4</f>
        <v>30</v>
      </c>
      <c r="C26" s="226">
        <f>IFERROR(VLOOKUP(A26,'★은성(주문일-당일)'!A:RV,9,FALSE),0)</f>
        <v>8</v>
      </c>
      <c r="D26" s="226">
        <f t="shared" ref="D26:D27" si="10">IFERROR(ROUNDDOWN(C26/B26,0),"")</f>
        <v>0</v>
      </c>
      <c r="E26" s="51" t="s">
        <v>239</v>
      </c>
      <c r="F26" s="227">
        <f t="shared" ref="F26:F27" si="11">IFERROR(C26-(D26*B26),"")</f>
        <v>8</v>
      </c>
      <c r="G26" s="67"/>
      <c r="H26" s="67"/>
    </row>
    <row r="27" spans="1:8" ht="30" customHeight="1" x14ac:dyDescent="0.3">
      <c r="A27" s="228" t="s">
        <v>267</v>
      </c>
      <c r="B27" s="225">
        <f t="shared" si="9"/>
        <v>30</v>
      </c>
      <c r="C27" s="226">
        <f>IFERROR(VLOOKUP(A27,'★은성(주문일-당일)'!A:RV,9,FALSE),0)</f>
        <v>14</v>
      </c>
      <c r="D27" s="226">
        <f t="shared" si="10"/>
        <v>0</v>
      </c>
      <c r="E27" s="51" t="s">
        <v>270</v>
      </c>
      <c r="F27" s="227">
        <f t="shared" si="11"/>
        <v>14</v>
      </c>
      <c r="G27" s="67"/>
      <c r="H27" s="67"/>
    </row>
    <row r="28" spans="1:8" ht="4.5" customHeight="1" x14ac:dyDescent="0.3">
      <c r="A28" s="272"/>
      <c r="B28" s="273"/>
      <c r="C28" s="273"/>
      <c r="D28" s="273"/>
      <c r="E28" s="273"/>
      <c r="F28" s="274"/>
      <c r="G28" s="67"/>
      <c r="H28" s="67"/>
    </row>
    <row r="29" spans="1:8" ht="32.450000000000003" customHeight="1" x14ac:dyDescent="0.3">
      <c r="A29" s="209" t="s">
        <v>242</v>
      </c>
      <c r="B29" s="231">
        <f>$B$4</f>
        <v>30</v>
      </c>
      <c r="C29" s="210">
        <f>SUM(C26:C27)</f>
        <v>22</v>
      </c>
      <c r="D29" s="55">
        <f>IFERROR(ROUNDDOWN(C29/B29,0),"")</f>
        <v>0</v>
      </c>
      <c r="E29" s="211"/>
      <c r="F29" s="212">
        <f>IFERROR(C29-(D29*B29),"")</f>
        <v>22</v>
      </c>
      <c r="G29" s="67"/>
      <c r="H29" s="67"/>
    </row>
    <row r="30" spans="1:8" ht="4.5" customHeight="1" x14ac:dyDescent="0.3">
      <c r="A30" s="229"/>
      <c r="B30" s="225"/>
      <c r="C30" s="225"/>
      <c r="D30" s="225"/>
      <c r="E30" s="225"/>
      <c r="F30" s="230"/>
      <c r="G30" s="67"/>
      <c r="H30" s="67"/>
    </row>
    <row r="31" spans="1:8" ht="30" customHeight="1" x14ac:dyDescent="0.3">
      <c r="A31" s="228" t="s">
        <v>268</v>
      </c>
      <c r="B31" s="225">
        <f t="shared" ref="B31" si="12">$B$4</f>
        <v>30</v>
      </c>
      <c r="C31" s="226">
        <f>IFERROR(VLOOKUP(A31,'★은성(주문일-당일)'!A:RV,9,FALSE),0)</f>
        <v>5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5</v>
      </c>
      <c r="G31" s="67"/>
      <c r="H31" s="67"/>
    </row>
    <row r="32" spans="1:8" ht="4.5" customHeight="1" x14ac:dyDescent="0.3">
      <c r="A32" s="272"/>
      <c r="B32" s="273"/>
      <c r="C32" s="273"/>
      <c r="D32" s="273"/>
      <c r="E32" s="273"/>
      <c r="F32" s="274"/>
      <c r="G32" s="67"/>
      <c r="H32" s="67"/>
    </row>
    <row r="33" spans="1:8" ht="32.450000000000003" customHeight="1" x14ac:dyDescent="0.3">
      <c r="A33" s="209" t="s">
        <v>246</v>
      </c>
      <c r="B33" s="231">
        <f>$B$4</f>
        <v>30</v>
      </c>
      <c r="C33" s="210">
        <f>SUM(C31:C31)</f>
        <v>5</v>
      </c>
      <c r="D33" s="55">
        <f>IFERROR(ROUNDDOWN(C33/B33,0),"")</f>
        <v>0</v>
      </c>
      <c r="E33" s="211"/>
      <c r="F33" s="212">
        <f>IFERROR(C33-(D33*B33),"")</f>
        <v>5</v>
      </c>
      <c r="G33" s="67"/>
      <c r="H33" s="67"/>
    </row>
    <row r="34" spans="1:8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</row>
    <row r="35" spans="1:8" ht="26.25" x14ac:dyDescent="0.3">
      <c r="A35" s="207" t="s">
        <v>3</v>
      </c>
      <c r="B35" s="232">
        <f>$B$4</f>
        <v>30</v>
      </c>
      <c r="C35" s="55">
        <f>SUM(C4:C12,C26:C27,C21:C22,C16:C17,C31:C31)</f>
        <v>418</v>
      </c>
      <c r="D35" s="54">
        <f>IFERROR(ROUNDDOWN(C35/B35,0),"")</f>
        <v>13</v>
      </c>
      <c r="E35" s="56"/>
      <c r="F35" s="121">
        <f>IFERROR(C35-(D35*B35),"")</f>
        <v>28</v>
      </c>
      <c r="G35" s="217" t="s">
        <v>110</v>
      </c>
      <c r="H35" s="216" t="s">
        <v>111</v>
      </c>
    </row>
    <row r="36" spans="1:8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7</v>
      </c>
      <c r="E36" s="48"/>
      <c r="F36" s="93">
        <f>SUM(F4:F12,F26:F27,F21:F22,F16:F17,F31:F31)</f>
        <v>208</v>
      </c>
      <c r="G36" s="213">
        <f>IFERROR(ROUNDDOWN(F36/B26,0),"")</f>
        <v>6</v>
      </c>
      <c r="H36" s="214">
        <f>IFERROR(F36-(G36*B26),"")</f>
        <v>28</v>
      </c>
    </row>
    <row r="37" spans="1:8" ht="22.5" customHeight="1" x14ac:dyDescent="0.3">
      <c r="C37" s="77">
        <f>C14+C19+C24+C29+C33</f>
        <v>418</v>
      </c>
      <c r="G37" s="197"/>
      <c r="H37" s="34" t="s">
        <v>174</v>
      </c>
    </row>
    <row r="38" spans="1:8" x14ac:dyDescent="0.3">
      <c r="C38" s="34" t="b">
        <f>C37=C35</f>
        <v>1</v>
      </c>
    </row>
  </sheetData>
  <sortState xmlns:xlrd2="http://schemas.microsoft.com/office/spreadsheetml/2017/richdata2" ref="A26:R30">
    <sortCondition ref="A26:A3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32:F32"/>
    <mergeCell ref="A1:F1"/>
    <mergeCell ref="B2:F2"/>
    <mergeCell ref="A28:F28"/>
    <mergeCell ref="A23:F23"/>
    <mergeCell ref="A18:F18"/>
    <mergeCell ref="A20:F20"/>
    <mergeCell ref="A13:F13"/>
  </mergeCells>
  <phoneticPr fontId="13" type="noConversion"/>
  <printOptions horizontalCentered="1" verticalCentered="1"/>
  <pageMargins left="0" right="0" top="0" bottom="0" header="0" footer="0"/>
  <pageSetup paperSize="9" scale="8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5" tint="0.59999389629810485"/>
    <pageSetUpPr fitToPage="1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.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1" ht="57" customHeight="1" x14ac:dyDescent="0.3">
      <c r="A3" s="219" t="s">
        <v>67</v>
      </c>
      <c r="B3" s="220" t="s">
        <v>13</v>
      </c>
      <c r="C3" s="221" t="s">
        <v>315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IFERROR(VLOOKUP(A4,'★은성(주문일-당일)'!A:RV,10,FALSE),0)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IFERROR(VLOOKUP(A5,'★은성(주문일-당일)'!A:RV,10,FALSE),0)</f>
        <v>20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20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IFERROR(VLOOKUP(A6,'★은성(주문일-당일)'!A:RV,10,FALSE),0)</f>
        <v>28</v>
      </c>
      <c r="D6" s="226">
        <f>IFERROR(ROUNDDOWN(C6/B6,0),"")</f>
        <v>0</v>
      </c>
      <c r="E6" s="51" t="s">
        <v>257</v>
      </c>
      <c r="F6" s="227">
        <f>IFERROR(C6-(D6*B6),"")</f>
        <v>28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IFERROR(VLOOKUP(A7,'★은성(주문일-당일)'!A:RV,10,FALSE),0)</f>
        <v>36</v>
      </c>
      <c r="D7" s="226">
        <f>IFERROR(ROUNDDOWN(C7/B7,0),"")</f>
        <v>1</v>
      </c>
      <c r="E7" s="51" t="s">
        <v>258</v>
      </c>
      <c r="F7" s="227">
        <f>IFERROR(C7-(D7*B7),"")</f>
        <v>6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IFERROR(VLOOKUP(A8,'★은성(주문일-당일)'!A:RV,10,FALSE),0)</f>
        <v>49</v>
      </c>
      <c r="D8" s="226">
        <f>IFERROR(ROUNDDOWN(C8/B8,0),"")</f>
        <v>1</v>
      </c>
      <c r="E8" s="51" t="s">
        <v>259</v>
      </c>
      <c r="F8" s="227">
        <f>IFERROR(C8-(D8*B8),"")</f>
        <v>19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IFERROR(VLOOKUP(A9,'★은성(주문일-당일)'!A:RV,10,FALSE),0)</f>
        <v>36</v>
      </c>
      <c r="D9" s="226">
        <f t="shared" si="0"/>
        <v>1</v>
      </c>
      <c r="E9" s="51" t="s">
        <v>260</v>
      </c>
      <c r="F9" s="227">
        <f t="shared" si="1"/>
        <v>6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IFERROR(VLOOKUP(A10,'★은성(주문일-당일)'!A:RV,10,FALSE),0)</f>
        <v>51</v>
      </c>
      <c r="D10" s="226">
        <f>IFERROR(ROUNDDOWN(C10/B10,0),"")</f>
        <v>1</v>
      </c>
      <c r="E10" s="51" t="s">
        <v>261</v>
      </c>
      <c r="F10" s="227">
        <f>IFERROR(C10-(D10*B10),"")</f>
        <v>21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IFERROR(VLOOKUP(A11,'★은성(주문일-당일)'!A:RV,10,FALSE),0)</f>
        <v>57</v>
      </c>
      <c r="D11" s="226">
        <f t="shared" si="0"/>
        <v>1</v>
      </c>
      <c r="E11" s="51" t="s">
        <v>240</v>
      </c>
      <c r="F11" s="227">
        <f t="shared" si="1"/>
        <v>27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IFERROR(VLOOKUP(A12,'★은성(주문일-당일)'!A:RV,10,FALSE),0)</f>
        <v>24</v>
      </c>
      <c r="D12" s="226">
        <f t="shared" si="0"/>
        <v>0</v>
      </c>
      <c r="E12" s="51" t="s">
        <v>108</v>
      </c>
      <c r="F12" s="227">
        <f t="shared" si="1"/>
        <v>24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301</v>
      </c>
      <c r="D14" s="55">
        <f>IFERROR(ROUNDDOWN(C14/B14,0),"")</f>
        <v>10</v>
      </c>
      <c r="E14" s="211"/>
      <c r="F14" s="212">
        <f>IFERROR(C14-(D14*B14),"")</f>
        <v>1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30</v>
      </c>
      <c r="C16" s="226">
        <f>IFERROR(VLOOKUP(A16,'★은성(주문일-당일)'!A:RV,10,FALSE),0)</f>
        <v>10</v>
      </c>
      <c r="D16" s="226">
        <f>IFERROR(ROUNDDOWN(C16/B16,0),"")</f>
        <v>0</v>
      </c>
      <c r="E16" s="51" t="s">
        <v>237</v>
      </c>
      <c r="F16" s="227">
        <f>IFERROR(C16-(D16*B16),"")</f>
        <v>10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30</v>
      </c>
      <c r="C17" s="226">
        <f>IFERROR(VLOOKUP(A17,'★은성(주문일-당일)'!A:RV,10,FALSE),0)</f>
        <v>14</v>
      </c>
      <c r="D17" s="226">
        <f>IFERROR(ROUNDDOWN(C17/B17,0),"")</f>
        <v>0</v>
      </c>
      <c r="E17" s="51" t="s">
        <v>236</v>
      </c>
      <c r="F17" s="227">
        <f>IFERROR(C17-(D17*B17),"")</f>
        <v>14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24</v>
      </c>
      <c r="D19" s="55">
        <f>IFERROR(ROUNDDOWN(C19/B19,0),"")</f>
        <v>0</v>
      </c>
      <c r="E19" s="211"/>
      <c r="F19" s="212">
        <f>IFERROR(C19-(D19*B19),"")</f>
        <v>24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30</v>
      </c>
      <c r="C21" s="226">
        <f>IFERROR(VLOOKUP(A21,'★은성(주문일-당일)'!A:RV,10,FALSE),0)</f>
        <v>17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17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30</v>
      </c>
      <c r="C22" s="226">
        <f>IFERROR(VLOOKUP(A22,'★은성(주문일-당일)'!A:RV,10,FALSE),0)</f>
        <v>22</v>
      </c>
      <c r="D22" s="226">
        <f t="shared" si="7"/>
        <v>0</v>
      </c>
      <c r="E22" s="51" t="s">
        <v>269</v>
      </c>
      <c r="F22" s="227">
        <f t="shared" si="8"/>
        <v>22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39</v>
      </c>
      <c r="D24" s="55">
        <f>IFERROR(ROUNDDOWN(C24/B24,0),"")</f>
        <v>1</v>
      </c>
      <c r="E24" s="211"/>
      <c r="F24" s="212">
        <f>IFERROR(C24-(D24*B24),"")</f>
        <v>9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30</v>
      </c>
      <c r="C26" s="226">
        <f>IFERROR(VLOOKUP(A26,'★은성(주문일-당일)'!A:RV,10,FALSE),0)</f>
        <v>8</v>
      </c>
      <c r="D26" s="226">
        <f>IFERROR(ROUNDDOWN(C26/B26,0),"")</f>
        <v>0</v>
      </c>
      <c r="E26" s="51" t="s">
        <v>239</v>
      </c>
      <c r="F26" s="227">
        <f>IFERROR(C26-(D26*B26),"")</f>
        <v>8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30</v>
      </c>
      <c r="C27" s="226">
        <f>IFERROR(VLOOKUP(A27,'★은성(주문일-당일)'!A:RV,10,FALSE),0)</f>
        <v>11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11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19</v>
      </c>
      <c r="D29" s="55">
        <f>IFERROR(ROUNDDOWN(C29/B29,0),"")</f>
        <v>0</v>
      </c>
      <c r="E29" s="211"/>
      <c r="F29" s="212">
        <f>IFERROR(C29-(D29*B29),"")</f>
        <v>19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30</v>
      </c>
      <c r="C31" s="226">
        <f>IFERROR(VLOOKUP(A31,'★은성(주문일-당일)'!A:RV,10,FALSE),0)</f>
        <v>11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11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11</v>
      </c>
      <c r="D33" s="55">
        <f>IFERROR(ROUNDDOWN(C33/B33,0),"")</f>
        <v>0</v>
      </c>
      <c r="E33" s="211"/>
      <c r="F33" s="212">
        <f>IFERROR(C33-(D33*B33),"")</f>
        <v>11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394</v>
      </c>
      <c r="D35" s="54">
        <f>IFERROR(ROUNDDOWN(C35/B35,0),"")</f>
        <v>13</v>
      </c>
      <c r="E35" s="56"/>
      <c r="F35" s="121">
        <f>IFERROR(C35-(D35*B35),"")</f>
        <v>4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5</v>
      </c>
      <c r="E36" s="48"/>
      <c r="F36" s="93">
        <f>SUM(F4:F12,F26:F27,F21:F22,F16:F17,F31:F31)</f>
        <v>244</v>
      </c>
      <c r="G36" s="213">
        <f>IFERROR(ROUNDDOWN(F36/B26,0),"")</f>
        <v>8</v>
      </c>
      <c r="H36" s="214">
        <f>IFERROR(F36-(G36*B26),"")</f>
        <v>4</v>
      </c>
    </row>
    <row r="37" spans="1:11" ht="22.5" customHeight="1" x14ac:dyDescent="0.3">
      <c r="C37" s="77">
        <f>C14+C19+C24+C29+C33</f>
        <v>394</v>
      </c>
      <c r="G37" s="197"/>
      <c r="H37" s="34" t="s">
        <v>174</v>
      </c>
    </row>
    <row r="38" spans="1:11" x14ac:dyDescent="0.3">
      <c r="C38" s="34" t="b">
        <f>C37=C35</f>
        <v>1</v>
      </c>
    </row>
  </sheetData>
  <sortState xmlns:xlrd2="http://schemas.microsoft.com/office/spreadsheetml/2017/richdata2" ref="A27:R30">
    <sortCondition ref="A27:A3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32:F32"/>
    <mergeCell ref="A1:F1"/>
    <mergeCell ref="B2:F2"/>
    <mergeCell ref="A28:F28"/>
    <mergeCell ref="A23:F23"/>
    <mergeCell ref="A18:F18"/>
    <mergeCell ref="A20:F20"/>
    <mergeCell ref="A13:F13"/>
  </mergeCells>
  <phoneticPr fontId="13" type="noConversion"/>
  <printOptions horizontalCentered="1" verticalCentered="1"/>
  <pageMargins left="0" right="0" top="0" bottom="0" header="0" footer="0"/>
  <pageSetup paperSize="9" scale="8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5" tint="0.59999389629810485"/>
    <pageSetUpPr fitToPage="1"/>
  </sheetPr>
  <dimension ref="A1:L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.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69"/>
      <c r="B1" s="269"/>
      <c r="C1" s="269"/>
      <c r="D1" s="269"/>
      <c r="E1" s="269"/>
      <c r="F1" s="269"/>
    </row>
    <row r="2" spans="1:12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12" ht="57" customHeight="1" x14ac:dyDescent="0.3">
      <c r="A3" s="219" t="s">
        <v>67</v>
      </c>
      <c r="B3" s="220" t="s">
        <v>13</v>
      </c>
      <c r="C3" s="220" t="s">
        <v>273</v>
      </c>
      <c r="D3" s="222" t="s">
        <v>2</v>
      </c>
      <c r="E3" s="220" t="s">
        <v>23</v>
      </c>
      <c r="F3" s="223" t="s">
        <v>14</v>
      </c>
      <c r="G3" s="67"/>
      <c r="H3" s="67"/>
      <c r="K3" s="73"/>
      <c r="L3" s="73"/>
    </row>
    <row r="4" spans="1:12" ht="30" customHeight="1" x14ac:dyDescent="0.3">
      <c r="A4" s="224" t="s">
        <v>247</v>
      </c>
      <c r="B4" s="225">
        <v>36</v>
      </c>
      <c r="C4" s="226">
        <f>IFERROR(VLOOKUP(A4,'★은성(주문일-당일)'!A:RV,11,FALSE),0)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K4" s="73"/>
      <c r="L4" s="73"/>
    </row>
    <row r="5" spans="1:12" ht="30" customHeight="1" x14ac:dyDescent="0.3">
      <c r="A5" s="228" t="s">
        <v>248</v>
      </c>
      <c r="B5" s="225">
        <f t="shared" ref="B5:B12" si="2">$B$4</f>
        <v>36</v>
      </c>
      <c r="C5" s="226">
        <f>IFERROR(VLOOKUP(A5,'★은성(주문일-당일)'!A:RV,11,FALSE),0)</f>
        <v>9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9</v>
      </c>
      <c r="G5" s="67"/>
      <c r="H5" s="67"/>
      <c r="K5" s="73"/>
      <c r="L5" s="73"/>
    </row>
    <row r="6" spans="1:12" ht="30" customHeight="1" x14ac:dyDescent="0.3">
      <c r="A6" s="228" t="s">
        <v>249</v>
      </c>
      <c r="B6" s="225">
        <f t="shared" si="2"/>
        <v>36</v>
      </c>
      <c r="C6" s="226">
        <f>IFERROR(VLOOKUP(A6,'★은성(주문일-당일)'!A:RV,11,FALSE),0)</f>
        <v>12</v>
      </c>
      <c r="D6" s="226">
        <f>IFERROR(ROUNDDOWN(C6/B6,0),"")</f>
        <v>0</v>
      </c>
      <c r="E6" s="51" t="s">
        <v>257</v>
      </c>
      <c r="F6" s="227">
        <f>IFERROR(C6-(D6*B6),"")</f>
        <v>12</v>
      </c>
      <c r="G6" s="67"/>
      <c r="H6" s="67"/>
      <c r="K6" s="73"/>
      <c r="L6" s="73"/>
    </row>
    <row r="7" spans="1:12" ht="30" customHeight="1" x14ac:dyDescent="0.3">
      <c r="A7" s="228" t="s">
        <v>250</v>
      </c>
      <c r="B7" s="225">
        <f t="shared" si="2"/>
        <v>36</v>
      </c>
      <c r="C7" s="226">
        <f>IFERROR(VLOOKUP(A7,'★은성(주문일-당일)'!A:RV,11,FALSE),0)</f>
        <v>14</v>
      </c>
      <c r="D7" s="226">
        <f>IFERROR(ROUNDDOWN(C7/B7,0),"")</f>
        <v>0</v>
      </c>
      <c r="E7" s="51" t="s">
        <v>258</v>
      </c>
      <c r="F7" s="227">
        <f>IFERROR(C7-(D7*B7),"")</f>
        <v>14</v>
      </c>
      <c r="G7" s="67"/>
      <c r="H7" s="67"/>
      <c r="K7" s="73"/>
      <c r="L7" s="73"/>
    </row>
    <row r="8" spans="1:12" ht="30" customHeight="1" x14ac:dyDescent="0.3">
      <c r="A8" s="228" t="s">
        <v>251</v>
      </c>
      <c r="B8" s="225">
        <f t="shared" si="2"/>
        <v>36</v>
      </c>
      <c r="C8" s="226">
        <f>IFERROR(VLOOKUP(A8,'★은성(주문일-당일)'!A:RV,11,FALSE),0)</f>
        <v>10</v>
      </c>
      <c r="D8" s="226">
        <f>IFERROR(ROUNDDOWN(C8/B8,0),"")</f>
        <v>0</v>
      </c>
      <c r="E8" s="51" t="s">
        <v>259</v>
      </c>
      <c r="F8" s="227">
        <f>IFERROR(C8-(D8*B8),"")</f>
        <v>10</v>
      </c>
      <c r="G8" s="67"/>
      <c r="H8" s="67"/>
      <c r="K8" s="73"/>
      <c r="L8" s="73"/>
    </row>
    <row r="9" spans="1:12" ht="30" customHeight="1" x14ac:dyDescent="0.3">
      <c r="A9" s="228" t="s">
        <v>252</v>
      </c>
      <c r="B9" s="225">
        <f t="shared" si="2"/>
        <v>36</v>
      </c>
      <c r="C9" s="226">
        <f>IFERROR(VLOOKUP(A9,'★은성(주문일-당일)'!A:RV,11,FALSE),0)</f>
        <v>13</v>
      </c>
      <c r="D9" s="226">
        <f t="shared" si="0"/>
        <v>0</v>
      </c>
      <c r="E9" s="51" t="s">
        <v>260</v>
      </c>
      <c r="F9" s="227">
        <f t="shared" si="1"/>
        <v>13</v>
      </c>
      <c r="G9" s="67"/>
      <c r="H9" s="67"/>
      <c r="K9" s="73"/>
      <c r="L9" s="73"/>
    </row>
    <row r="10" spans="1:12" ht="30" customHeight="1" x14ac:dyDescent="0.3">
      <c r="A10" s="228" t="s">
        <v>253</v>
      </c>
      <c r="B10" s="225">
        <f t="shared" si="2"/>
        <v>36</v>
      </c>
      <c r="C10" s="226">
        <f>IFERROR(VLOOKUP(A10,'★은성(주문일-당일)'!A:RV,11,FALSE),0)</f>
        <v>22</v>
      </c>
      <c r="D10" s="226">
        <f>IFERROR(ROUNDDOWN(C10/B10,0),"")</f>
        <v>0</v>
      </c>
      <c r="E10" s="51" t="s">
        <v>261</v>
      </c>
      <c r="F10" s="227">
        <f>IFERROR(C10-(D10*B10),"")</f>
        <v>22</v>
      </c>
      <c r="G10" s="67"/>
      <c r="H10" s="67"/>
      <c r="K10" s="73"/>
      <c r="L10" s="73"/>
    </row>
    <row r="11" spans="1:12" ht="30" customHeight="1" x14ac:dyDescent="0.3">
      <c r="A11" s="228" t="s">
        <v>254</v>
      </c>
      <c r="B11" s="225">
        <f t="shared" si="2"/>
        <v>36</v>
      </c>
      <c r="C11" s="226">
        <f>IFERROR(VLOOKUP(A11,'★은성(주문일-당일)'!A:RV,11,FALSE),0)</f>
        <v>21</v>
      </c>
      <c r="D11" s="226">
        <f t="shared" si="0"/>
        <v>0</v>
      </c>
      <c r="E11" s="51" t="s">
        <v>240</v>
      </c>
      <c r="F11" s="227">
        <f t="shared" si="1"/>
        <v>21</v>
      </c>
      <c r="G11" s="67"/>
      <c r="H11" s="67"/>
      <c r="K11" s="73"/>
      <c r="L11" s="73"/>
    </row>
    <row r="12" spans="1:12" ht="30" customHeight="1" x14ac:dyDescent="0.3">
      <c r="A12" s="228" t="s">
        <v>255</v>
      </c>
      <c r="B12" s="225">
        <f t="shared" si="2"/>
        <v>36</v>
      </c>
      <c r="C12" s="226">
        <f>IFERROR(VLOOKUP(A12,'★은성(주문일-당일)'!A:RV,11,FALSE),0)</f>
        <v>6</v>
      </c>
      <c r="D12" s="226">
        <f t="shared" si="0"/>
        <v>0</v>
      </c>
      <c r="E12" s="51" t="s">
        <v>108</v>
      </c>
      <c r="F12" s="227">
        <f t="shared" si="1"/>
        <v>6</v>
      </c>
      <c r="G12" s="67"/>
      <c r="H12" s="67"/>
      <c r="K12" s="73"/>
      <c r="L12" s="73"/>
    </row>
    <row r="13" spans="1:12" ht="4.5" customHeight="1" x14ac:dyDescent="0.3">
      <c r="A13" s="266"/>
      <c r="B13" s="267"/>
      <c r="C13" s="267"/>
      <c r="D13" s="267"/>
      <c r="E13" s="267"/>
      <c r="F13" s="268"/>
      <c r="K13" s="73"/>
      <c r="L13" s="73"/>
    </row>
    <row r="14" spans="1:12" ht="32.450000000000003" customHeight="1" x14ac:dyDescent="0.3">
      <c r="A14" s="209" t="s">
        <v>122</v>
      </c>
      <c r="B14" s="231">
        <f>$B$4</f>
        <v>36</v>
      </c>
      <c r="C14" s="210">
        <f>SUM(C4:C12)</f>
        <v>107</v>
      </c>
      <c r="D14" s="55">
        <f>IFERROR(ROUNDDOWN(C14/B14,0),"")</f>
        <v>2</v>
      </c>
      <c r="E14" s="211"/>
      <c r="F14" s="212">
        <f>IFERROR(C14-(D14*B14),"")</f>
        <v>35</v>
      </c>
      <c r="K14" s="73"/>
      <c r="L14" s="73"/>
    </row>
    <row r="15" spans="1:12" ht="4.5" customHeight="1" x14ac:dyDescent="0.3">
      <c r="A15" s="229"/>
      <c r="B15" s="225"/>
      <c r="C15" s="225"/>
      <c r="D15" s="225"/>
      <c r="E15" s="225"/>
      <c r="F15" s="230"/>
      <c r="K15" s="73"/>
      <c r="L15" s="73"/>
    </row>
    <row r="16" spans="1:12" ht="30" customHeight="1" x14ac:dyDescent="0.3">
      <c r="A16" s="228" t="s">
        <v>262</v>
      </c>
      <c r="B16" s="225">
        <f t="shared" ref="B16:B17" si="5">$B$4</f>
        <v>36</v>
      </c>
      <c r="C16" s="226">
        <f>IFERROR(VLOOKUP(A16,'★은성(주문일-당일)'!A:RV,11,FALSE),0)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K16" s="73"/>
      <c r="L16" s="73"/>
    </row>
    <row r="17" spans="1:12" ht="30" customHeight="1" x14ac:dyDescent="0.3">
      <c r="A17" s="228" t="s">
        <v>263</v>
      </c>
      <c r="B17" s="225">
        <f t="shared" si="5"/>
        <v>36</v>
      </c>
      <c r="C17" s="226">
        <f>IFERROR(VLOOKUP(A17,'★은성(주문일-당일)'!A:RV,11,FALSE),0)</f>
        <v>2</v>
      </c>
      <c r="D17" s="226">
        <f>IFERROR(ROUNDDOWN(C17/B17,0),"")</f>
        <v>0</v>
      </c>
      <c r="E17" s="51" t="s">
        <v>236</v>
      </c>
      <c r="F17" s="227">
        <f>IFERROR(C17-(D17*B17),"")</f>
        <v>2</v>
      </c>
      <c r="G17" s="67"/>
      <c r="H17" s="67"/>
      <c r="K17" s="73"/>
      <c r="L17" s="73"/>
    </row>
    <row r="18" spans="1:12" ht="4.5" customHeight="1" x14ac:dyDescent="0.3">
      <c r="A18" s="266"/>
      <c r="B18" s="267"/>
      <c r="C18" s="267"/>
      <c r="D18" s="267"/>
      <c r="E18" s="267"/>
      <c r="F18" s="268"/>
      <c r="G18" s="67"/>
      <c r="H18" s="67"/>
      <c r="K18" s="73"/>
      <c r="L18" s="73"/>
    </row>
    <row r="19" spans="1:12" ht="32.450000000000003" customHeight="1" x14ac:dyDescent="0.3">
      <c r="A19" s="209" t="s">
        <v>244</v>
      </c>
      <c r="B19" s="231">
        <f>$B$4</f>
        <v>36</v>
      </c>
      <c r="C19" s="210">
        <f>SUM(C16:C17)</f>
        <v>2</v>
      </c>
      <c r="D19" s="55">
        <f>IFERROR(ROUNDDOWN(C19/B19,0),"")</f>
        <v>0</v>
      </c>
      <c r="E19" s="211"/>
      <c r="F19" s="212">
        <f>IFERROR(C19-(D19*B19),"")</f>
        <v>2</v>
      </c>
      <c r="G19" s="67"/>
      <c r="H19" s="67"/>
      <c r="K19" s="73"/>
      <c r="L19" s="73"/>
    </row>
    <row r="20" spans="1:12" ht="4.5" customHeight="1" x14ac:dyDescent="0.3">
      <c r="A20" s="266"/>
      <c r="B20" s="267"/>
      <c r="C20" s="267"/>
      <c r="D20" s="267"/>
      <c r="E20" s="267"/>
      <c r="F20" s="268"/>
      <c r="G20" s="67"/>
      <c r="H20" s="67"/>
      <c r="K20" s="73"/>
      <c r="L20" s="73"/>
    </row>
    <row r="21" spans="1:12" ht="30" customHeight="1" x14ac:dyDescent="0.3">
      <c r="A21" s="228" t="s">
        <v>264</v>
      </c>
      <c r="B21" s="225">
        <f t="shared" ref="B21:B22" si="6">$B$4</f>
        <v>36</v>
      </c>
      <c r="C21" s="226">
        <f>IFERROR(VLOOKUP(A21,'★은성(주문일-당일)'!A:RV,11,FALSE),0)</f>
        <v>4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4</v>
      </c>
      <c r="G21" s="67"/>
      <c r="H21" s="67"/>
      <c r="K21" s="73"/>
      <c r="L21" s="73"/>
    </row>
    <row r="22" spans="1:12" ht="30" customHeight="1" x14ac:dyDescent="0.3">
      <c r="A22" s="228" t="s">
        <v>265</v>
      </c>
      <c r="B22" s="225">
        <f t="shared" si="6"/>
        <v>36</v>
      </c>
      <c r="C22" s="226">
        <f>IFERROR(VLOOKUP(A22,'★은성(주문일-당일)'!A:RV,11,FALSE),0)</f>
        <v>7</v>
      </c>
      <c r="D22" s="226">
        <f t="shared" si="7"/>
        <v>0</v>
      </c>
      <c r="E22" s="51" t="s">
        <v>269</v>
      </c>
      <c r="F22" s="227">
        <f t="shared" si="8"/>
        <v>7</v>
      </c>
      <c r="G22" s="67"/>
      <c r="H22" s="67"/>
      <c r="K22" s="73"/>
      <c r="L22" s="73"/>
    </row>
    <row r="23" spans="1:12" ht="4.5" customHeight="1" x14ac:dyDescent="0.3">
      <c r="A23" s="266"/>
      <c r="B23" s="267"/>
      <c r="C23" s="267"/>
      <c r="D23" s="267"/>
      <c r="E23" s="267"/>
      <c r="F23" s="268"/>
      <c r="G23" s="67"/>
      <c r="H23" s="67"/>
      <c r="K23" s="73"/>
      <c r="L23" s="73"/>
    </row>
    <row r="24" spans="1:12" ht="32.450000000000003" customHeight="1" x14ac:dyDescent="0.3">
      <c r="A24" s="209" t="s">
        <v>243</v>
      </c>
      <c r="B24" s="231">
        <f>$B$4</f>
        <v>36</v>
      </c>
      <c r="C24" s="210">
        <f>SUM(C21:C22)</f>
        <v>11</v>
      </c>
      <c r="D24" s="55">
        <f>IFERROR(ROUNDDOWN(C24/B24,0),"")</f>
        <v>0</v>
      </c>
      <c r="E24" s="211"/>
      <c r="F24" s="212">
        <f>IFERROR(C24-(D24*B24),"")</f>
        <v>11</v>
      </c>
      <c r="G24" s="67"/>
      <c r="H24" s="67"/>
      <c r="K24" s="73"/>
      <c r="L24" s="73"/>
    </row>
    <row r="25" spans="1:12" ht="4.5" customHeight="1" x14ac:dyDescent="0.3">
      <c r="A25" s="229"/>
      <c r="B25" s="225"/>
      <c r="C25" s="225"/>
      <c r="D25" s="225"/>
      <c r="E25" s="225"/>
      <c r="F25" s="230"/>
      <c r="G25" s="67"/>
      <c r="H25" s="67"/>
      <c r="K25" s="73"/>
      <c r="L25" s="73"/>
    </row>
    <row r="26" spans="1:12" ht="30" customHeight="1" x14ac:dyDescent="0.3">
      <c r="A26" s="228" t="s">
        <v>266</v>
      </c>
      <c r="B26" s="225">
        <f t="shared" ref="B26:B27" si="9">$B$4</f>
        <v>36</v>
      </c>
      <c r="C26" s="226">
        <f>IFERROR(VLOOKUP(A26,'★은성(주문일-당일)'!A:RV,11,FALSE),0)</f>
        <v>1</v>
      </c>
      <c r="D26" s="226">
        <f>IFERROR(ROUNDDOWN(C26/B26,0),"")</f>
        <v>0</v>
      </c>
      <c r="E26" s="51" t="s">
        <v>239</v>
      </c>
      <c r="F26" s="227">
        <f>IFERROR(C26-(D26*B26),"")</f>
        <v>1</v>
      </c>
      <c r="G26" s="67"/>
      <c r="H26" s="67"/>
      <c r="K26" s="73"/>
      <c r="L26" s="73"/>
    </row>
    <row r="27" spans="1:12" ht="30" customHeight="1" x14ac:dyDescent="0.3">
      <c r="A27" s="228" t="s">
        <v>267</v>
      </c>
      <c r="B27" s="225">
        <f t="shared" si="9"/>
        <v>36</v>
      </c>
      <c r="C27" s="226">
        <f>IFERROR(VLOOKUP(A27,'★은성(주문일-당일)'!A:RV,11,FALSE),0)</f>
        <v>1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1</v>
      </c>
      <c r="G27" s="67"/>
      <c r="H27" s="67"/>
      <c r="K27" s="73"/>
      <c r="L27" s="73"/>
    </row>
    <row r="28" spans="1:12" ht="4.5" customHeight="1" x14ac:dyDescent="0.3">
      <c r="A28" s="266"/>
      <c r="B28" s="267"/>
      <c r="C28" s="267"/>
      <c r="D28" s="267"/>
      <c r="E28" s="267"/>
      <c r="F28" s="268"/>
      <c r="G28" s="67"/>
      <c r="H28" s="67"/>
      <c r="K28" s="73"/>
      <c r="L28" s="73"/>
    </row>
    <row r="29" spans="1:12" ht="32.450000000000003" customHeight="1" x14ac:dyDescent="0.3">
      <c r="A29" s="209" t="s">
        <v>242</v>
      </c>
      <c r="B29" s="231">
        <f>$B$4</f>
        <v>36</v>
      </c>
      <c r="C29" s="210">
        <f>SUM(C26:C27)</f>
        <v>2</v>
      </c>
      <c r="D29" s="55">
        <f>IFERROR(ROUNDDOWN(C29/B29,0),"")</f>
        <v>0</v>
      </c>
      <c r="E29" s="211"/>
      <c r="F29" s="212">
        <f>IFERROR(C29-(D29*B29),"")</f>
        <v>2</v>
      </c>
      <c r="G29" s="67"/>
      <c r="H29" s="67"/>
      <c r="K29" s="73"/>
      <c r="L29" s="73"/>
    </row>
    <row r="30" spans="1:12" ht="4.5" customHeight="1" x14ac:dyDescent="0.3">
      <c r="A30" s="229"/>
      <c r="B30" s="225"/>
      <c r="C30" s="225"/>
      <c r="D30" s="225"/>
      <c r="E30" s="225"/>
      <c r="F30" s="230"/>
      <c r="G30" s="67"/>
      <c r="H30" s="67"/>
      <c r="K30" s="73"/>
      <c r="L30" s="73"/>
    </row>
    <row r="31" spans="1:12" ht="30" customHeight="1" x14ac:dyDescent="0.3">
      <c r="A31" s="228" t="s">
        <v>268</v>
      </c>
      <c r="B31" s="225">
        <f t="shared" ref="B31" si="12">$B$4</f>
        <v>36</v>
      </c>
      <c r="C31" s="226">
        <f>IFERROR(VLOOKUP(A31,'★은성(주문일-당일)'!A:RV,11,FALSE),0)</f>
        <v>3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3</v>
      </c>
      <c r="G31" s="67"/>
      <c r="H31" s="67"/>
      <c r="K31" s="73"/>
      <c r="L31" s="73"/>
    </row>
    <row r="32" spans="1:12" ht="4.5" customHeight="1" x14ac:dyDescent="0.3">
      <c r="A32" s="266"/>
      <c r="B32" s="267"/>
      <c r="C32" s="267"/>
      <c r="D32" s="267"/>
      <c r="E32" s="267"/>
      <c r="F32" s="268"/>
      <c r="G32" s="67"/>
      <c r="H32" s="67"/>
      <c r="K32" s="73"/>
      <c r="L32" s="73"/>
    </row>
    <row r="33" spans="1:12" ht="32.450000000000003" customHeight="1" x14ac:dyDescent="0.3">
      <c r="A33" s="209" t="s">
        <v>246</v>
      </c>
      <c r="B33" s="231">
        <f>$B$4</f>
        <v>36</v>
      </c>
      <c r="C33" s="210">
        <f>SUM(C31:C31)</f>
        <v>3</v>
      </c>
      <c r="D33" s="55">
        <f>IFERROR(ROUNDDOWN(C33/B33,0),"")</f>
        <v>0</v>
      </c>
      <c r="E33" s="211"/>
      <c r="F33" s="212">
        <f>IFERROR(C33-(D33*B33),"")</f>
        <v>3</v>
      </c>
      <c r="G33" s="67"/>
      <c r="H33" s="67"/>
      <c r="K33" s="73"/>
      <c r="L33" s="73"/>
    </row>
    <row r="34" spans="1:12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K34" s="73"/>
      <c r="L34" s="73"/>
    </row>
    <row r="35" spans="1:12" ht="26.25" x14ac:dyDescent="0.3">
      <c r="A35" s="207" t="s">
        <v>3</v>
      </c>
      <c r="B35" s="232">
        <f>$B$4</f>
        <v>36</v>
      </c>
      <c r="C35" s="55">
        <f>SUM(C4:C12,C26:C27,C21:C22,C16:C17,C31:C31)</f>
        <v>125</v>
      </c>
      <c r="D35" s="54">
        <f>IFERROR(ROUNDDOWN(C35/B35,0),"")</f>
        <v>3</v>
      </c>
      <c r="E35" s="56"/>
      <c r="F35" s="121">
        <f>IFERROR(C35-(D35*B35),"")</f>
        <v>17</v>
      </c>
      <c r="G35" s="217" t="s">
        <v>110</v>
      </c>
      <c r="H35" s="216" t="s">
        <v>111</v>
      </c>
      <c r="K35" s="73"/>
      <c r="L35" s="73"/>
    </row>
    <row r="36" spans="1:12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125</v>
      </c>
      <c r="G36" s="213">
        <f>IFERROR(ROUNDDOWN(F36/B26,0),"")</f>
        <v>3</v>
      </c>
      <c r="H36" s="214">
        <f>IFERROR(F36-(G36*B26),"")</f>
        <v>17</v>
      </c>
    </row>
    <row r="37" spans="1:12" ht="22.5" customHeight="1" x14ac:dyDescent="0.3">
      <c r="C37" s="77">
        <f>C14+C19+C24+C29+C33</f>
        <v>125</v>
      </c>
      <c r="G37" s="197"/>
      <c r="H37" s="34" t="s">
        <v>174</v>
      </c>
    </row>
    <row r="38" spans="1:12" x14ac:dyDescent="0.3">
      <c r="C38" s="34" t="b">
        <f>C37=C35</f>
        <v>1</v>
      </c>
    </row>
  </sheetData>
  <sortState xmlns:xlrd2="http://schemas.microsoft.com/office/spreadsheetml/2017/richdata2" ref="A27:R30">
    <sortCondition ref="A27:A3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32:F32"/>
    <mergeCell ref="A1:F1"/>
    <mergeCell ref="B2:F2"/>
    <mergeCell ref="A28:F28"/>
    <mergeCell ref="A23:F23"/>
    <mergeCell ref="A18:F18"/>
    <mergeCell ref="A20:F20"/>
    <mergeCell ref="A13:F13"/>
  </mergeCells>
  <phoneticPr fontId="13" type="noConversion"/>
  <printOptions horizontalCentered="1" verticalCentered="1"/>
  <pageMargins left="0" right="0" top="0" bottom="0" header="0" footer="0"/>
  <pageSetup paperSize="9" scale="8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theme="5" tint="0.59999389629810485"/>
    <pageSetUpPr fitToPage="1"/>
  </sheetPr>
  <dimension ref="A1:H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.5" style="34" customWidth="1"/>
    <col min="4" max="4" width="9.875" style="2" customWidth="1"/>
    <col min="5" max="5" width="11.375" style="34" customWidth="1"/>
    <col min="6" max="6" width="11.125" style="2" customWidth="1"/>
    <col min="7" max="7" width="6.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69"/>
      <c r="B1" s="269"/>
      <c r="C1" s="269"/>
      <c r="D1" s="269"/>
      <c r="E1" s="269"/>
      <c r="F1" s="269"/>
    </row>
    <row r="2" spans="1:8" ht="30.75" customHeight="1" x14ac:dyDescent="0.3">
      <c r="A2" s="218">
        <f ca="1">TODAY()</f>
        <v>46310</v>
      </c>
      <c r="B2" s="270" t="s">
        <v>301</v>
      </c>
      <c r="C2" s="270"/>
      <c r="D2" s="270"/>
      <c r="E2" s="270"/>
      <c r="F2" s="271"/>
      <c r="G2" s="67"/>
      <c r="H2" s="67"/>
    </row>
    <row r="3" spans="1:8" ht="57" customHeight="1" x14ac:dyDescent="0.3">
      <c r="A3" s="219" t="s">
        <v>67</v>
      </c>
      <c r="B3" s="220" t="s">
        <v>13</v>
      </c>
      <c r="C3" s="220" t="s">
        <v>274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8" ht="30" customHeight="1" x14ac:dyDescent="0.3">
      <c r="A4" s="224" t="s">
        <v>247</v>
      </c>
      <c r="B4" s="225">
        <v>36</v>
      </c>
      <c r="C4" s="226">
        <f>IFERROR(VLOOKUP(A4,'★은성(주문일-당일)'!A:RV,12,FALSE),0)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</row>
    <row r="5" spans="1:8" ht="30" customHeight="1" x14ac:dyDescent="0.3">
      <c r="A5" s="228" t="s">
        <v>248</v>
      </c>
      <c r="B5" s="225">
        <f t="shared" ref="B5:B12" si="2">$B$4</f>
        <v>36</v>
      </c>
      <c r="C5" s="226">
        <f>IFERROR(VLOOKUP(A5,'★은성(주문일-당일)'!A:RV,12,FALSE),0)</f>
        <v>4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4</v>
      </c>
      <c r="G5" s="67"/>
      <c r="H5" s="67"/>
    </row>
    <row r="6" spans="1:8" ht="30" customHeight="1" x14ac:dyDescent="0.3">
      <c r="A6" s="228" t="s">
        <v>249</v>
      </c>
      <c r="B6" s="225">
        <f t="shared" si="2"/>
        <v>36</v>
      </c>
      <c r="C6" s="226">
        <f>IFERROR(VLOOKUP(A6,'★은성(주문일-당일)'!A:RV,12,FALSE),0)</f>
        <v>9</v>
      </c>
      <c r="D6" s="226">
        <f>IFERROR(ROUNDDOWN(C6/B6,0),"")</f>
        <v>0</v>
      </c>
      <c r="E6" s="51" t="s">
        <v>257</v>
      </c>
      <c r="F6" s="227">
        <f>IFERROR(C6-(D6*B6),"")</f>
        <v>9</v>
      </c>
      <c r="G6" s="67"/>
      <c r="H6" s="67"/>
    </row>
    <row r="7" spans="1:8" ht="30" customHeight="1" x14ac:dyDescent="0.3">
      <c r="A7" s="228" t="s">
        <v>250</v>
      </c>
      <c r="B7" s="225">
        <f t="shared" si="2"/>
        <v>36</v>
      </c>
      <c r="C7" s="226">
        <f>IFERROR(VLOOKUP(A7,'★은성(주문일-당일)'!A:RV,12,FALSE),0)</f>
        <v>6</v>
      </c>
      <c r="D7" s="226">
        <f>IFERROR(ROUNDDOWN(C7/B7,0),"")</f>
        <v>0</v>
      </c>
      <c r="E7" s="51" t="s">
        <v>258</v>
      </c>
      <c r="F7" s="227">
        <f>IFERROR(C7-(D7*B7),"")</f>
        <v>6</v>
      </c>
      <c r="G7" s="67"/>
      <c r="H7" s="67"/>
    </row>
    <row r="8" spans="1:8" ht="30" customHeight="1" x14ac:dyDescent="0.3">
      <c r="A8" s="228" t="s">
        <v>251</v>
      </c>
      <c r="B8" s="225">
        <f t="shared" si="2"/>
        <v>36</v>
      </c>
      <c r="C8" s="226">
        <f>IFERROR(VLOOKUP(A8,'★은성(주문일-당일)'!A:RV,12,FALSE),0)</f>
        <v>11</v>
      </c>
      <c r="D8" s="226">
        <f>IFERROR(ROUNDDOWN(C8/B8,0),"")</f>
        <v>0</v>
      </c>
      <c r="E8" s="51" t="s">
        <v>259</v>
      </c>
      <c r="F8" s="227">
        <f>IFERROR(C8-(D8*B8),"")</f>
        <v>11</v>
      </c>
      <c r="G8" s="67"/>
      <c r="H8" s="67"/>
    </row>
    <row r="9" spans="1:8" ht="30" customHeight="1" x14ac:dyDescent="0.3">
      <c r="A9" s="228" t="s">
        <v>252</v>
      </c>
      <c r="B9" s="225">
        <f t="shared" si="2"/>
        <v>36</v>
      </c>
      <c r="C9" s="226">
        <f>IFERROR(VLOOKUP(A9,'★은성(주문일-당일)'!A:RV,12,FALSE),0)</f>
        <v>19</v>
      </c>
      <c r="D9" s="226">
        <f t="shared" si="0"/>
        <v>0</v>
      </c>
      <c r="E9" s="51" t="s">
        <v>260</v>
      </c>
      <c r="F9" s="227">
        <f t="shared" si="1"/>
        <v>19</v>
      </c>
      <c r="G9" s="67"/>
      <c r="H9" s="67"/>
    </row>
    <row r="10" spans="1:8" ht="30" customHeight="1" x14ac:dyDescent="0.3">
      <c r="A10" s="228" t="s">
        <v>253</v>
      </c>
      <c r="B10" s="225">
        <f t="shared" si="2"/>
        <v>36</v>
      </c>
      <c r="C10" s="226">
        <f>IFERROR(VLOOKUP(A10,'★은성(주문일-당일)'!A:RV,12,FALSE),0)</f>
        <v>23</v>
      </c>
      <c r="D10" s="226">
        <f>IFERROR(ROUNDDOWN(C10/B10,0),"")</f>
        <v>0</v>
      </c>
      <c r="E10" s="51" t="s">
        <v>261</v>
      </c>
      <c r="F10" s="227">
        <f>IFERROR(C10-(D10*B10),"")</f>
        <v>23</v>
      </c>
      <c r="G10" s="67"/>
      <c r="H10" s="67"/>
    </row>
    <row r="11" spans="1:8" ht="30" customHeight="1" x14ac:dyDescent="0.3">
      <c r="A11" s="228" t="s">
        <v>254</v>
      </c>
      <c r="B11" s="225">
        <f t="shared" si="2"/>
        <v>36</v>
      </c>
      <c r="C11" s="226">
        <f>IFERROR(VLOOKUP(A11,'★은성(주문일-당일)'!A:RV,12,FALSE),0)</f>
        <v>20</v>
      </c>
      <c r="D11" s="226">
        <f t="shared" si="0"/>
        <v>0</v>
      </c>
      <c r="E11" s="51" t="s">
        <v>240</v>
      </c>
      <c r="F11" s="227">
        <f t="shared" si="1"/>
        <v>20</v>
      </c>
      <c r="G11" s="67"/>
      <c r="H11" s="67"/>
    </row>
    <row r="12" spans="1:8" ht="30" customHeight="1" x14ac:dyDescent="0.3">
      <c r="A12" s="228" t="s">
        <v>255</v>
      </c>
      <c r="B12" s="225">
        <f t="shared" si="2"/>
        <v>36</v>
      </c>
      <c r="C12" s="226">
        <f>IFERROR(VLOOKUP(A12,'★은성(주문일-당일)'!A:RV,12,FALSE),0)</f>
        <v>11</v>
      </c>
      <c r="D12" s="226">
        <f t="shared" si="0"/>
        <v>0</v>
      </c>
      <c r="E12" s="51" t="s">
        <v>108</v>
      </c>
      <c r="F12" s="227">
        <f t="shared" si="1"/>
        <v>11</v>
      </c>
      <c r="G12" s="67"/>
      <c r="H12" s="67"/>
    </row>
    <row r="13" spans="1:8" ht="4.5" customHeight="1" x14ac:dyDescent="0.3">
      <c r="A13" s="266"/>
      <c r="B13" s="267"/>
      <c r="C13" s="267"/>
      <c r="D13" s="267"/>
      <c r="E13" s="267"/>
      <c r="F13" s="268"/>
    </row>
    <row r="14" spans="1:8" ht="32.450000000000003" customHeight="1" x14ac:dyDescent="0.3">
      <c r="A14" s="207" t="s">
        <v>122</v>
      </c>
      <c r="B14" s="232">
        <f>$B$4</f>
        <v>36</v>
      </c>
      <c r="C14" s="208">
        <f>SUM(C4:C12)</f>
        <v>103</v>
      </c>
      <c r="D14" s="54">
        <f>IFERROR(ROUNDDOWN(C14/B14,0),"")</f>
        <v>2</v>
      </c>
      <c r="E14" s="36"/>
      <c r="F14" s="121">
        <f>IFERROR(C14-(D14*B14),"")</f>
        <v>31</v>
      </c>
    </row>
    <row r="15" spans="1:8" ht="4.5" customHeight="1" x14ac:dyDescent="0.3">
      <c r="A15" s="229"/>
      <c r="B15" s="225"/>
      <c r="C15" s="225"/>
      <c r="D15" s="225"/>
      <c r="E15" s="225"/>
      <c r="F15" s="230"/>
    </row>
    <row r="16" spans="1:8" ht="30" customHeight="1" x14ac:dyDescent="0.3">
      <c r="A16" s="228" t="s">
        <v>262</v>
      </c>
      <c r="B16" s="225">
        <f t="shared" ref="B16:B17" si="5">$B$4</f>
        <v>36</v>
      </c>
      <c r="C16" s="226">
        <f>IFERROR(VLOOKUP(A16,'★은성(주문일-당일)'!A:RV,12,FALSE),0)</f>
        <v>1</v>
      </c>
      <c r="D16" s="226">
        <f>IFERROR(ROUNDDOWN(C16/B16,0),"")</f>
        <v>0</v>
      </c>
      <c r="E16" s="51" t="s">
        <v>237</v>
      </c>
      <c r="F16" s="227">
        <f>IFERROR(C16-(D16*B16),"")</f>
        <v>1</v>
      </c>
      <c r="G16" s="67"/>
      <c r="H16" s="67"/>
    </row>
    <row r="17" spans="1:8" ht="30" customHeight="1" x14ac:dyDescent="0.3">
      <c r="A17" s="228" t="s">
        <v>263</v>
      </c>
      <c r="B17" s="225">
        <f t="shared" si="5"/>
        <v>36</v>
      </c>
      <c r="C17" s="226">
        <f>IFERROR(VLOOKUP(A17,'★은성(주문일-당일)'!A:RV,12,FALSE),0)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</row>
    <row r="18" spans="1:8" ht="4.5" customHeight="1" x14ac:dyDescent="0.3">
      <c r="A18" s="266"/>
      <c r="B18" s="267"/>
      <c r="C18" s="267"/>
      <c r="D18" s="267"/>
      <c r="E18" s="267"/>
      <c r="F18" s="268"/>
      <c r="G18" s="67"/>
      <c r="H18" s="67"/>
    </row>
    <row r="19" spans="1:8" ht="32.450000000000003" customHeight="1" x14ac:dyDescent="0.3">
      <c r="A19" s="207" t="s">
        <v>244</v>
      </c>
      <c r="B19" s="232">
        <f>$B$4</f>
        <v>36</v>
      </c>
      <c r="C19" s="208">
        <f>SUM(C16:C17)</f>
        <v>1</v>
      </c>
      <c r="D19" s="54">
        <f>IFERROR(ROUNDDOWN(C19/B19,0),"")</f>
        <v>0</v>
      </c>
      <c r="E19" s="36"/>
      <c r="F19" s="121">
        <f>IFERROR(C19-(D19*B19),"")</f>
        <v>1</v>
      </c>
      <c r="G19" s="67"/>
      <c r="H19" s="67"/>
    </row>
    <row r="20" spans="1:8" ht="4.5" customHeight="1" x14ac:dyDescent="0.3">
      <c r="A20" s="266"/>
      <c r="B20" s="267"/>
      <c r="C20" s="267"/>
      <c r="D20" s="267"/>
      <c r="E20" s="267"/>
      <c r="F20" s="268"/>
      <c r="G20" s="67"/>
      <c r="H20" s="67"/>
    </row>
    <row r="21" spans="1:8" ht="30" customHeight="1" x14ac:dyDescent="0.3">
      <c r="A21" s="228" t="s">
        <v>264</v>
      </c>
      <c r="B21" s="225">
        <f t="shared" ref="B21:B22" si="6">$B$4</f>
        <v>36</v>
      </c>
      <c r="C21" s="226">
        <f>IFERROR(VLOOKUP(A21,'★은성(주문일-당일)'!A:RV,12,FALSE),0)</f>
        <v>3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3</v>
      </c>
      <c r="G21" s="67"/>
      <c r="H21" s="67"/>
    </row>
    <row r="22" spans="1:8" ht="30" customHeight="1" x14ac:dyDescent="0.3">
      <c r="A22" s="228" t="s">
        <v>265</v>
      </c>
      <c r="B22" s="225">
        <f t="shared" si="6"/>
        <v>36</v>
      </c>
      <c r="C22" s="226">
        <f>IFERROR(VLOOKUP(A22,'★은성(주문일-당일)'!A:RV,12,FALSE),0)</f>
        <v>5</v>
      </c>
      <c r="D22" s="226">
        <f t="shared" si="7"/>
        <v>0</v>
      </c>
      <c r="E22" s="51" t="s">
        <v>269</v>
      </c>
      <c r="F22" s="227">
        <f t="shared" si="8"/>
        <v>5</v>
      </c>
      <c r="G22" s="67"/>
      <c r="H22" s="67"/>
    </row>
    <row r="23" spans="1:8" ht="4.5" customHeight="1" x14ac:dyDescent="0.3">
      <c r="A23" s="266"/>
      <c r="B23" s="267"/>
      <c r="C23" s="267"/>
      <c r="D23" s="267"/>
      <c r="E23" s="267"/>
      <c r="F23" s="268"/>
      <c r="G23" s="67"/>
      <c r="H23" s="67"/>
    </row>
    <row r="24" spans="1:8" ht="32.450000000000003" customHeight="1" x14ac:dyDescent="0.3">
      <c r="A24" s="207" t="s">
        <v>243</v>
      </c>
      <c r="B24" s="232">
        <f>$B$4</f>
        <v>36</v>
      </c>
      <c r="C24" s="208">
        <f>SUM(C21:C22)</f>
        <v>8</v>
      </c>
      <c r="D24" s="54">
        <f>IFERROR(ROUNDDOWN(C24/B24,0),"")</f>
        <v>0</v>
      </c>
      <c r="E24" s="36"/>
      <c r="F24" s="121">
        <f>IFERROR(C24-(D24*B24),"")</f>
        <v>8</v>
      </c>
      <c r="G24" s="67"/>
      <c r="H24" s="67"/>
    </row>
    <row r="25" spans="1:8" ht="4.5" customHeight="1" x14ac:dyDescent="0.3">
      <c r="A25" s="229"/>
      <c r="B25" s="225"/>
      <c r="C25" s="225"/>
      <c r="D25" s="225"/>
      <c r="E25" s="225"/>
      <c r="F25" s="230"/>
      <c r="G25" s="67"/>
      <c r="H25" s="67"/>
    </row>
    <row r="26" spans="1:8" ht="30" customHeight="1" x14ac:dyDescent="0.3">
      <c r="A26" s="228" t="s">
        <v>266</v>
      </c>
      <c r="B26" s="225">
        <f t="shared" ref="B26:B27" si="9">$B$4</f>
        <v>36</v>
      </c>
      <c r="C26" s="226">
        <f>IFERROR(VLOOKUP(A26,'★은성(주문일-당일)'!A:RV,12,FALSE),0)</f>
        <v>2</v>
      </c>
      <c r="D26" s="226">
        <f>IFERROR(ROUNDDOWN(C26/B26,0),"")</f>
        <v>0</v>
      </c>
      <c r="E26" s="51" t="s">
        <v>239</v>
      </c>
      <c r="F26" s="227">
        <f>IFERROR(C26-(D26*B26),"")</f>
        <v>2</v>
      </c>
      <c r="G26" s="67"/>
      <c r="H26" s="67"/>
    </row>
    <row r="27" spans="1:8" ht="30" customHeight="1" x14ac:dyDescent="0.3">
      <c r="A27" s="228" t="s">
        <v>267</v>
      </c>
      <c r="B27" s="225">
        <f t="shared" si="9"/>
        <v>36</v>
      </c>
      <c r="C27" s="226">
        <f>IFERROR(VLOOKUP(A27,'★은성(주문일-당일)'!A:RV,12,FALSE),0)</f>
        <v>1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1</v>
      </c>
      <c r="G27" s="67"/>
      <c r="H27" s="67"/>
    </row>
    <row r="28" spans="1:8" ht="4.5" customHeight="1" x14ac:dyDescent="0.3">
      <c r="A28" s="266"/>
      <c r="B28" s="267"/>
      <c r="C28" s="267"/>
      <c r="D28" s="267"/>
      <c r="E28" s="267"/>
      <c r="F28" s="268"/>
      <c r="G28" s="67"/>
      <c r="H28" s="67"/>
    </row>
    <row r="29" spans="1:8" ht="32.450000000000003" customHeight="1" x14ac:dyDescent="0.3">
      <c r="A29" s="207" t="s">
        <v>242</v>
      </c>
      <c r="B29" s="232">
        <f>$B$4</f>
        <v>36</v>
      </c>
      <c r="C29" s="208">
        <f>SUM(C26:C27)</f>
        <v>3</v>
      </c>
      <c r="D29" s="54">
        <f>IFERROR(ROUNDDOWN(C29/B29,0),"")</f>
        <v>0</v>
      </c>
      <c r="E29" s="36"/>
      <c r="F29" s="121">
        <f>IFERROR(C29-(D29*B29),"")</f>
        <v>3</v>
      </c>
      <c r="G29" s="67"/>
      <c r="H29" s="67"/>
    </row>
    <row r="30" spans="1:8" ht="4.5" customHeight="1" x14ac:dyDescent="0.3">
      <c r="A30" s="229"/>
      <c r="B30" s="225"/>
      <c r="C30" s="225"/>
      <c r="D30" s="225"/>
      <c r="E30" s="225"/>
      <c r="F30" s="230"/>
      <c r="G30" s="67"/>
      <c r="H30" s="67"/>
    </row>
    <row r="31" spans="1:8" ht="30" customHeight="1" x14ac:dyDescent="0.3">
      <c r="A31" s="228" t="s">
        <v>268</v>
      </c>
      <c r="B31" s="225">
        <f t="shared" ref="B31" si="12">$B$4</f>
        <v>36</v>
      </c>
      <c r="C31" s="226">
        <f>IFERROR(VLOOKUP(A31,'★은성(주문일-당일)'!A:RV,12,FALSE),0)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</row>
    <row r="32" spans="1:8" ht="4.5" customHeight="1" x14ac:dyDescent="0.3">
      <c r="A32" s="266"/>
      <c r="B32" s="267"/>
      <c r="C32" s="267"/>
      <c r="D32" s="267"/>
      <c r="E32" s="267"/>
      <c r="F32" s="268"/>
      <c r="G32" s="67"/>
      <c r="H32" s="67"/>
    </row>
    <row r="33" spans="1:8" ht="32.450000000000003" customHeight="1" x14ac:dyDescent="0.3">
      <c r="A33" s="207" t="s">
        <v>246</v>
      </c>
      <c r="B33" s="232">
        <f>$B$4</f>
        <v>36</v>
      </c>
      <c r="C33" s="208">
        <f>SUM(C31:C31)</f>
        <v>0</v>
      </c>
      <c r="D33" s="54">
        <f>IFERROR(ROUNDDOWN(C33/B33,0),"")</f>
        <v>0</v>
      </c>
      <c r="E33" s="36"/>
      <c r="F33" s="121">
        <f>IFERROR(C33-(D33*B33),"")</f>
        <v>0</v>
      </c>
      <c r="G33" s="67"/>
      <c r="H33" s="67"/>
    </row>
    <row r="34" spans="1:8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</row>
    <row r="35" spans="1:8" ht="26.25" x14ac:dyDescent="0.3">
      <c r="A35" s="207" t="s">
        <v>3</v>
      </c>
      <c r="B35" s="232">
        <f>$B$4</f>
        <v>36</v>
      </c>
      <c r="C35" s="55">
        <f>SUM(C4:C12,C26:C27,C21:C22,C16:C17,C31:C31)</f>
        <v>115</v>
      </c>
      <c r="D35" s="54">
        <f>IFERROR(ROUNDDOWN(C35/B35,0),"")</f>
        <v>3</v>
      </c>
      <c r="E35" s="56"/>
      <c r="F35" s="121">
        <f>IFERROR(C35-(D35*B35),"")</f>
        <v>7</v>
      </c>
      <c r="G35" s="217" t="s">
        <v>110</v>
      </c>
      <c r="H35" s="216" t="s">
        <v>111</v>
      </c>
    </row>
    <row r="36" spans="1:8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115</v>
      </c>
      <c r="G36" s="213">
        <f>IFERROR(ROUNDDOWN(F36/B26,0),"")</f>
        <v>3</v>
      </c>
      <c r="H36" s="214">
        <f>IFERROR(F36-(G36*B26),"")</f>
        <v>7</v>
      </c>
    </row>
    <row r="37" spans="1:8" ht="22.5" customHeight="1" x14ac:dyDescent="0.3">
      <c r="C37" s="77">
        <f>C14+C19+C24+C29+C33</f>
        <v>115</v>
      </c>
      <c r="G37" s="197"/>
      <c r="H37" s="34" t="s">
        <v>174</v>
      </c>
    </row>
    <row r="38" spans="1:8" x14ac:dyDescent="0.3">
      <c r="C38" s="34" t="b">
        <f>C37=C35</f>
        <v>1</v>
      </c>
    </row>
  </sheetData>
  <sortState xmlns:xlrd2="http://schemas.microsoft.com/office/spreadsheetml/2017/richdata2" ref="A27:R30">
    <sortCondition ref="A27:A3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32:F32"/>
    <mergeCell ref="A1:F1"/>
    <mergeCell ref="B2:F2"/>
    <mergeCell ref="A28:F28"/>
    <mergeCell ref="A23:F23"/>
    <mergeCell ref="A18:F18"/>
    <mergeCell ref="A20:F20"/>
    <mergeCell ref="A13:F13"/>
  </mergeCells>
  <phoneticPr fontId="13" type="noConversion"/>
  <printOptions horizontalCentered="1" verticalCentered="1"/>
  <pageMargins left="0" right="0" top="0" bottom="0" header="0" footer="0"/>
  <pageSetup paperSize="9" scale="8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EEA2-D7E7-4444-867F-7B204BD0F1F7}">
  <sheetPr>
    <tabColor theme="6" tint="0.59999389629810485"/>
  </sheetPr>
  <dimension ref="A1:ST19"/>
  <sheetViews>
    <sheetView zoomScale="55" zoomScaleNormal="55" zoomScaleSheetLayoutView="75" workbookViewId="0">
      <selection activeCell="E19" sqref="E19"/>
    </sheetView>
  </sheetViews>
  <sheetFormatPr defaultColWidth="9" defaultRowHeight="15" customHeight="1" x14ac:dyDescent="0.3"/>
  <cols>
    <col min="1" max="24" width="37.625" style="34" customWidth="1"/>
    <col min="25" max="25" width="22.25" style="34" bestFit="1" customWidth="1"/>
    <col min="26" max="28" width="18.375" style="34" customWidth="1"/>
    <col min="29" max="29" width="27.625" style="34" bestFit="1" customWidth="1"/>
    <col min="30" max="31" width="18.375" style="34" customWidth="1"/>
    <col min="32" max="32" width="27.625" style="34" bestFit="1" customWidth="1"/>
    <col min="33" max="33" width="18.375" style="34" customWidth="1"/>
    <col min="34" max="34" width="25.375" style="34" bestFit="1" customWidth="1"/>
    <col min="35" max="35" width="21" style="34" bestFit="1" customWidth="1"/>
    <col min="36" max="36" width="27.625" style="34" bestFit="1" customWidth="1"/>
    <col min="37" max="37" width="18.375" style="34" customWidth="1"/>
    <col min="38" max="38" width="27.625" style="34" bestFit="1" customWidth="1"/>
    <col min="39" max="392" width="30.375" style="34" customWidth="1"/>
    <col min="393" max="394" width="21.25" style="34" customWidth="1"/>
    <col min="395" max="410" width="20.5" style="34" customWidth="1"/>
    <col min="411" max="411" width="21" style="34" bestFit="1" customWidth="1"/>
    <col min="412" max="412" width="25.125" style="34" bestFit="1" customWidth="1"/>
    <col min="413" max="413" width="23" style="34" bestFit="1" customWidth="1"/>
    <col min="414" max="414" width="33.375" style="34" bestFit="1" customWidth="1"/>
    <col min="415" max="415" width="25.125" style="34" bestFit="1" customWidth="1"/>
    <col min="416" max="416" width="28.875" style="34" bestFit="1" customWidth="1"/>
    <col min="417" max="417" width="23" style="34" bestFit="1" customWidth="1"/>
    <col min="418" max="418" width="18.875" style="34" customWidth="1"/>
    <col min="419" max="419" width="23" style="34" bestFit="1" customWidth="1"/>
    <col min="420" max="420" width="25.125" style="34" bestFit="1" customWidth="1"/>
    <col min="421" max="421" width="18.875" style="34" customWidth="1"/>
    <col min="422" max="422" width="19.125" style="34" customWidth="1"/>
    <col min="423" max="423" width="18.125" style="34" customWidth="1"/>
    <col min="424" max="424" width="18.875" style="34" customWidth="1"/>
    <col min="425" max="425" width="26.625" style="34" customWidth="1"/>
    <col min="426" max="426" width="22.125" style="34" customWidth="1"/>
    <col min="427" max="427" width="24.125" style="34" customWidth="1"/>
    <col min="428" max="428" width="21.375" style="34" customWidth="1"/>
    <col min="429" max="429" width="19.375" style="34" customWidth="1"/>
    <col min="430" max="430" width="20" style="34" customWidth="1"/>
    <col min="431" max="431" width="23.25" style="34" customWidth="1"/>
    <col min="432" max="432" width="18" style="34" customWidth="1"/>
    <col min="433" max="463" width="19" style="34" customWidth="1"/>
    <col min="464" max="468" width="20.25" style="34" customWidth="1"/>
    <col min="469" max="469" width="17.25" style="34" customWidth="1"/>
    <col min="470" max="470" width="17.75" style="34" customWidth="1"/>
    <col min="471" max="471" width="16.5" style="34" customWidth="1"/>
    <col min="472" max="474" width="21" style="34" customWidth="1"/>
    <col min="475" max="475" width="18.5" style="34" customWidth="1"/>
    <col min="476" max="480" width="21" style="34" customWidth="1"/>
    <col min="481" max="481" width="15.125" style="34" customWidth="1"/>
    <col min="482" max="497" width="21" style="34" customWidth="1"/>
    <col min="498" max="498" width="24.25" style="34" customWidth="1"/>
    <col min="499" max="499" width="18.875" style="34" bestFit="1" customWidth="1"/>
    <col min="500" max="500" width="21" style="34" bestFit="1" customWidth="1"/>
    <col min="501" max="501" width="23" style="38" bestFit="1" customWidth="1"/>
    <col min="502" max="502" width="8.625" style="38" bestFit="1" customWidth="1"/>
    <col min="503" max="503" width="21" style="38" bestFit="1" customWidth="1"/>
    <col min="504" max="504" width="23" style="38" bestFit="1" customWidth="1"/>
    <col min="505" max="505" width="8.625" style="38" bestFit="1" customWidth="1"/>
    <col min="506" max="506" width="22.875" style="34" customWidth="1"/>
    <col min="507" max="513" width="20.875" style="38" customWidth="1"/>
    <col min="514" max="514" width="23.25" style="38" customWidth="1"/>
    <col min="515" max="16384" width="9" style="34"/>
  </cols>
  <sheetData>
    <row r="1" spans="1:506" s="38" customFormat="1" ht="15" customHeight="1" x14ac:dyDescent="0.3">
      <c r="A1" s="62" t="s">
        <v>351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2"/>
      <c r="AN1" s="2"/>
      <c r="AO1" s="2"/>
      <c r="AP1" s="2"/>
      <c r="AQ1" s="2"/>
      <c r="AR1" s="2"/>
      <c r="AS1" s="2"/>
      <c r="AT1" s="2"/>
      <c r="AU1" s="29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32"/>
      <c r="MK1" s="23"/>
      <c r="ML1" s="23"/>
      <c r="MM1" s="23"/>
      <c r="MN1" s="23"/>
      <c r="MO1" s="32"/>
      <c r="MP1" s="32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32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32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32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</row>
    <row r="2" spans="1:506" s="38" customFormat="1" ht="15" customHeight="1" x14ac:dyDescent="0.3">
      <c r="A2" s="53" t="s">
        <v>67</v>
      </c>
      <c r="B2" s="53" t="s">
        <v>277</v>
      </c>
      <c r="C2" s="53" t="s">
        <v>278</v>
      </c>
      <c r="D2" s="53" t="s">
        <v>279</v>
      </c>
      <c r="E2" s="53" t="s">
        <v>3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</row>
    <row r="3" spans="1:506" s="38" customFormat="1" ht="15" customHeight="1" x14ac:dyDescent="0.3">
      <c r="A3" s="34" t="s">
        <v>267</v>
      </c>
      <c r="B3" s="34">
        <v>7</v>
      </c>
      <c r="C3" s="34">
        <v>15</v>
      </c>
      <c r="D3" s="34">
        <v>9</v>
      </c>
      <c r="E3" s="34">
        <v>31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</row>
    <row r="4" spans="1:506" s="38" customFormat="1" ht="16.5" x14ac:dyDescent="0.3">
      <c r="A4" s="34" t="s">
        <v>266</v>
      </c>
      <c r="B4" s="34">
        <v>18</v>
      </c>
      <c r="C4" s="34">
        <v>5</v>
      </c>
      <c r="D4" s="34">
        <v>14</v>
      </c>
      <c r="E4" s="34">
        <v>37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</row>
    <row r="5" spans="1:506" ht="15" customHeight="1" x14ac:dyDescent="0.3">
      <c r="A5" s="34" t="s">
        <v>264</v>
      </c>
      <c r="B5" s="34">
        <v>13</v>
      </c>
      <c r="C5" s="34">
        <v>3</v>
      </c>
      <c r="D5" s="34">
        <v>11</v>
      </c>
      <c r="E5" s="34">
        <v>27</v>
      </c>
    </row>
    <row r="6" spans="1:506" ht="15" customHeight="1" x14ac:dyDescent="0.3">
      <c r="A6" s="34" t="s">
        <v>262</v>
      </c>
      <c r="B6" s="34">
        <v>33</v>
      </c>
      <c r="C6" s="34">
        <v>37</v>
      </c>
      <c r="D6" s="34">
        <v>23</v>
      </c>
      <c r="E6" s="34">
        <v>93</v>
      </c>
    </row>
    <row r="7" spans="1:506" ht="15" customHeight="1" x14ac:dyDescent="0.3">
      <c r="A7" s="34" t="s">
        <v>249</v>
      </c>
      <c r="B7" s="34">
        <v>14</v>
      </c>
      <c r="C7" s="34">
        <v>19</v>
      </c>
      <c r="D7" s="34">
        <v>10</v>
      </c>
      <c r="E7" s="34">
        <v>43</v>
      </c>
    </row>
    <row r="8" spans="1:506" ht="15" customHeight="1" x14ac:dyDescent="0.3">
      <c r="A8" s="34" t="s">
        <v>247</v>
      </c>
      <c r="C8" s="34">
        <v>1</v>
      </c>
      <c r="E8" s="34">
        <v>1</v>
      </c>
    </row>
    <row r="9" spans="1:506" ht="15" customHeight="1" x14ac:dyDescent="0.3">
      <c r="A9" s="34" t="s">
        <v>252</v>
      </c>
      <c r="B9" s="34">
        <v>15</v>
      </c>
      <c r="C9" s="34">
        <v>48</v>
      </c>
      <c r="D9" s="34">
        <v>32</v>
      </c>
      <c r="E9" s="34">
        <v>95</v>
      </c>
    </row>
    <row r="10" spans="1:506" ht="15" customHeight="1" x14ac:dyDescent="0.3">
      <c r="A10" s="34" t="s">
        <v>248</v>
      </c>
      <c r="B10" s="34">
        <v>40</v>
      </c>
      <c r="C10" s="34">
        <v>32</v>
      </c>
      <c r="D10" s="34">
        <v>41</v>
      </c>
      <c r="E10" s="34">
        <v>113</v>
      </c>
    </row>
    <row r="11" spans="1:506" ht="15" customHeight="1" x14ac:dyDescent="0.3">
      <c r="A11" s="34" t="s">
        <v>263</v>
      </c>
      <c r="B11" s="34">
        <v>18</v>
      </c>
      <c r="C11" s="34">
        <v>15</v>
      </c>
      <c r="D11" s="34">
        <v>14</v>
      </c>
      <c r="E11" s="34">
        <v>47</v>
      </c>
    </row>
    <row r="12" spans="1:506" ht="15" customHeight="1" x14ac:dyDescent="0.3">
      <c r="A12" s="34" t="s">
        <v>254</v>
      </c>
      <c r="B12" s="34">
        <v>47</v>
      </c>
      <c r="C12" s="34">
        <v>45</v>
      </c>
      <c r="D12" s="34">
        <v>40</v>
      </c>
      <c r="E12" s="34">
        <v>132</v>
      </c>
    </row>
    <row r="13" spans="1:506" ht="15" customHeight="1" x14ac:dyDescent="0.3">
      <c r="A13" s="34" t="s">
        <v>253</v>
      </c>
      <c r="B13" s="34">
        <v>32</v>
      </c>
      <c r="C13" s="34">
        <v>46</v>
      </c>
      <c r="D13" s="34">
        <v>22</v>
      </c>
      <c r="E13" s="34">
        <v>100</v>
      </c>
    </row>
    <row r="14" spans="1:506" ht="15" customHeight="1" x14ac:dyDescent="0.3">
      <c r="A14" s="34" t="s">
        <v>255</v>
      </c>
      <c r="B14" s="34">
        <v>21</v>
      </c>
      <c r="C14" s="34">
        <v>22</v>
      </c>
      <c r="D14" s="34">
        <v>12</v>
      </c>
      <c r="E14" s="34">
        <v>55</v>
      </c>
    </row>
    <row r="15" spans="1:506" ht="15" customHeight="1" x14ac:dyDescent="0.3">
      <c r="A15" s="34" t="s">
        <v>250</v>
      </c>
      <c r="B15" s="34">
        <v>18</v>
      </c>
      <c r="C15" s="34">
        <v>32</v>
      </c>
      <c r="D15" s="34">
        <v>40</v>
      </c>
      <c r="E15" s="34">
        <v>90</v>
      </c>
    </row>
    <row r="16" spans="1:506" ht="15" customHeight="1" x14ac:dyDescent="0.3">
      <c r="A16" s="34" t="s">
        <v>268</v>
      </c>
      <c r="B16" s="34">
        <v>25</v>
      </c>
      <c r="C16" s="34">
        <v>21</v>
      </c>
      <c r="D16" s="34">
        <v>18</v>
      </c>
      <c r="E16" s="34">
        <v>64</v>
      </c>
    </row>
    <row r="17" spans="1:5" ht="15" customHeight="1" x14ac:dyDescent="0.3">
      <c r="A17" s="34" t="s">
        <v>265</v>
      </c>
      <c r="B17" s="34">
        <v>7</v>
      </c>
      <c r="C17" s="34">
        <v>5</v>
      </c>
      <c r="D17" s="34">
        <v>14</v>
      </c>
      <c r="E17" s="34">
        <v>26</v>
      </c>
    </row>
    <row r="18" spans="1:5" ht="15" customHeight="1" x14ac:dyDescent="0.3">
      <c r="A18" s="34" t="s">
        <v>251</v>
      </c>
      <c r="B18" s="34">
        <v>43</v>
      </c>
      <c r="C18" s="34">
        <v>72</v>
      </c>
      <c r="D18" s="34">
        <v>37</v>
      </c>
      <c r="E18" s="34">
        <v>152</v>
      </c>
    </row>
    <row r="19" spans="1:5" ht="15" customHeight="1" x14ac:dyDescent="0.3">
      <c r="A19" s="34" t="s">
        <v>3</v>
      </c>
      <c r="B19" s="34">
        <v>351</v>
      </c>
      <c r="C19" s="34">
        <v>418</v>
      </c>
      <c r="D19" s="34">
        <v>337</v>
      </c>
      <c r="E19" s="34">
        <v>1106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215-F729-449F-87FF-18936AC99B88}">
  <sheetPr>
    <tabColor theme="6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.5" style="34" customWidth="1"/>
    <col min="4" max="4" width="9.875" style="2" customWidth="1"/>
    <col min="5" max="5" width="11.375" style="34" customWidth="1"/>
    <col min="6" max="6" width="11.125" style="2" customWidth="1"/>
    <col min="7" max="7" width="6.625" style="34" customWidth="1"/>
    <col min="8" max="8" width="7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5" t="s">
        <v>302</v>
      </c>
      <c r="C2" s="276"/>
      <c r="D2" s="276"/>
      <c r="E2" s="276"/>
      <c r="F2" s="277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280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100</v>
      </c>
      <c r="C4" s="226">
        <f>IFERROR(VLOOKUP(A4,'★삼진 (입고일+2)'!A:SH,2,FALSE),0)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100</v>
      </c>
      <c r="C5" s="226">
        <f>IFERROR(VLOOKUP(A5,'★삼진 (입고일+2)'!A:SH,2,FALSE),0)</f>
        <v>40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40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100</v>
      </c>
      <c r="C6" s="226">
        <f>IFERROR(VLOOKUP(A6,'★삼진 (입고일+2)'!A:SH,2,FALSE),0)</f>
        <v>14</v>
      </c>
      <c r="D6" s="226">
        <f>IFERROR(ROUNDDOWN(C6/B6,0),"")</f>
        <v>0</v>
      </c>
      <c r="E6" s="51" t="s">
        <v>257</v>
      </c>
      <c r="F6" s="227">
        <f>IFERROR(C6-(D6*B6),"")</f>
        <v>14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100</v>
      </c>
      <c r="C7" s="226">
        <f>IFERROR(VLOOKUP(A7,'★삼진 (입고일+2)'!A:SH,2,FALSE),0)</f>
        <v>18</v>
      </c>
      <c r="D7" s="226">
        <f>IFERROR(ROUNDDOWN(C7/B7,0),"")</f>
        <v>0</v>
      </c>
      <c r="E7" s="51" t="s">
        <v>258</v>
      </c>
      <c r="F7" s="227">
        <f>IFERROR(C7-(D7*B7),"")</f>
        <v>18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100</v>
      </c>
      <c r="C8" s="226">
        <f>IFERROR(VLOOKUP(A8,'★삼진 (입고일+2)'!A:SH,2,FALSE),0)</f>
        <v>43</v>
      </c>
      <c r="D8" s="226">
        <f>IFERROR(ROUNDDOWN(C8/B8,0),"")</f>
        <v>0</v>
      </c>
      <c r="E8" s="51" t="s">
        <v>259</v>
      </c>
      <c r="F8" s="227">
        <f>IFERROR(C8-(D8*B8),"")</f>
        <v>43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100</v>
      </c>
      <c r="C9" s="226">
        <f>IFERROR(VLOOKUP(A9,'★삼진 (입고일+2)'!A:SH,2,FALSE),0)</f>
        <v>15</v>
      </c>
      <c r="D9" s="226">
        <f t="shared" si="0"/>
        <v>0</v>
      </c>
      <c r="E9" s="51" t="s">
        <v>260</v>
      </c>
      <c r="F9" s="227">
        <f t="shared" si="1"/>
        <v>15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100</v>
      </c>
      <c r="C10" s="226">
        <f>IFERROR(VLOOKUP(A10,'★삼진 (입고일+2)'!A:SH,2,FALSE),0)</f>
        <v>32</v>
      </c>
      <c r="D10" s="226">
        <f>IFERROR(ROUNDDOWN(C10/B10,0),"")</f>
        <v>0</v>
      </c>
      <c r="E10" s="51" t="s">
        <v>261</v>
      </c>
      <c r="F10" s="227">
        <f>IFERROR(C10-(D10*B10),"")</f>
        <v>32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100</v>
      </c>
      <c r="C11" s="226">
        <f>IFERROR(VLOOKUP(A11,'★삼진 (입고일+2)'!A:SH,2,FALSE),0)</f>
        <v>47</v>
      </c>
      <c r="D11" s="226">
        <f t="shared" si="0"/>
        <v>0</v>
      </c>
      <c r="E11" s="51" t="s">
        <v>240</v>
      </c>
      <c r="F11" s="227">
        <f t="shared" si="1"/>
        <v>47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100</v>
      </c>
      <c r="C12" s="226">
        <f>IFERROR(VLOOKUP(A12,'★삼진 (입고일+2)'!A:SH,2,FALSE),0)</f>
        <v>21</v>
      </c>
      <c r="D12" s="226">
        <f t="shared" si="0"/>
        <v>0</v>
      </c>
      <c r="E12" s="51" t="s">
        <v>108</v>
      </c>
      <c r="F12" s="227">
        <f t="shared" si="1"/>
        <v>21</v>
      </c>
      <c r="G12" s="67"/>
      <c r="H12" s="67"/>
      <c r="J12" s="73"/>
      <c r="K12" s="73"/>
    </row>
    <row r="13" spans="1:11" ht="4.5" customHeight="1" x14ac:dyDescent="0.3">
      <c r="A13" s="272"/>
      <c r="B13" s="273"/>
      <c r="C13" s="273"/>
      <c r="D13" s="273"/>
      <c r="E13" s="273"/>
      <c r="F13" s="274"/>
      <c r="J13" s="73"/>
      <c r="K13" s="73"/>
    </row>
    <row r="14" spans="1:11" ht="32.450000000000003" customHeight="1" x14ac:dyDescent="0.3">
      <c r="A14" s="209" t="s">
        <v>122</v>
      </c>
      <c r="B14" s="231">
        <f>$B$4</f>
        <v>100</v>
      </c>
      <c r="C14" s="210">
        <f>SUM(C4:C12)</f>
        <v>230</v>
      </c>
      <c r="D14" s="55">
        <f>IFERROR(ROUNDDOWN(C14/B14,0),"")</f>
        <v>2</v>
      </c>
      <c r="E14" s="211"/>
      <c r="F14" s="212">
        <f>IFERROR(C14-(D14*B14),"")</f>
        <v>30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100</v>
      </c>
      <c r="C16" s="226">
        <f>IFERROR(VLOOKUP(A16,'★삼진 (입고일+2)'!A:SH,2,FALSE),0)</f>
        <v>33</v>
      </c>
      <c r="D16" s="226">
        <f>IFERROR(ROUNDDOWN(C16/B16,0),"")</f>
        <v>0</v>
      </c>
      <c r="E16" s="51" t="s">
        <v>237</v>
      </c>
      <c r="F16" s="227">
        <f>IFERROR(C16-(D16*B16),"")</f>
        <v>33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100</v>
      </c>
      <c r="C17" s="226">
        <f>IFERROR(VLOOKUP(A17,'★삼진 (입고일+2)'!A:SH,2,FALSE),0)</f>
        <v>18</v>
      </c>
      <c r="D17" s="226">
        <f>IFERROR(ROUNDDOWN(C17/B17,0),"")</f>
        <v>0</v>
      </c>
      <c r="E17" s="51" t="s">
        <v>236</v>
      </c>
      <c r="F17" s="227">
        <f>IFERROR(C17-(D17*B17),"")</f>
        <v>18</v>
      </c>
      <c r="G17" s="67"/>
      <c r="H17" s="67"/>
      <c r="J17" s="73"/>
      <c r="K17" s="73"/>
    </row>
    <row r="18" spans="1:11" ht="4.5" customHeight="1" x14ac:dyDescent="0.3">
      <c r="A18" s="272"/>
      <c r="B18" s="273"/>
      <c r="C18" s="273"/>
      <c r="D18" s="273"/>
      <c r="E18" s="273"/>
      <c r="F18" s="274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100</v>
      </c>
      <c r="C19" s="210">
        <f>SUM(C16:C17)</f>
        <v>51</v>
      </c>
      <c r="D19" s="55">
        <f>IFERROR(ROUNDDOWN(C19/B19,0),"")</f>
        <v>0</v>
      </c>
      <c r="E19" s="211"/>
      <c r="F19" s="212">
        <f>IFERROR(C19-(D19*B19),"")</f>
        <v>51</v>
      </c>
      <c r="G19" s="67"/>
      <c r="H19" s="67"/>
      <c r="J19" s="73"/>
      <c r="K19" s="73"/>
    </row>
    <row r="20" spans="1:11" ht="4.5" customHeight="1" x14ac:dyDescent="0.3">
      <c r="A20" s="272"/>
      <c r="B20" s="273"/>
      <c r="C20" s="273"/>
      <c r="D20" s="273"/>
      <c r="E20" s="273"/>
      <c r="F20" s="274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100</v>
      </c>
      <c r="C21" s="226">
        <f>IFERROR(VLOOKUP(A21,'★삼진 (입고일+2)'!A:SH,2,FALSE),0)</f>
        <v>13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13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100</v>
      </c>
      <c r="C22" s="226">
        <f>IFERROR(VLOOKUP(A22,'★삼진 (입고일+2)'!A:SH,2,FALSE),0)</f>
        <v>7</v>
      </c>
      <c r="D22" s="226">
        <f t="shared" si="7"/>
        <v>0</v>
      </c>
      <c r="E22" s="51" t="s">
        <v>269</v>
      </c>
      <c r="F22" s="227">
        <f t="shared" si="8"/>
        <v>7</v>
      </c>
      <c r="G22" s="67"/>
      <c r="H22" s="67"/>
      <c r="J22" s="73"/>
      <c r="K22" s="73"/>
    </row>
    <row r="23" spans="1:11" ht="4.5" customHeight="1" x14ac:dyDescent="0.3">
      <c r="A23" s="272"/>
      <c r="B23" s="273"/>
      <c r="C23" s="273"/>
      <c r="D23" s="273"/>
      <c r="E23" s="273"/>
      <c r="F23" s="274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100</v>
      </c>
      <c r="C24" s="210">
        <f>SUM(C21:C22)</f>
        <v>20</v>
      </c>
      <c r="D24" s="55">
        <f>IFERROR(ROUNDDOWN(C24/B24,0),"")</f>
        <v>0</v>
      </c>
      <c r="E24" s="211"/>
      <c r="F24" s="212">
        <f>IFERROR(C24-(D24*B24),"")</f>
        <v>20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100</v>
      </c>
      <c r="C26" s="226">
        <f>IFERROR(VLOOKUP(A26,'★삼진 (입고일+2)'!A:SH,2,FALSE),0)</f>
        <v>18</v>
      </c>
      <c r="D26" s="226">
        <f>IFERROR(ROUNDDOWN(C26/B26,0),"")</f>
        <v>0</v>
      </c>
      <c r="E26" s="51" t="s">
        <v>239</v>
      </c>
      <c r="F26" s="227">
        <f>IFERROR(C26-(D26*B26),"")</f>
        <v>18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100</v>
      </c>
      <c r="C27" s="226">
        <f>IFERROR(VLOOKUP(A27,'★삼진 (입고일+2)'!A:SH,2,FALSE),0)</f>
        <v>7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7</v>
      </c>
      <c r="G27" s="67"/>
      <c r="H27" s="67"/>
      <c r="J27" s="73"/>
      <c r="K27" s="73"/>
    </row>
    <row r="28" spans="1:11" ht="4.5" customHeight="1" x14ac:dyDescent="0.3">
      <c r="A28" s="272"/>
      <c r="B28" s="273"/>
      <c r="C28" s="273"/>
      <c r="D28" s="273"/>
      <c r="E28" s="273"/>
      <c r="F28" s="274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100</v>
      </c>
      <c r="C29" s="210">
        <f>SUM(C26:C27)</f>
        <v>25</v>
      </c>
      <c r="D29" s="55">
        <f>IFERROR(ROUNDDOWN(C29/B29,0),"")</f>
        <v>0</v>
      </c>
      <c r="E29" s="211"/>
      <c r="F29" s="212">
        <f>IFERROR(C29-(D29*B29),"")</f>
        <v>25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100</v>
      </c>
      <c r="C31" s="226">
        <f>IFERROR(VLOOKUP(A31,'★삼진 (입고일+2)'!A:SH,2,FALSE),0)</f>
        <v>25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25</v>
      </c>
      <c r="G31" s="67"/>
      <c r="H31" s="67"/>
      <c r="J31" s="73"/>
      <c r="K31" s="73"/>
    </row>
    <row r="32" spans="1:11" ht="4.5" customHeight="1" x14ac:dyDescent="0.3">
      <c r="A32" s="272"/>
      <c r="B32" s="273"/>
      <c r="C32" s="273"/>
      <c r="D32" s="273"/>
      <c r="E32" s="273"/>
      <c r="F32" s="274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100</v>
      </c>
      <c r="C33" s="210">
        <f>SUM(C31:C31)</f>
        <v>25</v>
      </c>
      <c r="D33" s="55">
        <f>IFERROR(ROUNDDOWN(C33/B33,0),"")</f>
        <v>0</v>
      </c>
      <c r="E33" s="211"/>
      <c r="F33" s="212">
        <f>IFERROR(C33-(D33*B33),"")</f>
        <v>25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100</v>
      </c>
      <c r="C35" s="55">
        <f>SUM(C4:C12,C26:C27,C21:C22,C16:C17,C31:C31)</f>
        <v>351</v>
      </c>
      <c r="D35" s="54">
        <f>IFERROR(ROUNDDOWN(C35/B35,0),"")</f>
        <v>3</v>
      </c>
      <c r="E35" s="56"/>
      <c r="F35" s="121">
        <f>IFERROR(C35-(D35*B35),"")</f>
        <v>51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351</v>
      </c>
      <c r="G36" s="213">
        <f>IFERROR(ROUNDDOWN(F36/B26,0),"")</f>
        <v>3</v>
      </c>
      <c r="H36" s="214">
        <f>IFERROR(F36-(G36*B26),"")</f>
        <v>51</v>
      </c>
    </row>
    <row r="37" spans="1:11" ht="22.5" customHeight="1" x14ac:dyDescent="0.3">
      <c r="C37" s="77">
        <f>C14+C19+C24+C29+C33</f>
        <v>351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039-120E-4AB5-AFE4-37EC0D376FFA}">
  <sheetPr>
    <tabColor theme="6" tint="0.59999389629810485"/>
  </sheetPr>
  <dimension ref="A1:H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.25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6.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69"/>
      <c r="B1" s="269"/>
      <c r="C1" s="269"/>
      <c r="D1" s="269"/>
      <c r="E1" s="269"/>
      <c r="F1" s="269"/>
    </row>
    <row r="2" spans="1:8" ht="33.75" customHeight="1" x14ac:dyDescent="0.3">
      <c r="A2" s="218">
        <f ca="1">TODAY()</f>
        <v>46310</v>
      </c>
      <c r="B2" s="270" t="s">
        <v>302</v>
      </c>
      <c r="C2" s="270"/>
      <c r="D2" s="270"/>
      <c r="E2" s="270"/>
      <c r="F2" s="271"/>
      <c r="G2" s="67"/>
      <c r="H2" s="67"/>
    </row>
    <row r="3" spans="1:8" ht="50.25" customHeight="1" x14ac:dyDescent="0.3">
      <c r="A3" s="219" t="s">
        <v>67</v>
      </c>
      <c r="B3" s="220" t="s">
        <v>13</v>
      </c>
      <c r="C3" s="221" t="s">
        <v>281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8" ht="30" customHeight="1" x14ac:dyDescent="0.3">
      <c r="A4" s="224" t="s">
        <v>247</v>
      </c>
      <c r="B4" s="225">
        <v>100</v>
      </c>
      <c r="C4" s="226">
        <f>IFERROR(VLOOKUP(A4,'★삼진 (입고일+2)'!A:SH,3,FALSE),0)</f>
        <v>1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1</v>
      </c>
      <c r="G4" s="67"/>
      <c r="H4" s="67"/>
    </row>
    <row r="5" spans="1:8" ht="30" customHeight="1" x14ac:dyDescent="0.3">
      <c r="A5" s="228" t="s">
        <v>248</v>
      </c>
      <c r="B5" s="225">
        <f t="shared" ref="B5:B12" si="2">$B$4</f>
        <v>100</v>
      </c>
      <c r="C5" s="226">
        <f>IFERROR(VLOOKUP(A5,'★삼진 (입고일+2)'!A:SH,3,FALSE),0)</f>
        <v>32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32</v>
      </c>
      <c r="G5" s="67"/>
      <c r="H5" s="67"/>
    </row>
    <row r="6" spans="1:8" ht="30" customHeight="1" x14ac:dyDescent="0.3">
      <c r="A6" s="228" t="s">
        <v>249</v>
      </c>
      <c r="B6" s="225">
        <f t="shared" si="2"/>
        <v>100</v>
      </c>
      <c r="C6" s="226">
        <f>IFERROR(VLOOKUP(A6,'★삼진 (입고일+2)'!A:SH,3,FALSE),0)</f>
        <v>19</v>
      </c>
      <c r="D6" s="226">
        <f>IFERROR(ROUNDDOWN(C6/B6,0),"")</f>
        <v>0</v>
      </c>
      <c r="E6" s="51" t="s">
        <v>257</v>
      </c>
      <c r="F6" s="227">
        <f>IFERROR(C6-(D6*B6),"")</f>
        <v>19</v>
      </c>
      <c r="G6" s="67"/>
      <c r="H6" s="67"/>
    </row>
    <row r="7" spans="1:8" ht="30" customHeight="1" x14ac:dyDescent="0.3">
      <c r="A7" s="228" t="s">
        <v>250</v>
      </c>
      <c r="B7" s="225">
        <f t="shared" si="2"/>
        <v>100</v>
      </c>
      <c r="C7" s="226">
        <f>IFERROR(VLOOKUP(A7,'★삼진 (입고일+2)'!A:SH,3,FALSE),0)</f>
        <v>32</v>
      </c>
      <c r="D7" s="226">
        <f>IFERROR(ROUNDDOWN(C7/B7,0),"")</f>
        <v>0</v>
      </c>
      <c r="E7" s="51" t="s">
        <v>258</v>
      </c>
      <c r="F7" s="227">
        <f>IFERROR(C7-(D7*B7),"")</f>
        <v>32</v>
      </c>
      <c r="G7" s="67"/>
      <c r="H7" s="67"/>
    </row>
    <row r="8" spans="1:8" ht="30" customHeight="1" x14ac:dyDescent="0.3">
      <c r="A8" s="228" t="s">
        <v>251</v>
      </c>
      <c r="B8" s="225">
        <f t="shared" si="2"/>
        <v>100</v>
      </c>
      <c r="C8" s="226">
        <f>IFERROR(VLOOKUP(A8,'★삼진 (입고일+2)'!A:SH,3,FALSE),0)</f>
        <v>72</v>
      </c>
      <c r="D8" s="226">
        <f>IFERROR(ROUNDDOWN(C8/B8,0),"")</f>
        <v>0</v>
      </c>
      <c r="E8" s="51" t="s">
        <v>259</v>
      </c>
      <c r="F8" s="227">
        <f>IFERROR(C8-(D8*B8),"")</f>
        <v>72</v>
      </c>
      <c r="G8" s="67"/>
      <c r="H8" s="67"/>
    </row>
    <row r="9" spans="1:8" ht="30" customHeight="1" x14ac:dyDescent="0.3">
      <c r="A9" s="228" t="s">
        <v>252</v>
      </c>
      <c r="B9" s="225">
        <f t="shared" si="2"/>
        <v>100</v>
      </c>
      <c r="C9" s="226">
        <f>IFERROR(VLOOKUP(A9,'★삼진 (입고일+2)'!A:SH,3,FALSE),0)</f>
        <v>48</v>
      </c>
      <c r="D9" s="226">
        <f t="shared" si="0"/>
        <v>0</v>
      </c>
      <c r="E9" s="51" t="s">
        <v>260</v>
      </c>
      <c r="F9" s="227">
        <f t="shared" si="1"/>
        <v>48</v>
      </c>
      <c r="G9" s="67"/>
      <c r="H9" s="67"/>
    </row>
    <row r="10" spans="1:8" ht="30" customHeight="1" x14ac:dyDescent="0.3">
      <c r="A10" s="228" t="s">
        <v>253</v>
      </c>
      <c r="B10" s="225">
        <f t="shared" si="2"/>
        <v>100</v>
      </c>
      <c r="C10" s="226">
        <f>IFERROR(VLOOKUP(A10,'★삼진 (입고일+2)'!A:SH,3,FALSE),0)</f>
        <v>46</v>
      </c>
      <c r="D10" s="226">
        <f>IFERROR(ROUNDDOWN(C10/B10,0),"")</f>
        <v>0</v>
      </c>
      <c r="E10" s="51" t="s">
        <v>261</v>
      </c>
      <c r="F10" s="227">
        <f>IFERROR(C10-(D10*B10),"")</f>
        <v>46</v>
      </c>
      <c r="G10" s="67"/>
      <c r="H10" s="67"/>
    </row>
    <row r="11" spans="1:8" ht="30" customHeight="1" x14ac:dyDescent="0.3">
      <c r="A11" s="228" t="s">
        <v>254</v>
      </c>
      <c r="B11" s="225">
        <f t="shared" si="2"/>
        <v>100</v>
      </c>
      <c r="C11" s="226">
        <f>IFERROR(VLOOKUP(A11,'★삼진 (입고일+2)'!A:SH,3,FALSE),0)</f>
        <v>45</v>
      </c>
      <c r="D11" s="226">
        <f t="shared" si="0"/>
        <v>0</v>
      </c>
      <c r="E11" s="51" t="s">
        <v>240</v>
      </c>
      <c r="F11" s="227">
        <f t="shared" si="1"/>
        <v>45</v>
      </c>
      <c r="G11" s="67"/>
      <c r="H11" s="67"/>
    </row>
    <row r="12" spans="1:8" ht="30" customHeight="1" x14ac:dyDescent="0.3">
      <c r="A12" s="228" t="s">
        <v>255</v>
      </c>
      <c r="B12" s="225">
        <f t="shared" si="2"/>
        <v>100</v>
      </c>
      <c r="C12" s="226">
        <f>IFERROR(VLOOKUP(A12,'★삼진 (입고일+2)'!A:SH,3,FALSE),0)</f>
        <v>22</v>
      </c>
      <c r="D12" s="226">
        <f t="shared" si="0"/>
        <v>0</v>
      </c>
      <c r="E12" s="51" t="s">
        <v>108</v>
      </c>
      <c r="F12" s="227">
        <f t="shared" si="1"/>
        <v>22</v>
      </c>
      <c r="G12" s="67"/>
      <c r="H12" s="67"/>
    </row>
    <row r="13" spans="1:8" ht="4.5" customHeight="1" x14ac:dyDescent="0.3">
      <c r="A13" s="266"/>
      <c r="B13" s="267"/>
      <c r="C13" s="267"/>
      <c r="D13" s="267"/>
      <c r="E13" s="267"/>
      <c r="F13" s="268"/>
    </row>
    <row r="14" spans="1:8" ht="32.450000000000003" customHeight="1" x14ac:dyDescent="0.3">
      <c r="A14" s="209" t="s">
        <v>122</v>
      </c>
      <c r="B14" s="231">
        <f>$B$4</f>
        <v>100</v>
      </c>
      <c r="C14" s="210">
        <f>SUM(C4:C12)</f>
        <v>317</v>
      </c>
      <c r="D14" s="55">
        <f>IFERROR(ROUNDDOWN(C14/B14,0),"")</f>
        <v>3</v>
      </c>
      <c r="E14" s="211"/>
      <c r="F14" s="212">
        <f>IFERROR(C14-(D14*B14),"")</f>
        <v>17</v>
      </c>
    </row>
    <row r="15" spans="1:8" ht="4.5" customHeight="1" x14ac:dyDescent="0.3">
      <c r="A15" s="229"/>
      <c r="B15" s="225"/>
      <c r="C15" s="225"/>
      <c r="D15" s="225"/>
      <c r="E15" s="225"/>
      <c r="F15" s="230"/>
    </row>
    <row r="16" spans="1:8" ht="30" customHeight="1" x14ac:dyDescent="0.3">
      <c r="A16" s="228" t="s">
        <v>262</v>
      </c>
      <c r="B16" s="225">
        <f t="shared" ref="B16:B17" si="5">$B$4</f>
        <v>100</v>
      </c>
      <c r="C16" s="226">
        <f>IFERROR(VLOOKUP(A16,'★삼진 (입고일+2)'!A:SH,3,FALSE),0)</f>
        <v>37</v>
      </c>
      <c r="D16" s="226">
        <f>IFERROR(ROUNDDOWN(C16/B16,0),"")</f>
        <v>0</v>
      </c>
      <c r="E16" s="51" t="s">
        <v>237</v>
      </c>
      <c r="F16" s="227">
        <f>IFERROR(C16-(D16*B16),"")</f>
        <v>37</v>
      </c>
      <c r="G16" s="67"/>
      <c r="H16" s="67"/>
    </row>
    <row r="17" spans="1:8" ht="30" customHeight="1" x14ac:dyDescent="0.3">
      <c r="A17" s="228" t="s">
        <v>263</v>
      </c>
      <c r="B17" s="225">
        <f t="shared" si="5"/>
        <v>100</v>
      </c>
      <c r="C17" s="226">
        <f>IFERROR(VLOOKUP(A17,'★삼진 (입고일+2)'!A:SH,3,FALSE),0)</f>
        <v>15</v>
      </c>
      <c r="D17" s="226">
        <f>IFERROR(ROUNDDOWN(C17/B17,0),"")</f>
        <v>0</v>
      </c>
      <c r="E17" s="51" t="s">
        <v>236</v>
      </c>
      <c r="F17" s="227">
        <f>IFERROR(C17-(D17*B17),"")</f>
        <v>15</v>
      </c>
      <c r="G17" s="67"/>
      <c r="H17" s="67"/>
    </row>
    <row r="18" spans="1:8" ht="4.5" customHeight="1" x14ac:dyDescent="0.3">
      <c r="A18" s="266"/>
      <c r="B18" s="267"/>
      <c r="C18" s="267"/>
      <c r="D18" s="267"/>
      <c r="E18" s="267"/>
      <c r="F18" s="268"/>
      <c r="G18" s="67"/>
      <c r="H18" s="67"/>
    </row>
    <row r="19" spans="1:8" ht="32.450000000000003" customHeight="1" x14ac:dyDescent="0.3">
      <c r="A19" s="209" t="s">
        <v>244</v>
      </c>
      <c r="B19" s="231">
        <f>$B$4</f>
        <v>100</v>
      </c>
      <c r="C19" s="210">
        <f>SUM(C16:C17)</f>
        <v>52</v>
      </c>
      <c r="D19" s="55">
        <f>IFERROR(ROUNDDOWN(C19/B19,0),"")</f>
        <v>0</v>
      </c>
      <c r="E19" s="211"/>
      <c r="F19" s="212">
        <f>IFERROR(C19-(D19*B19),"")</f>
        <v>52</v>
      </c>
      <c r="G19" s="67"/>
      <c r="H19" s="67"/>
    </row>
    <row r="20" spans="1:8" ht="4.5" customHeight="1" x14ac:dyDescent="0.3">
      <c r="A20" s="266"/>
      <c r="B20" s="267"/>
      <c r="C20" s="267"/>
      <c r="D20" s="267"/>
      <c r="E20" s="267"/>
      <c r="F20" s="268"/>
      <c r="G20" s="67"/>
      <c r="H20" s="67"/>
    </row>
    <row r="21" spans="1:8" ht="30" customHeight="1" x14ac:dyDescent="0.3">
      <c r="A21" s="228" t="s">
        <v>264</v>
      </c>
      <c r="B21" s="225">
        <f t="shared" ref="B21:B22" si="6">$B$4</f>
        <v>100</v>
      </c>
      <c r="C21" s="226">
        <f>IFERROR(VLOOKUP(A21,'★삼진 (입고일+2)'!A:SH,3,FALSE),0)</f>
        <v>3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3</v>
      </c>
      <c r="G21" s="67"/>
      <c r="H21" s="67"/>
    </row>
    <row r="22" spans="1:8" ht="30" customHeight="1" x14ac:dyDescent="0.3">
      <c r="A22" s="228" t="s">
        <v>265</v>
      </c>
      <c r="B22" s="225">
        <f t="shared" si="6"/>
        <v>100</v>
      </c>
      <c r="C22" s="226">
        <f>IFERROR(VLOOKUP(A22,'★삼진 (입고일+2)'!A:SH,3,FALSE),0)</f>
        <v>5</v>
      </c>
      <c r="D22" s="226">
        <f t="shared" si="7"/>
        <v>0</v>
      </c>
      <c r="E22" s="51" t="s">
        <v>269</v>
      </c>
      <c r="F22" s="227">
        <f t="shared" si="8"/>
        <v>5</v>
      </c>
      <c r="G22" s="67"/>
      <c r="H22" s="67"/>
    </row>
    <row r="23" spans="1:8" ht="4.5" customHeight="1" x14ac:dyDescent="0.3">
      <c r="A23" s="266"/>
      <c r="B23" s="267"/>
      <c r="C23" s="267"/>
      <c r="D23" s="267"/>
      <c r="E23" s="267"/>
      <c r="F23" s="268"/>
      <c r="G23" s="67"/>
      <c r="H23" s="67"/>
    </row>
    <row r="24" spans="1:8" ht="32.450000000000003" customHeight="1" x14ac:dyDescent="0.3">
      <c r="A24" s="209" t="s">
        <v>243</v>
      </c>
      <c r="B24" s="231">
        <f>$B$4</f>
        <v>100</v>
      </c>
      <c r="C24" s="210">
        <f>SUM(C21:C22)</f>
        <v>8</v>
      </c>
      <c r="D24" s="55">
        <f>IFERROR(ROUNDDOWN(C24/B24,0),"")</f>
        <v>0</v>
      </c>
      <c r="E24" s="211"/>
      <c r="F24" s="212">
        <f>IFERROR(C24-(D24*B24),"")</f>
        <v>8</v>
      </c>
      <c r="G24" s="67"/>
      <c r="H24" s="67"/>
    </row>
    <row r="25" spans="1:8" ht="4.5" customHeight="1" x14ac:dyDescent="0.3">
      <c r="A25" s="229"/>
      <c r="B25" s="225"/>
      <c r="C25" s="225"/>
      <c r="D25" s="225"/>
      <c r="E25" s="225"/>
      <c r="F25" s="230"/>
      <c r="G25" s="67"/>
      <c r="H25" s="67"/>
    </row>
    <row r="26" spans="1:8" ht="30" customHeight="1" x14ac:dyDescent="0.3">
      <c r="A26" s="228" t="s">
        <v>266</v>
      </c>
      <c r="B26" s="225">
        <f t="shared" ref="B26:B27" si="9">$B$4</f>
        <v>100</v>
      </c>
      <c r="C26" s="226">
        <f>IFERROR(VLOOKUP(A26,'★삼진 (입고일+2)'!A:SH,3,FALSE),0)</f>
        <v>5</v>
      </c>
      <c r="D26" s="226">
        <f t="shared" ref="D26:D27" si="10">IFERROR(ROUNDDOWN(C26/B26,0),"")</f>
        <v>0</v>
      </c>
      <c r="E26" s="51" t="s">
        <v>239</v>
      </c>
      <c r="F26" s="227">
        <f t="shared" ref="F26:F27" si="11">IFERROR(C26-(D26*B26),"")</f>
        <v>5</v>
      </c>
      <c r="G26" s="67"/>
      <c r="H26" s="67"/>
    </row>
    <row r="27" spans="1:8" ht="30" customHeight="1" x14ac:dyDescent="0.3">
      <c r="A27" s="228" t="s">
        <v>267</v>
      </c>
      <c r="B27" s="225">
        <f t="shared" si="9"/>
        <v>100</v>
      </c>
      <c r="C27" s="226">
        <f>IFERROR(VLOOKUP(A27,'★삼진 (입고일+2)'!A:SH,3,FALSE),0)</f>
        <v>15</v>
      </c>
      <c r="D27" s="226">
        <f t="shared" si="10"/>
        <v>0</v>
      </c>
      <c r="E27" s="51" t="s">
        <v>270</v>
      </c>
      <c r="F27" s="227">
        <f t="shared" si="11"/>
        <v>15</v>
      </c>
      <c r="G27" s="67"/>
      <c r="H27" s="67"/>
    </row>
    <row r="28" spans="1:8" ht="4.5" customHeight="1" x14ac:dyDescent="0.3">
      <c r="A28" s="266"/>
      <c r="B28" s="267"/>
      <c r="C28" s="267"/>
      <c r="D28" s="267"/>
      <c r="E28" s="267"/>
      <c r="F28" s="268"/>
      <c r="G28" s="67"/>
      <c r="H28" s="67"/>
    </row>
    <row r="29" spans="1:8" ht="32.450000000000003" customHeight="1" x14ac:dyDescent="0.3">
      <c r="A29" s="209" t="s">
        <v>242</v>
      </c>
      <c r="B29" s="231">
        <f>$B$4</f>
        <v>100</v>
      </c>
      <c r="C29" s="210">
        <f>SUM(C26:C27)</f>
        <v>20</v>
      </c>
      <c r="D29" s="55">
        <f>IFERROR(ROUNDDOWN(C29/B29,0),"")</f>
        <v>0</v>
      </c>
      <c r="E29" s="211"/>
      <c r="F29" s="212">
        <f>IFERROR(C29-(D29*B29),"")</f>
        <v>20</v>
      </c>
      <c r="G29" s="67"/>
      <c r="H29" s="67"/>
    </row>
    <row r="30" spans="1:8" ht="4.5" customHeight="1" x14ac:dyDescent="0.3">
      <c r="A30" s="229"/>
      <c r="B30" s="225"/>
      <c r="C30" s="225"/>
      <c r="D30" s="225"/>
      <c r="E30" s="225"/>
      <c r="F30" s="230"/>
      <c r="G30" s="67"/>
      <c r="H30" s="67"/>
    </row>
    <row r="31" spans="1:8" ht="30" customHeight="1" x14ac:dyDescent="0.3">
      <c r="A31" s="228" t="s">
        <v>268</v>
      </c>
      <c r="B31" s="225">
        <f t="shared" ref="B31" si="12">$B$4</f>
        <v>100</v>
      </c>
      <c r="C31" s="226">
        <f>IFERROR(VLOOKUP(A31,'★삼진 (입고일+2)'!A:SH,3,FALSE),0)</f>
        <v>21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21</v>
      </c>
      <c r="G31" s="67"/>
      <c r="H31" s="67"/>
    </row>
    <row r="32" spans="1:8" ht="4.5" customHeight="1" x14ac:dyDescent="0.3">
      <c r="A32" s="266"/>
      <c r="B32" s="267"/>
      <c r="C32" s="267"/>
      <c r="D32" s="267"/>
      <c r="E32" s="267"/>
      <c r="F32" s="268"/>
      <c r="G32" s="67"/>
      <c r="H32" s="67"/>
    </row>
    <row r="33" spans="1:8" ht="32.450000000000003" customHeight="1" x14ac:dyDescent="0.3">
      <c r="A33" s="209" t="s">
        <v>246</v>
      </c>
      <c r="B33" s="231">
        <f>$B$4</f>
        <v>100</v>
      </c>
      <c r="C33" s="210">
        <f>SUM(C31:C31)</f>
        <v>21</v>
      </c>
      <c r="D33" s="55">
        <f>IFERROR(ROUNDDOWN(C33/B33,0),"")</f>
        <v>0</v>
      </c>
      <c r="E33" s="211"/>
      <c r="F33" s="212">
        <f>IFERROR(C33-(D33*B33),"")</f>
        <v>21</v>
      </c>
      <c r="G33" s="67"/>
      <c r="H33" s="67"/>
    </row>
    <row r="34" spans="1:8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</row>
    <row r="35" spans="1:8" ht="26.25" x14ac:dyDescent="0.3">
      <c r="A35" s="207" t="s">
        <v>3</v>
      </c>
      <c r="B35" s="232">
        <f>$B$4</f>
        <v>100</v>
      </c>
      <c r="C35" s="55">
        <f>SUM(C4:C12,C26:C27,C21:C22,C16:C17,C31:C31)</f>
        <v>418</v>
      </c>
      <c r="D35" s="54">
        <f>IFERROR(ROUNDDOWN(C35/B35,0),"")</f>
        <v>4</v>
      </c>
      <c r="E35" s="56"/>
      <c r="F35" s="121">
        <f>IFERROR(C35-(D35*B35),"")</f>
        <v>18</v>
      </c>
      <c r="G35" s="217" t="s">
        <v>110</v>
      </c>
      <c r="H35" s="216" t="s">
        <v>111</v>
      </c>
    </row>
    <row r="36" spans="1:8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418</v>
      </c>
      <c r="G36" s="213">
        <f>IFERROR(ROUNDDOWN(F36/B26,0),"")</f>
        <v>4</v>
      </c>
      <c r="H36" s="214">
        <f>IFERROR(F36-(G36*B26),"")</f>
        <v>18</v>
      </c>
    </row>
    <row r="37" spans="1:8" ht="22.5" customHeight="1" x14ac:dyDescent="0.3">
      <c r="C37" s="77">
        <f>C14+C19+C24+C29+C33</f>
        <v>418</v>
      </c>
      <c r="G37" s="197"/>
      <c r="H37" s="34" t="s">
        <v>174</v>
      </c>
    </row>
    <row r="38" spans="1:8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B618-1ECE-4B20-A2DE-A7B1E2FBB851}">
  <sheetPr>
    <tabColor theme="6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6.5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6.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5" t="s">
        <v>302</v>
      </c>
      <c r="C2" s="276"/>
      <c r="D2" s="276"/>
      <c r="E2" s="276"/>
      <c r="F2" s="277"/>
      <c r="G2" s="67"/>
      <c r="H2" s="67"/>
    </row>
    <row r="3" spans="1:11" ht="52.5" x14ac:dyDescent="0.3">
      <c r="A3" s="219" t="s">
        <v>67</v>
      </c>
      <c r="B3" s="220" t="s">
        <v>13</v>
      </c>
      <c r="C3" s="221" t="s">
        <v>282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100</v>
      </c>
      <c r="C4" s="226">
        <f>IFERROR(VLOOKUP(A4,'★삼진 (입고일+2)'!A:SH,4,FALSE),0)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100</v>
      </c>
      <c r="C5" s="226">
        <f>IFERROR(VLOOKUP(A5,'★삼진 (입고일+2)'!A:SH,4,FALSE),0)</f>
        <v>41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41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100</v>
      </c>
      <c r="C6" s="226">
        <f>IFERROR(VLOOKUP(A6,'★삼진 (입고일+2)'!A:SH,4,FALSE),0)</f>
        <v>10</v>
      </c>
      <c r="D6" s="226">
        <f>IFERROR(ROUNDDOWN(C6/B6,0),"")</f>
        <v>0</v>
      </c>
      <c r="E6" s="51" t="s">
        <v>257</v>
      </c>
      <c r="F6" s="227">
        <f>IFERROR(C6-(D6*B6),"")</f>
        <v>10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100</v>
      </c>
      <c r="C7" s="226">
        <f>IFERROR(VLOOKUP(A7,'★삼진 (입고일+2)'!A:SH,4,FALSE),0)</f>
        <v>40</v>
      </c>
      <c r="D7" s="226">
        <f>IFERROR(ROUNDDOWN(C7/B7,0),"")</f>
        <v>0</v>
      </c>
      <c r="E7" s="51" t="s">
        <v>258</v>
      </c>
      <c r="F7" s="227">
        <f>IFERROR(C7-(D7*B7),"")</f>
        <v>40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100</v>
      </c>
      <c r="C8" s="226">
        <f>IFERROR(VLOOKUP(A8,'★삼진 (입고일+2)'!A:SH,4,FALSE),0)</f>
        <v>37</v>
      </c>
      <c r="D8" s="226">
        <f>IFERROR(ROUNDDOWN(C8/B8,0),"")</f>
        <v>0</v>
      </c>
      <c r="E8" s="51" t="s">
        <v>259</v>
      </c>
      <c r="F8" s="227">
        <f>IFERROR(C8-(D8*B8),"")</f>
        <v>37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100</v>
      </c>
      <c r="C9" s="226">
        <f>IFERROR(VLOOKUP(A9,'★삼진 (입고일+2)'!A:SH,4,FALSE),0)</f>
        <v>32</v>
      </c>
      <c r="D9" s="226">
        <f t="shared" si="0"/>
        <v>0</v>
      </c>
      <c r="E9" s="51" t="s">
        <v>260</v>
      </c>
      <c r="F9" s="227">
        <f t="shared" si="1"/>
        <v>32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100</v>
      </c>
      <c r="C10" s="226">
        <f>IFERROR(VLOOKUP(A10,'★삼진 (입고일+2)'!A:SH,4,FALSE),0)</f>
        <v>22</v>
      </c>
      <c r="D10" s="226">
        <f>IFERROR(ROUNDDOWN(C10/B10,0),"")</f>
        <v>0</v>
      </c>
      <c r="E10" s="51" t="s">
        <v>261</v>
      </c>
      <c r="F10" s="227">
        <f>IFERROR(C10-(D10*B10),"")</f>
        <v>22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100</v>
      </c>
      <c r="C11" s="226">
        <f>IFERROR(VLOOKUP(A11,'★삼진 (입고일+2)'!A:SH,4,FALSE),0)</f>
        <v>40</v>
      </c>
      <c r="D11" s="226">
        <f t="shared" si="0"/>
        <v>0</v>
      </c>
      <c r="E11" s="51" t="s">
        <v>240</v>
      </c>
      <c r="F11" s="227">
        <f t="shared" si="1"/>
        <v>40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100</v>
      </c>
      <c r="C12" s="226">
        <f>IFERROR(VLOOKUP(A12,'★삼진 (입고일+2)'!A:SH,4,FALSE),0)</f>
        <v>12</v>
      </c>
      <c r="D12" s="226">
        <f t="shared" si="0"/>
        <v>0</v>
      </c>
      <c r="E12" s="51" t="s">
        <v>108</v>
      </c>
      <c r="F12" s="227">
        <f t="shared" si="1"/>
        <v>12</v>
      </c>
      <c r="G12" s="67"/>
      <c r="H12" s="67"/>
      <c r="J12" s="73"/>
      <c r="K12" s="73"/>
    </row>
    <row r="13" spans="1:11" ht="4.5" customHeight="1" x14ac:dyDescent="0.3">
      <c r="A13" s="272"/>
      <c r="B13" s="273"/>
      <c r="C13" s="273"/>
      <c r="D13" s="273"/>
      <c r="E13" s="273"/>
      <c r="F13" s="274"/>
      <c r="J13" s="73"/>
      <c r="K13" s="73"/>
    </row>
    <row r="14" spans="1:11" ht="32.450000000000003" customHeight="1" x14ac:dyDescent="0.3">
      <c r="A14" s="209" t="s">
        <v>122</v>
      </c>
      <c r="B14" s="231">
        <f>$B$4</f>
        <v>100</v>
      </c>
      <c r="C14" s="210">
        <f>SUM(C4:C12)</f>
        <v>234</v>
      </c>
      <c r="D14" s="55">
        <f>IFERROR(ROUNDDOWN(C14/B14,0),"")</f>
        <v>2</v>
      </c>
      <c r="E14" s="211"/>
      <c r="F14" s="212">
        <f>IFERROR(C14-(D14*B14),"")</f>
        <v>34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100</v>
      </c>
      <c r="C16" s="226">
        <f>IFERROR(VLOOKUP(A16,'★삼진 (입고일+2)'!A:SH,4,FALSE),0)</f>
        <v>23</v>
      </c>
      <c r="D16" s="226">
        <f>IFERROR(ROUNDDOWN(C16/B16,0),"")</f>
        <v>0</v>
      </c>
      <c r="E16" s="51" t="s">
        <v>237</v>
      </c>
      <c r="F16" s="227">
        <f>IFERROR(C16-(D16*B16),"")</f>
        <v>23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100</v>
      </c>
      <c r="C17" s="226">
        <f>IFERROR(VLOOKUP(A17,'★삼진 (입고일+2)'!A:SH,4,FALSE),0)</f>
        <v>14</v>
      </c>
      <c r="D17" s="226">
        <f>IFERROR(ROUNDDOWN(C17/B17,0),"")</f>
        <v>0</v>
      </c>
      <c r="E17" s="51" t="s">
        <v>236</v>
      </c>
      <c r="F17" s="227">
        <f>IFERROR(C17-(D17*B17),"")</f>
        <v>14</v>
      </c>
      <c r="G17" s="67"/>
      <c r="H17" s="67"/>
      <c r="J17" s="73"/>
      <c r="K17" s="73"/>
    </row>
    <row r="18" spans="1:11" ht="4.5" customHeight="1" x14ac:dyDescent="0.3">
      <c r="A18" s="272"/>
      <c r="B18" s="273"/>
      <c r="C18" s="273"/>
      <c r="D18" s="273"/>
      <c r="E18" s="273"/>
      <c r="F18" s="274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100</v>
      </c>
      <c r="C19" s="210">
        <f>SUM(C16:C17)</f>
        <v>37</v>
      </c>
      <c r="D19" s="55">
        <f>IFERROR(ROUNDDOWN(C19/B19,0),"")</f>
        <v>0</v>
      </c>
      <c r="E19" s="211"/>
      <c r="F19" s="212">
        <f>IFERROR(C19-(D19*B19),"")</f>
        <v>37</v>
      </c>
      <c r="G19" s="67"/>
      <c r="H19" s="67"/>
      <c r="J19" s="73"/>
      <c r="K19" s="73"/>
    </row>
    <row r="20" spans="1:11" ht="4.5" customHeight="1" x14ac:dyDescent="0.3">
      <c r="A20" s="272"/>
      <c r="B20" s="273"/>
      <c r="C20" s="273"/>
      <c r="D20" s="273"/>
      <c r="E20" s="273"/>
      <c r="F20" s="274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100</v>
      </c>
      <c r="C21" s="226">
        <f>IFERROR(VLOOKUP(A21,'★삼진 (입고일+2)'!A:SH,4,FALSE),0)</f>
        <v>11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11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100</v>
      </c>
      <c r="C22" s="226">
        <f>IFERROR(VLOOKUP(A22,'★삼진 (입고일+2)'!A:SH,4,FALSE),0)</f>
        <v>14</v>
      </c>
      <c r="D22" s="226">
        <f t="shared" si="7"/>
        <v>0</v>
      </c>
      <c r="E22" s="51" t="s">
        <v>269</v>
      </c>
      <c r="F22" s="227">
        <f t="shared" si="8"/>
        <v>14</v>
      </c>
      <c r="G22" s="67"/>
      <c r="H22" s="67"/>
      <c r="J22" s="73"/>
      <c r="K22" s="73"/>
    </row>
    <row r="23" spans="1:11" ht="4.5" customHeight="1" x14ac:dyDescent="0.3">
      <c r="A23" s="272"/>
      <c r="B23" s="273"/>
      <c r="C23" s="273"/>
      <c r="D23" s="273"/>
      <c r="E23" s="273"/>
      <c r="F23" s="274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100</v>
      </c>
      <c r="C24" s="210">
        <f>SUM(C21:C22)</f>
        <v>25</v>
      </c>
      <c r="D24" s="55">
        <f>IFERROR(ROUNDDOWN(C24/B24,0),"")</f>
        <v>0</v>
      </c>
      <c r="E24" s="211"/>
      <c r="F24" s="212">
        <f>IFERROR(C24-(D24*B24),"")</f>
        <v>25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100</v>
      </c>
      <c r="C26" s="226">
        <f>IFERROR(VLOOKUP(A26,'★삼진 (입고일+2)'!A:SH,4,FALSE),0)</f>
        <v>14</v>
      </c>
      <c r="D26" s="226">
        <f>IFERROR(ROUNDDOWN(C26/B26,0),"")</f>
        <v>0</v>
      </c>
      <c r="E26" s="51" t="s">
        <v>239</v>
      </c>
      <c r="F26" s="227">
        <f>IFERROR(C26-(D26*B26),"")</f>
        <v>14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100</v>
      </c>
      <c r="C27" s="226">
        <f>IFERROR(VLOOKUP(A27,'★삼진 (입고일+2)'!A:SH,4,FALSE),0)</f>
        <v>9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9</v>
      </c>
      <c r="G27" s="67"/>
      <c r="H27" s="67"/>
      <c r="J27" s="73"/>
      <c r="K27" s="73"/>
    </row>
    <row r="28" spans="1:11" ht="4.5" customHeight="1" x14ac:dyDescent="0.3">
      <c r="A28" s="272"/>
      <c r="B28" s="273"/>
      <c r="C28" s="273"/>
      <c r="D28" s="273"/>
      <c r="E28" s="273"/>
      <c r="F28" s="274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100</v>
      </c>
      <c r="C29" s="210">
        <f>SUM(C26:C27)</f>
        <v>23</v>
      </c>
      <c r="D29" s="55">
        <f>IFERROR(ROUNDDOWN(C29/B29,0),"")</f>
        <v>0</v>
      </c>
      <c r="E29" s="211"/>
      <c r="F29" s="212">
        <f>IFERROR(C29-(D29*B29),"")</f>
        <v>23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100</v>
      </c>
      <c r="C31" s="226">
        <f>IFERROR(VLOOKUP(A31,'★삼진 (입고일+2)'!A:SH,4,FALSE),0)</f>
        <v>18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18</v>
      </c>
      <c r="G31" s="67"/>
      <c r="H31" s="67"/>
      <c r="J31" s="73"/>
      <c r="K31" s="73"/>
    </row>
    <row r="32" spans="1:11" ht="4.5" customHeight="1" x14ac:dyDescent="0.3">
      <c r="A32" s="272"/>
      <c r="B32" s="273"/>
      <c r="C32" s="273"/>
      <c r="D32" s="273"/>
      <c r="E32" s="273"/>
      <c r="F32" s="274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100</v>
      </c>
      <c r="C33" s="210">
        <f>SUM(C31:C31)</f>
        <v>18</v>
      </c>
      <c r="D33" s="55">
        <f>IFERROR(ROUNDDOWN(C33/B33,0),"")</f>
        <v>0</v>
      </c>
      <c r="E33" s="211"/>
      <c r="F33" s="212">
        <f>IFERROR(C33-(D33*B33),"")</f>
        <v>18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100</v>
      </c>
      <c r="C35" s="55">
        <f>SUM(C4:C12,C26:C27,C21:C22,C16:C17,C31:C31)</f>
        <v>337</v>
      </c>
      <c r="D35" s="54">
        <f>IFERROR(ROUNDDOWN(C35/B35,0),"")</f>
        <v>3</v>
      </c>
      <c r="E35" s="56"/>
      <c r="F35" s="121">
        <f>IFERROR(C35-(D35*B35),"")</f>
        <v>37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337</v>
      </c>
      <c r="G36" s="213">
        <f>IFERROR(ROUNDDOWN(F36/B26,0),"")</f>
        <v>3</v>
      </c>
      <c r="H36" s="214">
        <f>IFERROR(F36-(G36*B26),"")</f>
        <v>37</v>
      </c>
    </row>
    <row r="37" spans="1:11" ht="22.5" customHeight="1" x14ac:dyDescent="0.3">
      <c r="C37" s="77">
        <f>C14+C19+C24+C29+C33</f>
        <v>337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7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BD05-D33B-49C5-981B-1B06029DC482}">
  <sheetPr>
    <tabColor theme="7" tint="0.59999389629810485"/>
  </sheetPr>
  <dimension ref="A1:SS15"/>
  <sheetViews>
    <sheetView zoomScale="55" zoomScaleNormal="55" zoomScaleSheetLayoutView="75" workbookViewId="0">
      <selection activeCell="B15" sqref="B15"/>
    </sheetView>
  </sheetViews>
  <sheetFormatPr defaultColWidth="9" defaultRowHeight="15" customHeight="1" x14ac:dyDescent="0.3"/>
  <cols>
    <col min="1" max="23" width="37.625" style="34" customWidth="1"/>
    <col min="24" max="24" width="22.25" style="34" bestFit="1" customWidth="1"/>
    <col min="25" max="27" width="18.375" style="34" customWidth="1"/>
    <col min="28" max="28" width="27.625" style="34" bestFit="1" customWidth="1"/>
    <col min="29" max="30" width="18.375" style="34" customWidth="1"/>
    <col min="31" max="31" width="27.625" style="34" bestFit="1" customWidth="1"/>
    <col min="32" max="32" width="18.375" style="34" customWidth="1"/>
    <col min="33" max="33" width="25.375" style="34" bestFit="1" customWidth="1"/>
    <col min="34" max="34" width="21" style="34" bestFit="1" customWidth="1"/>
    <col min="35" max="35" width="27.625" style="34" bestFit="1" customWidth="1"/>
    <col min="36" max="36" width="18.375" style="34" customWidth="1"/>
    <col min="37" max="37" width="27.625" style="34" bestFit="1" customWidth="1"/>
    <col min="38" max="391" width="30.375" style="34" customWidth="1"/>
    <col min="392" max="393" width="21.25" style="34" customWidth="1"/>
    <col min="394" max="409" width="20.5" style="34" customWidth="1"/>
    <col min="410" max="410" width="21" style="34" bestFit="1" customWidth="1"/>
    <col min="411" max="411" width="25.125" style="34" bestFit="1" customWidth="1"/>
    <col min="412" max="412" width="23" style="34" bestFit="1" customWidth="1"/>
    <col min="413" max="413" width="33.375" style="34" bestFit="1" customWidth="1"/>
    <col min="414" max="414" width="25.125" style="34" bestFit="1" customWidth="1"/>
    <col min="415" max="415" width="28.875" style="34" bestFit="1" customWidth="1"/>
    <col min="416" max="416" width="23" style="34" bestFit="1" customWidth="1"/>
    <col min="417" max="417" width="18.875" style="34" customWidth="1"/>
    <col min="418" max="418" width="23" style="34" bestFit="1" customWidth="1"/>
    <col min="419" max="419" width="25.125" style="34" bestFit="1" customWidth="1"/>
    <col min="420" max="420" width="18.875" style="34" customWidth="1"/>
    <col min="421" max="421" width="19.125" style="34" customWidth="1"/>
    <col min="422" max="422" width="18.125" style="34" customWidth="1"/>
    <col min="423" max="423" width="18.875" style="34" customWidth="1"/>
    <col min="424" max="424" width="26.625" style="34" customWidth="1"/>
    <col min="425" max="425" width="22.125" style="34" customWidth="1"/>
    <col min="426" max="426" width="24.125" style="34" customWidth="1"/>
    <col min="427" max="427" width="21.375" style="34" customWidth="1"/>
    <col min="428" max="428" width="19.375" style="34" customWidth="1"/>
    <col min="429" max="429" width="20" style="34" customWidth="1"/>
    <col min="430" max="430" width="23.25" style="34" customWidth="1"/>
    <col min="431" max="431" width="18" style="34" customWidth="1"/>
    <col min="432" max="462" width="19" style="34" customWidth="1"/>
    <col min="463" max="467" width="20.25" style="34" customWidth="1"/>
    <col min="468" max="468" width="17.25" style="34" customWidth="1"/>
    <col min="469" max="469" width="17.75" style="34" customWidth="1"/>
    <col min="470" max="470" width="16.5" style="34" customWidth="1"/>
    <col min="471" max="473" width="21" style="34" customWidth="1"/>
    <col min="474" max="474" width="18.5" style="34" customWidth="1"/>
    <col min="475" max="479" width="21" style="34" customWidth="1"/>
    <col min="480" max="480" width="15.125" style="34" customWidth="1"/>
    <col min="481" max="496" width="21" style="34" customWidth="1"/>
    <col min="497" max="497" width="24.25" style="34" customWidth="1"/>
    <col min="498" max="498" width="18.875" style="34" bestFit="1" customWidth="1"/>
    <col min="499" max="499" width="21" style="34" bestFit="1" customWidth="1"/>
    <col min="500" max="500" width="23" style="38" bestFit="1" customWidth="1"/>
    <col min="501" max="501" width="8.625" style="38" bestFit="1" customWidth="1"/>
    <col min="502" max="502" width="21" style="38" bestFit="1" customWidth="1"/>
    <col min="503" max="503" width="23" style="38" bestFit="1" customWidth="1"/>
    <col min="504" max="504" width="8.625" style="38" bestFit="1" customWidth="1"/>
    <col min="505" max="505" width="22.875" style="34" customWidth="1"/>
    <col min="506" max="512" width="20.875" style="38" customWidth="1"/>
    <col min="513" max="513" width="23.25" style="38" customWidth="1"/>
    <col min="514" max="16384" width="9" style="34"/>
  </cols>
  <sheetData>
    <row r="1" spans="1:505" s="38" customFormat="1" ht="15" customHeight="1" x14ac:dyDescent="0.3">
      <c r="A1" s="62" t="s">
        <v>351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2"/>
      <c r="AM1" s="2"/>
      <c r="AN1" s="2"/>
      <c r="AO1" s="2"/>
      <c r="AP1" s="2"/>
      <c r="AQ1" s="2"/>
      <c r="AR1" s="2"/>
      <c r="AS1" s="2"/>
      <c r="AT1" s="29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32"/>
      <c r="MJ1" s="23"/>
      <c r="MK1" s="23"/>
      <c r="ML1" s="23"/>
      <c r="MM1" s="23"/>
      <c r="MN1" s="32"/>
      <c r="MO1" s="32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32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32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32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</row>
    <row r="2" spans="1:505" s="38" customFormat="1" ht="15" customHeight="1" x14ac:dyDescent="0.3">
      <c r="A2" s="53" t="s">
        <v>67</v>
      </c>
      <c r="B2" s="53" t="s">
        <v>283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</row>
    <row r="3" spans="1:505" s="38" customFormat="1" ht="15" customHeight="1" x14ac:dyDescent="0.3">
      <c r="A3" s="34" t="s">
        <v>267</v>
      </c>
      <c r="B3" s="34">
        <v>2</v>
      </c>
      <c r="C3" s="34"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</row>
    <row r="4" spans="1:505" s="38" customFormat="1" ht="15" customHeight="1" x14ac:dyDescent="0.3">
      <c r="A4" s="34" t="s">
        <v>264</v>
      </c>
      <c r="B4" s="34">
        <v>3</v>
      </c>
      <c r="C4" s="34">
        <v>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</row>
    <row r="5" spans="1:505" ht="15" customHeight="1" x14ac:dyDescent="0.3">
      <c r="A5" s="34" t="s">
        <v>249</v>
      </c>
      <c r="B5" s="34">
        <v>3</v>
      </c>
      <c r="C5" s="34">
        <v>3</v>
      </c>
    </row>
    <row r="6" spans="1:505" ht="15" customHeight="1" x14ac:dyDescent="0.3">
      <c r="A6" s="34" t="s">
        <v>252</v>
      </c>
      <c r="B6" s="34">
        <v>1</v>
      </c>
      <c r="C6" s="34">
        <v>1</v>
      </c>
    </row>
    <row r="7" spans="1:505" ht="15" customHeight="1" x14ac:dyDescent="0.3">
      <c r="A7" s="34" t="s">
        <v>263</v>
      </c>
      <c r="B7" s="34">
        <v>2</v>
      </c>
      <c r="C7" s="34">
        <v>2</v>
      </c>
    </row>
    <row r="8" spans="1:505" ht="15" customHeight="1" x14ac:dyDescent="0.3">
      <c r="A8" s="34" t="s">
        <v>254</v>
      </c>
      <c r="B8" s="34">
        <v>2</v>
      </c>
      <c r="C8" s="34">
        <v>2</v>
      </c>
    </row>
    <row r="9" spans="1:505" ht="15" customHeight="1" x14ac:dyDescent="0.3">
      <c r="A9" s="34" t="s">
        <v>253</v>
      </c>
      <c r="B9" s="34">
        <v>2</v>
      </c>
      <c r="C9" s="34">
        <v>2</v>
      </c>
    </row>
    <row r="10" spans="1:505" ht="15" customHeight="1" x14ac:dyDescent="0.3">
      <c r="A10" s="34" t="s">
        <v>255</v>
      </c>
      <c r="B10" s="34">
        <v>5</v>
      </c>
      <c r="C10" s="34">
        <v>5</v>
      </c>
    </row>
    <row r="11" spans="1:505" ht="15" customHeight="1" x14ac:dyDescent="0.3">
      <c r="A11" s="34" t="s">
        <v>250</v>
      </c>
      <c r="B11" s="34">
        <v>2</v>
      </c>
      <c r="C11" s="34">
        <v>2</v>
      </c>
    </row>
    <row r="12" spans="1:505" ht="15" customHeight="1" x14ac:dyDescent="0.3">
      <c r="A12" s="34" t="s">
        <v>268</v>
      </c>
      <c r="B12" s="34">
        <v>2</v>
      </c>
      <c r="C12" s="34">
        <v>2</v>
      </c>
    </row>
    <row r="13" spans="1:505" ht="15" customHeight="1" x14ac:dyDescent="0.3">
      <c r="A13" s="34" t="s">
        <v>265</v>
      </c>
      <c r="B13" s="34">
        <v>1</v>
      </c>
      <c r="C13" s="34">
        <v>1</v>
      </c>
    </row>
    <row r="14" spans="1:505" ht="15" customHeight="1" x14ac:dyDescent="0.3">
      <c r="A14" s="34" t="s">
        <v>251</v>
      </c>
      <c r="B14" s="34">
        <v>4</v>
      </c>
      <c r="C14" s="34">
        <v>4</v>
      </c>
    </row>
    <row r="15" spans="1:505" ht="15" customHeight="1" x14ac:dyDescent="0.3">
      <c r="A15" s="34" t="s">
        <v>3</v>
      </c>
      <c r="B15" s="34">
        <v>29</v>
      </c>
      <c r="C15" s="34">
        <v>29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E7A5-54D9-4C98-BA5C-6CA0930D1817}">
  <sheetPr>
    <tabColor theme="7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62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303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0" t="s">
        <v>283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5</v>
      </c>
      <c r="C4" s="226">
        <f>IFERROR(VLOOKUP(A4,'★아워홈  (입고일+2일)'!A:SG,2,FALSE),0)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5</v>
      </c>
      <c r="C5" s="226">
        <f>IFERROR(VLOOKUP(A5,'★아워홈  (입고일+2일)'!A:SG,2,FALSE),0)</f>
        <v>0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5</v>
      </c>
      <c r="C6" s="226">
        <f>IFERROR(VLOOKUP(A6,'★아워홈  (입고일+2일)'!A:SG,2,FALSE),0)</f>
        <v>3</v>
      </c>
      <c r="D6" s="226">
        <f>IFERROR(ROUNDDOWN(C6/B6,0),"")</f>
        <v>0</v>
      </c>
      <c r="E6" s="51" t="s">
        <v>257</v>
      </c>
      <c r="F6" s="227">
        <f>IFERROR(C6-(D6*B6),"")</f>
        <v>3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5</v>
      </c>
      <c r="C7" s="226">
        <f>IFERROR(VLOOKUP(A7,'★아워홈  (입고일+2일)'!A:SG,2,FALSE),0)</f>
        <v>2</v>
      </c>
      <c r="D7" s="226">
        <f>IFERROR(ROUNDDOWN(C7/B7,0),"")</f>
        <v>0</v>
      </c>
      <c r="E7" s="51" t="s">
        <v>258</v>
      </c>
      <c r="F7" s="227">
        <f>IFERROR(C7-(D7*B7),"")</f>
        <v>2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5</v>
      </c>
      <c r="C8" s="226">
        <f>IFERROR(VLOOKUP(A8,'★아워홈  (입고일+2일)'!A:SG,2,FALSE),0)</f>
        <v>4</v>
      </c>
      <c r="D8" s="226">
        <f>IFERROR(ROUNDDOWN(C8/B8,0),"")</f>
        <v>0</v>
      </c>
      <c r="E8" s="51" t="s">
        <v>259</v>
      </c>
      <c r="F8" s="227">
        <f>IFERROR(C8-(D8*B8),"")</f>
        <v>4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5</v>
      </c>
      <c r="C9" s="226">
        <f>IFERROR(VLOOKUP(A9,'★아워홈  (입고일+2일)'!A:SG,2,FALSE),0)</f>
        <v>1</v>
      </c>
      <c r="D9" s="226">
        <f t="shared" si="0"/>
        <v>0</v>
      </c>
      <c r="E9" s="51" t="s">
        <v>260</v>
      </c>
      <c r="F9" s="227">
        <f t="shared" si="1"/>
        <v>1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5</v>
      </c>
      <c r="C10" s="226">
        <f>IFERROR(VLOOKUP(A10,'★아워홈  (입고일+2일)'!A:SG,2,FALSE),0)</f>
        <v>2</v>
      </c>
      <c r="D10" s="226">
        <f>IFERROR(ROUNDDOWN(C10/B10,0),"")</f>
        <v>0</v>
      </c>
      <c r="E10" s="51" t="s">
        <v>261</v>
      </c>
      <c r="F10" s="227">
        <f>IFERROR(C10-(D10*B10),"")</f>
        <v>2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5</v>
      </c>
      <c r="C11" s="226">
        <f>IFERROR(VLOOKUP(A11,'★아워홈  (입고일+2일)'!A:SG,2,FALSE),0)</f>
        <v>2</v>
      </c>
      <c r="D11" s="226">
        <f t="shared" si="0"/>
        <v>0</v>
      </c>
      <c r="E11" s="51" t="s">
        <v>240</v>
      </c>
      <c r="F11" s="227">
        <f t="shared" si="1"/>
        <v>2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5</v>
      </c>
      <c r="C12" s="226">
        <f>IFERROR(VLOOKUP(A12,'★아워홈  (입고일+2일)'!A:SG,2,FALSE),0)</f>
        <v>5</v>
      </c>
      <c r="D12" s="226">
        <f t="shared" si="0"/>
        <v>1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5</v>
      </c>
      <c r="C14" s="210">
        <f>SUM(C4:C12)</f>
        <v>19</v>
      </c>
      <c r="D14" s="55">
        <f>IFERROR(ROUNDDOWN(C14/B14,0),"")</f>
        <v>3</v>
      </c>
      <c r="E14" s="211"/>
      <c r="F14" s="212">
        <f>IFERROR(C14-(D14*B14),"")</f>
        <v>4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5</v>
      </c>
      <c r="C16" s="226">
        <f>IFERROR(VLOOKUP(A16,'★아워홈  (입고일+2일)'!A:SG,2,FALSE),0)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5</v>
      </c>
      <c r="C17" s="226">
        <f>IFERROR(VLOOKUP(A17,'★아워홈  (입고일+2일)'!A:SG,2,FALSE),0)</f>
        <v>2</v>
      </c>
      <c r="D17" s="226">
        <f>IFERROR(ROUNDDOWN(C17/B17,0),"")</f>
        <v>0</v>
      </c>
      <c r="E17" s="51" t="s">
        <v>236</v>
      </c>
      <c r="F17" s="227">
        <f>IFERROR(C17-(D17*B17),"")</f>
        <v>2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5</v>
      </c>
      <c r="C19" s="210">
        <f>SUM(C16:C17)</f>
        <v>2</v>
      </c>
      <c r="D19" s="55">
        <f>IFERROR(ROUNDDOWN(C19/B19,0),"")</f>
        <v>0</v>
      </c>
      <c r="E19" s="211"/>
      <c r="F19" s="212">
        <f>IFERROR(C19-(D19*B19),"")</f>
        <v>2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5</v>
      </c>
      <c r="C21" s="226">
        <f>IFERROR(VLOOKUP(A21,'★아워홈  (입고일+2일)'!A:SG,2,FALSE),0)</f>
        <v>3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3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5</v>
      </c>
      <c r="C22" s="226">
        <f>IFERROR(VLOOKUP(A22,'★아워홈  (입고일+2일)'!A:SG,2,FALSE),0)</f>
        <v>1</v>
      </c>
      <c r="D22" s="226">
        <f t="shared" si="7"/>
        <v>0</v>
      </c>
      <c r="E22" s="51" t="s">
        <v>269</v>
      </c>
      <c r="F22" s="227">
        <f t="shared" si="8"/>
        <v>1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5</v>
      </c>
      <c r="C24" s="210">
        <f>SUM(C21:C22)</f>
        <v>4</v>
      </c>
      <c r="D24" s="55">
        <f>IFERROR(ROUNDDOWN(C24/B24,0),"")</f>
        <v>0</v>
      </c>
      <c r="E24" s="211"/>
      <c r="F24" s="212">
        <f>IFERROR(C24-(D24*B24),"")</f>
        <v>4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5</v>
      </c>
      <c r="C26" s="226">
        <f>IFERROR(VLOOKUP(A26,'★아워홈  (입고일+2일)'!A:SG,2,FALSE),0)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5</v>
      </c>
      <c r="C27" s="226">
        <f>IFERROR(VLOOKUP(A27,'★아워홈  (입고일+2일)'!A:SG,2,FALSE),0)</f>
        <v>2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2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5</v>
      </c>
      <c r="C29" s="210">
        <f>SUM(C26:C27)</f>
        <v>2</v>
      </c>
      <c r="D29" s="55">
        <f>IFERROR(ROUNDDOWN(C29/B29,0),"")</f>
        <v>0</v>
      </c>
      <c r="E29" s="211"/>
      <c r="F29" s="212">
        <f>IFERROR(C29-(D29*B29),"")</f>
        <v>2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5</v>
      </c>
      <c r="C31" s="226">
        <f>IFERROR(VLOOKUP(A31,'★아워홈  (입고일+2일)'!A:SG,2,FALSE),0)</f>
        <v>2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2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5</v>
      </c>
      <c r="C33" s="210">
        <f>SUM(C31:C31)</f>
        <v>2</v>
      </c>
      <c r="D33" s="55">
        <f>IFERROR(ROUNDDOWN(C33/B33,0),"")</f>
        <v>0</v>
      </c>
      <c r="E33" s="211"/>
      <c r="F33" s="212">
        <f>IFERROR(C33-(D33*B33),"")</f>
        <v>2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5</v>
      </c>
      <c r="C35" s="55">
        <f>SUM(C4:C12,C26:C27,C21:C22,C16:C17,C31:C31)</f>
        <v>29</v>
      </c>
      <c r="D35" s="54">
        <f>IFERROR(ROUNDDOWN(C35/B35,0),"")</f>
        <v>5</v>
      </c>
      <c r="E35" s="56"/>
      <c r="F35" s="121">
        <f>IFERROR(C35-(D35*B35),"")</f>
        <v>4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1</v>
      </c>
      <c r="E36" s="48"/>
      <c r="F36" s="93">
        <f>SUM(F4:F12,F26:F27,F21:F22,F16:F17,F31:F31)</f>
        <v>24</v>
      </c>
      <c r="G36" s="213">
        <f>IFERROR(ROUNDDOWN(F36/B26,0),"")</f>
        <v>4</v>
      </c>
      <c r="H36" s="214">
        <f>IFERROR(F36-(G36*B26),"")</f>
        <v>4</v>
      </c>
    </row>
    <row r="37" spans="1:11" ht="22.5" customHeight="1" x14ac:dyDescent="0.3">
      <c r="C37" s="77">
        <f>C14+C19+C24+C29+C33</f>
        <v>29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C059-9EF0-4D44-8197-17234815162E}">
  <sheetPr>
    <tabColor theme="9" tint="0.59999389629810485"/>
  </sheetPr>
  <dimension ref="A1:SS37"/>
  <sheetViews>
    <sheetView zoomScale="55" zoomScaleNormal="55" zoomScaleSheetLayoutView="75" workbookViewId="0">
      <selection activeCell="G19" sqref="G19"/>
    </sheetView>
  </sheetViews>
  <sheetFormatPr defaultColWidth="9" defaultRowHeight="15" customHeight="1" x14ac:dyDescent="0.3"/>
  <cols>
    <col min="1" max="23" width="37.625" style="34" customWidth="1"/>
    <col min="24" max="24" width="22.25" style="34" bestFit="1" customWidth="1"/>
    <col min="25" max="27" width="18.375" style="34" customWidth="1"/>
    <col min="28" max="28" width="27.625" style="34" bestFit="1" customWidth="1"/>
    <col min="29" max="30" width="18.375" style="34" customWidth="1"/>
    <col min="31" max="31" width="27.625" style="34" bestFit="1" customWidth="1"/>
    <col min="32" max="32" width="18.375" style="34" customWidth="1"/>
    <col min="33" max="33" width="25.375" style="34" bestFit="1" customWidth="1"/>
    <col min="34" max="34" width="21" style="34" bestFit="1" customWidth="1"/>
    <col min="35" max="35" width="27.625" style="34" bestFit="1" customWidth="1"/>
    <col min="36" max="36" width="18.375" style="34" customWidth="1"/>
    <col min="37" max="37" width="27.625" style="34" bestFit="1" customWidth="1"/>
    <col min="38" max="391" width="30.375" style="34" customWidth="1"/>
    <col min="392" max="393" width="21.25" style="34" customWidth="1"/>
    <col min="394" max="409" width="20.5" style="34" customWidth="1"/>
    <col min="410" max="410" width="21" style="34" bestFit="1" customWidth="1"/>
    <col min="411" max="411" width="25.125" style="34" bestFit="1" customWidth="1"/>
    <col min="412" max="412" width="23" style="34" bestFit="1" customWidth="1"/>
    <col min="413" max="413" width="33.375" style="34" bestFit="1" customWidth="1"/>
    <col min="414" max="414" width="25.125" style="34" bestFit="1" customWidth="1"/>
    <col min="415" max="415" width="28.875" style="34" bestFit="1" customWidth="1"/>
    <col min="416" max="416" width="23" style="34" bestFit="1" customWidth="1"/>
    <col min="417" max="417" width="18.875" style="34" customWidth="1"/>
    <col min="418" max="418" width="23" style="34" bestFit="1" customWidth="1"/>
    <col min="419" max="419" width="25.125" style="34" bestFit="1" customWidth="1"/>
    <col min="420" max="420" width="18.875" style="34" customWidth="1"/>
    <col min="421" max="421" width="19.125" style="34" customWidth="1"/>
    <col min="422" max="422" width="18.125" style="34" customWidth="1"/>
    <col min="423" max="423" width="18.875" style="34" customWidth="1"/>
    <col min="424" max="424" width="26.625" style="34" customWidth="1"/>
    <col min="425" max="425" width="22.125" style="34" customWidth="1"/>
    <col min="426" max="426" width="24.125" style="34" customWidth="1"/>
    <col min="427" max="427" width="21.375" style="34" customWidth="1"/>
    <col min="428" max="428" width="19.375" style="34" customWidth="1"/>
    <col min="429" max="429" width="20" style="34" customWidth="1"/>
    <col min="430" max="430" width="23.25" style="34" customWidth="1"/>
    <col min="431" max="431" width="18" style="34" customWidth="1"/>
    <col min="432" max="462" width="19" style="34" customWidth="1"/>
    <col min="463" max="467" width="20.25" style="34" customWidth="1"/>
    <col min="468" max="468" width="17.25" style="34" customWidth="1"/>
    <col min="469" max="469" width="17.75" style="34" customWidth="1"/>
    <col min="470" max="470" width="16.5" style="34" customWidth="1"/>
    <col min="471" max="473" width="21" style="34" customWidth="1"/>
    <col min="474" max="474" width="18.5" style="34" customWidth="1"/>
    <col min="475" max="479" width="21" style="34" customWidth="1"/>
    <col min="480" max="480" width="15.125" style="34" customWidth="1"/>
    <col min="481" max="496" width="21" style="34" customWidth="1"/>
    <col min="497" max="497" width="24.25" style="34" customWidth="1"/>
    <col min="498" max="498" width="18.875" style="34" bestFit="1" customWidth="1"/>
    <col min="499" max="499" width="21" style="34" bestFit="1" customWidth="1"/>
    <col min="500" max="500" width="23" style="38" bestFit="1" customWidth="1"/>
    <col min="501" max="501" width="8.625" style="38" bestFit="1" customWidth="1"/>
    <col min="502" max="502" width="21" style="38" bestFit="1" customWidth="1"/>
    <col min="503" max="503" width="23" style="38" bestFit="1" customWidth="1"/>
    <col min="504" max="504" width="8.625" style="38" bestFit="1" customWidth="1"/>
    <col min="505" max="505" width="22.875" style="34" customWidth="1"/>
    <col min="506" max="512" width="20.875" style="38" customWidth="1"/>
    <col min="513" max="513" width="23.25" style="38" customWidth="1"/>
    <col min="514" max="16384" width="9" style="34"/>
  </cols>
  <sheetData>
    <row r="1" spans="1:505" s="38" customFormat="1" ht="15" customHeight="1" x14ac:dyDescent="0.3">
      <c r="A1" s="62" t="s">
        <v>351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2"/>
      <c r="AM1" s="2"/>
      <c r="AN1" s="2"/>
      <c r="AO1" s="2"/>
      <c r="AP1" s="2"/>
      <c r="AQ1" s="2"/>
      <c r="AR1" s="2"/>
      <c r="AS1" s="2"/>
      <c r="AT1" s="29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32"/>
      <c r="MJ1" s="23"/>
      <c r="MK1" s="23"/>
      <c r="ML1" s="23"/>
      <c r="MM1" s="23"/>
      <c r="MN1" s="32"/>
      <c r="MO1" s="32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32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32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32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</row>
    <row r="2" spans="1:505" s="38" customFormat="1" ht="15" customHeight="1" x14ac:dyDescent="0.3">
      <c r="A2" s="53" t="s">
        <v>67</v>
      </c>
      <c r="B2" s="53" t="s">
        <v>284</v>
      </c>
      <c r="C2" s="53"/>
      <c r="D2" s="53" t="s">
        <v>285</v>
      </c>
      <c r="E2" s="53" t="s">
        <v>286</v>
      </c>
      <c r="F2" s="53" t="s">
        <v>287</v>
      </c>
      <c r="G2" s="53" t="s">
        <v>3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</row>
    <row r="3" spans="1:505" s="38" customFormat="1" ht="15" customHeight="1" x14ac:dyDescent="0.3">
      <c r="A3" s="34" t="s">
        <v>267</v>
      </c>
      <c r="B3" s="34">
        <v>8</v>
      </c>
      <c r="C3" s="34"/>
      <c r="D3" s="34">
        <v>32</v>
      </c>
      <c r="E3" s="34">
        <v>36</v>
      </c>
      <c r="F3" s="34">
        <v>12</v>
      </c>
      <c r="G3" s="34">
        <v>88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</row>
    <row r="4" spans="1:505" s="38" customFormat="1" ht="15" customHeight="1" x14ac:dyDescent="0.3">
      <c r="A4" s="34" t="s">
        <v>266</v>
      </c>
      <c r="B4" s="34">
        <v>4</v>
      </c>
      <c r="C4" s="34"/>
      <c r="D4" s="34">
        <v>28</v>
      </c>
      <c r="E4" s="34">
        <v>47</v>
      </c>
      <c r="F4" s="34">
        <v>3</v>
      </c>
      <c r="G4" s="34">
        <v>82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</row>
    <row r="5" spans="1:505" s="38" customFormat="1" ht="15" customHeight="1" x14ac:dyDescent="0.3">
      <c r="A5" s="34" t="s">
        <v>264</v>
      </c>
      <c r="B5" s="34">
        <v>38</v>
      </c>
      <c r="C5" s="34"/>
      <c r="D5" s="34">
        <v>39</v>
      </c>
      <c r="E5" s="34">
        <v>61</v>
      </c>
      <c r="F5" s="34">
        <v>10</v>
      </c>
      <c r="G5" s="34">
        <v>148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</row>
    <row r="6" spans="1:505" s="38" customFormat="1" ht="15" customHeight="1" x14ac:dyDescent="0.3">
      <c r="A6" s="34" t="s">
        <v>262</v>
      </c>
      <c r="B6" s="34">
        <v>19</v>
      </c>
      <c r="C6" s="34"/>
      <c r="D6" s="34">
        <v>27</v>
      </c>
      <c r="E6" s="34">
        <v>25</v>
      </c>
      <c r="F6" s="34">
        <v>16</v>
      </c>
      <c r="G6" s="34">
        <v>87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</row>
    <row r="7" spans="1:505" s="38" customFormat="1" ht="15" customHeight="1" x14ac:dyDescent="0.3">
      <c r="A7" s="34" t="s">
        <v>249</v>
      </c>
      <c r="B7" s="34">
        <v>25</v>
      </c>
      <c r="C7" s="34"/>
      <c r="D7" s="34">
        <v>55</v>
      </c>
      <c r="E7" s="34">
        <v>63</v>
      </c>
      <c r="F7" s="34">
        <v>24</v>
      </c>
      <c r="G7" s="34">
        <v>167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</row>
    <row r="8" spans="1:505" s="38" customFormat="1" ht="21.75" customHeight="1" x14ac:dyDescent="0.3">
      <c r="A8" s="34" t="s">
        <v>247</v>
      </c>
      <c r="B8" s="34">
        <v>6</v>
      </c>
      <c r="C8" s="34"/>
      <c r="D8" s="34">
        <v>3</v>
      </c>
      <c r="E8" s="34">
        <v>10</v>
      </c>
      <c r="F8" s="34"/>
      <c r="G8" s="34">
        <v>19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</row>
    <row r="9" spans="1:505" s="38" customFormat="1" ht="15" customHeight="1" x14ac:dyDescent="0.3">
      <c r="A9" s="34" t="s">
        <v>252</v>
      </c>
      <c r="B9" s="34">
        <v>76</v>
      </c>
      <c r="C9" s="34"/>
      <c r="D9" s="34">
        <v>67</v>
      </c>
      <c r="E9" s="34">
        <v>179</v>
      </c>
      <c r="F9" s="34">
        <v>27</v>
      </c>
      <c r="G9" s="34">
        <v>349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</row>
    <row r="10" spans="1:505" s="38" customFormat="1" ht="15" customHeight="1" x14ac:dyDescent="0.3">
      <c r="A10" s="34" t="s">
        <v>248</v>
      </c>
      <c r="B10" s="34">
        <v>59</v>
      </c>
      <c r="C10" s="34"/>
      <c r="D10" s="34">
        <v>46</v>
      </c>
      <c r="E10" s="34">
        <v>30</v>
      </c>
      <c r="F10" s="34">
        <v>10</v>
      </c>
      <c r="G10" s="34">
        <v>145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OW10" s="63"/>
    </row>
    <row r="11" spans="1:505" s="38" customFormat="1" ht="15" customHeight="1" x14ac:dyDescent="0.3">
      <c r="A11" s="34" t="s">
        <v>263</v>
      </c>
      <c r="B11" s="34">
        <v>31</v>
      </c>
      <c r="C11" s="34"/>
      <c r="D11" s="34">
        <v>28</v>
      </c>
      <c r="E11" s="34">
        <v>52</v>
      </c>
      <c r="F11" s="34">
        <v>12</v>
      </c>
      <c r="G11" s="34">
        <v>123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OT11" s="64"/>
      <c r="OW11" s="63"/>
    </row>
    <row r="12" spans="1:505" s="38" customFormat="1" ht="15" customHeight="1" x14ac:dyDescent="0.3">
      <c r="A12" s="34" t="s">
        <v>254</v>
      </c>
      <c r="B12" s="34">
        <v>136</v>
      </c>
      <c r="C12" s="34"/>
      <c r="D12" s="34">
        <v>105</v>
      </c>
      <c r="E12" s="34">
        <v>167</v>
      </c>
      <c r="F12" s="34">
        <v>66</v>
      </c>
      <c r="G12" s="34">
        <v>474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OT12" s="64"/>
      <c r="OW12" s="63"/>
    </row>
    <row r="13" spans="1:505" s="38" customFormat="1" ht="15" customHeight="1" x14ac:dyDescent="0.3">
      <c r="A13" s="34" t="s">
        <v>253</v>
      </c>
      <c r="B13" s="34">
        <v>71</v>
      </c>
      <c r="C13" s="34"/>
      <c r="D13" s="34">
        <v>67</v>
      </c>
      <c r="E13" s="34">
        <v>70</v>
      </c>
      <c r="F13" s="34">
        <v>39</v>
      </c>
      <c r="G13" s="34">
        <v>247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136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OW13" s="63"/>
    </row>
    <row r="14" spans="1:505" s="38" customFormat="1" ht="15" customHeight="1" x14ac:dyDescent="0.3">
      <c r="A14" s="34" t="s">
        <v>255</v>
      </c>
      <c r="B14" s="34">
        <v>32</v>
      </c>
      <c r="C14" s="34"/>
      <c r="D14" s="34">
        <v>43</v>
      </c>
      <c r="E14" s="34">
        <v>34</v>
      </c>
      <c r="F14" s="34">
        <v>11</v>
      </c>
      <c r="G14" s="34">
        <v>120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14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OW14" s="63"/>
    </row>
    <row r="15" spans="1:505" s="38" customFormat="1" ht="15" customHeight="1" x14ac:dyDescent="0.3">
      <c r="A15" s="34" t="s">
        <v>250</v>
      </c>
      <c r="B15" s="34">
        <v>66</v>
      </c>
      <c r="C15" s="34"/>
      <c r="D15" s="34">
        <v>106</v>
      </c>
      <c r="E15" s="34">
        <v>107</v>
      </c>
      <c r="F15" s="34">
        <v>35</v>
      </c>
      <c r="G15" s="34">
        <v>314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</row>
    <row r="16" spans="1:505" s="38" customFormat="1" ht="15" customHeight="1" x14ac:dyDescent="0.3">
      <c r="A16" s="34" t="s">
        <v>268</v>
      </c>
      <c r="B16" s="34"/>
      <c r="C16" s="34"/>
      <c r="D16" s="34">
        <v>10</v>
      </c>
      <c r="E16" s="34">
        <v>34</v>
      </c>
      <c r="F16" s="34"/>
      <c r="G16" s="34">
        <v>44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</row>
    <row r="17" spans="1:203" s="38" customFormat="1" ht="15" customHeight="1" x14ac:dyDescent="0.3">
      <c r="A17" s="34" t="s">
        <v>265</v>
      </c>
      <c r="B17" s="34">
        <v>34</v>
      </c>
      <c r="C17" s="34"/>
      <c r="D17" s="34">
        <v>48</v>
      </c>
      <c r="E17" s="34">
        <v>51</v>
      </c>
      <c r="F17" s="34">
        <v>15</v>
      </c>
      <c r="G17" s="34">
        <v>148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</row>
    <row r="18" spans="1:203" s="38" customFormat="1" ht="15" customHeight="1" x14ac:dyDescent="0.3">
      <c r="A18" s="34" t="s">
        <v>251</v>
      </c>
      <c r="B18" s="34">
        <v>78</v>
      </c>
      <c r="C18" s="34"/>
      <c r="D18" s="34">
        <v>89</v>
      </c>
      <c r="E18" s="34">
        <v>95</v>
      </c>
      <c r="F18" s="34">
        <v>40</v>
      </c>
      <c r="G18" s="34">
        <v>302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</row>
    <row r="19" spans="1:203" s="38" customFormat="1" ht="16.5" customHeight="1" x14ac:dyDescent="0.3">
      <c r="A19" s="34" t="s">
        <v>3</v>
      </c>
      <c r="B19" s="34">
        <v>683</v>
      </c>
      <c r="C19" s="34"/>
      <c r="D19" s="34">
        <v>793</v>
      </c>
      <c r="E19" s="34">
        <v>1061</v>
      </c>
      <c r="F19" s="34">
        <v>320</v>
      </c>
      <c r="G19" s="34">
        <v>2857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</row>
    <row r="20" spans="1:203" s="38" customFormat="1" ht="15" customHeigh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</row>
    <row r="21" spans="1:203" s="38" customFormat="1" ht="15" customHeigh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</row>
    <row r="22" spans="1:203" s="38" customFormat="1" ht="15" customHeigh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</row>
    <row r="23" spans="1:203" s="38" customFormat="1" ht="15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</row>
    <row r="24" spans="1:203" s="38" customFormat="1" ht="15" customHeight="1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</row>
    <row r="25" spans="1:203" s="38" customFormat="1" ht="15" customHeigh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</row>
    <row r="26" spans="1:203" s="38" customFormat="1" ht="15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</row>
    <row r="27" spans="1:203" s="38" customFormat="1" ht="1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</row>
    <row r="28" spans="1:203" ht="15" customHeight="1" x14ac:dyDescent="0.3"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</row>
    <row r="29" spans="1:203" ht="15" customHeight="1" x14ac:dyDescent="0.3"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203" ht="15" customHeight="1" x14ac:dyDescent="0.3"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203" ht="15" customHeight="1" x14ac:dyDescent="0.3"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203" ht="15" customHeight="1" x14ac:dyDescent="0.3"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25:39" ht="15" customHeight="1" x14ac:dyDescent="0.3"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25:39" ht="15" customHeight="1" x14ac:dyDescent="0.3"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25:39" ht="15" customHeight="1" x14ac:dyDescent="0.3"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25:39" ht="15" customHeight="1" x14ac:dyDescent="0.3"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M36" s="39"/>
    </row>
    <row r="37" spans="25:39" ht="15" customHeight="1" x14ac:dyDescent="0.3"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741A-C6C8-4D9F-B063-0ED733DA6C61}">
  <sheetPr>
    <tabColor theme="9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6.875" style="34" customWidth="1"/>
    <col min="8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290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288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IFERROR(VLOOKUP(A4,'★조인앤조인 (발주일_당일)'!A:SG,2,FALSE),0)</f>
        <v>6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6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IFERROR(VLOOKUP(A5,'★조인앤조인 (발주일_당일)'!A:SG,2,FALSE),0)</f>
        <v>59</v>
      </c>
      <c r="D5" s="226">
        <f t="shared" ref="D5" si="3">IFERROR(ROUNDDOWN(C5/B5,0),"")</f>
        <v>1</v>
      </c>
      <c r="E5" s="51" t="s">
        <v>238</v>
      </c>
      <c r="F5" s="227">
        <f t="shared" ref="F5" si="4">IFERROR(C5-(D5*B5),"")</f>
        <v>29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IFERROR(VLOOKUP(A6,'★조인앤조인 (발주일_당일)'!A:SG,2,FALSE),0)</f>
        <v>25</v>
      </c>
      <c r="D6" s="226">
        <f>IFERROR(ROUNDDOWN(C6/B6,0),"")</f>
        <v>0</v>
      </c>
      <c r="E6" s="51" t="s">
        <v>257</v>
      </c>
      <c r="F6" s="227">
        <f>IFERROR(C6-(D6*B6),"")</f>
        <v>25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IFERROR(VLOOKUP(A7,'★조인앤조인 (발주일_당일)'!A:SG,2,FALSE),0)</f>
        <v>66</v>
      </c>
      <c r="D7" s="226">
        <f>IFERROR(ROUNDDOWN(C7/B7,0),"")</f>
        <v>2</v>
      </c>
      <c r="E7" s="51" t="s">
        <v>258</v>
      </c>
      <c r="F7" s="227">
        <f>IFERROR(C7-(D7*B7),"")</f>
        <v>6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IFERROR(VLOOKUP(A8,'★조인앤조인 (발주일_당일)'!A:SG,2,FALSE),0)</f>
        <v>78</v>
      </c>
      <c r="D8" s="226">
        <f>IFERROR(ROUNDDOWN(C8/B8,0),"")</f>
        <v>2</v>
      </c>
      <c r="E8" s="51" t="s">
        <v>259</v>
      </c>
      <c r="F8" s="227">
        <f>IFERROR(C8-(D8*B8),"")</f>
        <v>18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IFERROR(VLOOKUP(A9,'★조인앤조인 (발주일_당일)'!A:SG,2,FALSE),0)</f>
        <v>76</v>
      </c>
      <c r="D9" s="226">
        <f t="shared" si="0"/>
        <v>2</v>
      </c>
      <c r="E9" s="51" t="s">
        <v>260</v>
      </c>
      <c r="F9" s="227">
        <f t="shared" si="1"/>
        <v>16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IFERROR(VLOOKUP(A10,'★조인앤조인 (발주일_당일)'!A:SG,2,FALSE),0)</f>
        <v>71</v>
      </c>
      <c r="D10" s="226">
        <f>IFERROR(ROUNDDOWN(C10/B10,0),"")</f>
        <v>2</v>
      </c>
      <c r="E10" s="51" t="s">
        <v>261</v>
      </c>
      <c r="F10" s="227">
        <f>IFERROR(C10-(D10*B10),"")</f>
        <v>11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IFERROR(VLOOKUP(A11,'★조인앤조인 (발주일_당일)'!A:SG,2,FALSE),0)</f>
        <v>136</v>
      </c>
      <c r="D11" s="226">
        <f t="shared" si="0"/>
        <v>4</v>
      </c>
      <c r="E11" s="51" t="s">
        <v>240</v>
      </c>
      <c r="F11" s="227">
        <f t="shared" si="1"/>
        <v>16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IFERROR(VLOOKUP(A12,'★조인앤조인 (발주일_당일)'!A:SG,2,FALSE),0)</f>
        <v>32</v>
      </c>
      <c r="D12" s="226">
        <f t="shared" si="0"/>
        <v>1</v>
      </c>
      <c r="E12" s="51" t="s">
        <v>108</v>
      </c>
      <c r="F12" s="227">
        <f t="shared" si="1"/>
        <v>2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549</v>
      </c>
      <c r="D14" s="55">
        <f>IFERROR(ROUNDDOWN(C14/B14,0),"")</f>
        <v>18</v>
      </c>
      <c r="E14" s="211"/>
      <c r="F14" s="212">
        <f>IFERROR(C14-(D14*B14),"")</f>
        <v>9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30</v>
      </c>
      <c r="C16" s="226">
        <f>IFERROR(VLOOKUP(A16,'★조인앤조인 (발주일_당일)'!A:SG,2,FALSE),0)</f>
        <v>19</v>
      </c>
      <c r="D16" s="226">
        <f>IFERROR(ROUNDDOWN(C16/B16,0),"")</f>
        <v>0</v>
      </c>
      <c r="E16" s="51" t="s">
        <v>237</v>
      </c>
      <c r="F16" s="227">
        <f>IFERROR(C16-(D16*B16),"")</f>
        <v>19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30</v>
      </c>
      <c r="C17" s="226">
        <f>IFERROR(VLOOKUP(A17,'★조인앤조인 (발주일_당일)'!A:SG,2,FALSE),0)</f>
        <v>31</v>
      </c>
      <c r="D17" s="226">
        <f>IFERROR(ROUNDDOWN(C17/B17,0),"")</f>
        <v>1</v>
      </c>
      <c r="E17" s="51" t="s">
        <v>236</v>
      </c>
      <c r="F17" s="227">
        <f>IFERROR(C17-(D17*B17),"")</f>
        <v>1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50</v>
      </c>
      <c r="D19" s="55">
        <f>IFERROR(ROUNDDOWN(C19/B19,0),"")</f>
        <v>1</v>
      </c>
      <c r="E19" s="211"/>
      <c r="F19" s="212">
        <f>IFERROR(C19-(D19*B19),"")</f>
        <v>20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30</v>
      </c>
      <c r="C21" s="226">
        <f>IFERROR(VLOOKUP(A21,'★조인앤조인 (발주일_당일)'!A:SG,2,FALSE),0)</f>
        <v>38</v>
      </c>
      <c r="D21" s="226">
        <f t="shared" ref="D21:D22" si="7">IFERROR(ROUNDDOWN(C21/B21,0),"")</f>
        <v>1</v>
      </c>
      <c r="E21" s="51" t="s">
        <v>235</v>
      </c>
      <c r="F21" s="227">
        <f t="shared" ref="F21:F22" si="8">IFERROR(C21-(D21*B21),"")</f>
        <v>8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30</v>
      </c>
      <c r="C22" s="226">
        <f>IFERROR(VLOOKUP(A22,'★조인앤조인 (발주일_당일)'!A:SG,2,FALSE),0)</f>
        <v>34</v>
      </c>
      <c r="D22" s="226">
        <f t="shared" si="7"/>
        <v>1</v>
      </c>
      <c r="E22" s="51" t="s">
        <v>269</v>
      </c>
      <c r="F22" s="227">
        <f t="shared" si="8"/>
        <v>4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72</v>
      </c>
      <c r="D24" s="55">
        <f>IFERROR(ROUNDDOWN(C24/B24,0),"")</f>
        <v>2</v>
      </c>
      <c r="E24" s="211"/>
      <c r="F24" s="212">
        <f>IFERROR(C24-(D24*B24),"")</f>
        <v>12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30</v>
      </c>
      <c r="C26" s="226">
        <f>IFERROR(VLOOKUP(A26,'★조인앤조인 (발주일_당일)'!A:SG,2,FALSE),0)</f>
        <v>4</v>
      </c>
      <c r="D26" s="226">
        <f>IFERROR(ROUNDDOWN(C26/B26,0),"")</f>
        <v>0</v>
      </c>
      <c r="E26" s="51" t="s">
        <v>239</v>
      </c>
      <c r="F26" s="227">
        <f>IFERROR(C26-(D26*B26),"")</f>
        <v>4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30</v>
      </c>
      <c r="C27" s="226">
        <f>IFERROR(VLOOKUP(A27,'★조인앤조인 (발주일_당일)'!A:SG,2,FALSE),0)</f>
        <v>8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8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12</v>
      </c>
      <c r="D29" s="55">
        <f>IFERROR(ROUNDDOWN(C29/B29,0),"")</f>
        <v>0</v>
      </c>
      <c r="E29" s="211"/>
      <c r="F29" s="212">
        <f>IFERROR(C29-(D29*B29),"")</f>
        <v>12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30</v>
      </c>
      <c r="C31" s="226">
        <f>IFERROR(VLOOKUP(A31,'★조인앤조인 (발주일_당일)'!A:SG,2,FALSE),0)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683</v>
      </c>
      <c r="D35" s="54">
        <f>IFERROR(ROUNDDOWN(C35/B35,0),"")</f>
        <v>22</v>
      </c>
      <c r="E35" s="56"/>
      <c r="F35" s="121">
        <f>IFERROR(C35-(D35*B35),"")</f>
        <v>23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17</v>
      </c>
      <c r="E36" s="48"/>
      <c r="F36" s="93">
        <f>SUM(F4:F12,F26:F27,F21:F22,F16:F17,F31:F31)</f>
        <v>173</v>
      </c>
      <c r="G36" s="213">
        <f>IFERROR(ROUNDDOWN(F36/B26,0),"")</f>
        <v>5</v>
      </c>
      <c r="H36" s="214">
        <f>IFERROR(F36-(G36*B26),"")</f>
        <v>23</v>
      </c>
    </row>
    <row r="37" spans="1:11" ht="22.5" customHeight="1" x14ac:dyDescent="0.3">
      <c r="C37" s="77">
        <f>C14+C19+C24+C29+C33</f>
        <v>683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0674-7449-4D80-9D1B-B76F1C2F6734}">
  <sheetPr>
    <tabColor theme="9" tint="0.59999389629810485"/>
  </sheetPr>
  <dimension ref="A1:H38"/>
  <sheetViews>
    <sheetView zoomScale="55" zoomScaleNormal="55" zoomScaleSheetLayoutView="75" workbookViewId="0">
      <selection activeCell="C5" sqref="C5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6.875" style="34" customWidth="1"/>
    <col min="8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69"/>
      <c r="B1" s="269"/>
      <c r="C1" s="269"/>
      <c r="D1" s="269"/>
      <c r="E1" s="269"/>
      <c r="F1" s="269"/>
    </row>
    <row r="2" spans="1:8" ht="33.75" customHeight="1" x14ac:dyDescent="0.3">
      <c r="A2" s="218">
        <f ca="1">TODAY()</f>
        <v>46310</v>
      </c>
      <c r="B2" s="270" t="s">
        <v>290</v>
      </c>
      <c r="C2" s="270"/>
      <c r="D2" s="270"/>
      <c r="E2" s="270"/>
      <c r="F2" s="271"/>
      <c r="G2" s="67"/>
      <c r="H2" s="67"/>
    </row>
    <row r="3" spans="1:8" ht="50.25" customHeight="1" x14ac:dyDescent="0.3">
      <c r="A3" s="219" t="s">
        <v>67</v>
      </c>
      <c r="B3" s="220" t="s">
        <v>13</v>
      </c>
      <c r="C3" s="221" t="s">
        <v>289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8" ht="30" customHeight="1" x14ac:dyDescent="0.3">
      <c r="A4" s="224" t="s">
        <v>247</v>
      </c>
      <c r="B4" s="225">
        <v>30</v>
      </c>
      <c r="C4" s="226">
        <f>IFERROR(VLOOKUP(A4,'★조인앤조인 (발주일_당일)'!A:SG,3,FALSE),0)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</row>
    <row r="5" spans="1:8" ht="30" customHeight="1" x14ac:dyDescent="0.3">
      <c r="A5" s="228" t="s">
        <v>248</v>
      </c>
      <c r="B5" s="225">
        <f t="shared" ref="B5:B12" si="2">$B$4</f>
        <v>30</v>
      </c>
      <c r="C5" s="226">
        <f>IFERROR(VLOOKUP(A5,'★조인앤조인 (발주일_당일)'!A:SG,3,FALSE),0)</f>
        <v>0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0</v>
      </c>
      <c r="G5" s="67"/>
      <c r="H5" s="67"/>
    </row>
    <row r="6" spans="1:8" ht="30" customHeight="1" x14ac:dyDescent="0.3">
      <c r="A6" s="228" t="s">
        <v>249</v>
      </c>
      <c r="B6" s="225">
        <f t="shared" si="2"/>
        <v>30</v>
      </c>
      <c r="C6" s="226">
        <f>IFERROR(VLOOKUP(A6,'★조인앤조인 (발주일_당일)'!A:SG,3,FALSE),0)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</row>
    <row r="7" spans="1:8" ht="30" customHeight="1" x14ac:dyDescent="0.3">
      <c r="A7" s="228" t="s">
        <v>250</v>
      </c>
      <c r="B7" s="225">
        <f t="shared" si="2"/>
        <v>30</v>
      </c>
      <c r="C7" s="226">
        <f>IFERROR(VLOOKUP(A7,'★조인앤조인 (발주일_당일)'!A:SG,3,FALSE),0)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</row>
    <row r="8" spans="1:8" ht="30" customHeight="1" x14ac:dyDescent="0.3">
      <c r="A8" s="228" t="s">
        <v>251</v>
      </c>
      <c r="B8" s="225">
        <f t="shared" si="2"/>
        <v>30</v>
      </c>
      <c r="C8" s="226">
        <f>IFERROR(VLOOKUP(A8,'★조인앤조인 (발주일_당일)'!A:SG,3,FALSE),0)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</row>
    <row r="9" spans="1:8" ht="30" customHeight="1" x14ac:dyDescent="0.3">
      <c r="A9" s="228" t="s">
        <v>252</v>
      </c>
      <c r="B9" s="225">
        <f t="shared" si="2"/>
        <v>30</v>
      </c>
      <c r="C9" s="226">
        <f>IFERROR(VLOOKUP(A9,'★조인앤조인 (발주일_당일)'!A:SG,3,FALSE),0)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</row>
    <row r="10" spans="1:8" ht="30" customHeight="1" x14ac:dyDescent="0.3">
      <c r="A10" s="228" t="s">
        <v>253</v>
      </c>
      <c r="B10" s="225">
        <f t="shared" si="2"/>
        <v>30</v>
      </c>
      <c r="C10" s="226">
        <f>IFERROR(VLOOKUP(A10,'★조인앤조인 (발주일_당일)'!A:SG,3,FALSE),0)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</row>
    <row r="11" spans="1:8" ht="30" customHeight="1" x14ac:dyDescent="0.3">
      <c r="A11" s="228" t="s">
        <v>254</v>
      </c>
      <c r="B11" s="225">
        <f t="shared" si="2"/>
        <v>30</v>
      </c>
      <c r="C11" s="226">
        <f>IFERROR(VLOOKUP(A11,'★조인앤조인 (발주일_당일)'!A:SG,3,FALSE),0)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</row>
    <row r="12" spans="1:8" ht="30" customHeight="1" x14ac:dyDescent="0.3">
      <c r="A12" s="228" t="s">
        <v>255</v>
      </c>
      <c r="B12" s="225">
        <f t="shared" si="2"/>
        <v>30</v>
      </c>
      <c r="C12" s="226">
        <f>IFERROR(VLOOKUP(A12,'★조인앤조인 (발주일_당일)'!A:SG,3,FALSE),0)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</row>
    <row r="13" spans="1:8" ht="4.5" customHeight="1" x14ac:dyDescent="0.3">
      <c r="A13" s="266"/>
      <c r="B13" s="267"/>
      <c r="C13" s="267"/>
      <c r="D13" s="267"/>
      <c r="E13" s="267"/>
      <c r="F13" s="268"/>
    </row>
    <row r="14" spans="1:8" ht="32.450000000000003" customHeight="1" x14ac:dyDescent="0.3">
      <c r="A14" s="209" t="s">
        <v>122</v>
      </c>
      <c r="B14" s="231">
        <f>$B$4</f>
        <v>30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</row>
    <row r="15" spans="1:8" ht="4.5" customHeight="1" x14ac:dyDescent="0.3">
      <c r="A15" s="229"/>
      <c r="B15" s="225"/>
      <c r="C15" s="225"/>
      <c r="D15" s="225"/>
      <c r="E15" s="225"/>
      <c r="F15" s="230"/>
    </row>
    <row r="16" spans="1:8" ht="30" customHeight="1" x14ac:dyDescent="0.3">
      <c r="A16" s="228" t="s">
        <v>262</v>
      </c>
      <c r="B16" s="225">
        <f t="shared" ref="B16:B17" si="5">$B$4</f>
        <v>30</v>
      </c>
      <c r="C16" s="226">
        <f>IFERROR(VLOOKUP(A16,'★조인앤조인 (발주일_당일)'!A:SG,3,FALSE),0)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</row>
    <row r="17" spans="1:8" ht="30" customHeight="1" x14ac:dyDescent="0.3">
      <c r="A17" s="228" t="s">
        <v>263</v>
      </c>
      <c r="B17" s="225">
        <f t="shared" si="5"/>
        <v>30</v>
      </c>
      <c r="C17" s="226">
        <f>IFERROR(VLOOKUP(A17,'★조인앤조인 (발주일_당일)'!A:SG,3,FALSE),0)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</row>
    <row r="18" spans="1:8" ht="4.5" customHeight="1" x14ac:dyDescent="0.3">
      <c r="A18" s="266"/>
      <c r="B18" s="267"/>
      <c r="C18" s="267"/>
      <c r="D18" s="267"/>
      <c r="E18" s="267"/>
      <c r="F18" s="268"/>
      <c r="G18" s="67"/>
      <c r="H18" s="67"/>
    </row>
    <row r="19" spans="1:8" ht="32.450000000000003" customHeight="1" x14ac:dyDescent="0.3">
      <c r="A19" s="209" t="s">
        <v>244</v>
      </c>
      <c r="B19" s="231">
        <f>$B$4</f>
        <v>30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</row>
    <row r="20" spans="1:8" ht="4.5" customHeight="1" x14ac:dyDescent="0.3">
      <c r="A20" s="266"/>
      <c r="B20" s="267"/>
      <c r="C20" s="267"/>
      <c r="D20" s="267"/>
      <c r="E20" s="267"/>
      <c r="F20" s="268"/>
      <c r="G20" s="67"/>
      <c r="H20" s="67"/>
    </row>
    <row r="21" spans="1:8" ht="30" customHeight="1" x14ac:dyDescent="0.3">
      <c r="A21" s="228" t="s">
        <v>264</v>
      </c>
      <c r="B21" s="225">
        <f t="shared" ref="B21:B22" si="6">$B$4</f>
        <v>30</v>
      </c>
      <c r="C21" s="226">
        <f>IFERROR(VLOOKUP(A21,'★조인앤조인 (발주일_당일)'!A:SG,3,FALSE),0)</f>
        <v>0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0</v>
      </c>
      <c r="G21" s="67"/>
      <c r="H21" s="67"/>
    </row>
    <row r="22" spans="1:8" ht="30" customHeight="1" x14ac:dyDescent="0.3">
      <c r="A22" s="228" t="s">
        <v>265</v>
      </c>
      <c r="B22" s="225">
        <f t="shared" si="6"/>
        <v>30</v>
      </c>
      <c r="C22" s="226">
        <f>IFERROR(VLOOKUP(A22,'★조인앤조인 (발주일_당일)'!A:SG,3,FALSE),0)</f>
        <v>0</v>
      </c>
      <c r="D22" s="226">
        <f t="shared" si="7"/>
        <v>0</v>
      </c>
      <c r="E22" s="51" t="s">
        <v>269</v>
      </c>
      <c r="F22" s="227">
        <f t="shared" si="8"/>
        <v>0</v>
      </c>
      <c r="G22" s="67"/>
      <c r="H22" s="67"/>
    </row>
    <row r="23" spans="1:8" ht="4.5" customHeight="1" x14ac:dyDescent="0.3">
      <c r="A23" s="266"/>
      <c r="B23" s="267"/>
      <c r="C23" s="267"/>
      <c r="D23" s="267"/>
      <c r="E23" s="267"/>
      <c r="F23" s="268"/>
      <c r="G23" s="67"/>
      <c r="H23" s="67"/>
    </row>
    <row r="24" spans="1:8" ht="32.450000000000003" customHeight="1" x14ac:dyDescent="0.3">
      <c r="A24" s="209" t="s">
        <v>243</v>
      </c>
      <c r="B24" s="231">
        <f>$B$4</f>
        <v>30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</row>
    <row r="25" spans="1:8" ht="4.5" customHeight="1" x14ac:dyDescent="0.3">
      <c r="A25" s="229"/>
      <c r="B25" s="225"/>
      <c r="C25" s="225"/>
      <c r="D25" s="225"/>
      <c r="E25" s="225"/>
      <c r="F25" s="230"/>
      <c r="G25" s="67"/>
      <c r="H25" s="67"/>
    </row>
    <row r="26" spans="1:8" ht="30" customHeight="1" x14ac:dyDescent="0.3">
      <c r="A26" s="228" t="s">
        <v>266</v>
      </c>
      <c r="B26" s="225">
        <f t="shared" ref="B26:B27" si="9">$B$4</f>
        <v>30</v>
      </c>
      <c r="C26" s="226">
        <f>IFERROR(VLOOKUP(A26,'★조인앤조인 (발주일_당일)'!A:SG,3,FALSE),0)</f>
        <v>0</v>
      </c>
      <c r="D26" s="226">
        <f t="shared" ref="D26:D27" si="10">IFERROR(ROUNDDOWN(C26/B26,0),"")</f>
        <v>0</v>
      </c>
      <c r="E26" s="51" t="s">
        <v>239</v>
      </c>
      <c r="F26" s="227">
        <f t="shared" ref="F26:F27" si="11">IFERROR(C26-(D26*B26),"")</f>
        <v>0</v>
      </c>
      <c r="G26" s="67"/>
      <c r="H26" s="67"/>
    </row>
    <row r="27" spans="1:8" ht="30" customHeight="1" x14ac:dyDescent="0.3">
      <c r="A27" s="228" t="s">
        <v>267</v>
      </c>
      <c r="B27" s="225">
        <f t="shared" si="9"/>
        <v>30</v>
      </c>
      <c r="C27" s="226">
        <f>IFERROR(VLOOKUP(A27,'★조인앤조인 (발주일_당일)'!A:SG,3,FALSE),0)</f>
        <v>0</v>
      </c>
      <c r="D27" s="226">
        <f t="shared" si="10"/>
        <v>0</v>
      </c>
      <c r="E27" s="51" t="s">
        <v>270</v>
      </c>
      <c r="F27" s="227">
        <f t="shared" si="11"/>
        <v>0</v>
      </c>
      <c r="G27" s="67"/>
      <c r="H27" s="67"/>
    </row>
    <row r="28" spans="1:8" ht="4.5" customHeight="1" x14ac:dyDescent="0.3">
      <c r="A28" s="266"/>
      <c r="B28" s="267"/>
      <c r="C28" s="267"/>
      <c r="D28" s="267"/>
      <c r="E28" s="267"/>
      <c r="F28" s="268"/>
      <c r="G28" s="67"/>
      <c r="H28" s="67"/>
    </row>
    <row r="29" spans="1:8" ht="32.450000000000003" customHeight="1" x14ac:dyDescent="0.3">
      <c r="A29" s="209" t="s">
        <v>242</v>
      </c>
      <c r="B29" s="231">
        <f>$B$4</f>
        <v>30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</row>
    <row r="30" spans="1:8" ht="4.5" customHeight="1" x14ac:dyDescent="0.3">
      <c r="A30" s="229"/>
      <c r="B30" s="225"/>
      <c r="C30" s="225"/>
      <c r="D30" s="225"/>
      <c r="E30" s="225"/>
      <c r="F30" s="230"/>
      <c r="G30" s="67"/>
      <c r="H30" s="67"/>
    </row>
    <row r="31" spans="1:8" ht="30" customHeight="1" x14ac:dyDescent="0.3">
      <c r="A31" s="228" t="s">
        <v>268</v>
      </c>
      <c r="B31" s="225">
        <f t="shared" ref="B31" si="12">$B$4</f>
        <v>30</v>
      </c>
      <c r="C31" s="226">
        <f>IFERROR(VLOOKUP(A31,'★조인앤조인 (발주일_당일)'!A:SG,3,FALSE),0)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</row>
    <row r="32" spans="1:8" ht="4.5" customHeight="1" x14ac:dyDescent="0.3">
      <c r="A32" s="266"/>
      <c r="B32" s="267"/>
      <c r="C32" s="267"/>
      <c r="D32" s="267"/>
      <c r="E32" s="267"/>
      <c r="F32" s="268"/>
      <c r="G32" s="67"/>
      <c r="H32" s="67"/>
    </row>
    <row r="33" spans="1:8" ht="32.450000000000003" customHeight="1" x14ac:dyDescent="0.3">
      <c r="A33" s="209" t="s">
        <v>246</v>
      </c>
      <c r="B33" s="231">
        <f>$B$4</f>
        <v>30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</row>
    <row r="34" spans="1:8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</row>
    <row r="35" spans="1:8" ht="26.25" x14ac:dyDescent="0.3">
      <c r="A35" s="207" t="s">
        <v>3</v>
      </c>
      <c r="B35" s="232">
        <f>$B$4</f>
        <v>30</v>
      </c>
      <c r="C35" s="55">
        <f>SUM(C4:C12,C26:C27,C21:C22,C16:C17,C31:C31)</f>
        <v>0</v>
      </c>
      <c r="D35" s="54">
        <f>IFERROR(ROUNDDOWN(C35/B35,0),"")</f>
        <v>0</v>
      </c>
      <c r="E35" s="56"/>
      <c r="F35" s="121">
        <f>IFERROR(C35-(D35*B35),"")</f>
        <v>0</v>
      </c>
      <c r="G35" s="217" t="s">
        <v>110</v>
      </c>
      <c r="H35" s="216" t="s">
        <v>111</v>
      </c>
    </row>
    <row r="36" spans="1:8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0</v>
      </c>
      <c r="G36" s="213">
        <f>IFERROR(ROUNDDOWN(F36/B26,0),"")</f>
        <v>0</v>
      </c>
      <c r="H36" s="214">
        <f>IFERROR(F36-(G36*B26),"")</f>
        <v>0</v>
      </c>
    </row>
    <row r="37" spans="1:8" ht="22.5" customHeight="1" x14ac:dyDescent="0.3">
      <c r="C37" s="77">
        <f>C14+C19+C24+C29+C33</f>
        <v>0</v>
      </c>
      <c r="G37" s="197"/>
      <c r="H37" s="34" t="s">
        <v>174</v>
      </c>
    </row>
    <row r="38" spans="1:8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CC5D-938D-4EDB-A203-B4ED609F507C}">
  <sheetPr>
    <tabColor theme="9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" style="34" customWidth="1"/>
    <col min="4" max="4" width="9.875" style="2" customWidth="1"/>
    <col min="5" max="5" width="11.375" style="34" customWidth="1"/>
    <col min="6" max="6" width="11.125" style="2" customWidth="1"/>
    <col min="7" max="7" width="6.875" style="34" customWidth="1"/>
    <col min="8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290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309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IFERROR(VLOOKUP(A4,'★조인앤조인 (발주일_당일)'!A:SG,4,FALSE),0)</f>
        <v>3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3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IFERROR(VLOOKUP(A5,'★조인앤조인 (발주일_당일)'!A:SG,4,FALSE),0)</f>
        <v>46</v>
      </c>
      <c r="D5" s="226">
        <f t="shared" ref="D5" si="3">IFERROR(ROUNDDOWN(C5/B5,0),"")</f>
        <v>1</v>
      </c>
      <c r="E5" s="51" t="s">
        <v>238</v>
      </c>
      <c r="F5" s="227">
        <f t="shared" ref="F5" si="4">IFERROR(C5-(D5*B5),"")</f>
        <v>16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IFERROR(VLOOKUP(A6,'★조인앤조인 (발주일_당일)'!A:SG,4,FALSE),0)</f>
        <v>55</v>
      </c>
      <c r="D6" s="226">
        <f>IFERROR(ROUNDDOWN(C6/B6,0),"")</f>
        <v>1</v>
      </c>
      <c r="E6" s="51" t="s">
        <v>257</v>
      </c>
      <c r="F6" s="227">
        <f>IFERROR(C6-(D6*B6),"")</f>
        <v>25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IFERROR(VLOOKUP(A7,'★조인앤조인 (발주일_당일)'!A:SG,4,FALSE),0)</f>
        <v>106</v>
      </c>
      <c r="D7" s="226">
        <f>IFERROR(ROUNDDOWN(C7/B7,0),"")</f>
        <v>3</v>
      </c>
      <c r="E7" s="51" t="s">
        <v>258</v>
      </c>
      <c r="F7" s="227">
        <f>IFERROR(C7-(D7*B7),"")</f>
        <v>16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IFERROR(VLOOKUP(A8,'★조인앤조인 (발주일_당일)'!A:SG,4,FALSE),0)</f>
        <v>89</v>
      </c>
      <c r="D8" s="226">
        <f>IFERROR(ROUNDDOWN(C8/B8,0),"")</f>
        <v>2</v>
      </c>
      <c r="E8" s="51" t="s">
        <v>259</v>
      </c>
      <c r="F8" s="227">
        <f>IFERROR(C8-(D8*B8),"")</f>
        <v>29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IFERROR(VLOOKUP(A9,'★조인앤조인 (발주일_당일)'!A:SG,4,FALSE),0)</f>
        <v>67</v>
      </c>
      <c r="D9" s="226">
        <f t="shared" si="0"/>
        <v>2</v>
      </c>
      <c r="E9" s="51" t="s">
        <v>260</v>
      </c>
      <c r="F9" s="227">
        <f t="shared" si="1"/>
        <v>7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IFERROR(VLOOKUP(A10,'★조인앤조인 (발주일_당일)'!A:SG,4,FALSE),0)</f>
        <v>67</v>
      </c>
      <c r="D10" s="226">
        <f>IFERROR(ROUNDDOWN(C10/B10,0),"")</f>
        <v>2</v>
      </c>
      <c r="E10" s="51" t="s">
        <v>261</v>
      </c>
      <c r="F10" s="227">
        <f>IFERROR(C10-(D10*B10),"")</f>
        <v>7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IFERROR(VLOOKUP(A11,'★조인앤조인 (발주일_당일)'!A:SG,4,FALSE),0)</f>
        <v>105</v>
      </c>
      <c r="D11" s="226">
        <f t="shared" si="0"/>
        <v>3</v>
      </c>
      <c r="E11" s="51" t="s">
        <v>240</v>
      </c>
      <c r="F11" s="227">
        <f t="shared" si="1"/>
        <v>15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IFERROR(VLOOKUP(A12,'★조인앤조인 (발주일_당일)'!A:SG,4,FALSE),0)</f>
        <v>43</v>
      </c>
      <c r="D12" s="226">
        <f t="shared" si="0"/>
        <v>1</v>
      </c>
      <c r="E12" s="51" t="s">
        <v>108</v>
      </c>
      <c r="F12" s="227">
        <f t="shared" si="1"/>
        <v>13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581</v>
      </c>
      <c r="D14" s="55">
        <f>IFERROR(ROUNDDOWN(C14/B14,0),"")</f>
        <v>19</v>
      </c>
      <c r="E14" s="211"/>
      <c r="F14" s="212">
        <f>IFERROR(C14-(D14*B14),"")</f>
        <v>11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30</v>
      </c>
      <c r="C16" s="226">
        <f>IFERROR(VLOOKUP(A16,'★조인앤조인 (발주일_당일)'!A:SG,4,FALSE),0)</f>
        <v>27</v>
      </c>
      <c r="D16" s="226">
        <f>IFERROR(ROUNDDOWN(C16/B16,0),"")</f>
        <v>0</v>
      </c>
      <c r="E16" s="51" t="s">
        <v>237</v>
      </c>
      <c r="F16" s="227">
        <f>IFERROR(C16-(D16*B16),"")</f>
        <v>27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30</v>
      </c>
      <c r="C17" s="226">
        <f>IFERROR(VLOOKUP(A17,'★조인앤조인 (발주일_당일)'!A:SG,4,FALSE),0)</f>
        <v>28</v>
      </c>
      <c r="D17" s="226">
        <f>IFERROR(ROUNDDOWN(C17/B17,0),"")</f>
        <v>0</v>
      </c>
      <c r="E17" s="51" t="s">
        <v>236</v>
      </c>
      <c r="F17" s="227">
        <f>IFERROR(C17-(D17*B17),"")</f>
        <v>28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55</v>
      </c>
      <c r="D19" s="55">
        <f>IFERROR(ROUNDDOWN(C19/B19,0),"")</f>
        <v>1</v>
      </c>
      <c r="E19" s="211"/>
      <c r="F19" s="212">
        <f>IFERROR(C19-(D19*B19),"")</f>
        <v>25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30</v>
      </c>
      <c r="C21" s="226">
        <f>IFERROR(VLOOKUP(A21,'★조인앤조인 (발주일_당일)'!A:SG,4,FALSE),0)</f>
        <v>39</v>
      </c>
      <c r="D21" s="226">
        <f t="shared" ref="D21:D22" si="7">IFERROR(ROUNDDOWN(C21/B21,0),"")</f>
        <v>1</v>
      </c>
      <c r="E21" s="51" t="s">
        <v>235</v>
      </c>
      <c r="F21" s="227">
        <f t="shared" ref="F21:F22" si="8">IFERROR(C21-(D21*B21),"")</f>
        <v>9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30</v>
      </c>
      <c r="C22" s="226">
        <f>IFERROR(VLOOKUP(A22,'★조인앤조인 (발주일_당일)'!A:SG,4,FALSE),0)</f>
        <v>48</v>
      </c>
      <c r="D22" s="226">
        <f t="shared" si="7"/>
        <v>1</v>
      </c>
      <c r="E22" s="51" t="s">
        <v>269</v>
      </c>
      <c r="F22" s="227">
        <f t="shared" si="8"/>
        <v>18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87</v>
      </c>
      <c r="D24" s="55">
        <f>IFERROR(ROUNDDOWN(C24/B24,0),"")</f>
        <v>2</v>
      </c>
      <c r="E24" s="211"/>
      <c r="F24" s="212">
        <f>IFERROR(C24-(D24*B24),"")</f>
        <v>27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30</v>
      </c>
      <c r="C26" s="226">
        <f>IFERROR(VLOOKUP(A26,'★조인앤조인 (발주일_당일)'!A:SG,4,FALSE),0)</f>
        <v>28</v>
      </c>
      <c r="D26" s="226">
        <f>IFERROR(ROUNDDOWN(C26/B26,0),"")</f>
        <v>0</v>
      </c>
      <c r="E26" s="51" t="s">
        <v>239</v>
      </c>
      <c r="F26" s="227">
        <f>IFERROR(C26-(D26*B26),"")</f>
        <v>28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30</v>
      </c>
      <c r="C27" s="226">
        <f>IFERROR(VLOOKUP(A27,'★조인앤조인 (발주일_당일)'!A:SG,4,FALSE),0)</f>
        <v>32</v>
      </c>
      <c r="D27" s="226">
        <f t="shared" ref="D27" si="10">IFERROR(ROUNDDOWN(C27/B27,0),"")</f>
        <v>1</v>
      </c>
      <c r="E27" s="51" t="s">
        <v>270</v>
      </c>
      <c r="F27" s="227">
        <f t="shared" ref="F27" si="11">IFERROR(C27-(D27*B27),"")</f>
        <v>2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60</v>
      </c>
      <c r="D29" s="55">
        <f>IFERROR(ROUNDDOWN(C29/B29,0),"")</f>
        <v>2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30</v>
      </c>
      <c r="C31" s="226">
        <f>IFERROR(VLOOKUP(A31,'★조인앤조인 (발주일_당일)'!A:SG,4,FALSE),0)</f>
        <v>10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10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10</v>
      </c>
      <c r="D33" s="55">
        <f>IFERROR(ROUNDDOWN(C33/B33,0),"")</f>
        <v>0</v>
      </c>
      <c r="E33" s="211"/>
      <c r="F33" s="212">
        <f>IFERROR(C33-(D33*B33),"")</f>
        <v>10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793</v>
      </c>
      <c r="D35" s="54">
        <f>IFERROR(ROUNDDOWN(C35/B35,0),"")</f>
        <v>26</v>
      </c>
      <c r="E35" s="56"/>
      <c r="F35" s="121">
        <f>IFERROR(C35-(D35*B35),"")</f>
        <v>13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18</v>
      </c>
      <c r="E36" s="48"/>
      <c r="F36" s="93">
        <f>SUM(F4:F12,F26:F27,F21:F22,F16:F17,F31:F31)</f>
        <v>253</v>
      </c>
      <c r="G36" s="213">
        <f>IFERROR(ROUNDDOWN(F36/B26,0),"")</f>
        <v>8</v>
      </c>
      <c r="H36" s="214">
        <f>IFERROR(F36-(G36*B26),"")</f>
        <v>13</v>
      </c>
    </row>
    <row r="37" spans="1:11" ht="22.5" customHeight="1" x14ac:dyDescent="0.3">
      <c r="C37" s="77">
        <f>C14+C19+C24+C29+C33</f>
        <v>793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900C-68D7-43B2-AE7B-C61E7CE9CA54}">
  <sheetPr>
    <tabColor theme="9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6.875" style="34" customWidth="1"/>
    <col min="8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290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310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IFERROR(VLOOKUP(A4,'★조인앤조인 (발주일_당일)'!A:SG,5,FALSE),0)</f>
        <v>10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10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IFERROR(VLOOKUP(A5,'★조인앤조인 (발주일_당일)'!A:SG,5,FALSE),0)</f>
        <v>30</v>
      </c>
      <c r="D5" s="226">
        <f t="shared" si="0"/>
        <v>1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IFERROR(VLOOKUP(A6,'★조인앤조인 (발주일_당일)'!A:SG,5,FALSE),0)</f>
        <v>63</v>
      </c>
      <c r="D6" s="226">
        <f>IFERROR(ROUNDDOWN(C6/B6,0),"")</f>
        <v>2</v>
      </c>
      <c r="E6" s="51" t="s">
        <v>257</v>
      </c>
      <c r="F6" s="227">
        <f>IFERROR(C6-(D6*B6),"")</f>
        <v>3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IFERROR(VLOOKUP(A7,'★조인앤조인 (발주일_당일)'!A:SG,5,FALSE),0)</f>
        <v>107</v>
      </c>
      <c r="D7" s="226">
        <f>IFERROR(ROUNDDOWN(C7/B7,0),"")</f>
        <v>3</v>
      </c>
      <c r="E7" s="51" t="s">
        <v>258</v>
      </c>
      <c r="F7" s="227">
        <f>IFERROR(C7-(D7*B7),"")</f>
        <v>17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IFERROR(VLOOKUP(A8,'★조인앤조인 (발주일_당일)'!A:SG,5,FALSE),0)</f>
        <v>95</v>
      </c>
      <c r="D8" s="226">
        <f>IFERROR(ROUNDDOWN(C8/B8,0),"")</f>
        <v>3</v>
      </c>
      <c r="E8" s="51" t="s">
        <v>259</v>
      </c>
      <c r="F8" s="227">
        <f>IFERROR(C8-(D8*B8),"")</f>
        <v>5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IFERROR(VLOOKUP(A9,'★조인앤조인 (발주일_당일)'!A:SG,5,FALSE),0)</f>
        <v>179</v>
      </c>
      <c r="D9" s="226">
        <f t="shared" si="0"/>
        <v>5</v>
      </c>
      <c r="E9" s="51" t="s">
        <v>260</v>
      </c>
      <c r="F9" s="227">
        <f t="shared" si="1"/>
        <v>29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IFERROR(VLOOKUP(A10,'★조인앤조인 (발주일_당일)'!A:SG,5,FALSE),0)</f>
        <v>70</v>
      </c>
      <c r="D10" s="226">
        <f>IFERROR(ROUNDDOWN(C10/B10,0),"")</f>
        <v>2</v>
      </c>
      <c r="E10" s="51" t="s">
        <v>261</v>
      </c>
      <c r="F10" s="227">
        <f>IFERROR(C10-(D10*B10),"")</f>
        <v>10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IFERROR(VLOOKUP(A11,'★조인앤조인 (발주일_당일)'!A:SG,5,FALSE),0)</f>
        <v>167</v>
      </c>
      <c r="D11" s="226">
        <f t="shared" si="0"/>
        <v>5</v>
      </c>
      <c r="E11" s="51" t="s">
        <v>240</v>
      </c>
      <c r="F11" s="227">
        <f t="shared" si="1"/>
        <v>17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IFERROR(VLOOKUP(A12,'★조인앤조인 (발주일_당일)'!A:SG,5,FALSE),0)</f>
        <v>34</v>
      </c>
      <c r="D12" s="226">
        <f t="shared" si="0"/>
        <v>1</v>
      </c>
      <c r="E12" s="51" t="s">
        <v>108</v>
      </c>
      <c r="F12" s="227">
        <f t="shared" si="1"/>
        <v>4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755</v>
      </c>
      <c r="D14" s="55">
        <f>IFERROR(ROUNDDOWN(C14/B14,0),"")</f>
        <v>25</v>
      </c>
      <c r="E14" s="211"/>
      <c r="F14" s="212">
        <f>IFERROR(C14-(D14*B14),"")</f>
        <v>5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30</v>
      </c>
      <c r="C16" s="226">
        <f>IFERROR(VLOOKUP(A16,'★조인앤조인 (발주일_당일)'!A:SG,5,FALSE),0)</f>
        <v>25</v>
      </c>
      <c r="D16" s="226">
        <f>IFERROR(ROUNDDOWN(C16/B16,0),"")</f>
        <v>0</v>
      </c>
      <c r="E16" s="51" t="s">
        <v>237</v>
      </c>
      <c r="F16" s="227">
        <f>IFERROR(C16-(D16*B16),"")</f>
        <v>25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30</v>
      </c>
      <c r="C17" s="226">
        <f>IFERROR(VLOOKUP(A17,'★조인앤조인 (발주일_당일)'!A:SG,5,FALSE),0)</f>
        <v>52</v>
      </c>
      <c r="D17" s="226">
        <f>IFERROR(ROUNDDOWN(C17/B17,0),"")</f>
        <v>1</v>
      </c>
      <c r="E17" s="51" t="s">
        <v>236</v>
      </c>
      <c r="F17" s="227">
        <f>IFERROR(C17-(D17*B17),"")</f>
        <v>22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77</v>
      </c>
      <c r="D19" s="55">
        <f>IFERROR(ROUNDDOWN(C19/B19,0),"")</f>
        <v>2</v>
      </c>
      <c r="E19" s="211"/>
      <c r="F19" s="212">
        <f>IFERROR(C19-(D19*B19),"")</f>
        <v>17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30</v>
      </c>
      <c r="C21" s="226">
        <f>IFERROR(VLOOKUP(A21,'★조인앤조인 (발주일_당일)'!A:SG,5,FALSE),0)</f>
        <v>61</v>
      </c>
      <c r="D21" s="226">
        <f t="shared" ref="D21:D22" si="5">IFERROR(ROUNDDOWN(C21/B21,0),"")</f>
        <v>2</v>
      </c>
      <c r="E21" s="51" t="s">
        <v>235</v>
      </c>
      <c r="F21" s="227">
        <f t="shared" ref="F21:F22" si="6">IFERROR(C21-(D21*B21),"")</f>
        <v>1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30</v>
      </c>
      <c r="C22" s="226">
        <f>IFERROR(VLOOKUP(A22,'★조인앤조인 (발주일_당일)'!A:SG,5,FALSE),0)</f>
        <v>51</v>
      </c>
      <c r="D22" s="226">
        <f t="shared" si="5"/>
        <v>1</v>
      </c>
      <c r="E22" s="51" t="s">
        <v>269</v>
      </c>
      <c r="F22" s="227">
        <f t="shared" si="6"/>
        <v>21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112</v>
      </c>
      <c r="D24" s="55">
        <f>IFERROR(ROUNDDOWN(C24/B24,0),"")</f>
        <v>3</v>
      </c>
      <c r="E24" s="211"/>
      <c r="F24" s="212">
        <f>IFERROR(C24-(D24*B24),"")</f>
        <v>22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30</v>
      </c>
      <c r="C26" s="226">
        <f>IFERROR(VLOOKUP(A26,'★조인앤조인 (발주일_당일)'!A:SG,5,FALSE),0)</f>
        <v>47</v>
      </c>
      <c r="D26" s="226">
        <f>IFERROR(ROUNDDOWN(C26/B26,0),"")</f>
        <v>1</v>
      </c>
      <c r="E26" s="51" t="s">
        <v>239</v>
      </c>
      <c r="F26" s="227">
        <f>IFERROR(C26-(D26*B26),"")</f>
        <v>17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30</v>
      </c>
      <c r="C27" s="226">
        <f>IFERROR(VLOOKUP(A27,'★조인앤조인 (발주일_당일)'!A:SG,5,FALSE),0)</f>
        <v>36</v>
      </c>
      <c r="D27" s="226">
        <f t="shared" ref="D27" si="8">IFERROR(ROUNDDOWN(C27/B27,0),"")</f>
        <v>1</v>
      </c>
      <c r="E27" s="51" t="s">
        <v>270</v>
      </c>
      <c r="F27" s="227">
        <f t="shared" ref="F27" si="9">IFERROR(C27-(D27*B27),"")</f>
        <v>6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83</v>
      </c>
      <c r="D29" s="55">
        <f>IFERROR(ROUNDDOWN(C29/B29,0),"")</f>
        <v>2</v>
      </c>
      <c r="E29" s="211"/>
      <c r="F29" s="212">
        <f>IFERROR(C29-(D29*B29),"")</f>
        <v>23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30</v>
      </c>
      <c r="C31" s="226">
        <f>IFERROR(VLOOKUP(A31,'★조인앤조인 (발주일_당일)'!A:SG,5,FALSE),0)</f>
        <v>34</v>
      </c>
      <c r="D31" s="226">
        <f t="shared" ref="D31" si="11">IFERROR(ROUNDDOWN(C31/B31,0),"")</f>
        <v>1</v>
      </c>
      <c r="E31" s="51" t="s">
        <v>241</v>
      </c>
      <c r="F31" s="227">
        <f t="shared" ref="F31" si="12">IFERROR(C31-(D31*B31),"")</f>
        <v>4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34</v>
      </c>
      <c r="D33" s="55">
        <f>IFERROR(ROUNDDOWN(C33/B33,0),"")</f>
        <v>1</v>
      </c>
      <c r="E33" s="211"/>
      <c r="F33" s="212">
        <f>IFERROR(C33-(D33*B33),"")</f>
        <v>4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1061</v>
      </c>
      <c r="D35" s="54">
        <f>IFERROR(ROUNDDOWN(C35/B35,0),"")</f>
        <v>35</v>
      </c>
      <c r="E35" s="56"/>
      <c r="F35" s="121">
        <f>IFERROR(C35-(D35*B35),"")</f>
        <v>11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29</v>
      </c>
      <c r="E36" s="48"/>
      <c r="F36" s="93">
        <f>SUM(F4:F12,F26:F27,F21:F22,F16:F17,F31:F31)</f>
        <v>191</v>
      </c>
      <c r="G36" s="213">
        <f>IFERROR(ROUNDDOWN(F36/B26,0),"")</f>
        <v>6</v>
      </c>
      <c r="H36" s="214">
        <f>IFERROR(F36-(G36*B26),"")</f>
        <v>11</v>
      </c>
    </row>
    <row r="37" spans="1:11" ht="22.5" customHeight="1" x14ac:dyDescent="0.3">
      <c r="C37" s="77">
        <f>C14+C19+C24+C29+C33</f>
        <v>1061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C65F-753D-4965-8873-3D1B5319E5E2}">
  <sheetPr>
    <tabColor theme="9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6.875" style="34" customWidth="1"/>
    <col min="8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290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311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30</v>
      </c>
      <c r="C4" s="226">
        <f>IFERROR(VLOOKUP(A4,'★조인앤조인 (발주일_당일)'!A:SG,6,FALSE),0)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30</v>
      </c>
      <c r="C5" s="226">
        <f>IFERROR(VLOOKUP(A5,'★조인앤조인 (발주일_당일)'!A:SG,6,FALSE),0)</f>
        <v>10</v>
      </c>
      <c r="D5" s="226">
        <f t="shared" si="0"/>
        <v>0</v>
      </c>
      <c r="E5" s="51" t="s">
        <v>238</v>
      </c>
      <c r="F5" s="227">
        <f t="shared" si="1"/>
        <v>10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30</v>
      </c>
      <c r="C6" s="226">
        <f>IFERROR(VLOOKUP(A6,'★조인앤조인 (발주일_당일)'!A:SG,6,FALSE),0)</f>
        <v>24</v>
      </c>
      <c r="D6" s="226">
        <f>IFERROR(ROUNDDOWN(C6/B6,0),"")</f>
        <v>0</v>
      </c>
      <c r="E6" s="51" t="s">
        <v>257</v>
      </c>
      <c r="F6" s="227">
        <f>IFERROR(C6-(D6*B6),"")</f>
        <v>24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30</v>
      </c>
      <c r="C7" s="226">
        <f>IFERROR(VLOOKUP(A7,'★조인앤조인 (발주일_당일)'!A:SG,6,FALSE),0)</f>
        <v>35</v>
      </c>
      <c r="D7" s="226">
        <f>IFERROR(ROUNDDOWN(C7/B7,0),"")</f>
        <v>1</v>
      </c>
      <c r="E7" s="51" t="s">
        <v>258</v>
      </c>
      <c r="F7" s="227">
        <f>IFERROR(C7-(D7*B7),"")</f>
        <v>5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30</v>
      </c>
      <c r="C8" s="226">
        <f>IFERROR(VLOOKUP(A8,'★조인앤조인 (발주일_당일)'!A:SG,6,FALSE),0)</f>
        <v>40</v>
      </c>
      <c r="D8" s="226">
        <f>IFERROR(ROUNDDOWN(C8/B8,0),"")</f>
        <v>1</v>
      </c>
      <c r="E8" s="51" t="s">
        <v>259</v>
      </c>
      <c r="F8" s="227">
        <f>IFERROR(C8-(D8*B8),"")</f>
        <v>10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30</v>
      </c>
      <c r="C9" s="226">
        <f>IFERROR(VLOOKUP(A9,'★조인앤조인 (발주일_당일)'!A:SG,6,FALSE),0)</f>
        <v>27</v>
      </c>
      <c r="D9" s="226">
        <f t="shared" si="0"/>
        <v>0</v>
      </c>
      <c r="E9" s="51" t="s">
        <v>260</v>
      </c>
      <c r="F9" s="227">
        <f t="shared" si="1"/>
        <v>27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30</v>
      </c>
      <c r="C10" s="226">
        <f>IFERROR(VLOOKUP(A10,'★조인앤조인 (발주일_당일)'!A:SG,6,FALSE),0)</f>
        <v>39</v>
      </c>
      <c r="D10" s="226">
        <f>IFERROR(ROUNDDOWN(C10/B10,0),"")</f>
        <v>1</v>
      </c>
      <c r="E10" s="51" t="s">
        <v>261</v>
      </c>
      <c r="F10" s="227">
        <f>IFERROR(C10-(D10*B10),"")</f>
        <v>9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30</v>
      </c>
      <c r="C11" s="226">
        <f>IFERROR(VLOOKUP(A11,'★조인앤조인 (발주일_당일)'!A:SG,6,FALSE),0)</f>
        <v>66</v>
      </c>
      <c r="D11" s="226">
        <f t="shared" si="0"/>
        <v>2</v>
      </c>
      <c r="E11" s="51" t="s">
        <v>240</v>
      </c>
      <c r="F11" s="227">
        <f t="shared" si="1"/>
        <v>6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30</v>
      </c>
      <c r="C12" s="226">
        <f>IFERROR(VLOOKUP(A12,'★조인앤조인 (발주일_당일)'!A:SG,6,FALSE),0)</f>
        <v>11</v>
      </c>
      <c r="D12" s="226">
        <f t="shared" si="0"/>
        <v>0</v>
      </c>
      <c r="E12" s="51" t="s">
        <v>108</v>
      </c>
      <c r="F12" s="227">
        <f t="shared" si="1"/>
        <v>11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30</v>
      </c>
      <c r="C14" s="210">
        <f>SUM(C4:C12)</f>
        <v>252</v>
      </c>
      <c r="D14" s="55">
        <f>IFERROR(ROUNDDOWN(C14/B14,0),"")</f>
        <v>8</v>
      </c>
      <c r="E14" s="211"/>
      <c r="F14" s="212">
        <f>IFERROR(C14-(D14*B14),"")</f>
        <v>12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30</v>
      </c>
      <c r="C16" s="226">
        <f>IFERROR(VLOOKUP(A16,'★조인앤조인 (발주일_당일)'!A:SG,6,FALSE),0)</f>
        <v>16</v>
      </c>
      <c r="D16" s="226">
        <f>IFERROR(ROUNDDOWN(C16/B16,0),"")</f>
        <v>0</v>
      </c>
      <c r="E16" s="51" t="s">
        <v>237</v>
      </c>
      <c r="F16" s="227">
        <f>IFERROR(C16-(D16*B16),"")</f>
        <v>16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30</v>
      </c>
      <c r="C17" s="226">
        <f>IFERROR(VLOOKUP(A17,'★조인앤조인 (발주일_당일)'!A:SG,6,FALSE),0)</f>
        <v>12</v>
      </c>
      <c r="D17" s="226">
        <f>IFERROR(ROUNDDOWN(C17/B17,0),"")</f>
        <v>0</v>
      </c>
      <c r="E17" s="51" t="s">
        <v>236</v>
      </c>
      <c r="F17" s="227">
        <f>IFERROR(C17-(D17*B17),"")</f>
        <v>12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30</v>
      </c>
      <c r="C19" s="210">
        <f>SUM(C16:C17)</f>
        <v>28</v>
      </c>
      <c r="D19" s="55">
        <f>IFERROR(ROUNDDOWN(C19/B19,0),"")</f>
        <v>0</v>
      </c>
      <c r="E19" s="211"/>
      <c r="F19" s="212">
        <f>IFERROR(C19-(D19*B19),"")</f>
        <v>28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30</v>
      </c>
      <c r="C21" s="226">
        <f>IFERROR(VLOOKUP(A21,'★조인앤조인 (발주일_당일)'!A:SG,6,FALSE),0)</f>
        <v>10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10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30</v>
      </c>
      <c r="C22" s="226">
        <f>IFERROR(VLOOKUP(A22,'★조인앤조인 (발주일_당일)'!A:SG,6,FALSE),0)</f>
        <v>15</v>
      </c>
      <c r="D22" s="226">
        <f t="shared" si="5"/>
        <v>0</v>
      </c>
      <c r="E22" s="51" t="s">
        <v>269</v>
      </c>
      <c r="F22" s="227">
        <f t="shared" si="6"/>
        <v>15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30</v>
      </c>
      <c r="C24" s="210">
        <f>SUM(C21:C22)</f>
        <v>25</v>
      </c>
      <c r="D24" s="55">
        <f>IFERROR(ROUNDDOWN(C24/B24,0),"")</f>
        <v>0</v>
      </c>
      <c r="E24" s="211"/>
      <c r="F24" s="212">
        <f>IFERROR(C24-(D24*B24),"")</f>
        <v>25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30</v>
      </c>
      <c r="C26" s="226">
        <f>IFERROR(VLOOKUP(A26,'★조인앤조인 (발주일_당일)'!A:SG,6,FALSE),0)</f>
        <v>3</v>
      </c>
      <c r="D26" s="226">
        <f>IFERROR(ROUNDDOWN(C26/B26,0),"")</f>
        <v>0</v>
      </c>
      <c r="E26" s="51" t="s">
        <v>239</v>
      </c>
      <c r="F26" s="227">
        <f>IFERROR(C26-(D26*B26),"")</f>
        <v>3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30</v>
      </c>
      <c r="C27" s="226">
        <f>IFERROR(VLOOKUP(A27,'★조인앤조인 (발주일_당일)'!A:SG,6,FALSE),0)</f>
        <v>12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12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30</v>
      </c>
      <c r="C29" s="210">
        <f>SUM(C26:C27)</f>
        <v>15</v>
      </c>
      <c r="D29" s="55">
        <f>IFERROR(ROUNDDOWN(C29/B29,0),"")</f>
        <v>0</v>
      </c>
      <c r="E29" s="211"/>
      <c r="F29" s="212">
        <f>IFERROR(C29-(D29*B29),"")</f>
        <v>15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30</v>
      </c>
      <c r="C31" s="226">
        <f>IFERROR(VLOOKUP(A31,'★조인앤조인 (발주일_당일)'!A:SG,6,FALSE),0)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30</v>
      </c>
      <c r="C35" s="55">
        <f>SUM(C4:C12,C26:C27,C21:C22,C16:C17,C31:C31)</f>
        <v>320</v>
      </c>
      <c r="D35" s="54">
        <f>IFERROR(ROUNDDOWN(C35/B35,0),"")</f>
        <v>10</v>
      </c>
      <c r="E35" s="56"/>
      <c r="F35" s="121">
        <f>IFERROR(C35-(D35*B35),"")</f>
        <v>20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5</v>
      </c>
      <c r="E36" s="48"/>
      <c r="F36" s="93">
        <f>SUM(F4:F12,F26:F27,F21:F22,F16:F17,F31:F31)</f>
        <v>170</v>
      </c>
      <c r="G36" s="213">
        <f>IFERROR(ROUNDDOWN(F36/B26,0),"")</f>
        <v>5</v>
      </c>
      <c r="H36" s="214">
        <f>IFERROR(F36-(G36*B26),"")</f>
        <v>20</v>
      </c>
    </row>
    <row r="37" spans="1:11" ht="22.5" customHeight="1" x14ac:dyDescent="0.3">
      <c r="C37" s="77">
        <f>C14+C19+C24+C29+C33</f>
        <v>320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FF97-05FD-4A30-BE1C-24FFA0BDBEB0}">
  <sheetPr>
    <tabColor rgb="FFFFFF00"/>
  </sheetPr>
  <dimension ref="A1:RQ18"/>
  <sheetViews>
    <sheetView zoomScale="70" zoomScaleNormal="70" zoomScaleSheetLayoutView="75" workbookViewId="0">
      <pane xSplit="1" topLeftCell="B1" activePane="topRight" state="frozen"/>
      <selection activeCell="F34" sqref="F34"/>
      <selection pane="topRight" activeCell="F17" sqref="F17"/>
    </sheetView>
  </sheetViews>
  <sheetFormatPr defaultColWidth="9" defaultRowHeight="15" customHeight="1" x14ac:dyDescent="0.3"/>
  <cols>
    <col min="1" max="9" width="37.625" style="34" customWidth="1"/>
    <col min="10" max="363" width="30.375" style="34" customWidth="1"/>
    <col min="364" max="365" width="21.25" style="34" customWidth="1"/>
    <col min="366" max="381" width="20.5" style="34" customWidth="1"/>
    <col min="382" max="382" width="21" style="34" bestFit="1" customWidth="1"/>
    <col min="383" max="383" width="25.125" style="34" bestFit="1" customWidth="1"/>
    <col min="384" max="384" width="23" style="34" bestFit="1" customWidth="1"/>
    <col min="385" max="385" width="33.375" style="34" bestFit="1" customWidth="1"/>
    <col min="386" max="386" width="25.125" style="34" bestFit="1" customWidth="1"/>
    <col min="387" max="387" width="28.875" style="34" bestFit="1" customWidth="1"/>
    <col min="388" max="388" width="23" style="34" bestFit="1" customWidth="1"/>
    <col min="389" max="389" width="18.875" style="34" customWidth="1"/>
    <col min="390" max="390" width="23" style="34" bestFit="1" customWidth="1"/>
    <col min="391" max="391" width="25.125" style="34" bestFit="1" customWidth="1"/>
    <col min="392" max="392" width="18.875" style="34" customWidth="1"/>
    <col min="393" max="393" width="19.125" style="34" customWidth="1"/>
    <col min="394" max="394" width="18.125" style="34" customWidth="1"/>
    <col min="395" max="395" width="18.875" style="34" customWidth="1"/>
    <col min="396" max="396" width="26.625" style="34" customWidth="1"/>
    <col min="397" max="397" width="22.125" style="34" customWidth="1"/>
    <col min="398" max="398" width="24.125" style="34" customWidth="1"/>
    <col min="399" max="399" width="21.375" style="34" customWidth="1"/>
    <col min="400" max="400" width="19.375" style="34" customWidth="1"/>
    <col min="401" max="401" width="20" style="34" customWidth="1"/>
    <col min="402" max="402" width="23.25" style="34" customWidth="1"/>
    <col min="403" max="403" width="18" style="34" customWidth="1"/>
    <col min="404" max="434" width="19" style="34" customWidth="1"/>
    <col min="435" max="439" width="20.25" style="34" customWidth="1"/>
    <col min="440" max="440" width="17.25" style="34" customWidth="1"/>
    <col min="441" max="441" width="17.75" style="34" customWidth="1"/>
    <col min="442" max="442" width="16.5" style="34" customWidth="1"/>
    <col min="443" max="445" width="21" style="34" customWidth="1"/>
    <col min="446" max="446" width="18.5" style="34" customWidth="1"/>
    <col min="447" max="451" width="21" style="34" customWidth="1"/>
    <col min="452" max="452" width="15.125" style="34" customWidth="1"/>
    <col min="453" max="468" width="21" style="34" customWidth="1"/>
    <col min="469" max="469" width="24.25" style="34" customWidth="1"/>
    <col min="470" max="470" width="18.875" style="34" bestFit="1" customWidth="1"/>
    <col min="471" max="471" width="21" style="34" bestFit="1" customWidth="1"/>
    <col min="472" max="472" width="23" style="38" bestFit="1" customWidth="1"/>
    <col min="473" max="473" width="8.625" style="38" bestFit="1" customWidth="1"/>
    <col min="474" max="474" width="21" style="38" bestFit="1" customWidth="1"/>
    <col min="475" max="475" width="23" style="38" bestFit="1" customWidth="1"/>
    <col min="476" max="476" width="8.625" style="38" bestFit="1" customWidth="1"/>
    <col min="477" max="477" width="22.875" style="34" customWidth="1"/>
    <col min="478" max="484" width="20.875" style="38" customWidth="1"/>
    <col min="485" max="485" width="23.25" style="38" customWidth="1"/>
    <col min="486" max="16384" width="9" style="34"/>
  </cols>
  <sheetData>
    <row r="1" spans="1:477" s="38" customFormat="1" ht="15" customHeight="1" x14ac:dyDescent="0.3">
      <c r="A1" s="62" t="s">
        <v>351</v>
      </c>
      <c r="B1" s="62"/>
      <c r="C1" s="62"/>
      <c r="D1" s="62" t="s">
        <v>89</v>
      </c>
      <c r="E1" s="62"/>
      <c r="F1" s="62"/>
      <c r="G1" s="62"/>
      <c r="H1" s="62"/>
      <c r="I1" s="62"/>
      <c r="J1" s="2"/>
      <c r="K1" s="2"/>
      <c r="L1" s="2"/>
      <c r="M1" s="2"/>
      <c r="N1" s="2"/>
      <c r="O1" s="2"/>
      <c r="P1" s="2"/>
      <c r="Q1" s="2"/>
      <c r="R1" s="2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32"/>
      <c r="LH1" s="23"/>
      <c r="LI1" s="23"/>
      <c r="LJ1" s="23"/>
      <c r="LK1" s="23"/>
      <c r="LL1" s="32"/>
      <c r="LM1" s="32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32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32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32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</row>
    <row r="2" spans="1:477" s="38" customFormat="1" ht="15" customHeight="1" x14ac:dyDescent="0.3">
      <c r="A2" s="53" t="s">
        <v>67</v>
      </c>
      <c r="B2" s="53"/>
      <c r="C2" s="53"/>
      <c r="D2" s="53" t="s">
        <v>291</v>
      </c>
      <c r="E2" s="53" t="s">
        <v>292</v>
      </c>
      <c r="F2" s="53" t="s">
        <v>3</v>
      </c>
      <c r="G2" s="53"/>
      <c r="H2" s="53"/>
      <c r="I2" s="53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</row>
    <row r="3" spans="1:477" s="38" customFormat="1" ht="15" customHeight="1" x14ac:dyDescent="0.3">
      <c r="A3" s="34" t="s">
        <v>267</v>
      </c>
      <c r="B3" s="34"/>
      <c r="C3" s="34"/>
      <c r="D3" s="34">
        <v>2</v>
      </c>
      <c r="E3" s="34"/>
      <c r="F3" s="34">
        <v>2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</row>
    <row r="4" spans="1:477" s="38" customFormat="1" ht="15" customHeight="1" x14ac:dyDescent="0.3">
      <c r="A4" s="34" t="s">
        <v>266</v>
      </c>
      <c r="B4" s="34"/>
      <c r="C4" s="34"/>
      <c r="D4" s="34">
        <v>1</v>
      </c>
      <c r="E4" s="34">
        <v>1</v>
      </c>
      <c r="F4" s="34">
        <v>2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</row>
    <row r="5" spans="1:477" s="38" customFormat="1" ht="15" customHeight="1" x14ac:dyDescent="0.3">
      <c r="A5" s="34" t="s">
        <v>264</v>
      </c>
      <c r="B5" s="34"/>
      <c r="C5" s="34"/>
      <c r="D5" s="34">
        <v>2</v>
      </c>
      <c r="E5" s="34"/>
      <c r="F5" s="34">
        <v>2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</row>
    <row r="6" spans="1:477" s="38" customFormat="1" ht="15" customHeight="1" x14ac:dyDescent="0.3">
      <c r="A6" s="34" t="s">
        <v>262</v>
      </c>
      <c r="B6" s="34"/>
      <c r="C6" s="34"/>
      <c r="D6" s="34">
        <v>2</v>
      </c>
      <c r="E6" s="34">
        <v>1</v>
      </c>
      <c r="F6" s="34">
        <v>3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</row>
    <row r="7" spans="1:477" s="38" customFormat="1" ht="15" customHeight="1" x14ac:dyDescent="0.3">
      <c r="A7" s="34" t="s">
        <v>249</v>
      </c>
      <c r="B7" s="34"/>
      <c r="C7" s="34"/>
      <c r="D7" s="34">
        <v>4</v>
      </c>
      <c r="E7" s="34">
        <v>1</v>
      </c>
      <c r="F7" s="34">
        <v>5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</row>
    <row r="8" spans="1:477" s="38" customFormat="1" ht="15" customHeight="1" x14ac:dyDescent="0.3">
      <c r="A8" s="34" t="s">
        <v>252</v>
      </c>
      <c r="B8" s="34"/>
      <c r="C8" s="34"/>
      <c r="D8" s="34">
        <v>4</v>
      </c>
      <c r="E8" s="34">
        <v>6</v>
      </c>
      <c r="F8" s="34">
        <v>10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</row>
    <row r="9" spans="1:477" s="38" customFormat="1" ht="15" customHeight="1" x14ac:dyDescent="0.3">
      <c r="A9" s="34" t="s">
        <v>248</v>
      </c>
      <c r="B9" s="34"/>
      <c r="C9" s="34"/>
      <c r="D9" s="34">
        <v>5</v>
      </c>
      <c r="E9" s="34">
        <v>2</v>
      </c>
      <c r="F9" s="34">
        <v>7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</row>
    <row r="10" spans="1:477" s="38" customFormat="1" ht="15" customHeight="1" x14ac:dyDescent="0.3">
      <c r="A10" s="34" t="s">
        <v>263</v>
      </c>
      <c r="B10" s="34"/>
      <c r="C10" s="34"/>
      <c r="D10" s="34">
        <v>2</v>
      </c>
      <c r="E10" s="34">
        <v>3</v>
      </c>
      <c r="F10" s="34">
        <v>5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NU10" s="63"/>
    </row>
    <row r="11" spans="1:477" s="38" customFormat="1" ht="15" customHeight="1" x14ac:dyDescent="0.3">
      <c r="A11" s="34" t="s">
        <v>254</v>
      </c>
      <c r="B11" s="34"/>
      <c r="C11" s="34"/>
      <c r="D11" s="34">
        <v>12</v>
      </c>
      <c r="E11" s="34">
        <v>5</v>
      </c>
      <c r="F11" s="34">
        <v>17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NR11" s="64"/>
      <c r="NU11" s="63"/>
    </row>
    <row r="12" spans="1:477" s="38" customFormat="1" ht="15" customHeight="1" x14ac:dyDescent="0.3">
      <c r="A12" s="34" t="s">
        <v>253</v>
      </c>
      <c r="B12" s="34"/>
      <c r="C12" s="34"/>
      <c r="D12" s="34">
        <v>11</v>
      </c>
      <c r="E12" s="34">
        <v>4</v>
      </c>
      <c r="F12" s="34">
        <v>15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NR12" s="64"/>
      <c r="NU12" s="63"/>
    </row>
    <row r="13" spans="1:477" s="38" customFormat="1" ht="15" customHeight="1" x14ac:dyDescent="0.3">
      <c r="A13" s="34" t="s">
        <v>255</v>
      </c>
      <c r="B13" s="34"/>
      <c r="C13" s="34"/>
      <c r="D13" s="34">
        <v>2</v>
      </c>
      <c r="E13" s="34">
        <v>3</v>
      </c>
      <c r="F13" s="34">
        <v>5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NU13" s="63"/>
    </row>
    <row r="14" spans="1:477" s="38" customFormat="1" ht="15" customHeight="1" x14ac:dyDescent="0.3">
      <c r="A14" s="34" t="s">
        <v>250</v>
      </c>
      <c r="B14" s="34"/>
      <c r="C14" s="34"/>
      <c r="D14" s="34">
        <v>8</v>
      </c>
      <c r="E14" s="34">
        <v>2</v>
      </c>
      <c r="F14" s="34">
        <v>10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NU14" s="63"/>
    </row>
    <row r="15" spans="1:477" ht="15" customHeight="1" x14ac:dyDescent="0.3">
      <c r="A15" s="34" t="s">
        <v>265</v>
      </c>
      <c r="D15" s="34">
        <v>1</v>
      </c>
      <c r="F15" s="34">
        <v>1</v>
      </c>
    </row>
    <row r="16" spans="1:477" ht="13.5" customHeight="1" x14ac:dyDescent="0.3">
      <c r="A16" s="34" t="s">
        <v>251</v>
      </c>
      <c r="D16" s="34">
        <v>11</v>
      </c>
      <c r="E16" s="34">
        <v>1</v>
      </c>
      <c r="F16" s="34">
        <v>12</v>
      </c>
    </row>
    <row r="17" spans="1:11" ht="15" customHeight="1" x14ac:dyDescent="0.3">
      <c r="A17" s="34" t="s">
        <v>3</v>
      </c>
      <c r="D17" s="34">
        <v>67</v>
      </c>
      <c r="E17" s="34">
        <v>29</v>
      </c>
      <c r="F17" s="34">
        <v>96</v>
      </c>
    </row>
    <row r="18" spans="1:11" ht="15" customHeight="1" x14ac:dyDescent="0.3">
      <c r="K18" s="39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5550-09B9-4E4F-862D-BCD281B53474}">
  <sheetPr>
    <tabColor rgb="FFFFFF00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8.375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294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0" t="s">
        <v>293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36</v>
      </c>
      <c r="C4" s="226">
        <f>IFERROR(VLOOKUP(A4,'★스윗밸런스 (입고일_익일)'!A:RE,2,FALSE),0)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36</v>
      </c>
      <c r="C5" s="226">
        <f>IFERROR(VLOOKUP(A5,'★스윗밸런스 (입고일_익일)'!A:RE,2,FALSE),0)</f>
        <v>0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36</v>
      </c>
      <c r="C6" s="226">
        <f>IFERROR(VLOOKUP(A6,'★스윗밸런스 (입고일_익일)'!A:RE,2,FALSE),0)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36</v>
      </c>
      <c r="C7" s="226">
        <f>IFERROR(VLOOKUP(A7,'★스윗밸런스 (입고일_익일)'!A:RE,2,FALSE),0)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36</v>
      </c>
      <c r="C8" s="226">
        <f>IFERROR(VLOOKUP(A8,'★스윗밸런스 (입고일_익일)'!A:RE,2,FALSE),0)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36</v>
      </c>
      <c r="C9" s="226">
        <f>IFERROR(VLOOKUP(A9,'★스윗밸런스 (입고일_익일)'!A:RE,2,FALSE),0)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36</v>
      </c>
      <c r="C10" s="226">
        <f>IFERROR(VLOOKUP(A10,'★스윗밸런스 (입고일_익일)'!A:RE,2,FALSE),0)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36</v>
      </c>
      <c r="C11" s="226">
        <f>IFERROR(VLOOKUP(A11,'★스윗밸런스 (입고일_익일)'!A:RE,2,FALSE),0)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36</v>
      </c>
      <c r="C12" s="226">
        <f>IFERROR(VLOOKUP(A12,'★스윗밸런스 (입고일_익일)'!A:RE,2,FALSE),0)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36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36</v>
      </c>
      <c r="C16" s="226">
        <f>IFERROR(VLOOKUP(A16,'★스윗밸런스 (입고일_익일)'!A:RE,2,FALSE),0)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36</v>
      </c>
      <c r="C17" s="226">
        <f>IFERROR(VLOOKUP(A17,'★스윗밸런스 (입고일_익일)'!A:RE,2,FALSE),0)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36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36</v>
      </c>
      <c r="C21" s="226">
        <f>IFERROR(VLOOKUP(A21,'★스윗밸런스 (입고일_익일)'!A:RE,2,FALSE),0)</f>
        <v>0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36</v>
      </c>
      <c r="C22" s="226">
        <f>IFERROR(VLOOKUP(A22,'★스윗밸런스 (입고일_익일)'!A:RE,2,FALSE),0)</f>
        <v>0</v>
      </c>
      <c r="D22" s="226">
        <f t="shared" si="7"/>
        <v>0</v>
      </c>
      <c r="E22" s="51" t="s">
        <v>269</v>
      </c>
      <c r="F22" s="227">
        <f t="shared" si="8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36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36</v>
      </c>
      <c r="C26" s="226">
        <f>IFERROR(VLOOKUP(A26,'★스윗밸런스 (입고일_익일)'!A:RE,2,FALSE),0)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36</v>
      </c>
      <c r="C27" s="226">
        <f>IFERROR(VLOOKUP(A27,'★스윗밸런스 (입고일_익일)'!A:RE,2,FALSE),0)</f>
        <v>0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0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36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36</v>
      </c>
      <c r="C31" s="226">
        <f>IFERROR(VLOOKUP(A31,'★스윗밸런스 (입고일_익일)'!A:RE,2,FALSE),0)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36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36</v>
      </c>
      <c r="C35" s="55">
        <f>SUM(C4:C12,C26:C27,C21:C22,C16:C17,C31:C31)</f>
        <v>0</v>
      </c>
      <c r="D35" s="54">
        <f>IFERROR(ROUNDDOWN(C35/B35,0),"")</f>
        <v>0</v>
      </c>
      <c r="E35" s="56"/>
      <c r="F35" s="121">
        <f>IFERROR(C35-(D35*B35),"")</f>
        <v>0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0</v>
      </c>
      <c r="G36" s="213">
        <f>IFERROR(ROUNDDOWN(F36/B26,0),"")</f>
        <v>0</v>
      </c>
      <c r="H36" s="214">
        <f>IFERROR(F36-(G36*B26),"")</f>
        <v>0</v>
      </c>
    </row>
    <row r="37" spans="1:11" ht="22.5" customHeight="1" x14ac:dyDescent="0.3">
      <c r="C37" s="77">
        <f>C14+C19+C24+C29+C33</f>
        <v>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7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B28E-4428-4C79-9F7A-6AC32FB737F2}">
  <sheetPr>
    <tabColor rgb="FFFFFF00"/>
  </sheetPr>
  <dimension ref="A1:H38"/>
  <sheetViews>
    <sheetView topLeftCell="A2"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.375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69"/>
      <c r="B1" s="269"/>
      <c r="C1" s="269"/>
      <c r="D1" s="269"/>
      <c r="E1" s="269"/>
      <c r="F1" s="269"/>
    </row>
    <row r="2" spans="1:8" ht="33.75" customHeight="1" x14ac:dyDescent="0.3">
      <c r="A2" s="218">
        <f ca="1">TODAY()</f>
        <v>46310</v>
      </c>
      <c r="B2" s="270" t="s">
        <v>294</v>
      </c>
      <c r="C2" s="270"/>
      <c r="D2" s="270"/>
      <c r="E2" s="270"/>
      <c r="F2" s="271"/>
      <c r="G2" s="67"/>
      <c r="H2" s="67"/>
    </row>
    <row r="3" spans="1:8" ht="50.25" customHeight="1" x14ac:dyDescent="0.3">
      <c r="A3" s="219" t="s">
        <v>67</v>
      </c>
      <c r="B3" s="220" t="s">
        <v>13</v>
      </c>
      <c r="C3" s="221" t="s">
        <v>312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8" ht="30" customHeight="1" x14ac:dyDescent="0.3">
      <c r="A4" s="224" t="s">
        <v>247</v>
      </c>
      <c r="B4" s="225">
        <v>36</v>
      </c>
      <c r="C4" s="226">
        <f>IFERROR(VLOOKUP(A4,'★스윗밸런스 (입고일_익일)'!A:RE,3,FALSE),0)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</row>
    <row r="5" spans="1:8" ht="30" customHeight="1" x14ac:dyDescent="0.3">
      <c r="A5" s="228" t="s">
        <v>248</v>
      </c>
      <c r="B5" s="225">
        <f t="shared" ref="B5:B12" si="2">$B$4</f>
        <v>36</v>
      </c>
      <c r="C5" s="226">
        <f>IFERROR(VLOOKUP(A5,'★스윗밸런스 (입고일_익일)'!A:RE,3,FALSE),0)</f>
        <v>0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0</v>
      </c>
      <c r="G5" s="67"/>
      <c r="H5" s="67"/>
    </row>
    <row r="6" spans="1:8" ht="30" customHeight="1" x14ac:dyDescent="0.3">
      <c r="A6" s="228" t="s">
        <v>249</v>
      </c>
      <c r="B6" s="225">
        <f t="shared" si="2"/>
        <v>36</v>
      </c>
      <c r="C6" s="226">
        <f>IFERROR(VLOOKUP(A6,'★스윗밸런스 (입고일_익일)'!A:RE,3,FALSE),0)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</row>
    <row r="7" spans="1:8" ht="30" customHeight="1" x14ac:dyDescent="0.3">
      <c r="A7" s="228" t="s">
        <v>250</v>
      </c>
      <c r="B7" s="225">
        <f t="shared" si="2"/>
        <v>36</v>
      </c>
      <c r="C7" s="226">
        <f>IFERROR(VLOOKUP(A7,'★스윗밸런스 (입고일_익일)'!A:RE,3,FALSE),0)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</row>
    <row r="8" spans="1:8" ht="30" customHeight="1" x14ac:dyDescent="0.3">
      <c r="A8" s="228" t="s">
        <v>251</v>
      </c>
      <c r="B8" s="225">
        <f t="shared" si="2"/>
        <v>36</v>
      </c>
      <c r="C8" s="226">
        <f>IFERROR(VLOOKUP(A8,'★스윗밸런스 (입고일_익일)'!A:RE,3,FALSE),0)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</row>
    <row r="9" spans="1:8" ht="30" customHeight="1" x14ac:dyDescent="0.3">
      <c r="A9" s="228" t="s">
        <v>252</v>
      </c>
      <c r="B9" s="225">
        <f t="shared" si="2"/>
        <v>36</v>
      </c>
      <c r="C9" s="226">
        <f>IFERROR(VLOOKUP(A9,'★스윗밸런스 (입고일_익일)'!A:RE,3,FALSE),0)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</row>
    <row r="10" spans="1:8" ht="30" customHeight="1" x14ac:dyDescent="0.3">
      <c r="A10" s="228" t="s">
        <v>253</v>
      </c>
      <c r="B10" s="225">
        <f t="shared" si="2"/>
        <v>36</v>
      </c>
      <c r="C10" s="226">
        <f>IFERROR(VLOOKUP(A10,'★스윗밸런스 (입고일_익일)'!A:RE,3,FALSE),0)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</row>
    <row r="11" spans="1:8" ht="30" customHeight="1" x14ac:dyDescent="0.3">
      <c r="A11" s="228" t="s">
        <v>254</v>
      </c>
      <c r="B11" s="225">
        <f t="shared" si="2"/>
        <v>36</v>
      </c>
      <c r="C11" s="226">
        <f>IFERROR(VLOOKUP(A11,'★스윗밸런스 (입고일_익일)'!A:RE,3,FALSE),0)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</row>
    <row r="12" spans="1:8" ht="30" customHeight="1" x14ac:dyDescent="0.3">
      <c r="A12" s="228" t="s">
        <v>255</v>
      </c>
      <c r="B12" s="225">
        <f t="shared" si="2"/>
        <v>36</v>
      </c>
      <c r="C12" s="226">
        <f>IFERROR(VLOOKUP(A12,'★스윗밸런스 (입고일_익일)'!A:RE,3,FALSE),0)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</row>
    <row r="13" spans="1:8" ht="4.5" customHeight="1" x14ac:dyDescent="0.3">
      <c r="A13" s="266"/>
      <c r="B13" s="267"/>
      <c r="C13" s="267"/>
      <c r="D13" s="267"/>
      <c r="E13" s="267"/>
      <c r="F13" s="268"/>
    </row>
    <row r="14" spans="1:8" ht="32.450000000000003" customHeight="1" x14ac:dyDescent="0.3">
      <c r="A14" s="209" t="s">
        <v>122</v>
      </c>
      <c r="B14" s="231">
        <f>$B$4</f>
        <v>36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</row>
    <row r="15" spans="1:8" ht="4.5" customHeight="1" x14ac:dyDescent="0.3">
      <c r="A15" s="229"/>
      <c r="B15" s="225"/>
      <c r="C15" s="225"/>
      <c r="D15" s="225"/>
      <c r="E15" s="225"/>
      <c r="F15" s="230"/>
    </row>
    <row r="16" spans="1:8" ht="30" customHeight="1" x14ac:dyDescent="0.3">
      <c r="A16" s="228" t="s">
        <v>262</v>
      </c>
      <c r="B16" s="225">
        <f t="shared" ref="B16:B17" si="5">$B$4</f>
        <v>36</v>
      </c>
      <c r="C16" s="226">
        <f>IFERROR(VLOOKUP(A16,'★스윗밸런스 (입고일_익일)'!A:RE,3,FALSE),0)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</row>
    <row r="17" spans="1:8" ht="30" customHeight="1" x14ac:dyDescent="0.3">
      <c r="A17" s="228" t="s">
        <v>263</v>
      </c>
      <c r="B17" s="225">
        <f t="shared" si="5"/>
        <v>36</v>
      </c>
      <c r="C17" s="226">
        <f>IFERROR(VLOOKUP(A17,'★스윗밸런스 (입고일_익일)'!A:RE,3,FALSE),0)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</row>
    <row r="18" spans="1:8" ht="4.5" customHeight="1" x14ac:dyDescent="0.3">
      <c r="A18" s="266"/>
      <c r="B18" s="267"/>
      <c r="C18" s="267"/>
      <c r="D18" s="267"/>
      <c r="E18" s="267"/>
      <c r="F18" s="268"/>
      <c r="G18" s="67"/>
      <c r="H18" s="67"/>
    </row>
    <row r="19" spans="1:8" ht="32.450000000000003" customHeight="1" x14ac:dyDescent="0.3">
      <c r="A19" s="209" t="s">
        <v>244</v>
      </c>
      <c r="B19" s="231">
        <f>$B$4</f>
        <v>36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</row>
    <row r="20" spans="1:8" ht="4.5" customHeight="1" x14ac:dyDescent="0.3">
      <c r="A20" s="266"/>
      <c r="B20" s="267"/>
      <c r="C20" s="267"/>
      <c r="D20" s="267"/>
      <c r="E20" s="267"/>
      <c r="F20" s="268"/>
      <c r="G20" s="67"/>
      <c r="H20" s="67"/>
    </row>
    <row r="21" spans="1:8" ht="30" customHeight="1" x14ac:dyDescent="0.3">
      <c r="A21" s="228" t="s">
        <v>264</v>
      </c>
      <c r="B21" s="225">
        <f t="shared" ref="B21:B22" si="6">$B$4</f>
        <v>36</v>
      </c>
      <c r="C21" s="226">
        <f>IFERROR(VLOOKUP(A21,'★스윗밸런스 (입고일_익일)'!A:RE,3,FALSE),0)</f>
        <v>0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0</v>
      </c>
      <c r="G21" s="67"/>
      <c r="H21" s="67"/>
    </row>
    <row r="22" spans="1:8" ht="30" customHeight="1" x14ac:dyDescent="0.3">
      <c r="A22" s="228" t="s">
        <v>265</v>
      </c>
      <c r="B22" s="225">
        <f t="shared" si="6"/>
        <v>36</v>
      </c>
      <c r="C22" s="226">
        <f>IFERROR(VLOOKUP(A22,'★스윗밸런스 (입고일_익일)'!A:RE,3,FALSE),0)</f>
        <v>0</v>
      </c>
      <c r="D22" s="226">
        <f t="shared" si="7"/>
        <v>0</v>
      </c>
      <c r="E22" s="51" t="s">
        <v>269</v>
      </c>
      <c r="F22" s="227">
        <f t="shared" si="8"/>
        <v>0</v>
      </c>
      <c r="G22" s="67"/>
      <c r="H22" s="67"/>
    </row>
    <row r="23" spans="1:8" ht="4.5" customHeight="1" x14ac:dyDescent="0.3">
      <c r="A23" s="266"/>
      <c r="B23" s="267"/>
      <c r="C23" s="267"/>
      <c r="D23" s="267"/>
      <c r="E23" s="267"/>
      <c r="F23" s="268"/>
      <c r="G23" s="67"/>
      <c r="H23" s="67"/>
    </row>
    <row r="24" spans="1:8" ht="32.450000000000003" customHeight="1" x14ac:dyDescent="0.3">
      <c r="A24" s="209" t="s">
        <v>243</v>
      </c>
      <c r="B24" s="231">
        <f>$B$4</f>
        <v>36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</row>
    <row r="25" spans="1:8" ht="4.5" customHeight="1" x14ac:dyDescent="0.3">
      <c r="A25" s="229"/>
      <c r="B25" s="225"/>
      <c r="C25" s="225"/>
      <c r="D25" s="225"/>
      <c r="E25" s="225"/>
      <c r="F25" s="230"/>
      <c r="G25" s="67"/>
      <c r="H25" s="67"/>
    </row>
    <row r="26" spans="1:8" ht="30" customHeight="1" x14ac:dyDescent="0.3">
      <c r="A26" s="228" t="s">
        <v>266</v>
      </c>
      <c r="B26" s="225">
        <f t="shared" ref="B26:B27" si="9">$B$4</f>
        <v>36</v>
      </c>
      <c r="C26" s="226">
        <f>IFERROR(VLOOKUP(A26,'★스윗밸런스 (입고일_익일)'!A:RE,3,FALSE),0)</f>
        <v>0</v>
      </c>
      <c r="D26" s="226">
        <f t="shared" ref="D26:D27" si="10">IFERROR(ROUNDDOWN(C26/B26,0),"")</f>
        <v>0</v>
      </c>
      <c r="E26" s="51" t="s">
        <v>239</v>
      </c>
      <c r="F26" s="227">
        <f t="shared" ref="F26:F27" si="11">IFERROR(C26-(D26*B26),"")</f>
        <v>0</v>
      </c>
      <c r="G26" s="67"/>
      <c r="H26" s="67"/>
    </row>
    <row r="27" spans="1:8" ht="30" customHeight="1" x14ac:dyDescent="0.3">
      <c r="A27" s="228" t="s">
        <v>267</v>
      </c>
      <c r="B27" s="225">
        <f t="shared" si="9"/>
        <v>36</v>
      </c>
      <c r="C27" s="226">
        <f>IFERROR(VLOOKUP(A27,'★스윗밸런스 (입고일_익일)'!A:RE,3,FALSE),0)</f>
        <v>0</v>
      </c>
      <c r="D27" s="226">
        <f t="shared" si="10"/>
        <v>0</v>
      </c>
      <c r="E27" s="51" t="s">
        <v>270</v>
      </c>
      <c r="F27" s="227">
        <f t="shared" si="11"/>
        <v>0</v>
      </c>
      <c r="G27" s="67"/>
      <c r="H27" s="67"/>
    </row>
    <row r="28" spans="1:8" ht="4.5" customHeight="1" x14ac:dyDescent="0.3">
      <c r="A28" s="266"/>
      <c r="B28" s="267"/>
      <c r="C28" s="267"/>
      <c r="D28" s="267"/>
      <c r="E28" s="267"/>
      <c r="F28" s="268"/>
      <c r="G28" s="67"/>
      <c r="H28" s="67"/>
    </row>
    <row r="29" spans="1:8" ht="32.450000000000003" customHeight="1" x14ac:dyDescent="0.3">
      <c r="A29" s="209" t="s">
        <v>242</v>
      </c>
      <c r="B29" s="231">
        <f>$B$4</f>
        <v>36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</row>
    <row r="30" spans="1:8" ht="4.5" customHeight="1" x14ac:dyDescent="0.3">
      <c r="A30" s="229"/>
      <c r="B30" s="225"/>
      <c r="C30" s="225"/>
      <c r="D30" s="225"/>
      <c r="E30" s="225"/>
      <c r="F30" s="230"/>
      <c r="G30" s="67"/>
      <c r="H30" s="67"/>
    </row>
    <row r="31" spans="1:8" ht="30" customHeight="1" x14ac:dyDescent="0.3">
      <c r="A31" s="228" t="s">
        <v>268</v>
      </c>
      <c r="B31" s="225">
        <f t="shared" ref="B31" si="12">$B$4</f>
        <v>36</v>
      </c>
      <c r="C31" s="226">
        <f>IFERROR(VLOOKUP(A31,'★스윗밸런스 (입고일_익일)'!A:RE,3,FALSE),0)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</row>
    <row r="32" spans="1:8" ht="4.5" customHeight="1" x14ac:dyDescent="0.3">
      <c r="A32" s="266"/>
      <c r="B32" s="267"/>
      <c r="C32" s="267"/>
      <c r="D32" s="267"/>
      <c r="E32" s="267"/>
      <c r="F32" s="268"/>
      <c r="G32" s="67"/>
      <c r="H32" s="67"/>
    </row>
    <row r="33" spans="1:8" ht="32.450000000000003" customHeight="1" x14ac:dyDescent="0.3">
      <c r="A33" s="209" t="s">
        <v>246</v>
      </c>
      <c r="B33" s="231">
        <f>$B$4</f>
        <v>36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</row>
    <row r="34" spans="1:8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</row>
    <row r="35" spans="1:8" ht="26.25" x14ac:dyDescent="0.3">
      <c r="A35" s="207" t="s">
        <v>3</v>
      </c>
      <c r="B35" s="232">
        <f>$B$4</f>
        <v>36</v>
      </c>
      <c r="C35" s="55">
        <f>SUM(C4:C12,C26:C27,C21:C22,C16:C17,C31:C31)</f>
        <v>0</v>
      </c>
      <c r="D35" s="54">
        <f>IFERROR(ROUNDDOWN(C35/B35,0),"")</f>
        <v>0</v>
      </c>
      <c r="E35" s="56"/>
      <c r="F35" s="121">
        <f>IFERROR(C35-(D35*B35),"")</f>
        <v>0</v>
      </c>
      <c r="G35" s="217" t="s">
        <v>110</v>
      </c>
      <c r="H35" s="216" t="s">
        <v>111</v>
      </c>
    </row>
    <row r="36" spans="1:8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0</v>
      </c>
      <c r="G36" s="213">
        <f>IFERROR(ROUNDDOWN(F36/B26,0),"")</f>
        <v>0</v>
      </c>
      <c r="H36" s="214">
        <f>IFERROR(F36-(G36*B26),"")</f>
        <v>0</v>
      </c>
    </row>
    <row r="37" spans="1:8" ht="22.5" customHeight="1" x14ac:dyDescent="0.3">
      <c r="C37" s="77">
        <f>C14+C19+C24+C29+C33</f>
        <v>0</v>
      </c>
      <c r="G37" s="197"/>
      <c r="H37" s="34" t="s">
        <v>174</v>
      </c>
    </row>
    <row r="38" spans="1:8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8B4E-2DDD-4D47-AF21-A658C5550EA0}">
  <sheetPr>
    <tabColor rgb="FFFFFF00"/>
  </sheetPr>
  <dimension ref="A1:K38"/>
  <sheetViews>
    <sheetView zoomScale="55" zoomScaleNormal="55" zoomScaleSheetLayoutView="5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3.125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5" t="s">
        <v>294</v>
      </c>
      <c r="C2" s="276"/>
      <c r="D2" s="276"/>
      <c r="E2" s="276"/>
      <c r="F2" s="277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313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36</v>
      </c>
      <c r="C4" s="226">
        <f>IFERROR(VLOOKUP(A4,'★스윗밸런스 (입고일_익일)'!A:RE,4,FALSE),0)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36</v>
      </c>
      <c r="C5" s="226">
        <f>IFERROR(VLOOKUP(A5,'★스윗밸런스 (입고일_익일)'!A:RE,4,FALSE),0)</f>
        <v>5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5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36</v>
      </c>
      <c r="C6" s="226">
        <f>IFERROR(VLOOKUP(A6,'★스윗밸런스 (입고일_익일)'!A:RE,4,FALSE),0)</f>
        <v>4</v>
      </c>
      <c r="D6" s="226">
        <f>IFERROR(ROUNDDOWN(C6/B6,0),"")</f>
        <v>0</v>
      </c>
      <c r="E6" s="51" t="s">
        <v>257</v>
      </c>
      <c r="F6" s="227">
        <f>IFERROR(C6-(D6*B6),"")</f>
        <v>4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36</v>
      </c>
      <c r="C7" s="226">
        <f>IFERROR(VLOOKUP(A7,'★스윗밸런스 (입고일_익일)'!A:RE,4,FALSE),0)</f>
        <v>8</v>
      </c>
      <c r="D7" s="226">
        <f>IFERROR(ROUNDDOWN(C7/B7,0),"")</f>
        <v>0</v>
      </c>
      <c r="E7" s="51" t="s">
        <v>258</v>
      </c>
      <c r="F7" s="227">
        <f>IFERROR(C7-(D7*B7),"")</f>
        <v>8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36</v>
      </c>
      <c r="C8" s="226">
        <f>IFERROR(VLOOKUP(A8,'★스윗밸런스 (입고일_익일)'!A:RE,4,FALSE),0)</f>
        <v>11</v>
      </c>
      <c r="D8" s="226">
        <f>IFERROR(ROUNDDOWN(C8/B8,0),"")</f>
        <v>0</v>
      </c>
      <c r="E8" s="51" t="s">
        <v>259</v>
      </c>
      <c r="F8" s="227">
        <f>IFERROR(C8-(D8*B8),"")</f>
        <v>11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36</v>
      </c>
      <c r="C9" s="226">
        <f>IFERROR(VLOOKUP(A9,'★스윗밸런스 (입고일_익일)'!A:RE,4,FALSE),0)</f>
        <v>4</v>
      </c>
      <c r="D9" s="226">
        <f t="shared" si="0"/>
        <v>0</v>
      </c>
      <c r="E9" s="51" t="s">
        <v>260</v>
      </c>
      <c r="F9" s="227">
        <f t="shared" si="1"/>
        <v>4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36</v>
      </c>
      <c r="C10" s="226">
        <f>IFERROR(VLOOKUP(A10,'★스윗밸런스 (입고일_익일)'!A:RE,4,FALSE),0)</f>
        <v>11</v>
      </c>
      <c r="D10" s="226">
        <f>IFERROR(ROUNDDOWN(C10/B10,0),"")</f>
        <v>0</v>
      </c>
      <c r="E10" s="51" t="s">
        <v>261</v>
      </c>
      <c r="F10" s="227">
        <f>IFERROR(C10-(D10*B10),"")</f>
        <v>11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36</v>
      </c>
      <c r="C11" s="226">
        <f>IFERROR(VLOOKUP(A11,'★스윗밸런스 (입고일_익일)'!A:RE,4,FALSE),0)</f>
        <v>12</v>
      </c>
      <c r="D11" s="226">
        <f t="shared" si="0"/>
        <v>0</v>
      </c>
      <c r="E11" s="51" t="s">
        <v>240</v>
      </c>
      <c r="F11" s="227">
        <f t="shared" si="1"/>
        <v>12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36</v>
      </c>
      <c r="C12" s="226">
        <f>IFERROR(VLOOKUP(A12,'★스윗밸런스 (입고일_익일)'!A:RE,4,FALSE),0)</f>
        <v>2</v>
      </c>
      <c r="D12" s="226">
        <f t="shared" si="0"/>
        <v>0</v>
      </c>
      <c r="E12" s="51" t="s">
        <v>108</v>
      </c>
      <c r="F12" s="227">
        <f t="shared" si="1"/>
        <v>2</v>
      </c>
      <c r="G12" s="67"/>
      <c r="H12" s="67"/>
      <c r="J12" s="73"/>
      <c r="K12" s="73"/>
    </row>
    <row r="13" spans="1:11" ht="4.5" customHeight="1" x14ac:dyDescent="0.3">
      <c r="A13" s="272"/>
      <c r="B13" s="273"/>
      <c r="C13" s="273"/>
      <c r="D13" s="273"/>
      <c r="E13" s="273"/>
      <c r="F13" s="274"/>
      <c r="J13" s="73"/>
      <c r="K13" s="73"/>
    </row>
    <row r="14" spans="1:11" ht="32.450000000000003" customHeight="1" x14ac:dyDescent="0.3">
      <c r="A14" s="209" t="s">
        <v>122</v>
      </c>
      <c r="B14" s="231">
        <f>$B$4</f>
        <v>36</v>
      </c>
      <c r="C14" s="210">
        <f>SUM(C4:C12)</f>
        <v>57</v>
      </c>
      <c r="D14" s="55">
        <f>IFERROR(ROUNDDOWN(C14/B14,0),"")</f>
        <v>1</v>
      </c>
      <c r="E14" s="211"/>
      <c r="F14" s="212">
        <f>IFERROR(C14-(D14*B14),"")</f>
        <v>21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5">$B$4</f>
        <v>36</v>
      </c>
      <c r="C16" s="226">
        <f>IFERROR(VLOOKUP(A16,'★스윗밸런스 (입고일_익일)'!A:RE,4,FALSE),0)</f>
        <v>2</v>
      </c>
      <c r="D16" s="226">
        <f>IFERROR(ROUNDDOWN(C16/B16,0),"")</f>
        <v>0</v>
      </c>
      <c r="E16" s="51" t="s">
        <v>237</v>
      </c>
      <c r="F16" s="227">
        <f>IFERROR(C16-(D16*B16),"")</f>
        <v>2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5"/>
        <v>36</v>
      </c>
      <c r="C17" s="226">
        <f>IFERROR(VLOOKUP(A17,'★스윗밸런스 (입고일_익일)'!A:RE,4,FALSE),0)</f>
        <v>2</v>
      </c>
      <c r="D17" s="226">
        <f>IFERROR(ROUNDDOWN(C17/B17,0),"")</f>
        <v>0</v>
      </c>
      <c r="E17" s="51" t="s">
        <v>236</v>
      </c>
      <c r="F17" s="227">
        <f>IFERROR(C17-(D17*B17),"")</f>
        <v>2</v>
      </c>
      <c r="G17" s="67"/>
      <c r="H17" s="67"/>
      <c r="J17" s="73"/>
      <c r="K17" s="73"/>
    </row>
    <row r="18" spans="1:11" ht="4.5" customHeight="1" x14ac:dyDescent="0.3">
      <c r="A18" s="272"/>
      <c r="B18" s="273"/>
      <c r="C18" s="273"/>
      <c r="D18" s="273"/>
      <c r="E18" s="273"/>
      <c r="F18" s="274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36</v>
      </c>
      <c r="C19" s="210">
        <f>SUM(C16:C17)</f>
        <v>4</v>
      </c>
      <c r="D19" s="55">
        <f>IFERROR(ROUNDDOWN(C19/B19,0),"")</f>
        <v>0</v>
      </c>
      <c r="E19" s="211"/>
      <c r="F19" s="212">
        <f>IFERROR(C19-(D19*B19),"")</f>
        <v>4</v>
      </c>
      <c r="G19" s="67"/>
      <c r="H19" s="67"/>
      <c r="J19" s="73"/>
      <c r="K19" s="73"/>
    </row>
    <row r="20" spans="1:11" ht="4.5" customHeight="1" x14ac:dyDescent="0.3">
      <c r="A20" s="272"/>
      <c r="B20" s="273"/>
      <c r="C20" s="273"/>
      <c r="D20" s="273"/>
      <c r="E20" s="273"/>
      <c r="F20" s="274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6">$B$4</f>
        <v>36</v>
      </c>
      <c r="C21" s="226">
        <f>IFERROR(VLOOKUP(A21,'★스윗밸런스 (입고일_익일)'!A:RE,4,FALSE),0)</f>
        <v>2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2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6"/>
        <v>36</v>
      </c>
      <c r="C22" s="226">
        <f>IFERROR(VLOOKUP(A22,'★스윗밸런스 (입고일_익일)'!A:RE,4,FALSE),0)</f>
        <v>1</v>
      </c>
      <c r="D22" s="226">
        <f t="shared" si="7"/>
        <v>0</v>
      </c>
      <c r="E22" s="51" t="s">
        <v>269</v>
      </c>
      <c r="F22" s="227">
        <f t="shared" si="8"/>
        <v>1</v>
      </c>
      <c r="G22" s="67"/>
      <c r="H22" s="67"/>
      <c r="J22" s="73"/>
      <c r="K22" s="73"/>
    </row>
    <row r="23" spans="1:11" ht="4.5" customHeight="1" x14ac:dyDescent="0.3">
      <c r="A23" s="272"/>
      <c r="B23" s="273"/>
      <c r="C23" s="273"/>
      <c r="D23" s="273"/>
      <c r="E23" s="273"/>
      <c r="F23" s="274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36</v>
      </c>
      <c r="C24" s="210">
        <f>SUM(C21:C22)</f>
        <v>3</v>
      </c>
      <c r="D24" s="55">
        <f>IFERROR(ROUNDDOWN(C24/B24,0),"")</f>
        <v>0</v>
      </c>
      <c r="E24" s="211"/>
      <c r="F24" s="212">
        <f>IFERROR(C24-(D24*B24),"")</f>
        <v>3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9">$B$4</f>
        <v>36</v>
      </c>
      <c r="C26" s="226">
        <f>IFERROR(VLOOKUP(A26,'★스윗밸런스 (입고일_익일)'!A:RE,4,FALSE),0)</f>
        <v>1</v>
      </c>
      <c r="D26" s="226">
        <f>IFERROR(ROUNDDOWN(C26/B26,0),"")</f>
        <v>0</v>
      </c>
      <c r="E26" s="51" t="s">
        <v>239</v>
      </c>
      <c r="F26" s="227">
        <f>IFERROR(C26-(D26*B26),"")</f>
        <v>1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9"/>
        <v>36</v>
      </c>
      <c r="C27" s="226">
        <f>IFERROR(VLOOKUP(A27,'★스윗밸런스 (입고일_익일)'!A:RE,4,FALSE),0)</f>
        <v>2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2</v>
      </c>
      <c r="G27" s="67"/>
      <c r="H27" s="67"/>
      <c r="J27" s="73"/>
      <c r="K27" s="73"/>
    </row>
    <row r="28" spans="1:11" ht="4.5" customHeight="1" x14ac:dyDescent="0.3">
      <c r="A28" s="272"/>
      <c r="B28" s="273"/>
      <c r="C28" s="273"/>
      <c r="D28" s="273"/>
      <c r="E28" s="273"/>
      <c r="F28" s="274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36</v>
      </c>
      <c r="C29" s="210">
        <f>SUM(C26:C27)</f>
        <v>3</v>
      </c>
      <c r="D29" s="55">
        <f>IFERROR(ROUNDDOWN(C29/B29,0),"")</f>
        <v>0</v>
      </c>
      <c r="E29" s="211"/>
      <c r="F29" s="212">
        <f>IFERROR(C29-(D29*B29),"")</f>
        <v>3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2">$B$4</f>
        <v>36</v>
      </c>
      <c r="C31" s="226">
        <f>IFERROR(VLOOKUP(A31,'★스윗밸런스 (입고일_익일)'!A:RE,4,FALSE),0)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  <c r="J31" s="73"/>
      <c r="K31" s="73"/>
    </row>
    <row r="32" spans="1:11" ht="4.5" customHeight="1" x14ac:dyDescent="0.3">
      <c r="A32" s="272"/>
      <c r="B32" s="273"/>
      <c r="C32" s="273"/>
      <c r="D32" s="273"/>
      <c r="E32" s="273"/>
      <c r="F32" s="274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36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36</v>
      </c>
      <c r="C35" s="55">
        <f>SUM(C4:C12,C26:C27,C21:C22,C16:C17,C31:C31)</f>
        <v>67</v>
      </c>
      <c r="D35" s="54">
        <f>IFERROR(ROUNDDOWN(C35/B35,0),"")</f>
        <v>1</v>
      </c>
      <c r="E35" s="56"/>
      <c r="F35" s="121">
        <f>IFERROR(C35-(D35*B35),"")</f>
        <v>31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67</v>
      </c>
      <c r="G36" s="213">
        <f>IFERROR(ROUNDDOWN(F36/B26,0),"")</f>
        <v>1</v>
      </c>
      <c r="H36" s="214">
        <f>IFERROR(F36-(G36*B26),"")</f>
        <v>31</v>
      </c>
    </row>
    <row r="37" spans="1:11" ht="22.5" customHeight="1" x14ac:dyDescent="0.3">
      <c r="C37" s="77">
        <f>C14+C19+C24+C29+C33</f>
        <v>67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7B99-D665-41A7-85BE-8BCF1E2BB647}">
  <sheetPr>
    <tabColor rgb="FFFFFF00"/>
  </sheetPr>
  <dimension ref="A1:L38"/>
  <sheetViews>
    <sheetView zoomScale="55" zoomScaleNormal="55" zoomScaleSheetLayoutView="5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5.625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69"/>
      <c r="B1" s="269"/>
      <c r="C1" s="269"/>
      <c r="D1" s="269"/>
      <c r="E1" s="269"/>
      <c r="F1" s="269"/>
    </row>
    <row r="2" spans="1:12" ht="33.75" customHeight="1" x14ac:dyDescent="0.3">
      <c r="A2" s="218">
        <f ca="1">TODAY()</f>
        <v>46310</v>
      </c>
      <c r="B2" s="270" t="s">
        <v>294</v>
      </c>
      <c r="C2" s="270"/>
      <c r="D2" s="270"/>
      <c r="E2" s="270"/>
      <c r="F2" s="271"/>
      <c r="G2" s="67"/>
      <c r="H2" s="67"/>
    </row>
    <row r="3" spans="1:12" ht="50.25" customHeight="1" x14ac:dyDescent="0.3">
      <c r="A3" s="219" t="s">
        <v>67</v>
      </c>
      <c r="B3" s="220" t="s">
        <v>13</v>
      </c>
      <c r="C3" s="221" t="s">
        <v>314</v>
      </c>
      <c r="D3" s="222" t="s">
        <v>2</v>
      </c>
      <c r="E3" s="220" t="s">
        <v>23</v>
      </c>
      <c r="F3" s="223" t="s">
        <v>14</v>
      </c>
      <c r="G3" s="67"/>
      <c r="H3" s="67"/>
      <c r="K3" s="73"/>
      <c r="L3" s="73"/>
    </row>
    <row r="4" spans="1:12" ht="30" customHeight="1" x14ac:dyDescent="0.3">
      <c r="A4" s="224" t="s">
        <v>247</v>
      </c>
      <c r="B4" s="225">
        <v>36</v>
      </c>
      <c r="C4" s="226">
        <f>IFERROR(VLOOKUP(A4,'★스윗밸런스 (입고일_익일)'!A:RE,5,FALSE),0)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K4" s="73"/>
      <c r="L4" s="73"/>
    </row>
    <row r="5" spans="1:12" ht="30" customHeight="1" x14ac:dyDescent="0.3">
      <c r="A5" s="228" t="s">
        <v>248</v>
      </c>
      <c r="B5" s="225">
        <f t="shared" ref="B5:B12" si="2">$B$4</f>
        <v>36</v>
      </c>
      <c r="C5" s="226">
        <f>IFERROR(VLOOKUP(A5,'★스윗밸런스 (입고일_익일)'!A:RE,5,FALSE),0)</f>
        <v>2</v>
      </c>
      <c r="D5" s="226">
        <f t="shared" ref="D5" si="3">IFERROR(ROUNDDOWN(C5/B5,0),"")</f>
        <v>0</v>
      </c>
      <c r="E5" s="51" t="s">
        <v>238</v>
      </c>
      <c r="F5" s="227">
        <f t="shared" ref="F5" si="4">IFERROR(C5-(D5*B5),"")</f>
        <v>2</v>
      </c>
      <c r="G5" s="67"/>
      <c r="H5" s="67"/>
      <c r="K5" s="73"/>
      <c r="L5" s="73"/>
    </row>
    <row r="6" spans="1:12" ht="30" customHeight="1" x14ac:dyDescent="0.3">
      <c r="A6" s="228" t="s">
        <v>249</v>
      </c>
      <c r="B6" s="225">
        <f t="shared" si="2"/>
        <v>36</v>
      </c>
      <c r="C6" s="226">
        <f>IFERROR(VLOOKUP(A6,'★스윗밸런스 (입고일_익일)'!A:RE,5,FALSE),0)</f>
        <v>1</v>
      </c>
      <c r="D6" s="226">
        <f>IFERROR(ROUNDDOWN(C6/B6,0),"")</f>
        <v>0</v>
      </c>
      <c r="E6" s="51" t="s">
        <v>257</v>
      </c>
      <c r="F6" s="227">
        <f>IFERROR(C6-(D6*B6),"")</f>
        <v>1</v>
      </c>
      <c r="G6" s="67"/>
      <c r="H6" s="67"/>
      <c r="K6" s="73"/>
      <c r="L6" s="73"/>
    </row>
    <row r="7" spans="1:12" ht="30" customHeight="1" x14ac:dyDescent="0.3">
      <c r="A7" s="228" t="s">
        <v>250</v>
      </c>
      <c r="B7" s="225">
        <f t="shared" si="2"/>
        <v>36</v>
      </c>
      <c r="C7" s="226">
        <f>IFERROR(VLOOKUP(A7,'★스윗밸런스 (입고일_익일)'!A:RE,5,FALSE),0)</f>
        <v>2</v>
      </c>
      <c r="D7" s="226">
        <f>IFERROR(ROUNDDOWN(C7/B7,0),"")</f>
        <v>0</v>
      </c>
      <c r="E7" s="51" t="s">
        <v>258</v>
      </c>
      <c r="F7" s="227">
        <f>IFERROR(C7-(D7*B7),"")</f>
        <v>2</v>
      </c>
      <c r="G7" s="67"/>
      <c r="H7" s="67"/>
      <c r="K7" s="73"/>
      <c r="L7" s="73"/>
    </row>
    <row r="8" spans="1:12" ht="30" customHeight="1" x14ac:dyDescent="0.3">
      <c r="A8" s="228" t="s">
        <v>251</v>
      </c>
      <c r="B8" s="225">
        <f t="shared" si="2"/>
        <v>36</v>
      </c>
      <c r="C8" s="226">
        <f>IFERROR(VLOOKUP(A8,'★스윗밸런스 (입고일_익일)'!A:RE,5,FALSE),0)</f>
        <v>1</v>
      </c>
      <c r="D8" s="226">
        <f>IFERROR(ROUNDDOWN(C8/B8,0),"")</f>
        <v>0</v>
      </c>
      <c r="E8" s="51" t="s">
        <v>259</v>
      </c>
      <c r="F8" s="227">
        <f>IFERROR(C8-(D8*B8),"")</f>
        <v>1</v>
      </c>
      <c r="G8" s="67"/>
      <c r="H8" s="67"/>
      <c r="K8" s="73"/>
      <c r="L8" s="73"/>
    </row>
    <row r="9" spans="1:12" ht="30" customHeight="1" x14ac:dyDescent="0.3">
      <c r="A9" s="228" t="s">
        <v>252</v>
      </c>
      <c r="B9" s="225">
        <f t="shared" si="2"/>
        <v>36</v>
      </c>
      <c r="C9" s="226">
        <f>IFERROR(VLOOKUP(A9,'★스윗밸런스 (입고일_익일)'!A:RE,5,FALSE),0)</f>
        <v>6</v>
      </c>
      <c r="D9" s="226">
        <f t="shared" si="0"/>
        <v>0</v>
      </c>
      <c r="E9" s="51" t="s">
        <v>260</v>
      </c>
      <c r="F9" s="227">
        <f t="shared" si="1"/>
        <v>6</v>
      </c>
      <c r="G9" s="67"/>
      <c r="H9" s="67"/>
      <c r="K9" s="73"/>
      <c r="L9" s="73"/>
    </row>
    <row r="10" spans="1:12" ht="30" customHeight="1" x14ac:dyDescent="0.3">
      <c r="A10" s="228" t="s">
        <v>253</v>
      </c>
      <c r="B10" s="225">
        <f t="shared" si="2"/>
        <v>36</v>
      </c>
      <c r="C10" s="226">
        <f>IFERROR(VLOOKUP(A10,'★스윗밸런스 (입고일_익일)'!A:RE,5,FALSE),0)</f>
        <v>4</v>
      </c>
      <c r="D10" s="226">
        <f>IFERROR(ROUNDDOWN(C10/B10,0),"")</f>
        <v>0</v>
      </c>
      <c r="E10" s="51" t="s">
        <v>261</v>
      </c>
      <c r="F10" s="227">
        <f>IFERROR(C10-(D10*B10),"")</f>
        <v>4</v>
      </c>
      <c r="G10" s="67"/>
      <c r="H10" s="67"/>
      <c r="K10" s="73"/>
      <c r="L10" s="73"/>
    </row>
    <row r="11" spans="1:12" ht="30" customHeight="1" x14ac:dyDescent="0.3">
      <c r="A11" s="228" t="s">
        <v>254</v>
      </c>
      <c r="B11" s="225">
        <f t="shared" si="2"/>
        <v>36</v>
      </c>
      <c r="C11" s="226">
        <f>IFERROR(VLOOKUP(A11,'★스윗밸런스 (입고일_익일)'!A:RE,5,FALSE),0)</f>
        <v>5</v>
      </c>
      <c r="D11" s="226">
        <f t="shared" si="0"/>
        <v>0</v>
      </c>
      <c r="E11" s="51" t="s">
        <v>240</v>
      </c>
      <c r="F11" s="227">
        <f t="shared" si="1"/>
        <v>5</v>
      </c>
      <c r="G11" s="67"/>
      <c r="H11" s="67"/>
      <c r="K11" s="73"/>
      <c r="L11" s="73"/>
    </row>
    <row r="12" spans="1:12" ht="30" customHeight="1" x14ac:dyDescent="0.3">
      <c r="A12" s="228" t="s">
        <v>255</v>
      </c>
      <c r="B12" s="225">
        <f t="shared" si="2"/>
        <v>36</v>
      </c>
      <c r="C12" s="226">
        <f>IFERROR(VLOOKUP(A12,'★스윗밸런스 (입고일_익일)'!A:RE,5,FALSE),0)</f>
        <v>3</v>
      </c>
      <c r="D12" s="226">
        <f t="shared" si="0"/>
        <v>0</v>
      </c>
      <c r="E12" s="51" t="s">
        <v>108</v>
      </c>
      <c r="F12" s="227">
        <f t="shared" si="1"/>
        <v>3</v>
      </c>
      <c r="G12" s="67"/>
      <c r="H12" s="67"/>
      <c r="K12" s="73"/>
      <c r="L12" s="73"/>
    </row>
    <row r="13" spans="1:12" ht="4.5" customHeight="1" x14ac:dyDescent="0.3">
      <c r="A13" s="266"/>
      <c r="B13" s="267"/>
      <c r="C13" s="267"/>
      <c r="D13" s="267"/>
      <c r="E13" s="267"/>
      <c r="F13" s="268"/>
      <c r="K13" s="73"/>
      <c r="L13" s="73"/>
    </row>
    <row r="14" spans="1:12" ht="32.450000000000003" customHeight="1" x14ac:dyDescent="0.3">
      <c r="A14" s="209" t="s">
        <v>122</v>
      </c>
      <c r="B14" s="231">
        <f>$B$4</f>
        <v>36</v>
      </c>
      <c r="C14" s="210">
        <f>SUM(C4:C12)</f>
        <v>24</v>
      </c>
      <c r="D14" s="55">
        <f>IFERROR(ROUNDDOWN(C14/B14,0),"")</f>
        <v>0</v>
      </c>
      <c r="E14" s="211"/>
      <c r="F14" s="212">
        <f>IFERROR(C14-(D14*B14),"")</f>
        <v>24</v>
      </c>
      <c r="K14" s="73"/>
      <c r="L14" s="73"/>
    </row>
    <row r="15" spans="1:12" ht="4.5" customHeight="1" x14ac:dyDescent="0.3">
      <c r="A15" s="229"/>
      <c r="B15" s="225"/>
      <c r="C15" s="225"/>
      <c r="D15" s="225"/>
      <c r="E15" s="225"/>
      <c r="F15" s="230"/>
      <c r="K15" s="73"/>
      <c r="L15" s="73"/>
    </row>
    <row r="16" spans="1:12" ht="30" customHeight="1" x14ac:dyDescent="0.3">
      <c r="A16" s="228" t="s">
        <v>262</v>
      </c>
      <c r="B16" s="225">
        <f t="shared" ref="B16:B17" si="5">$B$4</f>
        <v>36</v>
      </c>
      <c r="C16" s="226">
        <f>IFERROR(VLOOKUP(A16,'★스윗밸런스 (입고일_익일)'!A:RE,5,FALSE),0)</f>
        <v>1</v>
      </c>
      <c r="D16" s="226">
        <f>IFERROR(ROUNDDOWN(C16/B16,0),"")</f>
        <v>0</v>
      </c>
      <c r="E16" s="51" t="s">
        <v>237</v>
      </c>
      <c r="F16" s="227">
        <f>IFERROR(C16-(D16*B16),"")</f>
        <v>1</v>
      </c>
      <c r="G16" s="67"/>
      <c r="H16" s="67"/>
      <c r="K16" s="73"/>
      <c r="L16" s="73"/>
    </row>
    <row r="17" spans="1:12" ht="30" customHeight="1" x14ac:dyDescent="0.3">
      <c r="A17" s="228" t="s">
        <v>263</v>
      </c>
      <c r="B17" s="225">
        <f t="shared" si="5"/>
        <v>36</v>
      </c>
      <c r="C17" s="226">
        <f>IFERROR(VLOOKUP(A17,'★스윗밸런스 (입고일_익일)'!A:RE,5,FALSE),0)</f>
        <v>3</v>
      </c>
      <c r="D17" s="226">
        <f>IFERROR(ROUNDDOWN(C17/B17,0),"")</f>
        <v>0</v>
      </c>
      <c r="E17" s="51" t="s">
        <v>236</v>
      </c>
      <c r="F17" s="227">
        <f>IFERROR(C17-(D17*B17),"")</f>
        <v>3</v>
      </c>
      <c r="G17" s="67"/>
      <c r="H17" s="67"/>
      <c r="K17" s="73"/>
      <c r="L17" s="73"/>
    </row>
    <row r="18" spans="1:12" ht="4.5" customHeight="1" x14ac:dyDescent="0.3">
      <c r="A18" s="266"/>
      <c r="B18" s="267"/>
      <c r="C18" s="267"/>
      <c r="D18" s="267"/>
      <c r="E18" s="267"/>
      <c r="F18" s="268"/>
      <c r="G18" s="67"/>
      <c r="H18" s="67"/>
      <c r="K18" s="73"/>
      <c r="L18" s="73"/>
    </row>
    <row r="19" spans="1:12" ht="32.450000000000003" customHeight="1" x14ac:dyDescent="0.3">
      <c r="A19" s="209" t="s">
        <v>244</v>
      </c>
      <c r="B19" s="231">
        <f>$B$4</f>
        <v>36</v>
      </c>
      <c r="C19" s="210">
        <f>SUM(C16:C17)</f>
        <v>4</v>
      </c>
      <c r="D19" s="55">
        <f>IFERROR(ROUNDDOWN(C19/B19,0),"")</f>
        <v>0</v>
      </c>
      <c r="E19" s="211"/>
      <c r="F19" s="212">
        <f>IFERROR(C19-(D19*B19),"")</f>
        <v>4</v>
      </c>
      <c r="G19" s="67"/>
      <c r="H19" s="67"/>
      <c r="K19" s="73"/>
      <c r="L19" s="73"/>
    </row>
    <row r="20" spans="1:12" ht="4.5" customHeight="1" x14ac:dyDescent="0.3">
      <c r="A20" s="266"/>
      <c r="B20" s="267"/>
      <c r="C20" s="267"/>
      <c r="D20" s="267"/>
      <c r="E20" s="267"/>
      <c r="F20" s="268"/>
      <c r="G20" s="67"/>
      <c r="H20" s="67"/>
      <c r="K20" s="73"/>
      <c r="L20" s="73"/>
    </row>
    <row r="21" spans="1:12" ht="30" customHeight="1" x14ac:dyDescent="0.3">
      <c r="A21" s="228" t="s">
        <v>264</v>
      </c>
      <c r="B21" s="225">
        <f t="shared" ref="B21:B22" si="6">$B$4</f>
        <v>36</v>
      </c>
      <c r="C21" s="226">
        <f>IFERROR(VLOOKUP(A21,'★스윗밸런스 (입고일_익일)'!A:RE,5,FALSE),0)</f>
        <v>0</v>
      </c>
      <c r="D21" s="226">
        <f t="shared" ref="D21:D22" si="7">IFERROR(ROUNDDOWN(C21/B21,0),"")</f>
        <v>0</v>
      </c>
      <c r="E21" s="51" t="s">
        <v>235</v>
      </c>
      <c r="F21" s="227">
        <f t="shared" ref="F21:F22" si="8">IFERROR(C21-(D21*B21),"")</f>
        <v>0</v>
      </c>
      <c r="G21" s="67"/>
      <c r="H21" s="67"/>
      <c r="K21" s="73"/>
      <c r="L21" s="73"/>
    </row>
    <row r="22" spans="1:12" ht="30" customHeight="1" x14ac:dyDescent="0.3">
      <c r="A22" s="228" t="s">
        <v>265</v>
      </c>
      <c r="B22" s="225">
        <f t="shared" si="6"/>
        <v>36</v>
      </c>
      <c r="C22" s="226">
        <f>IFERROR(VLOOKUP(A22,'★스윗밸런스 (입고일_익일)'!A:RE,5,FALSE),0)</f>
        <v>0</v>
      </c>
      <c r="D22" s="226">
        <f t="shared" si="7"/>
        <v>0</v>
      </c>
      <c r="E22" s="51" t="s">
        <v>269</v>
      </c>
      <c r="F22" s="227">
        <f t="shared" si="8"/>
        <v>0</v>
      </c>
      <c r="G22" s="67"/>
      <c r="H22" s="67"/>
      <c r="K22" s="73"/>
      <c r="L22" s="73"/>
    </row>
    <row r="23" spans="1:12" ht="4.5" customHeight="1" x14ac:dyDescent="0.3">
      <c r="A23" s="266"/>
      <c r="B23" s="267"/>
      <c r="C23" s="267"/>
      <c r="D23" s="267"/>
      <c r="E23" s="267"/>
      <c r="F23" s="268"/>
      <c r="G23" s="67"/>
      <c r="H23" s="67"/>
      <c r="K23" s="73"/>
      <c r="L23" s="73"/>
    </row>
    <row r="24" spans="1:12" ht="32.450000000000003" customHeight="1" x14ac:dyDescent="0.3">
      <c r="A24" s="209" t="s">
        <v>243</v>
      </c>
      <c r="B24" s="231">
        <f>$B$4</f>
        <v>36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K24" s="73"/>
      <c r="L24" s="73"/>
    </row>
    <row r="25" spans="1:12" ht="4.5" customHeight="1" x14ac:dyDescent="0.3">
      <c r="A25" s="229"/>
      <c r="B25" s="225"/>
      <c r="C25" s="225"/>
      <c r="D25" s="225"/>
      <c r="E25" s="225"/>
      <c r="F25" s="230"/>
      <c r="G25" s="67"/>
      <c r="H25" s="67"/>
      <c r="K25" s="73"/>
      <c r="L25" s="73"/>
    </row>
    <row r="26" spans="1:12" ht="30" customHeight="1" x14ac:dyDescent="0.3">
      <c r="A26" s="228" t="s">
        <v>266</v>
      </c>
      <c r="B26" s="225">
        <f t="shared" ref="B26:B27" si="9">$B$4</f>
        <v>36</v>
      </c>
      <c r="C26" s="226">
        <f>IFERROR(VLOOKUP(A26,'★스윗밸런스 (입고일_익일)'!A:RE,5,FALSE),0)</f>
        <v>1</v>
      </c>
      <c r="D26" s="226">
        <f>IFERROR(ROUNDDOWN(C26/B26,0),"")</f>
        <v>0</v>
      </c>
      <c r="E26" s="51" t="s">
        <v>239</v>
      </c>
      <c r="F26" s="227">
        <f>IFERROR(C26-(D26*B26),"")</f>
        <v>1</v>
      </c>
      <c r="G26" s="67"/>
      <c r="H26" s="67"/>
      <c r="K26" s="73"/>
      <c r="L26" s="73"/>
    </row>
    <row r="27" spans="1:12" ht="30" customHeight="1" x14ac:dyDescent="0.3">
      <c r="A27" s="228" t="s">
        <v>267</v>
      </c>
      <c r="B27" s="225">
        <f t="shared" si="9"/>
        <v>36</v>
      </c>
      <c r="C27" s="226">
        <f>IFERROR(VLOOKUP(A27,'★스윗밸런스 (입고일_익일)'!A:RE,5,FALSE),0)</f>
        <v>0</v>
      </c>
      <c r="D27" s="226">
        <f t="shared" ref="D27" si="10">IFERROR(ROUNDDOWN(C27/B27,0),"")</f>
        <v>0</v>
      </c>
      <c r="E27" s="51" t="s">
        <v>270</v>
      </c>
      <c r="F27" s="227">
        <f t="shared" ref="F27" si="11">IFERROR(C27-(D27*B27),"")</f>
        <v>0</v>
      </c>
      <c r="G27" s="67"/>
      <c r="H27" s="67"/>
      <c r="K27" s="73"/>
      <c r="L27" s="73"/>
    </row>
    <row r="28" spans="1:12" ht="4.5" customHeight="1" x14ac:dyDescent="0.3">
      <c r="A28" s="266"/>
      <c r="B28" s="267"/>
      <c r="C28" s="267"/>
      <c r="D28" s="267"/>
      <c r="E28" s="267"/>
      <c r="F28" s="268"/>
      <c r="G28" s="67"/>
      <c r="H28" s="67"/>
      <c r="K28" s="73"/>
      <c r="L28" s="73"/>
    </row>
    <row r="29" spans="1:12" ht="32.450000000000003" customHeight="1" x14ac:dyDescent="0.3">
      <c r="A29" s="209" t="s">
        <v>242</v>
      </c>
      <c r="B29" s="231">
        <f>$B$4</f>
        <v>36</v>
      </c>
      <c r="C29" s="210">
        <f>SUM(C26:C27)</f>
        <v>1</v>
      </c>
      <c r="D29" s="55">
        <f>IFERROR(ROUNDDOWN(C29/B29,0),"")</f>
        <v>0</v>
      </c>
      <c r="E29" s="211"/>
      <c r="F29" s="212">
        <f>IFERROR(C29-(D29*B29),"")</f>
        <v>1</v>
      </c>
      <c r="G29" s="67"/>
      <c r="H29" s="67"/>
      <c r="K29" s="73"/>
      <c r="L29" s="73"/>
    </row>
    <row r="30" spans="1:12" ht="4.5" customHeight="1" x14ac:dyDescent="0.3">
      <c r="A30" s="229"/>
      <c r="B30" s="225"/>
      <c r="C30" s="225"/>
      <c r="D30" s="225"/>
      <c r="E30" s="225"/>
      <c r="F30" s="230"/>
      <c r="G30" s="67"/>
      <c r="H30" s="67"/>
      <c r="K30" s="73"/>
      <c r="L30" s="73"/>
    </row>
    <row r="31" spans="1:12" ht="30" customHeight="1" x14ac:dyDescent="0.3">
      <c r="A31" s="228" t="s">
        <v>268</v>
      </c>
      <c r="B31" s="225">
        <f t="shared" ref="B31" si="12">$B$4</f>
        <v>36</v>
      </c>
      <c r="C31" s="226">
        <f>IFERROR(VLOOKUP(A31,'★스윗밸런스 (입고일_익일)'!A:RE,5,FALSE),0)</f>
        <v>0</v>
      </c>
      <c r="D31" s="226">
        <f t="shared" ref="D31" si="13">IFERROR(ROUNDDOWN(C31/B31,0),"")</f>
        <v>0</v>
      </c>
      <c r="E31" s="51" t="s">
        <v>241</v>
      </c>
      <c r="F31" s="227">
        <f t="shared" ref="F31" si="14">IFERROR(C31-(D31*B31),"")</f>
        <v>0</v>
      </c>
      <c r="G31" s="67"/>
      <c r="H31" s="67"/>
      <c r="K31" s="73"/>
      <c r="L31" s="73"/>
    </row>
    <row r="32" spans="1:12" ht="4.5" customHeight="1" x14ac:dyDescent="0.3">
      <c r="A32" s="266"/>
      <c r="B32" s="267"/>
      <c r="C32" s="267"/>
      <c r="D32" s="267"/>
      <c r="E32" s="267"/>
      <c r="F32" s="268"/>
      <c r="G32" s="67"/>
      <c r="H32" s="67"/>
      <c r="K32" s="73"/>
      <c r="L32" s="73"/>
    </row>
    <row r="33" spans="1:12" ht="32.450000000000003" customHeight="1" x14ac:dyDescent="0.3">
      <c r="A33" s="209" t="s">
        <v>246</v>
      </c>
      <c r="B33" s="231">
        <f>$B$4</f>
        <v>36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K33" s="73"/>
      <c r="L33" s="73"/>
    </row>
    <row r="34" spans="1:12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K34" s="73"/>
      <c r="L34" s="73"/>
    </row>
    <row r="35" spans="1:12" ht="26.25" x14ac:dyDescent="0.3">
      <c r="A35" s="207" t="s">
        <v>3</v>
      </c>
      <c r="B35" s="232">
        <f>$B$4</f>
        <v>36</v>
      </c>
      <c r="C35" s="55">
        <f>SUM(C4:C12,C26:C27,C21:C22,C16:C17,C31:C31)</f>
        <v>29</v>
      </c>
      <c r="D35" s="54">
        <f>IFERROR(ROUNDDOWN(C35/B35,0),"")</f>
        <v>0</v>
      </c>
      <c r="E35" s="56"/>
      <c r="F35" s="121">
        <f>IFERROR(C35-(D35*B35),"")</f>
        <v>29</v>
      </c>
      <c r="G35" s="217" t="s">
        <v>110</v>
      </c>
      <c r="H35" s="216" t="s">
        <v>111</v>
      </c>
      <c r="K35" s="73"/>
      <c r="L35" s="73"/>
    </row>
    <row r="36" spans="1:12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29</v>
      </c>
      <c r="G36" s="213">
        <f>IFERROR(ROUNDDOWN(F36/B26,0),"")</f>
        <v>0</v>
      </c>
      <c r="H36" s="214">
        <f>IFERROR(F36-(G36*B26),"")</f>
        <v>29</v>
      </c>
    </row>
    <row r="37" spans="1:12" ht="22.5" customHeight="1" x14ac:dyDescent="0.3">
      <c r="C37" s="77">
        <f>C14+C19+C24+C29+C33</f>
        <v>29</v>
      </c>
      <c r="G37" s="197"/>
      <c r="H37" s="34" t="s">
        <v>174</v>
      </c>
    </row>
    <row r="38" spans="1:12" x14ac:dyDescent="0.3">
      <c r="C38" s="34" t="b">
        <f>C37=C35</f>
        <v>1</v>
      </c>
    </row>
  </sheetData>
  <mergeCells count="8">
    <mergeCell ref="A32:F32"/>
    <mergeCell ref="A28:F28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0542-888A-4B5E-A0BD-53A66D4FC784}">
  <sheetPr>
    <tabColor theme="3" tint="0.59999389629810485"/>
  </sheetPr>
  <dimension ref="A1:SS17"/>
  <sheetViews>
    <sheetView zoomScale="55" zoomScaleNormal="55" zoomScaleSheetLayoutView="75" workbookViewId="0">
      <selection activeCell="B17" sqref="B17"/>
    </sheetView>
  </sheetViews>
  <sheetFormatPr defaultColWidth="9" defaultRowHeight="15" customHeight="1" x14ac:dyDescent="0.3"/>
  <cols>
    <col min="1" max="23" width="37.625" style="34" customWidth="1"/>
    <col min="24" max="24" width="22.25" style="34" bestFit="1" customWidth="1"/>
    <col min="25" max="27" width="18.375" style="34" customWidth="1"/>
    <col min="28" max="28" width="27.625" style="34" bestFit="1" customWidth="1"/>
    <col min="29" max="30" width="18.375" style="34" customWidth="1"/>
    <col min="31" max="31" width="27.625" style="34" bestFit="1" customWidth="1"/>
    <col min="32" max="32" width="18.375" style="34" customWidth="1"/>
    <col min="33" max="33" width="25.375" style="34" bestFit="1" customWidth="1"/>
    <col min="34" max="34" width="21" style="34" bestFit="1" customWidth="1"/>
    <col min="35" max="35" width="27.625" style="34" bestFit="1" customWidth="1"/>
    <col min="36" max="36" width="18.375" style="34" customWidth="1"/>
    <col min="37" max="37" width="27.625" style="34" bestFit="1" customWidth="1"/>
    <col min="38" max="391" width="30.375" style="34" customWidth="1"/>
    <col min="392" max="393" width="21.25" style="34" customWidth="1"/>
    <col min="394" max="409" width="20.5" style="34" customWidth="1"/>
    <col min="410" max="410" width="21" style="34" bestFit="1" customWidth="1"/>
    <col min="411" max="411" width="25.125" style="34" bestFit="1" customWidth="1"/>
    <col min="412" max="412" width="23" style="34" bestFit="1" customWidth="1"/>
    <col min="413" max="413" width="33.375" style="34" bestFit="1" customWidth="1"/>
    <col min="414" max="414" width="25.125" style="34" bestFit="1" customWidth="1"/>
    <col min="415" max="415" width="28.875" style="34" bestFit="1" customWidth="1"/>
    <col min="416" max="416" width="23" style="34" bestFit="1" customWidth="1"/>
    <col min="417" max="417" width="18.875" style="34" customWidth="1"/>
    <col min="418" max="418" width="23" style="34" bestFit="1" customWidth="1"/>
    <col min="419" max="419" width="25.125" style="34" bestFit="1" customWidth="1"/>
    <col min="420" max="420" width="18.875" style="34" customWidth="1"/>
    <col min="421" max="421" width="19.125" style="34" customWidth="1"/>
    <col min="422" max="422" width="18.125" style="34" customWidth="1"/>
    <col min="423" max="423" width="18.875" style="34" customWidth="1"/>
    <col min="424" max="424" width="26.625" style="34" customWidth="1"/>
    <col min="425" max="425" width="22.125" style="34" customWidth="1"/>
    <col min="426" max="426" width="24.125" style="34" customWidth="1"/>
    <col min="427" max="427" width="21.375" style="34" customWidth="1"/>
    <col min="428" max="428" width="19.375" style="34" customWidth="1"/>
    <col min="429" max="429" width="20" style="34" customWidth="1"/>
    <col min="430" max="430" width="23.25" style="34" customWidth="1"/>
    <col min="431" max="431" width="18" style="34" customWidth="1"/>
    <col min="432" max="462" width="19" style="34" customWidth="1"/>
    <col min="463" max="467" width="20.25" style="34" customWidth="1"/>
    <col min="468" max="468" width="17.25" style="34" customWidth="1"/>
    <col min="469" max="469" width="17.75" style="34" customWidth="1"/>
    <col min="470" max="470" width="16.5" style="34" customWidth="1"/>
    <col min="471" max="473" width="21" style="34" customWidth="1"/>
    <col min="474" max="474" width="18.5" style="34" customWidth="1"/>
    <col min="475" max="479" width="21" style="34" customWidth="1"/>
    <col min="480" max="480" width="15.125" style="34" customWidth="1"/>
    <col min="481" max="496" width="21" style="34" customWidth="1"/>
    <col min="497" max="497" width="24.25" style="34" customWidth="1"/>
    <col min="498" max="498" width="18.875" style="34" bestFit="1" customWidth="1"/>
    <col min="499" max="499" width="21" style="34" bestFit="1" customWidth="1"/>
    <col min="500" max="500" width="23" style="38" bestFit="1" customWidth="1"/>
    <col min="501" max="501" width="8.625" style="38" bestFit="1" customWidth="1"/>
    <col min="502" max="502" width="21" style="38" bestFit="1" customWidth="1"/>
    <col min="503" max="503" width="23" style="38" bestFit="1" customWidth="1"/>
    <col min="504" max="504" width="8.625" style="38" bestFit="1" customWidth="1"/>
    <col min="505" max="505" width="22.875" style="34" customWidth="1"/>
    <col min="506" max="512" width="20.875" style="38" customWidth="1"/>
    <col min="513" max="513" width="23.25" style="38" customWidth="1"/>
    <col min="514" max="16384" width="9" style="34"/>
  </cols>
  <sheetData>
    <row r="1" spans="1:505" s="38" customFormat="1" ht="15" customHeight="1" x14ac:dyDescent="0.3">
      <c r="A1" s="62" t="s">
        <v>351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2"/>
      <c r="AM1" s="2"/>
      <c r="AN1" s="2"/>
      <c r="AO1" s="2"/>
      <c r="AP1" s="2"/>
      <c r="AQ1" s="2"/>
      <c r="AR1" s="2"/>
      <c r="AS1" s="2"/>
      <c r="AT1" s="29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32"/>
      <c r="MJ1" s="23"/>
      <c r="MK1" s="23"/>
      <c r="ML1" s="23"/>
      <c r="MM1" s="23"/>
      <c r="MN1" s="32"/>
      <c r="MO1" s="32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32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32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32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</row>
    <row r="2" spans="1:505" s="38" customFormat="1" ht="15" customHeight="1" x14ac:dyDescent="0.3">
      <c r="A2" s="53" t="s">
        <v>67</v>
      </c>
      <c r="B2" s="53" t="s">
        <v>295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</row>
    <row r="3" spans="1:505" s="38" customFormat="1" ht="15" customHeight="1" x14ac:dyDescent="0.3">
      <c r="A3" s="34" t="s">
        <v>267</v>
      </c>
      <c r="B3" s="34">
        <v>8</v>
      </c>
      <c r="C3" s="34">
        <v>8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</row>
    <row r="4" spans="1:505" s="38" customFormat="1" ht="15" customHeight="1" x14ac:dyDescent="0.3">
      <c r="A4" s="34" t="s">
        <v>266</v>
      </c>
      <c r="B4" s="34">
        <v>7</v>
      </c>
      <c r="C4" s="34">
        <v>7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</row>
    <row r="5" spans="1:505" ht="15" customHeight="1" x14ac:dyDescent="0.3">
      <c r="A5" s="34" t="s">
        <v>264</v>
      </c>
      <c r="B5" s="34">
        <v>3</v>
      </c>
      <c r="C5" s="34">
        <v>3</v>
      </c>
    </row>
    <row r="6" spans="1:505" ht="15" customHeight="1" x14ac:dyDescent="0.3">
      <c r="A6" s="34" t="s">
        <v>262</v>
      </c>
      <c r="B6" s="34">
        <v>4</v>
      </c>
      <c r="C6" s="34">
        <v>4</v>
      </c>
    </row>
    <row r="7" spans="1:505" ht="15" customHeight="1" x14ac:dyDescent="0.3">
      <c r="A7" s="34" t="s">
        <v>249</v>
      </c>
      <c r="B7" s="34">
        <v>4</v>
      </c>
      <c r="C7" s="34">
        <v>4</v>
      </c>
    </row>
    <row r="8" spans="1:505" ht="15" customHeight="1" x14ac:dyDescent="0.3">
      <c r="A8" s="34" t="s">
        <v>248</v>
      </c>
      <c r="B8" s="34">
        <v>5</v>
      </c>
      <c r="C8" s="34">
        <v>5</v>
      </c>
    </row>
    <row r="9" spans="1:505" ht="15" customHeight="1" x14ac:dyDescent="0.3">
      <c r="A9" s="34" t="s">
        <v>263</v>
      </c>
      <c r="B9" s="34">
        <v>5</v>
      </c>
      <c r="C9" s="34">
        <v>5</v>
      </c>
    </row>
    <row r="10" spans="1:505" ht="15" customHeight="1" x14ac:dyDescent="0.3">
      <c r="A10" s="34" t="s">
        <v>254</v>
      </c>
      <c r="B10" s="34">
        <v>6</v>
      </c>
      <c r="C10" s="34">
        <v>6</v>
      </c>
    </row>
    <row r="11" spans="1:505" ht="15" customHeight="1" x14ac:dyDescent="0.3">
      <c r="A11" s="34" t="s">
        <v>253</v>
      </c>
      <c r="B11" s="34">
        <v>3</v>
      </c>
      <c r="C11" s="34">
        <v>3</v>
      </c>
    </row>
    <row r="12" spans="1:505" ht="15" customHeight="1" x14ac:dyDescent="0.3">
      <c r="A12" s="34" t="s">
        <v>255</v>
      </c>
      <c r="B12" s="34">
        <v>1</v>
      </c>
      <c r="C12" s="34">
        <v>1</v>
      </c>
    </row>
    <row r="13" spans="1:505" ht="15" customHeight="1" x14ac:dyDescent="0.3">
      <c r="A13" s="34" t="s">
        <v>250</v>
      </c>
      <c r="B13" s="34">
        <v>8</v>
      </c>
      <c r="C13" s="34">
        <v>8</v>
      </c>
    </row>
    <row r="14" spans="1:505" ht="15" customHeight="1" x14ac:dyDescent="0.3">
      <c r="A14" s="34" t="s">
        <v>268</v>
      </c>
      <c r="B14" s="34">
        <v>4</v>
      </c>
      <c r="C14" s="34">
        <v>4</v>
      </c>
    </row>
    <row r="15" spans="1:505" ht="15" customHeight="1" x14ac:dyDescent="0.3">
      <c r="A15" s="34" t="s">
        <v>265</v>
      </c>
      <c r="B15" s="34">
        <v>4</v>
      </c>
      <c r="C15" s="34">
        <v>4</v>
      </c>
    </row>
    <row r="16" spans="1:505" ht="15" customHeight="1" x14ac:dyDescent="0.3">
      <c r="A16" s="34" t="s">
        <v>251</v>
      </c>
      <c r="B16" s="34">
        <v>10</v>
      </c>
      <c r="C16" s="34">
        <v>10</v>
      </c>
    </row>
    <row r="17" spans="1:3" ht="15" customHeight="1" x14ac:dyDescent="0.3">
      <c r="A17" s="34" t="s">
        <v>3</v>
      </c>
      <c r="B17" s="34">
        <v>72</v>
      </c>
      <c r="C17" s="34">
        <v>72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733C-B9D8-43A8-92A8-B4CA71E9E297}">
  <sheetPr>
    <tabColor theme="3" tint="0.59999389629810485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4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2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296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305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50</v>
      </c>
      <c r="C4" s="226">
        <f>IFERROR(VLOOKUP(A4,'★효성피벗(주문일-당일). '!A:SG,2,FALSE),0)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50</v>
      </c>
      <c r="C5" s="226">
        <f>IFERROR(VLOOKUP(A5,'★효성피벗(주문일-당일). '!A:SG,2,FALSE),0)</f>
        <v>5</v>
      </c>
      <c r="D5" s="226">
        <f t="shared" si="0"/>
        <v>0</v>
      </c>
      <c r="E5" s="51" t="s">
        <v>238</v>
      </c>
      <c r="F5" s="227">
        <f t="shared" si="1"/>
        <v>5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50</v>
      </c>
      <c r="C6" s="226">
        <f>IFERROR(VLOOKUP(A6,'★효성피벗(주문일-당일). '!A:SG,2,FALSE),0)</f>
        <v>4</v>
      </c>
      <c r="D6" s="226">
        <f>IFERROR(ROUNDDOWN(C6/B6,0),"")</f>
        <v>0</v>
      </c>
      <c r="E6" s="51" t="s">
        <v>257</v>
      </c>
      <c r="F6" s="227">
        <f>IFERROR(C6-(D6*B6),"")</f>
        <v>4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50</v>
      </c>
      <c r="C7" s="226">
        <f>IFERROR(VLOOKUP(A7,'★효성피벗(주문일-당일). '!A:SG,2,FALSE),0)</f>
        <v>8</v>
      </c>
      <c r="D7" s="226">
        <f>IFERROR(ROUNDDOWN(C7/B7,0),"")</f>
        <v>0</v>
      </c>
      <c r="E7" s="51" t="s">
        <v>258</v>
      </c>
      <c r="F7" s="227">
        <f>IFERROR(C7-(D7*B7),"")</f>
        <v>8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50</v>
      </c>
      <c r="C8" s="226">
        <f>IFERROR(VLOOKUP(A8,'★효성피벗(주문일-당일). '!A:SG,2,FALSE),0)</f>
        <v>10</v>
      </c>
      <c r="D8" s="226">
        <f>IFERROR(ROUNDDOWN(C8/B8,0),"")</f>
        <v>0</v>
      </c>
      <c r="E8" s="51" t="s">
        <v>259</v>
      </c>
      <c r="F8" s="227">
        <f>IFERROR(C8-(D8*B8),"")</f>
        <v>10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50</v>
      </c>
      <c r="C9" s="226">
        <f>IFERROR(VLOOKUP(A9,'★효성피벗(주문일-당일). '!A:SG,2,FALSE),0)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50</v>
      </c>
      <c r="C10" s="226">
        <f>IFERROR(VLOOKUP(A10,'★효성피벗(주문일-당일). '!A:SG,2,FALSE),0)</f>
        <v>3</v>
      </c>
      <c r="D10" s="226">
        <f>IFERROR(ROUNDDOWN(C10/B10,0),"")</f>
        <v>0</v>
      </c>
      <c r="E10" s="51" t="s">
        <v>261</v>
      </c>
      <c r="F10" s="227">
        <f>IFERROR(C10-(D10*B10),"")</f>
        <v>3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50</v>
      </c>
      <c r="C11" s="226">
        <f>IFERROR(VLOOKUP(A11,'★효성피벗(주문일-당일). '!A:SG,2,FALSE),0)</f>
        <v>6</v>
      </c>
      <c r="D11" s="226">
        <f t="shared" si="0"/>
        <v>0</v>
      </c>
      <c r="E11" s="51" t="s">
        <v>240</v>
      </c>
      <c r="F11" s="227">
        <f t="shared" si="1"/>
        <v>6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50</v>
      </c>
      <c r="C12" s="226">
        <f>IFERROR(VLOOKUP(A12,'★효성피벗(주문일-당일). '!A:SG,2,FALSE),0)</f>
        <v>1</v>
      </c>
      <c r="D12" s="226">
        <f t="shared" si="0"/>
        <v>0</v>
      </c>
      <c r="E12" s="51" t="s">
        <v>108</v>
      </c>
      <c r="F12" s="227">
        <f t="shared" si="1"/>
        <v>1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50</v>
      </c>
      <c r="C14" s="210">
        <f>SUM(C4:C12)</f>
        <v>37</v>
      </c>
      <c r="D14" s="55">
        <f>IFERROR(ROUNDDOWN(C14/B14,0),"")</f>
        <v>0</v>
      </c>
      <c r="E14" s="211"/>
      <c r="F14" s="212">
        <f>IFERROR(C14-(D14*B14),"")</f>
        <v>37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50</v>
      </c>
      <c r="C16" s="226">
        <f>IFERROR(VLOOKUP(A16,'★효성피벗(주문일-당일). '!A:SG,2,FALSE),0)</f>
        <v>4</v>
      </c>
      <c r="D16" s="226">
        <f>IFERROR(ROUNDDOWN(C16/B16,0),"")</f>
        <v>0</v>
      </c>
      <c r="E16" s="51" t="s">
        <v>237</v>
      </c>
      <c r="F16" s="227">
        <f>IFERROR(C16-(D16*B16),"")</f>
        <v>4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50</v>
      </c>
      <c r="C17" s="226">
        <f>IFERROR(VLOOKUP(A17,'★효성피벗(주문일-당일). '!A:SG,2,FALSE),0)</f>
        <v>5</v>
      </c>
      <c r="D17" s="226">
        <f>IFERROR(ROUNDDOWN(C17/B17,0),"")</f>
        <v>0</v>
      </c>
      <c r="E17" s="51" t="s">
        <v>236</v>
      </c>
      <c r="F17" s="227">
        <f>IFERROR(C17-(D17*B17),"")</f>
        <v>5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50</v>
      </c>
      <c r="C19" s="210">
        <f>SUM(C16:C17)</f>
        <v>9</v>
      </c>
      <c r="D19" s="55">
        <f>IFERROR(ROUNDDOWN(C19/B19,0),"")</f>
        <v>0</v>
      </c>
      <c r="E19" s="211"/>
      <c r="F19" s="212">
        <f>IFERROR(C19-(D19*B19),"")</f>
        <v>9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50</v>
      </c>
      <c r="C21" s="226">
        <f>IFERROR(VLOOKUP(A21,'★효성피벗(주문일-당일). '!A:SG,2,FALSE),0)</f>
        <v>3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3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50</v>
      </c>
      <c r="C22" s="226">
        <f>IFERROR(VLOOKUP(A22,'★효성피벗(주문일-당일). '!A:SG,2,FALSE),0)</f>
        <v>4</v>
      </c>
      <c r="D22" s="226">
        <f t="shared" si="5"/>
        <v>0</v>
      </c>
      <c r="E22" s="51" t="s">
        <v>269</v>
      </c>
      <c r="F22" s="227">
        <f t="shared" si="6"/>
        <v>4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50</v>
      </c>
      <c r="C24" s="210">
        <f>SUM(C21:C22)</f>
        <v>7</v>
      </c>
      <c r="D24" s="55">
        <f>IFERROR(ROUNDDOWN(C24/B24,0),"")</f>
        <v>0</v>
      </c>
      <c r="E24" s="211"/>
      <c r="F24" s="212">
        <f>IFERROR(C24-(D24*B24),"")</f>
        <v>7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50</v>
      </c>
      <c r="C26" s="226">
        <f>IFERROR(VLOOKUP(A26,'★효성피벗(주문일-당일). '!A:SG,2,FALSE),0)</f>
        <v>7</v>
      </c>
      <c r="D26" s="226">
        <f>IFERROR(ROUNDDOWN(C26/B26,0),"")</f>
        <v>0</v>
      </c>
      <c r="E26" s="51" t="s">
        <v>239</v>
      </c>
      <c r="F26" s="227">
        <f>IFERROR(C26-(D26*B26),"")</f>
        <v>7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50</v>
      </c>
      <c r="C27" s="226">
        <f>IFERROR(VLOOKUP(A27,'★효성피벗(주문일-당일). '!A:SG,2,FALSE),0)</f>
        <v>8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8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50</v>
      </c>
      <c r="C29" s="210">
        <f>SUM(C26:C27)</f>
        <v>15</v>
      </c>
      <c r="D29" s="55">
        <f>IFERROR(ROUNDDOWN(C29/B29,0),"")</f>
        <v>0</v>
      </c>
      <c r="E29" s="211"/>
      <c r="F29" s="212">
        <f>IFERROR(C29-(D29*B29),"")</f>
        <v>15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50</v>
      </c>
      <c r="C31" s="226">
        <f>IFERROR(VLOOKUP(A31,'★효성피벗(주문일-당일). '!A:SG,2,FALSE),0)</f>
        <v>4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4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50</v>
      </c>
      <c r="C33" s="210">
        <f>SUM(C31:C31)</f>
        <v>4</v>
      </c>
      <c r="D33" s="55">
        <f>IFERROR(ROUNDDOWN(C33/B33,0),"")</f>
        <v>0</v>
      </c>
      <c r="E33" s="211"/>
      <c r="F33" s="212">
        <f>IFERROR(C33-(D33*B33),"")</f>
        <v>4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50</v>
      </c>
      <c r="C35" s="55">
        <f>SUM(C4:C12,C26:C27,C21:C22,C16:C17,C31:C31)</f>
        <v>72</v>
      </c>
      <c r="D35" s="54">
        <f>IFERROR(ROUNDDOWN(C35/B35,0),"")</f>
        <v>1</v>
      </c>
      <c r="E35" s="56"/>
      <c r="F35" s="121">
        <f>IFERROR(C35-(D35*B35),"")</f>
        <v>22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72</v>
      </c>
      <c r="G36" s="213">
        <f>IFERROR(ROUNDDOWN(F36/B26,0),"")</f>
        <v>1</v>
      </c>
      <c r="H36" s="214">
        <f>IFERROR(F36-(G36*B26),"")</f>
        <v>22</v>
      </c>
    </row>
    <row r="37" spans="1:11" ht="22.5" customHeight="1" x14ac:dyDescent="0.3">
      <c r="C37" s="77">
        <f>C14+C19+C24+C29+C33</f>
        <v>72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E24C-3140-4840-9B70-2D5EA0BE39F9}">
  <sheetPr>
    <tabColor theme="8" tint="0.39997558519241921"/>
  </sheetPr>
  <dimension ref="A1:SS18"/>
  <sheetViews>
    <sheetView zoomScale="55" zoomScaleNormal="55" zoomScaleSheetLayoutView="75" workbookViewId="0">
      <selection activeCell="B18" sqref="B18"/>
    </sheetView>
  </sheetViews>
  <sheetFormatPr defaultColWidth="9" defaultRowHeight="15" customHeight="1" x14ac:dyDescent="0.3"/>
  <cols>
    <col min="1" max="23" width="37.625" style="34" customWidth="1"/>
    <col min="24" max="24" width="22.25" style="34" bestFit="1" customWidth="1"/>
    <col min="25" max="27" width="18.375" style="34" customWidth="1"/>
    <col min="28" max="28" width="27.625" style="34" bestFit="1" customWidth="1"/>
    <col min="29" max="30" width="18.375" style="34" customWidth="1"/>
    <col min="31" max="31" width="27.625" style="34" bestFit="1" customWidth="1"/>
    <col min="32" max="32" width="18.375" style="34" customWidth="1"/>
    <col min="33" max="33" width="25.375" style="34" bestFit="1" customWidth="1"/>
    <col min="34" max="34" width="21" style="34" bestFit="1" customWidth="1"/>
    <col min="35" max="35" width="27.625" style="34" bestFit="1" customWidth="1"/>
    <col min="36" max="36" width="18.375" style="34" customWidth="1"/>
    <col min="37" max="37" width="27.625" style="34" bestFit="1" customWidth="1"/>
    <col min="38" max="391" width="30.375" style="34" customWidth="1"/>
    <col min="392" max="393" width="21.25" style="34" customWidth="1"/>
    <col min="394" max="409" width="20.5" style="34" customWidth="1"/>
    <col min="410" max="410" width="21" style="34" bestFit="1" customWidth="1"/>
    <col min="411" max="411" width="25.125" style="34" bestFit="1" customWidth="1"/>
    <col min="412" max="412" width="23" style="34" bestFit="1" customWidth="1"/>
    <col min="413" max="413" width="33.375" style="34" bestFit="1" customWidth="1"/>
    <col min="414" max="414" width="25.125" style="34" bestFit="1" customWidth="1"/>
    <col min="415" max="415" width="28.875" style="34" bestFit="1" customWidth="1"/>
    <col min="416" max="416" width="23" style="34" bestFit="1" customWidth="1"/>
    <col min="417" max="417" width="18.875" style="34" customWidth="1"/>
    <col min="418" max="418" width="23" style="34" bestFit="1" customWidth="1"/>
    <col min="419" max="419" width="25.125" style="34" bestFit="1" customWidth="1"/>
    <col min="420" max="420" width="18.875" style="34" customWidth="1"/>
    <col min="421" max="421" width="19.125" style="34" customWidth="1"/>
    <col min="422" max="422" width="18.125" style="34" customWidth="1"/>
    <col min="423" max="423" width="18.875" style="34" customWidth="1"/>
    <col min="424" max="424" width="26.625" style="34" customWidth="1"/>
    <col min="425" max="425" width="22.125" style="34" customWidth="1"/>
    <col min="426" max="426" width="24.125" style="34" customWidth="1"/>
    <col min="427" max="427" width="21.375" style="34" customWidth="1"/>
    <col min="428" max="428" width="19.375" style="34" customWidth="1"/>
    <col min="429" max="429" width="20" style="34" customWidth="1"/>
    <col min="430" max="430" width="23.25" style="34" customWidth="1"/>
    <col min="431" max="431" width="18" style="34" customWidth="1"/>
    <col min="432" max="462" width="19" style="34" customWidth="1"/>
    <col min="463" max="467" width="20.25" style="34" customWidth="1"/>
    <col min="468" max="468" width="17.25" style="34" customWidth="1"/>
    <col min="469" max="469" width="17.75" style="34" customWidth="1"/>
    <col min="470" max="470" width="16.5" style="34" customWidth="1"/>
    <col min="471" max="473" width="21" style="34" customWidth="1"/>
    <col min="474" max="474" width="18.5" style="34" customWidth="1"/>
    <col min="475" max="479" width="21" style="34" customWidth="1"/>
    <col min="480" max="480" width="15.125" style="34" customWidth="1"/>
    <col min="481" max="496" width="21" style="34" customWidth="1"/>
    <col min="497" max="497" width="24.25" style="34" customWidth="1"/>
    <col min="498" max="498" width="18.875" style="34" bestFit="1" customWidth="1"/>
    <col min="499" max="499" width="21" style="34" bestFit="1" customWidth="1"/>
    <col min="500" max="500" width="23" style="38" bestFit="1" customWidth="1"/>
    <col min="501" max="501" width="8.625" style="38" bestFit="1" customWidth="1"/>
    <col min="502" max="502" width="21" style="38" bestFit="1" customWidth="1"/>
    <col min="503" max="503" width="23" style="38" bestFit="1" customWidth="1"/>
    <col min="504" max="504" width="8.625" style="38" bestFit="1" customWidth="1"/>
    <col min="505" max="505" width="22.875" style="34" customWidth="1"/>
    <col min="506" max="512" width="20.875" style="38" customWidth="1"/>
    <col min="513" max="513" width="23.25" style="38" customWidth="1"/>
    <col min="514" max="16384" width="9" style="34"/>
  </cols>
  <sheetData>
    <row r="1" spans="1:505" s="38" customFormat="1" ht="15" customHeight="1" x14ac:dyDescent="0.3">
      <c r="A1" s="237" t="s">
        <v>351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2"/>
      <c r="AM1" s="2"/>
      <c r="AN1" s="2"/>
      <c r="AO1" s="2"/>
      <c r="AP1" s="2"/>
      <c r="AQ1" s="2"/>
      <c r="AR1" s="2"/>
      <c r="AS1" s="2"/>
      <c r="AT1" s="29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32"/>
      <c r="MJ1" s="23"/>
      <c r="MK1" s="23"/>
      <c r="ML1" s="23"/>
      <c r="MM1" s="23"/>
      <c r="MN1" s="32"/>
      <c r="MO1" s="32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32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32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32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</row>
    <row r="2" spans="1:505" s="38" customFormat="1" ht="15" customHeight="1" x14ac:dyDescent="0.3">
      <c r="A2" s="53" t="s">
        <v>67</v>
      </c>
      <c r="B2" s="53" t="s">
        <v>297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</row>
    <row r="3" spans="1:505" s="38" customFormat="1" ht="15" customHeight="1" x14ac:dyDescent="0.3">
      <c r="A3" s="34" t="s">
        <v>267</v>
      </c>
      <c r="B3" s="34">
        <v>6</v>
      </c>
      <c r="C3" s="34">
        <v>6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</row>
    <row r="4" spans="1:505" s="38" customFormat="1" ht="15" customHeight="1" x14ac:dyDescent="0.3">
      <c r="A4" s="34" t="s">
        <v>266</v>
      </c>
      <c r="B4" s="34">
        <v>2</v>
      </c>
      <c r="C4" s="34"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</row>
    <row r="5" spans="1:505" s="38" customFormat="1" ht="15" customHeight="1" x14ac:dyDescent="0.3">
      <c r="A5" s="34" t="s">
        <v>264</v>
      </c>
      <c r="B5" s="34">
        <v>3</v>
      </c>
      <c r="C5" s="34"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</row>
    <row r="6" spans="1:505" s="38" customFormat="1" ht="15" customHeight="1" x14ac:dyDescent="0.3">
      <c r="A6" s="34" t="s">
        <v>262</v>
      </c>
      <c r="B6" s="34">
        <v>4</v>
      </c>
      <c r="C6" s="34">
        <v>4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</row>
    <row r="7" spans="1:505" s="38" customFormat="1" ht="15" customHeight="1" x14ac:dyDescent="0.3">
      <c r="A7" s="34" t="s">
        <v>249</v>
      </c>
      <c r="B7" s="34">
        <v>5</v>
      </c>
      <c r="C7" s="34">
        <v>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</row>
    <row r="8" spans="1:505" s="38" customFormat="1" ht="15" customHeight="1" x14ac:dyDescent="0.3">
      <c r="A8" s="34" t="s">
        <v>252</v>
      </c>
      <c r="B8" s="34">
        <v>17</v>
      </c>
      <c r="C8" s="34">
        <v>17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</row>
    <row r="9" spans="1:505" s="38" customFormat="1" ht="15" customHeight="1" x14ac:dyDescent="0.3">
      <c r="A9" s="34" t="s">
        <v>248</v>
      </c>
      <c r="B9" s="34">
        <v>3</v>
      </c>
      <c r="C9" s="34">
        <v>3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</row>
    <row r="10" spans="1:505" s="38" customFormat="1" ht="15" customHeight="1" x14ac:dyDescent="0.3">
      <c r="A10" s="34" t="s">
        <v>263</v>
      </c>
      <c r="B10" s="34">
        <v>6</v>
      </c>
      <c r="C10" s="34">
        <v>6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OW10" s="63"/>
    </row>
    <row r="11" spans="1:505" ht="15" customHeight="1" x14ac:dyDescent="0.3">
      <c r="A11" s="34" t="s">
        <v>254</v>
      </c>
      <c r="B11" s="34">
        <v>15</v>
      </c>
      <c r="C11" s="34">
        <v>15</v>
      </c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505" ht="15" customHeight="1" x14ac:dyDescent="0.3">
      <c r="A12" s="34" t="s">
        <v>253</v>
      </c>
      <c r="B12" s="34">
        <v>12</v>
      </c>
      <c r="C12" s="34">
        <v>12</v>
      </c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505" ht="15" customHeight="1" x14ac:dyDescent="0.3">
      <c r="A13" s="34" t="s">
        <v>255</v>
      </c>
      <c r="B13" s="34">
        <v>9</v>
      </c>
      <c r="C13" s="34">
        <v>9</v>
      </c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505" ht="15" customHeight="1" x14ac:dyDescent="0.3">
      <c r="A14" s="34" t="s">
        <v>250</v>
      </c>
      <c r="B14" s="34">
        <v>7</v>
      </c>
      <c r="C14" s="34">
        <v>7</v>
      </c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505" ht="15" customHeight="1" x14ac:dyDescent="0.3">
      <c r="A15" s="34" t="s">
        <v>268</v>
      </c>
      <c r="B15" s="34">
        <v>2</v>
      </c>
      <c r="C15" s="34">
        <v>2</v>
      </c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M15" s="39"/>
    </row>
    <row r="16" spans="1:505" ht="15" customHeight="1" x14ac:dyDescent="0.3">
      <c r="A16" s="34" t="s">
        <v>265</v>
      </c>
      <c r="B16" s="34">
        <v>6</v>
      </c>
      <c r="C16" s="34">
        <v>6</v>
      </c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" ht="15" customHeight="1" x14ac:dyDescent="0.3">
      <c r="A17" s="34" t="s">
        <v>251</v>
      </c>
      <c r="B17" s="34">
        <v>22</v>
      </c>
      <c r="C17" s="34">
        <v>22</v>
      </c>
    </row>
    <row r="18" spans="1:3" ht="15" customHeight="1" x14ac:dyDescent="0.3">
      <c r="A18" s="34" t="s">
        <v>3</v>
      </c>
      <c r="B18" s="34">
        <v>119</v>
      </c>
      <c r="C18" s="34">
        <v>119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823B-4F31-4DC4-82D6-4282AD6C2F08}">
  <sheetPr>
    <tabColor theme="8" tint="0.39997558519241921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298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306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24</v>
      </c>
      <c r="C4" s="226">
        <f>IFERROR(VLOOKUP(A4,'★맛요일피벗(주문일-당일)'!$A:$SG,2,FALSE),0)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24</v>
      </c>
      <c r="C5" s="226">
        <f>IFERROR(VLOOKUP(A5,'★맛요일피벗(주문일-당일)'!A:SG,2,FALSE),0)</f>
        <v>3</v>
      </c>
      <c r="D5" s="226">
        <f t="shared" si="0"/>
        <v>0</v>
      </c>
      <c r="E5" s="51" t="s">
        <v>238</v>
      </c>
      <c r="F5" s="227">
        <f t="shared" si="1"/>
        <v>3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24</v>
      </c>
      <c r="C6" s="226">
        <f>IFERROR(VLOOKUP(A6,'★맛요일피벗(주문일-당일)'!A:SG,2,FALSE),0)</f>
        <v>5</v>
      </c>
      <c r="D6" s="226">
        <f>IFERROR(ROUNDDOWN(C6/B6,0),"")</f>
        <v>0</v>
      </c>
      <c r="E6" s="51" t="s">
        <v>257</v>
      </c>
      <c r="F6" s="227">
        <f>IFERROR(C6-(D6*B6),"")</f>
        <v>5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24</v>
      </c>
      <c r="C7" s="226">
        <f>IFERROR(VLOOKUP(A7,'★맛요일피벗(주문일-당일)'!A:SG,2,FALSE),0)</f>
        <v>7</v>
      </c>
      <c r="D7" s="226">
        <f>IFERROR(ROUNDDOWN(C7/B7,0),"")</f>
        <v>0</v>
      </c>
      <c r="E7" s="51" t="s">
        <v>258</v>
      </c>
      <c r="F7" s="227">
        <f>IFERROR(C7-(D7*B7),"")</f>
        <v>7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24</v>
      </c>
      <c r="C8" s="226">
        <f>IFERROR(VLOOKUP(A8,'★맛요일피벗(주문일-당일)'!A:SG,2,FALSE),0)</f>
        <v>22</v>
      </c>
      <c r="D8" s="226">
        <f>IFERROR(ROUNDDOWN(C8/B8,0),"")</f>
        <v>0</v>
      </c>
      <c r="E8" s="51" t="s">
        <v>259</v>
      </c>
      <c r="F8" s="227">
        <f>IFERROR(C8-(D8*B8),"")</f>
        <v>22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24</v>
      </c>
      <c r="C9" s="226">
        <f>IFERROR(VLOOKUP(A9,'★맛요일피벗(주문일-당일)'!A:SG,2,FALSE),0)</f>
        <v>17</v>
      </c>
      <c r="D9" s="226">
        <f t="shared" si="0"/>
        <v>0</v>
      </c>
      <c r="E9" s="51" t="s">
        <v>260</v>
      </c>
      <c r="F9" s="227">
        <f t="shared" si="1"/>
        <v>17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24</v>
      </c>
      <c r="C10" s="226">
        <f>IFERROR(VLOOKUP(A10,'★맛요일피벗(주문일-당일)'!A:SG,2,FALSE),0)</f>
        <v>12</v>
      </c>
      <c r="D10" s="226">
        <f>IFERROR(ROUNDDOWN(C10/B10,0),"")</f>
        <v>0</v>
      </c>
      <c r="E10" s="51" t="s">
        <v>261</v>
      </c>
      <c r="F10" s="227">
        <f>IFERROR(C10-(D10*B10),"")</f>
        <v>12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24</v>
      </c>
      <c r="C11" s="226">
        <f>IFERROR(VLOOKUP(A11,'★맛요일피벗(주문일-당일)'!A:SG,2,FALSE),0)</f>
        <v>15</v>
      </c>
      <c r="D11" s="226">
        <f t="shared" si="0"/>
        <v>0</v>
      </c>
      <c r="E11" s="51" t="s">
        <v>240</v>
      </c>
      <c r="F11" s="227">
        <f t="shared" si="1"/>
        <v>15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24</v>
      </c>
      <c r="C12" s="226">
        <f>IFERROR(VLOOKUP(A12,'★맛요일피벗(주문일-당일)'!A:SG,2,FALSE),0)</f>
        <v>9</v>
      </c>
      <c r="D12" s="226">
        <f t="shared" si="0"/>
        <v>0</v>
      </c>
      <c r="E12" s="51" t="s">
        <v>108</v>
      </c>
      <c r="F12" s="227">
        <f t="shared" si="1"/>
        <v>9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24</v>
      </c>
      <c r="C14" s="210">
        <f>SUM(C4:C12)</f>
        <v>90</v>
      </c>
      <c r="D14" s="55">
        <f>IFERROR(ROUNDDOWN(C14/B14,0),"")</f>
        <v>3</v>
      </c>
      <c r="E14" s="211"/>
      <c r="F14" s="212">
        <f>IFERROR(C14-(D14*B14),"")</f>
        <v>18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24</v>
      </c>
      <c r="C16" s="226">
        <f>IFERROR(VLOOKUP(A16,'★맛요일피벗(주문일-당일)'!A:SG,2,FALSE),0)</f>
        <v>4</v>
      </c>
      <c r="D16" s="226">
        <f>IFERROR(ROUNDDOWN(C16/B16,0),"")</f>
        <v>0</v>
      </c>
      <c r="E16" s="51" t="s">
        <v>237</v>
      </c>
      <c r="F16" s="227">
        <f>IFERROR(C16-(D16*B16),"")</f>
        <v>4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24</v>
      </c>
      <c r="C17" s="226">
        <f>IFERROR(VLOOKUP(A17,'★맛요일피벗(주문일-당일)'!A:SG,2,FALSE),0)</f>
        <v>6</v>
      </c>
      <c r="D17" s="226">
        <f>IFERROR(ROUNDDOWN(C17/B17,0),"")</f>
        <v>0</v>
      </c>
      <c r="E17" s="51" t="s">
        <v>236</v>
      </c>
      <c r="F17" s="227">
        <f>IFERROR(C17-(D17*B17),"")</f>
        <v>6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24</v>
      </c>
      <c r="C19" s="210">
        <f>SUM(C16:C17)</f>
        <v>10</v>
      </c>
      <c r="D19" s="55">
        <f>IFERROR(ROUNDDOWN(C19/B19,0),"")</f>
        <v>0</v>
      </c>
      <c r="E19" s="211"/>
      <c r="F19" s="212">
        <f>IFERROR(C19-(D19*B19),"")</f>
        <v>10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24</v>
      </c>
      <c r="C21" s="226">
        <f>IFERROR(VLOOKUP(A21,'★맛요일피벗(주문일-당일)'!A:SG,2,FALSE),0)</f>
        <v>3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3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24</v>
      </c>
      <c r="C22" s="226">
        <f>IFERROR(VLOOKUP(A22,'★맛요일피벗(주문일-당일)'!A:SG,2,FALSE),0)</f>
        <v>6</v>
      </c>
      <c r="D22" s="226">
        <f t="shared" si="5"/>
        <v>0</v>
      </c>
      <c r="E22" s="51" t="s">
        <v>269</v>
      </c>
      <c r="F22" s="227">
        <f t="shared" si="6"/>
        <v>6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24</v>
      </c>
      <c r="C24" s="210">
        <f>SUM(C21:C22)</f>
        <v>9</v>
      </c>
      <c r="D24" s="55">
        <f>IFERROR(ROUNDDOWN(C24/B24,0),"")</f>
        <v>0</v>
      </c>
      <c r="E24" s="211"/>
      <c r="F24" s="212">
        <f>IFERROR(C24-(D24*B24),"")</f>
        <v>9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24</v>
      </c>
      <c r="C26" s="226">
        <f>IFERROR(VLOOKUP(A26,'★맛요일피벗(주문일-당일)'!A:SG,2,FALSE),0)</f>
        <v>2</v>
      </c>
      <c r="D26" s="226">
        <f>IFERROR(ROUNDDOWN(C26/B26,0),"")</f>
        <v>0</v>
      </c>
      <c r="E26" s="51" t="s">
        <v>239</v>
      </c>
      <c r="F26" s="227">
        <f>IFERROR(C26-(D26*B26),"")</f>
        <v>2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24</v>
      </c>
      <c r="C27" s="226">
        <f>IFERROR(VLOOKUP(A27,'★맛요일피벗(주문일-당일)'!A:SG,2,FALSE),0)</f>
        <v>6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6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24</v>
      </c>
      <c r="C29" s="210">
        <f>SUM(C26:C27)</f>
        <v>8</v>
      </c>
      <c r="D29" s="55">
        <f>IFERROR(ROUNDDOWN(C29/B29,0),"")</f>
        <v>0</v>
      </c>
      <c r="E29" s="211"/>
      <c r="F29" s="212">
        <f>IFERROR(C29-(D29*B29),"")</f>
        <v>8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24</v>
      </c>
      <c r="C31" s="226">
        <f>IFERROR(VLOOKUP(A31,'★맛요일피벗(주문일-당일)'!A:SG,2,FALSE),0)</f>
        <v>2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2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24</v>
      </c>
      <c r="C33" s="210">
        <f>SUM(C31:C31)</f>
        <v>2</v>
      </c>
      <c r="D33" s="55">
        <f>IFERROR(ROUNDDOWN(C33/B33,0),"")</f>
        <v>0</v>
      </c>
      <c r="E33" s="211"/>
      <c r="F33" s="212">
        <f>IFERROR(C33-(D33*B33),"")</f>
        <v>2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24</v>
      </c>
      <c r="C35" s="55">
        <f>SUM(C4:C12,C26:C27,C21:C22,C16:C17,C31:C31)</f>
        <v>119</v>
      </c>
      <c r="D35" s="54">
        <f>IFERROR(ROUNDDOWN(C35/B35,0),"")</f>
        <v>4</v>
      </c>
      <c r="E35" s="56"/>
      <c r="F35" s="121">
        <f>IFERROR(C35-(D35*B35),"")</f>
        <v>23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119</v>
      </c>
      <c r="G36" s="213">
        <f>IFERROR(ROUNDDOWN(F36/B26,0),"")</f>
        <v>4</v>
      </c>
      <c r="H36" s="214">
        <f>IFERROR(F36-(G36*B26),"")</f>
        <v>23</v>
      </c>
    </row>
    <row r="37" spans="1:11" ht="22.5" customHeight="1" x14ac:dyDescent="0.3">
      <c r="C37" s="77">
        <f>C14+C19+C24+C29+C33</f>
        <v>119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3205-83FA-4DCC-B8B4-8D6AA6A4CD9F}">
  <sheetPr>
    <tabColor theme="5" tint="-0.249977111117893"/>
  </sheetPr>
  <dimension ref="A1:SP14"/>
  <sheetViews>
    <sheetView zoomScale="70" zoomScaleNormal="70" zoomScaleSheetLayoutView="75" workbookViewId="0">
      <selection activeCell="B14" sqref="B14"/>
    </sheetView>
  </sheetViews>
  <sheetFormatPr defaultColWidth="9" defaultRowHeight="15" customHeight="1" x14ac:dyDescent="0.3"/>
  <cols>
    <col min="1" max="20" width="37.625" style="34" customWidth="1"/>
    <col min="21" max="21" width="22.25" style="34" bestFit="1" customWidth="1"/>
    <col min="22" max="24" width="18.375" style="34" customWidth="1"/>
    <col min="25" max="25" width="27.625" style="34" bestFit="1" customWidth="1"/>
    <col min="26" max="27" width="18.375" style="34" customWidth="1"/>
    <col min="28" max="28" width="27.625" style="34" bestFit="1" customWidth="1"/>
    <col min="29" max="29" width="18.375" style="34" customWidth="1"/>
    <col min="30" max="30" width="25.375" style="34" bestFit="1" customWidth="1"/>
    <col min="31" max="31" width="21" style="34" bestFit="1" customWidth="1"/>
    <col min="32" max="32" width="27.625" style="34" bestFit="1" customWidth="1"/>
    <col min="33" max="33" width="18.375" style="34" customWidth="1"/>
    <col min="34" max="34" width="27.625" style="34" bestFit="1" customWidth="1"/>
    <col min="35" max="388" width="30.375" style="34" customWidth="1"/>
    <col min="389" max="390" width="21.25" style="34" customWidth="1"/>
    <col min="391" max="406" width="20.5" style="34" customWidth="1"/>
    <col min="407" max="407" width="21" style="34" bestFit="1" customWidth="1"/>
    <col min="408" max="408" width="25.125" style="34" bestFit="1" customWidth="1"/>
    <col min="409" max="409" width="23" style="34" bestFit="1" customWidth="1"/>
    <col min="410" max="410" width="33.375" style="34" bestFit="1" customWidth="1"/>
    <col min="411" max="411" width="25.125" style="34" bestFit="1" customWidth="1"/>
    <col min="412" max="412" width="28.875" style="34" bestFit="1" customWidth="1"/>
    <col min="413" max="413" width="23" style="34" bestFit="1" customWidth="1"/>
    <col min="414" max="414" width="18.875" style="34" customWidth="1"/>
    <col min="415" max="415" width="23" style="34" bestFit="1" customWidth="1"/>
    <col min="416" max="416" width="25.125" style="34" bestFit="1" customWidth="1"/>
    <col min="417" max="417" width="18.875" style="34" customWidth="1"/>
    <col min="418" max="418" width="19.125" style="34" customWidth="1"/>
    <col min="419" max="419" width="18.125" style="34" customWidth="1"/>
    <col min="420" max="420" width="18.875" style="34" customWidth="1"/>
    <col min="421" max="421" width="26.625" style="34" customWidth="1"/>
    <col min="422" max="422" width="22.125" style="34" customWidth="1"/>
    <col min="423" max="423" width="24.125" style="34" customWidth="1"/>
    <col min="424" max="424" width="21.375" style="34" customWidth="1"/>
    <col min="425" max="425" width="19.375" style="34" customWidth="1"/>
    <col min="426" max="426" width="20" style="34" customWidth="1"/>
    <col min="427" max="427" width="23.25" style="34" customWidth="1"/>
    <col min="428" max="428" width="18" style="34" customWidth="1"/>
    <col min="429" max="459" width="19" style="34" customWidth="1"/>
    <col min="460" max="464" width="20.25" style="34" customWidth="1"/>
    <col min="465" max="465" width="17.25" style="34" customWidth="1"/>
    <col min="466" max="466" width="17.75" style="34" customWidth="1"/>
    <col min="467" max="467" width="16.5" style="34" customWidth="1"/>
    <col min="468" max="470" width="21" style="34" customWidth="1"/>
    <col min="471" max="471" width="18.5" style="34" customWidth="1"/>
    <col min="472" max="476" width="21" style="34" customWidth="1"/>
    <col min="477" max="477" width="15.125" style="34" customWidth="1"/>
    <col min="478" max="493" width="21" style="34" customWidth="1"/>
    <col min="494" max="494" width="24.25" style="34" customWidth="1"/>
    <col min="495" max="495" width="18.875" style="34" bestFit="1" customWidth="1"/>
    <col min="496" max="496" width="21" style="34" bestFit="1" customWidth="1"/>
    <col min="497" max="497" width="23" style="38" bestFit="1" customWidth="1"/>
    <col min="498" max="498" width="8.625" style="38" bestFit="1" customWidth="1"/>
    <col min="499" max="499" width="21" style="38" bestFit="1" customWidth="1"/>
    <col min="500" max="500" width="23" style="38" bestFit="1" customWidth="1"/>
    <col min="501" max="501" width="8.625" style="38" bestFit="1" customWidth="1"/>
    <col min="502" max="502" width="22.875" style="34" customWidth="1"/>
    <col min="503" max="509" width="20.875" style="38" customWidth="1"/>
    <col min="510" max="510" width="23.25" style="38" customWidth="1"/>
    <col min="511" max="16384" width="9" style="34"/>
  </cols>
  <sheetData>
    <row r="1" spans="1:502" s="38" customFormat="1" ht="15" customHeight="1" x14ac:dyDescent="0.3">
      <c r="A1" s="237" t="s">
        <v>351</v>
      </c>
      <c r="B1" s="237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2"/>
      <c r="AJ1" s="2"/>
      <c r="AK1" s="2"/>
      <c r="AL1" s="2"/>
      <c r="AM1" s="2"/>
      <c r="AN1" s="2"/>
      <c r="AO1" s="2"/>
      <c r="AP1" s="2"/>
      <c r="AQ1" s="2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32"/>
      <c r="MG1" s="23"/>
      <c r="MH1" s="23"/>
      <c r="MI1" s="23"/>
      <c r="MJ1" s="23"/>
      <c r="MK1" s="32"/>
      <c r="ML1" s="32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32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32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32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</row>
    <row r="2" spans="1:502" s="38" customFormat="1" ht="15" customHeight="1" x14ac:dyDescent="0.3">
      <c r="A2" s="53" t="s">
        <v>67</v>
      </c>
      <c r="B2" s="53" t="s">
        <v>299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</row>
    <row r="3" spans="1:502" s="38" customFormat="1" ht="15" customHeight="1" x14ac:dyDescent="0.3">
      <c r="A3" s="34" t="s">
        <v>267</v>
      </c>
      <c r="B3" s="34">
        <v>2</v>
      </c>
      <c r="C3" s="34"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</row>
    <row r="4" spans="1:502" s="38" customFormat="1" ht="15" customHeight="1" x14ac:dyDescent="0.3">
      <c r="A4" s="34" t="s">
        <v>266</v>
      </c>
      <c r="B4" s="34">
        <v>1</v>
      </c>
      <c r="C4" s="34"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</row>
    <row r="5" spans="1:502" ht="15" customHeight="1" x14ac:dyDescent="0.3">
      <c r="A5" s="34" t="s">
        <v>249</v>
      </c>
      <c r="B5" s="34">
        <v>2</v>
      </c>
      <c r="C5" s="34">
        <v>2</v>
      </c>
    </row>
    <row r="6" spans="1:502" ht="15" customHeight="1" x14ac:dyDescent="0.3">
      <c r="A6" s="34" t="s">
        <v>248</v>
      </c>
      <c r="B6" s="34">
        <v>6</v>
      </c>
      <c r="C6" s="34">
        <v>6</v>
      </c>
    </row>
    <row r="7" spans="1:502" ht="15" customHeight="1" x14ac:dyDescent="0.3">
      <c r="A7" s="34" t="s">
        <v>263</v>
      </c>
      <c r="B7" s="34">
        <v>1</v>
      </c>
      <c r="C7" s="34">
        <v>1</v>
      </c>
    </row>
    <row r="8" spans="1:502" ht="15" customHeight="1" x14ac:dyDescent="0.3">
      <c r="A8" s="34" t="s">
        <v>253</v>
      </c>
      <c r="B8" s="34">
        <v>1</v>
      </c>
      <c r="C8" s="34">
        <v>1</v>
      </c>
    </row>
    <row r="9" spans="1:502" ht="15" customHeight="1" x14ac:dyDescent="0.3">
      <c r="A9" s="34" t="s">
        <v>255</v>
      </c>
      <c r="B9" s="34">
        <v>5</v>
      </c>
      <c r="C9" s="34">
        <v>5</v>
      </c>
    </row>
    <row r="10" spans="1:502" ht="15" customHeight="1" x14ac:dyDescent="0.3">
      <c r="A10" s="34" t="s">
        <v>250</v>
      </c>
      <c r="B10" s="34">
        <v>7</v>
      </c>
      <c r="C10" s="34">
        <v>7</v>
      </c>
    </row>
    <row r="11" spans="1:502" ht="15" customHeight="1" x14ac:dyDescent="0.3">
      <c r="A11" s="34" t="s">
        <v>268</v>
      </c>
      <c r="B11" s="34">
        <v>1</v>
      </c>
      <c r="C11" s="34">
        <v>1</v>
      </c>
    </row>
    <row r="12" spans="1:502" ht="15" customHeight="1" x14ac:dyDescent="0.3">
      <c r="A12" s="34" t="s">
        <v>265</v>
      </c>
      <c r="B12" s="34">
        <v>1</v>
      </c>
      <c r="C12" s="34">
        <v>1</v>
      </c>
    </row>
    <row r="13" spans="1:502" ht="15" customHeight="1" x14ac:dyDescent="0.3">
      <c r="A13" s="34" t="s">
        <v>251</v>
      </c>
      <c r="B13" s="34">
        <v>3</v>
      </c>
      <c r="C13" s="34">
        <v>3</v>
      </c>
    </row>
    <row r="14" spans="1:502" ht="15" customHeight="1" x14ac:dyDescent="0.3">
      <c r="A14" s="34" t="s">
        <v>3</v>
      </c>
      <c r="B14" s="34">
        <v>30</v>
      </c>
      <c r="C14" s="34">
        <v>30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EAF6-A417-4E9E-A68B-FCD784609022}">
  <sheetPr>
    <tabColor theme="5" tint="-0.249977111117893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300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307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25</v>
      </c>
      <c r="C4" s="226">
        <f>IFERROR(VLOOKUP(A4,'★대광푸드(보승) 피벗(입고일+2)'!A:SD,2,FALSE),0)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25</v>
      </c>
      <c r="C5" s="226">
        <f>IFERROR(VLOOKUP(A5,'★대광푸드(보승) 피벗(입고일+2)'!A:SD,2,FALSE),0)</f>
        <v>6</v>
      </c>
      <c r="D5" s="226">
        <f t="shared" si="0"/>
        <v>0</v>
      </c>
      <c r="E5" s="51" t="s">
        <v>238</v>
      </c>
      <c r="F5" s="227">
        <f t="shared" si="1"/>
        <v>6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25</v>
      </c>
      <c r="C6" s="226">
        <f>IFERROR(VLOOKUP(A6,'★대광푸드(보승) 피벗(입고일+2)'!A:SD,2,FALSE),0)</f>
        <v>2</v>
      </c>
      <c r="D6" s="226">
        <f>IFERROR(ROUNDDOWN(C6/B6,0),"")</f>
        <v>0</v>
      </c>
      <c r="E6" s="51" t="s">
        <v>257</v>
      </c>
      <c r="F6" s="227">
        <f>IFERROR(C6-(D6*B6),"")</f>
        <v>2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25</v>
      </c>
      <c r="C7" s="226">
        <f>IFERROR(VLOOKUP(A7,'★대광푸드(보승) 피벗(입고일+2)'!A:SD,2,FALSE),0)</f>
        <v>7</v>
      </c>
      <c r="D7" s="226">
        <f>IFERROR(ROUNDDOWN(C7/B7,0),"")</f>
        <v>0</v>
      </c>
      <c r="E7" s="51" t="s">
        <v>258</v>
      </c>
      <c r="F7" s="227">
        <f>IFERROR(C7-(D7*B7),"")</f>
        <v>7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25</v>
      </c>
      <c r="C8" s="226">
        <f>IFERROR(VLOOKUP(A8,'★대광푸드(보승) 피벗(입고일+2)'!A:SD,2,FALSE),0)</f>
        <v>3</v>
      </c>
      <c r="D8" s="226">
        <f>IFERROR(ROUNDDOWN(C8/B8,0),"")</f>
        <v>0</v>
      </c>
      <c r="E8" s="51" t="s">
        <v>259</v>
      </c>
      <c r="F8" s="227">
        <f>IFERROR(C8-(D8*B8),"")</f>
        <v>3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25</v>
      </c>
      <c r="C9" s="226">
        <f>IFERROR(VLOOKUP(A9,'★대광푸드(보승) 피벗(입고일+2)'!A:SD,2,FALSE),0)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I9" s="34" t="s">
        <v>308</v>
      </c>
      <c r="J9" s="73"/>
      <c r="K9" s="73"/>
    </row>
    <row r="10" spans="1:11" ht="30" customHeight="1" x14ac:dyDescent="0.3">
      <c r="A10" s="228" t="s">
        <v>253</v>
      </c>
      <c r="B10" s="225">
        <f t="shared" si="2"/>
        <v>25</v>
      </c>
      <c r="C10" s="226">
        <f>IFERROR(VLOOKUP(A10,'★대광푸드(보승) 피벗(입고일+2)'!A:SD,2,FALSE),0)</f>
        <v>1</v>
      </c>
      <c r="D10" s="226">
        <f>IFERROR(ROUNDDOWN(C10/B10,0),"")</f>
        <v>0</v>
      </c>
      <c r="E10" s="51" t="s">
        <v>261</v>
      </c>
      <c r="F10" s="227">
        <f>IFERROR(C10-(D10*B10),"")</f>
        <v>1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25</v>
      </c>
      <c r="C11" s="226">
        <f>IFERROR(VLOOKUP(A11,'★대광푸드(보승) 피벗(입고일+2)'!A:SD,2,FALSE),0)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25</v>
      </c>
      <c r="C12" s="226">
        <f>IFERROR(VLOOKUP(A12,'★대광푸드(보승) 피벗(입고일+2)'!A:SD,2,FALSE),0)</f>
        <v>5</v>
      </c>
      <c r="D12" s="226">
        <f t="shared" si="0"/>
        <v>0</v>
      </c>
      <c r="E12" s="51" t="s">
        <v>108</v>
      </c>
      <c r="F12" s="227">
        <f t="shared" si="1"/>
        <v>5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25</v>
      </c>
      <c r="C14" s="210">
        <f>SUM(C4:C12)</f>
        <v>24</v>
      </c>
      <c r="D14" s="55">
        <f>IFERROR(ROUNDDOWN(C14/B14,0),"")</f>
        <v>0</v>
      </c>
      <c r="E14" s="211"/>
      <c r="F14" s="212">
        <f>IFERROR(C14-(D14*B14),"")</f>
        <v>24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25</v>
      </c>
      <c r="C16" s="226">
        <f>IFERROR(VLOOKUP(A16,'★대광푸드(보승) 피벗(입고일+2)'!A:SD,2,FALSE),0)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25</v>
      </c>
      <c r="C17" s="226">
        <f>IFERROR(VLOOKUP(A17,'★대광푸드(보승) 피벗(입고일+2)'!A:SD,2,FALSE),0)</f>
        <v>1</v>
      </c>
      <c r="D17" s="226">
        <f>IFERROR(ROUNDDOWN(C17/B17,0),"")</f>
        <v>0</v>
      </c>
      <c r="E17" s="51" t="s">
        <v>236</v>
      </c>
      <c r="F17" s="227">
        <f>IFERROR(C17-(D17*B17),"")</f>
        <v>1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25</v>
      </c>
      <c r="C19" s="210">
        <f>SUM(C16:C17)</f>
        <v>1</v>
      </c>
      <c r="D19" s="55">
        <f>IFERROR(ROUNDDOWN(C19/B19,0),"")</f>
        <v>0</v>
      </c>
      <c r="E19" s="211"/>
      <c r="F19" s="212">
        <f>IFERROR(C19-(D19*B19),"")</f>
        <v>1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25</v>
      </c>
      <c r="C21" s="226">
        <f>IFERROR(VLOOKUP(A21,'★대광푸드(보승) 피벗(입고일+2)'!A:SD,2,FALSE),0)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25</v>
      </c>
      <c r="C22" s="226">
        <f>IFERROR(VLOOKUP(A22,'★대광푸드(보승) 피벗(입고일+2)'!A:SD,2,FALSE),0)</f>
        <v>1</v>
      </c>
      <c r="D22" s="226">
        <f t="shared" si="5"/>
        <v>0</v>
      </c>
      <c r="E22" s="51" t="s">
        <v>269</v>
      </c>
      <c r="F22" s="227">
        <f t="shared" si="6"/>
        <v>1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25</v>
      </c>
      <c r="C24" s="210">
        <f>SUM(C21:C22)</f>
        <v>1</v>
      </c>
      <c r="D24" s="55">
        <f>IFERROR(ROUNDDOWN(C24/B24,0),"")</f>
        <v>0</v>
      </c>
      <c r="E24" s="211"/>
      <c r="F24" s="212">
        <f>IFERROR(C24-(D24*B24),"")</f>
        <v>1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25</v>
      </c>
      <c r="C26" s="226">
        <f>IFERROR(VLOOKUP(A26,'★대광푸드(보승) 피벗(입고일+2)'!A:SD,2,FALSE),0)</f>
        <v>1</v>
      </c>
      <c r="D26" s="226">
        <f>IFERROR(ROUNDDOWN(C26/B26,0),"")</f>
        <v>0</v>
      </c>
      <c r="E26" s="51" t="s">
        <v>239</v>
      </c>
      <c r="F26" s="227">
        <f>IFERROR(C26-(D26*B26),"")</f>
        <v>1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25</v>
      </c>
      <c r="C27" s="226">
        <f>IFERROR(VLOOKUP(A27,'★대광푸드(보승) 피벗(입고일+2)'!A:SD,2,FALSE),0)</f>
        <v>2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2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25</v>
      </c>
      <c r="C29" s="210">
        <f>SUM(C26:C27)</f>
        <v>3</v>
      </c>
      <c r="D29" s="55">
        <f>IFERROR(ROUNDDOWN(C29/B29,0),"")</f>
        <v>0</v>
      </c>
      <c r="E29" s="211"/>
      <c r="F29" s="212">
        <f>IFERROR(C29-(D29*B29),"")</f>
        <v>3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25</v>
      </c>
      <c r="C31" s="226">
        <f>IFERROR(VLOOKUP(A31,'★대광푸드(보승) 피벗(입고일+2)'!A:SD,2,FALSE),0)</f>
        <v>1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1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25</v>
      </c>
      <c r="C33" s="210">
        <f>SUM(C31:C31)</f>
        <v>1</v>
      </c>
      <c r="D33" s="55">
        <f>IFERROR(ROUNDDOWN(C33/B33,0),"")</f>
        <v>0</v>
      </c>
      <c r="E33" s="211"/>
      <c r="F33" s="212">
        <f>IFERROR(C33-(D33*B33),"")</f>
        <v>1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25</v>
      </c>
      <c r="C35" s="55">
        <f>SUM(C4:C12,C26:C27,C21:C22,C16:C17,C31:C31)</f>
        <v>30</v>
      </c>
      <c r="D35" s="54">
        <f>IFERROR(ROUNDDOWN(C35/B35,0),"")</f>
        <v>1</v>
      </c>
      <c r="E35" s="56"/>
      <c r="F35" s="121">
        <f>IFERROR(C35-(D35*B35),"")</f>
        <v>5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30</v>
      </c>
      <c r="G36" s="213">
        <f>IFERROR(ROUNDDOWN(F36/B26,0),"")</f>
        <v>1</v>
      </c>
      <c r="H36" s="214">
        <f>IFERROR(F36-(G36*B26),"")</f>
        <v>5</v>
      </c>
    </row>
    <row r="37" spans="1:11" ht="22.5" customHeight="1" x14ac:dyDescent="0.3">
      <c r="C37" s="77">
        <f>C14+C19+C24+C29+C33</f>
        <v>30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F6FB-9629-4635-928E-1C5E3D5D9E2D}">
  <sheetPr>
    <tabColor theme="4" tint="0.39997558519241921"/>
  </sheetPr>
  <dimension ref="A1:SS24"/>
  <sheetViews>
    <sheetView zoomScale="55" zoomScaleNormal="55" zoomScaleSheetLayoutView="75" workbookViewId="0">
      <selection activeCell="B15" sqref="B15"/>
    </sheetView>
  </sheetViews>
  <sheetFormatPr defaultColWidth="9" defaultRowHeight="15" customHeight="1" x14ac:dyDescent="0.3"/>
  <cols>
    <col min="1" max="23" width="37.625" style="34" customWidth="1"/>
    <col min="24" max="24" width="22.25" style="34" bestFit="1" customWidth="1"/>
    <col min="25" max="27" width="18.375" style="34" customWidth="1"/>
    <col min="28" max="28" width="27.625" style="34" bestFit="1" customWidth="1"/>
    <col min="29" max="30" width="18.375" style="34" customWidth="1"/>
    <col min="31" max="31" width="27.625" style="34" bestFit="1" customWidth="1"/>
    <col min="32" max="32" width="18.375" style="34" customWidth="1"/>
    <col min="33" max="33" width="25.375" style="34" bestFit="1" customWidth="1"/>
    <col min="34" max="34" width="21" style="34" bestFit="1" customWidth="1"/>
    <col min="35" max="35" width="27.625" style="34" bestFit="1" customWidth="1"/>
    <col min="36" max="36" width="18.375" style="34" customWidth="1"/>
    <col min="37" max="37" width="27.625" style="34" bestFit="1" customWidth="1"/>
    <col min="38" max="391" width="30.375" style="34" customWidth="1"/>
    <col min="392" max="393" width="21.25" style="34" customWidth="1"/>
    <col min="394" max="409" width="20.5" style="34" customWidth="1"/>
    <col min="410" max="410" width="21" style="34" bestFit="1" customWidth="1"/>
    <col min="411" max="411" width="25.125" style="34" bestFit="1" customWidth="1"/>
    <col min="412" max="412" width="23" style="34" bestFit="1" customWidth="1"/>
    <col min="413" max="413" width="33.375" style="34" bestFit="1" customWidth="1"/>
    <col min="414" max="414" width="25.125" style="34" bestFit="1" customWidth="1"/>
    <col min="415" max="415" width="28.875" style="34" bestFit="1" customWidth="1"/>
    <col min="416" max="416" width="23" style="34" bestFit="1" customWidth="1"/>
    <col min="417" max="417" width="18.875" style="34" customWidth="1"/>
    <col min="418" max="418" width="23" style="34" bestFit="1" customWidth="1"/>
    <col min="419" max="419" width="25.125" style="34" bestFit="1" customWidth="1"/>
    <col min="420" max="420" width="18.875" style="34" customWidth="1"/>
    <col min="421" max="421" width="19.125" style="34" customWidth="1"/>
    <col min="422" max="422" width="18.125" style="34" customWidth="1"/>
    <col min="423" max="423" width="18.875" style="34" customWidth="1"/>
    <col min="424" max="424" width="26.625" style="34" customWidth="1"/>
    <col min="425" max="425" width="22.125" style="34" customWidth="1"/>
    <col min="426" max="426" width="24.125" style="34" customWidth="1"/>
    <col min="427" max="427" width="21.375" style="34" customWidth="1"/>
    <col min="428" max="428" width="19.375" style="34" customWidth="1"/>
    <col min="429" max="429" width="20" style="34" customWidth="1"/>
    <col min="430" max="430" width="23.25" style="34" customWidth="1"/>
    <col min="431" max="431" width="18" style="34" customWidth="1"/>
    <col min="432" max="462" width="19" style="34" customWidth="1"/>
    <col min="463" max="467" width="20.25" style="34" customWidth="1"/>
    <col min="468" max="468" width="17.25" style="34" customWidth="1"/>
    <col min="469" max="469" width="17.75" style="34" customWidth="1"/>
    <col min="470" max="470" width="16.5" style="34" customWidth="1"/>
    <col min="471" max="473" width="21" style="34" customWidth="1"/>
    <col min="474" max="474" width="18.5" style="34" customWidth="1"/>
    <col min="475" max="479" width="21" style="34" customWidth="1"/>
    <col min="480" max="480" width="15.125" style="34" customWidth="1"/>
    <col min="481" max="496" width="21" style="34" customWidth="1"/>
    <col min="497" max="497" width="24.25" style="34" customWidth="1"/>
    <col min="498" max="498" width="18.875" style="34" bestFit="1" customWidth="1"/>
    <col min="499" max="499" width="21" style="34" bestFit="1" customWidth="1"/>
    <col min="500" max="500" width="23" style="38" bestFit="1" customWidth="1"/>
    <col min="501" max="501" width="8.625" style="38" bestFit="1" customWidth="1"/>
    <col min="502" max="502" width="21" style="38" bestFit="1" customWidth="1"/>
    <col min="503" max="503" width="23" style="38" bestFit="1" customWidth="1"/>
    <col min="504" max="504" width="8.625" style="38" bestFit="1" customWidth="1"/>
    <col min="505" max="505" width="22.875" style="34" customWidth="1"/>
    <col min="506" max="512" width="20.875" style="38" customWidth="1"/>
    <col min="513" max="513" width="23.25" style="38" customWidth="1"/>
    <col min="514" max="16384" width="9" style="34"/>
  </cols>
  <sheetData>
    <row r="1" spans="1:505" s="38" customFormat="1" ht="15" customHeight="1" x14ac:dyDescent="0.3">
      <c r="A1" s="237" t="s">
        <v>351</v>
      </c>
      <c r="B1" s="237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2"/>
      <c r="AM1" s="2"/>
      <c r="AN1" s="2"/>
      <c r="AO1" s="2"/>
      <c r="AP1" s="2"/>
      <c r="AQ1" s="2"/>
      <c r="AR1" s="2"/>
      <c r="AS1" s="2"/>
      <c r="AT1" s="29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32"/>
      <c r="MJ1" s="23"/>
      <c r="MK1" s="23"/>
      <c r="ML1" s="23"/>
      <c r="MM1" s="23"/>
      <c r="MN1" s="32"/>
      <c r="MO1" s="32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32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32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32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</row>
    <row r="2" spans="1:505" s="38" customFormat="1" ht="15" customHeight="1" x14ac:dyDescent="0.3">
      <c r="A2" s="53" t="s">
        <v>67</v>
      </c>
      <c r="B2" s="53" t="s">
        <v>338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</row>
    <row r="3" spans="1:505" s="38" customFormat="1" ht="15" customHeight="1" x14ac:dyDescent="0.3">
      <c r="A3" s="34" t="s">
        <v>267</v>
      </c>
      <c r="B3" s="34">
        <v>180</v>
      </c>
      <c r="C3" s="34">
        <v>180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</row>
    <row r="4" spans="1:505" s="38" customFormat="1" ht="15" customHeight="1" x14ac:dyDescent="0.3">
      <c r="A4" s="34" t="s">
        <v>266</v>
      </c>
      <c r="B4" s="34">
        <v>220</v>
      </c>
      <c r="C4" s="34">
        <v>220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</row>
    <row r="5" spans="1:505" ht="15" customHeight="1" x14ac:dyDescent="0.3">
      <c r="A5" s="34" t="s">
        <v>264</v>
      </c>
      <c r="B5" s="34">
        <v>360</v>
      </c>
      <c r="C5" s="34">
        <v>360</v>
      </c>
    </row>
    <row r="6" spans="1:505" ht="15" customHeight="1" x14ac:dyDescent="0.3">
      <c r="A6" s="34" t="s">
        <v>262</v>
      </c>
      <c r="B6" s="34">
        <v>260</v>
      </c>
      <c r="C6" s="34">
        <v>260</v>
      </c>
    </row>
    <row r="7" spans="1:505" ht="15" customHeight="1" x14ac:dyDescent="0.3">
      <c r="A7" s="34" t="s">
        <v>249</v>
      </c>
      <c r="B7" s="34">
        <v>190</v>
      </c>
      <c r="C7" s="34">
        <v>190</v>
      </c>
    </row>
    <row r="8" spans="1:505" ht="15" customHeight="1" x14ac:dyDescent="0.3">
      <c r="A8" s="34" t="s">
        <v>248</v>
      </c>
      <c r="B8" s="34">
        <v>390</v>
      </c>
      <c r="C8" s="34">
        <v>390</v>
      </c>
    </row>
    <row r="9" spans="1:505" ht="15" customHeight="1" x14ac:dyDescent="0.3">
      <c r="A9" s="34" t="s">
        <v>263</v>
      </c>
      <c r="B9" s="34">
        <v>240</v>
      </c>
      <c r="C9" s="34">
        <v>240</v>
      </c>
    </row>
    <row r="10" spans="1:505" ht="15" customHeight="1" x14ac:dyDescent="0.3">
      <c r="A10" s="34" t="s">
        <v>254</v>
      </c>
      <c r="B10" s="34">
        <v>1000</v>
      </c>
      <c r="C10" s="34">
        <v>1000</v>
      </c>
    </row>
    <row r="11" spans="1:505" ht="15" customHeight="1" x14ac:dyDescent="0.3">
      <c r="A11" s="34" t="s">
        <v>255</v>
      </c>
      <c r="B11" s="34">
        <v>500</v>
      </c>
      <c r="C11" s="34">
        <v>500</v>
      </c>
    </row>
    <row r="12" spans="1:505" ht="15" customHeight="1" x14ac:dyDescent="0.3">
      <c r="A12" s="34" t="s">
        <v>250</v>
      </c>
      <c r="B12" s="34">
        <v>520</v>
      </c>
      <c r="C12" s="34">
        <v>520</v>
      </c>
    </row>
    <row r="13" spans="1:505" ht="15" customHeight="1" x14ac:dyDescent="0.3">
      <c r="A13" s="34" t="s">
        <v>268</v>
      </c>
      <c r="B13" s="34">
        <v>100</v>
      </c>
      <c r="C13" s="34">
        <v>100</v>
      </c>
    </row>
    <row r="14" spans="1:505" ht="15" customHeight="1" x14ac:dyDescent="0.3">
      <c r="A14" s="34" t="s">
        <v>265</v>
      </c>
      <c r="B14" s="34">
        <v>400</v>
      </c>
      <c r="C14" s="34">
        <v>400</v>
      </c>
    </row>
    <row r="15" spans="1:505" ht="15" customHeight="1" x14ac:dyDescent="0.3">
      <c r="A15" s="34" t="s">
        <v>3</v>
      </c>
      <c r="B15" s="34">
        <v>4360</v>
      </c>
      <c r="C15" s="34">
        <v>4360</v>
      </c>
    </row>
    <row r="20" spans="1:2" ht="35.25" customHeight="1" x14ac:dyDescent="0.3">
      <c r="A20" s="244" t="s">
        <v>331</v>
      </c>
      <c r="B20" s="244"/>
    </row>
    <row r="21" spans="1:2" ht="35.25" customHeight="1" x14ac:dyDescent="0.3">
      <c r="A21" s="244" t="s">
        <v>256</v>
      </c>
      <c r="B21" s="244"/>
    </row>
    <row r="22" spans="1:2" ht="35.25" customHeight="1" x14ac:dyDescent="0.3">
      <c r="A22" s="244" t="s">
        <v>259</v>
      </c>
      <c r="B22" s="244"/>
    </row>
    <row r="23" spans="1:2" ht="35.25" customHeight="1" x14ac:dyDescent="0.3">
      <c r="A23" s="244" t="s">
        <v>260</v>
      </c>
      <c r="B23" s="244"/>
    </row>
    <row r="24" spans="1:2" ht="35.25" customHeight="1" x14ac:dyDescent="0.3">
      <c r="A24" s="244" t="s">
        <v>330</v>
      </c>
      <c r="B24" s="244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2E16-3C48-4E93-AB4A-40581F2D4FBC}">
  <sheetPr>
    <tabColor theme="4" tint="0.39997558519241921"/>
  </sheetPr>
  <dimension ref="A1:K38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329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338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38" t="s">
        <v>247</v>
      </c>
      <c r="B4" s="239">
        <v>10</v>
      </c>
      <c r="C4" s="240"/>
      <c r="D4" s="240">
        <f t="shared" ref="D4:D12" si="0">IFERROR(ROUNDDOWN(C4/B4,0),"")</f>
        <v>0</v>
      </c>
      <c r="E4" s="241" t="s">
        <v>256</v>
      </c>
      <c r="F4" s="242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10</v>
      </c>
      <c r="C5" s="226">
        <f>IFERROR(VLOOKUP(A5,'★화산농협) 피벗(입고일+2)'!A:SG,2,FALSE),0)</f>
        <v>390</v>
      </c>
      <c r="D5" s="226">
        <f t="shared" si="0"/>
        <v>39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10</v>
      </c>
      <c r="C6" s="226">
        <f>IFERROR(VLOOKUP(A6,'★화산농협) 피벗(입고일+2)'!A:SG,2,FALSE),0)</f>
        <v>190</v>
      </c>
      <c r="D6" s="226">
        <f>IFERROR(ROUNDDOWN(C6/B6,0),"")</f>
        <v>19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10</v>
      </c>
      <c r="C7" s="226">
        <f>IFERROR(VLOOKUP(A7,'★화산농협) 피벗(입고일+2)'!A:SG,2,FALSE),0)</f>
        <v>520</v>
      </c>
      <c r="D7" s="226">
        <f>IFERROR(ROUNDDOWN(C7/B7,0),"")</f>
        <v>52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43" t="s">
        <v>251</v>
      </c>
      <c r="B8" s="239">
        <f t="shared" si="2"/>
        <v>10</v>
      </c>
      <c r="C8" s="240"/>
      <c r="D8" s="240">
        <f>IFERROR(ROUNDDOWN(C8/B8,0),"")</f>
        <v>0</v>
      </c>
      <c r="E8" s="241" t="s">
        <v>259</v>
      </c>
      <c r="F8" s="242">
        <f>IFERROR(C8-(D8*B8),"")</f>
        <v>0</v>
      </c>
      <c r="G8" s="67"/>
      <c r="H8" s="67"/>
      <c r="J8" s="73"/>
      <c r="K8" s="73"/>
    </row>
    <row r="9" spans="1:11" ht="30" customHeight="1" x14ac:dyDescent="0.3">
      <c r="A9" s="243" t="s">
        <v>252</v>
      </c>
      <c r="B9" s="239">
        <f t="shared" si="2"/>
        <v>10</v>
      </c>
      <c r="C9" s="240"/>
      <c r="D9" s="240">
        <f t="shared" si="0"/>
        <v>0</v>
      </c>
      <c r="E9" s="241" t="s">
        <v>260</v>
      </c>
      <c r="F9" s="242">
        <f t="shared" si="1"/>
        <v>0</v>
      </c>
      <c r="G9" s="67"/>
      <c r="H9" s="67"/>
      <c r="I9" s="34" t="s">
        <v>308</v>
      </c>
      <c r="J9" s="73"/>
      <c r="K9" s="73"/>
    </row>
    <row r="10" spans="1:11" ht="30" customHeight="1" x14ac:dyDescent="0.3">
      <c r="A10" s="243" t="s">
        <v>253</v>
      </c>
      <c r="B10" s="239">
        <f t="shared" si="2"/>
        <v>10</v>
      </c>
      <c r="C10" s="240"/>
      <c r="D10" s="240">
        <f>IFERROR(ROUNDDOWN(C10/B10,0),"")</f>
        <v>0</v>
      </c>
      <c r="E10" s="241" t="s">
        <v>261</v>
      </c>
      <c r="F10" s="242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10</v>
      </c>
      <c r="C11" s="226">
        <f>IFERROR(VLOOKUP(A11,'★화산농협) 피벗(입고일+2)'!A:SG,2,FALSE),0)</f>
        <v>1000</v>
      </c>
      <c r="D11" s="226">
        <f t="shared" si="0"/>
        <v>100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10</v>
      </c>
      <c r="C12" s="226">
        <f>IFERROR(VLOOKUP(A12,'★화산농협) 피벗(입고일+2)'!A:SG,2,FALSE),0)</f>
        <v>500</v>
      </c>
      <c r="D12" s="226">
        <f t="shared" si="0"/>
        <v>50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10</v>
      </c>
      <c r="C14" s="210">
        <f>SUM(C4:C12)</f>
        <v>2600</v>
      </c>
      <c r="D14" s="55">
        <f>IFERROR(ROUNDDOWN(C14/B14,0),"")</f>
        <v>260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10</v>
      </c>
      <c r="C16" s="226">
        <f>IFERROR(VLOOKUP(A16,'★화산농협) 피벗(입고일+2)'!A:SG,2,FALSE),0)</f>
        <v>260</v>
      </c>
      <c r="D16" s="226">
        <f>IFERROR(ROUNDDOWN(C16/B16,0),"")</f>
        <v>26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10</v>
      </c>
      <c r="C17" s="226">
        <f>IFERROR(VLOOKUP(A17,'★화산농협) 피벗(입고일+2)'!A:SG,2,FALSE),0)</f>
        <v>240</v>
      </c>
      <c r="D17" s="226">
        <f>IFERROR(ROUNDDOWN(C17/B17,0),"")</f>
        <v>24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10</v>
      </c>
      <c r="C19" s="210">
        <f>SUM(C16:C17)</f>
        <v>500</v>
      </c>
      <c r="D19" s="55">
        <f>IFERROR(ROUNDDOWN(C19/B19,0),"")</f>
        <v>50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10</v>
      </c>
      <c r="C21" s="226">
        <f>IFERROR(VLOOKUP(A21,'★화산농협) 피벗(입고일+2)'!A:SG,2,FALSE),0)</f>
        <v>360</v>
      </c>
      <c r="D21" s="226">
        <f t="shared" ref="D21:D22" si="5">IFERROR(ROUNDDOWN(C21/B21,0),"")</f>
        <v>36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10</v>
      </c>
      <c r="C22" s="226">
        <f>IFERROR(VLOOKUP(A22,'★화산농협) 피벗(입고일+2)'!A:SG,2,FALSE),0)</f>
        <v>400</v>
      </c>
      <c r="D22" s="226">
        <f t="shared" si="5"/>
        <v>40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10</v>
      </c>
      <c r="C24" s="210">
        <f>SUM(C21:C22)</f>
        <v>760</v>
      </c>
      <c r="D24" s="55">
        <f>IFERROR(ROUNDDOWN(C24/B24,0),"")</f>
        <v>76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10</v>
      </c>
      <c r="C26" s="226">
        <f>IFERROR(VLOOKUP(A26,'★화산농협) 피벗(입고일+2)'!A:SG,2,FALSE),0)</f>
        <v>220</v>
      </c>
      <c r="D26" s="226">
        <f>IFERROR(ROUNDDOWN(C26/B26,0),"")</f>
        <v>22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10</v>
      </c>
      <c r="C27" s="226">
        <f>IFERROR(VLOOKUP(A27,'★화산농협) 피벗(입고일+2)'!A:SG,2,FALSE),0)</f>
        <v>180</v>
      </c>
      <c r="D27" s="226">
        <f t="shared" ref="D27" si="8">IFERROR(ROUNDDOWN(C27/B27,0),"")</f>
        <v>18</v>
      </c>
      <c r="E27" s="51" t="s">
        <v>270</v>
      </c>
      <c r="F27" s="227">
        <f t="shared" ref="F27" si="9">IFERROR(C27-(D27*B27),"")</f>
        <v>0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10</v>
      </c>
      <c r="C29" s="210">
        <f>SUM(C26:C27)</f>
        <v>400</v>
      </c>
      <c r="D29" s="55">
        <f>IFERROR(ROUNDDOWN(C29/B29,0),"")</f>
        <v>40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10</v>
      </c>
      <c r="C31" s="226">
        <f>IFERROR(VLOOKUP(A31,'★화산농협) 피벗(입고일+2)'!A:SG,2,FALSE),0)</f>
        <v>100</v>
      </c>
      <c r="D31" s="226">
        <f t="shared" ref="D31" si="11">IFERROR(ROUNDDOWN(C31/B31,0),"")</f>
        <v>10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10</v>
      </c>
      <c r="C33" s="210">
        <f>SUM(C31:C31)</f>
        <v>100</v>
      </c>
      <c r="D33" s="55">
        <f>IFERROR(ROUNDDOWN(C33/B33,0),"")</f>
        <v>10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10</v>
      </c>
      <c r="C35" s="55">
        <f>SUM(C4:C12,C26:C27,C21:C22,C16:C17,C31:C31)</f>
        <v>4360</v>
      </c>
      <c r="D35" s="54">
        <f>IFERROR(ROUNDDOWN(C35/B35,0),"")</f>
        <v>436</v>
      </c>
      <c r="E35" s="56"/>
      <c r="F35" s="121">
        <f>IFERROR(C35-(D35*B35),"")</f>
        <v>0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436</v>
      </c>
      <c r="E36" s="48"/>
      <c r="F36" s="93">
        <f>SUM(F4:F12,F26:F27,F21:F22,F16:F17,F31:F31)</f>
        <v>0</v>
      </c>
      <c r="G36" s="213">
        <f>IFERROR(ROUNDDOWN(F36/B26,0),"")</f>
        <v>0</v>
      </c>
      <c r="H36" s="214">
        <f>IFERROR(F36-(G36*B26),"")</f>
        <v>0</v>
      </c>
    </row>
    <row r="37" spans="1:11" ht="22.5" customHeight="1" x14ac:dyDescent="0.3">
      <c r="C37" s="77">
        <f>C14+C19+C24+C29+C33</f>
        <v>4360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8C8D-F579-403E-A4D7-E5BADBE4003B}">
  <sheetPr>
    <tabColor theme="2" tint="-0.249977111117893"/>
  </sheetPr>
  <dimension ref="A1:SS19"/>
  <sheetViews>
    <sheetView tabSelected="1" zoomScale="55" zoomScaleNormal="55" zoomScaleSheetLayoutView="75" workbookViewId="0">
      <selection activeCell="G19" sqref="G19"/>
    </sheetView>
  </sheetViews>
  <sheetFormatPr defaultColWidth="9" defaultRowHeight="15" customHeight="1" x14ac:dyDescent="0.3"/>
  <cols>
    <col min="1" max="23" width="37.625" style="34" customWidth="1"/>
    <col min="24" max="24" width="22.25" style="34" bestFit="1" customWidth="1"/>
    <col min="25" max="27" width="18.375" style="34" customWidth="1"/>
    <col min="28" max="28" width="27.625" style="34" bestFit="1" customWidth="1"/>
    <col min="29" max="30" width="18.375" style="34" customWidth="1"/>
    <col min="31" max="31" width="27.625" style="34" bestFit="1" customWidth="1"/>
    <col min="32" max="32" width="18.375" style="34" customWidth="1"/>
    <col min="33" max="33" width="25.375" style="34" bestFit="1" customWidth="1"/>
    <col min="34" max="34" width="21" style="34" bestFit="1" customWidth="1"/>
    <col min="35" max="35" width="27.625" style="34" bestFit="1" customWidth="1"/>
    <col min="36" max="36" width="18.375" style="34" customWidth="1"/>
    <col min="37" max="37" width="27.625" style="34" bestFit="1" customWidth="1"/>
    <col min="38" max="391" width="30.375" style="34" customWidth="1"/>
    <col min="392" max="393" width="21.25" style="34" customWidth="1"/>
    <col min="394" max="409" width="20.5" style="34" customWidth="1"/>
    <col min="410" max="410" width="21" style="34" bestFit="1" customWidth="1"/>
    <col min="411" max="411" width="25.125" style="34" bestFit="1" customWidth="1"/>
    <col min="412" max="412" width="23" style="34" bestFit="1" customWidth="1"/>
    <col min="413" max="413" width="33.375" style="34" bestFit="1" customWidth="1"/>
    <col min="414" max="414" width="25.125" style="34" bestFit="1" customWidth="1"/>
    <col min="415" max="415" width="28.875" style="34" bestFit="1" customWidth="1"/>
    <col min="416" max="416" width="23" style="34" bestFit="1" customWidth="1"/>
    <col min="417" max="417" width="18.875" style="34" customWidth="1"/>
    <col min="418" max="418" width="23" style="34" bestFit="1" customWidth="1"/>
    <col min="419" max="419" width="25.125" style="34" bestFit="1" customWidth="1"/>
    <col min="420" max="420" width="18.875" style="34" customWidth="1"/>
    <col min="421" max="421" width="19.125" style="34" customWidth="1"/>
    <col min="422" max="422" width="18.125" style="34" customWidth="1"/>
    <col min="423" max="423" width="18.875" style="34" customWidth="1"/>
    <col min="424" max="424" width="26.625" style="34" customWidth="1"/>
    <col min="425" max="425" width="22.125" style="34" customWidth="1"/>
    <col min="426" max="426" width="24.125" style="34" customWidth="1"/>
    <col min="427" max="427" width="21.375" style="34" customWidth="1"/>
    <col min="428" max="428" width="19.375" style="34" customWidth="1"/>
    <col min="429" max="429" width="20" style="34" customWidth="1"/>
    <col min="430" max="430" width="23.25" style="34" customWidth="1"/>
    <col min="431" max="431" width="18" style="34" customWidth="1"/>
    <col min="432" max="462" width="19" style="34" customWidth="1"/>
    <col min="463" max="467" width="20.25" style="34" customWidth="1"/>
    <col min="468" max="468" width="17.25" style="34" customWidth="1"/>
    <col min="469" max="469" width="17.75" style="34" customWidth="1"/>
    <col min="470" max="470" width="16.5" style="34" customWidth="1"/>
    <col min="471" max="473" width="21" style="34" customWidth="1"/>
    <col min="474" max="474" width="18.5" style="34" customWidth="1"/>
    <col min="475" max="479" width="21" style="34" customWidth="1"/>
    <col min="480" max="480" width="15.125" style="34" customWidth="1"/>
    <col min="481" max="496" width="21" style="34" customWidth="1"/>
    <col min="497" max="497" width="24.25" style="34" customWidth="1"/>
    <col min="498" max="498" width="18.875" style="34" bestFit="1" customWidth="1"/>
    <col min="499" max="499" width="21" style="34" bestFit="1" customWidth="1"/>
    <col min="500" max="500" width="23" style="38" bestFit="1" customWidth="1"/>
    <col min="501" max="501" width="8.625" style="38" bestFit="1" customWidth="1"/>
    <col min="502" max="502" width="21" style="38" bestFit="1" customWidth="1"/>
    <col min="503" max="503" width="23" style="38" bestFit="1" customWidth="1"/>
    <col min="504" max="504" width="8.625" style="38" bestFit="1" customWidth="1"/>
    <col min="505" max="505" width="22.875" style="34" customWidth="1"/>
    <col min="506" max="512" width="20.875" style="38" customWidth="1"/>
    <col min="513" max="513" width="23.25" style="38" customWidth="1"/>
    <col min="514" max="16384" width="9" style="34"/>
  </cols>
  <sheetData>
    <row r="1" spans="1:505" s="38" customFormat="1" ht="15" customHeight="1" x14ac:dyDescent="0.3">
      <c r="A1" s="237">
        <f ca="1">TODAY()</f>
        <v>46310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2"/>
      <c r="AM1" s="2"/>
      <c r="AN1" s="2"/>
      <c r="AO1" s="2"/>
      <c r="AP1" s="2"/>
      <c r="AQ1" s="2"/>
      <c r="AR1" s="2"/>
      <c r="AS1" s="2"/>
      <c r="AT1" s="29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32"/>
      <c r="MJ1" s="23"/>
      <c r="MK1" s="23"/>
      <c r="ML1" s="23"/>
      <c r="MM1" s="23"/>
      <c r="MN1" s="32"/>
      <c r="MO1" s="32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32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32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32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</row>
    <row r="2" spans="1:505" s="38" customFormat="1" ht="15" customHeight="1" x14ac:dyDescent="0.3">
      <c r="A2" s="53" t="s">
        <v>67</v>
      </c>
      <c r="B2" s="53" t="s">
        <v>335</v>
      </c>
      <c r="C2" s="53" t="s">
        <v>336</v>
      </c>
      <c r="D2" s="53" t="s">
        <v>337</v>
      </c>
      <c r="E2" s="53" t="s">
        <v>341</v>
      </c>
      <c r="F2" s="53" t="s">
        <v>350</v>
      </c>
      <c r="G2" s="53" t="s">
        <v>334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</row>
    <row r="3" spans="1:505" s="38" customFormat="1" ht="15" customHeight="1" x14ac:dyDescent="0.3">
      <c r="A3" s="34" t="s">
        <v>253</v>
      </c>
      <c r="B3" s="34">
        <v>62</v>
      </c>
      <c r="C3" s="34">
        <v>281</v>
      </c>
      <c r="D3" s="34">
        <v>189</v>
      </c>
      <c r="E3" s="34">
        <v>238</v>
      </c>
      <c r="F3" s="34"/>
      <c r="G3" s="34">
        <v>770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</row>
    <row r="4" spans="1:505" s="38" customFormat="1" ht="15" customHeight="1" x14ac:dyDescent="0.3">
      <c r="A4" s="34" t="s">
        <v>254</v>
      </c>
      <c r="B4" s="34">
        <v>86</v>
      </c>
      <c r="C4" s="34">
        <v>389</v>
      </c>
      <c r="D4" s="34">
        <v>278</v>
      </c>
      <c r="E4" s="34">
        <v>336</v>
      </c>
      <c r="F4" s="34"/>
      <c r="G4" s="34">
        <v>1089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</row>
    <row r="5" spans="1:505" ht="15" customHeight="1" x14ac:dyDescent="0.3">
      <c r="A5" s="34" t="s">
        <v>250</v>
      </c>
      <c r="B5" s="34">
        <v>67</v>
      </c>
      <c r="C5" s="34">
        <v>316</v>
      </c>
      <c r="D5" s="34">
        <v>237</v>
      </c>
      <c r="E5" s="34">
        <v>272</v>
      </c>
      <c r="G5" s="34">
        <v>892</v>
      </c>
    </row>
    <row r="6" spans="1:505" ht="15" customHeight="1" x14ac:dyDescent="0.3">
      <c r="A6" s="34" t="s">
        <v>251</v>
      </c>
      <c r="B6" s="34">
        <v>72</v>
      </c>
      <c r="C6" s="34">
        <v>324</v>
      </c>
      <c r="D6" s="34">
        <v>251</v>
      </c>
      <c r="E6" s="34">
        <v>272</v>
      </c>
      <c r="G6" s="34">
        <v>919</v>
      </c>
    </row>
    <row r="7" spans="1:505" ht="15" customHeight="1" x14ac:dyDescent="0.3">
      <c r="A7" s="34" t="s">
        <v>252</v>
      </c>
      <c r="B7" s="34">
        <v>43</v>
      </c>
      <c r="C7" s="34">
        <v>332</v>
      </c>
      <c r="D7" s="34">
        <v>218</v>
      </c>
      <c r="E7" s="34">
        <v>260</v>
      </c>
      <c r="G7" s="34">
        <v>853</v>
      </c>
    </row>
    <row r="8" spans="1:505" ht="15" customHeight="1" x14ac:dyDescent="0.3">
      <c r="A8" s="34" t="s">
        <v>255</v>
      </c>
      <c r="B8" s="34">
        <v>28</v>
      </c>
      <c r="C8" s="34">
        <v>101</v>
      </c>
      <c r="D8" s="34">
        <v>82</v>
      </c>
      <c r="E8" s="34">
        <v>110</v>
      </c>
      <c r="G8" s="34">
        <v>321</v>
      </c>
    </row>
    <row r="9" spans="1:505" ht="15" customHeight="1" x14ac:dyDescent="0.3">
      <c r="A9" s="34" t="s">
        <v>248</v>
      </c>
      <c r="B9" s="34">
        <v>68</v>
      </c>
      <c r="C9" s="34">
        <v>179</v>
      </c>
      <c r="D9" s="34">
        <v>158</v>
      </c>
      <c r="E9" s="34">
        <v>159</v>
      </c>
      <c r="G9" s="34">
        <v>564</v>
      </c>
    </row>
    <row r="10" spans="1:505" ht="15" customHeight="1" x14ac:dyDescent="0.3">
      <c r="A10" s="34" t="s">
        <v>263</v>
      </c>
      <c r="B10" s="34">
        <v>23</v>
      </c>
      <c r="C10" s="34">
        <v>108</v>
      </c>
      <c r="D10" s="34">
        <v>91</v>
      </c>
      <c r="E10" s="34">
        <v>92</v>
      </c>
      <c r="G10" s="34">
        <v>314</v>
      </c>
    </row>
    <row r="11" spans="1:505" ht="15" customHeight="1" x14ac:dyDescent="0.3">
      <c r="A11" s="245" t="s">
        <v>327</v>
      </c>
      <c r="B11" s="245">
        <v>20</v>
      </c>
      <c r="C11" s="245">
        <v>116</v>
      </c>
      <c r="D11" s="245">
        <v>92</v>
      </c>
      <c r="E11" s="245">
        <v>122</v>
      </c>
      <c r="F11" s="245"/>
      <c r="G11" s="245">
        <v>350</v>
      </c>
    </row>
    <row r="12" spans="1:505" ht="15" customHeight="1" x14ac:dyDescent="0.3">
      <c r="A12" s="246" t="s">
        <v>328</v>
      </c>
      <c r="B12" s="246">
        <v>7</v>
      </c>
      <c r="C12" s="246">
        <v>19</v>
      </c>
      <c r="D12" s="246">
        <v>11</v>
      </c>
      <c r="E12" s="246">
        <v>28</v>
      </c>
      <c r="F12" s="246"/>
      <c r="G12" s="251">
        <v>65</v>
      </c>
    </row>
    <row r="13" spans="1:505" ht="15" customHeight="1" x14ac:dyDescent="0.3">
      <c r="A13" s="34" t="s">
        <v>262</v>
      </c>
      <c r="B13" s="34">
        <v>28</v>
      </c>
      <c r="C13" s="34">
        <v>102</v>
      </c>
      <c r="D13" s="34">
        <v>82</v>
      </c>
      <c r="E13" s="34">
        <v>104</v>
      </c>
      <c r="G13" s="34">
        <v>316</v>
      </c>
    </row>
    <row r="14" spans="1:505" ht="15" customHeight="1" x14ac:dyDescent="0.3">
      <c r="A14" s="34" t="s">
        <v>265</v>
      </c>
      <c r="B14" s="34">
        <v>33</v>
      </c>
      <c r="C14" s="34">
        <v>117</v>
      </c>
      <c r="D14" s="34">
        <v>72</v>
      </c>
      <c r="E14" s="34">
        <v>113</v>
      </c>
      <c r="G14" s="34">
        <v>335</v>
      </c>
    </row>
    <row r="15" spans="1:505" ht="15" customHeight="1" x14ac:dyDescent="0.3">
      <c r="A15" s="34" t="s">
        <v>266</v>
      </c>
      <c r="B15" s="34">
        <v>15</v>
      </c>
      <c r="C15" s="34">
        <v>74</v>
      </c>
      <c r="D15" s="34">
        <v>66</v>
      </c>
      <c r="E15" s="34">
        <v>83</v>
      </c>
      <c r="G15" s="34">
        <v>238</v>
      </c>
    </row>
    <row r="16" spans="1:505" ht="15" customHeight="1" x14ac:dyDescent="0.3">
      <c r="A16" s="34" t="s">
        <v>249</v>
      </c>
      <c r="B16" s="34">
        <v>38</v>
      </c>
      <c r="C16" s="34">
        <v>166</v>
      </c>
      <c r="D16" s="34">
        <v>134</v>
      </c>
      <c r="E16" s="34">
        <v>161</v>
      </c>
      <c r="G16" s="34">
        <v>499</v>
      </c>
    </row>
    <row r="17" spans="1:7" ht="15" customHeight="1" x14ac:dyDescent="0.3">
      <c r="A17" s="34" t="s">
        <v>267</v>
      </c>
      <c r="B17" s="34">
        <v>16</v>
      </c>
      <c r="C17" s="34">
        <v>92</v>
      </c>
      <c r="D17" s="34">
        <v>84</v>
      </c>
      <c r="E17" s="34">
        <v>108</v>
      </c>
      <c r="G17" s="34">
        <v>300</v>
      </c>
    </row>
    <row r="18" spans="1:7" ht="15" customHeight="1" x14ac:dyDescent="0.3">
      <c r="A18" s="245" t="s">
        <v>268</v>
      </c>
      <c r="B18" s="245">
        <v>85</v>
      </c>
      <c r="C18" s="245">
        <v>115</v>
      </c>
      <c r="D18" s="245">
        <v>99</v>
      </c>
      <c r="E18" s="245">
        <v>120</v>
      </c>
      <c r="F18" s="245">
        <v>117</v>
      </c>
      <c r="G18" s="245">
        <v>536</v>
      </c>
    </row>
    <row r="19" spans="1:7" ht="15" customHeight="1" x14ac:dyDescent="0.3">
      <c r="A19" s="34" t="s">
        <v>3</v>
      </c>
      <c r="B19" s="34">
        <v>691</v>
      </c>
      <c r="C19" s="34">
        <v>2831</v>
      </c>
      <c r="D19" s="34">
        <v>2144</v>
      </c>
      <c r="E19" s="34">
        <v>2578</v>
      </c>
      <c r="F19" s="34">
        <v>117</v>
      </c>
      <c r="G19" s="34">
        <v>8361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6550-6D25-4840-8A6C-DACFB2BE8477}">
  <sheetPr>
    <tabColor theme="2" tint="-0.249977111117893"/>
  </sheetPr>
  <dimension ref="A1:K39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318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322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40</v>
      </c>
      <c r="C4" s="226">
        <f ca="1">IFERROR(VLOOKUP(A4,'★탭스 피벗'!$A$1:$D$52,2,FALSE),0)</f>
        <v>0</v>
      </c>
      <c r="D4" s="226">
        <f t="shared" ref="D4:D12" ca="1" si="0">IFERROR(ROUNDDOWN(C4/B4,0),"")</f>
        <v>0</v>
      </c>
      <c r="E4" s="51" t="s">
        <v>256</v>
      </c>
      <c r="F4" s="227">
        <f t="shared" ref="F4:F12" ca="1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40</v>
      </c>
      <c r="C5" s="226">
        <f ca="1">IFERROR(VLOOKUP(A5,'★탭스 피벗'!$A$1:$D$52,2,FALSE),0)</f>
        <v>68</v>
      </c>
      <c r="D5" s="226">
        <f t="shared" ca="1" si="0"/>
        <v>1</v>
      </c>
      <c r="E5" s="51" t="s">
        <v>238</v>
      </c>
      <c r="F5" s="227">
        <f t="shared" ca="1" si="1"/>
        <v>28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40</v>
      </c>
      <c r="C6" s="226">
        <f ca="1">IFERROR(VLOOKUP(A6,'★탭스 피벗'!$A$1:$D$52,2,FALSE),0)</f>
        <v>38</v>
      </c>
      <c r="D6" s="226">
        <f ca="1">IFERROR(ROUNDDOWN(C6/B6,0),"")</f>
        <v>0</v>
      </c>
      <c r="E6" s="51" t="s">
        <v>257</v>
      </c>
      <c r="F6" s="227">
        <f ca="1">IFERROR(C6-(D6*B6),"")</f>
        <v>38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40</v>
      </c>
      <c r="C7" s="226">
        <f ca="1">IFERROR(VLOOKUP(A7,'★탭스 피벗'!$A$1:$D$52,2,FALSE),0)</f>
        <v>67</v>
      </c>
      <c r="D7" s="226">
        <f ca="1">IFERROR(ROUNDDOWN(C7/B7,0),"")</f>
        <v>1</v>
      </c>
      <c r="E7" s="51" t="s">
        <v>258</v>
      </c>
      <c r="F7" s="227">
        <f ca="1">IFERROR(C7-(D7*B7),"")</f>
        <v>27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40</v>
      </c>
      <c r="C8" s="226">
        <f ca="1">IFERROR(VLOOKUP(A8,'★탭스 피벗'!$A$1:$D$52,2,FALSE),0)</f>
        <v>72</v>
      </c>
      <c r="D8" s="226">
        <f ca="1">IFERROR(ROUNDDOWN(C8/B8,0),"")</f>
        <v>1</v>
      </c>
      <c r="E8" s="51" t="s">
        <v>259</v>
      </c>
      <c r="F8" s="227">
        <f ca="1">IFERROR(C8-(D8*B8),"")</f>
        <v>32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40</v>
      </c>
      <c r="C9" s="226">
        <f ca="1">IFERROR(VLOOKUP(A9,'★탭스 피벗'!$A$1:$D$52,2,FALSE),0)</f>
        <v>43</v>
      </c>
      <c r="D9" s="226">
        <f t="shared" ca="1" si="0"/>
        <v>1</v>
      </c>
      <c r="E9" s="51" t="s">
        <v>260</v>
      </c>
      <c r="F9" s="227">
        <f t="shared" ca="1" si="1"/>
        <v>3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40</v>
      </c>
      <c r="C10" s="226">
        <f ca="1">IFERROR(VLOOKUP(A10,'★탭스 피벗'!$A$1:$D$52,2,FALSE),0)</f>
        <v>62</v>
      </c>
      <c r="D10" s="226">
        <f ca="1">IFERROR(ROUNDDOWN(C10/B10,0),"")</f>
        <v>1</v>
      </c>
      <c r="E10" s="51" t="s">
        <v>261</v>
      </c>
      <c r="F10" s="227">
        <f ca="1">IFERROR(C10-(D10*B10),"")</f>
        <v>22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40</v>
      </c>
      <c r="C11" s="226">
        <f ca="1">IFERROR(VLOOKUP(A11,'★탭스 피벗'!$A$1:$D$52,2,FALSE),0)</f>
        <v>86</v>
      </c>
      <c r="D11" s="226">
        <f t="shared" ca="1" si="0"/>
        <v>2</v>
      </c>
      <c r="E11" s="51" t="s">
        <v>240</v>
      </c>
      <c r="F11" s="227">
        <f t="shared" ca="1" si="1"/>
        <v>6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40</v>
      </c>
      <c r="C12" s="226">
        <f ca="1">IFERROR(VLOOKUP(A12,'★탭스 피벗'!$A$1:$D$52,2,FALSE),0)</f>
        <v>28</v>
      </c>
      <c r="D12" s="226">
        <f t="shared" ca="1" si="0"/>
        <v>0</v>
      </c>
      <c r="E12" s="51" t="s">
        <v>108</v>
      </c>
      <c r="F12" s="227">
        <f t="shared" ca="1" si="1"/>
        <v>28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40</v>
      </c>
      <c r="C14" s="210">
        <f ca="1">SUM(C4:C12)</f>
        <v>464</v>
      </c>
      <c r="D14" s="55">
        <f ca="1">IFERROR(ROUNDDOWN(C14/B14,0),"")</f>
        <v>11</v>
      </c>
      <c r="E14" s="211"/>
      <c r="F14" s="212">
        <f ca="1">IFERROR(C14-(D14*B14),"")</f>
        <v>24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40</v>
      </c>
      <c r="C16" s="226">
        <f ca="1">IFERROR(VLOOKUP(A16,'★탭스 피벗'!$A$1:$D$52,2,FALSE),0)</f>
        <v>28</v>
      </c>
      <c r="D16" s="226">
        <f ca="1">IFERROR(ROUNDDOWN(C16/B16,0),"")</f>
        <v>0</v>
      </c>
      <c r="E16" s="51" t="s">
        <v>237</v>
      </c>
      <c r="F16" s="227">
        <f ca="1">IFERROR(C16-(D16*B16),"")</f>
        <v>28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40</v>
      </c>
      <c r="C17" s="226">
        <f ca="1">IFERROR(VLOOKUP(A17,'★탭스 피벗'!$A$1:$D$52,2,FALSE),0)</f>
        <v>23</v>
      </c>
      <c r="D17" s="226">
        <f ca="1">IFERROR(ROUNDDOWN(C17/B17,0),"")</f>
        <v>0</v>
      </c>
      <c r="E17" s="51" t="s">
        <v>236</v>
      </c>
      <c r="F17" s="227">
        <f ca="1">IFERROR(C17-(D17*B17),"")</f>
        <v>23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40</v>
      </c>
      <c r="C19" s="210">
        <f ca="1">SUM(C16:C17)</f>
        <v>51</v>
      </c>
      <c r="D19" s="55">
        <f ca="1">IFERROR(ROUNDDOWN(C19/B19,0),"")</f>
        <v>1</v>
      </c>
      <c r="E19" s="211"/>
      <c r="F19" s="212">
        <f ca="1">IFERROR(C19-(D19*B19),"")</f>
        <v>11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323</v>
      </c>
      <c r="B21" s="225">
        <f t="shared" ref="B21:B23" si="4">$B$4</f>
        <v>40</v>
      </c>
      <c r="C21" s="226">
        <f ca="1">IFERROR(VLOOKUP(A21,'★탭스 피벗'!$A$1:$D$52,2,FALSE),0)</f>
        <v>20</v>
      </c>
      <c r="D21" s="226">
        <f t="shared" ref="D21:D23" ca="1" si="5">IFERROR(ROUNDDOWN(C21/B21,0),"")</f>
        <v>0</v>
      </c>
      <c r="E21" s="51" t="s">
        <v>324</v>
      </c>
      <c r="F21" s="227">
        <f t="shared" ref="F21:F23" ca="1" si="6">IFERROR(C21-(D21*B21),"")</f>
        <v>20</v>
      </c>
      <c r="G21" s="67"/>
      <c r="H21" s="67"/>
      <c r="J21" s="73"/>
      <c r="K21" s="73"/>
    </row>
    <row r="22" spans="1:11" ht="30" customHeight="1" x14ac:dyDescent="0.3">
      <c r="A22" s="228" t="s">
        <v>325</v>
      </c>
      <c r="B22" s="225">
        <f t="shared" si="4"/>
        <v>40</v>
      </c>
      <c r="C22" s="226">
        <f ca="1">IFERROR(VLOOKUP(A22,'★탭스 피벗'!$A$1:$D$52,2,FALSE),0)</f>
        <v>7</v>
      </c>
      <c r="D22" s="226">
        <f t="shared" ca="1" si="5"/>
        <v>0</v>
      </c>
      <c r="E22" s="51" t="s">
        <v>326</v>
      </c>
      <c r="F22" s="227">
        <f t="shared" ca="1" si="6"/>
        <v>7</v>
      </c>
      <c r="G22" s="67"/>
      <c r="H22" s="67"/>
      <c r="J22" s="73"/>
      <c r="K22" s="73"/>
    </row>
    <row r="23" spans="1:11" ht="30" customHeight="1" x14ac:dyDescent="0.3">
      <c r="A23" s="228" t="s">
        <v>265</v>
      </c>
      <c r="B23" s="225">
        <f t="shared" si="4"/>
        <v>40</v>
      </c>
      <c r="C23" s="226">
        <f ca="1">IFERROR(VLOOKUP(A23,'★탭스 피벗'!$A$1:$D$52,2,FALSE),0)</f>
        <v>33</v>
      </c>
      <c r="D23" s="226">
        <f t="shared" ca="1" si="5"/>
        <v>0</v>
      </c>
      <c r="E23" s="51" t="s">
        <v>269</v>
      </c>
      <c r="F23" s="227">
        <f t="shared" ca="1" si="6"/>
        <v>33</v>
      </c>
      <c r="G23" s="67"/>
      <c r="H23" s="67"/>
      <c r="J23" s="73"/>
      <c r="K23" s="73"/>
    </row>
    <row r="24" spans="1:11" ht="4.5" customHeight="1" x14ac:dyDescent="0.3">
      <c r="A24" s="266"/>
      <c r="B24" s="267"/>
      <c r="C24" s="267"/>
      <c r="D24" s="267"/>
      <c r="E24" s="267"/>
      <c r="F24" s="268"/>
      <c r="G24" s="67"/>
      <c r="H24" s="67"/>
      <c r="J24" s="73"/>
      <c r="K24" s="73"/>
    </row>
    <row r="25" spans="1:11" ht="32.450000000000003" customHeight="1" x14ac:dyDescent="0.3">
      <c r="A25" s="209" t="s">
        <v>243</v>
      </c>
      <c r="B25" s="231">
        <f>$B$4</f>
        <v>40</v>
      </c>
      <c r="C25" s="210">
        <f ca="1">SUM(C21:C23)</f>
        <v>60</v>
      </c>
      <c r="D25" s="55">
        <f ca="1">IFERROR(ROUNDDOWN(C25/B25,0),"")</f>
        <v>1</v>
      </c>
      <c r="E25" s="211"/>
      <c r="F25" s="212">
        <f ca="1">IFERROR(C25-(D25*B25),"")</f>
        <v>20</v>
      </c>
      <c r="G25" s="67"/>
      <c r="H25" s="67"/>
      <c r="J25" s="73"/>
      <c r="K25" s="73"/>
    </row>
    <row r="26" spans="1:11" ht="4.5" customHeight="1" x14ac:dyDescent="0.3">
      <c r="A26" s="229"/>
      <c r="B26" s="225"/>
      <c r="C26" s="225"/>
      <c r="D26" s="225"/>
      <c r="E26" s="225"/>
      <c r="F26" s="230"/>
      <c r="G26" s="67"/>
      <c r="H26" s="67"/>
      <c r="J26" s="73"/>
      <c r="K26" s="73"/>
    </row>
    <row r="27" spans="1:11" ht="30" customHeight="1" x14ac:dyDescent="0.3">
      <c r="A27" s="228" t="s">
        <v>266</v>
      </c>
      <c r="B27" s="225">
        <f t="shared" ref="B27:B28" si="7">$B$4</f>
        <v>40</v>
      </c>
      <c r="C27" s="226">
        <f ca="1">IFERROR(VLOOKUP(A27,'★탭스 피벗'!$A$1:$D$52,2,FALSE),0)</f>
        <v>15</v>
      </c>
      <c r="D27" s="226">
        <f ca="1">IFERROR(ROUNDDOWN(C27/B27,0),"")</f>
        <v>0</v>
      </c>
      <c r="E27" s="51" t="s">
        <v>239</v>
      </c>
      <c r="F27" s="227">
        <f ca="1">IFERROR(C27-(D27*B27),"")</f>
        <v>15</v>
      </c>
      <c r="G27" s="67"/>
      <c r="H27" s="67"/>
      <c r="J27" s="73"/>
      <c r="K27" s="73"/>
    </row>
    <row r="28" spans="1:11" ht="30" customHeight="1" x14ac:dyDescent="0.3">
      <c r="A28" s="228" t="s">
        <v>267</v>
      </c>
      <c r="B28" s="225">
        <f t="shared" si="7"/>
        <v>40</v>
      </c>
      <c r="C28" s="226">
        <f ca="1">IFERROR(VLOOKUP(A28,'★탭스 피벗'!$A$1:$D$52,2,FALSE),0)</f>
        <v>16</v>
      </c>
      <c r="D28" s="226">
        <f t="shared" ref="D28" ca="1" si="8">IFERROR(ROUNDDOWN(C28/B28,0),"")</f>
        <v>0</v>
      </c>
      <c r="E28" s="51" t="s">
        <v>270</v>
      </c>
      <c r="F28" s="227">
        <f t="shared" ref="F28" ca="1" si="9">IFERROR(C28-(D28*B28),"")</f>
        <v>16</v>
      </c>
      <c r="G28" s="67"/>
      <c r="H28" s="67"/>
      <c r="J28" s="73"/>
      <c r="K28" s="73"/>
    </row>
    <row r="29" spans="1:11" ht="4.5" customHeight="1" x14ac:dyDescent="0.3">
      <c r="A29" s="266"/>
      <c r="B29" s="267"/>
      <c r="C29" s="267"/>
      <c r="D29" s="267"/>
      <c r="E29" s="267"/>
      <c r="F29" s="268"/>
      <c r="G29" s="67"/>
      <c r="H29" s="67"/>
      <c r="J29" s="73"/>
      <c r="K29" s="73"/>
    </row>
    <row r="30" spans="1:11" ht="32.450000000000003" customHeight="1" x14ac:dyDescent="0.3">
      <c r="A30" s="209" t="s">
        <v>242</v>
      </c>
      <c r="B30" s="231">
        <f>$B$4</f>
        <v>40</v>
      </c>
      <c r="C30" s="210">
        <f ca="1">SUM(C27:C28)</f>
        <v>31</v>
      </c>
      <c r="D30" s="55">
        <f ca="1">IFERROR(ROUNDDOWN(C30/B30,0),"")</f>
        <v>0</v>
      </c>
      <c r="E30" s="211"/>
      <c r="F30" s="212">
        <f ca="1">IFERROR(C30-(D30*B30),"")</f>
        <v>31</v>
      </c>
      <c r="G30" s="67"/>
      <c r="H30" s="67"/>
      <c r="J30" s="73"/>
      <c r="K30" s="73"/>
    </row>
    <row r="31" spans="1:11" ht="4.5" customHeight="1" x14ac:dyDescent="0.3">
      <c r="A31" s="229"/>
      <c r="B31" s="225"/>
      <c r="C31" s="225"/>
      <c r="D31" s="225"/>
      <c r="E31" s="225"/>
      <c r="F31" s="230"/>
      <c r="G31" s="67"/>
      <c r="H31" s="67"/>
      <c r="J31" s="73"/>
      <c r="K31" s="73"/>
    </row>
    <row r="32" spans="1:11" ht="30" customHeight="1" x14ac:dyDescent="0.3">
      <c r="A32" s="228" t="s">
        <v>268</v>
      </c>
      <c r="B32" s="225">
        <f t="shared" ref="B32" si="10">$B$4</f>
        <v>40</v>
      </c>
      <c r="C32" s="226">
        <f ca="1">IFERROR(VLOOKUP(A32,'★탭스 피벗'!$A$1:$D$52,2,FALSE),0)</f>
        <v>85</v>
      </c>
      <c r="D32" s="226">
        <f t="shared" ref="D32" ca="1" si="11">IFERROR(ROUNDDOWN(C32/B32,0),"")</f>
        <v>2</v>
      </c>
      <c r="E32" s="51" t="s">
        <v>241</v>
      </c>
      <c r="F32" s="227">
        <f t="shared" ref="F32" ca="1" si="12">IFERROR(C32-(D32*B32),"")</f>
        <v>5</v>
      </c>
      <c r="G32" s="67"/>
      <c r="H32" s="67"/>
      <c r="J32" s="73"/>
      <c r="K32" s="73"/>
    </row>
    <row r="33" spans="1:11" ht="4.5" customHeight="1" x14ac:dyDescent="0.3">
      <c r="A33" s="266"/>
      <c r="B33" s="267"/>
      <c r="C33" s="267"/>
      <c r="D33" s="267"/>
      <c r="E33" s="267"/>
      <c r="F33" s="268"/>
      <c r="G33" s="67"/>
      <c r="H33" s="67"/>
      <c r="J33" s="73"/>
      <c r="K33" s="73"/>
    </row>
    <row r="34" spans="1:11" ht="32.450000000000003" customHeight="1" x14ac:dyDescent="0.3">
      <c r="A34" s="209" t="s">
        <v>246</v>
      </c>
      <c r="B34" s="231">
        <f>$B$4</f>
        <v>40</v>
      </c>
      <c r="C34" s="210">
        <f ca="1">SUM(C32:C32)</f>
        <v>85</v>
      </c>
      <c r="D34" s="55">
        <f ca="1">IFERROR(ROUNDDOWN(C34/B34,0),"")</f>
        <v>2</v>
      </c>
      <c r="E34" s="211"/>
      <c r="F34" s="212">
        <f ca="1">IFERROR(C34-(D34*B34),"")</f>
        <v>5</v>
      </c>
      <c r="G34" s="67"/>
      <c r="H34" s="67"/>
      <c r="J34" s="73"/>
      <c r="K34" s="73"/>
    </row>
    <row r="35" spans="1:11" ht="4.5" customHeight="1" thickBot="1" x14ac:dyDescent="0.35">
      <c r="A35" s="229"/>
      <c r="B35" s="225"/>
      <c r="C35" s="225"/>
      <c r="D35" s="225"/>
      <c r="E35" s="225"/>
      <c r="F35" s="230"/>
      <c r="G35" s="67"/>
      <c r="H35" s="67"/>
      <c r="J35" s="73"/>
      <c r="K35" s="73"/>
    </row>
    <row r="36" spans="1:11" ht="26.25" x14ac:dyDescent="0.3">
      <c r="A36" s="207" t="s">
        <v>3</v>
      </c>
      <c r="B36" s="232">
        <f>$B$4</f>
        <v>40</v>
      </c>
      <c r="C36" s="55">
        <f ca="1">SUM(C4:C12,C27:C28,C21:C23,C16:C17,C32:C32)</f>
        <v>691</v>
      </c>
      <c r="D36" s="54">
        <f ca="1">IFERROR(ROUNDDOWN(C36/B36,0),"")</f>
        <v>17</v>
      </c>
      <c r="E36" s="56"/>
      <c r="F36" s="121">
        <f ca="1">IFERROR(C36-(D36*B36),"")</f>
        <v>11</v>
      </c>
      <c r="G36" s="217" t="s">
        <v>110</v>
      </c>
      <c r="H36" s="216" t="s">
        <v>111</v>
      </c>
      <c r="J36" s="73"/>
      <c r="K36" s="73"/>
    </row>
    <row r="37" spans="1:11" ht="30" customHeight="1" thickBot="1" x14ac:dyDescent="0.35">
      <c r="A37" s="233" t="s">
        <v>245</v>
      </c>
      <c r="B37" s="234" t="s">
        <v>173</v>
      </c>
      <c r="C37" s="40"/>
      <c r="D37" s="41">
        <f ca="1">SUM(D4:D12,D27:D28,D21:D23,D16:D17,D32:D32)</f>
        <v>9</v>
      </c>
      <c r="E37" s="48"/>
      <c r="F37" s="93">
        <f ca="1">SUM(F4:F12,F27:F28,F21:F23,F16:F17,F32:F32)</f>
        <v>331</v>
      </c>
      <c r="G37" s="213">
        <f ca="1">IFERROR(ROUNDDOWN(F37/B27,0),"")</f>
        <v>8</v>
      </c>
      <c r="H37" s="214">
        <f ca="1">IFERROR(F37-(G37*B27),"")</f>
        <v>11</v>
      </c>
    </row>
    <row r="38" spans="1:11" ht="22.5" customHeight="1" x14ac:dyDescent="0.3">
      <c r="C38" s="77">
        <f ca="1">C14+C19+C25+C30+C34</f>
        <v>691</v>
      </c>
      <c r="G38" s="197"/>
      <c r="H38" s="34" t="s">
        <v>174</v>
      </c>
    </row>
    <row r="39" spans="1:11" x14ac:dyDescent="0.3">
      <c r="C39" s="34" t="b">
        <f ca="1">C38=C36</f>
        <v>1</v>
      </c>
    </row>
  </sheetData>
  <mergeCells count="8">
    <mergeCell ref="A29:F29"/>
    <mergeCell ref="A33:F33"/>
    <mergeCell ref="A1:F1"/>
    <mergeCell ref="B2:F2"/>
    <mergeCell ref="A13:F13"/>
    <mergeCell ref="A18:F18"/>
    <mergeCell ref="A20:F20"/>
    <mergeCell ref="A24:F2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521B-90C8-4DBF-AF89-CCE34E40E4BE}">
  <sheetPr>
    <tabColor theme="2" tint="-0.249977111117893"/>
  </sheetPr>
  <dimension ref="A1:K39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318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332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40</v>
      </c>
      <c r="C4" s="226">
        <f ca="1">IFERROR(VLOOKUP(A4,'★탭스 피벗'!$A$1:$D$52,3,FALSE),0)</f>
        <v>0</v>
      </c>
      <c r="D4" s="226">
        <f t="shared" ref="D4:D12" ca="1" si="0">IFERROR(ROUNDDOWN(C4/B4,0),"")</f>
        <v>0</v>
      </c>
      <c r="E4" s="51" t="s">
        <v>256</v>
      </c>
      <c r="F4" s="227">
        <f t="shared" ref="F4:F12" ca="1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40</v>
      </c>
      <c r="C5" s="226">
        <f ca="1">IFERROR(VLOOKUP(A5,'★탭스 피벗'!$A$1:$D$52,3,FALSE),0)</f>
        <v>179</v>
      </c>
      <c r="D5" s="226">
        <f t="shared" ca="1" si="0"/>
        <v>4</v>
      </c>
      <c r="E5" s="51" t="s">
        <v>238</v>
      </c>
      <c r="F5" s="227">
        <f t="shared" ca="1" si="1"/>
        <v>19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40</v>
      </c>
      <c r="C6" s="226">
        <f ca="1">IFERROR(VLOOKUP(A6,'★탭스 피벗'!$A$1:$D$52,3,FALSE),0)</f>
        <v>166</v>
      </c>
      <c r="D6" s="226">
        <f ca="1">IFERROR(ROUNDDOWN(C6/B6,0),"")</f>
        <v>4</v>
      </c>
      <c r="E6" s="51" t="s">
        <v>257</v>
      </c>
      <c r="F6" s="227">
        <f ca="1">IFERROR(C6-(D6*B6),"")</f>
        <v>6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40</v>
      </c>
      <c r="C7" s="226">
        <f ca="1">IFERROR(VLOOKUP(A7,'★탭스 피벗'!$A$1:$D$52,3,FALSE),0)</f>
        <v>316</v>
      </c>
      <c r="D7" s="226">
        <f ca="1">IFERROR(ROUNDDOWN(C7/B7,0),"")</f>
        <v>7</v>
      </c>
      <c r="E7" s="51" t="s">
        <v>258</v>
      </c>
      <c r="F7" s="227">
        <f ca="1">IFERROR(C7-(D7*B7),"")</f>
        <v>36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40</v>
      </c>
      <c r="C8" s="226">
        <f ca="1">IFERROR(VLOOKUP(A8,'★탭스 피벗'!$A$1:$D$52,3,FALSE),0)</f>
        <v>324</v>
      </c>
      <c r="D8" s="226">
        <f ca="1">IFERROR(ROUNDDOWN(C8/B8,0),"")</f>
        <v>8</v>
      </c>
      <c r="E8" s="51" t="s">
        <v>259</v>
      </c>
      <c r="F8" s="227">
        <f ca="1">IFERROR(C8-(D8*B8),"")</f>
        <v>4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40</v>
      </c>
      <c r="C9" s="226">
        <f ca="1">IFERROR(VLOOKUP(A9,'★탭스 피벗'!$A$1:$D$52,3,FALSE),0)</f>
        <v>332</v>
      </c>
      <c r="D9" s="226">
        <f t="shared" ca="1" si="0"/>
        <v>8</v>
      </c>
      <c r="E9" s="51" t="s">
        <v>260</v>
      </c>
      <c r="F9" s="227">
        <f t="shared" ca="1" si="1"/>
        <v>12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40</v>
      </c>
      <c r="C10" s="226">
        <f ca="1">IFERROR(VLOOKUP(A10,'★탭스 피벗'!$A$1:$D$52,3,FALSE),0)</f>
        <v>281</v>
      </c>
      <c r="D10" s="226">
        <f ca="1">IFERROR(ROUNDDOWN(C10/B10,0),"")</f>
        <v>7</v>
      </c>
      <c r="E10" s="51" t="s">
        <v>261</v>
      </c>
      <c r="F10" s="227">
        <f ca="1">IFERROR(C10-(D10*B10),"")</f>
        <v>1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40</v>
      </c>
      <c r="C11" s="226">
        <f ca="1">IFERROR(VLOOKUP(A11,'★탭스 피벗'!$A$1:$D$52,3,FALSE),0)</f>
        <v>389</v>
      </c>
      <c r="D11" s="226">
        <f t="shared" ca="1" si="0"/>
        <v>9</v>
      </c>
      <c r="E11" s="51" t="s">
        <v>240</v>
      </c>
      <c r="F11" s="227">
        <f t="shared" ca="1" si="1"/>
        <v>29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40</v>
      </c>
      <c r="C12" s="226">
        <f ca="1">IFERROR(VLOOKUP(A12,'★탭스 피벗'!$A$1:$D$52,3,FALSE),0)</f>
        <v>101</v>
      </c>
      <c r="D12" s="226">
        <f t="shared" ca="1" si="0"/>
        <v>2</v>
      </c>
      <c r="E12" s="51" t="s">
        <v>108</v>
      </c>
      <c r="F12" s="227">
        <f t="shared" ca="1" si="1"/>
        <v>21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40</v>
      </c>
      <c r="C14" s="210">
        <f ca="1">SUM(C4:C12)</f>
        <v>2088</v>
      </c>
      <c r="D14" s="55">
        <f ca="1">IFERROR(ROUNDDOWN(C14/B14,0),"")</f>
        <v>52</v>
      </c>
      <c r="E14" s="211"/>
      <c r="F14" s="212">
        <f ca="1">IFERROR(C14-(D14*B14),"")</f>
        <v>8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40</v>
      </c>
      <c r="C16" s="226">
        <f ca="1">IFERROR(VLOOKUP(A16,'★탭스 피벗'!$A$1:$D$52,3,FALSE),0)</f>
        <v>102</v>
      </c>
      <c r="D16" s="226">
        <f ca="1">IFERROR(ROUNDDOWN(C16/B16,0),"")</f>
        <v>2</v>
      </c>
      <c r="E16" s="51" t="s">
        <v>237</v>
      </c>
      <c r="F16" s="227">
        <f ca="1">IFERROR(C16-(D16*B16),"")</f>
        <v>22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40</v>
      </c>
      <c r="C17" s="226">
        <f ca="1">IFERROR(VLOOKUP(A17,'★탭스 피벗'!$A$1:$D$52,3,FALSE),0)</f>
        <v>108</v>
      </c>
      <c r="D17" s="226">
        <f ca="1">IFERROR(ROUNDDOWN(C17/B17,0),"")</f>
        <v>2</v>
      </c>
      <c r="E17" s="51" t="s">
        <v>236</v>
      </c>
      <c r="F17" s="227">
        <f ca="1">IFERROR(C17-(D17*B17),"")</f>
        <v>28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40</v>
      </c>
      <c r="C19" s="210">
        <f ca="1">SUM(C16:C17)</f>
        <v>210</v>
      </c>
      <c r="D19" s="55">
        <f ca="1">IFERROR(ROUNDDOWN(C19/B19,0),"")</f>
        <v>5</v>
      </c>
      <c r="E19" s="211"/>
      <c r="F19" s="212">
        <f ca="1">IFERROR(C19-(D19*B19),"")</f>
        <v>10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323</v>
      </c>
      <c r="B21" s="225">
        <f t="shared" ref="B21:B23" si="4">$B$4</f>
        <v>40</v>
      </c>
      <c r="C21" s="226">
        <f ca="1">IFERROR(VLOOKUP(A21,'★탭스 피벗'!$A$1:$D$52,3,FALSE),0)</f>
        <v>116</v>
      </c>
      <c r="D21" s="226">
        <f t="shared" ref="D21:D23" ca="1" si="5">IFERROR(ROUNDDOWN(C21/B21,0),"")</f>
        <v>2</v>
      </c>
      <c r="E21" s="51" t="s">
        <v>324</v>
      </c>
      <c r="F21" s="227">
        <f t="shared" ref="F21:F23" ca="1" si="6">IFERROR(C21-(D21*B21),"")</f>
        <v>36</v>
      </c>
      <c r="G21" s="67"/>
      <c r="H21" s="67"/>
      <c r="J21" s="73"/>
      <c r="K21" s="73"/>
    </row>
    <row r="22" spans="1:11" ht="30" customHeight="1" x14ac:dyDescent="0.3">
      <c r="A22" s="228" t="s">
        <v>325</v>
      </c>
      <c r="B22" s="225">
        <f t="shared" si="4"/>
        <v>40</v>
      </c>
      <c r="C22" s="226">
        <f ca="1">IFERROR(VLOOKUP(A22,'★탭스 피벗'!$A$1:$D$52,3,FALSE),0)</f>
        <v>19</v>
      </c>
      <c r="D22" s="226">
        <f t="shared" ca="1" si="5"/>
        <v>0</v>
      </c>
      <c r="E22" s="51" t="s">
        <v>326</v>
      </c>
      <c r="F22" s="227">
        <f t="shared" ca="1" si="6"/>
        <v>19</v>
      </c>
      <c r="G22" s="67"/>
      <c r="H22" s="67"/>
      <c r="J22" s="73"/>
      <c r="K22" s="73"/>
    </row>
    <row r="23" spans="1:11" ht="30" customHeight="1" x14ac:dyDescent="0.3">
      <c r="A23" s="228" t="s">
        <v>265</v>
      </c>
      <c r="B23" s="225">
        <f t="shared" si="4"/>
        <v>40</v>
      </c>
      <c r="C23" s="226">
        <f ca="1">IFERROR(VLOOKUP(A23,'★탭스 피벗'!$A$1:$D$52,3,FALSE),0)</f>
        <v>117</v>
      </c>
      <c r="D23" s="226">
        <f t="shared" ca="1" si="5"/>
        <v>2</v>
      </c>
      <c r="E23" s="51" t="s">
        <v>269</v>
      </c>
      <c r="F23" s="227">
        <f t="shared" ca="1" si="6"/>
        <v>37</v>
      </c>
      <c r="G23" s="67"/>
      <c r="H23" s="67"/>
      <c r="J23" s="73"/>
      <c r="K23" s="73"/>
    </row>
    <row r="24" spans="1:11" ht="4.5" customHeight="1" x14ac:dyDescent="0.3">
      <c r="A24" s="266"/>
      <c r="B24" s="267"/>
      <c r="C24" s="267"/>
      <c r="D24" s="267"/>
      <c r="E24" s="267"/>
      <c r="F24" s="268"/>
      <c r="G24" s="67"/>
      <c r="H24" s="67"/>
      <c r="J24" s="73"/>
      <c r="K24" s="73"/>
    </row>
    <row r="25" spans="1:11" ht="32.450000000000003" customHeight="1" x14ac:dyDescent="0.3">
      <c r="A25" s="209" t="s">
        <v>243</v>
      </c>
      <c r="B25" s="231">
        <f>$B$4</f>
        <v>40</v>
      </c>
      <c r="C25" s="210">
        <f ca="1">SUM(C21:C23)</f>
        <v>252</v>
      </c>
      <c r="D25" s="55">
        <f ca="1">IFERROR(ROUNDDOWN(C25/B25,0),"")</f>
        <v>6</v>
      </c>
      <c r="E25" s="211"/>
      <c r="F25" s="212">
        <f ca="1">IFERROR(C25-(D25*B25),"")</f>
        <v>12</v>
      </c>
      <c r="G25" s="67"/>
      <c r="H25" s="67"/>
      <c r="J25" s="73"/>
      <c r="K25" s="73"/>
    </row>
    <row r="26" spans="1:11" ht="4.5" customHeight="1" x14ac:dyDescent="0.3">
      <c r="A26" s="229"/>
      <c r="B26" s="225"/>
      <c r="C26" s="225"/>
      <c r="D26" s="225"/>
      <c r="E26" s="225"/>
      <c r="F26" s="230"/>
      <c r="G26" s="67"/>
      <c r="H26" s="67"/>
      <c r="J26" s="73"/>
      <c r="K26" s="73"/>
    </row>
    <row r="27" spans="1:11" ht="30" customHeight="1" x14ac:dyDescent="0.3">
      <c r="A27" s="228" t="s">
        <v>266</v>
      </c>
      <c r="B27" s="225">
        <f t="shared" ref="B27:B28" si="7">$B$4</f>
        <v>40</v>
      </c>
      <c r="C27" s="226">
        <f ca="1">IFERROR(VLOOKUP(A27,'★탭스 피벗'!$A$1:$D$52,3,FALSE),0)</f>
        <v>74</v>
      </c>
      <c r="D27" s="226">
        <f ca="1">IFERROR(ROUNDDOWN(C27/B27,0),"")</f>
        <v>1</v>
      </c>
      <c r="E27" s="51" t="s">
        <v>239</v>
      </c>
      <c r="F27" s="227">
        <f ca="1">IFERROR(C27-(D27*B27),"")</f>
        <v>34</v>
      </c>
      <c r="G27" s="67"/>
      <c r="H27" s="67"/>
      <c r="J27" s="73"/>
      <c r="K27" s="73"/>
    </row>
    <row r="28" spans="1:11" ht="30" customHeight="1" x14ac:dyDescent="0.3">
      <c r="A28" s="228" t="s">
        <v>267</v>
      </c>
      <c r="B28" s="225">
        <f t="shared" si="7"/>
        <v>40</v>
      </c>
      <c r="C28" s="226">
        <f ca="1">IFERROR(VLOOKUP(A28,'★탭스 피벗'!$A$1:$D$52,3,FALSE),0)</f>
        <v>92</v>
      </c>
      <c r="D28" s="226">
        <f t="shared" ref="D28" ca="1" si="8">IFERROR(ROUNDDOWN(C28/B28,0),"")</f>
        <v>2</v>
      </c>
      <c r="E28" s="51" t="s">
        <v>270</v>
      </c>
      <c r="F28" s="227">
        <f t="shared" ref="F28" ca="1" si="9">IFERROR(C28-(D28*B28),"")</f>
        <v>12</v>
      </c>
      <c r="G28" s="67"/>
      <c r="H28" s="67"/>
      <c r="J28" s="73"/>
      <c r="K28" s="73"/>
    </row>
    <row r="29" spans="1:11" ht="4.5" customHeight="1" x14ac:dyDescent="0.3">
      <c r="A29" s="266"/>
      <c r="B29" s="267"/>
      <c r="C29" s="267"/>
      <c r="D29" s="267"/>
      <c r="E29" s="267"/>
      <c r="F29" s="268"/>
      <c r="G29" s="67"/>
      <c r="H29" s="67"/>
      <c r="J29" s="73"/>
      <c r="K29" s="73"/>
    </row>
    <row r="30" spans="1:11" ht="32.450000000000003" customHeight="1" x14ac:dyDescent="0.3">
      <c r="A30" s="209" t="s">
        <v>242</v>
      </c>
      <c r="B30" s="231">
        <f>$B$4</f>
        <v>40</v>
      </c>
      <c r="C30" s="210">
        <f ca="1">SUM(C27:C28)</f>
        <v>166</v>
      </c>
      <c r="D30" s="55">
        <f ca="1">IFERROR(ROUNDDOWN(C30/B30,0),"")</f>
        <v>4</v>
      </c>
      <c r="E30" s="211"/>
      <c r="F30" s="212">
        <f ca="1">IFERROR(C30-(D30*B30),"")</f>
        <v>6</v>
      </c>
      <c r="G30" s="67"/>
      <c r="H30" s="67"/>
      <c r="J30" s="73"/>
      <c r="K30" s="73"/>
    </row>
    <row r="31" spans="1:11" ht="4.5" customHeight="1" x14ac:dyDescent="0.3">
      <c r="A31" s="229"/>
      <c r="B31" s="225"/>
      <c r="C31" s="225"/>
      <c r="D31" s="225"/>
      <c r="E31" s="225"/>
      <c r="F31" s="230"/>
      <c r="G31" s="67"/>
      <c r="H31" s="67"/>
      <c r="J31" s="73"/>
      <c r="K31" s="73"/>
    </row>
    <row r="32" spans="1:11" ht="30" customHeight="1" x14ac:dyDescent="0.3">
      <c r="A32" s="228" t="s">
        <v>268</v>
      </c>
      <c r="B32" s="225">
        <f t="shared" ref="B32" si="10">$B$4</f>
        <v>40</v>
      </c>
      <c r="C32" s="226">
        <f ca="1">IFERROR(VLOOKUP(A32,'★탭스 피벗'!$A$1:$D$52,3,FALSE),0)</f>
        <v>115</v>
      </c>
      <c r="D32" s="226">
        <f t="shared" ref="D32" ca="1" si="11">IFERROR(ROUNDDOWN(C32/B32,0),"")</f>
        <v>2</v>
      </c>
      <c r="E32" s="51" t="s">
        <v>241</v>
      </c>
      <c r="F32" s="227">
        <f t="shared" ref="F32" ca="1" si="12">IFERROR(C32-(D32*B32),"")</f>
        <v>35</v>
      </c>
      <c r="G32" s="67"/>
      <c r="H32" s="67"/>
      <c r="J32" s="73"/>
      <c r="K32" s="73"/>
    </row>
    <row r="33" spans="1:11" ht="4.5" customHeight="1" x14ac:dyDescent="0.3">
      <c r="A33" s="266"/>
      <c r="B33" s="267"/>
      <c r="C33" s="267"/>
      <c r="D33" s="267"/>
      <c r="E33" s="267"/>
      <c r="F33" s="268"/>
      <c r="G33" s="67"/>
      <c r="H33" s="67"/>
      <c r="J33" s="73"/>
      <c r="K33" s="73"/>
    </row>
    <row r="34" spans="1:11" ht="32.450000000000003" customHeight="1" x14ac:dyDescent="0.3">
      <c r="A34" s="209" t="s">
        <v>246</v>
      </c>
      <c r="B34" s="231">
        <f>$B$4</f>
        <v>40</v>
      </c>
      <c r="C34" s="210">
        <f ca="1">SUM(C32:C32)</f>
        <v>115</v>
      </c>
      <c r="D34" s="55">
        <f ca="1">IFERROR(ROUNDDOWN(C34/B34,0),"")</f>
        <v>2</v>
      </c>
      <c r="E34" s="211"/>
      <c r="F34" s="212">
        <f ca="1">IFERROR(C34-(D34*B34),"")</f>
        <v>35</v>
      </c>
      <c r="G34" s="67"/>
      <c r="H34" s="67"/>
      <c r="J34" s="73"/>
      <c r="K34" s="73"/>
    </row>
    <row r="35" spans="1:11" ht="4.5" customHeight="1" thickBot="1" x14ac:dyDescent="0.35">
      <c r="A35" s="229"/>
      <c r="B35" s="225"/>
      <c r="C35" s="225"/>
      <c r="D35" s="225"/>
      <c r="E35" s="225"/>
      <c r="F35" s="230"/>
      <c r="G35" s="67"/>
      <c r="H35" s="67"/>
      <c r="J35" s="73"/>
      <c r="K35" s="73"/>
    </row>
    <row r="36" spans="1:11" ht="26.25" x14ac:dyDescent="0.3">
      <c r="A36" s="207" t="s">
        <v>3</v>
      </c>
      <c r="B36" s="232">
        <f>$B$4</f>
        <v>40</v>
      </c>
      <c r="C36" s="55">
        <f ca="1">SUM(C4:C12,C27:C28,C21:C23,C16:C17,C32:C32)</f>
        <v>2831</v>
      </c>
      <c r="D36" s="54">
        <f ca="1">IFERROR(ROUNDDOWN(C36/B36,0),"")</f>
        <v>70</v>
      </c>
      <c r="E36" s="56"/>
      <c r="F36" s="121">
        <f ca="1">IFERROR(C36-(D36*B36),"")</f>
        <v>31</v>
      </c>
      <c r="G36" s="217" t="s">
        <v>110</v>
      </c>
      <c r="H36" s="216" t="s">
        <v>111</v>
      </c>
      <c r="J36" s="73"/>
      <c r="K36" s="73"/>
    </row>
    <row r="37" spans="1:11" ht="30" customHeight="1" thickBot="1" x14ac:dyDescent="0.35">
      <c r="A37" s="233" t="s">
        <v>245</v>
      </c>
      <c r="B37" s="234" t="s">
        <v>173</v>
      </c>
      <c r="C37" s="40"/>
      <c r="D37" s="41">
        <f ca="1">SUM(D4:D12,D27:D28,D21:D23,D16:D17,D32:D32)</f>
        <v>62</v>
      </c>
      <c r="E37" s="48"/>
      <c r="F37" s="93">
        <f ca="1">SUM(F4:F12,F27:F28,F21:F23,F16:F17,F32:F32)</f>
        <v>351</v>
      </c>
      <c r="G37" s="213">
        <f ca="1">IFERROR(ROUNDDOWN(F37/B27,0),"")</f>
        <v>8</v>
      </c>
      <c r="H37" s="214">
        <f ca="1">IFERROR(F37-(G37*B27),"")</f>
        <v>31</v>
      </c>
    </row>
    <row r="38" spans="1:11" ht="22.5" customHeight="1" x14ac:dyDescent="0.3">
      <c r="C38" s="77">
        <f ca="1">C14+C19+C25+C30+C34</f>
        <v>2831</v>
      </c>
      <c r="G38" s="197"/>
      <c r="H38" s="34" t="s">
        <v>174</v>
      </c>
    </row>
    <row r="39" spans="1:11" x14ac:dyDescent="0.3">
      <c r="C39" s="34" t="b">
        <f ca="1">C38=C36</f>
        <v>1</v>
      </c>
    </row>
  </sheetData>
  <mergeCells count="8">
    <mergeCell ref="A29:F29"/>
    <mergeCell ref="A33:F33"/>
    <mergeCell ref="A1:F1"/>
    <mergeCell ref="B2:F2"/>
    <mergeCell ref="A13:F13"/>
    <mergeCell ref="A18:F18"/>
    <mergeCell ref="A20:F20"/>
    <mergeCell ref="A24:F2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55E-D3D0-4075-B65F-AF7BC9E3D50C}">
  <sheetPr>
    <tabColor theme="2" tint="-0.249977111117893"/>
  </sheetPr>
  <dimension ref="A1:K39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318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333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40</v>
      </c>
      <c r="C4" s="226">
        <f ca="1">IFERROR(VLOOKUP(A4,'★탭스 피벗'!$A$1:$D$52,4,FALSE),0)</f>
        <v>0</v>
      </c>
      <c r="D4" s="226">
        <f t="shared" ref="D4:D12" ca="1" si="0">IFERROR(ROUNDDOWN(C4/B4,0),"")</f>
        <v>0</v>
      </c>
      <c r="E4" s="51" t="s">
        <v>256</v>
      </c>
      <c r="F4" s="227">
        <f t="shared" ref="F4:F12" ca="1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40</v>
      </c>
      <c r="C5" s="226">
        <f ca="1">IFERROR(VLOOKUP(A5,'★탭스 피벗'!$A$1:$D$52,4,FALSE),0)</f>
        <v>158</v>
      </c>
      <c r="D5" s="226">
        <f t="shared" ca="1" si="0"/>
        <v>3</v>
      </c>
      <c r="E5" s="51" t="s">
        <v>238</v>
      </c>
      <c r="F5" s="227">
        <f t="shared" ca="1" si="1"/>
        <v>38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40</v>
      </c>
      <c r="C6" s="226">
        <f ca="1">IFERROR(VLOOKUP(A6,'★탭스 피벗'!$A$1:$D$52,4,FALSE),0)</f>
        <v>134</v>
      </c>
      <c r="D6" s="226">
        <f ca="1">IFERROR(ROUNDDOWN(C6/B6,0),"")</f>
        <v>3</v>
      </c>
      <c r="E6" s="51" t="s">
        <v>257</v>
      </c>
      <c r="F6" s="227">
        <f ca="1">IFERROR(C6-(D6*B6),"")</f>
        <v>14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40</v>
      </c>
      <c r="C7" s="226">
        <f ca="1">IFERROR(VLOOKUP(A7,'★탭스 피벗'!$A$1:$D$52,4,FALSE),0)</f>
        <v>237</v>
      </c>
      <c r="D7" s="226">
        <f ca="1">IFERROR(ROUNDDOWN(C7/B7,0),"")</f>
        <v>5</v>
      </c>
      <c r="E7" s="51" t="s">
        <v>258</v>
      </c>
      <c r="F7" s="227">
        <f ca="1">IFERROR(C7-(D7*B7),"")</f>
        <v>37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40</v>
      </c>
      <c r="C8" s="226">
        <f ca="1">IFERROR(VLOOKUP(A8,'★탭스 피벗'!$A$1:$D$52,4,FALSE),0)</f>
        <v>251</v>
      </c>
      <c r="D8" s="226">
        <f ca="1">IFERROR(ROUNDDOWN(C8/B8,0),"")</f>
        <v>6</v>
      </c>
      <c r="E8" s="51" t="s">
        <v>259</v>
      </c>
      <c r="F8" s="227">
        <f ca="1">IFERROR(C8-(D8*B8),"")</f>
        <v>11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40</v>
      </c>
      <c r="C9" s="226">
        <f ca="1">IFERROR(VLOOKUP(A9,'★탭스 피벗'!$A$1:$D$52,4,FALSE),0)</f>
        <v>218</v>
      </c>
      <c r="D9" s="226">
        <f t="shared" ca="1" si="0"/>
        <v>5</v>
      </c>
      <c r="E9" s="51" t="s">
        <v>260</v>
      </c>
      <c r="F9" s="227">
        <f t="shared" ca="1" si="1"/>
        <v>18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40</v>
      </c>
      <c r="C10" s="226">
        <f ca="1">IFERROR(VLOOKUP(A10,'★탭스 피벗'!$A$1:$D$52,4,FALSE),0)</f>
        <v>189</v>
      </c>
      <c r="D10" s="226">
        <f ca="1">IFERROR(ROUNDDOWN(C10/B10,0),"")</f>
        <v>4</v>
      </c>
      <c r="E10" s="51" t="s">
        <v>261</v>
      </c>
      <c r="F10" s="227">
        <f ca="1">IFERROR(C10-(D10*B10),"")</f>
        <v>29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40</v>
      </c>
      <c r="C11" s="226">
        <f ca="1">IFERROR(VLOOKUP(A11,'★탭스 피벗'!$A$1:$D$52,4,FALSE),0)</f>
        <v>278</v>
      </c>
      <c r="D11" s="226">
        <f t="shared" ca="1" si="0"/>
        <v>6</v>
      </c>
      <c r="E11" s="51" t="s">
        <v>240</v>
      </c>
      <c r="F11" s="227">
        <f t="shared" ca="1" si="1"/>
        <v>38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40</v>
      </c>
      <c r="C12" s="226">
        <f ca="1">IFERROR(VLOOKUP(A12,'★탭스 피벗'!$A$1:$D$52,4,FALSE),0)</f>
        <v>82</v>
      </c>
      <c r="D12" s="226">
        <f t="shared" ca="1" si="0"/>
        <v>2</v>
      </c>
      <c r="E12" s="51" t="s">
        <v>108</v>
      </c>
      <c r="F12" s="227">
        <f t="shared" ca="1" si="1"/>
        <v>2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40</v>
      </c>
      <c r="C14" s="210">
        <f ca="1">SUM(C4:C12)</f>
        <v>1547</v>
      </c>
      <c r="D14" s="55">
        <f ca="1">IFERROR(ROUNDDOWN(C14/B14,0),"")</f>
        <v>38</v>
      </c>
      <c r="E14" s="211"/>
      <c r="F14" s="212">
        <f ca="1">IFERROR(C14-(D14*B14),"")</f>
        <v>27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40</v>
      </c>
      <c r="C16" s="226">
        <f ca="1">IFERROR(VLOOKUP(A16,'★탭스 피벗'!$A$1:$D$52,4,FALSE),0)</f>
        <v>82</v>
      </c>
      <c r="D16" s="226">
        <f ca="1">IFERROR(ROUNDDOWN(C16/B16,0),"")</f>
        <v>2</v>
      </c>
      <c r="E16" s="51" t="s">
        <v>237</v>
      </c>
      <c r="F16" s="227">
        <f ca="1">IFERROR(C16-(D16*B16),"")</f>
        <v>2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40</v>
      </c>
      <c r="C17" s="226">
        <f ca="1">IFERROR(VLOOKUP(A17,'★탭스 피벗'!$A$1:$D$52,4,FALSE),0)</f>
        <v>91</v>
      </c>
      <c r="D17" s="226">
        <f ca="1">IFERROR(ROUNDDOWN(C17/B17,0),"")</f>
        <v>2</v>
      </c>
      <c r="E17" s="51" t="s">
        <v>236</v>
      </c>
      <c r="F17" s="227">
        <f ca="1">IFERROR(C17-(D17*B17),"")</f>
        <v>11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40</v>
      </c>
      <c r="C19" s="210">
        <f ca="1">SUM(C16:C17)</f>
        <v>173</v>
      </c>
      <c r="D19" s="55">
        <f ca="1">IFERROR(ROUNDDOWN(C19/B19,0),"")</f>
        <v>4</v>
      </c>
      <c r="E19" s="211"/>
      <c r="F19" s="212">
        <f ca="1">IFERROR(C19-(D19*B19),"")</f>
        <v>13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323</v>
      </c>
      <c r="B21" s="225">
        <f t="shared" ref="B21:B23" si="4">$B$4</f>
        <v>40</v>
      </c>
      <c r="C21" s="226">
        <f ca="1">IFERROR(VLOOKUP(A21,'★탭스 피벗'!$A$1:$D$52,4,FALSE),0)</f>
        <v>92</v>
      </c>
      <c r="D21" s="226">
        <f t="shared" ref="D21:D23" ca="1" si="5">IFERROR(ROUNDDOWN(C21/B21,0),"")</f>
        <v>2</v>
      </c>
      <c r="E21" s="51" t="s">
        <v>324</v>
      </c>
      <c r="F21" s="227">
        <f t="shared" ref="F21:F23" ca="1" si="6">IFERROR(C21-(D21*B21),"")</f>
        <v>12</v>
      </c>
      <c r="G21" s="67"/>
      <c r="H21" s="67"/>
      <c r="J21" s="73"/>
      <c r="K21" s="73"/>
    </row>
    <row r="22" spans="1:11" ht="30" customHeight="1" x14ac:dyDescent="0.3">
      <c r="A22" s="228" t="s">
        <v>325</v>
      </c>
      <c r="B22" s="225">
        <f t="shared" si="4"/>
        <v>40</v>
      </c>
      <c r="C22" s="226">
        <f ca="1">IFERROR(VLOOKUP(A22,'★탭스 피벗'!$A$1:$D$52,4,FALSE),0)</f>
        <v>11</v>
      </c>
      <c r="D22" s="226">
        <f t="shared" ca="1" si="5"/>
        <v>0</v>
      </c>
      <c r="E22" s="51" t="s">
        <v>326</v>
      </c>
      <c r="F22" s="227">
        <f t="shared" ca="1" si="6"/>
        <v>11</v>
      </c>
      <c r="G22" s="67"/>
      <c r="H22" s="67"/>
      <c r="J22" s="73"/>
      <c r="K22" s="73"/>
    </row>
    <row r="23" spans="1:11" ht="30" customHeight="1" x14ac:dyDescent="0.3">
      <c r="A23" s="228" t="s">
        <v>265</v>
      </c>
      <c r="B23" s="225">
        <f t="shared" si="4"/>
        <v>40</v>
      </c>
      <c r="C23" s="226">
        <f ca="1">IFERROR(VLOOKUP(A23,'★탭스 피벗'!$A$1:$D$52,4,FALSE),0)</f>
        <v>72</v>
      </c>
      <c r="D23" s="226">
        <f t="shared" ca="1" si="5"/>
        <v>1</v>
      </c>
      <c r="E23" s="51" t="s">
        <v>269</v>
      </c>
      <c r="F23" s="227">
        <f t="shared" ca="1" si="6"/>
        <v>32</v>
      </c>
      <c r="G23" s="67"/>
      <c r="H23" s="67"/>
      <c r="J23" s="73"/>
      <c r="K23" s="73"/>
    </row>
    <row r="24" spans="1:11" ht="4.5" customHeight="1" x14ac:dyDescent="0.3">
      <c r="A24" s="266"/>
      <c r="B24" s="267"/>
      <c r="C24" s="267"/>
      <c r="D24" s="267"/>
      <c r="E24" s="267"/>
      <c r="F24" s="268"/>
      <c r="G24" s="67"/>
      <c r="H24" s="67"/>
      <c r="J24" s="73"/>
      <c r="K24" s="73"/>
    </row>
    <row r="25" spans="1:11" ht="32.450000000000003" customHeight="1" x14ac:dyDescent="0.3">
      <c r="A25" s="209" t="s">
        <v>243</v>
      </c>
      <c r="B25" s="231">
        <f>$B$4</f>
        <v>40</v>
      </c>
      <c r="C25" s="210">
        <f ca="1">SUM(C21:C23)</f>
        <v>175</v>
      </c>
      <c r="D25" s="55">
        <f ca="1">IFERROR(ROUNDDOWN(C25/B25,0),"")</f>
        <v>4</v>
      </c>
      <c r="E25" s="211"/>
      <c r="F25" s="212">
        <f ca="1">IFERROR(C25-(D25*B25),"")</f>
        <v>15</v>
      </c>
      <c r="G25" s="67"/>
      <c r="H25" s="67"/>
      <c r="J25" s="73"/>
      <c r="K25" s="73"/>
    </row>
    <row r="26" spans="1:11" ht="4.5" customHeight="1" x14ac:dyDescent="0.3">
      <c r="A26" s="229"/>
      <c r="B26" s="225"/>
      <c r="C26" s="225"/>
      <c r="D26" s="225"/>
      <c r="E26" s="225"/>
      <c r="F26" s="230"/>
      <c r="G26" s="67"/>
      <c r="H26" s="67"/>
      <c r="J26" s="73"/>
      <c r="K26" s="73"/>
    </row>
    <row r="27" spans="1:11" ht="30" customHeight="1" x14ac:dyDescent="0.3">
      <c r="A27" s="228" t="s">
        <v>266</v>
      </c>
      <c r="B27" s="225">
        <f t="shared" ref="B27:B28" si="7">$B$4</f>
        <v>40</v>
      </c>
      <c r="C27" s="226">
        <f ca="1">IFERROR(VLOOKUP(A27,'★탭스 피벗'!$A$1:$D$52,4,FALSE),0)</f>
        <v>66</v>
      </c>
      <c r="D27" s="226">
        <f ca="1">IFERROR(ROUNDDOWN(C27/B27,0),"")</f>
        <v>1</v>
      </c>
      <c r="E27" s="51" t="s">
        <v>239</v>
      </c>
      <c r="F27" s="227">
        <f ca="1">IFERROR(C27-(D27*B27),"")</f>
        <v>26</v>
      </c>
      <c r="G27" s="67"/>
      <c r="H27" s="67"/>
      <c r="J27" s="73"/>
      <c r="K27" s="73"/>
    </row>
    <row r="28" spans="1:11" ht="30" customHeight="1" x14ac:dyDescent="0.3">
      <c r="A28" s="228" t="s">
        <v>267</v>
      </c>
      <c r="B28" s="225">
        <f t="shared" si="7"/>
        <v>40</v>
      </c>
      <c r="C28" s="226">
        <f ca="1">IFERROR(VLOOKUP(A28,'★탭스 피벗'!$A$1:$D$52,4,FALSE),0)</f>
        <v>84</v>
      </c>
      <c r="D28" s="226">
        <f t="shared" ref="D28" ca="1" si="8">IFERROR(ROUNDDOWN(C28/B28,0),"")</f>
        <v>2</v>
      </c>
      <c r="E28" s="51" t="s">
        <v>270</v>
      </c>
      <c r="F28" s="227">
        <f t="shared" ref="F28" ca="1" si="9">IFERROR(C28-(D28*B28),"")</f>
        <v>4</v>
      </c>
      <c r="G28" s="67"/>
      <c r="H28" s="67"/>
      <c r="J28" s="73"/>
      <c r="K28" s="73"/>
    </row>
    <row r="29" spans="1:11" ht="4.5" customHeight="1" x14ac:dyDescent="0.3">
      <c r="A29" s="266"/>
      <c r="B29" s="267"/>
      <c r="C29" s="267"/>
      <c r="D29" s="267"/>
      <c r="E29" s="267"/>
      <c r="F29" s="268"/>
      <c r="G29" s="67"/>
      <c r="H29" s="67"/>
      <c r="J29" s="73"/>
      <c r="K29" s="73"/>
    </row>
    <row r="30" spans="1:11" ht="32.450000000000003" customHeight="1" x14ac:dyDescent="0.3">
      <c r="A30" s="209" t="s">
        <v>242</v>
      </c>
      <c r="B30" s="231">
        <f>$B$4</f>
        <v>40</v>
      </c>
      <c r="C30" s="210">
        <f ca="1">SUM(C27:C28)</f>
        <v>150</v>
      </c>
      <c r="D30" s="55">
        <f ca="1">IFERROR(ROUNDDOWN(C30/B30,0),"")</f>
        <v>3</v>
      </c>
      <c r="E30" s="211"/>
      <c r="F30" s="212">
        <f ca="1">IFERROR(C30-(D30*B30),"")</f>
        <v>30</v>
      </c>
      <c r="G30" s="67"/>
      <c r="H30" s="67"/>
      <c r="J30" s="73"/>
      <c r="K30" s="73"/>
    </row>
    <row r="31" spans="1:11" ht="4.5" customHeight="1" x14ac:dyDescent="0.3">
      <c r="A31" s="229"/>
      <c r="B31" s="225"/>
      <c r="C31" s="225"/>
      <c r="D31" s="225"/>
      <c r="E31" s="225"/>
      <c r="F31" s="230"/>
      <c r="G31" s="67"/>
      <c r="H31" s="67"/>
      <c r="J31" s="73"/>
      <c r="K31" s="73"/>
    </row>
    <row r="32" spans="1:11" ht="30" customHeight="1" x14ac:dyDescent="0.3">
      <c r="A32" s="228" t="s">
        <v>268</v>
      </c>
      <c r="B32" s="225">
        <f t="shared" ref="B32" si="10">$B$4</f>
        <v>40</v>
      </c>
      <c r="C32" s="226">
        <f ca="1">IFERROR(VLOOKUP(A32,'★탭스 피벗'!$A$1:$D$52,4,FALSE),0)</f>
        <v>99</v>
      </c>
      <c r="D32" s="226">
        <f t="shared" ref="D32" ca="1" si="11">IFERROR(ROUNDDOWN(C32/B32,0),"")</f>
        <v>2</v>
      </c>
      <c r="E32" s="51" t="s">
        <v>241</v>
      </c>
      <c r="F32" s="227">
        <f t="shared" ref="F32" ca="1" si="12">IFERROR(C32-(D32*B32),"")</f>
        <v>19</v>
      </c>
      <c r="G32" s="67"/>
      <c r="H32" s="67"/>
      <c r="J32" s="73"/>
      <c r="K32" s="73"/>
    </row>
    <row r="33" spans="1:11" ht="4.5" customHeight="1" x14ac:dyDescent="0.3">
      <c r="A33" s="266"/>
      <c r="B33" s="267"/>
      <c r="C33" s="267"/>
      <c r="D33" s="267"/>
      <c r="E33" s="267"/>
      <c r="F33" s="268"/>
      <c r="G33" s="67"/>
      <c r="H33" s="67"/>
      <c r="J33" s="73"/>
      <c r="K33" s="73"/>
    </row>
    <row r="34" spans="1:11" ht="32.450000000000003" customHeight="1" x14ac:dyDescent="0.3">
      <c r="A34" s="209" t="s">
        <v>246</v>
      </c>
      <c r="B34" s="231">
        <f>$B$4</f>
        <v>40</v>
      </c>
      <c r="C34" s="210">
        <f ca="1">SUM(C32:C32)</f>
        <v>99</v>
      </c>
      <c r="D34" s="55">
        <f ca="1">IFERROR(ROUNDDOWN(C34/B34,0),"")</f>
        <v>2</v>
      </c>
      <c r="E34" s="211"/>
      <c r="F34" s="212">
        <f ca="1">IFERROR(C34-(D34*B34),"")</f>
        <v>19</v>
      </c>
      <c r="G34" s="67"/>
      <c r="H34" s="67"/>
      <c r="J34" s="73"/>
      <c r="K34" s="73"/>
    </row>
    <row r="35" spans="1:11" ht="4.5" customHeight="1" thickBot="1" x14ac:dyDescent="0.35">
      <c r="A35" s="229"/>
      <c r="B35" s="225"/>
      <c r="C35" s="225"/>
      <c r="D35" s="225"/>
      <c r="E35" s="225"/>
      <c r="F35" s="230"/>
      <c r="G35" s="67"/>
      <c r="H35" s="67"/>
      <c r="J35" s="73"/>
      <c r="K35" s="73"/>
    </row>
    <row r="36" spans="1:11" ht="26.25" x14ac:dyDescent="0.3">
      <c r="A36" s="207" t="s">
        <v>3</v>
      </c>
      <c r="B36" s="232">
        <f>$B$4</f>
        <v>40</v>
      </c>
      <c r="C36" s="55">
        <f ca="1">SUM(C4:C12,C27:C28,C21:C23,C16:C17,C32:C32)</f>
        <v>2144</v>
      </c>
      <c r="D36" s="54">
        <f ca="1">IFERROR(ROUNDDOWN(C36/B36,0),"")</f>
        <v>53</v>
      </c>
      <c r="E36" s="56"/>
      <c r="F36" s="121">
        <f ca="1">IFERROR(C36-(D36*B36),"")</f>
        <v>24</v>
      </c>
      <c r="G36" s="217" t="s">
        <v>110</v>
      </c>
      <c r="H36" s="216" t="s">
        <v>111</v>
      </c>
      <c r="J36" s="73"/>
      <c r="K36" s="73"/>
    </row>
    <row r="37" spans="1:11" ht="30" customHeight="1" thickBot="1" x14ac:dyDescent="0.35">
      <c r="A37" s="233" t="s">
        <v>245</v>
      </c>
      <c r="B37" s="234" t="s">
        <v>173</v>
      </c>
      <c r="C37" s="40"/>
      <c r="D37" s="41">
        <f ca="1">SUM(D4:D12,D27:D28,D21:D23,D16:D17,D32:D32)</f>
        <v>46</v>
      </c>
      <c r="E37" s="48"/>
      <c r="F37" s="93">
        <f ca="1">SUM(F4:F12,F27:F28,F21:F23,F16:F17,F32:F32)</f>
        <v>304</v>
      </c>
      <c r="G37" s="213">
        <f ca="1">IFERROR(ROUNDDOWN(F37/B27,0),"")</f>
        <v>7</v>
      </c>
      <c r="H37" s="214">
        <f ca="1">IFERROR(F37-(G37*B27),"")</f>
        <v>24</v>
      </c>
    </row>
    <row r="38" spans="1:11" ht="22.5" customHeight="1" x14ac:dyDescent="0.3">
      <c r="C38" s="77">
        <f ca="1">C14+C19+C25+C30+C34</f>
        <v>2144</v>
      </c>
      <c r="G38" s="197"/>
      <c r="H38" s="34" t="s">
        <v>174</v>
      </c>
    </row>
    <row r="39" spans="1:11" x14ac:dyDescent="0.3">
      <c r="C39" s="34" t="b">
        <f ca="1">C38=C36</f>
        <v>1</v>
      </c>
    </row>
  </sheetData>
  <mergeCells count="8">
    <mergeCell ref="A29:F29"/>
    <mergeCell ref="A33:F33"/>
    <mergeCell ref="A1:F1"/>
    <mergeCell ref="B2:F2"/>
    <mergeCell ref="A13:F13"/>
    <mergeCell ref="A18:F18"/>
    <mergeCell ref="A20:F20"/>
    <mergeCell ref="A24:F2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8766-4AC8-44EF-B698-41E282B9BFB4}">
  <sheetPr>
    <tabColor theme="2" tint="-0.249977111117893"/>
  </sheetPr>
  <dimension ref="A1:K39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318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342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40</v>
      </c>
      <c r="C4" s="226">
        <f ca="1">IFERROR(VLOOKUP(A4,'★탭스 피벗'!$A$1:$H$52,5,FALSE),0)</f>
        <v>0</v>
      </c>
      <c r="D4" s="226">
        <f t="shared" ref="D4:D12" ca="1" si="0">IFERROR(ROUNDDOWN(C4/B4,0),"")</f>
        <v>0</v>
      </c>
      <c r="E4" s="51" t="s">
        <v>256</v>
      </c>
      <c r="F4" s="227">
        <f t="shared" ref="F4:F12" ca="1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40</v>
      </c>
      <c r="C5" s="226">
        <f ca="1">IFERROR(VLOOKUP(A5,'★탭스 피벗'!$A$1:$H$52,5,FALSE),0)</f>
        <v>159</v>
      </c>
      <c r="D5" s="226">
        <f t="shared" ca="1" si="0"/>
        <v>3</v>
      </c>
      <c r="E5" s="51" t="s">
        <v>238</v>
      </c>
      <c r="F5" s="227">
        <f t="shared" ca="1" si="1"/>
        <v>39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40</v>
      </c>
      <c r="C6" s="226">
        <f ca="1">IFERROR(VLOOKUP(A6,'★탭스 피벗'!$A$1:$H$52,5,FALSE),0)</f>
        <v>161</v>
      </c>
      <c r="D6" s="226">
        <f ca="1">IFERROR(ROUNDDOWN(C6/B6,0),"")</f>
        <v>4</v>
      </c>
      <c r="E6" s="51" t="s">
        <v>257</v>
      </c>
      <c r="F6" s="227">
        <f ca="1">IFERROR(C6-(D6*B6),"")</f>
        <v>1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40</v>
      </c>
      <c r="C7" s="226">
        <f ca="1">IFERROR(VLOOKUP(A7,'★탭스 피벗'!$A$1:$H$52,5,FALSE),0)</f>
        <v>272</v>
      </c>
      <c r="D7" s="226">
        <f ca="1">IFERROR(ROUNDDOWN(C7/B7,0),"")</f>
        <v>6</v>
      </c>
      <c r="E7" s="51" t="s">
        <v>258</v>
      </c>
      <c r="F7" s="227">
        <f ca="1">IFERROR(C7-(D7*B7),"")</f>
        <v>32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40</v>
      </c>
      <c r="C8" s="226">
        <f ca="1">IFERROR(VLOOKUP(A8,'★탭스 피벗'!$A$1:$H$52,5,FALSE),0)</f>
        <v>272</v>
      </c>
      <c r="D8" s="226">
        <f ca="1">IFERROR(ROUNDDOWN(C8/B8,0),"")</f>
        <v>6</v>
      </c>
      <c r="E8" s="51" t="s">
        <v>259</v>
      </c>
      <c r="F8" s="227">
        <f ca="1">IFERROR(C8-(D8*B8),"")</f>
        <v>32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40</v>
      </c>
      <c r="C9" s="226">
        <f ca="1">IFERROR(VLOOKUP(A9,'★탭스 피벗'!$A$1:$H$52,5,FALSE),0)</f>
        <v>260</v>
      </c>
      <c r="D9" s="226">
        <f t="shared" ca="1" si="0"/>
        <v>6</v>
      </c>
      <c r="E9" s="51" t="s">
        <v>260</v>
      </c>
      <c r="F9" s="227">
        <f t="shared" ca="1" si="1"/>
        <v>20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25">
        <f t="shared" si="2"/>
        <v>40</v>
      </c>
      <c r="C10" s="226">
        <f ca="1">IFERROR(VLOOKUP(A10,'★탭스 피벗'!$A$1:$H$52,5,FALSE),0)</f>
        <v>238</v>
      </c>
      <c r="D10" s="226">
        <f ca="1">IFERROR(ROUNDDOWN(C10/B10,0),"")</f>
        <v>5</v>
      </c>
      <c r="E10" s="51" t="s">
        <v>261</v>
      </c>
      <c r="F10" s="227">
        <f ca="1">IFERROR(C10-(D10*B10),"")</f>
        <v>38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40</v>
      </c>
      <c r="C11" s="226">
        <f ca="1">IFERROR(VLOOKUP(A11,'★탭스 피벗'!$A$1:$H$52,5,FALSE),0)</f>
        <v>336</v>
      </c>
      <c r="D11" s="226">
        <f t="shared" ca="1" si="0"/>
        <v>8</v>
      </c>
      <c r="E11" s="51" t="s">
        <v>240</v>
      </c>
      <c r="F11" s="227">
        <f t="shared" ca="1" si="1"/>
        <v>16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40</v>
      </c>
      <c r="C12" s="226">
        <f ca="1">IFERROR(VLOOKUP(A12,'★탭스 피벗'!$A$1:$H$52,5,FALSE),0)</f>
        <v>110</v>
      </c>
      <c r="D12" s="226">
        <f t="shared" ca="1" si="0"/>
        <v>2</v>
      </c>
      <c r="E12" s="51" t="s">
        <v>108</v>
      </c>
      <c r="F12" s="227">
        <f t="shared" ca="1" si="1"/>
        <v>30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40</v>
      </c>
      <c r="C14" s="210">
        <f ca="1">SUM(C4:C12)</f>
        <v>1808</v>
      </c>
      <c r="D14" s="55">
        <f ca="1">IFERROR(ROUNDDOWN(C14/B14,0),"")</f>
        <v>45</v>
      </c>
      <c r="E14" s="211"/>
      <c r="F14" s="212">
        <f ca="1">IFERROR(C14-(D14*B14),"")</f>
        <v>8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40</v>
      </c>
      <c r="C16" s="226">
        <f ca="1">IFERROR(VLOOKUP(A16,'★탭스 피벗'!$A$1:$H$52,5,FALSE),0)</f>
        <v>104</v>
      </c>
      <c r="D16" s="226">
        <f ca="1">IFERROR(ROUNDDOWN(C16/B16,0),"")</f>
        <v>2</v>
      </c>
      <c r="E16" s="51" t="s">
        <v>237</v>
      </c>
      <c r="F16" s="227">
        <f ca="1">IFERROR(C16-(D16*B16),"")</f>
        <v>24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40</v>
      </c>
      <c r="C17" s="226">
        <f ca="1">IFERROR(VLOOKUP(A17,'★탭스 피벗'!$A$1:$H$52,5,FALSE),0)</f>
        <v>92</v>
      </c>
      <c r="D17" s="226">
        <f ca="1">IFERROR(ROUNDDOWN(C17/B17,0),"")</f>
        <v>2</v>
      </c>
      <c r="E17" s="51" t="s">
        <v>236</v>
      </c>
      <c r="F17" s="227">
        <f ca="1">IFERROR(C17-(D17*B17),"")</f>
        <v>12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40</v>
      </c>
      <c r="C19" s="210">
        <f ca="1">SUM(C16:C17)</f>
        <v>196</v>
      </c>
      <c r="D19" s="55">
        <f ca="1">IFERROR(ROUNDDOWN(C19/B19,0),"")</f>
        <v>4</v>
      </c>
      <c r="E19" s="211"/>
      <c r="F19" s="212">
        <f ca="1">IFERROR(C19-(D19*B19),"")</f>
        <v>36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323</v>
      </c>
      <c r="B21" s="225">
        <f t="shared" ref="B21:B23" si="4">$B$4</f>
        <v>40</v>
      </c>
      <c r="C21" s="226">
        <f ca="1">IFERROR(VLOOKUP(A21,'★탭스 피벗'!$A$1:$H$52,5,FALSE),0)</f>
        <v>122</v>
      </c>
      <c r="D21" s="226">
        <f t="shared" ref="D21:D23" ca="1" si="5">IFERROR(ROUNDDOWN(C21/B21,0),"")</f>
        <v>3</v>
      </c>
      <c r="E21" s="51" t="s">
        <v>324</v>
      </c>
      <c r="F21" s="227">
        <f t="shared" ref="F21:F23" ca="1" si="6">IFERROR(C21-(D21*B21),"")</f>
        <v>2</v>
      </c>
      <c r="G21" s="67"/>
      <c r="H21" s="67"/>
      <c r="J21" s="73"/>
      <c r="K21" s="73"/>
    </row>
    <row r="22" spans="1:11" ht="30" customHeight="1" x14ac:dyDescent="0.3">
      <c r="A22" s="228" t="s">
        <v>325</v>
      </c>
      <c r="B22" s="225">
        <f t="shared" si="4"/>
        <v>40</v>
      </c>
      <c r="C22" s="226">
        <f ca="1">IFERROR(VLOOKUP(A22,'★탭스 피벗'!$A$1:$H$52,5,FALSE),0)</f>
        <v>28</v>
      </c>
      <c r="D22" s="226">
        <f t="shared" ca="1" si="5"/>
        <v>0</v>
      </c>
      <c r="E22" s="51" t="s">
        <v>326</v>
      </c>
      <c r="F22" s="227">
        <f t="shared" ca="1" si="6"/>
        <v>28</v>
      </c>
      <c r="G22" s="67"/>
      <c r="H22" s="67"/>
      <c r="J22" s="73"/>
      <c r="K22" s="73"/>
    </row>
    <row r="23" spans="1:11" ht="30" customHeight="1" x14ac:dyDescent="0.3">
      <c r="A23" s="228" t="s">
        <v>265</v>
      </c>
      <c r="B23" s="225">
        <f t="shared" si="4"/>
        <v>40</v>
      </c>
      <c r="C23" s="226">
        <f ca="1">IFERROR(VLOOKUP(A23,'★탭스 피벗'!$A$1:$H$52,5,FALSE),0)</f>
        <v>113</v>
      </c>
      <c r="D23" s="226">
        <f t="shared" ca="1" si="5"/>
        <v>2</v>
      </c>
      <c r="E23" s="51" t="s">
        <v>269</v>
      </c>
      <c r="F23" s="227">
        <f t="shared" ca="1" si="6"/>
        <v>33</v>
      </c>
      <c r="G23" s="67"/>
      <c r="H23" s="67"/>
      <c r="J23" s="73"/>
      <c r="K23" s="73"/>
    </row>
    <row r="24" spans="1:11" ht="4.5" customHeight="1" x14ac:dyDescent="0.3">
      <c r="A24" s="266"/>
      <c r="B24" s="267"/>
      <c r="C24" s="267"/>
      <c r="D24" s="267"/>
      <c r="E24" s="267"/>
      <c r="F24" s="268"/>
      <c r="G24" s="67"/>
      <c r="H24" s="67"/>
      <c r="J24" s="73"/>
      <c r="K24" s="73"/>
    </row>
    <row r="25" spans="1:11" ht="32.450000000000003" customHeight="1" x14ac:dyDescent="0.3">
      <c r="A25" s="209" t="s">
        <v>243</v>
      </c>
      <c r="B25" s="231">
        <f>$B$4</f>
        <v>40</v>
      </c>
      <c r="C25" s="210">
        <f ca="1">SUM(C21:C23)</f>
        <v>263</v>
      </c>
      <c r="D25" s="55">
        <f ca="1">IFERROR(ROUNDDOWN(C25/B25,0),"")</f>
        <v>6</v>
      </c>
      <c r="E25" s="211"/>
      <c r="F25" s="212">
        <f ca="1">IFERROR(C25-(D25*B25),"")</f>
        <v>23</v>
      </c>
      <c r="G25" s="67"/>
      <c r="H25" s="67"/>
      <c r="J25" s="73"/>
      <c r="K25" s="73"/>
    </row>
    <row r="26" spans="1:11" ht="4.5" customHeight="1" x14ac:dyDescent="0.3">
      <c r="A26" s="229"/>
      <c r="B26" s="225"/>
      <c r="C26" s="225"/>
      <c r="D26" s="225"/>
      <c r="E26" s="225"/>
      <c r="F26" s="230"/>
      <c r="G26" s="67"/>
      <c r="H26" s="67"/>
      <c r="J26" s="73"/>
      <c r="K26" s="73"/>
    </row>
    <row r="27" spans="1:11" ht="30" customHeight="1" x14ac:dyDescent="0.3">
      <c r="A27" s="228" t="s">
        <v>266</v>
      </c>
      <c r="B27" s="225">
        <f t="shared" ref="B27:B28" si="7">$B$4</f>
        <v>40</v>
      </c>
      <c r="C27" s="226">
        <f ca="1">IFERROR(VLOOKUP(A27,'★탭스 피벗'!$A$1:$H$52,5,FALSE),0)</f>
        <v>83</v>
      </c>
      <c r="D27" s="226">
        <f ca="1">IFERROR(ROUNDDOWN(C27/B27,0),"")</f>
        <v>2</v>
      </c>
      <c r="E27" s="51" t="s">
        <v>239</v>
      </c>
      <c r="F27" s="227">
        <f ca="1">IFERROR(C27-(D27*B27),"")</f>
        <v>3</v>
      </c>
      <c r="G27" s="67"/>
      <c r="H27" s="67"/>
      <c r="J27" s="73"/>
      <c r="K27" s="73"/>
    </row>
    <row r="28" spans="1:11" ht="30" customHeight="1" x14ac:dyDescent="0.3">
      <c r="A28" s="228" t="s">
        <v>267</v>
      </c>
      <c r="B28" s="225">
        <f t="shared" si="7"/>
        <v>40</v>
      </c>
      <c r="C28" s="226">
        <f ca="1">IFERROR(VLOOKUP(A28,'★탭스 피벗'!$A$1:$H$52,5,FALSE),0)</f>
        <v>108</v>
      </c>
      <c r="D28" s="226">
        <f t="shared" ref="D28" ca="1" si="8">IFERROR(ROUNDDOWN(C28/B28,0),"")</f>
        <v>2</v>
      </c>
      <c r="E28" s="51" t="s">
        <v>270</v>
      </c>
      <c r="F28" s="227">
        <f t="shared" ref="F28" ca="1" si="9">IFERROR(C28-(D28*B28),"")</f>
        <v>28</v>
      </c>
      <c r="G28" s="67"/>
      <c r="H28" s="67"/>
      <c r="J28" s="73"/>
      <c r="K28" s="73"/>
    </row>
    <row r="29" spans="1:11" ht="4.5" customHeight="1" x14ac:dyDescent="0.3">
      <c r="A29" s="266"/>
      <c r="B29" s="267"/>
      <c r="C29" s="267"/>
      <c r="D29" s="267"/>
      <c r="E29" s="267"/>
      <c r="F29" s="268"/>
      <c r="G29" s="67"/>
      <c r="H29" s="67"/>
      <c r="J29" s="73"/>
      <c r="K29" s="73"/>
    </row>
    <row r="30" spans="1:11" ht="32.450000000000003" customHeight="1" x14ac:dyDescent="0.3">
      <c r="A30" s="209" t="s">
        <v>242</v>
      </c>
      <c r="B30" s="231">
        <f>$B$4</f>
        <v>40</v>
      </c>
      <c r="C30" s="210">
        <f ca="1">SUM(C27:C28)</f>
        <v>191</v>
      </c>
      <c r="D30" s="55">
        <f ca="1">IFERROR(ROUNDDOWN(C30/B30,0),"")</f>
        <v>4</v>
      </c>
      <c r="E30" s="211"/>
      <c r="F30" s="212">
        <f ca="1">IFERROR(C30-(D30*B30),"")</f>
        <v>31</v>
      </c>
      <c r="G30" s="67"/>
      <c r="H30" s="67"/>
      <c r="J30" s="73"/>
      <c r="K30" s="73"/>
    </row>
    <row r="31" spans="1:11" ht="4.5" customHeight="1" x14ac:dyDescent="0.3">
      <c r="A31" s="229"/>
      <c r="B31" s="225"/>
      <c r="C31" s="225"/>
      <c r="D31" s="225"/>
      <c r="E31" s="225"/>
      <c r="F31" s="230"/>
      <c r="G31" s="67"/>
      <c r="H31" s="67"/>
      <c r="J31" s="73"/>
      <c r="K31" s="73"/>
    </row>
    <row r="32" spans="1:11" ht="30" customHeight="1" x14ac:dyDescent="0.3">
      <c r="A32" s="228" t="s">
        <v>268</v>
      </c>
      <c r="B32" s="225">
        <f t="shared" ref="B32" si="10">$B$4</f>
        <v>40</v>
      </c>
      <c r="C32" s="226">
        <f ca="1">IFERROR(VLOOKUP(A32,'★탭스 피벗'!$A$1:$H$52,5,FALSE),0)</f>
        <v>120</v>
      </c>
      <c r="D32" s="226">
        <f t="shared" ref="D32" ca="1" si="11">IFERROR(ROUNDDOWN(C32/B32,0),"")</f>
        <v>3</v>
      </c>
      <c r="E32" s="51" t="s">
        <v>241</v>
      </c>
      <c r="F32" s="227">
        <f t="shared" ref="F32" ca="1" si="12">IFERROR(C32-(D32*B32),"")</f>
        <v>0</v>
      </c>
      <c r="G32" s="67"/>
      <c r="H32" s="67"/>
      <c r="J32" s="73"/>
      <c r="K32" s="73"/>
    </row>
    <row r="33" spans="1:11" ht="4.5" customHeight="1" x14ac:dyDescent="0.3">
      <c r="A33" s="266"/>
      <c r="B33" s="267"/>
      <c r="C33" s="267"/>
      <c r="D33" s="267"/>
      <c r="E33" s="267"/>
      <c r="F33" s="268"/>
      <c r="G33" s="67"/>
      <c r="H33" s="67"/>
      <c r="J33" s="73"/>
      <c r="K33" s="73"/>
    </row>
    <row r="34" spans="1:11" ht="32.450000000000003" customHeight="1" x14ac:dyDescent="0.3">
      <c r="A34" s="209" t="s">
        <v>246</v>
      </c>
      <c r="B34" s="231">
        <f>$B$4</f>
        <v>40</v>
      </c>
      <c r="C34" s="210">
        <f ca="1">SUM(C32:C32)</f>
        <v>120</v>
      </c>
      <c r="D34" s="55">
        <f ca="1">IFERROR(ROUNDDOWN(C34/B34,0),"")</f>
        <v>3</v>
      </c>
      <c r="E34" s="211"/>
      <c r="F34" s="212">
        <f ca="1">IFERROR(C34-(D34*B34),"")</f>
        <v>0</v>
      </c>
      <c r="G34" s="67"/>
      <c r="H34" s="67"/>
      <c r="J34" s="73"/>
      <c r="K34" s="73"/>
    </row>
    <row r="35" spans="1:11" ht="4.5" customHeight="1" thickBot="1" x14ac:dyDescent="0.35">
      <c r="A35" s="229"/>
      <c r="B35" s="225"/>
      <c r="C35" s="225"/>
      <c r="D35" s="225"/>
      <c r="E35" s="225"/>
      <c r="F35" s="230"/>
      <c r="G35" s="67"/>
      <c r="H35" s="67"/>
      <c r="J35" s="73"/>
      <c r="K35" s="73"/>
    </row>
    <row r="36" spans="1:11" ht="26.25" x14ac:dyDescent="0.3">
      <c r="A36" s="207" t="s">
        <v>3</v>
      </c>
      <c r="B36" s="232">
        <f>$B$4</f>
        <v>40</v>
      </c>
      <c r="C36" s="55">
        <f ca="1">SUM(C4:C12,C27:C28,C21:C23,C16:C17,C32:C32)</f>
        <v>2578</v>
      </c>
      <c r="D36" s="54">
        <f ca="1">IFERROR(ROUNDDOWN(C36/B36,0),"")</f>
        <v>64</v>
      </c>
      <c r="E36" s="56"/>
      <c r="F36" s="121">
        <f ca="1">IFERROR(C36-(D36*B36),"")</f>
        <v>18</v>
      </c>
      <c r="G36" s="217" t="s">
        <v>110</v>
      </c>
      <c r="H36" s="216" t="s">
        <v>111</v>
      </c>
      <c r="J36" s="73"/>
      <c r="K36" s="73"/>
    </row>
    <row r="37" spans="1:11" ht="30" customHeight="1" thickBot="1" x14ac:dyDescent="0.35">
      <c r="A37" s="233" t="s">
        <v>245</v>
      </c>
      <c r="B37" s="234" t="s">
        <v>173</v>
      </c>
      <c r="C37" s="40"/>
      <c r="D37" s="41">
        <f ca="1">SUM(D4:D12,D27:D28,D21:D23,D16:D17,D32:D32)</f>
        <v>56</v>
      </c>
      <c r="E37" s="48"/>
      <c r="F37" s="93">
        <f ca="1">SUM(F4:F12,F27:F28,F21:F23,F16:F17,F32:F32)</f>
        <v>338</v>
      </c>
      <c r="G37" s="213">
        <f ca="1">IFERROR(ROUNDDOWN(F37/B27,0),"")</f>
        <v>8</v>
      </c>
      <c r="H37" s="214">
        <f ca="1">IFERROR(F37-(G37*B27),"")</f>
        <v>18</v>
      </c>
    </row>
    <row r="38" spans="1:11" ht="22.5" customHeight="1" x14ac:dyDescent="0.3">
      <c r="C38" s="77">
        <f ca="1">C14+C19+C25+C30+C34</f>
        <v>2578</v>
      </c>
      <c r="G38" s="197"/>
      <c r="H38" s="34" t="s">
        <v>174</v>
      </c>
    </row>
    <row r="39" spans="1:11" x14ac:dyDescent="0.3">
      <c r="C39" s="34" t="b">
        <f ca="1">C38=C36</f>
        <v>1</v>
      </c>
    </row>
  </sheetData>
  <mergeCells count="8">
    <mergeCell ref="A29:F29"/>
    <mergeCell ref="A33:F33"/>
    <mergeCell ref="A1:F1"/>
    <mergeCell ref="B2:F2"/>
    <mergeCell ref="A13:F13"/>
    <mergeCell ref="A18:F18"/>
    <mergeCell ref="A20:F20"/>
    <mergeCell ref="A24:F2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1AAF-6B9D-4CEC-8BD8-48B8CAB2F7CF}">
  <sheetPr>
    <tabColor theme="2" tint="-0.249977111117893"/>
  </sheetPr>
  <dimension ref="A1:K39"/>
  <sheetViews>
    <sheetView zoomScale="55" zoomScaleNormal="55" zoomScaleSheetLayoutView="75" workbookViewId="0">
      <selection activeCell="A2" sqref="A2:F36"/>
    </sheetView>
  </sheetViews>
  <sheetFormatPr defaultColWidth="9" defaultRowHeight="16.5" x14ac:dyDescent="0.3"/>
  <cols>
    <col min="1" max="1" width="24.75" style="34" customWidth="1"/>
    <col min="2" max="2" width="7.625" style="247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7" width="7.5" style="34" customWidth="1"/>
    <col min="8" max="8" width="7.37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318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36" t="s">
        <v>349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49">
        <v>50</v>
      </c>
      <c r="C4" s="226">
        <f ca="1">IFERROR(VLOOKUP(A4,'★탭스 피벗'!$A$1:$H$52,6,FALSE),0)</f>
        <v>0</v>
      </c>
      <c r="D4" s="226">
        <f t="shared" ref="D4:D12" ca="1" si="0">IFERROR(ROUNDDOWN(C4/B4,0),"")</f>
        <v>0</v>
      </c>
      <c r="E4" s="51" t="s">
        <v>256</v>
      </c>
      <c r="F4" s="227">
        <f t="shared" ref="F4:F12" ca="1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49">
        <f t="shared" ref="B5:B12" si="2">$B$4</f>
        <v>50</v>
      </c>
      <c r="C5" s="226">
        <f ca="1">IFERROR(VLOOKUP(A5,'★탭스 피벗'!$A$1:$H$52,6,FALSE),0)</f>
        <v>0</v>
      </c>
      <c r="D5" s="226">
        <f t="shared" ca="1" si="0"/>
        <v>0</v>
      </c>
      <c r="E5" s="51" t="s">
        <v>238</v>
      </c>
      <c r="F5" s="227">
        <f t="shared" ca="1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49">
        <f t="shared" si="2"/>
        <v>50</v>
      </c>
      <c r="C6" s="226">
        <f ca="1">IFERROR(VLOOKUP(A6,'★탭스 피벗'!$A$1:$H$52,6,FALSE),0)</f>
        <v>0</v>
      </c>
      <c r="D6" s="226">
        <f ca="1">IFERROR(ROUNDDOWN(C6/B6,0),"")</f>
        <v>0</v>
      </c>
      <c r="E6" s="51" t="s">
        <v>257</v>
      </c>
      <c r="F6" s="227">
        <f ca="1"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49">
        <f t="shared" si="2"/>
        <v>50</v>
      </c>
      <c r="C7" s="226">
        <f ca="1">IFERROR(VLOOKUP(A7,'★탭스 피벗'!$A$1:$H$52,6,FALSE),0)</f>
        <v>0</v>
      </c>
      <c r="D7" s="226">
        <f ca="1">IFERROR(ROUNDDOWN(C7/B7,0),"")</f>
        <v>0</v>
      </c>
      <c r="E7" s="51" t="s">
        <v>258</v>
      </c>
      <c r="F7" s="227">
        <f ca="1"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49">
        <f t="shared" si="2"/>
        <v>50</v>
      </c>
      <c r="C8" s="226">
        <f ca="1">IFERROR(VLOOKUP(A8,'★탭스 피벗'!$A$1:$H$52,6,FALSE),0)</f>
        <v>0</v>
      </c>
      <c r="D8" s="226">
        <f ca="1">IFERROR(ROUNDDOWN(C8/B8,0),"")</f>
        <v>0</v>
      </c>
      <c r="E8" s="51" t="s">
        <v>259</v>
      </c>
      <c r="F8" s="227">
        <f ca="1"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49">
        <f t="shared" si="2"/>
        <v>50</v>
      </c>
      <c r="C9" s="226">
        <f ca="1">IFERROR(VLOOKUP(A9,'★탭스 피벗'!$A$1:$H$52,6,FALSE),0)</f>
        <v>0</v>
      </c>
      <c r="D9" s="226">
        <f t="shared" ca="1" si="0"/>
        <v>0</v>
      </c>
      <c r="E9" s="51" t="s">
        <v>260</v>
      </c>
      <c r="F9" s="227">
        <f t="shared" ca="1" si="1"/>
        <v>0</v>
      </c>
      <c r="G9" s="67"/>
      <c r="H9" s="67"/>
      <c r="J9" s="73"/>
      <c r="K9" s="73"/>
    </row>
    <row r="10" spans="1:11" ht="30" customHeight="1" x14ac:dyDescent="0.3">
      <c r="A10" s="228" t="s">
        <v>253</v>
      </c>
      <c r="B10" s="249">
        <f t="shared" si="2"/>
        <v>50</v>
      </c>
      <c r="C10" s="226">
        <f ca="1">IFERROR(VLOOKUP(A10,'★탭스 피벗'!$A$1:$H$52,6,FALSE),0)</f>
        <v>0</v>
      </c>
      <c r="D10" s="226">
        <f ca="1">IFERROR(ROUNDDOWN(C10/B10,0),"")</f>
        <v>0</v>
      </c>
      <c r="E10" s="51" t="s">
        <v>261</v>
      </c>
      <c r="F10" s="227">
        <f ca="1"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49">
        <f t="shared" si="2"/>
        <v>50</v>
      </c>
      <c r="C11" s="226">
        <f ca="1">IFERROR(VLOOKUP(A11,'★탭스 피벗'!$A$1:$H$52,6,FALSE),0)</f>
        <v>0</v>
      </c>
      <c r="D11" s="226">
        <f t="shared" ca="1" si="0"/>
        <v>0</v>
      </c>
      <c r="E11" s="51" t="s">
        <v>240</v>
      </c>
      <c r="F11" s="227">
        <f t="shared" ca="1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49">
        <f t="shared" si="2"/>
        <v>50</v>
      </c>
      <c r="C12" s="226">
        <f ca="1">IFERROR(VLOOKUP(A12,'★탭스 피벗'!$A$1:$H$52,6,FALSE),0)</f>
        <v>0</v>
      </c>
      <c r="D12" s="226">
        <f t="shared" ca="1" si="0"/>
        <v>0</v>
      </c>
      <c r="E12" s="51" t="s">
        <v>108</v>
      </c>
      <c r="F12" s="227">
        <f t="shared" ca="1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50</v>
      </c>
      <c r="C14" s="210">
        <f ca="1">SUM(C4:C12)</f>
        <v>0</v>
      </c>
      <c r="D14" s="55">
        <f ca="1">IFERROR(ROUNDDOWN(C14/B14,0),"")</f>
        <v>0</v>
      </c>
      <c r="E14" s="211"/>
      <c r="F14" s="212">
        <f ca="1">IFERROR(C14-(D14*B14),"")</f>
        <v>0</v>
      </c>
      <c r="J14" s="73"/>
      <c r="K14" s="73"/>
    </row>
    <row r="15" spans="1:11" ht="4.5" customHeight="1" x14ac:dyDescent="0.3">
      <c r="A15" s="248"/>
      <c r="B15" s="249"/>
      <c r="C15" s="249"/>
      <c r="D15" s="249"/>
      <c r="E15" s="249"/>
      <c r="F15" s="250"/>
      <c r="J15" s="73"/>
      <c r="K15" s="73"/>
    </row>
    <row r="16" spans="1:11" ht="30" customHeight="1" x14ac:dyDescent="0.3">
      <c r="A16" s="228" t="s">
        <v>262</v>
      </c>
      <c r="B16" s="249">
        <f t="shared" ref="B16:B17" si="3">$B$4</f>
        <v>50</v>
      </c>
      <c r="C16" s="226">
        <f ca="1">IFERROR(VLOOKUP(A16,'★탭스 피벗'!$A$1:$H$52,6,FALSE),0)</f>
        <v>0</v>
      </c>
      <c r="D16" s="226">
        <f ca="1">IFERROR(ROUNDDOWN(C16/B16,0),"")</f>
        <v>0</v>
      </c>
      <c r="E16" s="51" t="s">
        <v>237</v>
      </c>
      <c r="F16" s="227">
        <f ca="1"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49">
        <f t="shared" si="3"/>
        <v>50</v>
      </c>
      <c r="C17" s="226">
        <f ca="1">IFERROR(VLOOKUP(A17,'★탭스 피벗'!$A$1:$H$52,6,FALSE),0)</f>
        <v>0</v>
      </c>
      <c r="D17" s="226">
        <f ca="1">IFERROR(ROUNDDOWN(C17/B17,0),"")</f>
        <v>0</v>
      </c>
      <c r="E17" s="51" t="s">
        <v>236</v>
      </c>
      <c r="F17" s="227">
        <f ca="1"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50</v>
      </c>
      <c r="C19" s="210">
        <f ca="1">SUM(C16:C17)</f>
        <v>0</v>
      </c>
      <c r="D19" s="55">
        <f ca="1">IFERROR(ROUNDDOWN(C19/B19,0),"")</f>
        <v>0</v>
      </c>
      <c r="E19" s="211"/>
      <c r="F19" s="212">
        <f ca="1"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323</v>
      </c>
      <c r="B21" s="249">
        <f t="shared" ref="B21:B23" si="4">$B$4</f>
        <v>50</v>
      </c>
      <c r="C21" s="226">
        <f ca="1">IFERROR(VLOOKUP(A21,'★탭스 피벗'!$A$1:$H$52,6,FALSE),0)</f>
        <v>0</v>
      </c>
      <c r="D21" s="226">
        <f t="shared" ref="D21:D23" ca="1" si="5">IFERROR(ROUNDDOWN(C21/B21,0),"")</f>
        <v>0</v>
      </c>
      <c r="E21" s="51" t="s">
        <v>324</v>
      </c>
      <c r="F21" s="227">
        <f t="shared" ref="F21:F23" ca="1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325</v>
      </c>
      <c r="B22" s="249">
        <f t="shared" si="4"/>
        <v>50</v>
      </c>
      <c r="C22" s="226">
        <f ca="1">IFERROR(VLOOKUP(A22,'★탭스 피벗'!$A$1:$H$52,6,FALSE),0)</f>
        <v>0</v>
      </c>
      <c r="D22" s="226">
        <f t="shared" ca="1" si="5"/>
        <v>0</v>
      </c>
      <c r="E22" s="51" t="s">
        <v>326</v>
      </c>
      <c r="F22" s="227">
        <f t="shared" ca="1" si="6"/>
        <v>0</v>
      </c>
      <c r="G22" s="67"/>
      <c r="H22" s="67"/>
      <c r="J22" s="73"/>
      <c r="K22" s="73"/>
    </row>
    <row r="23" spans="1:11" ht="30" customHeight="1" x14ac:dyDescent="0.3">
      <c r="A23" s="228" t="s">
        <v>265</v>
      </c>
      <c r="B23" s="249">
        <f t="shared" si="4"/>
        <v>50</v>
      </c>
      <c r="C23" s="226">
        <f ca="1">IFERROR(VLOOKUP(A23,'★탭스 피벗'!$A$1:$H$52,6,FALSE),0)</f>
        <v>0</v>
      </c>
      <c r="D23" s="226">
        <f t="shared" ca="1" si="5"/>
        <v>0</v>
      </c>
      <c r="E23" s="51" t="s">
        <v>269</v>
      </c>
      <c r="F23" s="227">
        <f t="shared" ca="1" si="6"/>
        <v>0</v>
      </c>
      <c r="G23" s="67"/>
      <c r="H23" s="67"/>
      <c r="J23" s="73"/>
      <c r="K23" s="73"/>
    </row>
    <row r="24" spans="1:11" ht="4.5" customHeight="1" x14ac:dyDescent="0.3">
      <c r="A24" s="266"/>
      <c r="B24" s="267"/>
      <c r="C24" s="267"/>
      <c r="D24" s="267"/>
      <c r="E24" s="267"/>
      <c r="F24" s="268"/>
      <c r="G24" s="67"/>
      <c r="H24" s="67"/>
      <c r="J24" s="73"/>
      <c r="K24" s="73"/>
    </row>
    <row r="25" spans="1:11" ht="32.450000000000003" customHeight="1" x14ac:dyDescent="0.3">
      <c r="A25" s="209" t="s">
        <v>243</v>
      </c>
      <c r="B25" s="231">
        <f>$B$4</f>
        <v>50</v>
      </c>
      <c r="C25" s="210">
        <f ca="1">SUM(C21:C23)</f>
        <v>0</v>
      </c>
      <c r="D25" s="55">
        <f ca="1">IFERROR(ROUNDDOWN(C25/B25,0),"")</f>
        <v>0</v>
      </c>
      <c r="E25" s="211"/>
      <c r="F25" s="212">
        <f ca="1">IFERROR(C25-(D25*B25),"")</f>
        <v>0</v>
      </c>
      <c r="G25" s="67"/>
      <c r="H25" s="67"/>
      <c r="J25" s="73"/>
      <c r="K25" s="73"/>
    </row>
    <row r="26" spans="1:11" ht="4.5" customHeight="1" x14ac:dyDescent="0.3">
      <c r="A26" s="248"/>
      <c r="B26" s="249"/>
      <c r="C26" s="249"/>
      <c r="D26" s="249"/>
      <c r="E26" s="249"/>
      <c r="F26" s="250"/>
      <c r="G26" s="67"/>
      <c r="H26" s="67"/>
      <c r="J26" s="73"/>
      <c r="K26" s="73"/>
    </row>
    <row r="27" spans="1:11" ht="30" customHeight="1" x14ac:dyDescent="0.3">
      <c r="A27" s="228" t="s">
        <v>266</v>
      </c>
      <c r="B27" s="249">
        <f t="shared" ref="B27:B28" si="7">$B$4</f>
        <v>50</v>
      </c>
      <c r="C27" s="226">
        <f ca="1">IFERROR(VLOOKUP(A27,'★탭스 피벗'!$A$1:$H$52,6,FALSE),0)</f>
        <v>0</v>
      </c>
      <c r="D27" s="226">
        <f ca="1">IFERROR(ROUNDDOWN(C27/B27,0),"")</f>
        <v>0</v>
      </c>
      <c r="E27" s="51" t="s">
        <v>239</v>
      </c>
      <c r="F27" s="227">
        <f ca="1">IFERROR(C27-(D27*B27),"")</f>
        <v>0</v>
      </c>
      <c r="G27" s="67"/>
      <c r="H27" s="67"/>
      <c r="J27" s="73"/>
      <c r="K27" s="73"/>
    </row>
    <row r="28" spans="1:11" ht="30" customHeight="1" x14ac:dyDescent="0.3">
      <c r="A28" s="228" t="s">
        <v>267</v>
      </c>
      <c r="B28" s="249">
        <f t="shared" si="7"/>
        <v>50</v>
      </c>
      <c r="C28" s="226">
        <f ca="1">IFERROR(VLOOKUP(A28,'★탭스 피벗'!$A$1:$H$52,6,FALSE),0)</f>
        <v>0</v>
      </c>
      <c r="D28" s="226">
        <f t="shared" ref="D28" ca="1" si="8">IFERROR(ROUNDDOWN(C28/B28,0),"")</f>
        <v>0</v>
      </c>
      <c r="E28" s="51" t="s">
        <v>270</v>
      </c>
      <c r="F28" s="227">
        <f t="shared" ref="F28" ca="1" si="9">IFERROR(C28-(D28*B28),"")</f>
        <v>0</v>
      </c>
      <c r="G28" s="67"/>
      <c r="H28" s="67"/>
      <c r="J28" s="73"/>
      <c r="K28" s="73"/>
    </row>
    <row r="29" spans="1:11" ht="4.5" customHeight="1" x14ac:dyDescent="0.3">
      <c r="A29" s="266"/>
      <c r="B29" s="267"/>
      <c r="C29" s="267"/>
      <c r="D29" s="267"/>
      <c r="E29" s="267"/>
      <c r="F29" s="268"/>
      <c r="G29" s="67"/>
      <c r="H29" s="67"/>
      <c r="J29" s="73"/>
      <c r="K29" s="73"/>
    </row>
    <row r="30" spans="1:11" ht="32.450000000000003" customHeight="1" x14ac:dyDescent="0.3">
      <c r="A30" s="209" t="s">
        <v>242</v>
      </c>
      <c r="B30" s="231">
        <f>$B$4</f>
        <v>50</v>
      </c>
      <c r="C30" s="210">
        <f ca="1">SUM(C27:C28)</f>
        <v>0</v>
      </c>
      <c r="D30" s="55">
        <f ca="1">IFERROR(ROUNDDOWN(C30/B30,0),"")</f>
        <v>0</v>
      </c>
      <c r="E30" s="211"/>
      <c r="F30" s="212">
        <f ca="1">IFERROR(C30-(D30*B30),"")</f>
        <v>0</v>
      </c>
      <c r="G30" s="67"/>
      <c r="H30" s="67"/>
      <c r="J30" s="73"/>
      <c r="K30" s="73"/>
    </row>
    <row r="31" spans="1:11" ht="4.5" customHeight="1" x14ac:dyDescent="0.3">
      <c r="A31" s="248"/>
      <c r="B31" s="249"/>
      <c r="C31" s="249"/>
      <c r="D31" s="249"/>
      <c r="E31" s="249"/>
      <c r="F31" s="250"/>
      <c r="G31" s="67"/>
      <c r="H31" s="67"/>
      <c r="J31" s="73"/>
      <c r="K31" s="73"/>
    </row>
    <row r="32" spans="1:11" ht="30" customHeight="1" x14ac:dyDescent="0.3">
      <c r="A32" s="228" t="s">
        <v>268</v>
      </c>
      <c r="B32" s="249">
        <f t="shared" ref="B32" si="10">$B$4</f>
        <v>50</v>
      </c>
      <c r="C32" s="226">
        <f ca="1">IFERROR(VLOOKUP(A32,'★탭스 피벗'!$A$1:$H$52,6,FALSE),0)</f>
        <v>117</v>
      </c>
      <c r="D32" s="226">
        <f t="shared" ref="D32" ca="1" si="11">IFERROR(ROUNDDOWN(C32/B32,0),"")</f>
        <v>2</v>
      </c>
      <c r="E32" s="51" t="s">
        <v>241</v>
      </c>
      <c r="F32" s="227">
        <f t="shared" ref="F32" ca="1" si="12">IFERROR(C32-(D32*B32),"")</f>
        <v>17</v>
      </c>
      <c r="G32" s="67"/>
      <c r="H32" s="67"/>
      <c r="J32" s="73"/>
      <c r="K32" s="73"/>
    </row>
    <row r="33" spans="1:11" ht="4.5" customHeight="1" x14ac:dyDescent="0.3">
      <c r="A33" s="266"/>
      <c r="B33" s="267"/>
      <c r="C33" s="267"/>
      <c r="D33" s="267"/>
      <c r="E33" s="267"/>
      <c r="F33" s="268"/>
      <c r="G33" s="67"/>
      <c r="H33" s="67"/>
      <c r="J33" s="73"/>
      <c r="K33" s="73"/>
    </row>
    <row r="34" spans="1:11" ht="32.450000000000003" customHeight="1" x14ac:dyDescent="0.3">
      <c r="A34" s="209" t="s">
        <v>246</v>
      </c>
      <c r="B34" s="231">
        <f>$B$4</f>
        <v>50</v>
      </c>
      <c r="C34" s="210">
        <f ca="1">SUM(C32:C32)</f>
        <v>117</v>
      </c>
      <c r="D34" s="55">
        <f ca="1">IFERROR(ROUNDDOWN(C34/B34,0),"")</f>
        <v>2</v>
      </c>
      <c r="E34" s="211"/>
      <c r="F34" s="212">
        <f ca="1">IFERROR(C34-(D34*B34),"")</f>
        <v>17</v>
      </c>
      <c r="G34" s="67"/>
      <c r="H34" s="67"/>
      <c r="J34" s="73"/>
      <c r="K34" s="73"/>
    </row>
    <row r="35" spans="1:11" ht="4.5" customHeight="1" thickBot="1" x14ac:dyDescent="0.35">
      <c r="A35" s="248"/>
      <c r="B35" s="249"/>
      <c r="C35" s="249"/>
      <c r="D35" s="249"/>
      <c r="E35" s="249"/>
      <c r="F35" s="250"/>
      <c r="G35" s="67"/>
      <c r="H35" s="67"/>
      <c r="J35" s="73"/>
      <c r="K35" s="73"/>
    </row>
    <row r="36" spans="1:11" ht="26.25" x14ac:dyDescent="0.3">
      <c r="A36" s="207" t="s">
        <v>3</v>
      </c>
      <c r="B36" s="232">
        <f>$B$4</f>
        <v>50</v>
      </c>
      <c r="C36" s="55">
        <f ca="1">SUM(C4:C12,C27:C28,C21:C23,C16:C17,C32:C32)</f>
        <v>117</v>
      </c>
      <c r="D36" s="54">
        <f ca="1">IFERROR(ROUNDDOWN(C36/B36,0),"")</f>
        <v>2</v>
      </c>
      <c r="E36" s="56"/>
      <c r="F36" s="121">
        <f ca="1">IFERROR(C36-(D36*B36),"")</f>
        <v>17</v>
      </c>
      <c r="G36" s="217" t="s">
        <v>110</v>
      </c>
      <c r="H36" s="216" t="s">
        <v>111</v>
      </c>
      <c r="J36" s="73"/>
      <c r="K36" s="73"/>
    </row>
    <row r="37" spans="1:11" ht="30" customHeight="1" thickBot="1" x14ac:dyDescent="0.35">
      <c r="A37" s="233" t="s">
        <v>245</v>
      </c>
      <c r="B37" s="234" t="s">
        <v>173</v>
      </c>
      <c r="C37" s="40"/>
      <c r="D37" s="41">
        <f ca="1">SUM(D4:D12,D27:D28,D21:D23,D16:D17,D32:D32)</f>
        <v>2</v>
      </c>
      <c r="E37" s="48"/>
      <c r="F37" s="93">
        <f ca="1">SUM(F4:F12,F27:F28,F21:F23,F16:F17,F32:F32)</f>
        <v>17</v>
      </c>
      <c r="G37" s="213">
        <f ca="1">IFERROR(ROUNDDOWN(F37/B27,0),"")</f>
        <v>0</v>
      </c>
      <c r="H37" s="214">
        <f ca="1">IFERROR(F37-(G37*B27),"")</f>
        <v>17</v>
      </c>
    </row>
    <row r="38" spans="1:11" ht="22.5" customHeight="1" x14ac:dyDescent="0.3">
      <c r="C38" s="77">
        <f ca="1">C14+C19+C25+C30+C34</f>
        <v>117</v>
      </c>
      <c r="G38" s="197"/>
      <c r="H38" s="34" t="s">
        <v>174</v>
      </c>
    </row>
    <row r="39" spans="1:11" x14ac:dyDescent="0.3">
      <c r="C39" s="34" t="b">
        <f ca="1">C38=C36</f>
        <v>1</v>
      </c>
    </row>
  </sheetData>
  <mergeCells count="8">
    <mergeCell ref="A29:F29"/>
    <mergeCell ref="A33:F33"/>
    <mergeCell ref="A1:F1"/>
    <mergeCell ref="B2:F2"/>
    <mergeCell ref="A13:F13"/>
    <mergeCell ref="A18:F18"/>
    <mergeCell ref="A20:F20"/>
    <mergeCell ref="A24:F24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F160-9E39-4FBA-B17E-31BE6975BA83}">
  <sheetPr>
    <tabColor theme="5" tint="-0.249977111117893"/>
  </sheetPr>
  <dimension ref="A1:SP18"/>
  <sheetViews>
    <sheetView zoomScale="70" zoomScaleNormal="70" zoomScaleSheetLayoutView="75" workbookViewId="0">
      <selection activeCell="E45" sqref="E45"/>
    </sheetView>
  </sheetViews>
  <sheetFormatPr defaultColWidth="9" defaultRowHeight="15" customHeight="1" x14ac:dyDescent="0.3"/>
  <cols>
    <col min="1" max="20" width="37.625" style="34" customWidth="1"/>
    <col min="21" max="21" width="22.25" style="34" bestFit="1" customWidth="1"/>
    <col min="22" max="24" width="18.375" style="34" customWidth="1"/>
    <col min="25" max="25" width="27.625" style="34" bestFit="1" customWidth="1"/>
    <col min="26" max="27" width="18.375" style="34" customWidth="1"/>
    <col min="28" max="28" width="27.625" style="34" bestFit="1" customWidth="1"/>
    <col min="29" max="29" width="18.375" style="34" customWidth="1"/>
    <col min="30" max="30" width="25.375" style="34" bestFit="1" customWidth="1"/>
    <col min="31" max="31" width="21" style="34" bestFit="1" customWidth="1"/>
    <col min="32" max="32" width="27.625" style="34" bestFit="1" customWidth="1"/>
    <col min="33" max="33" width="18.375" style="34" customWidth="1"/>
    <col min="34" max="34" width="27.625" style="34" bestFit="1" customWidth="1"/>
    <col min="35" max="388" width="30.375" style="34" customWidth="1"/>
    <col min="389" max="390" width="21.25" style="34" customWidth="1"/>
    <col min="391" max="406" width="20.5" style="34" customWidth="1"/>
    <col min="407" max="407" width="21" style="34" bestFit="1" customWidth="1"/>
    <col min="408" max="408" width="25.125" style="34" bestFit="1" customWidth="1"/>
    <col min="409" max="409" width="23" style="34" bestFit="1" customWidth="1"/>
    <col min="410" max="410" width="33.375" style="34" bestFit="1" customWidth="1"/>
    <col min="411" max="411" width="25.125" style="34" bestFit="1" customWidth="1"/>
    <col min="412" max="412" width="28.875" style="34" bestFit="1" customWidth="1"/>
    <col min="413" max="413" width="23" style="34" bestFit="1" customWidth="1"/>
    <col min="414" max="414" width="18.875" style="34" customWidth="1"/>
    <col min="415" max="415" width="23" style="34" bestFit="1" customWidth="1"/>
    <col min="416" max="416" width="25.125" style="34" bestFit="1" customWidth="1"/>
    <col min="417" max="417" width="18.875" style="34" customWidth="1"/>
    <col min="418" max="418" width="19.125" style="34" customWidth="1"/>
    <col min="419" max="419" width="18.125" style="34" customWidth="1"/>
    <col min="420" max="420" width="18.875" style="34" customWidth="1"/>
    <col min="421" max="421" width="26.625" style="34" customWidth="1"/>
    <col min="422" max="422" width="22.125" style="34" customWidth="1"/>
    <col min="423" max="423" width="24.125" style="34" customWidth="1"/>
    <col min="424" max="424" width="21.375" style="34" customWidth="1"/>
    <col min="425" max="425" width="19.375" style="34" customWidth="1"/>
    <col min="426" max="426" width="20" style="34" customWidth="1"/>
    <col min="427" max="427" width="23.25" style="34" customWidth="1"/>
    <col min="428" max="428" width="18" style="34" customWidth="1"/>
    <col min="429" max="459" width="19" style="34" customWidth="1"/>
    <col min="460" max="464" width="20.25" style="34" customWidth="1"/>
    <col min="465" max="465" width="17.25" style="34" customWidth="1"/>
    <col min="466" max="466" width="17.75" style="34" customWidth="1"/>
    <col min="467" max="467" width="16.5" style="34" customWidth="1"/>
    <col min="468" max="470" width="21" style="34" customWidth="1"/>
    <col min="471" max="471" width="18.5" style="34" customWidth="1"/>
    <col min="472" max="476" width="21" style="34" customWidth="1"/>
    <col min="477" max="477" width="15.125" style="34" customWidth="1"/>
    <col min="478" max="493" width="21" style="34" customWidth="1"/>
    <col min="494" max="494" width="24.25" style="34" customWidth="1"/>
    <col min="495" max="495" width="18.875" style="34" bestFit="1" customWidth="1"/>
    <col min="496" max="496" width="21" style="34" bestFit="1" customWidth="1"/>
    <col min="497" max="497" width="23" style="38" bestFit="1" customWidth="1"/>
    <col min="498" max="498" width="8.625" style="38" bestFit="1" customWidth="1"/>
    <col min="499" max="499" width="21" style="38" bestFit="1" customWidth="1"/>
    <col min="500" max="500" width="23" style="38" bestFit="1" customWidth="1"/>
    <col min="501" max="501" width="8.625" style="38" bestFit="1" customWidth="1"/>
    <col min="502" max="502" width="22.875" style="34" customWidth="1"/>
    <col min="503" max="509" width="20.875" style="38" customWidth="1"/>
    <col min="510" max="510" width="23.25" style="38" customWidth="1"/>
    <col min="511" max="16384" width="9" style="34"/>
  </cols>
  <sheetData>
    <row r="1" spans="1:502" s="38" customFormat="1" ht="15" customHeight="1" x14ac:dyDescent="0.3">
      <c r="A1" s="237" t="s">
        <v>344</v>
      </c>
      <c r="B1" s="237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2"/>
      <c r="AJ1" s="2"/>
      <c r="AK1" s="2"/>
      <c r="AL1" s="2"/>
      <c r="AM1" s="2"/>
      <c r="AN1" s="2"/>
      <c r="AO1" s="2"/>
      <c r="AP1" s="2"/>
      <c r="AQ1" s="2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32"/>
      <c r="MG1" s="23"/>
      <c r="MH1" s="23"/>
      <c r="MI1" s="23"/>
      <c r="MJ1" s="23"/>
      <c r="MK1" s="32"/>
      <c r="ML1" s="32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32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32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32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</row>
    <row r="2" spans="1:502" s="38" customFormat="1" ht="15" customHeight="1" x14ac:dyDescent="0.3">
      <c r="A2" s="53"/>
      <c r="B2" s="53" t="s">
        <v>345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</row>
    <row r="3" spans="1:502" s="38" customFormat="1" ht="15" customHeight="1" x14ac:dyDescent="0.3">
      <c r="A3" s="34" t="s">
        <v>255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</row>
    <row r="4" spans="1:502" s="38" customFormat="1" ht="15" customHeight="1" x14ac:dyDescent="0.3">
      <c r="A4" s="34" t="s">
        <v>266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</row>
    <row r="5" spans="1:502" ht="15" customHeight="1" x14ac:dyDescent="0.3">
      <c r="A5" s="34" t="s">
        <v>267</v>
      </c>
    </row>
    <row r="6" spans="1:502" ht="15" customHeight="1" x14ac:dyDescent="0.3">
      <c r="A6" s="34" t="s">
        <v>251</v>
      </c>
    </row>
    <row r="7" spans="1:502" ht="15" customHeight="1" x14ac:dyDescent="0.3">
      <c r="A7" s="34" t="s">
        <v>264</v>
      </c>
    </row>
    <row r="8" spans="1:502" ht="15" customHeight="1" x14ac:dyDescent="0.3">
      <c r="A8" s="34" t="s">
        <v>262</v>
      </c>
    </row>
    <row r="9" spans="1:502" ht="15" customHeight="1" x14ac:dyDescent="0.3">
      <c r="A9" s="34" t="s">
        <v>249</v>
      </c>
    </row>
    <row r="10" spans="1:502" ht="15" customHeight="1" x14ac:dyDescent="0.3">
      <c r="A10" s="34" t="s">
        <v>252</v>
      </c>
    </row>
    <row r="11" spans="1:502" ht="15" customHeight="1" x14ac:dyDescent="0.3">
      <c r="A11" s="34" t="s">
        <v>248</v>
      </c>
    </row>
    <row r="12" spans="1:502" ht="15" customHeight="1" x14ac:dyDescent="0.3">
      <c r="A12" s="34" t="s">
        <v>263</v>
      </c>
    </row>
    <row r="13" spans="1:502" ht="15" customHeight="1" x14ac:dyDescent="0.3">
      <c r="A13" s="34" t="s">
        <v>254</v>
      </c>
    </row>
    <row r="14" spans="1:502" ht="15" customHeight="1" x14ac:dyDescent="0.3">
      <c r="A14" s="34" t="s">
        <v>253</v>
      </c>
    </row>
    <row r="15" spans="1:502" ht="15" customHeight="1" x14ac:dyDescent="0.3">
      <c r="A15" s="34" t="s">
        <v>250</v>
      </c>
    </row>
    <row r="16" spans="1:502" ht="15" customHeight="1" x14ac:dyDescent="0.3">
      <c r="A16" s="34" t="s">
        <v>268</v>
      </c>
    </row>
    <row r="17" spans="1:1" ht="15" customHeight="1" x14ac:dyDescent="0.3">
      <c r="A17" s="34" t="s">
        <v>265</v>
      </c>
    </row>
    <row r="18" spans="1:1" ht="15" customHeight="1" x14ac:dyDescent="0.3">
      <c r="A18" s="34" t="s">
        <v>3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7F54-3E70-4B76-AA33-911199DA2083}">
  <sheetPr>
    <tabColor theme="5" tint="-0.249977111117893"/>
  </sheetPr>
  <dimension ref="A1:K38"/>
  <sheetViews>
    <sheetView zoomScale="55" zoomScaleNormal="55" zoomScaleSheetLayoutView="75" workbookViewId="0">
      <selection activeCell="C3" sqref="C3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2" style="34" customWidth="1"/>
    <col min="4" max="4" width="9.875" style="2" customWidth="1"/>
    <col min="5" max="5" width="11.375" style="34" customWidth="1"/>
    <col min="6" max="6" width="11.125" style="2" customWidth="1"/>
    <col min="7" max="8" width="7.5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69"/>
      <c r="B1" s="269"/>
      <c r="C1" s="269"/>
      <c r="D1" s="269"/>
      <c r="E1" s="269"/>
      <c r="F1" s="269"/>
    </row>
    <row r="2" spans="1:11" ht="33.75" customHeight="1" x14ac:dyDescent="0.3">
      <c r="A2" s="218">
        <f ca="1">TODAY()</f>
        <v>46310</v>
      </c>
      <c r="B2" s="270" t="s">
        <v>346</v>
      </c>
      <c r="C2" s="270"/>
      <c r="D2" s="270"/>
      <c r="E2" s="270"/>
      <c r="F2" s="271"/>
      <c r="G2" s="67"/>
      <c r="H2" s="67"/>
    </row>
    <row r="3" spans="1:11" ht="50.25" customHeight="1" x14ac:dyDescent="0.3">
      <c r="A3" s="219" t="s">
        <v>67</v>
      </c>
      <c r="B3" s="220" t="s">
        <v>13</v>
      </c>
      <c r="C3" s="221" t="s">
        <v>347</v>
      </c>
      <c r="D3" s="222" t="s">
        <v>2</v>
      </c>
      <c r="E3" s="220" t="s">
        <v>23</v>
      </c>
      <c r="F3" s="223" t="s">
        <v>14</v>
      </c>
      <c r="G3" s="67"/>
      <c r="H3" s="67"/>
    </row>
    <row r="4" spans="1:11" ht="30" customHeight="1" x14ac:dyDescent="0.3">
      <c r="A4" s="224" t="s">
        <v>247</v>
      </c>
      <c r="B4" s="225">
        <v>40</v>
      </c>
      <c r="C4" s="226">
        <f>IFERROR(VLOOKUP(A4,'★열매나무 피벗'!A:SD,2,FALSE),0)</f>
        <v>0</v>
      </c>
      <c r="D4" s="226">
        <f t="shared" ref="D4:D12" si="0">IFERROR(ROUNDDOWN(C4/B4,0),"")</f>
        <v>0</v>
      </c>
      <c r="E4" s="51" t="s">
        <v>256</v>
      </c>
      <c r="F4" s="227">
        <f t="shared" ref="F4:F12" si="1">IFERROR(C4-(D4*B4),"")</f>
        <v>0</v>
      </c>
      <c r="G4" s="67"/>
      <c r="H4" s="67"/>
      <c r="J4" s="73"/>
      <c r="K4" s="73"/>
    </row>
    <row r="5" spans="1:11" ht="30" customHeight="1" x14ac:dyDescent="0.3">
      <c r="A5" s="228" t="s">
        <v>248</v>
      </c>
      <c r="B5" s="225">
        <f t="shared" ref="B5:B12" si="2">$B$4</f>
        <v>40</v>
      </c>
      <c r="C5" s="226">
        <f>IFERROR(VLOOKUP(A5,'★열매나무 피벗'!A:SD,2,FALSE),0)</f>
        <v>0</v>
      </c>
      <c r="D5" s="226">
        <f t="shared" si="0"/>
        <v>0</v>
      </c>
      <c r="E5" s="51" t="s">
        <v>238</v>
      </c>
      <c r="F5" s="227">
        <f t="shared" si="1"/>
        <v>0</v>
      </c>
      <c r="G5" s="67"/>
      <c r="H5" s="67"/>
      <c r="J5" s="73"/>
      <c r="K5" s="73"/>
    </row>
    <row r="6" spans="1:11" ht="30" customHeight="1" x14ac:dyDescent="0.3">
      <c r="A6" s="228" t="s">
        <v>249</v>
      </c>
      <c r="B6" s="225">
        <f t="shared" si="2"/>
        <v>40</v>
      </c>
      <c r="C6" s="226">
        <f>IFERROR(VLOOKUP(A6,'★열매나무 피벗'!A:SD,2,FALSE),0)</f>
        <v>0</v>
      </c>
      <c r="D6" s="226">
        <f>IFERROR(ROUNDDOWN(C6/B6,0),"")</f>
        <v>0</v>
      </c>
      <c r="E6" s="51" t="s">
        <v>257</v>
      </c>
      <c r="F6" s="227">
        <f>IFERROR(C6-(D6*B6),"")</f>
        <v>0</v>
      </c>
      <c r="G6" s="67"/>
      <c r="H6" s="67"/>
      <c r="J6" s="73"/>
      <c r="K6" s="73"/>
    </row>
    <row r="7" spans="1:11" ht="30" customHeight="1" x14ac:dyDescent="0.3">
      <c r="A7" s="228" t="s">
        <v>250</v>
      </c>
      <c r="B7" s="225">
        <f t="shared" si="2"/>
        <v>40</v>
      </c>
      <c r="C7" s="226">
        <f>IFERROR(VLOOKUP(A7,'★열매나무 피벗'!A:SD,2,FALSE),0)</f>
        <v>0</v>
      </c>
      <c r="D7" s="226">
        <f>IFERROR(ROUNDDOWN(C7/B7,0),"")</f>
        <v>0</v>
      </c>
      <c r="E7" s="51" t="s">
        <v>258</v>
      </c>
      <c r="F7" s="227">
        <f>IFERROR(C7-(D7*B7),"")</f>
        <v>0</v>
      </c>
      <c r="G7" s="67"/>
      <c r="H7" s="67"/>
      <c r="J7" s="73"/>
      <c r="K7" s="73"/>
    </row>
    <row r="8" spans="1:11" ht="30" customHeight="1" x14ac:dyDescent="0.3">
      <c r="A8" s="228" t="s">
        <v>251</v>
      </c>
      <c r="B8" s="225">
        <f t="shared" si="2"/>
        <v>40</v>
      </c>
      <c r="C8" s="226">
        <f>IFERROR(VLOOKUP(A8,'★열매나무 피벗'!A:SD,2,FALSE),0)</f>
        <v>0</v>
      </c>
      <c r="D8" s="226">
        <f>IFERROR(ROUNDDOWN(C8/B8,0),"")</f>
        <v>0</v>
      </c>
      <c r="E8" s="51" t="s">
        <v>259</v>
      </c>
      <c r="F8" s="227">
        <f>IFERROR(C8-(D8*B8),"")</f>
        <v>0</v>
      </c>
      <c r="G8" s="67"/>
      <c r="H8" s="67"/>
      <c r="J8" s="73"/>
      <c r="K8" s="73"/>
    </row>
    <row r="9" spans="1:11" ht="30" customHeight="1" x14ac:dyDescent="0.3">
      <c r="A9" s="228" t="s">
        <v>252</v>
      </c>
      <c r="B9" s="225">
        <f t="shared" si="2"/>
        <v>40</v>
      </c>
      <c r="C9" s="226">
        <f>IFERROR(VLOOKUP(A9,'★열매나무 피벗'!A:SD,2,FALSE),0)</f>
        <v>0</v>
      </c>
      <c r="D9" s="226">
        <f t="shared" si="0"/>
        <v>0</v>
      </c>
      <c r="E9" s="51" t="s">
        <v>260</v>
      </c>
      <c r="F9" s="227">
        <f t="shared" si="1"/>
        <v>0</v>
      </c>
      <c r="G9" s="67"/>
      <c r="H9" s="67"/>
      <c r="I9" s="34" t="s">
        <v>308</v>
      </c>
      <c r="J9" s="73"/>
      <c r="K9" s="73"/>
    </row>
    <row r="10" spans="1:11" ht="30" customHeight="1" x14ac:dyDescent="0.3">
      <c r="A10" s="228" t="s">
        <v>253</v>
      </c>
      <c r="B10" s="225">
        <f t="shared" si="2"/>
        <v>40</v>
      </c>
      <c r="C10" s="226">
        <f>IFERROR(VLOOKUP(A10,'★열매나무 피벗'!A:SD,2,FALSE),0)</f>
        <v>0</v>
      </c>
      <c r="D10" s="226">
        <f>IFERROR(ROUNDDOWN(C10/B10,0),"")</f>
        <v>0</v>
      </c>
      <c r="E10" s="51" t="s">
        <v>261</v>
      </c>
      <c r="F10" s="227">
        <f>IFERROR(C10-(D10*B10),"")</f>
        <v>0</v>
      </c>
      <c r="G10" s="67"/>
      <c r="H10" s="67"/>
      <c r="J10" s="73"/>
      <c r="K10" s="73"/>
    </row>
    <row r="11" spans="1:11" ht="30" customHeight="1" x14ac:dyDescent="0.3">
      <c r="A11" s="228" t="s">
        <v>254</v>
      </c>
      <c r="B11" s="225">
        <f t="shared" si="2"/>
        <v>40</v>
      </c>
      <c r="C11" s="226">
        <f>IFERROR(VLOOKUP(A11,'★열매나무 피벗'!A:SD,2,FALSE),0)</f>
        <v>0</v>
      </c>
      <c r="D11" s="226">
        <f t="shared" si="0"/>
        <v>0</v>
      </c>
      <c r="E11" s="51" t="s">
        <v>240</v>
      </c>
      <c r="F11" s="227">
        <f t="shared" si="1"/>
        <v>0</v>
      </c>
      <c r="G11" s="67"/>
      <c r="H11" s="67"/>
      <c r="J11" s="73"/>
      <c r="K11" s="73"/>
    </row>
    <row r="12" spans="1:11" ht="30" customHeight="1" x14ac:dyDescent="0.3">
      <c r="A12" s="228" t="s">
        <v>255</v>
      </c>
      <c r="B12" s="225">
        <f t="shared" si="2"/>
        <v>40</v>
      </c>
      <c r="C12" s="226">
        <f>IFERROR(VLOOKUP(A12,'★열매나무 피벗'!A:SD,2,FALSE),0)</f>
        <v>0</v>
      </c>
      <c r="D12" s="226">
        <f t="shared" si="0"/>
        <v>0</v>
      </c>
      <c r="E12" s="51" t="s">
        <v>108</v>
      </c>
      <c r="F12" s="227">
        <f t="shared" si="1"/>
        <v>0</v>
      </c>
      <c r="G12" s="67"/>
      <c r="H12" s="67"/>
      <c r="J12" s="73"/>
      <c r="K12" s="73"/>
    </row>
    <row r="13" spans="1:11" ht="4.5" customHeight="1" x14ac:dyDescent="0.3">
      <c r="A13" s="266"/>
      <c r="B13" s="267"/>
      <c r="C13" s="267"/>
      <c r="D13" s="267"/>
      <c r="E13" s="267"/>
      <c r="F13" s="268"/>
      <c r="J13" s="73"/>
      <c r="K13" s="73"/>
    </row>
    <row r="14" spans="1:11" ht="32.450000000000003" customHeight="1" x14ac:dyDescent="0.3">
      <c r="A14" s="209" t="s">
        <v>122</v>
      </c>
      <c r="B14" s="231">
        <f>$B$4</f>
        <v>40</v>
      </c>
      <c r="C14" s="210">
        <f>SUM(C4:C12)</f>
        <v>0</v>
      </c>
      <c r="D14" s="55">
        <f>IFERROR(ROUNDDOWN(C14/B14,0),"")</f>
        <v>0</v>
      </c>
      <c r="E14" s="211"/>
      <c r="F14" s="212">
        <f>IFERROR(C14-(D14*B14),"")</f>
        <v>0</v>
      </c>
      <c r="J14" s="73"/>
      <c r="K14" s="73"/>
    </row>
    <row r="15" spans="1:11" ht="4.5" customHeight="1" x14ac:dyDescent="0.3">
      <c r="A15" s="229"/>
      <c r="B15" s="225"/>
      <c r="C15" s="225"/>
      <c r="D15" s="225"/>
      <c r="E15" s="225"/>
      <c r="F15" s="230"/>
      <c r="J15" s="73"/>
      <c r="K15" s="73"/>
    </row>
    <row r="16" spans="1:11" ht="30" customHeight="1" x14ac:dyDescent="0.3">
      <c r="A16" s="228" t="s">
        <v>262</v>
      </c>
      <c r="B16" s="225">
        <f t="shared" ref="B16:B17" si="3">$B$4</f>
        <v>40</v>
      </c>
      <c r="C16" s="226">
        <f>IFERROR(VLOOKUP(A16,'★열매나무 피벗'!A:SD,2,FALSE),0)</f>
        <v>0</v>
      </c>
      <c r="D16" s="226">
        <f>IFERROR(ROUNDDOWN(C16/B16,0),"")</f>
        <v>0</v>
      </c>
      <c r="E16" s="51" t="s">
        <v>237</v>
      </c>
      <c r="F16" s="227">
        <f>IFERROR(C16-(D16*B16),"")</f>
        <v>0</v>
      </c>
      <c r="G16" s="67"/>
      <c r="H16" s="67"/>
      <c r="J16" s="73"/>
      <c r="K16" s="73"/>
    </row>
    <row r="17" spans="1:11" ht="30" customHeight="1" x14ac:dyDescent="0.3">
      <c r="A17" s="228" t="s">
        <v>263</v>
      </c>
      <c r="B17" s="225">
        <f t="shared" si="3"/>
        <v>40</v>
      </c>
      <c r="C17" s="226">
        <f>IFERROR(VLOOKUP(A17,'★열매나무 피벗'!A:SD,2,FALSE),0)</f>
        <v>0</v>
      </c>
      <c r="D17" s="226">
        <f>IFERROR(ROUNDDOWN(C17/B17,0),"")</f>
        <v>0</v>
      </c>
      <c r="E17" s="51" t="s">
        <v>236</v>
      </c>
      <c r="F17" s="227">
        <f>IFERROR(C17-(D17*B17),"")</f>
        <v>0</v>
      </c>
      <c r="G17" s="67"/>
      <c r="H17" s="67"/>
      <c r="J17" s="73"/>
      <c r="K17" s="73"/>
    </row>
    <row r="18" spans="1:11" ht="4.5" customHeight="1" x14ac:dyDescent="0.3">
      <c r="A18" s="266"/>
      <c r="B18" s="267"/>
      <c r="C18" s="267"/>
      <c r="D18" s="267"/>
      <c r="E18" s="267"/>
      <c r="F18" s="268"/>
      <c r="G18" s="67"/>
      <c r="H18" s="67"/>
      <c r="J18" s="73"/>
      <c r="K18" s="73"/>
    </row>
    <row r="19" spans="1:11" ht="32.450000000000003" customHeight="1" x14ac:dyDescent="0.3">
      <c r="A19" s="209" t="s">
        <v>244</v>
      </c>
      <c r="B19" s="231">
        <f>$B$4</f>
        <v>40</v>
      </c>
      <c r="C19" s="210">
        <f>SUM(C16:C17)</f>
        <v>0</v>
      </c>
      <c r="D19" s="55">
        <f>IFERROR(ROUNDDOWN(C19/B19,0),"")</f>
        <v>0</v>
      </c>
      <c r="E19" s="211"/>
      <c r="F19" s="212">
        <f>IFERROR(C19-(D19*B19),"")</f>
        <v>0</v>
      </c>
      <c r="G19" s="67"/>
      <c r="H19" s="67"/>
      <c r="J19" s="73"/>
      <c r="K19" s="73"/>
    </row>
    <row r="20" spans="1:11" ht="4.5" customHeight="1" x14ac:dyDescent="0.3">
      <c r="A20" s="266"/>
      <c r="B20" s="267"/>
      <c r="C20" s="267"/>
      <c r="D20" s="267"/>
      <c r="E20" s="267"/>
      <c r="F20" s="268"/>
      <c r="G20" s="67"/>
      <c r="H20" s="67"/>
      <c r="J20" s="73"/>
      <c r="K20" s="73"/>
    </row>
    <row r="21" spans="1:11" ht="30" customHeight="1" x14ac:dyDescent="0.3">
      <c r="A21" s="228" t="s">
        <v>264</v>
      </c>
      <c r="B21" s="225">
        <f t="shared" ref="B21:B22" si="4">$B$4</f>
        <v>40</v>
      </c>
      <c r="C21" s="226">
        <f>IFERROR(VLOOKUP(A21,'★열매나무 피벗'!A:SD,2,FALSE),0)</f>
        <v>0</v>
      </c>
      <c r="D21" s="226">
        <f t="shared" ref="D21:D22" si="5">IFERROR(ROUNDDOWN(C21/B21,0),"")</f>
        <v>0</v>
      </c>
      <c r="E21" s="51" t="s">
        <v>235</v>
      </c>
      <c r="F21" s="227">
        <f t="shared" ref="F21:F22" si="6">IFERROR(C21-(D21*B21),"")</f>
        <v>0</v>
      </c>
      <c r="G21" s="67"/>
      <c r="H21" s="67"/>
      <c r="J21" s="73"/>
      <c r="K21" s="73"/>
    </row>
    <row r="22" spans="1:11" ht="30" customHeight="1" x14ac:dyDescent="0.3">
      <c r="A22" s="228" t="s">
        <v>265</v>
      </c>
      <c r="B22" s="225">
        <f t="shared" si="4"/>
        <v>40</v>
      </c>
      <c r="C22" s="226">
        <f>IFERROR(VLOOKUP(A22,'★열매나무 피벗'!A:SD,2,FALSE),0)</f>
        <v>0</v>
      </c>
      <c r="D22" s="226">
        <f t="shared" si="5"/>
        <v>0</v>
      </c>
      <c r="E22" s="51" t="s">
        <v>269</v>
      </c>
      <c r="F22" s="227">
        <f t="shared" si="6"/>
        <v>0</v>
      </c>
      <c r="G22" s="67"/>
      <c r="H22" s="67"/>
      <c r="J22" s="73"/>
      <c r="K22" s="73"/>
    </row>
    <row r="23" spans="1:11" ht="4.5" customHeight="1" x14ac:dyDescent="0.3">
      <c r="A23" s="266"/>
      <c r="B23" s="267"/>
      <c r="C23" s="267"/>
      <c r="D23" s="267"/>
      <c r="E23" s="267"/>
      <c r="F23" s="268"/>
      <c r="G23" s="67"/>
      <c r="H23" s="67"/>
      <c r="J23" s="73"/>
      <c r="K23" s="73"/>
    </row>
    <row r="24" spans="1:11" ht="32.450000000000003" customHeight="1" x14ac:dyDescent="0.3">
      <c r="A24" s="209" t="s">
        <v>243</v>
      </c>
      <c r="B24" s="231">
        <f>$B$4</f>
        <v>40</v>
      </c>
      <c r="C24" s="210">
        <f>SUM(C21:C22)</f>
        <v>0</v>
      </c>
      <c r="D24" s="55">
        <f>IFERROR(ROUNDDOWN(C24/B24,0),"")</f>
        <v>0</v>
      </c>
      <c r="E24" s="211"/>
      <c r="F24" s="212">
        <f>IFERROR(C24-(D24*B24),"")</f>
        <v>0</v>
      </c>
      <c r="G24" s="67"/>
      <c r="H24" s="67"/>
      <c r="J24" s="73"/>
      <c r="K24" s="73"/>
    </row>
    <row r="25" spans="1:11" ht="4.5" customHeight="1" x14ac:dyDescent="0.3">
      <c r="A25" s="229"/>
      <c r="B25" s="225"/>
      <c r="C25" s="225"/>
      <c r="D25" s="225"/>
      <c r="E25" s="225"/>
      <c r="F25" s="230"/>
      <c r="G25" s="67"/>
      <c r="H25" s="67"/>
      <c r="J25" s="73"/>
      <c r="K25" s="73"/>
    </row>
    <row r="26" spans="1:11" ht="30" customHeight="1" x14ac:dyDescent="0.3">
      <c r="A26" s="228" t="s">
        <v>266</v>
      </c>
      <c r="B26" s="225">
        <f t="shared" ref="B26:B27" si="7">$B$4</f>
        <v>40</v>
      </c>
      <c r="C26" s="226">
        <f>IFERROR(VLOOKUP(A26,'★열매나무 피벗'!A:SD,2,FALSE),0)</f>
        <v>0</v>
      </c>
      <c r="D26" s="226">
        <f>IFERROR(ROUNDDOWN(C26/B26,0),"")</f>
        <v>0</v>
      </c>
      <c r="E26" s="51" t="s">
        <v>239</v>
      </c>
      <c r="F26" s="227">
        <f>IFERROR(C26-(D26*B26),"")</f>
        <v>0</v>
      </c>
      <c r="G26" s="67"/>
      <c r="H26" s="67"/>
      <c r="J26" s="73"/>
      <c r="K26" s="73"/>
    </row>
    <row r="27" spans="1:11" ht="30" customHeight="1" x14ac:dyDescent="0.3">
      <c r="A27" s="228" t="s">
        <v>267</v>
      </c>
      <c r="B27" s="225">
        <f t="shared" si="7"/>
        <v>40</v>
      </c>
      <c r="C27" s="226">
        <f>IFERROR(VLOOKUP(A27,'★열매나무 피벗'!A:SD,2,FALSE),0)</f>
        <v>0</v>
      </c>
      <c r="D27" s="226">
        <f t="shared" ref="D27" si="8">IFERROR(ROUNDDOWN(C27/B27,0),"")</f>
        <v>0</v>
      </c>
      <c r="E27" s="51" t="s">
        <v>270</v>
      </c>
      <c r="F27" s="227">
        <f t="shared" ref="F27" si="9">IFERROR(C27-(D27*B27),"")</f>
        <v>0</v>
      </c>
      <c r="G27" s="67"/>
      <c r="H27" s="67"/>
      <c r="J27" s="73"/>
      <c r="K27" s="73"/>
    </row>
    <row r="28" spans="1:11" ht="4.5" customHeight="1" x14ac:dyDescent="0.3">
      <c r="A28" s="266"/>
      <c r="B28" s="267"/>
      <c r="C28" s="267"/>
      <c r="D28" s="267"/>
      <c r="E28" s="267"/>
      <c r="F28" s="268"/>
      <c r="G28" s="67"/>
      <c r="H28" s="67"/>
      <c r="J28" s="73"/>
      <c r="K28" s="73"/>
    </row>
    <row r="29" spans="1:11" ht="32.450000000000003" customHeight="1" x14ac:dyDescent="0.3">
      <c r="A29" s="209" t="s">
        <v>242</v>
      </c>
      <c r="B29" s="231">
        <f>$B$4</f>
        <v>40</v>
      </c>
      <c r="C29" s="210">
        <f>SUM(C26:C27)</f>
        <v>0</v>
      </c>
      <c r="D29" s="55">
        <f>IFERROR(ROUNDDOWN(C29/B29,0),"")</f>
        <v>0</v>
      </c>
      <c r="E29" s="211"/>
      <c r="F29" s="212">
        <f>IFERROR(C29-(D29*B29),"")</f>
        <v>0</v>
      </c>
      <c r="G29" s="67"/>
      <c r="H29" s="67"/>
      <c r="J29" s="73"/>
      <c r="K29" s="73"/>
    </row>
    <row r="30" spans="1:11" ht="4.5" customHeight="1" x14ac:dyDescent="0.3">
      <c r="A30" s="229"/>
      <c r="B30" s="225"/>
      <c r="C30" s="225"/>
      <c r="D30" s="225"/>
      <c r="E30" s="225"/>
      <c r="F30" s="230"/>
      <c r="G30" s="67"/>
      <c r="H30" s="67"/>
      <c r="J30" s="73"/>
      <c r="K30" s="73"/>
    </row>
    <row r="31" spans="1:11" ht="30" customHeight="1" x14ac:dyDescent="0.3">
      <c r="A31" s="228" t="s">
        <v>268</v>
      </c>
      <c r="B31" s="225">
        <f t="shared" ref="B31" si="10">$B$4</f>
        <v>40</v>
      </c>
      <c r="C31" s="226">
        <f>IFERROR(VLOOKUP(A31,'★열매나무 피벗'!A:SD,2,FALSE),0)</f>
        <v>0</v>
      </c>
      <c r="D31" s="226">
        <f t="shared" ref="D31" si="11">IFERROR(ROUNDDOWN(C31/B31,0),"")</f>
        <v>0</v>
      </c>
      <c r="E31" s="51" t="s">
        <v>241</v>
      </c>
      <c r="F31" s="227">
        <f t="shared" ref="F31" si="12">IFERROR(C31-(D31*B31),"")</f>
        <v>0</v>
      </c>
      <c r="G31" s="67"/>
      <c r="H31" s="67"/>
      <c r="J31" s="73"/>
      <c r="K31" s="73"/>
    </row>
    <row r="32" spans="1:11" ht="4.5" customHeight="1" x14ac:dyDescent="0.3">
      <c r="A32" s="266"/>
      <c r="B32" s="267"/>
      <c r="C32" s="267"/>
      <c r="D32" s="267"/>
      <c r="E32" s="267"/>
      <c r="F32" s="268"/>
      <c r="G32" s="67"/>
      <c r="H32" s="67"/>
      <c r="J32" s="73"/>
      <c r="K32" s="73"/>
    </row>
    <row r="33" spans="1:11" ht="32.450000000000003" customHeight="1" x14ac:dyDescent="0.3">
      <c r="A33" s="209" t="s">
        <v>246</v>
      </c>
      <c r="B33" s="231">
        <f>$B$4</f>
        <v>40</v>
      </c>
      <c r="C33" s="210">
        <f>SUM(C31:C31)</f>
        <v>0</v>
      </c>
      <c r="D33" s="55">
        <f>IFERROR(ROUNDDOWN(C33/B33,0),"")</f>
        <v>0</v>
      </c>
      <c r="E33" s="211"/>
      <c r="F33" s="212">
        <f>IFERROR(C33-(D33*B33),"")</f>
        <v>0</v>
      </c>
      <c r="G33" s="67"/>
      <c r="H33" s="67"/>
      <c r="J33" s="73"/>
      <c r="K33" s="73"/>
    </row>
    <row r="34" spans="1:11" ht="4.5" customHeight="1" thickBot="1" x14ac:dyDescent="0.35">
      <c r="A34" s="229"/>
      <c r="B34" s="225"/>
      <c r="C34" s="225"/>
      <c r="D34" s="225"/>
      <c r="E34" s="225"/>
      <c r="F34" s="230"/>
      <c r="G34" s="67"/>
      <c r="H34" s="67"/>
      <c r="J34" s="73"/>
      <c r="K34" s="73"/>
    </row>
    <row r="35" spans="1:11" ht="26.25" x14ac:dyDescent="0.3">
      <c r="A35" s="207" t="s">
        <v>3</v>
      </c>
      <c r="B35" s="232">
        <f>$B$4</f>
        <v>40</v>
      </c>
      <c r="C35" s="55">
        <f>SUM(C4:C12,C26:C27,C21:C22,C16:C17,C31:C31)</f>
        <v>0</v>
      </c>
      <c r="D35" s="54">
        <f>IFERROR(ROUNDDOWN(C35/B35,0),"")</f>
        <v>0</v>
      </c>
      <c r="E35" s="56"/>
      <c r="F35" s="121">
        <f>IFERROR(C35-(D35*B35),"")</f>
        <v>0</v>
      </c>
      <c r="G35" s="217" t="s">
        <v>110</v>
      </c>
      <c r="H35" s="216" t="s">
        <v>111</v>
      </c>
      <c r="J35" s="73"/>
      <c r="K35" s="73"/>
    </row>
    <row r="36" spans="1:11" ht="30" customHeight="1" thickBot="1" x14ac:dyDescent="0.35">
      <c r="A36" s="233" t="s">
        <v>245</v>
      </c>
      <c r="B36" s="234" t="s">
        <v>173</v>
      </c>
      <c r="C36" s="40"/>
      <c r="D36" s="41">
        <f>SUM(D4:D12,D26:D27,D21:D22,D16:D17,D31:D31)</f>
        <v>0</v>
      </c>
      <c r="E36" s="48"/>
      <c r="F36" s="93">
        <f>SUM(F4:F12,F26:F27,F21:F22,F16:F17,F31:F31)</f>
        <v>0</v>
      </c>
      <c r="G36" s="213">
        <f>IFERROR(ROUNDDOWN(F36/B26,0),"")</f>
        <v>0</v>
      </c>
      <c r="H36" s="214">
        <f>IFERROR(F36-(G36*B26),"")</f>
        <v>0</v>
      </c>
    </row>
    <row r="37" spans="1:11" ht="22.5" customHeight="1" x14ac:dyDescent="0.3">
      <c r="C37" s="77">
        <f>C14+C19+C24+C29+C33</f>
        <v>0</v>
      </c>
      <c r="G37" s="197"/>
      <c r="H37" s="34" t="s">
        <v>174</v>
      </c>
    </row>
    <row r="38" spans="1:11" x14ac:dyDescent="0.3">
      <c r="C38" s="34" t="b">
        <f>C37=C35</f>
        <v>1</v>
      </c>
    </row>
  </sheetData>
  <mergeCells count="8">
    <mergeCell ref="A28:F28"/>
    <mergeCell ref="A32:F32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8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1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64" t="s">
        <v>131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IFERROR(VLOOKUP(A4,#REF!,2,FALSE),0)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IFERROR(VLOOKUP(A5,#REF!,2,FALSE),0)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IFERROR(VLOOKUP(A10,#REF!,2,FALSE),0)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IFERROR(VLOOKUP(A16,#REF!,2,FALSE),0)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IFERROR(VLOOKUP(A19,#REF!,2,FALSE),0)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IFERROR(VLOOKUP(A20,#REF!,2,FALSE),0)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71" t="s">
        <v>171</v>
      </c>
      <c r="B22" s="180">
        <f>B4</f>
        <v>36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6"/>
      <c r="D23" s="167"/>
      <c r="E23" s="168"/>
      <c r="F23" s="167"/>
      <c r="G23" s="67"/>
      <c r="H23" s="67"/>
    </row>
    <row r="24" spans="1:25" ht="25.35" customHeight="1" x14ac:dyDescent="0.3">
      <c r="A24" s="174" t="s">
        <v>58</v>
      </c>
      <c r="B24" s="176">
        <f t="shared" si="2"/>
        <v>36</v>
      </c>
      <c r="C24" s="177">
        <f>IFERROR(VLOOKUP(A24,#REF!,2,FALSE),0)</f>
        <v>0</v>
      </c>
      <c r="D24" s="178">
        <f t="shared" ref="D24:D31" si="3">IFERROR(ROUNDDOWN(C24/B24,0),"")</f>
        <v>0</v>
      </c>
      <c r="E24" s="175" t="s">
        <v>11</v>
      </c>
      <c r="F24" s="179">
        <f t="shared" ref="F24:F31" si="4">IFERROR(C24-(D24*B24),"")</f>
        <v>0</v>
      </c>
      <c r="G24" s="165"/>
      <c r="H24" s="165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IFERROR(VLOOKUP(A25,#REF!,2,FALSE),0)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IFERROR(VLOOKUP(A26,#REF!,2,FALSE),0)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IFERROR(VLOOKUP(A27,#REF!,2,FALSE),0)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IFERROR(VLOOKUP(A30,#REF!,2,FALSE),0)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IFERROR(VLOOKUP(A32,#REF!,2,FALSE),0)</f>
        <v>0</v>
      </c>
      <c r="D32" s="20">
        <f t="shared" ref="D32:D43" si="5">IFERROR(ROUNDDOWN(C32/B32,0),"")</f>
        <v>0</v>
      </c>
      <c r="E32" s="51" t="s">
        <v>97</v>
      </c>
      <c r="F32" s="26">
        <f t="shared" ref="F32:F43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IFERROR(VLOOKUP(A33,#REF!,2,FALSE),0)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IFERROR(VLOOKUP(A34,#REF!,2,FALSE),0)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IFERROR(VLOOKUP(A35,#REF!,2,FALSE),0)</f>
        <v>0</v>
      </c>
      <c r="D35" s="28">
        <f t="shared" si="5"/>
        <v>0</v>
      </c>
      <c r="E35" s="36" t="s">
        <v>16</v>
      </c>
      <c r="F35" s="31">
        <f t="shared" si="6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IFERROR(VLOOKUP(A36,#REF!,2,FALSE),0)</f>
        <v>0</v>
      </c>
      <c r="D36" s="20">
        <f t="shared" si="5"/>
        <v>0</v>
      </c>
      <c r="E36" s="51" t="s">
        <v>24</v>
      </c>
      <c r="F36" s="26">
        <f t="shared" si="6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IFERROR(VLOOKUP(A37,#REF!,2,FALSE),0)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IFERROR(VLOOKUP(A38,#REF!,2,FALSE),0)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IFERROR(VLOOKUP(A39,#REF!,2,FALSE),0)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IFERROR(VLOOKUP(A40,#REF!,2,FALSE),0)</f>
        <v>0</v>
      </c>
      <c r="D40" s="20">
        <f t="shared" si="5"/>
        <v>0</v>
      </c>
      <c r="E40" s="51" t="s">
        <v>19</v>
      </c>
      <c r="F40" s="26">
        <f t="shared" si="6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IFERROR(VLOOKUP(A41,#REF!,2,FALSE),0)</f>
        <v>0</v>
      </c>
      <c r="D41" s="28">
        <f t="shared" si="5"/>
        <v>0</v>
      </c>
      <c r="E41" s="36" t="s">
        <v>20</v>
      </c>
      <c r="F41" s="31">
        <f t="shared" si="6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IFERROR(VLOOKUP(A42,#REF!,2,FALSE),0)</f>
        <v>0</v>
      </c>
      <c r="D42" s="20">
        <f t="shared" si="5"/>
        <v>0</v>
      </c>
      <c r="E42" s="51" t="s">
        <v>25</v>
      </c>
      <c r="F42" s="26">
        <f t="shared" si="6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IFERROR(VLOOKUP(A43,#REF!,2,FALSE),0)</f>
        <v>0</v>
      </c>
      <c r="D43" s="28">
        <f t="shared" si="5"/>
        <v>0</v>
      </c>
      <c r="E43" s="36" t="s">
        <v>72</v>
      </c>
      <c r="F43" s="31">
        <f t="shared" si="6"/>
        <v>0</v>
      </c>
      <c r="G43" s="67"/>
      <c r="H43" s="67"/>
    </row>
    <row r="44" spans="1:25" ht="4.5" customHeight="1" x14ac:dyDescent="0.3">
      <c r="A44" s="263"/>
      <c r="B44" s="264"/>
      <c r="C44" s="264"/>
      <c r="D44" s="264"/>
      <c r="E44" s="264"/>
      <c r="F44" s="265"/>
    </row>
    <row r="45" spans="1:25" ht="34.15" customHeight="1" thickBot="1" x14ac:dyDescent="0.35">
      <c r="A45" s="173" t="s">
        <v>172</v>
      </c>
      <c r="B45" s="180">
        <f>B4</f>
        <v>36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4" t="s">
        <v>178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13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64" t="s">
        <v>132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IFERROR(VLOOKUP(A4,#REF!,3,FALSE),0)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IFERROR(VLOOKUP(A5,#REF!,3,FALSE),0)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IFERROR(VLOOKUP(A6,#REF!,3,FALSE),0)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IFERROR(VLOOKUP(A7,#REF!,3,FALSE),0)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IFERROR(VLOOKUP(A8,#REF!,3,FALSE),0)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IFERROR(VLOOKUP(A9,#REF!,3,FALSE),0)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IFERROR(VLOOKUP(A10,#REF!,3,FALSE),0)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IFERROR(VLOOKUP(A11,#REF!,3,FALSE),0)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IFERROR(VLOOKUP(A12,#REF!,3,FALSE),0)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IFERROR(VLOOKUP(A13,#REF!,3,FALSE),0)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IFERROR(VLOOKUP(A14,#REF!,3,FALSE),0)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80"/>
      <c r="B15" s="281"/>
      <c r="C15" s="281"/>
      <c r="D15" s="281"/>
      <c r="E15" s="281"/>
      <c r="F15" s="282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9"/>
      <c r="B17" s="279"/>
      <c r="C17" s="279"/>
      <c r="D17" s="279"/>
      <c r="E17" s="279"/>
      <c r="F17" s="279"/>
    </row>
    <row r="18" spans="1:8" ht="25.35" customHeight="1" x14ac:dyDescent="0.3">
      <c r="A18" s="174" t="s">
        <v>59</v>
      </c>
      <c r="B18" s="176">
        <f t="shared" ref="B18:B43" si="3">$B$4</f>
        <v>36</v>
      </c>
      <c r="C18" s="177">
        <f>IFERROR(VLOOKUP(A18,#REF!,3,FALSE),0)</f>
        <v>0</v>
      </c>
      <c r="D18" s="178">
        <f>IFERROR(ROUNDDOWN(C18/B18,0),"")</f>
        <v>0</v>
      </c>
      <c r="E18" s="175" t="s">
        <v>117</v>
      </c>
      <c r="F18" s="179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IFERROR(VLOOKUP(A19,#REF!,3,FALSE),0)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IFERROR(VLOOKUP(A20,#REF!,3,FALSE),0)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IFERROR(VLOOKUP(A21,#REF!,3,FALSE),0)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IFERROR(VLOOKUP(A22,#REF!,3,FALSE),0)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IFERROR(VLOOKUP(A23,#REF!,3,FALSE),0)</f>
        <v>0</v>
      </c>
      <c r="D23" s="28">
        <f t="shared" ref="D23:D36" si="4">IFERROR(ROUNDDOWN(C23/B23,0),"")</f>
        <v>0</v>
      </c>
      <c r="E23" s="36" t="s">
        <v>21</v>
      </c>
      <c r="F23" s="31">
        <f t="shared" ref="F23:F36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IFERROR(VLOOKUP(A24,#REF!,3,FALSE),0)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IFERROR(VLOOKUP(A25,#REF!,3,FALSE),0)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IFERROR(VLOOKUP(A26,#REF!,3,FALSE),0)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IFERROR(VLOOKUP(A27,#REF!,3,FALSE),0)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IFERROR(VLOOKUP(A28,#REF!,3,FALSE),0)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IFERROR(VLOOKUP(A29,#REF!,3,FALSE),0)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IFERROR(VLOOKUP(A30,#REF!,3,FALSE),0)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IFERROR(VLOOKUP(A31,#REF!,3,FALSE),0)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IFERROR(VLOOKUP(A32,#REF!,3,FALSE),0)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IFERROR(VLOOKUP(A33,#REF!,3,FALSE),0)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IFERROR(VLOOKUP(A34,#REF!,3,FALSE),0)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IFERROR(VLOOKUP(A35,#REF!,3,FALSE),0)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IFERROR(VLOOKUP(A36,#REF!,3,FALSE),0)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IFERROR(VLOOKUP(A37,#REF!,3,FALSE),0)</f>
        <v>0</v>
      </c>
      <c r="D37" s="28">
        <f t="shared" ref="D37:D43" si="6">IFERROR(ROUNDDOWN(C37/B37,0),"")</f>
        <v>0</v>
      </c>
      <c r="E37" s="36" t="s">
        <v>97</v>
      </c>
      <c r="F37" s="31">
        <f t="shared" ref="F37:F43" si="7">IFERROR(C37-(D37*B37),"")</f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IFERROR(VLOOKUP(A38,#REF!,3,FALSE),0)</f>
        <v>0</v>
      </c>
      <c r="D38" s="20">
        <f t="shared" si="6"/>
        <v>0</v>
      </c>
      <c r="E38" s="51" t="s">
        <v>8</v>
      </c>
      <c r="F38" s="26">
        <f t="shared" si="7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IFERROR(VLOOKUP(A39,#REF!,3,FALSE),0)</f>
        <v>0</v>
      </c>
      <c r="D39" s="28">
        <f t="shared" si="6"/>
        <v>0</v>
      </c>
      <c r="E39" s="36" t="s">
        <v>9</v>
      </c>
      <c r="F39" s="31">
        <f t="shared" si="7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IFERROR(VLOOKUP(A40,#REF!,3,FALSE),0)</f>
        <v>0</v>
      </c>
      <c r="D40" s="20">
        <f t="shared" si="6"/>
        <v>0</v>
      </c>
      <c r="E40" s="51" t="s">
        <v>19</v>
      </c>
      <c r="F40" s="26">
        <f t="shared" si="7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IFERROR(VLOOKUP(A41,#REF!,3,FALSE),0)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IFERROR(VLOOKUP(A42,#REF!,3,FALSE),0)</f>
        <v>0</v>
      </c>
      <c r="D42" s="20">
        <f t="shared" si="6"/>
        <v>0</v>
      </c>
      <c r="E42" s="51" t="s">
        <v>25</v>
      </c>
      <c r="F42" s="26">
        <f t="shared" si="7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IFERROR(VLOOKUP(A43,#REF!,3,FALSE),0)</f>
        <v>0</v>
      </c>
      <c r="D43" s="28">
        <f t="shared" si="6"/>
        <v>0</v>
      </c>
      <c r="E43" s="36" t="s">
        <v>72</v>
      </c>
      <c r="F43" s="31">
        <f t="shared" si="7"/>
        <v>0</v>
      </c>
      <c r="G43" s="67"/>
      <c r="H43" s="67"/>
    </row>
    <row r="44" spans="1:25" ht="10.5" customHeight="1" thickBot="1" x14ac:dyDescent="0.35">
      <c r="A44" s="260"/>
      <c r="B44" s="261"/>
      <c r="C44" s="261"/>
      <c r="D44" s="261"/>
      <c r="E44" s="261"/>
      <c r="F44" s="262"/>
    </row>
    <row r="45" spans="1:25" ht="25.35" customHeight="1" thickBot="1" x14ac:dyDescent="0.35">
      <c r="A45" s="137" t="s">
        <v>172</v>
      </c>
      <c r="B45" s="189">
        <f>B20</f>
        <v>36</v>
      </c>
      <c r="C45" s="139">
        <f>SUM($C$18:$C$43)</f>
        <v>0</v>
      </c>
      <c r="D45" s="139">
        <f>IFERROR(ROUNDDOWN(C45/B45,0),"")</f>
        <v>0</v>
      </c>
      <c r="E45" s="140"/>
      <c r="F45" s="141">
        <f>IFERROR(C45-(D45*B45),"")</f>
        <v>0</v>
      </c>
    </row>
    <row r="46" spans="1:25" ht="9" customHeight="1" thickBot="1" x14ac:dyDescent="0.35">
      <c r="A46" s="279"/>
      <c r="B46" s="279"/>
      <c r="C46" s="279"/>
      <c r="D46" s="279"/>
      <c r="E46" s="279"/>
      <c r="F46" s="279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6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3">
        <f>IFERROR($F$48-($G$48*$B$4),"")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6">
    <mergeCell ref="A44:F44"/>
    <mergeCell ref="A46:F46"/>
    <mergeCell ref="A1:F1"/>
    <mergeCell ref="B2:F2"/>
    <mergeCell ref="A15:F15"/>
    <mergeCell ref="A17:F17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14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133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IFERROR(VLOOKUP(A4,#REF!,4,FALSE),0)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IFERROR(VLOOKUP(A5,#REF!,4,FALSE),0)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IFERROR(VLOOKUP(A6,#REF!,4,FALSE),0)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IFERROR(VLOOKUP(A7,#REF!,4,FALSE),0)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IFERROR(VLOOKUP(A8,#REF!,4,FALSE),0)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IFERROR(VLOOKUP(A9,#REF!,4,FALSE),0)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IFERROR(VLOOKUP(A10,#REF!,4,FALSE),0)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IFERROR(VLOOKUP(A11,#REF!,4,FALSE),0)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IFERROR(VLOOKUP(A12,#REF!,4,FALSE),0)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IFERROR(VLOOKUP(A13,#REF!,4,FALSE),0)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IFERROR(VLOOKUP(A14,#REF!,4,FALSE),0)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IFERROR(VLOOKUP(A15,#REF!,4,FALSE),0)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IFERROR(VLOOKUP(A16,#REF!,4,FALSE),0)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IFERROR(VLOOKUP(A17,#REF!,4,FALSE),0)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IFERROR(VLOOKUP(A18,#REF!,4,FALSE),0)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IFERROR(VLOOKUP(A19,#REF!,4,FALSE),0)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IFERROR(VLOOKUP(A20,#REF!,4,FALSE),0)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71" t="s">
        <v>171</v>
      </c>
      <c r="B22" s="180">
        <f>B4</f>
        <v>36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6"/>
      <c r="D23" s="167"/>
      <c r="E23" s="168"/>
      <c r="F23" s="167"/>
      <c r="G23" s="67"/>
      <c r="H23" s="67"/>
    </row>
    <row r="24" spans="1:25" ht="25.35" customHeight="1" x14ac:dyDescent="0.3">
      <c r="A24" s="174" t="s">
        <v>58</v>
      </c>
      <c r="B24" s="176">
        <f t="shared" si="2"/>
        <v>36</v>
      </c>
      <c r="C24" s="177">
        <f>IFERROR(VLOOKUP(A24,#REF!,4,FALSE),0)</f>
        <v>0</v>
      </c>
      <c r="D24" s="178">
        <f t="shared" ref="D24:D31" si="3">IFERROR(ROUNDDOWN(C24/B24,0),"")</f>
        <v>0</v>
      </c>
      <c r="E24" s="175" t="s">
        <v>11</v>
      </c>
      <c r="F24" s="179">
        <f t="shared" ref="F24:F31" si="4">IFERROR(C24-(D24*B24),"")</f>
        <v>0</v>
      </c>
      <c r="G24" s="165"/>
      <c r="H24" s="165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IFERROR(VLOOKUP(A25,#REF!,4,FALSE),0)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IFERROR(VLOOKUP(A26,#REF!,4,FALSE),0)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IFERROR(VLOOKUP(A27,#REF!,4,FALSE),0)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IFERROR(VLOOKUP(A28,#REF!,4,FALSE),0)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IFERROR(VLOOKUP(A29,#REF!,4,FALSE),0)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IFERROR(VLOOKUP(A30,#REF!,4,FALSE),0)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IFERROR(VLOOKUP(A31,#REF!,4,FALSE),0)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IFERROR(VLOOKUP(A32,#REF!,4,FALSE),0)</f>
        <v>0</v>
      </c>
      <c r="D32" s="20">
        <f t="shared" ref="D32:D43" si="5">IFERROR(ROUNDDOWN(C32/B32,0),"")</f>
        <v>0</v>
      </c>
      <c r="E32" s="51" t="s">
        <v>97</v>
      </c>
      <c r="F32" s="26">
        <f t="shared" ref="F32:F43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IFERROR(VLOOKUP(A33,#REF!,4,FALSE),0)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IFERROR(VLOOKUP(A34,#REF!,4,FALSE),0)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IFERROR(VLOOKUP(A35,#REF!,4,FALSE),0)</f>
        <v>0</v>
      </c>
      <c r="D35" s="28">
        <f t="shared" si="5"/>
        <v>0</v>
      </c>
      <c r="E35" s="36" t="s">
        <v>16</v>
      </c>
      <c r="F35" s="31">
        <f t="shared" si="6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IFERROR(VLOOKUP(A36,#REF!,4,FALSE),0)</f>
        <v>0</v>
      </c>
      <c r="D36" s="20">
        <f t="shared" si="5"/>
        <v>0</v>
      </c>
      <c r="E36" s="51" t="s">
        <v>24</v>
      </c>
      <c r="F36" s="26">
        <f t="shared" si="6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IFERROR(VLOOKUP(A37,#REF!,4,FALSE),0)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IFERROR(VLOOKUP(A38,#REF!,4,FALSE),0)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IFERROR(VLOOKUP(A39,#REF!,4,FALSE),0)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IFERROR(VLOOKUP(A40,#REF!,4,FALSE),0)</f>
        <v>0</v>
      </c>
      <c r="D40" s="20">
        <f t="shared" si="5"/>
        <v>0</v>
      </c>
      <c r="E40" s="51" t="s">
        <v>19</v>
      </c>
      <c r="F40" s="26">
        <f t="shared" si="6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IFERROR(VLOOKUP(A41,#REF!,4,FALSE),0)</f>
        <v>0</v>
      </c>
      <c r="D41" s="28">
        <f t="shared" si="5"/>
        <v>0</v>
      </c>
      <c r="E41" s="36" t="s">
        <v>20</v>
      </c>
      <c r="F41" s="31">
        <f t="shared" si="6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IFERROR(VLOOKUP(A42,#REF!,4,FALSE),0)</f>
        <v>0</v>
      </c>
      <c r="D42" s="20">
        <f t="shared" si="5"/>
        <v>0</v>
      </c>
      <c r="E42" s="51" t="s">
        <v>25</v>
      </c>
      <c r="F42" s="26">
        <f t="shared" si="6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IFERROR(VLOOKUP(A43,#REF!,4,FALSE),0)</f>
        <v>0</v>
      </c>
      <c r="D43" s="28">
        <f t="shared" si="5"/>
        <v>0</v>
      </c>
      <c r="E43" s="36" t="s">
        <v>72</v>
      </c>
      <c r="F43" s="31">
        <f t="shared" si="6"/>
        <v>0</v>
      </c>
      <c r="G43" s="67"/>
      <c r="H43" s="67"/>
    </row>
    <row r="44" spans="1:25" ht="4.5" customHeight="1" x14ac:dyDescent="0.3">
      <c r="A44" s="263"/>
      <c r="B44" s="264"/>
      <c r="C44" s="264"/>
      <c r="D44" s="264"/>
      <c r="E44" s="264"/>
      <c r="F44" s="265"/>
    </row>
    <row r="45" spans="1:25" ht="34.15" customHeight="1" thickBot="1" x14ac:dyDescent="0.35">
      <c r="A45" s="173" t="s">
        <v>172</v>
      </c>
      <c r="B45" s="180">
        <f>B4</f>
        <v>36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16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134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IFERROR(VLOOKUP(A4,#REF!,5,FALSE),0)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IFERROR(VLOOKUP(A5,#REF!,5,FALSE),0)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IFERROR(VLOOKUP(A6,#REF!,5,FALSE),0)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IFERROR(VLOOKUP(A7,#REF!,5,FALSE),0)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IFERROR(VLOOKUP(A8,#REF!,5,FALSE),0)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IFERROR(VLOOKUP(A9,#REF!,5,FALSE),0)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IFERROR(VLOOKUP(A10,#REF!,5,FALSE),0)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IFERROR(VLOOKUP(A11,#REF!,5,FALSE),0)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IFERROR(VLOOKUP(A12,#REF!,5,FALSE),0)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IFERROR(VLOOKUP(A13,#REF!,5,FALSE),0)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IFERROR(VLOOKUP(A14,#REF!,5,FALSE),0)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80"/>
      <c r="B15" s="281"/>
      <c r="C15" s="281"/>
      <c r="D15" s="281"/>
      <c r="E15" s="281"/>
      <c r="F15" s="282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9"/>
      <c r="B17" s="279"/>
      <c r="C17" s="279"/>
      <c r="D17" s="279"/>
      <c r="E17" s="279"/>
      <c r="F17" s="279"/>
    </row>
    <row r="18" spans="1:8" ht="25.35" customHeight="1" x14ac:dyDescent="0.3">
      <c r="A18" s="174" t="s">
        <v>59</v>
      </c>
      <c r="B18" s="176">
        <f t="shared" ref="B18:B43" si="3">$B$4</f>
        <v>36</v>
      </c>
      <c r="C18" s="177">
        <f>IFERROR(VLOOKUP(A18,#REF!,5,FALSE),0)</f>
        <v>0</v>
      </c>
      <c r="D18" s="178">
        <f>IFERROR(ROUNDDOWN(C18/B18,0),"")</f>
        <v>0</v>
      </c>
      <c r="E18" s="175" t="s">
        <v>117</v>
      </c>
      <c r="F18" s="179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IFERROR(VLOOKUP(A19,#REF!,5,FALSE),0)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IFERROR(VLOOKUP(A20,#REF!,5,FALSE),0)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IFERROR(VLOOKUP(A21,#REF!,5,FALSE),0)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IFERROR(VLOOKUP(A22,#REF!,5,FALSE),0)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IFERROR(VLOOKUP(A23,#REF!,5,FALSE),0)</f>
        <v>0</v>
      </c>
      <c r="D23" s="28">
        <f t="shared" ref="D23:D36" si="4">IFERROR(ROUNDDOWN(C23/B23,0),"")</f>
        <v>0</v>
      </c>
      <c r="E23" s="36" t="s">
        <v>21</v>
      </c>
      <c r="F23" s="31">
        <f t="shared" ref="F23:F36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IFERROR(VLOOKUP(A24,#REF!,5,FALSE),0)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IFERROR(VLOOKUP(A25,#REF!,5,FALSE),0)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IFERROR(VLOOKUP(A26,#REF!,5,FALSE),0)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IFERROR(VLOOKUP(A27,#REF!,5,FALSE),0)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IFERROR(VLOOKUP(A28,#REF!,5,FALSE),0)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IFERROR(VLOOKUP(A29,#REF!,5,FALSE),0)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IFERROR(VLOOKUP(A30,#REF!,5,FALSE),0)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IFERROR(VLOOKUP(A31,#REF!,5,FALSE),0)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IFERROR(VLOOKUP(A32,#REF!,5,FALSE),0)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IFERROR(VLOOKUP(A33,#REF!,5,FALSE),0)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IFERROR(VLOOKUP(A34,#REF!,5,FALSE),0)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IFERROR(VLOOKUP(A35,#REF!,5,FALSE),0)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IFERROR(VLOOKUP(A36,#REF!,5,FALSE),0)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IFERROR(VLOOKUP(A37,#REF!,5,FALSE),0)</f>
        <v>0</v>
      </c>
      <c r="D37" s="28">
        <f t="shared" ref="D37:D43" si="6">IFERROR(ROUNDDOWN(C37/B37,0),"")</f>
        <v>0</v>
      </c>
      <c r="E37" s="36" t="s">
        <v>97</v>
      </c>
      <c r="F37" s="31">
        <f t="shared" ref="F37:F43" si="7">IFERROR(C37-(D37*B37),"")</f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IFERROR(VLOOKUP(A38,#REF!,5,FALSE),0)</f>
        <v>0</v>
      </c>
      <c r="D38" s="20">
        <f t="shared" si="6"/>
        <v>0</v>
      </c>
      <c r="E38" s="51" t="s">
        <v>8</v>
      </c>
      <c r="F38" s="26">
        <f t="shared" si="7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IFERROR(VLOOKUP(A39,#REF!,5,FALSE),0)</f>
        <v>0</v>
      </c>
      <c r="D39" s="28">
        <f t="shared" si="6"/>
        <v>0</v>
      </c>
      <c r="E39" s="36" t="s">
        <v>9</v>
      </c>
      <c r="F39" s="31">
        <f t="shared" si="7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IFERROR(VLOOKUP(A40,#REF!,5,FALSE),0)</f>
        <v>0</v>
      </c>
      <c r="D40" s="20">
        <f t="shared" si="6"/>
        <v>0</v>
      </c>
      <c r="E40" s="51" t="s">
        <v>19</v>
      </c>
      <c r="F40" s="26">
        <f t="shared" si="7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IFERROR(VLOOKUP(A41,#REF!,5,FALSE),0)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IFERROR(VLOOKUP(A42,#REF!,5,FALSE),0)</f>
        <v>0</v>
      </c>
      <c r="D42" s="20">
        <f t="shared" si="6"/>
        <v>0</v>
      </c>
      <c r="E42" s="51" t="s">
        <v>25</v>
      </c>
      <c r="F42" s="26">
        <f t="shared" si="7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IFERROR(VLOOKUP(A43,#REF!,5,FALSE),0)</f>
        <v>0</v>
      </c>
      <c r="D43" s="28">
        <f t="shared" si="6"/>
        <v>0</v>
      </c>
      <c r="E43" s="36" t="s">
        <v>72</v>
      </c>
      <c r="F43" s="31">
        <f t="shared" si="7"/>
        <v>0</v>
      </c>
      <c r="G43" s="67"/>
      <c r="H43" s="67"/>
    </row>
    <row r="44" spans="1:25" ht="10.5" customHeight="1" thickBot="1" x14ac:dyDescent="0.35">
      <c r="A44" s="260"/>
      <c r="B44" s="261"/>
      <c r="C44" s="261"/>
      <c r="D44" s="261"/>
      <c r="E44" s="261"/>
      <c r="F44" s="262"/>
    </row>
    <row r="45" spans="1:25" ht="25.35" customHeight="1" thickBot="1" x14ac:dyDescent="0.35">
      <c r="A45" s="137" t="s">
        <v>172</v>
      </c>
      <c r="B45" s="189">
        <f>B20</f>
        <v>36</v>
      </c>
      <c r="C45" s="139">
        <f>SUM($C$18:$C$43)</f>
        <v>0</v>
      </c>
      <c r="D45" s="139">
        <f>IFERROR(ROUNDDOWN(C45/B45,0),"")</f>
        <v>0</v>
      </c>
      <c r="E45" s="140"/>
      <c r="F45" s="141">
        <f>IFERROR(C45-(D45*B45),"")</f>
        <v>0</v>
      </c>
    </row>
    <row r="46" spans="1:25" ht="9" customHeight="1" thickBot="1" x14ac:dyDescent="0.35">
      <c r="A46" s="279"/>
      <c r="B46" s="279"/>
      <c r="C46" s="279"/>
      <c r="D46" s="279"/>
      <c r="E46" s="279"/>
      <c r="F46" s="279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6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3">
        <f>IFERROR($F$48-($G$48*$B$4),"")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6">
    <mergeCell ref="A44:F44"/>
    <mergeCell ref="A46:F46"/>
    <mergeCell ref="A1:F1"/>
    <mergeCell ref="B2:F2"/>
    <mergeCell ref="A15:F15"/>
    <mergeCell ref="A17:F17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19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129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IFERROR(VLOOKUP(A4,#REF!,6,FALSE),0)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IFERROR(VLOOKUP(A5,#REF!,6,FALSE),0)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IFERROR(VLOOKUP(A6,#REF!,6,FALSE),0)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IFERROR(VLOOKUP(A7,#REF!,6,FALSE),0)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IFERROR(VLOOKUP(A8,#REF!,6,FALSE),0)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IFERROR(VLOOKUP(A9,#REF!,6,FALSE),0)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IFERROR(VLOOKUP(A10,#REF!,6,FALSE),0)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IFERROR(VLOOKUP(A11,#REF!,6,FALSE),0)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IFERROR(VLOOKUP(A12,#REF!,6,FALSE),0)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IFERROR(VLOOKUP(A13,#REF!,6,FALSE),0)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IFERROR(VLOOKUP(A14,#REF!,6,FALSE),0)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IFERROR(VLOOKUP(A15,#REF!,6,FALSE),0)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IFERROR(VLOOKUP(A16,#REF!,6,FALSE),0)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IFERROR(VLOOKUP(A17,#REF!,6,FALSE),0)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IFERROR(VLOOKUP(A18,#REF!,6,FALSE),0)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IFERROR(VLOOKUP(A19,#REF!,6,FALSE),0)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IFERROR(VLOOKUP(A20,#REF!,6,FALSE),0)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71" t="s">
        <v>171</v>
      </c>
      <c r="B22" s="180">
        <f>B4</f>
        <v>36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6"/>
      <c r="D23" s="167"/>
      <c r="E23" s="168"/>
      <c r="F23" s="167"/>
      <c r="G23" s="67"/>
      <c r="H23" s="67"/>
    </row>
    <row r="24" spans="1:25" ht="25.35" customHeight="1" x14ac:dyDescent="0.3">
      <c r="A24" s="174" t="s">
        <v>58</v>
      </c>
      <c r="B24" s="176">
        <f t="shared" si="2"/>
        <v>36</v>
      </c>
      <c r="C24" s="177">
        <f>IFERROR(VLOOKUP(A24,#REF!,6,FALSE),0)</f>
        <v>0</v>
      </c>
      <c r="D24" s="178">
        <f t="shared" ref="D24:D31" si="3">IFERROR(ROUNDDOWN(C24/B24,0),"")</f>
        <v>0</v>
      </c>
      <c r="E24" s="175" t="s">
        <v>11</v>
      </c>
      <c r="F24" s="179">
        <f t="shared" ref="F24:F31" si="4">IFERROR(C24-(D24*B24),"")</f>
        <v>0</v>
      </c>
      <c r="G24" s="165"/>
      <c r="H24" s="165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IFERROR(VLOOKUP(A25,#REF!,6,FALSE),0)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IFERROR(VLOOKUP(A26,#REF!,6,FALSE),0)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IFERROR(VLOOKUP(A27,#REF!,6,FALSE),0)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IFERROR(VLOOKUP(A28,#REF!,6,FALSE),0)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IFERROR(VLOOKUP(A29,#REF!,6,FALSE),0)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IFERROR(VLOOKUP(A30,#REF!,6,FALSE),0)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IFERROR(VLOOKUP(A31,#REF!,6,FALSE),0)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IFERROR(VLOOKUP(A32,#REF!,6,FALSE),0)</f>
        <v>0</v>
      </c>
      <c r="D32" s="20">
        <f t="shared" ref="D32:D34" si="5">IFERROR(ROUNDDOWN(C32/B32,0),"")</f>
        <v>0</v>
      </c>
      <c r="E32" s="51" t="s">
        <v>97</v>
      </c>
      <c r="F32" s="26">
        <f t="shared" ref="F32:F34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IFERROR(VLOOKUP(A33,#REF!,6,FALSE),0)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IFERROR(VLOOKUP(A34,#REF!,6,FALSE),0)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IFERROR(VLOOKUP(A35,#REF!,6,FALSE),0)</f>
        <v>0</v>
      </c>
      <c r="D35" s="28">
        <f t="shared" ref="D35:D43" si="7">IFERROR(ROUNDDOWN(C35/B35,0),"")</f>
        <v>0</v>
      </c>
      <c r="E35" s="36" t="s">
        <v>16</v>
      </c>
      <c r="F35" s="31">
        <f t="shared" ref="F35:F43" si="8">IFERROR(C35-(D35*B35),"")</f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IFERROR(VLOOKUP(A36,#REF!,6,FALSE),0)</f>
        <v>0</v>
      </c>
      <c r="D36" s="20">
        <f t="shared" si="7"/>
        <v>0</v>
      </c>
      <c r="E36" s="51" t="s">
        <v>24</v>
      </c>
      <c r="F36" s="26">
        <f t="shared" si="8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IFERROR(VLOOKUP(A37,#REF!,6,FALSE),0)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IFERROR(VLOOKUP(A38,#REF!,6,FALSE),0)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IFERROR(VLOOKUP(A39,#REF!,6,FALSE),0)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IFERROR(VLOOKUP(A40,#REF!,6,FALSE),0)</f>
        <v>0</v>
      </c>
      <c r="D40" s="20">
        <f t="shared" si="7"/>
        <v>0</v>
      </c>
      <c r="E40" s="51" t="s">
        <v>19</v>
      </c>
      <c r="F40" s="26">
        <f t="shared" si="8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IFERROR(VLOOKUP(A41,#REF!,6,FALSE),0)</f>
        <v>0</v>
      </c>
      <c r="D41" s="28">
        <f t="shared" si="7"/>
        <v>0</v>
      </c>
      <c r="E41" s="36" t="s">
        <v>20</v>
      </c>
      <c r="F41" s="31">
        <f t="shared" si="8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IFERROR(VLOOKUP(A42,#REF!,6,FALSE),0)</f>
        <v>0</v>
      </c>
      <c r="D42" s="20">
        <f t="shared" si="7"/>
        <v>0</v>
      </c>
      <c r="E42" s="51" t="s">
        <v>25</v>
      </c>
      <c r="F42" s="26">
        <f t="shared" si="8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IFERROR(VLOOKUP(A43,#REF!,6,FALSE),0)</f>
        <v>0</v>
      </c>
      <c r="D43" s="28">
        <f t="shared" si="7"/>
        <v>0</v>
      </c>
      <c r="E43" s="36" t="s">
        <v>72</v>
      </c>
      <c r="F43" s="31">
        <f t="shared" si="8"/>
        <v>0</v>
      </c>
      <c r="G43" s="67"/>
      <c r="H43" s="67"/>
    </row>
    <row r="44" spans="1:25" ht="4.5" customHeight="1" x14ac:dyDescent="0.3">
      <c r="A44" s="263"/>
      <c r="B44" s="264"/>
      <c r="C44" s="264"/>
      <c r="D44" s="264"/>
      <c r="E44" s="264"/>
      <c r="F44" s="265"/>
    </row>
    <row r="45" spans="1:25" ht="34.15" customHeight="1" thickBot="1" x14ac:dyDescent="0.35">
      <c r="A45" s="173" t="s">
        <v>172</v>
      </c>
      <c r="B45" s="180">
        <f>B4</f>
        <v>36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2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130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IFERROR(VLOOKUP(A4,#REF!,7,FALSE),0)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IFERROR(VLOOKUP(A5,#REF!,7,FALSE),0)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IFERROR(VLOOKUP(A6,#REF!,7,FALSE),0)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IFERROR(VLOOKUP(A7,#REF!,7,FALSE),0)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IFERROR(VLOOKUP(A8,#REF!,7,FALSE),0)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IFERROR(VLOOKUP(A9,#REF!,7,FALSE),0)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IFERROR(VLOOKUP(A10,#REF!,7,FALSE),0)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IFERROR(VLOOKUP(A11,#REF!,7,FALSE),0)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IFERROR(VLOOKUP(A12,#REF!,7,FALSE),0)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IFERROR(VLOOKUP(A13,#REF!,7,FALSE),0)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IFERROR(VLOOKUP(A14,#REF!,7,FALSE),0)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80"/>
      <c r="B15" s="281"/>
      <c r="C15" s="281"/>
      <c r="D15" s="281"/>
      <c r="E15" s="281"/>
      <c r="F15" s="282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9"/>
      <c r="B17" s="279"/>
      <c r="C17" s="279"/>
      <c r="D17" s="279"/>
      <c r="E17" s="279"/>
      <c r="F17" s="279"/>
    </row>
    <row r="18" spans="1:8" ht="25.35" customHeight="1" x14ac:dyDescent="0.3">
      <c r="A18" s="174" t="s">
        <v>59</v>
      </c>
      <c r="B18" s="176">
        <f t="shared" ref="B18:B43" si="3">$B$4</f>
        <v>36</v>
      </c>
      <c r="C18" s="177">
        <f>IFERROR(VLOOKUP(A18,#REF!,7,FALSE),0)</f>
        <v>0</v>
      </c>
      <c r="D18" s="178">
        <f>IFERROR(ROUNDDOWN(C18/B18,0),"")</f>
        <v>0</v>
      </c>
      <c r="E18" s="175" t="s">
        <v>117</v>
      </c>
      <c r="F18" s="179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IFERROR(VLOOKUP(A19,#REF!,7,FALSE),0)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IFERROR(VLOOKUP(A20,#REF!,7,FALSE),0)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IFERROR(VLOOKUP(A21,#REF!,7,FALSE),0)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IFERROR(VLOOKUP(A22,#REF!,7,FALSE),0)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IFERROR(VLOOKUP(A23,#REF!,7,FALSE),0)</f>
        <v>0</v>
      </c>
      <c r="D23" s="28">
        <f t="shared" ref="D23:D36" si="4">IFERROR(ROUNDDOWN(C23/B23,0),"")</f>
        <v>0</v>
      </c>
      <c r="E23" s="36" t="s">
        <v>21</v>
      </c>
      <c r="F23" s="31">
        <f t="shared" ref="F23:F36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IFERROR(VLOOKUP(A24,#REF!,7,FALSE),0)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IFERROR(VLOOKUP(A25,#REF!,7,FALSE),0)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IFERROR(VLOOKUP(A26,#REF!,7,FALSE),0)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IFERROR(VLOOKUP(A27,#REF!,7,FALSE),0)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IFERROR(VLOOKUP(A28,#REF!,7,FALSE),0)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IFERROR(VLOOKUP(A29,#REF!,7,FALSE),0)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IFERROR(VLOOKUP(A30,#REF!,7,FALSE),0)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IFERROR(VLOOKUP(A31,#REF!,7,FALSE),0)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IFERROR(VLOOKUP(A32,#REF!,7,FALSE),0)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IFERROR(VLOOKUP(A33,#REF!,7,FALSE),0)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IFERROR(VLOOKUP(A34,#REF!,7,FALSE),0)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IFERROR(VLOOKUP(A35,#REF!,7,FALSE),0)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IFERROR(VLOOKUP(A36,#REF!,7,FALSE),0)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IFERROR(VLOOKUP(A37,#REF!,7,FALSE),0)</f>
        <v>0</v>
      </c>
      <c r="D37" s="28">
        <f t="shared" ref="D37:D43" si="6">IFERROR(ROUNDDOWN(C37/B37,0),"")</f>
        <v>0</v>
      </c>
      <c r="E37" s="36" t="s">
        <v>97</v>
      </c>
      <c r="F37" s="31">
        <f t="shared" ref="F37:F43" si="7">IFERROR(C37-(D37*B37),"")</f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IFERROR(VLOOKUP(A38,#REF!,7,FALSE),0)</f>
        <v>0</v>
      </c>
      <c r="D38" s="20">
        <f t="shared" si="6"/>
        <v>0</v>
      </c>
      <c r="E38" s="51" t="s">
        <v>8</v>
      </c>
      <c r="F38" s="26">
        <f t="shared" si="7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IFERROR(VLOOKUP(A39,#REF!,7,FALSE),0)</f>
        <v>0</v>
      </c>
      <c r="D39" s="28">
        <f t="shared" si="6"/>
        <v>0</v>
      </c>
      <c r="E39" s="36" t="s">
        <v>9</v>
      </c>
      <c r="F39" s="31">
        <f t="shared" si="7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IFERROR(VLOOKUP(A40,#REF!,7,FALSE),0)</f>
        <v>0</v>
      </c>
      <c r="D40" s="20">
        <f t="shared" si="6"/>
        <v>0</v>
      </c>
      <c r="E40" s="51" t="s">
        <v>19</v>
      </c>
      <c r="F40" s="26">
        <f t="shared" si="7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IFERROR(VLOOKUP(A41,#REF!,7,FALSE),0)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IFERROR(VLOOKUP(A42,#REF!,7,FALSE),0)</f>
        <v>0</v>
      </c>
      <c r="D42" s="20">
        <f t="shared" si="6"/>
        <v>0</v>
      </c>
      <c r="E42" s="51" t="s">
        <v>25</v>
      </c>
      <c r="F42" s="26">
        <f t="shared" si="7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IFERROR(VLOOKUP(A43,#REF!,7,FALSE),0)</f>
        <v>0</v>
      </c>
      <c r="D43" s="28">
        <f t="shared" si="6"/>
        <v>0</v>
      </c>
      <c r="E43" s="36" t="s">
        <v>72</v>
      </c>
      <c r="F43" s="31">
        <f t="shared" si="7"/>
        <v>0</v>
      </c>
      <c r="G43" s="67"/>
      <c r="H43" s="67"/>
    </row>
    <row r="44" spans="1:25" ht="10.5" customHeight="1" thickBot="1" x14ac:dyDescent="0.35">
      <c r="A44" s="260"/>
      <c r="B44" s="261"/>
      <c r="C44" s="261"/>
      <c r="D44" s="261"/>
      <c r="E44" s="261"/>
      <c r="F44" s="262"/>
    </row>
    <row r="45" spans="1:25" ht="25.35" customHeight="1" thickBot="1" x14ac:dyDescent="0.35">
      <c r="A45" s="137" t="s">
        <v>172</v>
      </c>
      <c r="B45" s="189">
        <f>B20</f>
        <v>36</v>
      </c>
      <c r="C45" s="139">
        <f>SUM($C$18:$C$43)</f>
        <v>0</v>
      </c>
      <c r="D45" s="139">
        <f>IFERROR(ROUNDDOWN(C45/B45,0),"")</f>
        <v>0</v>
      </c>
      <c r="E45" s="140"/>
      <c r="F45" s="141">
        <f>IFERROR(C45-(D45*B45),"")</f>
        <v>0</v>
      </c>
    </row>
    <row r="46" spans="1:25" ht="9" customHeight="1" thickBot="1" x14ac:dyDescent="0.35">
      <c r="A46" s="279"/>
      <c r="B46" s="279"/>
      <c r="C46" s="279"/>
      <c r="D46" s="279"/>
      <c r="E46" s="279"/>
      <c r="F46" s="279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6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3">
        <f>IFERROR($F$48-($G$48*$B$4),"")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6">
    <mergeCell ref="A1:F1"/>
    <mergeCell ref="B2:F2"/>
    <mergeCell ref="A46:F46"/>
    <mergeCell ref="A15:F15"/>
    <mergeCell ref="A44:F44"/>
    <mergeCell ref="A17:F17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266D-C8A7-4E13-BE3F-A05CEF929087}">
  <sheetPr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228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IFERROR(VLOOKUP(A4,#REF!,8,FALSE),0)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IFERROR(VLOOKUP(A5,#REF!,8,FALSE),0)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IFERROR(VLOOKUP(A6,#REF!,8,FALSE),0)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IFERROR(VLOOKUP(A7,#REF!,8,FALSE),0)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IFERROR(VLOOKUP(A8,#REF!,8,FALSE),0)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IFERROR(VLOOKUP(A9,#REF!,8,FALSE),0)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IFERROR(VLOOKUP(A10,#REF!,8,FALSE),0)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IFERROR(VLOOKUP(A11,#REF!,8,FALSE),0)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IFERROR(VLOOKUP(A12,#REF!,8,FALSE),0)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IFERROR(VLOOKUP(A13,#REF!,8,FALSE),0)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IFERROR(VLOOKUP(A14,#REF!,8,FALSE),0)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IFERROR(VLOOKUP(A15,#REF!,8,FALSE),0)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IFERROR(VLOOKUP(A16,#REF!,8,FALSE),0)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IFERROR(VLOOKUP(A17,#REF!,8,FALSE),0)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IFERROR(VLOOKUP(A18,#REF!,8,FALSE),0)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IFERROR(VLOOKUP(A19,#REF!,8,FALSE),0)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IFERROR(VLOOKUP(A20,#REF!,8,FALSE),0)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71" t="s">
        <v>171</v>
      </c>
      <c r="B22" s="180">
        <f>B4</f>
        <v>36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6"/>
      <c r="D23" s="167"/>
      <c r="E23" s="168"/>
      <c r="F23" s="167"/>
      <c r="G23" s="67"/>
      <c r="H23" s="67"/>
    </row>
    <row r="24" spans="1:25" ht="25.35" customHeight="1" x14ac:dyDescent="0.3">
      <c r="A24" s="174" t="s">
        <v>58</v>
      </c>
      <c r="B24" s="176">
        <f t="shared" si="2"/>
        <v>36</v>
      </c>
      <c r="C24" s="177">
        <f>IFERROR(VLOOKUP(A24,#REF!,8,FALSE),0)</f>
        <v>0</v>
      </c>
      <c r="D24" s="178">
        <f t="shared" ref="D24:D43" si="3">IFERROR(ROUNDDOWN(C24/B24,0),"")</f>
        <v>0</v>
      </c>
      <c r="E24" s="175" t="s">
        <v>11</v>
      </c>
      <c r="F24" s="179">
        <f t="shared" ref="F24:F43" si="4">IFERROR(C24-(D24*B24),"")</f>
        <v>0</v>
      </c>
      <c r="G24" s="165"/>
      <c r="H24" s="165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IFERROR(VLOOKUP(A25,#REF!,8,FALSE),0)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IFERROR(VLOOKUP(A26,#REF!,8,FALSE),0)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IFERROR(VLOOKUP(A27,#REF!,8,FALSE),0)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IFERROR(VLOOKUP(A28,#REF!,8,FALSE),0)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IFERROR(VLOOKUP(A29,#REF!,8,FALSE),0)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IFERROR(VLOOKUP(A30,#REF!,8,FALSE),0)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IFERROR(VLOOKUP(A31,#REF!,8,FALSE),0)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IFERROR(VLOOKUP(A32,#REF!,8,FALSE),0)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IFERROR(VLOOKUP(A33,#REF!,8,FALSE),0)</f>
        <v>0</v>
      </c>
      <c r="D33" s="28">
        <f t="shared" si="3"/>
        <v>0</v>
      </c>
      <c r="E33" s="36" t="s">
        <v>8</v>
      </c>
      <c r="F33" s="31">
        <f t="shared" si="4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IFERROR(VLOOKUP(A34,#REF!,8,FALSE),0)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IFERROR(VLOOKUP(A35,#REF!,8,FALSE),0)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IFERROR(VLOOKUP(A36,#REF!,8,FALSE),0)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IFERROR(VLOOKUP(A37,#REF!,8,FALSE),0)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IFERROR(VLOOKUP(A38,#REF!,8,FALSE),0)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IFERROR(VLOOKUP(A39,#REF!,8,FALSE),0)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IFERROR(VLOOKUP(A40,#REF!,8,FALSE),0)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IFERROR(VLOOKUP(A41,#REF!,8,FALSE),0)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IFERROR(VLOOKUP(A42,#REF!,8,FALSE),0)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IFERROR(VLOOKUP(A43,#REF!,8,FALSE),0)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67"/>
      <c r="H43" s="67"/>
    </row>
    <row r="44" spans="1:25" ht="4.5" customHeight="1" x14ac:dyDescent="0.3">
      <c r="A44" s="263"/>
      <c r="B44" s="264"/>
      <c r="C44" s="264"/>
      <c r="D44" s="264"/>
      <c r="E44" s="264"/>
      <c r="F44" s="265"/>
    </row>
    <row r="45" spans="1:25" ht="34.15" customHeight="1" thickBot="1" x14ac:dyDescent="0.35">
      <c r="A45" s="173" t="s">
        <v>172</v>
      </c>
      <c r="B45" s="180">
        <f>B4</f>
        <v>36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4DE2-7EF9-4FB0-8F2C-BA2BEBC4F614}">
  <sheetPr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5" t="s">
        <v>175</v>
      </c>
      <c r="C2" s="283"/>
      <c r="D2" s="283"/>
      <c r="E2" s="283"/>
      <c r="F2" s="284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229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IFERROR(VLOOKUP(A4,#REF!,9,FALSE),0)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IFERROR(VLOOKUP(A5,#REF!,9,FALSE),0)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IFERROR(VLOOKUP(A6,#REF!,9,FALSE),0)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IFERROR(VLOOKUP(A7,#REF!,9,FALSE),0)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IFERROR(VLOOKUP(A8,#REF!,9,FALSE),0)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IFERROR(VLOOKUP(A9,#REF!,9,FALSE),0)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IFERROR(VLOOKUP(A10,#REF!,9,FALSE),0)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IFERROR(VLOOKUP(A11,#REF!,9,FALSE),0)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IFERROR(VLOOKUP(A12,#REF!,9,FALSE),0)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IFERROR(VLOOKUP(A13,#REF!,9,FALSE),0)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IFERROR(VLOOKUP(A14,#REF!,9,FALSE),0)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85"/>
      <c r="B15" s="286"/>
      <c r="C15" s="286"/>
      <c r="D15" s="286"/>
      <c r="E15" s="286"/>
      <c r="F15" s="287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9"/>
      <c r="B17" s="279"/>
      <c r="C17" s="279"/>
      <c r="D17" s="279"/>
      <c r="E17" s="279"/>
      <c r="F17" s="279"/>
    </row>
    <row r="18" spans="1:8" ht="25.35" customHeight="1" x14ac:dyDescent="0.3">
      <c r="A18" s="174" t="s">
        <v>59</v>
      </c>
      <c r="B18" s="176">
        <f t="shared" ref="B18:B43" si="3">$B$4</f>
        <v>36</v>
      </c>
      <c r="C18" s="177">
        <f>IFERROR(VLOOKUP(A18,#REF!,9,FALSE),0)</f>
        <v>0</v>
      </c>
      <c r="D18" s="178">
        <f>IFERROR(ROUNDDOWN(C18/B18,0),"")</f>
        <v>0</v>
      </c>
      <c r="E18" s="175" t="s">
        <v>117</v>
      </c>
      <c r="F18" s="179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IFERROR(VLOOKUP(A19,#REF!,9,FALSE),0)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IFERROR(VLOOKUP(A20,#REF!,9,FALSE),0)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IFERROR(VLOOKUP(A21,#REF!,9,FALSE),0)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IFERROR(VLOOKUP(A22,#REF!,9,FALSE),0)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IFERROR(VLOOKUP(A23,#REF!,9,FALSE),0)</f>
        <v>0</v>
      </c>
      <c r="D23" s="28">
        <f t="shared" ref="D23:D43" si="4">IFERROR(ROUNDDOWN(C23/B23,0),"")</f>
        <v>0</v>
      </c>
      <c r="E23" s="36" t="s">
        <v>21</v>
      </c>
      <c r="F23" s="31">
        <f t="shared" ref="F23:F43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IFERROR(VLOOKUP(A24,#REF!,9,FALSE),0)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IFERROR(VLOOKUP(A25,#REF!,9,FALSE),0)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IFERROR(VLOOKUP(A26,#REF!,9,FALSE),0)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IFERROR(VLOOKUP(A27,#REF!,9,FALSE),0)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IFERROR(VLOOKUP(A28,#REF!,9,FALSE),0)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IFERROR(VLOOKUP(A29,#REF!,9,FALSE),0)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IFERROR(VLOOKUP(A30,#REF!,9,FALSE),0)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IFERROR(VLOOKUP(A31,#REF!,9,FALSE),0)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IFERROR(VLOOKUP(A32,#REF!,9,FALSE),0)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IFERROR(VLOOKUP(A33,#REF!,9,FALSE),0)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IFERROR(VLOOKUP(A34,#REF!,9,FALSE),0)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IFERROR(VLOOKUP(A35,#REF!,9,FALSE),0)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IFERROR(VLOOKUP(A36,#REF!,9,FALSE),0)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IFERROR(VLOOKUP(A37,#REF!,9,FALSE),0)</f>
        <v>0</v>
      </c>
      <c r="D37" s="28">
        <f t="shared" si="4"/>
        <v>0</v>
      </c>
      <c r="E37" s="36" t="s">
        <v>97</v>
      </c>
      <c r="F37" s="31">
        <f t="shared" si="5"/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IFERROR(VLOOKUP(A38,#REF!,9,FALSE),0)</f>
        <v>0</v>
      </c>
      <c r="D38" s="20">
        <f t="shared" si="4"/>
        <v>0</v>
      </c>
      <c r="E38" s="51" t="s">
        <v>8</v>
      </c>
      <c r="F38" s="26">
        <f t="shared" si="5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IFERROR(VLOOKUP(A39,#REF!,9,FALSE),0)</f>
        <v>0</v>
      </c>
      <c r="D39" s="28">
        <f t="shared" si="4"/>
        <v>0</v>
      </c>
      <c r="E39" s="36" t="s">
        <v>9</v>
      </c>
      <c r="F39" s="31">
        <f t="shared" si="5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IFERROR(VLOOKUP(A40,#REF!,9,FALSE),0)</f>
        <v>0</v>
      </c>
      <c r="D40" s="20">
        <f t="shared" si="4"/>
        <v>0</v>
      </c>
      <c r="E40" s="51" t="s">
        <v>19</v>
      </c>
      <c r="F40" s="26">
        <f t="shared" si="5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IFERROR(VLOOKUP(A41,#REF!,9,FALSE),0)</f>
        <v>0</v>
      </c>
      <c r="D41" s="28">
        <f t="shared" si="4"/>
        <v>0</v>
      </c>
      <c r="E41" s="36" t="s">
        <v>20</v>
      </c>
      <c r="F41" s="31">
        <f t="shared" si="5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IFERROR(VLOOKUP(A42,#REF!,9,FALSE),0)</f>
        <v>0</v>
      </c>
      <c r="D42" s="20">
        <f t="shared" si="4"/>
        <v>0</v>
      </c>
      <c r="E42" s="51" t="s">
        <v>25</v>
      </c>
      <c r="F42" s="26">
        <f t="shared" si="5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IFERROR(VLOOKUP(A43,#REF!,9,FALSE),0)</f>
        <v>0</v>
      </c>
      <c r="D43" s="28">
        <f t="shared" si="4"/>
        <v>0</v>
      </c>
      <c r="E43" s="36" t="s">
        <v>72</v>
      </c>
      <c r="F43" s="31">
        <f t="shared" si="5"/>
        <v>0</v>
      </c>
      <c r="G43" s="67"/>
      <c r="H43" s="67"/>
    </row>
    <row r="44" spans="1:25" ht="10.5" customHeight="1" thickBot="1" x14ac:dyDescent="0.35">
      <c r="A44" s="288"/>
      <c r="B44" s="289"/>
      <c r="C44" s="289"/>
      <c r="D44" s="289"/>
      <c r="E44" s="289"/>
      <c r="F44" s="290"/>
    </row>
    <row r="45" spans="1:25" ht="25.35" customHeight="1" thickBot="1" x14ac:dyDescent="0.35">
      <c r="A45" s="137" t="s">
        <v>172</v>
      </c>
      <c r="B45" s="189">
        <f>B20</f>
        <v>36</v>
      </c>
      <c r="C45" s="139">
        <f>SUM($C$18:$C$43)</f>
        <v>0</v>
      </c>
      <c r="D45" s="139">
        <f>IFERROR(ROUNDDOWN(C45/B45,0),"")</f>
        <v>0</v>
      </c>
      <c r="E45" s="140"/>
      <c r="F45" s="141">
        <f>IFERROR(C45-(D45*B45),"")</f>
        <v>0</v>
      </c>
    </row>
    <row r="46" spans="1:25" ht="9" customHeight="1" thickBot="1" x14ac:dyDescent="0.35">
      <c r="A46" s="279"/>
      <c r="B46" s="279"/>
      <c r="C46" s="279"/>
      <c r="D46" s="279"/>
      <c r="E46" s="279"/>
      <c r="F46" s="279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6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3">
        <f>IFERROR($F$48-($G$48*$B$4),"")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6">
    <mergeCell ref="A46:F46"/>
    <mergeCell ref="A1:F1"/>
    <mergeCell ref="B2:F2"/>
    <mergeCell ref="A15:F15"/>
    <mergeCell ref="A17:F17"/>
    <mergeCell ref="A44:F44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84D1-2D44-4F00-AA62-E57CC51444EE}">
  <sheetPr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226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IFERROR(VLOOKUP(A4,#REF!,10,FALSE),0)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IFERROR(VLOOKUP(A5,#REF!,10,FALSE),0)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IFERROR(VLOOKUP(A6,#REF!,10,FALSE),0)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IFERROR(VLOOKUP(A7,#REF!,10,FALSE),0)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IFERROR(VLOOKUP(A8,#REF!,10,FALSE),0)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IFERROR(VLOOKUP(A9,#REF!,10,FALSE),0)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IFERROR(VLOOKUP(A10,#REF!,10,FALSE),0)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IFERROR(VLOOKUP(A11,#REF!,10,FALSE),0)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IFERROR(VLOOKUP(A12,#REF!,10,FALSE),0)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IFERROR(VLOOKUP(A13,#REF!,10,FALSE),0)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IFERROR(VLOOKUP(A14,#REF!,10,FALSE),0)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IFERROR(VLOOKUP(A15,#REF!,10,FALSE),0)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IFERROR(VLOOKUP(A16,#REF!,10,FALSE),0)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IFERROR(VLOOKUP(A17,#REF!,10,FALSE),0)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IFERROR(VLOOKUP(A18,#REF!,10,FALSE),0)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IFERROR(VLOOKUP(A19,#REF!,10,FALSE),0)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IFERROR(VLOOKUP(A20,#REF!,10,FALSE),0)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71" t="s">
        <v>171</v>
      </c>
      <c r="B22" s="180">
        <f>B4</f>
        <v>36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6"/>
      <c r="D23" s="167"/>
      <c r="E23" s="168"/>
      <c r="F23" s="167"/>
      <c r="G23" s="67"/>
      <c r="H23" s="67"/>
    </row>
    <row r="24" spans="1:25" ht="25.35" customHeight="1" x14ac:dyDescent="0.3">
      <c r="A24" s="174" t="s">
        <v>58</v>
      </c>
      <c r="B24" s="176">
        <f t="shared" si="2"/>
        <v>36</v>
      </c>
      <c r="C24" s="177">
        <f>IFERROR(VLOOKUP(A24,#REF!,10,FALSE),0)</f>
        <v>0</v>
      </c>
      <c r="D24" s="178">
        <f t="shared" ref="D24:D43" si="3">IFERROR(ROUNDDOWN(C24/B24,0),"")</f>
        <v>0</v>
      </c>
      <c r="E24" s="175" t="s">
        <v>11</v>
      </c>
      <c r="F24" s="179">
        <f t="shared" ref="F24:F43" si="4">IFERROR(C24-(D24*B24),"")</f>
        <v>0</v>
      </c>
      <c r="G24" s="165"/>
      <c r="H24" s="165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IFERROR(VLOOKUP(A25,#REF!,10,FALSE),0)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IFERROR(VLOOKUP(A26,#REF!,10,FALSE),0)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IFERROR(VLOOKUP(A27,#REF!,10,FALSE),0)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IFERROR(VLOOKUP(A28,#REF!,10,FALSE),0)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IFERROR(VLOOKUP(A29,#REF!,10,FALSE),0)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IFERROR(VLOOKUP(A30,#REF!,10,FALSE),0)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IFERROR(VLOOKUP(A31,#REF!,10,FALSE),0)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IFERROR(VLOOKUP(A32,#REF!,10,FALSE),0)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IFERROR(VLOOKUP(A33,#REF!,10,FALSE),0)</f>
        <v>0</v>
      </c>
      <c r="D33" s="28">
        <f t="shared" si="3"/>
        <v>0</v>
      </c>
      <c r="E33" s="36" t="s">
        <v>8</v>
      </c>
      <c r="F33" s="31">
        <f t="shared" si="4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IFERROR(VLOOKUP(A34,#REF!,10,FALSE),0)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IFERROR(VLOOKUP(A35,#REF!,10,FALSE),0)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IFERROR(VLOOKUP(A36,#REF!,10,FALSE),0)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IFERROR(VLOOKUP(A37,#REF!,10,FALSE),0)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IFERROR(VLOOKUP(A38,#REF!,10,FALSE),0)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IFERROR(VLOOKUP(A39,#REF!,10,FALSE),0)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IFERROR(VLOOKUP(A40,#REF!,10,FALSE),0)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IFERROR(VLOOKUP(A41,#REF!,10,FALSE),0)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IFERROR(VLOOKUP(A42,#REF!,10,FALSE),0)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IFERROR(VLOOKUP(A43,#REF!,10,FALSE),0)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67"/>
      <c r="H43" s="67"/>
    </row>
    <row r="44" spans="1:25" ht="4.5" customHeight="1" x14ac:dyDescent="0.3">
      <c r="A44" s="263"/>
      <c r="B44" s="264"/>
      <c r="C44" s="264"/>
      <c r="D44" s="264"/>
      <c r="E44" s="264"/>
      <c r="F44" s="265"/>
    </row>
    <row r="45" spans="1:25" ht="34.15" customHeight="1" thickBot="1" x14ac:dyDescent="0.35">
      <c r="A45" s="173" t="s">
        <v>172</v>
      </c>
      <c r="B45" s="180">
        <f>B4</f>
        <v>36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50FF-3F4B-4F2B-B67F-19CA125C42AD}">
  <sheetPr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227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IFERROR(VLOOKUP(A4,#REF!,11,FALSE),0)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IFERROR(VLOOKUP(A5,#REF!,11,FALSE),0)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IFERROR(VLOOKUP(A6,#REF!,11,FALSE),0)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IFERROR(VLOOKUP(A7,#REF!,11,FALSE),0)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IFERROR(VLOOKUP(A8,#REF!,11,FALSE),0)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IFERROR(VLOOKUP(A9,#REF!,11,FALSE),0)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IFERROR(VLOOKUP(A10,#REF!,11,FALSE),0)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IFERROR(VLOOKUP(A11,#REF!,11,FALSE),0)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IFERROR(VLOOKUP(A12,#REF!,11,FALSE),0)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IFERROR(VLOOKUP(A13,#REF!,11,FALSE),0)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IFERROR(VLOOKUP(A14,#REF!,11,FALSE),0)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80"/>
      <c r="B15" s="281"/>
      <c r="C15" s="281"/>
      <c r="D15" s="281"/>
      <c r="E15" s="281"/>
      <c r="F15" s="282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9"/>
      <c r="B17" s="279"/>
      <c r="C17" s="279"/>
      <c r="D17" s="279"/>
      <c r="E17" s="279"/>
      <c r="F17" s="279"/>
    </row>
    <row r="18" spans="1:8" ht="25.35" customHeight="1" x14ac:dyDescent="0.3">
      <c r="A18" s="174" t="s">
        <v>59</v>
      </c>
      <c r="B18" s="176">
        <f t="shared" ref="B18:B43" si="3">$B$4</f>
        <v>36</v>
      </c>
      <c r="C18" s="177">
        <f>IFERROR(VLOOKUP(A18,#REF!,11,FALSE),0)</f>
        <v>0</v>
      </c>
      <c r="D18" s="178">
        <f>IFERROR(ROUNDDOWN(C18/B18,0),"")</f>
        <v>0</v>
      </c>
      <c r="E18" s="175" t="s">
        <v>117</v>
      </c>
      <c r="F18" s="179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IFERROR(VLOOKUP(A19,#REF!,11,FALSE),0)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IFERROR(VLOOKUP(A20,#REF!,11,FALSE),0)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IFERROR(VLOOKUP(A21,#REF!,11,FALSE),0)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IFERROR(VLOOKUP(A22,#REF!,11,FALSE),0)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IFERROR(VLOOKUP(A23,#REF!,11,FALSE),0)</f>
        <v>0</v>
      </c>
      <c r="D23" s="28">
        <f t="shared" ref="D23:D43" si="4">IFERROR(ROUNDDOWN(C23/B23,0),"")</f>
        <v>0</v>
      </c>
      <c r="E23" s="36" t="s">
        <v>21</v>
      </c>
      <c r="F23" s="31">
        <f t="shared" ref="F23:F43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IFERROR(VLOOKUP(A24,#REF!,11,FALSE),0)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IFERROR(VLOOKUP(A25,#REF!,11,FALSE),0)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IFERROR(VLOOKUP(A26,#REF!,11,FALSE),0)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IFERROR(VLOOKUP(A27,#REF!,11,FALSE),0)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IFERROR(VLOOKUP(A28,#REF!,11,FALSE),0)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IFERROR(VLOOKUP(A29,#REF!,11,FALSE),0)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IFERROR(VLOOKUP(A30,#REF!,11,FALSE),0)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IFERROR(VLOOKUP(A31,#REF!,11,FALSE),0)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IFERROR(VLOOKUP(A32,#REF!,11,FALSE),0)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IFERROR(VLOOKUP(A33,#REF!,11,FALSE),0)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IFERROR(VLOOKUP(A34,#REF!,11,FALSE),0)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IFERROR(VLOOKUP(A35,#REF!,11,FALSE),0)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IFERROR(VLOOKUP(A36,#REF!,11,FALSE),0)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IFERROR(VLOOKUP(A37,#REF!,11,FALSE),0)</f>
        <v>0</v>
      </c>
      <c r="D37" s="28">
        <f t="shared" si="4"/>
        <v>0</v>
      </c>
      <c r="E37" s="36" t="s">
        <v>97</v>
      </c>
      <c r="F37" s="31">
        <f t="shared" si="5"/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IFERROR(VLOOKUP(A38,#REF!,11,FALSE),0)</f>
        <v>0</v>
      </c>
      <c r="D38" s="20">
        <f t="shared" si="4"/>
        <v>0</v>
      </c>
      <c r="E38" s="51" t="s">
        <v>8</v>
      </c>
      <c r="F38" s="26">
        <f t="shared" si="5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IFERROR(VLOOKUP(A39,#REF!,11,FALSE),0)</f>
        <v>0</v>
      </c>
      <c r="D39" s="28">
        <f t="shared" si="4"/>
        <v>0</v>
      </c>
      <c r="E39" s="36" t="s">
        <v>9</v>
      </c>
      <c r="F39" s="31">
        <f t="shared" si="5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IFERROR(VLOOKUP(A40,#REF!,11,FALSE),0)</f>
        <v>0</v>
      </c>
      <c r="D40" s="20">
        <f t="shared" si="4"/>
        <v>0</v>
      </c>
      <c r="E40" s="51" t="s">
        <v>19</v>
      </c>
      <c r="F40" s="26">
        <f t="shared" si="5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IFERROR(VLOOKUP(A41,#REF!,11,FALSE),0)</f>
        <v>0</v>
      </c>
      <c r="D41" s="28">
        <f t="shared" si="4"/>
        <v>0</v>
      </c>
      <c r="E41" s="36" t="s">
        <v>20</v>
      </c>
      <c r="F41" s="31">
        <f t="shared" si="5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IFERROR(VLOOKUP(A42,#REF!,11,FALSE),0)</f>
        <v>0</v>
      </c>
      <c r="D42" s="20">
        <f t="shared" si="4"/>
        <v>0</v>
      </c>
      <c r="E42" s="51" t="s">
        <v>25</v>
      </c>
      <c r="F42" s="26">
        <f t="shared" si="5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IFERROR(VLOOKUP(A43,#REF!,11,FALSE),0)</f>
        <v>0</v>
      </c>
      <c r="D43" s="28">
        <f t="shared" si="4"/>
        <v>0</v>
      </c>
      <c r="E43" s="36" t="s">
        <v>72</v>
      </c>
      <c r="F43" s="31">
        <f t="shared" si="5"/>
        <v>0</v>
      </c>
      <c r="G43" s="67"/>
      <c r="H43" s="67"/>
    </row>
    <row r="44" spans="1:25" ht="10.5" customHeight="1" thickBot="1" x14ac:dyDescent="0.35">
      <c r="A44" s="260"/>
      <c r="B44" s="261"/>
      <c r="C44" s="261"/>
      <c r="D44" s="261"/>
      <c r="E44" s="261"/>
      <c r="F44" s="262"/>
    </row>
    <row r="45" spans="1:25" ht="25.35" customHeight="1" thickBot="1" x14ac:dyDescent="0.35">
      <c r="A45" s="137" t="s">
        <v>172</v>
      </c>
      <c r="B45" s="189">
        <f>B20</f>
        <v>36</v>
      </c>
      <c r="C45" s="139">
        <f>SUM($C$18:$C$43)</f>
        <v>0</v>
      </c>
      <c r="D45" s="139">
        <f>IFERROR(ROUNDDOWN(C45/B45,0),"")</f>
        <v>0</v>
      </c>
      <c r="E45" s="140"/>
      <c r="F45" s="141">
        <f>IFERROR(C45-(D45*B45),"")</f>
        <v>0</v>
      </c>
    </row>
    <row r="46" spans="1:25" ht="9" customHeight="1" thickBot="1" x14ac:dyDescent="0.35">
      <c r="A46" s="279"/>
      <c r="B46" s="279"/>
      <c r="C46" s="279"/>
      <c r="D46" s="279"/>
      <c r="E46" s="279"/>
      <c r="F46" s="279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6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3">
        <f>IFERROR($F$48-($G$48*$B$4),"")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6">
    <mergeCell ref="A46:F46"/>
    <mergeCell ref="A1:F1"/>
    <mergeCell ref="B2:F2"/>
    <mergeCell ref="A15:F15"/>
    <mergeCell ref="A17:F17"/>
    <mergeCell ref="A44:F44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D9B3-DF46-4736-BB87-DE69C7BA46F2}">
  <sheetPr codeName="Sheet123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176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IFERROR(VLOOKUP(A4,#REF!,12,FALSE),0)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IFERROR(VLOOKUP(A5,#REF!,12,FALSE),0)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IFERROR(VLOOKUP(A6,#REF!,12,FALSE),0)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IFERROR(VLOOKUP(A7,#REF!,12,FALSE),0)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IFERROR(VLOOKUP(A8,#REF!,12,FALSE),0)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IFERROR(VLOOKUP(A9,#REF!,12,FALSE),0)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IFERROR(VLOOKUP(A10,#REF!,12,FALSE),0)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IFERROR(VLOOKUP(A11,#REF!,12,FALSE),0)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IFERROR(VLOOKUP(A12,#REF!,12,FALSE),0)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IFERROR(VLOOKUP(A13,#REF!,12,FALSE),0)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IFERROR(VLOOKUP(A14,#REF!,12,FALSE),0)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IFERROR(VLOOKUP(A15,#REF!,12,FALSE),0)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IFERROR(VLOOKUP(A16,#REF!,12,FALSE),0)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IFERROR(VLOOKUP(A17,#REF!,12,FALSE),0)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IFERROR(VLOOKUP(A18,#REF!,12,FALSE),0)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IFERROR(VLOOKUP(A19,#REF!,12,FALSE),0)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IFERROR(VLOOKUP(A20,#REF!,12,FALSE),0)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71" t="s">
        <v>171</v>
      </c>
      <c r="B22" s="180">
        <f>B4</f>
        <v>36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6"/>
      <c r="D23" s="167"/>
      <c r="E23" s="168"/>
      <c r="F23" s="167"/>
      <c r="G23" s="67"/>
      <c r="H23" s="67"/>
    </row>
    <row r="24" spans="1:25" ht="25.35" customHeight="1" x14ac:dyDescent="0.3">
      <c r="A24" s="174" t="s">
        <v>58</v>
      </c>
      <c r="B24" s="176">
        <f t="shared" si="2"/>
        <v>36</v>
      </c>
      <c r="C24" s="177">
        <f>IFERROR(VLOOKUP(A24,#REF!,12,FALSE),0)</f>
        <v>0</v>
      </c>
      <c r="D24" s="178">
        <f t="shared" ref="D24:D31" si="3">IFERROR(ROUNDDOWN(C24/B24,0),"")</f>
        <v>0</v>
      </c>
      <c r="E24" s="175" t="s">
        <v>11</v>
      </c>
      <c r="F24" s="179">
        <f t="shared" ref="F24:F31" si="4">IFERROR(C24-(D24*B24),"")</f>
        <v>0</v>
      </c>
      <c r="G24" s="165"/>
      <c r="H24" s="165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IFERROR(VLOOKUP(A25,#REF!,12,FALSE),0)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IFERROR(VLOOKUP(A26,#REF!,12,FALSE),0)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IFERROR(VLOOKUP(A27,#REF!,12,FALSE),0)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IFERROR(VLOOKUP(A28,#REF!,12,FALSE),0)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IFERROR(VLOOKUP(A29,#REF!,12,FALSE),0)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IFERROR(VLOOKUP(A30,#REF!,12,FALSE),0)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IFERROR(VLOOKUP(A31,#REF!,12,FALSE),0)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IFERROR(VLOOKUP(A32,#REF!,12,FALSE),0)</f>
        <v>0</v>
      </c>
      <c r="D32" s="20">
        <f t="shared" ref="D32:D43" si="5">IFERROR(ROUNDDOWN(C32/B32,0),"")</f>
        <v>0</v>
      </c>
      <c r="E32" s="51" t="s">
        <v>97</v>
      </c>
      <c r="F32" s="26">
        <f t="shared" ref="F32:F43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IFERROR(VLOOKUP(A33,#REF!,12,FALSE),0)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IFERROR(VLOOKUP(A34,#REF!,12,FALSE),0)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IFERROR(VLOOKUP(A35,#REF!,12,FALSE),0)</f>
        <v>0</v>
      </c>
      <c r="D35" s="28">
        <f t="shared" si="5"/>
        <v>0</v>
      </c>
      <c r="E35" s="36" t="s">
        <v>16</v>
      </c>
      <c r="F35" s="31">
        <f t="shared" si="6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IFERROR(VLOOKUP(A36,#REF!,12,FALSE),0)</f>
        <v>0</v>
      </c>
      <c r="D36" s="20">
        <f t="shared" si="5"/>
        <v>0</v>
      </c>
      <c r="E36" s="51" t="s">
        <v>24</v>
      </c>
      <c r="F36" s="26">
        <f t="shared" si="6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IFERROR(VLOOKUP(A37,#REF!,12,FALSE),0)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IFERROR(VLOOKUP(A38,#REF!,12,FALSE),0)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IFERROR(VLOOKUP(A39,#REF!,12,FALSE),0)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IFERROR(VLOOKUP(A40,#REF!,12,FALSE),0)</f>
        <v>0</v>
      </c>
      <c r="D40" s="20">
        <f t="shared" si="5"/>
        <v>0</v>
      </c>
      <c r="E40" s="51" t="s">
        <v>19</v>
      </c>
      <c r="F40" s="26">
        <f t="shared" si="6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IFERROR(VLOOKUP(A41,#REF!,12,FALSE),0)</f>
        <v>0</v>
      </c>
      <c r="D41" s="28">
        <f t="shared" si="5"/>
        <v>0</v>
      </c>
      <c r="E41" s="36" t="s">
        <v>20</v>
      </c>
      <c r="F41" s="31">
        <f t="shared" si="6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IFERROR(VLOOKUP(A42,#REF!,12,FALSE),0)</f>
        <v>0</v>
      </c>
      <c r="D42" s="20">
        <f t="shared" si="5"/>
        <v>0</v>
      </c>
      <c r="E42" s="51" t="s">
        <v>25</v>
      </c>
      <c r="F42" s="26">
        <f t="shared" si="6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IFERROR(VLOOKUP(A43,#REF!,12,FALSE),0)</f>
        <v>0</v>
      </c>
      <c r="D43" s="28">
        <f t="shared" si="5"/>
        <v>0</v>
      </c>
      <c r="E43" s="36" t="s">
        <v>72</v>
      </c>
      <c r="F43" s="31">
        <f t="shared" si="6"/>
        <v>0</v>
      </c>
      <c r="G43" s="67"/>
      <c r="H43" s="67"/>
    </row>
    <row r="44" spans="1:25" ht="4.5" customHeight="1" x14ac:dyDescent="0.3">
      <c r="A44" s="263"/>
      <c r="B44" s="264"/>
      <c r="C44" s="264"/>
      <c r="D44" s="264"/>
      <c r="E44" s="264"/>
      <c r="F44" s="265"/>
    </row>
    <row r="45" spans="1:25" ht="34.15" customHeight="1" thickBot="1" x14ac:dyDescent="0.35">
      <c r="A45" s="173" t="s">
        <v>172</v>
      </c>
      <c r="B45" s="180">
        <f>B4</f>
        <v>36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531D-A575-450F-BA08-29C4100A737D}">
  <sheetPr codeName="Sheet124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69" t="s">
        <v>87</v>
      </c>
      <c r="B1" s="269"/>
      <c r="C1" s="269"/>
      <c r="D1" s="269"/>
      <c r="E1" s="269"/>
      <c r="F1" s="269"/>
    </row>
    <row r="2" spans="1:8" ht="25.9" customHeight="1" thickBot="1" x14ac:dyDescent="0.35">
      <c r="A2" s="60">
        <f ca="1">TODAY()</f>
        <v>46310</v>
      </c>
      <c r="B2" s="254" t="s">
        <v>175</v>
      </c>
      <c r="C2" s="254"/>
      <c r="D2" s="254"/>
      <c r="E2" s="254"/>
      <c r="F2" s="278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177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IFERROR(VLOOKUP(A4,#REF!,13,FALSE),0)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IFERROR(VLOOKUP(A5,#REF!,13,FALSE),0)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IFERROR(VLOOKUP(A6,#REF!,13,FALSE),0)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IFERROR(VLOOKUP(A7,#REF!,13,FALSE),0)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IFERROR(VLOOKUP(A8,#REF!,13,FALSE),0)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IFERROR(VLOOKUP(A9,#REF!,13,FALSE),0)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IFERROR(VLOOKUP(A10,#REF!,13,FALSE),0)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IFERROR(VLOOKUP(A11,#REF!,13,FALSE),0)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IFERROR(VLOOKUP(A12,#REF!,13,FALSE),0)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IFERROR(VLOOKUP(A13,#REF!,13,FALSE),0)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IFERROR(VLOOKUP(A14,#REF!,13,FALSE),0)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80"/>
      <c r="B15" s="281"/>
      <c r="C15" s="281"/>
      <c r="D15" s="281"/>
      <c r="E15" s="281"/>
      <c r="F15" s="282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9"/>
      <c r="B17" s="279"/>
      <c r="C17" s="279"/>
      <c r="D17" s="279"/>
      <c r="E17" s="279"/>
      <c r="F17" s="279"/>
    </row>
    <row r="18" spans="1:8" ht="25.35" customHeight="1" x14ac:dyDescent="0.3">
      <c r="A18" s="174" t="s">
        <v>59</v>
      </c>
      <c r="B18" s="176">
        <f t="shared" ref="B18:B43" si="3">$B$4</f>
        <v>36</v>
      </c>
      <c r="C18" s="177">
        <f>IFERROR(VLOOKUP(A18,#REF!,13,FALSE),0)</f>
        <v>0</v>
      </c>
      <c r="D18" s="178">
        <f>IFERROR(ROUNDDOWN(C18/B18,0),"")</f>
        <v>0</v>
      </c>
      <c r="E18" s="175" t="s">
        <v>117</v>
      </c>
      <c r="F18" s="179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IFERROR(VLOOKUP(A19,#REF!,13,FALSE),0)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IFERROR(VLOOKUP(A20,#REF!,13,FALSE),0)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IFERROR(VLOOKUP(A21,#REF!,13,FALSE),0)</f>
        <v>0</v>
      </c>
      <c r="D21" s="28">
        <f t="shared" ref="D21:D43" si="4">IFERROR(ROUNDDOWN(C21/B21,0),"")</f>
        <v>0</v>
      </c>
      <c r="E21" s="36" t="s">
        <v>16</v>
      </c>
      <c r="F21" s="31">
        <f t="shared" ref="F21:F43" si="5"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IFERROR(VLOOKUP(A22,#REF!,13,FALSE),0)</f>
        <v>0</v>
      </c>
      <c r="D22" s="20">
        <f t="shared" si="4"/>
        <v>0</v>
      </c>
      <c r="E22" s="51" t="s">
        <v>24</v>
      </c>
      <c r="F22" s="26">
        <f t="shared" si="5"/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IFERROR(VLOOKUP(A23,#REF!,13,FALSE),0)</f>
        <v>0</v>
      </c>
      <c r="D23" s="28">
        <f t="shared" si="4"/>
        <v>0</v>
      </c>
      <c r="E23" s="36" t="s">
        <v>21</v>
      </c>
      <c r="F23" s="31">
        <f t="shared" si="5"/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IFERROR(VLOOKUP(A24,#REF!,13,FALSE),0)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IFERROR(VLOOKUP(A25,#REF!,13,FALSE),0)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IFERROR(VLOOKUP(A26,#REF!,13,FALSE),0)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IFERROR(VLOOKUP(A27,#REF!,13,FALSE),0)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IFERROR(VLOOKUP(A28,#REF!,13,FALSE),0)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IFERROR(VLOOKUP(A29,#REF!,13,FALSE),0)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IFERROR(VLOOKUP(A30,#REF!,13,FALSE),0)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IFERROR(VLOOKUP(A31,#REF!,13,FALSE),0)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IFERROR(VLOOKUP(A32,#REF!,13,FALSE),0)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IFERROR(VLOOKUP(A33,#REF!,13,FALSE),0)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IFERROR(VLOOKUP(A34,#REF!,13,FALSE),0)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IFERROR(VLOOKUP(A35,#REF!,13,FALSE),0)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IFERROR(VLOOKUP(A36,#REF!,13,FALSE),0)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IFERROR(VLOOKUP(A37,#REF!,13,FALSE),0)</f>
        <v>0</v>
      </c>
      <c r="D37" s="28">
        <f t="shared" si="4"/>
        <v>0</v>
      </c>
      <c r="E37" s="36" t="s">
        <v>97</v>
      </c>
      <c r="F37" s="31">
        <f t="shared" si="5"/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IFERROR(VLOOKUP(A38,#REF!,13,FALSE),0)</f>
        <v>0</v>
      </c>
      <c r="D38" s="20">
        <f t="shared" si="4"/>
        <v>0</v>
      </c>
      <c r="E38" s="51" t="s">
        <v>8</v>
      </c>
      <c r="F38" s="26">
        <f t="shared" si="5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IFERROR(VLOOKUP(A39,#REF!,13,FALSE),0)</f>
        <v>0</v>
      </c>
      <c r="D39" s="28">
        <f t="shared" si="4"/>
        <v>0</v>
      </c>
      <c r="E39" s="36" t="s">
        <v>9</v>
      </c>
      <c r="F39" s="31">
        <f t="shared" si="5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IFERROR(VLOOKUP(A40,#REF!,13,FALSE),0)</f>
        <v>0</v>
      </c>
      <c r="D40" s="20">
        <f t="shared" si="4"/>
        <v>0</v>
      </c>
      <c r="E40" s="51" t="s">
        <v>19</v>
      </c>
      <c r="F40" s="26">
        <f t="shared" si="5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IFERROR(VLOOKUP(A41,#REF!,13,FALSE),0)</f>
        <v>0</v>
      </c>
      <c r="D41" s="28">
        <f t="shared" si="4"/>
        <v>0</v>
      </c>
      <c r="E41" s="36" t="s">
        <v>20</v>
      </c>
      <c r="F41" s="31">
        <f t="shared" si="5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IFERROR(VLOOKUP(A42,#REF!,13,FALSE),0)</f>
        <v>0</v>
      </c>
      <c r="D42" s="20">
        <f t="shared" si="4"/>
        <v>0</v>
      </c>
      <c r="E42" s="51" t="s">
        <v>25</v>
      </c>
      <c r="F42" s="26">
        <f t="shared" si="5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IFERROR(VLOOKUP(A43,#REF!,13,FALSE),0)</f>
        <v>0</v>
      </c>
      <c r="D43" s="28">
        <f t="shared" si="4"/>
        <v>0</v>
      </c>
      <c r="E43" s="36" t="s">
        <v>72</v>
      </c>
      <c r="F43" s="31">
        <f t="shared" si="5"/>
        <v>0</v>
      </c>
      <c r="G43" s="67"/>
      <c r="H43" s="67"/>
    </row>
    <row r="44" spans="1:25" ht="10.5" customHeight="1" thickBot="1" x14ac:dyDescent="0.35">
      <c r="A44" s="260"/>
      <c r="B44" s="261"/>
      <c r="C44" s="261"/>
      <c r="D44" s="261"/>
      <c r="E44" s="261"/>
      <c r="F44" s="262"/>
    </row>
    <row r="45" spans="1:25" ht="25.35" customHeight="1" thickBot="1" x14ac:dyDescent="0.35">
      <c r="A45" s="137" t="s">
        <v>172</v>
      </c>
      <c r="B45" s="189">
        <f>B20</f>
        <v>36</v>
      </c>
      <c r="C45" s="139">
        <f>SUM($C$18:$C$43)</f>
        <v>0</v>
      </c>
      <c r="D45" s="139">
        <f>IFERROR(ROUNDDOWN(C45/B45,0),"")</f>
        <v>0</v>
      </c>
      <c r="E45" s="140"/>
      <c r="F45" s="141">
        <f>IFERROR(C45-(D45*B45),"")</f>
        <v>0</v>
      </c>
    </row>
    <row r="46" spans="1:25" ht="9" customHeight="1" thickBot="1" x14ac:dyDescent="0.35">
      <c r="A46" s="279"/>
      <c r="B46" s="279"/>
      <c r="C46" s="279"/>
      <c r="D46" s="279"/>
      <c r="E46" s="279"/>
      <c r="F46" s="279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6">
        <f>IFERROR(C47-(D47*B47),"")</f>
        <v>0</v>
      </c>
      <c r="G47" s="172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3">
        <f>IFERROR($F$48-($G$48*$B$4),"")</f>
        <v>0</v>
      </c>
    </row>
    <row r="49" spans="7:8" ht="25.5" customHeight="1" x14ac:dyDescent="0.3">
      <c r="G49" s="197" t="s">
        <v>178</v>
      </c>
      <c r="H49" s="202" t="s">
        <v>173</v>
      </c>
    </row>
  </sheetData>
  <mergeCells count="6">
    <mergeCell ref="A46:F46"/>
    <mergeCell ref="A1:F1"/>
    <mergeCell ref="B2:F2"/>
    <mergeCell ref="A15:F15"/>
    <mergeCell ref="A17:F17"/>
    <mergeCell ref="A44:F44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71B2-59D8-40C5-BF12-3D4575C8668C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179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37">
        <v>40</v>
      </c>
      <c r="C4" s="27">
        <f>IFERROR(VLOOKUP(A4,#REF!,2,FALSE),0)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40</v>
      </c>
      <c r="C5" s="24">
        <f>IFERROR(VLOOKUP(A5,#REF!,2,FALSE),0)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137</v>
      </c>
      <c r="B6" s="37">
        <f t="shared" ref="B6:B43" si="2">$B$4</f>
        <v>40</v>
      </c>
      <c r="C6" s="27">
        <f>IFERROR(VLOOKUP(A6,#REF!,2,FALSE),0)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40</v>
      </c>
      <c r="C7" s="24">
        <f>IFERROR(VLOOKUP(A7,#REF!,2,FALSE),0)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40</v>
      </c>
      <c r="C8" s="27">
        <f>IFERROR(VLOOKUP(A8,#REF!,2,FALSE),0)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40</v>
      </c>
      <c r="C9" s="24">
        <f>IFERROR(VLOOKUP(A9,#REF!,2,FALSE),0)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40</v>
      </c>
      <c r="C10" s="27">
        <f>IFERROR(VLOOKUP(A10,#REF!,2,FALSE),0)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40</v>
      </c>
      <c r="C11" s="24">
        <f>IFERROR(VLOOKUP(A11,#REF!,2,FALSE),0)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6" t="s">
        <v>146</v>
      </c>
      <c r="B12" s="37">
        <f t="shared" si="2"/>
        <v>40</v>
      </c>
      <c r="C12" s="27">
        <f>IFERROR(VLOOKUP(A12,#REF!,2,FALSE),0)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147</v>
      </c>
      <c r="B13" s="50">
        <f t="shared" si="2"/>
        <v>40</v>
      </c>
      <c r="C13" s="24">
        <f>IFERROR(VLOOKUP(A13,#REF!,2,FALSE),0)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40</v>
      </c>
      <c r="C14" s="27">
        <f>IFERROR(VLOOKUP(A14,#REF!,2,FALSE),0)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40</v>
      </c>
      <c r="C15" s="24">
        <f>IFERROR(VLOOKUP(A15,#REF!,2,FALSE),0)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141</v>
      </c>
      <c r="B16" s="37">
        <f t="shared" si="2"/>
        <v>40</v>
      </c>
      <c r="C16" s="27">
        <f>IFERROR(VLOOKUP(A16,#REF!,2,FALSE),0)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40</v>
      </c>
      <c r="C17" s="24">
        <f>IFERROR(VLOOKUP(A17,#REF!,2,FALSE),0)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7" t="s">
        <v>140</v>
      </c>
      <c r="B18" s="37">
        <f t="shared" si="2"/>
        <v>40</v>
      </c>
      <c r="C18" s="27">
        <f>IFERROR(VLOOKUP(A18,#REF!,2,FALSE),0)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170</v>
      </c>
      <c r="B22" s="176">
        <f t="shared" si="2"/>
        <v>40</v>
      </c>
      <c r="C22" s="177">
        <f>IFERROR(VLOOKUP(A22,#REF!,2,FALSE),0)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206" t="s">
        <v>150</v>
      </c>
      <c r="B23" s="37">
        <f t="shared" si="2"/>
        <v>40</v>
      </c>
      <c r="C23" s="27">
        <f>IFERROR(VLOOKUP(A23,#REF!,2,FALSE),0)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52" t="s">
        <v>155</v>
      </c>
      <c r="B24" s="162">
        <f t="shared" si="2"/>
        <v>40</v>
      </c>
      <c r="C24" s="184">
        <f>IFERROR(VLOOKUP(A24,#REF!,2,FALSE),0)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6" t="s">
        <v>156</v>
      </c>
      <c r="B25" s="37">
        <f t="shared" si="2"/>
        <v>40</v>
      </c>
      <c r="C25" s="27">
        <f>IFERROR(VLOOKUP(A25,#REF!,2,FALSE),0)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40</v>
      </c>
      <c r="C26" s="24">
        <f>IFERROR(VLOOKUP(A26,#REF!,2,FALSE),0)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40</v>
      </c>
      <c r="C27" s="27">
        <f>IFERROR(VLOOKUP(A27,#REF!,2,FALSE),0)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40</v>
      </c>
      <c r="C28" s="24">
        <f>IFERROR(VLOOKUP(A28,#REF!,2,FALSE),0)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153</v>
      </c>
      <c r="B29" s="37">
        <f t="shared" si="2"/>
        <v>40</v>
      </c>
      <c r="C29" s="27">
        <f>IFERROR(VLOOKUP(A29,#REF!,2,FALSE),0)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154</v>
      </c>
      <c r="B30" s="50">
        <f t="shared" si="2"/>
        <v>40</v>
      </c>
      <c r="C30" s="24">
        <f>IFERROR(VLOOKUP(A30,#REF!,2,FALSE),0)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7" t="s">
        <v>151</v>
      </c>
      <c r="B31" s="37">
        <f t="shared" si="2"/>
        <v>40</v>
      </c>
      <c r="C31" s="27">
        <f>IFERROR(VLOOKUP(A31,#REF!,2,FALSE),0)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49" t="s">
        <v>152</v>
      </c>
      <c r="B32" s="50">
        <f t="shared" si="2"/>
        <v>40</v>
      </c>
      <c r="C32" s="24">
        <f>IFERROR(VLOOKUP(A32,#REF!,2,FALSE),0)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168</v>
      </c>
      <c r="B33" s="37">
        <f t="shared" si="2"/>
        <v>40</v>
      </c>
      <c r="C33" s="27">
        <f>IFERROR(VLOOKUP(A33,#REF!,2,FALSE),0)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169</v>
      </c>
      <c r="B34" s="50">
        <f t="shared" si="2"/>
        <v>40</v>
      </c>
      <c r="C34" s="24">
        <f>IFERROR(VLOOKUP(A34,#REF!,2,FALSE),0)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224</v>
      </c>
      <c r="B35" s="37">
        <f t="shared" si="2"/>
        <v>40</v>
      </c>
      <c r="C35" s="27">
        <f>IFERROR(VLOOKUP(A35,#REF!,2,FALSE),0)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160</v>
      </c>
      <c r="B36" s="50">
        <f t="shared" si="2"/>
        <v>40</v>
      </c>
      <c r="C36" s="24">
        <f>IFERROR(VLOOKUP(A36,#REF!,2,FALSE),0)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161</v>
      </c>
      <c r="B37" s="37">
        <f t="shared" si="2"/>
        <v>40</v>
      </c>
      <c r="C37" s="27">
        <f>IFERROR(VLOOKUP(A37,#REF!,2,FALSE),0)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162</v>
      </c>
      <c r="B38" s="50">
        <f t="shared" si="2"/>
        <v>40</v>
      </c>
      <c r="C38" s="24">
        <f>IFERROR(VLOOKUP(A38,#REF!,2,FALSE),0)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6" t="s">
        <v>163</v>
      </c>
      <c r="B39" s="37">
        <f t="shared" si="2"/>
        <v>40</v>
      </c>
      <c r="C39" s="27">
        <f>IFERROR(VLOOKUP(A39,#REF!,2,FALSE),0)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52" t="s">
        <v>164</v>
      </c>
      <c r="B40" s="50">
        <f t="shared" si="2"/>
        <v>40</v>
      </c>
      <c r="C40" s="24">
        <f>IFERROR(VLOOKUP(A40,#REF!,2,FALSE),0)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40</v>
      </c>
      <c r="C41" s="27">
        <f>IFERROR(VLOOKUP(A41,#REF!,2,FALSE),0)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49" t="s">
        <v>166</v>
      </c>
      <c r="B42" s="50">
        <f t="shared" si="2"/>
        <v>40</v>
      </c>
      <c r="C42" s="24">
        <f>IFERROR(VLOOKUP(A42,#REF!,2,FALSE),0)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7" t="s">
        <v>167</v>
      </c>
      <c r="B43" s="37">
        <f t="shared" si="2"/>
        <v>40</v>
      </c>
      <c r="C43" s="27">
        <f>IFERROR(VLOOKUP(A43,#REF!,2,FALSE),0)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3688-7C40-4217-BC84-34426D639740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180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IFERROR(VLOOKUP(A4,#REF!,3,FALSE),0)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IFERROR(VLOOKUP(A5,#REF!,3,FALSE),0)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IFERROR(VLOOKUP(A6,#REF!,3,FALSE),0)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IFERROR(VLOOKUP(A7,#REF!,3,FALSE),0)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IFERROR(VLOOKUP(A8,#REF!,3,FALSE),0)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IFERROR(VLOOKUP(A9,#REF!,3,FALSE),0)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IFERROR(VLOOKUP(A10,#REF!,3,FALSE),0)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IFERROR(VLOOKUP(A11,#REF!,3,FALSE),0)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IFERROR(VLOOKUP(A12,#REF!,3,FALSE),0)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IFERROR(VLOOKUP(A13,#REF!,3,FALSE),0)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IFERROR(VLOOKUP(A14,#REF!,3,FALSE),0)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IFERROR(VLOOKUP(A15,#REF!,3,FALSE),0)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IFERROR(VLOOKUP(A16,#REF!,3,FALSE),0)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IFERROR(VLOOKUP(A17,#REF!,3,FALSE),0)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IFERROR(VLOOKUP(A18,#REF!,3,FALSE),0)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IFERROR(VLOOKUP(A22,#REF!,3,FALSE),0)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IFERROR(VLOOKUP(A23,#REF!,3,FALSE),0)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IFERROR(VLOOKUP(A24,#REF!,3,FALSE),0)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IFERROR(VLOOKUP(A25,#REF!,3,FALSE),0)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IFERROR(VLOOKUP(A26,#REF!,3,FALSE),0)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IFERROR(VLOOKUP(A27,#REF!,3,FALSE),0)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IFERROR(VLOOKUP(A28,#REF!,3,FALSE),0)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IFERROR(VLOOKUP(A29,#REF!,3,FALSE),0)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IFERROR(VLOOKUP(A30,#REF!,3,FALSE),0)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IFERROR(VLOOKUP(A31,#REF!,3,FALSE),0)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IFERROR(VLOOKUP(A32,#REF!,3,FALSE),0)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IFERROR(VLOOKUP(A33,#REF!,3,FALSE),0)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IFERROR(VLOOKUP(A34,#REF!,3,FALSE),0)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IFERROR(VLOOKUP(A35,#REF!,3,FALSE),0)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IFERROR(VLOOKUP(A36,#REF!,3,FALSE),0)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IFERROR(VLOOKUP(A37,#REF!,3,FALSE),0)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IFERROR(VLOOKUP(A38,#REF!,3,FALSE),0)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IFERROR(VLOOKUP(A39,#REF!,3,FALSE),0)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IFERROR(VLOOKUP(A40,#REF!,3,FALSE),0)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IFERROR(VLOOKUP(A41,#REF!,3,FALSE),0)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IFERROR(VLOOKUP(A42,#REF!,3,FALSE),0)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IFERROR(VLOOKUP(A43,#REF!,3,FALSE),0)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226A-6F21-40E6-8026-E5A9513FE8D7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181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IFERROR(VLOOKUP(A4,#REF!,4,FALSE),0)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IFERROR(VLOOKUP(A5,#REF!,4,FALSE),0)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IFERROR(VLOOKUP(A6,#REF!,4,FALSE),0)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IFERROR(VLOOKUP(A7,#REF!,4,FALSE),0)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IFERROR(VLOOKUP(A8,#REF!,4,FALSE),0)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IFERROR(VLOOKUP(A9,#REF!,4,FALSE),0)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IFERROR(VLOOKUP(A10,#REF!,4,FALSE),0)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IFERROR(VLOOKUP(A11,#REF!,4,FALSE),0)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IFERROR(VLOOKUP(A12,#REF!,4,FALSE),0)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IFERROR(VLOOKUP(A13,#REF!,4,FALSE),0)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IFERROR(VLOOKUP(A14,#REF!,4,FALSE),0)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IFERROR(VLOOKUP(A15,#REF!,4,FALSE),0)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IFERROR(VLOOKUP(A16,#REF!,4,FALSE),0)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IFERROR(VLOOKUP(A17,#REF!,4,FALSE),0)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IFERROR(VLOOKUP(A18,#REF!,4,FALSE),0)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IFERROR(VLOOKUP(A22,#REF!,4,FALSE),0)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IFERROR(VLOOKUP(A23,#REF!,4,FALSE),0)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IFERROR(VLOOKUP(A24,#REF!,4,FALSE),0)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IFERROR(VLOOKUP(A25,#REF!,4,FALSE),0)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IFERROR(VLOOKUP(A26,#REF!,4,FALSE),0)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IFERROR(VLOOKUP(A27,#REF!,4,FALSE),0)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IFERROR(VLOOKUP(A28,#REF!,4,FALSE),0)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IFERROR(VLOOKUP(A29,#REF!,4,FALSE),0)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IFERROR(VLOOKUP(A30,#REF!,4,FALSE),0)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IFERROR(VLOOKUP(A31,#REF!,4,FALSE),0)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IFERROR(VLOOKUP(A32,#REF!,4,FALSE),0)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IFERROR(VLOOKUP(A33,#REF!,4,FALSE),0)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IFERROR(VLOOKUP(A34,#REF!,4,FALSE),0)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IFERROR(VLOOKUP(A35,#REF!,4,FALSE),0)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IFERROR(VLOOKUP(A36,#REF!,4,FALSE),0)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IFERROR(VLOOKUP(A37,#REF!,4,FALSE),0)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IFERROR(VLOOKUP(A38,#REF!,4,FALSE),0)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IFERROR(VLOOKUP(A39,#REF!,4,FALSE),0)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IFERROR(VLOOKUP(A40,#REF!,4,FALSE),0)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IFERROR(VLOOKUP(A41,#REF!,4,FALSE),0)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IFERROR(VLOOKUP(A42,#REF!,4,FALSE),0)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IFERROR(VLOOKUP(A43,#REF!,4,FALSE),0)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2DAE-62BB-49B0-B64E-0A5DCDEC7AF3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182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IFERROR(VLOOKUP(A4,#REF!,5,FALSE),0)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IFERROR(VLOOKUP(A5,#REF!,5,FALSE),0)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IFERROR(VLOOKUP(A6,#REF!,5,FALSE),0)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IFERROR(VLOOKUP(A7,#REF!,5,FALSE),0)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IFERROR(VLOOKUP(A8,#REF!,5,FALSE),0)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IFERROR(VLOOKUP(A9,#REF!,5,FALSE),0)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IFERROR(VLOOKUP(A10,#REF!,5,FALSE),0)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IFERROR(VLOOKUP(A11,#REF!,5,FALSE),0)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IFERROR(VLOOKUP(A12,#REF!,5,FALSE),0)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IFERROR(VLOOKUP(A13,#REF!,5,FALSE),0)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IFERROR(VLOOKUP(A14,#REF!,5,FALSE),0)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IFERROR(VLOOKUP(A15,#REF!,5,FALSE),0)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IFERROR(VLOOKUP(A16,#REF!,5,FALSE),0)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IFERROR(VLOOKUP(A17,#REF!,5,FALSE),0)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IFERROR(VLOOKUP(A18,#REF!,5,FALSE),0)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IFERROR(VLOOKUP(A22,#REF!,5,FALSE),0)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IFERROR(VLOOKUP(A23,#REF!,5,FALSE),0)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IFERROR(VLOOKUP(A24,#REF!,5,FALSE),0)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IFERROR(VLOOKUP(A25,#REF!,5,FALSE),0)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IFERROR(VLOOKUP(A26,#REF!,5,FALSE),0)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IFERROR(VLOOKUP(A27,#REF!,5,FALSE),0)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IFERROR(VLOOKUP(A28,#REF!,5,FALSE),0)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IFERROR(VLOOKUP(A29,#REF!,5,FALSE),0)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IFERROR(VLOOKUP(A30,#REF!,5,FALSE),0)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IFERROR(VLOOKUP(A31,#REF!,5,FALSE),0)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IFERROR(VLOOKUP(A32,#REF!,5,FALSE),0)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IFERROR(VLOOKUP(A33,#REF!,5,FALSE),0)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IFERROR(VLOOKUP(A34,#REF!,5,FALSE),0)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IFERROR(VLOOKUP(A35,#REF!,5,FALSE),0)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IFERROR(VLOOKUP(A36,#REF!,5,FALSE),0)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IFERROR(VLOOKUP(A37,#REF!,5,FALSE),0)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IFERROR(VLOOKUP(A38,#REF!,5,FALSE),0)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IFERROR(VLOOKUP(A39,#REF!,5,FALSE),0)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IFERROR(VLOOKUP(A40,#REF!,5,FALSE),0)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IFERROR(VLOOKUP(A41,#REF!,5,FALSE),0)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IFERROR(VLOOKUP(A42,#REF!,5,FALSE),0)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IFERROR(VLOOKUP(A43,#REF!,5,FALSE),0)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8404-8D00-4D6A-A544-7E440D39BD5A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183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IFERROR(VLOOKUP(A4,#REF!,6,FALSE),0)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IFERROR(VLOOKUP(A5,#REF!,6,FALSE),0)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IFERROR(VLOOKUP(A6,#REF!,6,FALSE),0)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IFERROR(VLOOKUP(A7,#REF!,6,FALSE),0)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IFERROR(VLOOKUP(A8,#REF!,6,FALSE),0)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IFERROR(VLOOKUP(A9,#REF!,6,FALSE),0)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IFERROR(VLOOKUP(A10,#REF!,6,FALSE),0)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IFERROR(VLOOKUP(A11,#REF!,6,FALSE),0)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IFERROR(VLOOKUP(A12,#REF!,6,FALSE),0)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IFERROR(VLOOKUP(A13,#REF!,6,FALSE),0)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IFERROR(VLOOKUP(A14,#REF!,6,FALSE),0)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IFERROR(VLOOKUP(A15,#REF!,6,FALSE),0)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IFERROR(VLOOKUP(A16,#REF!,6,FALSE),0)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IFERROR(VLOOKUP(A17,#REF!,6,FALSE),0)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IFERROR(VLOOKUP(A18,#REF!,6,FALSE),0)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IFERROR(VLOOKUP(A22,#REF!,6,FALSE),0)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IFERROR(VLOOKUP(A23,#REF!,6,FALSE),0)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IFERROR(VLOOKUP(A24,#REF!,6,FALSE),0)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IFERROR(VLOOKUP(A25,#REF!,6,FALSE),0)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IFERROR(VLOOKUP(A26,#REF!,6,FALSE),0)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IFERROR(VLOOKUP(A27,#REF!,6,FALSE),0)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IFERROR(VLOOKUP(A28,#REF!,6,FALSE),0)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IFERROR(VLOOKUP(A29,#REF!,6,FALSE),0)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IFERROR(VLOOKUP(A30,#REF!,6,FALSE),0)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IFERROR(VLOOKUP(A31,#REF!,6,FALSE),0)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IFERROR(VLOOKUP(A32,#REF!,6,FALSE),0)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IFERROR(VLOOKUP(A33,#REF!,6,FALSE),0)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IFERROR(VLOOKUP(A34,#REF!,6,FALSE),0)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IFERROR(VLOOKUP(A35,#REF!,6,FALSE),0)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IFERROR(VLOOKUP(A36,#REF!,6,FALSE),0)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IFERROR(VLOOKUP(A37,#REF!,6,FALSE),0)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IFERROR(VLOOKUP(A38,#REF!,6,FALSE),0)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IFERROR(VLOOKUP(A39,#REF!,6,FALSE),0)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IFERROR(VLOOKUP(A40,#REF!,6,FALSE),0)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IFERROR(VLOOKUP(A41,#REF!,6,FALSE),0)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IFERROR(VLOOKUP(A42,#REF!,6,FALSE),0)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IFERROR(VLOOKUP(A43,#REF!,6,FALSE),0)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F999-5E1C-44A2-9E92-C6CF26BA335A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184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IFERROR(VLOOKUP(A4,#REF!,7,FALSE),0)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IFERROR(VLOOKUP(A5,#REF!,7,FALSE),0)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IFERROR(VLOOKUP(A6,#REF!,7,FALSE),0)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IFERROR(VLOOKUP(A7,#REF!,7,FALSE),0)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IFERROR(VLOOKUP(A8,#REF!,7,FALSE),0)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IFERROR(VLOOKUP(A9,#REF!,7,FALSE),0)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IFERROR(VLOOKUP(A10,#REF!,7,FALSE),0)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IFERROR(VLOOKUP(A11,#REF!,7,FALSE),0)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IFERROR(VLOOKUP(A12,#REF!,7,FALSE),0)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IFERROR(VLOOKUP(A13,#REF!,7,FALSE),0)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IFERROR(VLOOKUP(A14,#REF!,7,FALSE),0)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IFERROR(VLOOKUP(A15,#REF!,7,FALSE),0)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IFERROR(VLOOKUP(A16,#REF!,7,FALSE),0)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IFERROR(VLOOKUP(A17,#REF!,7,FALSE),0)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IFERROR(VLOOKUP(A18,#REF!,7,FALSE),0)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IFERROR(VLOOKUP(A22,#REF!,7,FALSE),0)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IFERROR(VLOOKUP(A23,#REF!,7,FALSE),0)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IFERROR(VLOOKUP(A24,#REF!,7,FALSE),0)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IFERROR(VLOOKUP(A25,#REF!,7,FALSE),0)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IFERROR(VLOOKUP(A26,#REF!,7,FALSE),0)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IFERROR(VLOOKUP(A27,#REF!,7,FALSE),0)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IFERROR(VLOOKUP(A28,#REF!,7,FALSE),0)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IFERROR(VLOOKUP(A29,#REF!,7,FALSE),0)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IFERROR(VLOOKUP(A30,#REF!,7,FALSE),0)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IFERROR(VLOOKUP(A31,#REF!,7,FALSE),0)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IFERROR(VLOOKUP(A32,#REF!,7,FALSE),0)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IFERROR(VLOOKUP(A33,#REF!,7,FALSE),0)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IFERROR(VLOOKUP(A34,#REF!,7,FALSE),0)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IFERROR(VLOOKUP(A35,#REF!,7,FALSE),0)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IFERROR(VLOOKUP(A36,#REF!,7,FALSE),0)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IFERROR(VLOOKUP(A37,#REF!,7,FALSE),0)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IFERROR(VLOOKUP(A38,#REF!,7,FALSE),0)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IFERROR(VLOOKUP(A39,#REF!,7,FALSE),0)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IFERROR(VLOOKUP(A40,#REF!,7,FALSE),0)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IFERROR(VLOOKUP(A41,#REF!,7,FALSE),0)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IFERROR(VLOOKUP(A42,#REF!,7,FALSE),0)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IFERROR(VLOOKUP(A43,#REF!,7,FALSE),0)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CBCA-8E37-4F54-89FF-BA716F09DEC8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185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IFERROR(VLOOKUP(A4,#REF!,8,FALSE),0)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IFERROR(VLOOKUP(A5,#REF!,8,FALSE),0)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IFERROR(VLOOKUP(A6,#REF!,8,FALSE),0)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IFERROR(VLOOKUP(A7,#REF!,8,FALSE),0)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IFERROR(VLOOKUP(A8,#REF!,8,FALSE),0)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IFERROR(VLOOKUP(A9,#REF!,8,FALSE),0)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IFERROR(VLOOKUP(A10,#REF!,8,FALSE),0)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IFERROR(VLOOKUP(A11,#REF!,8,FALSE),0)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IFERROR(VLOOKUP(A12,#REF!,8,FALSE),0)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IFERROR(VLOOKUP(A13,#REF!,8,FALSE),0)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IFERROR(VLOOKUP(A14,#REF!,8,FALSE),0)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IFERROR(VLOOKUP(A15,#REF!,8,FALSE),0)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IFERROR(VLOOKUP(A16,#REF!,8,FALSE),0)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IFERROR(VLOOKUP(A17,#REF!,8,FALSE),0)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IFERROR(VLOOKUP(A18,#REF!,8,FALSE),0)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IFERROR(VLOOKUP(A22,#REF!,8,FALSE),0)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IFERROR(VLOOKUP(A23,#REF!,8,FALSE),0)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IFERROR(VLOOKUP(A24,#REF!,8,FALSE),0)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IFERROR(VLOOKUP(A25,#REF!,8,FALSE),0)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IFERROR(VLOOKUP(A26,#REF!,8,FALSE),0)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IFERROR(VLOOKUP(A27,#REF!,8,FALSE),0)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IFERROR(VLOOKUP(A28,#REF!,8,FALSE),0)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IFERROR(VLOOKUP(A29,#REF!,8,FALSE),0)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IFERROR(VLOOKUP(A30,#REF!,8,FALSE),0)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IFERROR(VLOOKUP(A31,#REF!,8,FALSE),0)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IFERROR(VLOOKUP(A32,#REF!,8,FALSE),0)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IFERROR(VLOOKUP(A33,#REF!,8,FALSE),0)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IFERROR(VLOOKUP(A34,#REF!,8,FALSE),0)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IFERROR(VLOOKUP(A35,#REF!,8,FALSE),0)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IFERROR(VLOOKUP(A36,#REF!,8,FALSE),0)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IFERROR(VLOOKUP(A37,#REF!,8,FALSE),0)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IFERROR(VLOOKUP(A38,#REF!,8,FALSE),0)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IFERROR(VLOOKUP(A39,#REF!,8,FALSE),0)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IFERROR(VLOOKUP(A40,#REF!,8,FALSE),0)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IFERROR(VLOOKUP(A41,#REF!,8,FALSE),0)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IFERROR(VLOOKUP(A42,#REF!,8,FALSE),0)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IFERROR(VLOOKUP(A43,#REF!,8,FALSE),0)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27EE-2A08-4729-9A1E-B7C5E7667E3A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1"/>
      <c r="B1" s="292"/>
      <c r="C1" s="292"/>
      <c r="D1" s="292"/>
      <c r="E1" s="292"/>
      <c r="F1" s="293"/>
    </row>
    <row r="2" spans="1:8" ht="25.9" customHeight="1" thickBot="1" x14ac:dyDescent="0.35">
      <c r="A2" s="60">
        <f ca="1">TODAY()</f>
        <v>46310</v>
      </c>
      <c r="B2" s="254" t="s">
        <v>187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186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207</v>
      </c>
      <c r="B4" s="37">
        <v>40</v>
      </c>
      <c r="C4" s="27">
        <f>IFERROR(VLOOKUP(A4,#REF!,9,FALSE),0)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213</v>
      </c>
      <c r="B5" s="50">
        <f>$B$4</f>
        <v>40</v>
      </c>
      <c r="C5" s="24">
        <f>IFERROR(VLOOKUP(A5,#REF!,9,FALSE),0)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200</v>
      </c>
      <c r="B6" s="37">
        <f t="shared" ref="B6:B43" si="2">$B$4</f>
        <v>40</v>
      </c>
      <c r="C6" s="27">
        <f>IFERROR(VLOOKUP(A6,#REF!,9,FALSE),0)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199</v>
      </c>
      <c r="B7" s="50">
        <f t="shared" si="2"/>
        <v>40</v>
      </c>
      <c r="C7" s="24">
        <f>IFERROR(VLOOKUP(A7,#REF!,9,FALSE),0)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208</v>
      </c>
      <c r="B8" s="37">
        <f t="shared" si="2"/>
        <v>40</v>
      </c>
      <c r="C8" s="27">
        <f>IFERROR(VLOOKUP(A8,#REF!,9,FALSE),0)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189</v>
      </c>
      <c r="B9" s="50">
        <f t="shared" si="2"/>
        <v>40</v>
      </c>
      <c r="C9" s="24">
        <f>IFERROR(VLOOKUP(A9,#REF!,9,FALSE),0)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225</v>
      </c>
      <c r="B10" s="37">
        <f t="shared" si="2"/>
        <v>40</v>
      </c>
      <c r="C10" s="27">
        <f>IFERROR(VLOOKUP(A10,#REF!,9,FALSE),0)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206</v>
      </c>
      <c r="B11" s="50">
        <f t="shared" si="2"/>
        <v>40</v>
      </c>
      <c r="C11" s="24">
        <f>IFERROR(VLOOKUP(A11,#REF!,9,FALSE),0)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205</v>
      </c>
      <c r="B12" s="37">
        <f t="shared" si="2"/>
        <v>40</v>
      </c>
      <c r="C12" s="27">
        <f>IFERROR(VLOOKUP(A12,#REF!,9,FALSE),0)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219</v>
      </c>
      <c r="B13" s="50">
        <f t="shared" si="2"/>
        <v>40</v>
      </c>
      <c r="C13" s="24">
        <f>IFERROR(VLOOKUP(A13,#REF!,9,FALSE),0)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214</v>
      </c>
      <c r="B14" s="37">
        <f t="shared" si="2"/>
        <v>40</v>
      </c>
      <c r="C14" s="27">
        <f>IFERROR(VLOOKUP(A14,#REF!,9,FALSE),0)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190</v>
      </c>
      <c r="B15" s="50">
        <f t="shared" si="2"/>
        <v>40</v>
      </c>
      <c r="C15" s="24">
        <f>IFERROR(VLOOKUP(A15,#REF!,9,FALSE),0)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209</v>
      </c>
      <c r="B16" s="37">
        <f t="shared" si="2"/>
        <v>40</v>
      </c>
      <c r="C16" s="27">
        <f>IFERROR(VLOOKUP(A16,#REF!,9,FALSE),0)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197</v>
      </c>
      <c r="B17" s="50">
        <f t="shared" si="2"/>
        <v>40</v>
      </c>
      <c r="C17" s="24">
        <f>IFERROR(VLOOKUP(A17,#REF!,9,FALSE),0)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196</v>
      </c>
      <c r="B18" s="37">
        <f t="shared" si="2"/>
        <v>40</v>
      </c>
      <c r="C18" s="27">
        <f>IFERROR(VLOOKUP(A18,#REF!,9,FALSE),0)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9"/>
      <c r="C19" s="166"/>
      <c r="D19" s="167"/>
      <c r="E19" s="168"/>
      <c r="F19" s="170"/>
      <c r="G19" s="59"/>
      <c r="H19" s="59"/>
    </row>
    <row r="20" spans="1:8" ht="25.35" customHeight="1" thickBot="1" x14ac:dyDescent="0.35">
      <c r="A20" s="171" t="s">
        <v>171</v>
      </c>
      <c r="B20" s="180">
        <f>B4</f>
        <v>40</v>
      </c>
      <c r="C20" s="181">
        <f>SUM(C4:C19)</f>
        <v>0</v>
      </c>
      <c r="D20" s="96">
        <f>IFERROR(ROUNDDOWN(C20/B20,0),"")</f>
        <v>0</v>
      </c>
      <c r="E20" s="159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6"/>
      <c r="D21" s="167"/>
      <c r="E21" s="168"/>
      <c r="F21" s="167"/>
      <c r="G21" s="59"/>
      <c r="H21" s="59"/>
    </row>
    <row r="22" spans="1:8" ht="25.35" customHeight="1" x14ac:dyDescent="0.3">
      <c r="A22" s="174" t="s">
        <v>218</v>
      </c>
      <c r="B22" s="176">
        <f t="shared" si="2"/>
        <v>40</v>
      </c>
      <c r="C22" s="177">
        <f>IFERROR(VLOOKUP(A22,#REF!,9,FALSE),0)</f>
        <v>0</v>
      </c>
      <c r="D22" s="178">
        <f>IFERROR(ROUNDDOWN(C22/B22,0),"")</f>
        <v>0</v>
      </c>
      <c r="E22" s="175" t="s">
        <v>114</v>
      </c>
      <c r="F22" s="179">
        <f>IFERROR(C22-(D22*B22),"")</f>
        <v>0</v>
      </c>
      <c r="G22" s="59"/>
      <c r="H22" s="59"/>
    </row>
    <row r="23" spans="1:8" ht="25.35" customHeight="1" x14ac:dyDescent="0.3">
      <c r="A23" s="46" t="s">
        <v>188</v>
      </c>
      <c r="B23" s="37">
        <f t="shared" si="2"/>
        <v>40</v>
      </c>
      <c r="C23" s="27">
        <f>IFERROR(VLOOKUP(A23,#REF!,9,FALSE),0)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216</v>
      </c>
      <c r="B24" s="162">
        <f t="shared" si="2"/>
        <v>40</v>
      </c>
      <c r="C24" s="184">
        <f>IFERROR(VLOOKUP(A24,#REF!,9,FALSE),0)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5"/>
      <c r="H24" s="165"/>
    </row>
    <row r="25" spans="1:8" ht="26.25" x14ac:dyDescent="0.3">
      <c r="A25" s="47" t="s">
        <v>215</v>
      </c>
      <c r="B25" s="37">
        <f t="shared" si="2"/>
        <v>40</v>
      </c>
      <c r="C25" s="27">
        <f>IFERROR(VLOOKUP(A25,#REF!,9,FALSE),0)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191</v>
      </c>
      <c r="B26" s="50">
        <f t="shared" si="2"/>
        <v>40</v>
      </c>
      <c r="C26" s="24">
        <f>IFERROR(VLOOKUP(A26,#REF!,9,FALSE),0)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198</v>
      </c>
      <c r="B27" s="37">
        <f t="shared" si="2"/>
        <v>40</v>
      </c>
      <c r="C27" s="27">
        <f>IFERROR(VLOOKUP(A27,#REF!,9,FALSE),0)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217</v>
      </c>
      <c r="B28" s="50">
        <f t="shared" si="2"/>
        <v>40</v>
      </c>
      <c r="C28" s="24">
        <f>IFERROR(VLOOKUP(A28,#REF!,9,FALSE),0)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193</v>
      </c>
      <c r="B29" s="37">
        <f t="shared" si="2"/>
        <v>40</v>
      </c>
      <c r="C29" s="27">
        <f>IFERROR(VLOOKUP(A29,#REF!,9,FALSE),0)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192</v>
      </c>
      <c r="B30" s="50">
        <f t="shared" si="2"/>
        <v>40</v>
      </c>
      <c r="C30" s="24">
        <f>IFERROR(VLOOKUP(A30,#REF!,9,FALSE),0)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211</v>
      </c>
      <c r="B31" s="37">
        <f t="shared" si="2"/>
        <v>40</v>
      </c>
      <c r="C31" s="27">
        <f>IFERROR(VLOOKUP(A31,#REF!,9,FALSE),0)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210</v>
      </c>
      <c r="B32" s="50">
        <f t="shared" si="2"/>
        <v>40</v>
      </c>
      <c r="C32" s="24">
        <f>IFERROR(VLOOKUP(A32,#REF!,9,FALSE),0)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220</v>
      </c>
      <c r="B33" s="37">
        <f t="shared" si="2"/>
        <v>40</v>
      </c>
      <c r="C33" s="27">
        <f>IFERROR(VLOOKUP(A33,#REF!,9,FALSE),0)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221</v>
      </c>
      <c r="B34" s="50">
        <f t="shared" si="2"/>
        <v>40</v>
      </c>
      <c r="C34" s="24">
        <f>IFERROR(VLOOKUP(A34,#REF!,9,FALSE),0)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212</v>
      </c>
      <c r="B35" s="37">
        <f t="shared" si="2"/>
        <v>40</v>
      </c>
      <c r="C35" s="27">
        <f>IFERROR(VLOOKUP(A35,#REF!,9,FALSE),0)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223</v>
      </c>
      <c r="B36" s="50">
        <f t="shared" si="2"/>
        <v>40</v>
      </c>
      <c r="C36" s="24">
        <f>IFERROR(VLOOKUP(A36,#REF!,9,FALSE),0)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222</v>
      </c>
      <c r="B37" s="37">
        <f t="shared" si="2"/>
        <v>40</v>
      </c>
      <c r="C37" s="27">
        <f>IFERROR(VLOOKUP(A37,#REF!,9,FALSE),0)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202</v>
      </c>
      <c r="B38" s="50">
        <f t="shared" si="2"/>
        <v>40</v>
      </c>
      <c r="C38" s="24">
        <f>IFERROR(VLOOKUP(A38,#REF!,9,FALSE),0)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201</v>
      </c>
      <c r="B39" s="37">
        <f t="shared" si="2"/>
        <v>40</v>
      </c>
      <c r="C39" s="27">
        <f>IFERROR(VLOOKUP(A39,#REF!,9,FALSE),0)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204</v>
      </c>
      <c r="B40" s="50">
        <f t="shared" si="2"/>
        <v>40</v>
      </c>
      <c r="C40" s="24">
        <f>IFERROR(VLOOKUP(A40,#REF!,9,FALSE),0)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203</v>
      </c>
      <c r="B41" s="37">
        <f t="shared" si="2"/>
        <v>40</v>
      </c>
      <c r="C41" s="27">
        <f>IFERROR(VLOOKUP(A41,#REF!,9,FALSE),0)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195</v>
      </c>
      <c r="B42" s="50">
        <f t="shared" si="2"/>
        <v>40</v>
      </c>
      <c r="C42" s="24">
        <f>IFERROR(VLOOKUP(A42,#REF!,9,FALSE),0)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194</v>
      </c>
      <c r="B43" s="37">
        <f t="shared" si="2"/>
        <v>40</v>
      </c>
      <c r="C43" s="27">
        <f>IFERROR(VLOOKUP(A43,#REF!,9,FALSE),0)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SUM(C22:C43)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5" t="s">
        <v>178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B5A4-977B-4BDD-93D1-8449C7A29F6B}">
  <sheetPr>
    <tabColor theme="5" tint="0.39997558519241921"/>
    <pageSetUpPr fitToPage="1"/>
  </sheetPr>
  <dimension ref="A1:H50"/>
  <sheetViews>
    <sheetView zoomScale="40" zoomScaleNormal="40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5"/>
      <c r="B1" s="296"/>
      <c r="C1" s="296"/>
      <c r="D1" s="296"/>
      <c r="E1" s="296"/>
      <c r="F1" s="297"/>
    </row>
    <row r="2" spans="1:8" ht="25.9" customHeight="1" thickBot="1" x14ac:dyDescent="0.35">
      <c r="A2" s="60">
        <f ca="1">TODAY()</f>
        <v>46310</v>
      </c>
      <c r="B2" s="254" t="s">
        <v>230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232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50</v>
      </c>
      <c r="C4" s="27">
        <f>IFERROR(VLOOKUP(A4,#REF!,2,FALSE),0)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50</v>
      </c>
      <c r="C5" s="24">
        <f>IFERROR(VLOOKUP(A5,#REF!,2,FALSE),0)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50</v>
      </c>
      <c r="C6" s="27">
        <f>IFERROR(VLOOKUP(A6,#REF!,2,FALSE),0)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50</v>
      </c>
      <c r="C7" s="24">
        <f>IFERROR(VLOOKUP(A7,#REF!,2,FALSE),0)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50</v>
      </c>
      <c r="C8" s="27">
        <f>IFERROR(VLOOKUP(A8,#REF!,2,FALSE),0)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50</v>
      </c>
      <c r="C9" s="24">
        <f>IFERROR(VLOOKUP(A9,#REF!,2,FALSE),0)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50</v>
      </c>
      <c r="C10" s="27">
        <f>IFERROR(VLOOKUP(A10,#REF!,2,FALSE),0)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50</v>
      </c>
      <c r="C11" s="24">
        <f>IFERROR(VLOOKUP(A11,#REF!,2,FALSE),0)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146</v>
      </c>
      <c r="B12" s="37">
        <f t="shared" si="2"/>
        <v>50</v>
      </c>
      <c r="C12" s="27">
        <f>IFERROR(VLOOKUP(A12,#REF!,2,FALSE),0)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50</v>
      </c>
      <c r="C13" s="24">
        <f>IFERROR(VLOOKUP(A13,#REF!,2,FALSE),0)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50</v>
      </c>
      <c r="C14" s="27">
        <f>IFERROR(VLOOKUP(A14,#REF!,2,FALSE),0)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50</v>
      </c>
      <c r="C15" s="24">
        <f>IFERROR(VLOOKUP(A15,#REF!,2,FALSE),0)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50</v>
      </c>
      <c r="C16" s="27">
        <f>IFERROR(VLOOKUP(A16,#REF!,2,FALSE),0)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50</v>
      </c>
      <c r="C17" s="24">
        <f>IFERROR(VLOOKUP(A17,#REF!,2,FALSE),0)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50</v>
      </c>
      <c r="C18" s="27">
        <f>IFERROR(VLOOKUP(A18,#REF!,2,FALSE),0)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8" ht="25.35" customHeight="1" x14ac:dyDescent="0.3">
      <c r="A19" s="49" t="s">
        <v>141</v>
      </c>
      <c r="B19" s="50">
        <f t="shared" si="2"/>
        <v>50</v>
      </c>
      <c r="C19" s="24">
        <f>IFERROR(VLOOKUP(A19,#REF!,2,FALSE),0)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50</v>
      </c>
      <c r="C20" s="27">
        <f>IFERROR(VLOOKUP(A20,#REF!,2,FALSE),0)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71" t="s">
        <v>171</v>
      </c>
      <c r="B22" s="180">
        <f>B4</f>
        <v>50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6"/>
      <c r="D23" s="167"/>
      <c r="E23" s="168"/>
      <c r="F23" s="167"/>
      <c r="G23" s="59"/>
      <c r="H23" s="59"/>
    </row>
    <row r="24" spans="1:8" ht="25.35" customHeight="1" x14ac:dyDescent="0.3">
      <c r="A24" s="174" t="s">
        <v>155</v>
      </c>
      <c r="B24" s="176">
        <f t="shared" si="2"/>
        <v>50</v>
      </c>
      <c r="C24" s="177">
        <f>IFERROR(VLOOKUP(A24,#REF!,2,FALSE),0)</f>
        <v>0</v>
      </c>
      <c r="D24" s="178">
        <f t="shared" ref="D24:D43" si="3">IFERROR(ROUNDDOWN(C24/B24,0),"")</f>
        <v>0</v>
      </c>
      <c r="E24" s="175" t="s">
        <v>11</v>
      </c>
      <c r="F24" s="179">
        <f t="shared" ref="F24:F43" si="4">IFERROR(C24-(D24*B24),"")</f>
        <v>0</v>
      </c>
      <c r="G24" s="165"/>
      <c r="H24" s="165"/>
    </row>
    <row r="25" spans="1:8" ht="26.25" x14ac:dyDescent="0.3">
      <c r="A25" s="47" t="s">
        <v>156</v>
      </c>
      <c r="B25" s="37">
        <f t="shared" si="2"/>
        <v>50</v>
      </c>
      <c r="C25" s="27">
        <f>IFERROR(VLOOKUP(A25,#REF!,2,FALSE),0)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50</v>
      </c>
      <c r="C26" s="24">
        <f>IFERROR(VLOOKUP(A26,#REF!,2,FALSE),0)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50</v>
      </c>
      <c r="C27" s="27">
        <f>IFERROR(VLOOKUP(A27,#REF!,2,FALSE),0)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50</v>
      </c>
      <c r="C28" s="24">
        <f>IFERROR(VLOOKUP(A28,#REF!,2,FALSE),0)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50</v>
      </c>
      <c r="C29" s="27">
        <f>IFERROR(VLOOKUP(A29,#REF!,2,FALSE),0)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8" ht="25.35" customHeight="1" x14ac:dyDescent="0.3">
      <c r="A30" s="49" t="s">
        <v>154</v>
      </c>
      <c r="B30" s="50">
        <f t="shared" si="2"/>
        <v>50</v>
      </c>
      <c r="C30" s="24">
        <f>IFERROR(VLOOKUP(A30,#REF!,2,FALSE),0)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50</v>
      </c>
      <c r="C31" s="27">
        <f>IFERROR(VLOOKUP(A31,#REF!,2,FALSE),0)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50</v>
      </c>
      <c r="C32" s="24">
        <f>IFERROR(VLOOKUP(A32,#REF!,2,FALSE),0)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50</v>
      </c>
      <c r="C33" s="27">
        <f>IFERROR(VLOOKUP(A33,#REF!,2,FALSE),0)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50</v>
      </c>
      <c r="C34" s="24">
        <f>IFERROR(VLOOKUP(A34,#REF!,2,FALSE),0)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50</v>
      </c>
      <c r="C35" s="27">
        <f>IFERROR(VLOOKUP(A35,#REF!,2,FALSE),0)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50</v>
      </c>
      <c r="C36" s="24">
        <f>IFERROR(VLOOKUP(A36,#REF!,2,FALSE),0)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50</v>
      </c>
      <c r="C37" s="27">
        <f>IFERROR(VLOOKUP(A37,#REF!,2,FALSE),0)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50</v>
      </c>
      <c r="C38" s="24">
        <f>IFERROR(VLOOKUP(A38,#REF!,2,FALSE),0)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224</v>
      </c>
      <c r="B39" s="37">
        <f t="shared" si="2"/>
        <v>50</v>
      </c>
      <c r="C39" s="27">
        <f>IFERROR(VLOOKUP(A39,#REF!,2,FALSE),0)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50</v>
      </c>
      <c r="C40" s="24">
        <f>IFERROR(VLOOKUP(A40,#REF!,2,FALSE),0)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50</v>
      </c>
      <c r="C41" s="27">
        <f>IFERROR(VLOOKUP(A41,#REF!,2,FALSE),0)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50</v>
      </c>
      <c r="C42" s="24">
        <f>IFERROR(VLOOKUP(A42,#REF!,2,FALSE),0)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50</v>
      </c>
      <c r="C43" s="27">
        <f>IFERROR(VLOOKUP(A43,#REF!,2,FALSE),0)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50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50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6" t="s">
        <v>178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E2E-DA73-4C34-BF1C-50EDC9B59E6F}">
  <sheetPr>
    <tabColor theme="5" tint="0.39997558519241921"/>
    <pageSetUpPr fitToPage="1"/>
  </sheetPr>
  <dimension ref="A1:H50"/>
  <sheetViews>
    <sheetView zoomScale="40" zoomScaleNormal="40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5"/>
      <c r="B1" s="296"/>
      <c r="C1" s="296"/>
      <c r="D1" s="296"/>
      <c r="E1" s="296"/>
      <c r="F1" s="297"/>
    </row>
    <row r="2" spans="1:8" ht="25.9" customHeight="1" thickBot="1" x14ac:dyDescent="0.35">
      <c r="A2" s="60">
        <f ca="1">TODAY()</f>
        <v>46310</v>
      </c>
      <c r="B2" s="254" t="s">
        <v>230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233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50</v>
      </c>
      <c r="C4" s="27">
        <f>IFERROR(VLOOKUP(A4,#REF!,3,FALSE),0)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50</v>
      </c>
      <c r="C5" s="24">
        <f>IFERROR(VLOOKUP(A5,#REF!,3,FALSE),0)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50</v>
      </c>
      <c r="C6" s="27">
        <f>IFERROR(VLOOKUP(A6,#REF!,3,FALSE),0)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50</v>
      </c>
      <c r="C7" s="24">
        <f>IFERROR(VLOOKUP(A7,#REF!,3,FALSE),0)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50</v>
      </c>
      <c r="C8" s="27">
        <f>IFERROR(VLOOKUP(A8,#REF!,3,FALSE),0)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50</v>
      </c>
      <c r="C9" s="24">
        <f>IFERROR(VLOOKUP(A9,#REF!,3,FALSE),0)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50</v>
      </c>
      <c r="C10" s="27">
        <f>IFERROR(VLOOKUP(A10,#REF!,3,FALSE),0)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50</v>
      </c>
      <c r="C11" s="24">
        <f>IFERROR(VLOOKUP(A11,#REF!,3,FALSE),0)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146</v>
      </c>
      <c r="B12" s="37">
        <f t="shared" si="2"/>
        <v>50</v>
      </c>
      <c r="C12" s="27">
        <f>IFERROR(VLOOKUP(A12,#REF!,3,FALSE),0)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50</v>
      </c>
      <c r="C13" s="24">
        <f>IFERROR(VLOOKUP(A13,#REF!,3,FALSE),0)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50</v>
      </c>
      <c r="C14" s="27">
        <f>IFERROR(VLOOKUP(A14,#REF!,3,FALSE),0)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50</v>
      </c>
      <c r="C15" s="24">
        <f>IFERROR(VLOOKUP(A15,#REF!,3,FALSE),0)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50</v>
      </c>
      <c r="C16" s="27">
        <f>IFERROR(VLOOKUP(A16,#REF!,3,FALSE),0)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50</v>
      </c>
      <c r="C17" s="24">
        <f>IFERROR(VLOOKUP(A17,#REF!,3,FALSE),0)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50</v>
      </c>
      <c r="C18" s="27">
        <f>IFERROR(VLOOKUP(A18,#REF!,3,FALSE),0)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8" ht="25.35" customHeight="1" x14ac:dyDescent="0.3">
      <c r="A19" s="49" t="s">
        <v>141</v>
      </c>
      <c r="B19" s="50">
        <f t="shared" si="2"/>
        <v>50</v>
      </c>
      <c r="C19" s="24">
        <f>IFERROR(VLOOKUP(A19,#REF!,3,FALSE),0)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50</v>
      </c>
      <c r="C20" s="27">
        <f>IFERROR(VLOOKUP(A20,#REF!,3,FALSE),0)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71" t="s">
        <v>171</v>
      </c>
      <c r="B22" s="180">
        <f>B4</f>
        <v>50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6"/>
      <c r="D23" s="167"/>
      <c r="E23" s="168"/>
      <c r="F23" s="167"/>
      <c r="G23" s="59"/>
      <c r="H23" s="59"/>
    </row>
    <row r="24" spans="1:8" ht="25.35" customHeight="1" x14ac:dyDescent="0.3">
      <c r="A24" s="174" t="s">
        <v>155</v>
      </c>
      <c r="B24" s="176">
        <f t="shared" si="2"/>
        <v>50</v>
      </c>
      <c r="C24" s="177">
        <f>IFERROR(VLOOKUP(A24,#REF!,3,FALSE),0)</f>
        <v>0</v>
      </c>
      <c r="D24" s="178">
        <f t="shared" ref="D24:D43" si="3">IFERROR(ROUNDDOWN(C24/B24,0),"")</f>
        <v>0</v>
      </c>
      <c r="E24" s="175" t="s">
        <v>11</v>
      </c>
      <c r="F24" s="179">
        <f t="shared" ref="F24:F43" si="4">IFERROR(C24-(D24*B24),"")</f>
        <v>0</v>
      </c>
      <c r="G24" s="165"/>
      <c r="H24" s="165"/>
    </row>
    <row r="25" spans="1:8" ht="26.25" x14ac:dyDescent="0.3">
      <c r="A25" s="47" t="s">
        <v>156</v>
      </c>
      <c r="B25" s="37">
        <f t="shared" si="2"/>
        <v>50</v>
      </c>
      <c r="C25" s="27">
        <f>IFERROR(VLOOKUP(A25,#REF!,3,FALSE),0)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50</v>
      </c>
      <c r="C26" s="24">
        <f>IFERROR(VLOOKUP(A26,#REF!,3,FALSE),0)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50</v>
      </c>
      <c r="C27" s="27">
        <f>IFERROR(VLOOKUP(A27,#REF!,3,FALSE),0)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50</v>
      </c>
      <c r="C28" s="24">
        <f>IFERROR(VLOOKUP(A28,#REF!,3,FALSE),0)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50</v>
      </c>
      <c r="C29" s="27">
        <f>IFERROR(VLOOKUP(A29,#REF!,3,FALSE),0)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8" ht="25.35" customHeight="1" x14ac:dyDescent="0.3">
      <c r="A30" s="49" t="s">
        <v>154</v>
      </c>
      <c r="B30" s="50">
        <f t="shared" si="2"/>
        <v>50</v>
      </c>
      <c r="C30" s="24">
        <f>IFERROR(VLOOKUP(A30,#REF!,3,FALSE),0)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50</v>
      </c>
      <c r="C31" s="27">
        <f>IFERROR(VLOOKUP(A31,#REF!,3,FALSE),0)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50</v>
      </c>
      <c r="C32" s="24">
        <f>IFERROR(VLOOKUP(A32,#REF!,3,FALSE),0)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50</v>
      </c>
      <c r="C33" s="27">
        <f>IFERROR(VLOOKUP(A33,#REF!,3,FALSE),0)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50</v>
      </c>
      <c r="C34" s="24">
        <f>IFERROR(VLOOKUP(A34,#REF!,3,FALSE),0)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50</v>
      </c>
      <c r="C35" s="27">
        <f>IFERROR(VLOOKUP(A35,#REF!,3,FALSE),0)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50</v>
      </c>
      <c r="C36" s="24">
        <f>IFERROR(VLOOKUP(A36,#REF!,3,FALSE),0)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50</v>
      </c>
      <c r="C37" s="27">
        <f>IFERROR(VLOOKUP(A37,#REF!,3,FALSE),0)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50</v>
      </c>
      <c r="C38" s="24">
        <f>IFERROR(VLOOKUP(A38,#REF!,3,FALSE),0)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224</v>
      </c>
      <c r="B39" s="37">
        <f t="shared" si="2"/>
        <v>50</v>
      </c>
      <c r="C39" s="27">
        <f>IFERROR(VLOOKUP(A39,#REF!,3,FALSE),0)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50</v>
      </c>
      <c r="C40" s="24">
        <f>IFERROR(VLOOKUP(A40,#REF!,3,FALSE),0)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50</v>
      </c>
      <c r="C41" s="27">
        <f>IFERROR(VLOOKUP(A41,#REF!,3,FALSE),0)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50</v>
      </c>
      <c r="C42" s="24">
        <f>IFERROR(VLOOKUP(A42,#REF!,3,FALSE),0)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50</v>
      </c>
      <c r="C43" s="27">
        <f>IFERROR(VLOOKUP(A43,#REF!,3,FALSE),0)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50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50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6" t="s">
        <v>178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F53D-2EA9-4265-9627-3842D1121900}">
  <sheetPr>
    <tabColor theme="5" tint="0.39997558519241921"/>
    <pageSetUpPr fitToPage="1"/>
  </sheetPr>
  <dimension ref="A1:H50"/>
  <sheetViews>
    <sheetView topLeftCell="A15" zoomScale="55" zoomScaleNormal="55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5"/>
      <c r="B1" s="296"/>
      <c r="C1" s="296"/>
      <c r="D1" s="296"/>
      <c r="E1" s="296"/>
      <c r="F1" s="297"/>
    </row>
    <row r="2" spans="1:8" ht="25.9" customHeight="1" thickBot="1" x14ac:dyDescent="0.35">
      <c r="A2" s="60">
        <f ca="1">TODAY()</f>
        <v>46310</v>
      </c>
      <c r="B2" s="254" t="s">
        <v>230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234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50</v>
      </c>
      <c r="C4" s="27">
        <f>IFERROR(VLOOKUP(A4,#REF!,4,FALSE),0)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50</v>
      </c>
      <c r="C5" s="24">
        <f>IFERROR(VLOOKUP(A5,#REF!,4,FALSE),0)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50</v>
      </c>
      <c r="C6" s="27">
        <f>IFERROR(VLOOKUP(A6,#REF!,4,FALSE),0)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50</v>
      </c>
      <c r="C7" s="24">
        <f>IFERROR(VLOOKUP(A7,#REF!,4,FALSE),0)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50</v>
      </c>
      <c r="C8" s="27">
        <f>IFERROR(VLOOKUP(A8,#REF!,4,FALSE),0)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50</v>
      </c>
      <c r="C9" s="24">
        <f>IFERROR(VLOOKUP(A9,#REF!,4,FALSE),0)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50</v>
      </c>
      <c r="C10" s="27">
        <f>IFERROR(VLOOKUP(A10,#REF!,4,FALSE),0)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50</v>
      </c>
      <c r="C11" s="24">
        <f>IFERROR(VLOOKUP(A11,#REF!,4,FALSE),0)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146</v>
      </c>
      <c r="B12" s="37">
        <f t="shared" si="2"/>
        <v>50</v>
      </c>
      <c r="C12" s="27">
        <f>IFERROR(VLOOKUP(A12,#REF!,4,FALSE),0)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50</v>
      </c>
      <c r="C13" s="24">
        <f>IFERROR(VLOOKUP(A13,#REF!,4,FALSE),0)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50</v>
      </c>
      <c r="C14" s="27">
        <f>IFERROR(VLOOKUP(A14,#REF!,4,FALSE),0)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50</v>
      </c>
      <c r="C15" s="24">
        <f>IFERROR(VLOOKUP(A15,#REF!,4,FALSE),0)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50</v>
      </c>
      <c r="C16" s="27">
        <f>IFERROR(VLOOKUP(A16,#REF!,4,FALSE),0)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50</v>
      </c>
      <c r="C17" s="24">
        <f>IFERROR(VLOOKUP(A17,#REF!,4,FALSE),0)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50</v>
      </c>
      <c r="C18" s="27">
        <f>IFERROR(VLOOKUP(A18,#REF!,4,FALSE),0)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8" ht="25.35" customHeight="1" x14ac:dyDescent="0.3">
      <c r="A19" s="49" t="s">
        <v>141</v>
      </c>
      <c r="B19" s="50">
        <f t="shared" si="2"/>
        <v>50</v>
      </c>
      <c r="C19" s="24">
        <f>IFERROR(VLOOKUP(A19,#REF!,4,FALSE),0)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50</v>
      </c>
      <c r="C20" s="27">
        <f>IFERROR(VLOOKUP(A20,#REF!,4,FALSE),0)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71" t="s">
        <v>171</v>
      </c>
      <c r="B22" s="180">
        <f>B4</f>
        <v>50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6"/>
      <c r="D23" s="167"/>
      <c r="E23" s="168"/>
      <c r="F23" s="167"/>
      <c r="G23" s="59"/>
      <c r="H23" s="59"/>
    </row>
    <row r="24" spans="1:8" ht="25.35" customHeight="1" x14ac:dyDescent="0.3">
      <c r="A24" s="174" t="s">
        <v>155</v>
      </c>
      <c r="B24" s="176">
        <f t="shared" si="2"/>
        <v>50</v>
      </c>
      <c r="C24" s="177">
        <f>IFERROR(VLOOKUP(A24,#REF!,4,FALSE),0)</f>
        <v>0</v>
      </c>
      <c r="D24" s="178">
        <f t="shared" ref="D24:D43" si="3">IFERROR(ROUNDDOWN(C24/B24,0),"")</f>
        <v>0</v>
      </c>
      <c r="E24" s="175" t="s">
        <v>11</v>
      </c>
      <c r="F24" s="179">
        <f t="shared" ref="F24:F43" si="4">IFERROR(C24-(D24*B24),"")</f>
        <v>0</v>
      </c>
      <c r="G24" s="165"/>
      <c r="H24" s="165"/>
    </row>
    <row r="25" spans="1:8" ht="26.25" x14ac:dyDescent="0.3">
      <c r="A25" s="47" t="s">
        <v>156</v>
      </c>
      <c r="B25" s="37">
        <f t="shared" si="2"/>
        <v>50</v>
      </c>
      <c r="C25" s="27">
        <f>IFERROR(VLOOKUP(A25,#REF!,4,FALSE),0)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50</v>
      </c>
      <c r="C26" s="24">
        <f>IFERROR(VLOOKUP(A26,#REF!,4,FALSE),0)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50</v>
      </c>
      <c r="C27" s="27">
        <f>IFERROR(VLOOKUP(A27,#REF!,4,FALSE),0)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50</v>
      </c>
      <c r="C28" s="24">
        <f>IFERROR(VLOOKUP(A28,#REF!,4,FALSE),0)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50</v>
      </c>
      <c r="C29" s="27">
        <f>IFERROR(VLOOKUP(A29,#REF!,4,FALSE),0)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8" ht="25.35" customHeight="1" x14ac:dyDescent="0.3">
      <c r="A30" s="49" t="s">
        <v>154</v>
      </c>
      <c r="B30" s="50">
        <f t="shared" si="2"/>
        <v>50</v>
      </c>
      <c r="C30" s="24">
        <f>IFERROR(VLOOKUP(A30,#REF!,4,FALSE),0)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50</v>
      </c>
      <c r="C31" s="27">
        <f>IFERROR(VLOOKUP(A31,#REF!,4,FALSE),0)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50</v>
      </c>
      <c r="C32" s="24">
        <f>IFERROR(VLOOKUP(A32,#REF!,4,FALSE),0)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50</v>
      </c>
      <c r="C33" s="27">
        <f>IFERROR(VLOOKUP(A33,#REF!,4,FALSE),0)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50</v>
      </c>
      <c r="C34" s="24">
        <f>IFERROR(VLOOKUP(A34,#REF!,4,FALSE),0)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50</v>
      </c>
      <c r="C35" s="27">
        <f>IFERROR(VLOOKUP(A35,#REF!,4,FALSE),0)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50</v>
      </c>
      <c r="C36" s="24">
        <f>IFERROR(VLOOKUP(A36,#REF!,4,FALSE),0)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50</v>
      </c>
      <c r="C37" s="27">
        <f>IFERROR(VLOOKUP(A37,#REF!,4,FALSE),0)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50</v>
      </c>
      <c r="C38" s="24">
        <f>IFERROR(VLOOKUP(A38,#REF!,4,FALSE),0)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224</v>
      </c>
      <c r="B39" s="37">
        <f t="shared" si="2"/>
        <v>50</v>
      </c>
      <c r="C39" s="27">
        <f>IFERROR(VLOOKUP(A39,#REF!,4,FALSE),0)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50</v>
      </c>
      <c r="C40" s="24">
        <f>IFERROR(VLOOKUP(A40,#REF!,4,FALSE),0)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50</v>
      </c>
      <c r="C41" s="27">
        <f>IFERROR(VLOOKUP(A41,#REF!,4,FALSE),0)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50</v>
      </c>
      <c r="C42" s="24">
        <f>IFERROR(VLOOKUP(A42,#REF!,4,FALSE),0)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50</v>
      </c>
      <c r="C43" s="27">
        <f>IFERROR(VLOOKUP(A43,#REF!,4,FALSE),0)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50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50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6" t="s">
        <v>178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FD99-E1D5-431B-9348-C41163B475B4}">
  <sheetPr>
    <tabColor theme="5" tint="0.39997558519241921"/>
    <pageSetUpPr fitToPage="1"/>
  </sheetPr>
  <dimension ref="A1:H50"/>
  <sheetViews>
    <sheetView zoomScale="40" zoomScaleNormal="40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95"/>
      <c r="B1" s="296"/>
      <c r="C1" s="296"/>
      <c r="D1" s="296"/>
      <c r="E1" s="296"/>
      <c r="F1" s="297"/>
    </row>
    <row r="2" spans="1:8" ht="25.9" customHeight="1" thickBot="1" x14ac:dyDescent="0.35">
      <c r="A2" s="60">
        <f ca="1">TODAY()</f>
        <v>46310</v>
      </c>
      <c r="B2" s="254" t="s">
        <v>230</v>
      </c>
      <c r="C2" s="254"/>
      <c r="D2" s="254"/>
      <c r="E2" s="254"/>
      <c r="F2" s="278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231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40</v>
      </c>
      <c r="C4" s="27">
        <f>IFERROR(VLOOKUP(A4,#REF!,5,FALSE),0)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40</v>
      </c>
      <c r="C5" s="24">
        <f>IFERROR(VLOOKUP(A5,#REF!,5,FALSE),0)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40</v>
      </c>
      <c r="C6" s="27">
        <f>IFERROR(VLOOKUP(A6,#REF!,5,FALSE),0)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40</v>
      </c>
      <c r="C7" s="24">
        <f>IFERROR(VLOOKUP(A7,#REF!,5,FALSE),0)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40</v>
      </c>
      <c r="C8" s="27">
        <f>IFERROR(VLOOKUP(A8,#REF!,5,FALSE),0)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40</v>
      </c>
      <c r="C9" s="24">
        <f>IFERROR(VLOOKUP(A9,#REF!,5,FALSE),0)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40</v>
      </c>
      <c r="C10" s="27">
        <f>IFERROR(VLOOKUP(A10,#REF!,5,FALSE),0)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40</v>
      </c>
      <c r="C11" s="24">
        <f>IFERROR(VLOOKUP(A11,#REF!,5,FALSE),0)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5"/>
      <c r="H11" s="165"/>
    </row>
    <row r="12" spans="1:8" ht="25.35" customHeight="1" x14ac:dyDescent="0.3">
      <c r="A12" s="47" t="s">
        <v>146</v>
      </c>
      <c r="B12" s="37">
        <f t="shared" si="2"/>
        <v>40</v>
      </c>
      <c r="C12" s="27">
        <f>IFERROR(VLOOKUP(A12,#REF!,5,FALSE),0)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40</v>
      </c>
      <c r="C13" s="24">
        <f>IFERROR(VLOOKUP(A13,#REF!,5,FALSE),0)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40</v>
      </c>
      <c r="C14" s="27">
        <f>IFERROR(VLOOKUP(A14,#REF!,5,FALSE),0)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40</v>
      </c>
      <c r="C15" s="24">
        <f>IFERROR(VLOOKUP(A15,#REF!,5,FALSE),0)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40</v>
      </c>
      <c r="C16" s="27">
        <f>IFERROR(VLOOKUP(A16,#REF!,5,FALSE),0)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40</v>
      </c>
      <c r="C17" s="24">
        <f>IFERROR(VLOOKUP(A17,#REF!,5,FALSE),0)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40</v>
      </c>
      <c r="C18" s="27">
        <f>IFERROR(VLOOKUP(A18,#REF!,5,FALSE),0)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5"/>
      <c r="H18" s="165"/>
    </row>
    <row r="19" spans="1:8" ht="25.35" customHeight="1" x14ac:dyDescent="0.3">
      <c r="A19" s="49" t="s">
        <v>141</v>
      </c>
      <c r="B19" s="50">
        <f t="shared" si="2"/>
        <v>40</v>
      </c>
      <c r="C19" s="24">
        <f>IFERROR(VLOOKUP(A19,#REF!,5,FALSE),0)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40</v>
      </c>
      <c r="C20" s="27">
        <f>IFERROR(VLOOKUP(A20,#REF!,5,FALSE),0)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71" t="s">
        <v>171</v>
      </c>
      <c r="B22" s="180">
        <f>B4</f>
        <v>40</v>
      </c>
      <c r="C22" s="181">
        <f>SUM(C4:C21)</f>
        <v>0</v>
      </c>
      <c r="D22" s="96">
        <f>IFERROR(ROUNDDOWN(C22/B22,0),"")</f>
        <v>0</v>
      </c>
      <c r="E22" s="159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6"/>
      <c r="D23" s="167"/>
      <c r="E23" s="168"/>
      <c r="F23" s="167"/>
      <c r="G23" s="59"/>
      <c r="H23" s="59"/>
    </row>
    <row r="24" spans="1:8" ht="25.35" customHeight="1" x14ac:dyDescent="0.3">
      <c r="A24" s="174" t="s">
        <v>155</v>
      </c>
      <c r="B24" s="176">
        <f t="shared" si="2"/>
        <v>40</v>
      </c>
      <c r="C24" s="177">
        <f>IFERROR(VLOOKUP(A24,#REF!,5,FALSE),0)</f>
        <v>0</v>
      </c>
      <c r="D24" s="178">
        <f t="shared" ref="D24:D43" si="3">IFERROR(ROUNDDOWN(C24/B24,0),"")</f>
        <v>0</v>
      </c>
      <c r="E24" s="175" t="s">
        <v>11</v>
      </c>
      <c r="F24" s="179">
        <f t="shared" ref="F24:F43" si="4">IFERROR(C24-(D24*B24),"")</f>
        <v>0</v>
      </c>
      <c r="G24" s="165"/>
      <c r="H24" s="165"/>
    </row>
    <row r="25" spans="1:8" ht="26.25" x14ac:dyDescent="0.3">
      <c r="A25" s="47" t="s">
        <v>156</v>
      </c>
      <c r="B25" s="37">
        <f t="shared" si="2"/>
        <v>40</v>
      </c>
      <c r="C25" s="27">
        <f>IFERROR(VLOOKUP(A25,#REF!,5,FALSE),0)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40</v>
      </c>
      <c r="C26" s="24">
        <f>IFERROR(VLOOKUP(A26,#REF!,5,FALSE),0)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40</v>
      </c>
      <c r="C27" s="27">
        <f>IFERROR(VLOOKUP(A27,#REF!,5,FALSE),0)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40</v>
      </c>
      <c r="C28" s="24">
        <f>IFERROR(VLOOKUP(A28,#REF!,5,FALSE),0)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40</v>
      </c>
      <c r="C29" s="27">
        <f>IFERROR(VLOOKUP(A29,#REF!,5,FALSE),0)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5"/>
      <c r="H29" s="165"/>
    </row>
    <row r="30" spans="1:8" ht="25.35" customHeight="1" x14ac:dyDescent="0.3">
      <c r="A30" s="49" t="s">
        <v>154</v>
      </c>
      <c r="B30" s="50">
        <f t="shared" si="2"/>
        <v>40</v>
      </c>
      <c r="C30" s="24">
        <f>IFERROR(VLOOKUP(A30,#REF!,5,FALSE),0)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40</v>
      </c>
      <c r="C31" s="27">
        <f>IFERROR(VLOOKUP(A31,#REF!,5,FALSE),0)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40</v>
      </c>
      <c r="C32" s="24">
        <f>IFERROR(VLOOKUP(A32,#REF!,5,FALSE),0)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40</v>
      </c>
      <c r="C33" s="27">
        <f>IFERROR(VLOOKUP(A33,#REF!,5,FALSE),0)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40</v>
      </c>
      <c r="C34" s="24">
        <f>IFERROR(VLOOKUP(A34,#REF!,5,FALSE),0)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40</v>
      </c>
      <c r="C35" s="27">
        <f>IFERROR(VLOOKUP(A35,#REF!,5,FALSE),0)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40</v>
      </c>
      <c r="C36" s="24">
        <f>IFERROR(VLOOKUP(A36,#REF!,5,FALSE),0)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40</v>
      </c>
      <c r="C37" s="27">
        <f>IFERROR(VLOOKUP(A37,#REF!,5,FALSE),0)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40</v>
      </c>
      <c r="C38" s="24">
        <f>IFERROR(VLOOKUP(A38,#REF!,5,FALSE),0)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224</v>
      </c>
      <c r="B39" s="37">
        <f t="shared" si="2"/>
        <v>40</v>
      </c>
      <c r="C39" s="27">
        <f>IFERROR(VLOOKUP(A39,#REF!,5,FALSE),0)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40</v>
      </c>
      <c r="C40" s="24">
        <f>IFERROR(VLOOKUP(A40,#REF!,5,FALSE),0)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40</v>
      </c>
      <c r="C41" s="27">
        <f>IFERROR(VLOOKUP(A41,#REF!,5,FALSE),0)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40</v>
      </c>
      <c r="C42" s="24">
        <f>IFERROR(VLOOKUP(A42,#REF!,5,FALSE),0)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40</v>
      </c>
      <c r="C43" s="27">
        <f>IFERROR(VLOOKUP(A43,#REF!,5,FALSE),0)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63"/>
      <c r="B44" s="264"/>
      <c r="C44" s="264"/>
      <c r="D44" s="264"/>
      <c r="E44" s="264"/>
      <c r="F44" s="265"/>
    </row>
    <row r="45" spans="1:8" ht="34.15" customHeight="1" thickBot="1" x14ac:dyDescent="0.35">
      <c r="A45" s="173" t="s">
        <v>172</v>
      </c>
      <c r="B45" s="180">
        <f>B4</f>
        <v>40</v>
      </c>
      <c r="C45" s="182">
        <f>SUM(C24:C43)</f>
        <v>0</v>
      </c>
      <c r="D45" s="96">
        <f>IFERROR(ROUNDDOWN(C45/B45,0),"")</f>
        <v>0</v>
      </c>
      <c r="E45" s="180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94"/>
      <c r="B49" s="294"/>
      <c r="C49" s="294"/>
      <c r="D49" s="294"/>
      <c r="E49" s="294"/>
      <c r="F49" s="294"/>
      <c r="G49" s="196" t="s">
        <v>178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72</vt:i4>
      </vt:variant>
      <vt:variant>
        <vt:lpstr>이름 지정된 범위</vt:lpstr>
      </vt:variant>
      <vt:variant>
        <vt:i4>71</vt:i4>
      </vt:variant>
    </vt:vector>
  </HeadingPairs>
  <TitlesOfParts>
    <vt:vector size="143" baseType="lpstr">
      <vt:lpstr>검수장</vt:lpstr>
      <vt:lpstr>신라명과피벗</vt:lpstr>
      <vt:lpstr>리얼)모닝롤</vt:lpstr>
      <vt:lpstr>★은성(주문일-당일)</vt:lpstr>
      <vt:lpstr>APP예약)닭가슴살샐러드</vt:lpstr>
      <vt:lpstr>APP예약)밸런스푼꽃맛살듬뿍샐러드</vt:lpstr>
      <vt:lpstr>APP예약)밸런스푼에그듬뿍샐러드</vt:lpstr>
      <vt:lpstr>APP예약)밸런스푼훈제오리듬뿍샐러드</vt:lpstr>
      <vt:lpstr>APP예약)치킨텐더샐러드</vt:lpstr>
      <vt:lpstr>밸런스푼)꽃맛살듬뿍샐러드 235g</vt:lpstr>
      <vt:lpstr>밸런스푼)새우듬뿍샐러드 185g</vt:lpstr>
      <vt:lpstr>밸런스푼)에그듬뿍샐러드 230g</vt:lpstr>
      <vt:lpstr>밸런스푼)훈제오리듬뿍샐러드 225g</vt:lpstr>
      <vt:lpstr>은성)닭가슴살샐러드 155g</vt:lpstr>
      <vt:lpstr>은성)치킨텐더샐러드 150g</vt:lpstr>
      <vt:lpstr>★삼진 (입고일+2)</vt:lpstr>
      <vt:lpstr>삼진)1953어묵순살바80g(매운맛)</vt:lpstr>
      <vt:lpstr>삼진)1953어묵순살바80g(야채맛)</vt:lpstr>
      <vt:lpstr>삼진)1953어묵순살바80g(오징어맛)</vt:lpstr>
      <vt:lpstr>★아워홈  (입고일+2일)</vt:lpstr>
      <vt:lpstr>아워홈)매콤오돌뼈160g</vt:lpstr>
      <vt:lpstr>★조인앤조인 (발주일_당일)</vt:lpstr>
      <vt:lpstr>널담)고단백저당포카치아(올리브치즈)85g</vt:lpstr>
      <vt:lpstr>널담)고단백저당포카치아(치폴레마요)85g</vt:lpstr>
      <vt:lpstr>널담)고단백황치즈크럼블쿠키75g</vt:lpstr>
      <vt:lpstr>널담)두바이초코크럼블쿠키75g</vt:lpstr>
      <vt:lpstr>널담)초코볼크럼블쿠키75g</vt:lpstr>
      <vt:lpstr>★스윗밸런스 (입고일_익일)</vt:lpstr>
      <vt:lpstr>APP예약)닭가슴살시저샐러드</vt:lpstr>
      <vt:lpstr>APP예약)케이준치킨너겟샐러드165g</vt:lpstr>
      <vt:lpstr>스윗)닭가슴살시저샐러드240g</vt:lpstr>
      <vt:lpstr>스윗)케이준치킨너겟샐러드165g</vt:lpstr>
      <vt:lpstr>★효성피벗(주문일-당일). </vt:lpstr>
      <vt:lpstr>PB)더블매콤야채땡초바160g</vt:lpstr>
      <vt:lpstr>★맛요일피벗(주문일-당일)</vt:lpstr>
      <vt:lpstr>후덕죽)해물누룽지탕372g</vt:lpstr>
      <vt:lpstr>★대광푸드(보승) 피벗(입고일+2)</vt:lpstr>
      <vt:lpstr>대광)매콤순대곱창볶음200g</vt:lpstr>
      <vt:lpstr>★화산농협) 피벗(입고일+2)</vt:lpstr>
      <vt:lpstr>즉석)군고구마(호풍미)</vt:lpstr>
      <vt:lpstr>★탭스 피벗</vt:lpstr>
      <vt:lpstr>사선마끼&amp;유부초밥세트</vt:lpstr>
      <vt:lpstr>바삭마끼 참치와사비</vt:lpstr>
      <vt:lpstr>바삭마끼 크랩어니언</vt:lpstr>
      <vt:lpstr>바삭마끼 통소시지</vt:lpstr>
      <vt:lpstr>올뉴유부초밥4입</vt:lpstr>
      <vt:lpstr>★열매나무 피벗</vt:lpstr>
      <vt:lpstr>열매나무_못난이농산물(사과) ea</vt:lpstr>
      <vt:lpstr>2300원굿딜)매콤불고기1</vt:lpstr>
      <vt:lpstr>2300원굿딜)매콤불고기2</vt:lpstr>
      <vt:lpstr>2300원굿딜)불갈비버거1</vt:lpstr>
      <vt:lpstr>2300원굿딜)불갈비버거2</vt:lpstr>
      <vt:lpstr>NEW직화석쇠불고기버거1편</vt:lpstr>
      <vt:lpstr>NEW직화석쇠불고기버거2편</vt:lpstr>
      <vt:lpstr>매콤직화석쇠불고기버거1편</vt:lpstr>
      <vt:lpstr>매콤직화석쇠불고기버거2편</vt:lpstr>
      <vt:lpstr>치즈왕돈까스버거1편</vt:lpstr>
      <vt:lpstr>치즈왕돈까스버거2편</vt:lpstr>
      <vt:lpstr>황치즈직화석쇠불고기버거1편</vt:lpstr>
      <vt:lpstr>황치즈직화석쇠불고기버거2편</vt:lpstr>
      <vt:lpstr>예)그릭샐러드</vt:lpstr>
      <vt:lpstr>예)닭가슴살샐러드</vt:lpstr>
      <vt:lpstr>예)들기름막국수샐러드</vt:lpstr>
      <vt:lpstr>예)모짜렐라샐러드</vt:lpstr>
      <vt:lpstr>예)새우샐러드</vt:lpstr>
      <vt:lpstr>예)연어샐러드</vt:lpstr>
      <vt:lpstr>예)직화불고기샐러드)</vt:lpstr>
      <vt:lpstr>예)칠리치킨샐러드</vt:lpstr>
      <vt:lpstr>예약)26년순살갈비탕</vt:lpstr>
      <vt:lpstr>예약)26년스지도가니탕</vt:lpstr>
      <vt:lpstr>예약)26년전통추어탕</vt:lpstr>
      <vt:lpstr>예약)26년한마리민물장어덮밥</vt:lpstr>
      <vt:lpstr>'★대광푸드(보승) 피벗(입고일+2)'!Print_Area</vt:lpstr>
      <vt:lpstr>'★맛요일피벗(주문일-당일)'!Print_Area</vt:lpstr>
      <vt:lpstr>'★삼진 (입고일+2)'!Print_Area</vt:lpstr>
      <vt:lpstr>'★스윗밸런스 (입고일_익일)'!Print_Area</vt:lpstr>
      <vt:lpstr>'★아워홈  (입고일+2일)'!Print_Area</vt:lpstr>
      <vt:lpstr>'★열매나무 피벗'!Print_Area</vt:lpstr>
      <vt:lpstr>'★은성(주문일-당일)'!Print_Area</vt:lpstr>
      <vt:lpstr>'★조인앤조인 (발주일_당일)'!Print_Area</vt:lpstr>
      <vt:lpstr>'★탭스 피벗'!Print_Area</vt:lpstr>
      <vt:lpstr>'★화산농협) 피벗(입고일+2)'!Print_Area</vt:lpstr>
      <vt:lpstr>'★효성피벗(주문일-당일). '!Print_Area</vt:lpstr>
      <vt:lpstr>'2300원굿딜)매콤불고기1'!Print_Area</vt:lpstr>
      <vt:lpstr>'2300원굿딜)매콤불고기2'!Print_Area</vt:lpstr>
      <vt:lpstr>'2300원굿딜)불갈비버거1'!Print_Area</vt:lpstr>
      <vt:lpstr>'2300원굿딜)불갈비버거2'!Print_Area</vt:lpstr>
      <vt:lpstr>'APP예약)닭가슴살샐러드'!Print_Area</vt:lpstr>
      <vt:lpstr>'APP예약)닭가슴살시저샐러드'!Print_Area</vt:lpstr>
      <vt:lpstr>'APP예약)밸런스푼꽃맛살듬뿍샐러드'!Print_Area</vt:lpstr>
      <vt:lpstr>'APP예약)밸런스푼에그듬뿍샐러드'!Print_Area</vt:lpstr>
      <vt:lpstr>'APP예약)밸런스푼훈제오리듬뿍샐러드'!Print_Area</vt:lpstr>
      <vt:lpstr>'APP예약)치킨텐더샐러드'!Print_Area</vt:lpstr>
      <vt:lpstr>'APP예약)케이준치킨너겟샐러드165g'!Print_Area</vt:lpstr>
      <vt:lpstr>NEW직화석쇠불고기버거1편!Print_Area</vt:lpstr>
      <vt:lpstr>NEW직화석쇠불고기버거2편!Print_Area</vt:lpstr>
      <vt:lpstr>'PB)더블매콤야채땡초바160g'!Print_Area</vt:lpstr>
      <vt:lpstr>검수장!Print_Area</vt:lpstr>
      <vt:lpstr>'널담)고단백저당포카치아(올리브치즈)85g'!Print_Area</vt:lpstr>
      <vt:lpstr>'널담)고단백저당포카치아(치폴레마요)85g'!Print_Area</vt:lpstr>
      <vt:lpstr>'널담)고단백황치즈크럼블쿠키75g'!Print_Area</vt:lpstr>
      <vt:lpstr>'널담)두바이초코크럼블쿠키75g'!Print_Area</vt:lpstr>
      <vt:lpstr>'널담)초코볼크럼블쿠키75g'!Print_Area</vt:lpstr>
      <vt:lpstr>'대광)매콤순대곱창볶음200g'!Print_Area</vt:lpstr>
      <vt:lpstr>'리얼)모닝롤'!Print_Area</vt:lpstr>
      <vt:lpstr>매콤직화석쇠불고기버거1편!Print_Area</vt:lpstr>
      <vt:lpstr>매콤직화석쇠불고기버거2편!Print_Area</vt:lpstr>
      <vt:lpstr>'바삭마끼 참치와사비'!Print_Area</vt:lpstr>
      <vt:lpstr>'바삭마끼 크랩어니언'!Print_Area</vt:lpstr>
      <vt:lpstr>'바삭마끼 통소시지'!Print_Area</vt:lpstr>
      <vt:lpstr>'밸런스푼)꽃맛살듬뿍샐러드 235g'!Print_Area</vt:lpstr>
      <vt:lpstr>'밸런스푼)새우듬뿍샐러드 185g'!Print_Area</vt:lpstr>
      <vt:lpstr>'밸런스푼)에그듬뿍샐러드 230g'!Print_Area</vt:lpstr>
      <vt:lpstr>'밸런스푼)훈제오리듬뿍샐러드 225g'!Print_Area</vt:lpstr>
      <vt:lpstr>'사선마끼&amp;유부초밥세트'!Print_Area</vt:lpstr>
      <vt:lpstr>'삼진)1953어묵순살바80g(매운맛)'!Print_Area</vt:lpstr>
      <vt:lpstr>'삼진)1953어묵순살바80g(야채맛)'!Print_Area</vt:lpstr>
      <vt:lpstr>'삼진)1953어묵순살바80g(오징어맛)'!Print_Area</vt:lpstr>
      <vt:lpstr>'스윗)닭가슴살시저샐러드240g'!Print_Area</vt:lpstr>
      <vt:lpstr>'스윗)케이준치킨너겟샐러드165g'!Print_Area</vt:lpstr>
      <vt:lpstr>'아워홈)매콤오돌뼈160g'!Print_Area</vt:lpstr>
      <vt:lpstr>'열매나무_못난이농산물(사과) ea'!Print_Area</vt:lpstr>
      <vt:lpstr>'예)그릭샐러드'!Print_Area</vt:lpstr>
      <vt:lpstr>'예)닭가슴살샐러드'!Print_Area</vt:lpstr>
      <vt:lpstr>'예)들기름막국수샐러드'!Print_Area</vt:lpstr>
      <vt:lpstr>'예)모짜렐라샐러드'!Print_Area</vt:lpstr>
      <vt:lpstr>'예)새우샐러드'!Print_Area</vt:lpstr>
      <vt:lpstr>'예)연어샐러드'!Print_Area</vt:lpstr>
      <vt:lpstr>'예)직화불고기샐러드)'!Print_Area</vt:lpstr>
      <vt:lpstr>'예)칠리치킨샐러드'!Print_Area</vt:lpstr>
      <vt:lpstr>'예약)26년순살갈비탕'!Print_Area</vt:lpstr>
      <vt:lpstr>'예약)26년스지도가니탕'!Print_Area</vt:lpstr>
      <vt:lpstr>'예약)26년전통추어탕'!Print_Area</vt:lpstr>
      <vt:lpstr>'예약)26년한마리민물장어덮밥'!Print_Area</vt:lpstr>
      <vt:lpstr>올뉴유부초밥4입!Print_Area</vt:lpstr>
      <vt:lpstr>'은성)닭가슴살샐러드 155g'!Print_Area</vt:lpstr>
      <vt:lpstr>'은성)치킨텐더샐러드 150g'!Print_Area</vt:lpstr>
      <vt:lpstr>'즉석)군고구마(호풍미)'!Print_Area</vt:lpstr>
      <vt:lpstr>치즈왕돈까스버거1편!Print_Area</vt:lpstr>
      <vt:lpstr>치즈왕돈까스버거2편!Print_Area</vt:lpstr>
      <vt:lpstr>황치즈직화석쇠불고기버거1편!Print_Area</vt:lpstr>
      <vt:lpstr>황치즈직화석쇠불고기버거2편!Print_Area</vt:lpstr>
      <vt:lpstr>'후덕죽)해물누룽지탕372g'!Print_Area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2015</dc:creator>
  <cp:lastModifiedBy>youhg9410@naver.com</cp:lastModifiedBy>
  <cp:revision>2</cp:revision>
  <cp:lastPrinted>2026-10-15T01:14:37Z</cp:lastPrinted>
  <dcterms:created xsi:type="dcterms:W3CDTF">2019-12-22T14:27:20Z</dcterms:created>
  <dcterms:modified xsi:type="dcterms:W3CDTF">2026-10-15T03:56:21Z</dcterms:modified>
  <cp:version>1100.0100.01</cp:version>
</cp:coreProperties>
</file>