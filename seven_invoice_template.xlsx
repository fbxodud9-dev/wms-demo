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35\공유폴더\▶▶BGF, 세븐,코레일 발주+명세서\4.세븐 거래명세서\2. 은성파머스\"/>
    </mc:Choice>
  </mc:AlternateContent>
  <xr:revisionPtr revIDLastSave="0" documentId="13_ncr:1_{0009AD99-230E-4E3B-B253-136331D5C5A4}" xr6:coauthVersionLast="47" xr6:coauthVersionMax="47" xr10:uidLastSave="{00000000-0000-0000-0000-000000000000}"/>
  <bookViews>
    <workbookView xWindow="33270" yWindow="0" windowWidth="22725" windowHeight="15420" tabRatio="876" xr2:uid="{00000000-000D-0000-FFFF-FFFF00000000}"/>
  </bookViews>
  <sheets>
    <sheet name="은성파머스피벗발주량" sheetId="246" r:id="rId1"/>
    <sheet name="제주냉장센터(더원)" sheetId="302" r:id="rId2"/>
    <sheet name="광주B저온센터(호남권)" sheetId="247" r:id="rId3"/>
    <sheet name="광주냉장(호남권)" sheetId="249" r:id="rId4"/>
    <sheet name="김제냉장(호남권)" sheetId="306" r:id="rId5"/>
    <sheet name="대구냉장A동(영남권)_롯데확인" sheetId="305" r:id="rId6"/>
    <sheet name="대구냉장B동(영남권)_롯데확인" sheetId="307" r:id="rId7"/>
    <sheet name="부산냉장(영남권)" sheetId="251" r:id="rId8"/>
    <sheet name="양산냉장(영남권)" sheetId="256" r:id="rId9"/>
    <sheet name="칠곡저온(영남권)" sheetId="303" r:id="rId10"/>
    <sheet name="세종냉장센터" sheetId="252" r:id="rId11"/>
    <sheet name="수도권냉장" sheetId="253" r:id="rId12"/>
    <sheet name="수원저온센터" sheetId="254" r:id="rId13"/>
    <sheet name="안성저온센터" sheetId="255" r:id="rId14"/>
    <sheet name="양주저온" sheetId="258" r:id="rId15"/>
    <sheet name="오포저온" sheetId="297" r:id="rId16"/>
    <sheet name="원주저온" sheetId="298" r:id="rId17"/>
    <sheet name="인천저온" sheetId="299" r:id="rId18"/>
    <sheet name="해인기흥저온센터" sheetId="304" r:id="rId19"/>
    <sheet name="장성 (5)" sheetId="142" state="hidden" r:id="rId20"/>
    <sheet name="세종 (5)" sheetId="143" state="hidden" r:id="rId21"/>
    <sheet name="부산 (5)" sheetId="146" state="hidden" r:id="rId22"/>
    <sheet name="양산 (5)" sheetId="147" state="hidden" r:id="rId23"/>
    <sheet name="양지 (5)" sheetId="148" state="hidden" r:id="rId24"/>
    <sheet name="평택 (5)" sheetId="149" state="hidden" r:id="rId25"/>
    <sheet name="화성 (5)" sheetId="150" state="hidden" r:id="rId26"/>
    <sheet name="남양주 (10)" sheetId="228" state="hidden" r:id="rId27"/>
    <sheet name="제2인천 (10)" sheetId="229" state="hidden" r:id="rId28"/>
    <sheet name="양지 (10)" sheetId="232" state="hidden" r:id="rId29"/>
    <sheet name="평택 (10)" sheetId="233" state="hidden" r:id="rId30"/>
    <sheet name="화성 (10)" sheetId="234" state="hidden" r:id="rId31"/>
    <sheet name="인천 (10)" sheetId="235" state="hidden" r:id="rId32"/>
    <sheet name="칠곡 (5)" sheetId="152" state="hidden" r:id="rId33"/>
  </sheets>
  <definedNames>
    <definedName name="_xlnm.Print_Area" localSheetId="2">'광주B저온센터(호남권)'!$A$1:$AH$53</definedName>
    <definedName name="_xlnm.Print_Area" localSheetId="5">'대구냉장A동(영남권)_롯데확인'!$A$1:$AH$53</definedName>
    <definedName name="_xlnm.Print_Area" localSheetId="6">'대구냉장B동(영남권)_롯데확인'!$A$1:$AH$53</definedName>
    <definedName name="_xlnm.Print_Area" localSheetId="15">오포저온!$A$1:$AH$53</definedName>
    <definedName name="_xlnm.Print_Area" localSheetId="19">'장성 (5)'!$A$1:$AI$43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247" l="1"/>
  <c r="Q50" i="247" s="1"/>
  <c r="Q23" i="249"/>
  <c r="Q23" i="306"/>
  <c r="Q23" i="251"/>
  <c r="Q50" i="251" s="1"/>
  <c r="Q23" i="256"/>
  <c r="Q50" i="256" s="1"/>
  <c r="Q23" i="303"/>
  <c r="Q23" i="252"/>
  <c r="Q23" i="253"/>
  <c r="Q23" i="254"/>
  <c r="Q23" i="255"/>
  <c r="Q50" i="255" s="1"/>
  <c r="Q23" i="258"/>
  <c r="Q23" i="297"/>
  <c r="Q23" i="298"/>
  <c r="Q23" i="299"/>
  <c r="Q23" i="304"/>
  <c r="Q23" i="302"/>
  <c r="Q22" i="247"/>
  <c r="Q22" i="249"/>
  <c r="Q22" i="306"/>
  <c r="Q49" i="305"/>
  <c r="Q22" i="251"/>
  <c r="Q22" i="256"/>
  <c r="Q49" i="256" s="1"/>
  <c r="Q22" i="303"/>
  <c r="Q22" i="252"/>
  <c r="Q22" i="253"/>
  <c r="Q22" i="254"/>
  <c r="Q22" i="255"/>
  <c r="Q49" i="255" s="1"/>
  <c r="Q22" i="258"/>
  <c r="Q49" i="258" s="1"/>
  <c r="Q22" i="297"/>
  <c r="Q22" i="298"/>
  <c r="Q22" i="299"/>
  <c r="Q22" i="304"/>
  <c r="Q22" i="302"/>
  <c r="Q21" i="247"/>
  <c r="Q21" i="249"/>
  <c r="Q21" i="306"/>
  <c r="Q48" i="305"/>
  <c r="Q21" i="251"/>
  <c r="Q21" i="256"/>
  <c r="Q48" i="256" s="1"/>
  <c r="Q21" i="303"/>
  <c r="Q21" i="252"/>
  <c r="Q21" i="253"/>
  <c r="Q21" i="254"/>
  <c r="Q21" i="255"/>
  <c r="Q48" i="255" s="1"/>
  <c r="Q21" i="258"/>
  <c r="Q48" i="258" s="1"/>
  <c r="Q21" i="297"/>
  <c r="Q21" i="298"/>
  <c r="Q21" i="299"/>
  <c r="Q48" i="299" s="1"/>
  <c r="Q21" i="304"/>
  <c r="Q21" i="302"/>
  <c r="Q20" i="247"/>
  <c r="Q20" i="249"/>
  <c r="Q47" i="249" s="1"/>
  <c r="Q20" i="306"/>
  <c r="Q47" i="306" s="1"/>
  <c r="Q20" i="251"/>
  <c r="Q20" i="256"/>
  <c r="Q47" i="256" s="1"/>
  <c r="Q20" i="303"/>
  <c r="Q47" i="303" s="1"/>
  <c r="Q20" i="252"/>
  <c r="Q47" i="252" s="1"/>
  <c r="Q20" i="253"/>
  <c r="Q20" i="254"/>
  <c r="Q20" i="255"/>
  <c r="Q20" i="258"/>
  <c r="Q47" i="258" s="1"/>
  <c r="Q20" i="297"/>
  <c r="Q47" i="297" s="1"/>
  <c r="Q20" i="298"/>
  <c r="Q47" i="298" s="1"/>
  <c r="Q20" i="299"/>
  <c r="Q20" i="304"/>
  <c r="Q47" i="304" s="1"/>
  <c r="Q20" i="302"/>
  <c r="Q47" i="302" s="1"/>
  <c r="Q19" i="247"/>
  <c r="Q46" i="247" s="1"/>
  <c r="Q19" i="249"/>
  <c r="Q46" i="249" s="1"/>
  <c r="Q19" i="306"/>
  <c r="Q46" i="306" s="1"/>
  <c r="Q19" i="251"/>
  <c r="Q46" i="251" s="1"/>
  <c r="Q19" i="256"/>
  <c r="T19" i="256" s="1"/>
  <c r="W19" i="256" s="1"/>
  <c r="W46" i="256" s="1"/>
  <c r="Q19" i="303"/>
  <c r="T19" i="303" s="1"/>
  <c r="W19" i="303" s="1"/>
  <c r="W46" i="303" s="1"/>
  <c r="Q19" i="252"/>
  <c r="T19" i="252" s="1"/>
  <c r="W19" i="252" s="1"/>
  <c r="W46" i="252" s="1"/>
  <c r="Q19" i="253"/>
  <c r="Q19" i="254"/>
  <c r="T19" i="254" s="1"/>
  <c r="W19" i="254" s="1"/>
  <c r="W46" i="254" s="1"/>
  <c r="Q19" i="255"/>
  <c r="T19" i="255" s="1"/>
  <c r="W19" i="255" s="1"/>
  <c r="W46" i="255" s="1"/>
  <c r="Q19" i="258"/>
  <c r="T19" i="258" s="1"/>
  <c r="W19" i="258" s="1"/>
  <c r="W46" i="258" s="1"/>
  <c r="Q19" i="297"/>
  <c r="Q19" i="298"/>
  <c r="T19" i="298" s="1"/>
  <c r="W19" i="298" s="1"/>
  <c r="W46" i="298" s="1"/>
  <c r="Q19" i="299"/>
  <c r="T19" i="299" s="1"/>
  <c r="W19" i="299" s="1"/>
  <c r="W46" i="299" s="1"/>
  <c r="Q19" i="304"/>
  <c r="T19" i="304" s="1"/>
  <c r="W19" i="304" s="1"/>
  <c r="W46" i="304" s="1"/>
  <c r="Q19" i="302"/>
  <c r="Q46" i="302" s="1"/>
  <c r="Q18" i="247"/>
  <c r="Q45" i="247" s="1"/>
  <c r="Q18" i="249"/>
  <c r="Q45" i="249" s="1"/>
  <c r="Q18" i="306"/>
  <c r="Q45" i="306" s="1"/>
  <c r="Q18" i="251"/>
  <c r="Q18" i="256"/>
  <c r="Q45" i="256" s="1"/>
  <c r="Q18" i="303"/>
  <c r="Q45" i="303" s="1"/>
  <c r="Q18" i="252"/>
  <c r="Q45" i="252" s="1"/>
  <c r="Q18" i="253"/>
  <c r="Q18" i="254"/>
  <c r="Q45" i="254" s="1"/>
  <c r="Q18" i="255"/>
  <c r="Q45" i="255" s="1"/>
  <c r="Q18" i="258"/>
  <c r="Q45" i="258" s="1"/>
  <c r="Q18" i="297"/>
  <c r="Q45" i="297" s="1"/>
  <c r="Q18" i="298"/>
  <c r="Q45" i="298" s="1"/>
  <c r="Q18" i="299"/>
  <c r="Q45" i="299" s="1"/>
  <c r="Q18" i="304"/>
  <c r="Q45" i="304" s="1"/>
  <c r="Q18" i="302"/>
  <c r="Q45" i="302" s="1"/>
  <c r="Q17" i="247"/>
  <c r="Q17" i="249"/>
  <c r="Q44" i="249" s="1"/>
  <c r="Q17" i="306"/>
  <c r="Q44" i="306" s="1"/>
  <c r="Q17" i="251"/>
  <c r="Q44" i="251" s="1"/>
  <c r="Q17" i="256"/>
  <c r="Q44" i="256" s="1"/>
  <c r="Q17" i="303"/>
  <c r="Q44" i="303" s="1"/>
  <c r="Q17" i="252"/>
  <c r="Q44" i="252" s="1"/>
  <c r="Q17" i="253"/>
  <c r="Q44" i="253" s="1"/>
  <c r="Q17" i="254"/>
  <c r="Q44" i="254" s="1"/>
  <c r="Q17" i="255"/>
  <c r="Q44" i="255" s="1"/>
  <c r="Q17" i="258"/>
  <c r="Q44" i="258" s="1"/>
  <c r="Q17" i="297"/>
  <c r="Q44" i="297" s="1"/>
  <c r="Q17" i="298"/>
  <c r="Q44" i="298" s="1"/>
  <c r="Q17" i="299"/>
  <c r="Q44" i="299" s="1"/>
  <c r="Q17" i="304"/>
  <c r="Q44" i="304" s="1"/>
  <c r="Q17" i="302"/>
  <c r="Q44" i="302" s="1"/>
  <c r="Q16" i="247"/>
  <c r="Q16" i="249"/>
  <c r="Q16" i="306"/>
  <c r="Q16" i="251"/>
  <c r="Q16" i="256"/>
  <c r="Q16" i="303"/>
  <c r="Q16" i="252"/>
  <c r="Q16" i="253"/>
  <c r="Q16" i="254"/>
  <c r="Q16" i="255"/>
  <c r="Q16" i="258"/>
  <c r="Q16" i="297"/>
  <c r="Q16" i="298"/>
  <c r="Q16" i="299"/>
  <c r="Q16" i="304"/>
  <c r="Q16" i="302"/>
  <c r="Q15" i="247"/>
  <c r="Q15" i="249"/>
  <c r="Q15" i="306"/>
  <c r="Q15" i="251"/>
  <c r="Q15" i="256"/>
  <c r="Q15" i="303"/>
  <c r="Q15" i="252"/>
  <c r="Q15" i="253"/>
  <c r="Q15" i="254"/>
  <c r="Q15" i="255"/>
  <c r="Q15" i="258"/>
  <c r="Q15" i="297"/>
  <c r="Q15" i="298"/>
  <c r="Q15" i="299"/>
  <c r="Q15" i="304"/>
  <c r="Q15" i="302"/>
  <c r="Q14" i="247"/>
  <c r="Q14" i="249"/>
  <c r="Q14" i="306"/>
  <c r="Q41" i="305"/>
  <c r="Q14" i="251"/>
  <c r="Q14" i="256"/>
  <c r="Q14" i="303"/>
  <c r="Q14" i="252"/>
  <c r="Q14" i="253"/>
  <c r="Q14" i="254"/>
  <c r="Q14" i="255"/>
  <c r="Q14" i="258"/>
  <c r="Q14" i="297"/>
  <c r="Q14" i="298"/>
  <c r="Q14" i="299"/>
  <c r="Q14" i="304"/>
  <c r="Q14" i="302"/>
  <c r="Q13" i="247"/>
  <c r="Q13" i="249"/>
  <c r="Q13" i="306"/>
  <c r="Q13" i="251"/>
  <c r="Q13" i="256"/>
  <c r="Q13" i="303"/>
  <c r="Q13" i="252"/>
  <c r="Q13" i="253"/>
  <c r="Q13" i="254"/>
  <c r="Q13" i="255"/>
  <c r="Q13" i="258"/>
  <c r="Q13" i="297"/>
  <c r="Q13" i="298"/>
  <c r="Q13" i="299"/>
  <c r="Q13" i="304"/>
  <c r="Q13" i="302"/>
  <c r="Q50" i="305"/>
  <c r="Q50" i="303"/>
  <c r="Q50" i="252"/>
  <c r="Q50" i="253"/>
  <c r="Q50" i="297"/>
  <c r="Q50" i="298"/>
  <c r="Q50" i="299"/>
  <c r="Q50" i="302"/>
  <c r="Q49" i="303"/>
  <c r="Q49" i="297"/>
  <c r="Q48" i="251"/>
  <c r="Q48" i="253"/>
  <c r="Q48" i="302"/>
  <c r="Q47" i="305"/>
  <c r="Q47" i="251"/>
  <c r="Q47" i="255"/>
  <c r="Q46" i="307"/>
  <c r="Q45" i="251"/>
  <c r="Q44" i="305"/>
  <c r="W49" i="299"/>
  <c r="W50" i="299"/>
  <c r="T49" i="299"/>
  <c r="T50" i="299"/>
  <c r="Q42" i="305"/>
  <c r="Q43" i="305"/>
  <c r="Q45" i="305"/>
  <c r="Q46" i="305"/>
  <c r="Q41" i="307"/>
  <c r="Q42" i="307"/>
  <c r="Q43" i="307"/>
  <c r="Q44" i="307"/>
  <c r="Q45" i="307"/>
  <c r="Q47" i="307"/>
  <c r="Q48" i="307"/>
  <c r="Q49" i="307"/>
  <c r="Q50" i="307"/>
  <c r="M41" i="247"/>
  <c r="M42" i="247"/>
  <c r="M43" i="247"/>
  <c r="M44" i="247"/>
  <c r="M45" i="247"/>
  <c r="M46" i="247"/>
  <c r="M47" i="247"/>
  <c r="M48" i="247"/>
  <c r="M49" i="247"/>
  <c r="M50" i="247"/>
  <c r="M41" i="249"/>
  <c r="M42" i="249"/>
  <c r="M43" i="249"/>
  <c r="M44" i="249"/>
  <c r="M45" i="249"/>
  <c r="M46" i="249"/>
  <c r="M47" i="249"/>
  <c r="M48" i="249"/>
  <c r="M49" i="249"/>
  <c r="M50" i="249"/>
  <c r="M41" i="306"/>
  <c r="M42" i="306"/>
  <c r="M43" i="306"/>
  <c r="M44" i="306"/>
  <c r="M45" i="306"/>
  <c r="M46" i="306"/>
  <c r="M47" i="306"/>
  <c r="M48" i="306"/>
  <c r="M49" i="306"/>
  <c r="M50" i="306"/>
  <c r="M41" i="305"/>
  <c r="M42" i="305"/>
  <c r="M43" i="305"/>
  <c r="M44" i="305"/>
  <c r="M45" i="305"/>
  <c r="M46" i="305"/>
  <c r="M47" i="305"/>
  <c r="M48" i="305"/>
  <c r="M49" i="305"/>
  <c r="M50" i="305"/>
  <c r="M41" i="307"/>
  <c r="M42" i="307"/>
  <c r="M43" i="307"/>
  <c r="M44" i="307"/>
  <c r="M45" i="307"/>
  <c r="M46" i="307"/>
  <c r="M47" i="307"/>
  <c r="M48" i="307"/>
  <c r="M49" i="307"/>
  <c r="M50" i="307"/>
  <c r="M41" i="251"/>
  <c r="M42" i="251"/>
  <c r="M43" i="251"/>
  <c r="M44" i="251"/>
  <c r="M45" i="251"/>
  <c r="M46" i="251"/>
  <c r="M47" i="251"/>
  <c r="M48" i="251"/>
  <c r="M49" i="251"/>
  <c r="M50" i="251"/>
  <c r="M41" i="256"/>
  <c r="M42" i="256"/>
  <c r="M43" i="256"/>
  <c r="M44" i="256"/>
  <c r="M45" i="256"/>
  <c r="M46" i="256"/>
  <c r="M47" i="256"/>
  <c r="M48" i="256"/>
  <c r="M49" i="256"/>
  <c r="M50" i="256"/>
  <c r="M41" i="303"/>
  <c r="M42" i="303"/>
  <c r="M43" i="303"/>
  <c r="M44" i="303"/>
  <c r="M45" i="303"/>
  <c r="M46" i="303"/>
  <c r="M47" i="303"/>
  <c r="M48" i="303"/>
  <c r="M49" i="303"/>
  <c r="M50" i="303"/>
  <c r="M41" i="252"/>
  <c r="M42" i="252"/>
  <c r="M43" i="252"/>
  <c r="M44" i="252"/>
  <c r="M45" i="252"/>
  <c r="M46" i="252"/>
  <c r="M47" i="252"/>
  <c r="M48" i="252"/>
  <c r="M49" i="252"/>
  <c r="M50" i="252"/>
  <c r="M41" i="253"/>
  <c r="M42" i="253"/>
  <c r="M43" i="253"/>
  <c r="M44" i="253"/>
  <c r="M45" i="253"/>
  <c r="M46" i="253"/>
  <c r="M47" i="253"/>
  <c r="M48" i="253"/>
  <c r="M49" i="253"/>
  <c r="M50" i="253"/>
  <c r="M41" i="254"/>
  <c r="M42" i="254"/>
  <c r="M43" i="254"/>
  <c r="M44" i="254"/>
  <c r="M45" i="254"/>
  <c r="M46" i="254"/>
  <c r="M47" i="254"/>
  <c r="M48" i="254"/>
  <c r="M49" i="254"/>
  <c r="M50" i="254"/>
  <c r="M41" i="255"/>
  <c r="M42" i="255"/>
  <c r="M43" i="255"/>
  <c r="M44" i="255"/>
  <c r="M45" i="255"/>
  <c r="M46" i="255"/>
  <c r="M47" i="255"/>
  <c r="M48" i="255"/>
  <c r="M49" i="255"/>
  <c r="M50" i="255"/>
  <c r="M41" i="258"/>
  <c r="M42" i="258"/>
  <c r="M43" i="258"/>
  <c r="M44" i="258"/>
  <c r="M45" i="258"/>
  <c r="M46" i="258"/>
  <c r="M47" i="258"/>
  <c r="M48" i="258"/>
  <c r="M49" i="258"/>
  <c r="M50" i="258"/>
  <c r="M41" i="297"/>
  <c r="M42" i="297"/>
  <c r="M43" i="297"/>
  <c r="M44" i="297"/>
  <c r="M45" i="297"/>
  <c r="M46" i="297"/>
  <c r="M47" i="297"/>
  <c r="M48" i="297"/>
  <c r="M49" i="297"/>
  <c r="M50" i="297"/>
  <c r="M41" i="298"/>
  <c r="M42" i="298"/>
  <c r="M43" i="298"/>
  <c r="M44" i="298"/>
  <c r="M45" i="298"/>
  <c r="M46" i="298"/>
  <c r="M47" i="298"/>
  <c r="M48" i="298"/>
  <c r="M49" i="298"/>
  <c r="M50" i="298"/>
  <c r="M41" i="299"/>
  <c r="M42" i="299"/>
  <c r="M43" i="299"/>
  <c r="M44" i="299"/>
  <c r="M45" i="299"/>
  <c r="M46" i="299"/>
  <c r="M47" i="299"/>
  <c r="M48" i="299"/>
  <c r="M49" i="299"/>
  <c r="M50" i="299"/>
  <c r="M41" i="304"/>
  <c r="M42" i="304"/>
  <c r="M43" i="304"/>
  <c r="M44" i="304"/>
  <c r="M45" i="304"/>
  <c r="M46" i="304"/>
  <c r="M47" i="304"/>
  <c r="M48" i="304"/>
  <c r="M49" i="304"/>
  <c r="M50" i="304"/>
  <c r="M41" i="302"/>
  <c r="M42" i="302"/>
  <c r="M43" i="302"/>
  <c r="M44" i="302"/>
  <c r="M45" i="302"/>
  <c r="M46" i="302"/>
  <c r="M47" i="302"/>
  <c r="M48" i="302"/>
  <c r="M49" i="302"/>
  <c r="M50" i="302"/>
  <c r="E41" i="247"/>
  <c r="E42" i="247"/>
  <c r="E43" i="247"/>
  <c r="E44" i="247"/>
  <c r="E45" i="247"/>
  <c r="E46" i="247"/>
  <c r="E47" i="247"/>
  <c r="E48" i="247"/>
  <c r="E49" i="247"/>
  <c r="E50" i="247"/>
  <c r="E41" i="249"/>
  <c r="E42" i="249"/>
  <c r="E43" i="249"/>
  <c r="E44" i="249"/>
  <c r="E45" i="249"/>
  <c r="E46" i="249"/>
  <c r="E47" i="249"/>
  <c r="E48" i="249"/>
  <c r="E49" i="249"/>
  <c r="E50" i="249"/>
  <c r="E41" i="306"/>
  <c r="E42" i="306"/>
  <c r="E43" i="306"/>
  <c r="E44" i="306"/>
  <c r="E45" i="306"/>
  <c r="E46" i="306"/>
  <c r="E47" i="306"/>
  <c r="E48" i="306"/>
  <c r="E49" i="306"/>
  <c r="E50" i="306"/>
  <c r="E41" i="305"/>
  <c r="E42" i="305"/>
  <c r="E43" i="305"/>
  <c r="E44" i="305"/>
  <c r="E45" i="305"/>
  <c r="E46" i="305"/>
  <c r="E47" i="305"/>
  <c r="E48" i="305"/>
  <c r="E49" i="305"/>
  <c r="E50" i="305"/>
  <c r="E41" i="307"/>
  <c r="E42" i="307"/>
  <c r="E43" i="307"/>
  <c r="E44" i="307"/>
  <c r="E45" i="307"/>
  <c r="E46" i="307"/>
  <c r="E47" i="307"/>
  <c r="E48" i="307"/>
  <c r="E49" i="307"/>
  <c r="E50" i="307"/>
  <c r="E41" i="251"/>
  <c r="E42" i="251"/>
  <c r="E43" i="251"/>
  <c r="E44" i="251"/>
  <c r="E45" i="251"/>
  <c r="E46" i="251"/>
  <c r="E47" i="251"/>
  <c r="E48" i="251"/>
  <c r="E49" i="251"/>
  <c r="E50" i="251"/>
  <c r="E41" i="256"/>
  <c r="E42" i="256"/>
  <c r="E43" i="256"/>
  <c r="E44" i="256"/>
  <c r="E45" i="256"/>
  <c r="E46" i="256"/>
  <c r="E47" i="256"/>
  <c r="E48" i="256"/>
  <c r="E49" i="256"/>
  <c r="E50" i="256"/>
  <c r="E41" i="303"/>
  <c r="E42" i="303"/>
  <c r="E43" i="303"/>
  <c r="E44" i="303"/>
  <c r="E45" i="303"/>
  <c r="E46" i="303"/>
  <c r="E47" i="303"/>
  <c r="E48" i="303"/>
  <c r="E49" i="303"/>
  <c r="E50" i="303"/>
  <c r="E41" i="252"/>
  <c r="E42" i="252"/>
  <c r="E43" i="252"/>
  <c r="E44" i="252"/>
  <c r="E45" i="252"/>
  <c r="E46" i="252"/>
  <c r="E47" i="252"/>
  <c r="E48" i="252"/>
  <c r="E49" i="252"/>
  <c r="E50" i="252"/>
  <c r="E41" i="253"/>
  <c r="E42" i="253"/>
  <c r="E43" i="253"/>
  <c r="E44" i="253"/>
  <c r="E45" i="253"/>
  <c r="E46" i="253"/>
  <c r="E47" i="253"/>
  <c r="E48" i="253"/>
  <c r="E49" i="253"/>
  <c r="E50" i="253"/>
  <c r="E41" i="254"/>
  <c r="E42" i="254"/>
  <c r="E43" i="254"/>
  <c r="E44" i="254"/>
  <c r="E45" i="254"/>
  <c r="E46" i="254"/>
  <c r="E47" i="254"/>
  <c r="E48" i="254"/>
  <c r="E49" i="254"/>
  <c r="E50" i="254"/>
  <c r="E41" i="255"/>
  <c r="E42" i="255"/>
  <c r="E43" i="255"/>
  <c r="E44" i="255"/>
  <c r="E45" i="255"/>
  <c r="E46" i="255"/>
  <c r="E47" i="255"/>
  <c r="E48" i="255"/>
  <c r="E49" i="255"/>
  <c r="E50" i="255"/>
  <c r="E41" i="258"/>
  <c r="E42" i="258"/>
  <c r="E43" i="258"/>
  <c r="E44" i="258"/>
  <c r="E45" i="258"/>
  <c r="E46" i="258"/>
  <c r="E47" i="258"/>
  <c r="E48" i="258"/>
  <c r="E49" i="258"/>
  <c r="E50" i="258"/>
  <c r="E41" i="297"/>
  <c r="E42" i="297"/>
  <c r="E43" i="297"/>
  <c r="E44" i="297"/>
  <c r="E45" i="297"/>
  <c r="E46" i="297"/>
  <c r="E47" i="297"/>
  <c r="E48" i="297"/>
  <c r="E49" i="297"/>
  <c r="E50" i="297"/>
  <c r="E41" i="298"/>
  <c r="E42" i="298"/>
  <c r="E43" i="298"/>
  <c r="E44" i="298"/>
  <c r="E45" i="298"/>
  <c r="E46" i="298"/>
  <c r="E47" i="298"/>
  <c r="E48" i="298"/>
  <c r="E49" i="298"/>
  <c r="E50" i="298"/>
  <c r="E41" i="299"/>
  <c r="E42" i="299"/>
  <c r="E43" i="299"/>
  <c r="E44" i="299"/>
  <c r="E45" i="299"/>
  <c r="E46" i="299"/>
  <c r="E47" i="299"/>
  <c r="E48" i="299"/>
  <c r="E49" i="299"/>
  <c r="E50" i="299"/>
  <c r="E41" i="304"/>
  <c r="E42" i="304"/>
  <c r="E43" i="304"/>
  <c r="E44" i="304"/>
  <c r="E45" i="304"/>
  <c r="E46" i="304"/>
  <c r="E47" i="304"/>
  <c r="E48" i="304"/>
  <c r="E49" i="304"/>
  <c r="E50" i="304"/>
  <c r="E41" i="302"/>
  <c r="E42" i="302"/>
  <c r="E43" i="302"/>
  <c r="E44" i="302"/>
  <c r="E45" i="302"/>
  <c r="E46" i="302"/>
  <c r="E47" i="302"/>
  <c r="E48" i="302"/>
  <c r="E49" i="302"/>
  <c r="E50" i="302"/>
  <c r="AA19" i="302"/>
  <c r="AA46" i="302" s="1"/>
  <c r="Q45" i="253"/>
  <c r="Q50" i="249"/>
  <c r="Q50" i="306"/>
  <c r="Q50" i="254"/>
  <c r="Q50" i="258"/>
  <c r="Q50" i="304"/>
  <c r="Q49" i="247"/>
  <c r="Q49" i="249"/>
  <c r="Q49" i="306"/>
  <c r="Q49" i="251"/>
  <c r="Q49" i="252"/>
  <c r="Q49" i="253"/>
  <c r="Q49" i="254"/>
  <c r="Q49" i="298"/>
  <c r="Q49" i="299"/>
  <c r="Q49" i="304"/>
  <c r="Q49" i="302"/>
  <c r="Q48" i="247"/>
  <c r="Q48" i="249"/>
  <c r="Q48" i="306"/>
  <c r="Q48" i="303"/>
  <c r="Q48" i="252"/>
  <c r="Q48" i="254"/>
  <c r="Q48" i="297"/>
  <c r="Q48" i="298"/>
  <c r="Q48" i="304"/>
  <c r="Q47" i="247"/>
  <c r="Q47" i="253"/>
  <c r="Q47" i="254"/>
  <c r="Q47" i="299"/>
  <c r="T19" i="307"/>
  <c r="W19" i="307" s="1"/>
  <c r="W46" i="307" s="1"/>
  <c r="Q46" i="253"/>
  <c r="T19" i="297"/>
  <c r="W19" i="297" s="1"/>
  <c r="W46" i="297" s="1"/>
  <c r="AA23" i="302"/>
  <c r="AA50" i="302" s="1"/>
  <c r="AA22" i="302"/>
  <c r="AA49" i="302" s="1"/>
  <c r="AA21" i="302"/>
  <c r="AA48" i="302" s="1"/>
  <c r="AA20" i="302"/>
  <c r="AA47" i="302" s="1"/>
  <c r="AA18" i="302"/>
  <c r="AA45" i="302" s="1"/>
  <c r="AA17" i="302"/>
  <c r="AA44" i="302" s="1"/>
  <c r="AA16" i="302"/>
  <c r="AA43" i="302" s="1"/>
  <c r="Q44" i="247" l="1"/>
  <c r="T19" i="251"/>
  <c r="W19" i="251" s="1"/>
  <c r="W46" i="251" s="1"/>
  <c r="Q46" i="255"/>
  <c r="Q46" i="252"/>
  <c r="T46" i="299"/>
  <c r="T46" i="258"/>
  <c r="T46" i="256"/>
  <c r="T19" i="302"/>
  <c r="T19" i="253"/>
  <c r="Q46" i="258"/>
  <c r="Q46" i="256"/>
  <c r="T46" i="304"/>
  <c r="T46" i="297"/>
  <c r="T46" i="254"/>
  <c r="T46" i="303"/>
  <c r="Q46" i="297"/>
  <c r="Q46" i="254"/>
  <c r="Q46" i="303"/>
  <c r="T46" i="298"/>
  <c r="T46" i="255"/>
  <c r="T46" i="252"/>
  <c r="Q46" i="304"/>
  <c r="Q46" i="299"/>
  <c r="Q46" i="298"/>
  <c r="T46" i="307"/>
  <c r="M24" i="307"/>
  <c r="M24" i="305"/>
  <c r="T19" i="305"/>
  <c r="T19" i="306"/>
  <c r="T19" i="249"/>
  <c r="T19" i="247"/>
  <c r="T17" i="305"/>
  <c r="T17" i="307"/>
  <c r="T17" i="303"/>
  <c r="Q43" i="247"/>
  <c r="Q43" i="249"/>
  <c r="Q43" i="306"/>
  <c r="Q43" i="251"/>
  <c r="Q43" i="256"/>
  <c r="Q43" i="303"/>
  <c r="Q43" i="252"/>
  <c r="Q43" i="253"/>
  <c r="Q43" i="254"/>
  <c r="Q43" i="255"/>
  <c r="Q43" i="258"/>
  <c r="Q43" i="297"/>
  <c r="Q43" i="298"/>
  <c r="Q43" i="299"/>
  <c r="Q43" i="304"/>
  <c r="Q43" i="302"/>
  <c r="AA15" i="302"/>
  <c r="AA42" i="302" s="1"/>
  <c r="AA14" i="302"/>
  <c r="AA41" i="302" s="1"/>
  <c r="AA13" i="302"/>
  <c r="AA40" i="302" s="1"/>
  <c r="Q41" i="302"/>
  <c r="Q41" i="247"/>
  <c r="Q41" i="249"/>
  <c r="Q41" i="306"/>
  <c r="Q41" i="251"/>
  <c r="Q41" i="256"/>
  <c r="Q41" i="303"/>
  <c r="Q41" i="252"/>
  <c r="Q41" i="253"/>
  <c r="Q41" i="254"/>
  <c r="Q41" i="255"/>
  <c r="Q41" i="258"/>
  <c r="Q41" i="297"/>
  <c r="Q41" i="298"/>
  <c r="Q41" i="299"/>
  <c r="Q41" i="304"/>
  <c r="W17" i="303" l="1"/>
  <c r="W44" i="303" s="1"/>
  <c r="T44" i="303"/>
  <c r="W17" i="307"/>
  <c r="W44" i="307" s="1"/>
  <c r="T44" i="307"/>
  <c r="W17" i="305"/>
  <c r="W44" i="305" s="1"/>
  <c r="T44" i="305"/>
  <c r="T46" i="251"/>
  <c r="W19" i="247"/>
  <c r="W46" i="247" s="1"/>
  <c r="T46" i="247"/>
  <c r="W19" i="302"/>
  <c r="W46" i="302" s="1"/>
  <c r="T46" i="302"/>
  <c r="W19" i="249"/>
  <c r="W46" i="249" s="1"/>
  <c r="T46" i="249"/>
  <c r="W19" i="306"/>
  <c r="W46" i="306" s="1"/>
  <c r="T46" i="306"/>
  <c r="W19" i="253"/>
  <c r="W46" i="253" s="1"/>
  <c r="T46" i="253"/>
  <c r="W19" i="305"/>
  <c r="W46" i="305" s="1"/>
  <c r="T46" i="305"/>
  <c r="T17" i="302"/>
  <c r="T17" i="297"/>
  <c r="T17" i="254"/>
  <c r="T17" i="306"/>
  <c r="T17" i="304"/>
  <c r="T17" i="255"/>
  <c r="T44" i="255" s="1"/>
  <c r="T17" i="299"/>
  <c r="T44" i="299" s="1"/>
  <c r="T17" i="258"/>
  <c r="T44" i="258" s="1"/>
  <c r="T17" i="253"/>
  <c r="T44" i="253" s="1"/>
  <c r="T17" i="256"/>
  <c r="T44" i="256" s="1"/>
  <c r="T17" i="249"/>
  <c r="T44" i="249" s="1"/>
  <c r="T17" i="298"/>
  <c r="T44" i="298" s="1"/>
  <c r="T17" i="247"/>
  <c r="T44" i="247" s="1"/>
  <c r="T17" i="252"/>
  <c r="T44" i="252" s="1"/>
  <c r="T17" i="251"/>
  <c r="T44" i="251" s="1"/>
  <c r="W17" i="297" l="1"/>
  <c r="W44" i="297" s="1"/>
  <c r="T44" i="297"/>
  <c r="W17" i="306"/>
  <c r="W44" i="306" s="1"/>
  <c r="T44" i="306"/>
  <c r="W17" i="254"/>
  <c r="W44" i="254" s="1"/>
  <c r="T44" i="254"/>
  <c r="W17" i="304"/>
  <c r="W44" i="304" s="1"/>
  <c r="T44" i="304"/>
  <c r="W17" i="302"/>
  <c r="W44" i="302" s="1"/>
  <c r="T44" i="302"/>
  <c r="W17" i="298"/>
  <c r="W44" i="298" s="1"/>
  <c r="W17" i="249"/>
  <c r="W44" i="249" s="1"/>
  <c r="W17" i="256"/>
  <c r="W44" i="256" s="1"/>
  <c r="W17" i="251"/>
  <c r="W44" i="251" s="1"/>
  <c r="W17" i="253"/>
  <c r="W44" i="253" s="1"/>
  <c r="W17" i="252"/>
  <c r="W44" i="252" s="1"/>
  <c r="W17" i="258"/>
  <c r="W44" i="258" s="1"/>
  <c r="W17" i="247"/>
  <c r="W44" i="247" s="1"/>
  <c r="W17" i="299"/>
  <c r="W44" i="299" s="1"/>
  <c r="W17" i="255"/>
  <c r="W44" i="255" s="1"/>
  <c r="T14" i="305" l="1"/>
  <c r="T41" i="305" s="1"/>
  <c r="T15" i="305"/>
  <c r="T42" i="305" s="1"/>
  <c r="T16" i="305"/>
  <c r="T43" i="305" s="1"/>
  <c r="T18" i="305"/>
  <c r="T45" i="305" s="1"/>
  <c r="T20" i="305"/>
  <c r="T47" i="305" s="1"/>
  <c r="T21" i="305"/>
  <c r="T48" i="305" s="1"/>
  <c r="T22" i="305"/>
  <c r="T49" i="305" s="1"/>
  <c r="T23" i="305"/>
  <c r="T50" i="305" s="1"/>
  <c r="T14" i="307"/>
  <c r="T41" i="307" s="1"/>
  <c r="T15" i="307"/>
  <c r="T42" i="307" s="1"/>
  <c r="T16" i="307"/>
  <c r="T43" i="307" s="1"/>
  <c r="T18" i="307"/>
  <c r="T45" i="307" s="1"/>
  <c r="T20" i="307"/>
  <c r="T47" i="307" s="1"/>
  <c r="T21" i="307"/>
  <c r="T48" i="307" s="1"/>
  <c r="T22" i="307"/>
  <c r="T49" i="307" s="1"/>
  <c r="T23" i="307"/>
  <c r="T50" i="307" s="1"/>
  <c r="T23" i="256"/>
  <c r="T50" i="256" s="1"/>
  <c r="T23" i="253"/>
  <c r="T50" i="253" s="1"/>
  <c r="T23" i="254"/>
  <c r="T50" i="254" s="1"/>
  <c r="T23" i="255"/>
  <c r="T50" i="255" s="1"/>
  <c r="T23" i="297"/>
  <c r="T50" i="297" s="1"/>
  <c r="T23" i="298"/>
  <c r="T50" i="298" s="1"/>
  <c r="T22" i="306"/>
  <c r="T49" i="306" s="1"/>
  <c r="T22" i="251"/>
  <c r="T49" i="251" s="1"/>
  <c r="T22" i="252"/>
  <c r="T49" i="252" s="1"/>
  <c r="T22" i="258"/>
  <c r="T49" i="258" s="1"/>
  <c r="T22" i="297"/>
  <c r="T49" i="297" s="1"/>
  <c r="T23" i="304"/>
  <c r="T50" i="304" s="1"/>
  <c r="B13" i="304"/>
  <c r="AA19" i="304" s="1"/>
  <c r="AA46" i="304" s="1"/>
  <c r="B13" i="299"/>
  <c r="AA19" i="299" s="1"/>
  <c r="AA46" i="299" s="1"/>
  <c r="B13" i="298"/>
  <c r="AA19" i="298" s="1"/>
  <c r="AA46" i="298" s="1"/>
  <c r="B13" i="297"/>
  <c r="AA19" i="297" s="1"/>
  <c r="AA46" i="297" s="1"/>
  <c r="B13" i="258"/>
  <c r="AA19" i="258" s="1"/>
  <c r="AA46" i="258" s="1"/>
  <c r="B13" i="255"/>
  <c r="AA19" i="255" s="1"/>
  <c r="AA46" i="255" s="1"/>
  <c r="B13" i="254"/>
  <c r="AA19" i="254" s="1"/>
  <c r="AA46" i="254" s="1"/>
  <c r="B13" i="253"/>
  <c r="AA19" i="253" s="1"/>
  <c r="AA46" i="253" s="1"/>
  <c r="B13" i="252"/>
  <c r="AA19" i="252" s="1"/>
  <c r="AA46" i="252" s="1"/>
  <c r="B13" i="303"/>
  <c r="AA19" i="303" s="1"/>
  <c r="AA46" i="303" s="1"/>
  <c r="B13" i="256"/>
  <c r="AA19" i="256" s="1"/>
  <c r="AA46" i="256" s="1"/>
  <c r="B13" i="251"/>
  <c r="AA19" i="251" s="1"/>
  <c r="AA46" i="251" s="1"/>
  <c r="B13" i="307"/>
  <c r="AA19" i="307" s="1"/>
  <c r="AA46" i="307" s="1"/>
  <c r="B13" i="305"/>
  <c r="B13" i="306"/>
  <c r="AA19" i="306" s="1"/>
  <c r="AA46" i="306" s="1"/>
  <c r="B13" i="249"/>
  <c r="AA19" i="249" s="1"/>
  <c r="AA46" i="249" s="1"/>
  <c r="B13" i="247"/>
  <c r="T13" i="307"/>
  <c r="T21" i="251"/>
  <c r="T48" i="251" s="1"/>
  <c r="T21" i="297"/>
  <c r="T48" i="297" s="1"/>
  <c r="AA19" i="247" l="1"/>
  <c r="AA46" i="247" s="1"/>
  <c r="AA17" i="247"/>
  <c r="AA13" i="305"/>
  <c r="AA40" i="305" s="1"/>
  <c r="AA19" i="305"/>
  <c r="AA46" i="305" s="1"/>
  <c r="AA23" i="249"/>
  <c r="AA50" i="249" s="1"/>
  <c r="AA21" i="249"/>
  <c r="AA48" i="249" s="1"/>
  <c r="AA20" i="249"/>
  <c r="AA47" i="249" s="1"/>
  <c r="AA17" i="249"/>
  <c r="AA44" i="249" s="1"/>
  <c r="AA18" i="249"/>
  <c r="AA45" i="249" s="1"/>
  <c r="AA16" i="249"/>
  <c r="AA43" i="249" s="1"/>
  <c r="AA22" i="249"/>
  <c r="AA49" i="249" s="1"/>
  <c r="AA23" i="251"/>
  <c r="AA50" i="251" s="1"/>
  <c r="AA21" i="251"/>
  <c r="AA48" i="251" s="1"/>
  <c r="AA20" i="251"/>
  <c r="AA47" i="251" s="1"/>
  <c r="AA17" i="251"/>
  <c r="AA44" i="251" s="1"/>
  <c r="AA22" i="251"/>
  <c r="AA49" i="251" s="1"/>
  <c r="AA16" i="251"/>
  <c r="AA43" i="251" s="1"/>
  <c r="AA18" i="251"/>
  <c r="AA45" i="251" s="1"/>
  <c r="AA23" i="253"/>
  <c r="AA50" i="253" s="1"/>
  <c r="AA21" i="253"/>
  <c r="AA48" i="253" s="1"/>
  <c r="AA20" i="253"/>
  <c r="AA47" i="253" s="1"/>
  <c r="AA17" i="253"/>
  <c r="AA44" i="253" s="1"/>
  <c r="AA18" i="253"/>
  <c r="AA45" i="253" s="1"/>
  <c r="AA16" i="253"/>
  <c r="AA43" i="253" s="1"/>
  <c r="AA22" i="253"/>
  <c r="AA49" i="253" s="1"/>
  <c r="AA23" i="297"/>
  <c r="AA50" i="297" s="1"/>
  <c r="AA21" i="297"/>
  <c r="AA48" i="297" s="1"/>
  <c r="AA20" i="297"/>
  <c r="AA47" i="297" s="1"/>
  <c r="AA17" i="297"/>
  <c r="AA44" i="297" s="1"/>
  <c r="AA22" i="297"/>
  <c r="AA49" i="297" s="1"/>
  <c r="AA16" i="297"/>
  <c r="AA43" i="297" s="1"/>
  <c r="AA18" i="297"/>
  <c r="AA45" i="297" s="1"/>
  <c r="AA22" i="306"/>
  <c r="AA49" i="306" s="1"/>
  <c r="AA18" i="306"/>
  <c r="AA45" i="306" s="1"/>
  <c r="AA23" i="306"/>
  <c r="AA50" i="306" s="1"/>
  <c r="AA17" i="306"/>
  <c r="AA44" i="306" s="1"/>
  <c r="AA16" i="306"/>
  <c r="AA43" i="306" s="1"/>
  <c r="AA20" i="306"/>
  <c r="AA47" i="306" s="1"/>
  <c r="AA21" i="306"/>
  <c r="AA48" i="306" s="1"/>
  <c r="AA22" i="256"/>
  <c r="AA49" i="256" s="1"/>
  <c r="AA18" i="256"/>
  <c r="AA45" i="256" s="1"/>
  <c r="AA20" i="256"/>
  <c r="AA47" i="256" s="1"/>
  <c r="AA21" i="256"/>
  <c r="AA48" i="256" s="1"/>
  <c r="AA16" i="256"/>
  <c r="AA43" i="256" s="1"/>
  <c r="AA23" i="256"/>
  <c r="AA50" i="256" s="1"/>
  <c r="AA17" i="256"/>
  <c r="AA44" i="256" s="1"/>
  <c r="AA22" i="254"/>
  <c r="AA49" i="254" s="1"/>
  <c r="AA18" i="254"/>
  <c r="AA45" i="254" s="1"/>
  <c r="AA23" i="254"/>
  <c r="AA50" i="254" s="1"/>
  <c r="AA17" i="254"/>
  <c r="AA44" i="254" s="1"/>
  <c r="AA16" i="254"/>
  <c r="AA43" i="254" s="1"/>
  <c r="AA20" i="254"/>
  <c r="AA47" i="254" s="1"/>
  <c r="AA21" i="254"/>
  <c r="AA48" i="254" s="1"/>
  <c r="AA22" i="298"/>
  <c r="AA49" i="298" s="1"/>
  <c r="AA18" i="298"/>
  <c r="AA45" i="298" s="1"/>
  <c r="AA20" i="298"/>
  <c r="AA47" i="298" s="1"/>
  <c r="AA21" i="298"/>
  <c r="AA48" i="298" s="1"/>
  <c r="AA16" i="298"/>
  <c r="AA43" i="298" s="1"/>
  <c r="AA23" i="298"/>
  <c r="AA50" i="298" s="1"/>
  <c r="AA17" i="298"/>
  <c r="AA44" i="298" s="1"/>
  <c r="AA22" i="305"/>
  <c r="AA49" i="305" s="1"/>
  <c r="AA18" i="305"/>
  <c r="AA45" i="305" s="1"/>
  <c r="AA21" i="305"/>
  <c r="AA48" i="305" s="1"/>
  <c r="AA23" i="305"/>
  <c r="AA50" i="305" s="1"/>
  <c r="AA17" i="305"/>
  <c r="AA44" i="305" s="1"/>
  <c r="AA16" i="305"/>
  <c r="AA43" i="305" s="1"/>
  <c r="AA20" i="305"/>
  <c r="AA47" i="305" s="1"/>
  <c r="AA22" i="303"/>
  <c r="AA49" i="303" s="1"/>
  <c r="AA18" i="303"/>
  <c r="AA45" i="303" s="1"/>
  <c r="AA17" i="303"/>
  <c r="AA44" i="303" s="1"/>
  <c r="AA20" i="303"/>
  <c r="AA47" i="303" s="1"/>
  <c r="AA21" i="303"/>
  <c r="AA48" i="303" s="1"/>
  <c r="AA16" i="303"/>
  <c r="AA43" i="303" s="1"/>
  <c r="AA23" i="303"/>
  <c r="AA50" i="303" s="1"/>
  <c r="AA22" i="255"/>
  <c r="AA49" i="255" s="1"/>
  <c r="AA18" i="255"/>
  <c r="AA45" i="255" s="1"/>
  <c r="AA21" i="255"/>
  <c r="AA48" i="255" s="1"/>
  <c r="AA23" i="255"/>
  <c r="AA50" i="255" s="1"/>
  <c r="AA17" i="255"/>
  <c r="AA44" i="255" s="1"/>
  <c r="AA16" i="255"/>
  <c r="AA43" i="255" s="1"/>
  <c r="AA20" i="255"/>
  <c r="AA47" i="255" s="1"/>
  <c r="AA22" i="299"/>
  <c r="AA49" i="299" s="1"/>
  <c r="AA18" i="299"/>
  <c r="AA45" i="299" s="1"/>
  <c r="AA17" i="299"/>
  <c r="AA44" i="299" s="1"/>
  <c r="AA20" i="299"/>
  <c r="AA47" i="299" s="1"/>
  <c r="AA21" i="299"/>
  <c r="AA48" i="299" s="1"/>
  <c r="AA16" i="299"/>
  <c r="AA43" i="299" s="1"/>
  <c r="AA23" i="299"/>
  <c r="AA50" i="299" s="1"/>
  <c r="AA23" i="247"/>
  <c r="AA50" i="247" s="1"/>
  <c r="AA21" i="247"/>
  <c r="AA48" i="247" s="1"/>
  <c r="AA20" i="247"/>
  <c r="AA47" i="247" s="1"/>
  <c r="AA44" i="247"/>
  <c r="AA22" i="247"/>
  <c r="AA49" i="247" s="1"/>
  <c r="AA16" i="247"/>
  <c r="AA43" i="247" s="1"/>
  <c r="AA18" i="247"/>
  <c r="AA45" i="247" s="1"/>
  <c r="AA23" i="307"/>
  <c r="AA50" i="307" s="1"/>
  <c r="AA21" i="307"/>
  <c r="AA48" i="307" s="1"/>
  <c r="AA20" i="307"/>
  <c r="AA47" i="307" s="1"/>
  <c r="AA17" i="307"/>
  <c r="AA44" i="307" s="1"/>
  <c r="AA18" i="307"/>
  <c r="AA45" i="307" s="1"/>
  <c r="AA22" i="307"/>
  <c r="AA49" i="307" s="1"/>
  <c r="AA16" i="307"/>
  <c r="AA43" i="307" s="1"/>
  <c r="AA23" i="252"/>
  <c r="AA50" i="252" s="1"/>
  <c r="AA21" i="252"/>
  <c r="AA48" i="252" s="1"/>
  <c r="AA20" i="252"/>
  <c r="AA47" i="252" s="1"/>
  <c r="AA17" i="252"/>
  <c r="AA44" i="252" s="1"/>
  <c r="AA22" i="252"/>
  <c r="AA49" i="252" s="1"/>
  <c r="AA18" i="252"/>
  <c r="AA45" i="252" s="1"/>
  <c r="AA16" i="252"/>
  <c r="AA43" i="252" s="1"/>
  <c r="AA23" i="258"/>
  <c r="AA50" i="258" s="1"/>
  <c r="AA21" i="258"/>
  <c r="AA48" i="258" s="1"/>
  <c r="AA20" i="258"/>
  <c r="AA47" i="258" s="1"/>
  <c r="AA17" i="258"/>
  <c r="AA44" i="258" s="1"/>
  <c r="AA18" i="258"/>
  <c r="AA45" i="258" s="1"/>
  <c r="AA22" i="258"/>
  <c r="AA49" i="258" s="1"/>
  <c r="AA16" i="258"/>
  <c r="AA43" i="258" s="1"/>
  <c r="AA23" i="304"/>
  <c r="AA50" i="304" s="1"/>
  <c r="AA21" i="304"/>
  <c r="AA48" i="304" s="1"/>
  <c r="AA20" i="304"/>
  <c r="AA47" i="304" s="1"/>
  <c r="AA22" i="304"/>
  <c r="AA49" i="304" s="1"/>
  <c r="AA17" i="304"/>
  <c r="AA44" i="304" s="1"/>
  <c r="AA18" i="304"/>
  <c r="AA45" i="304" s="1"/>
  <c r="AA16" i="304"/>
  <c r="AA43" i="304" s="1"/>
  <c r="W15" i="307"/>
  <c r="W42" i="307" s="1"/>
  <c r="W14" i="307"/>
  <c r="W41" i="307" s="1"/>
  <c r="W15" i="305"/>
  <c r="W42" i="305" s="1"/>
  <c r="W23" i="304"/>
  <c r="W50" i="304" s="1"/>
  <c r="W23" i="307"/>
  <c r="W50" i="307" s="1"/>
  <c r="W23" i="305"/>
  <c r="W50" i="305" s="1"/>
  <c r="W22" i="307"/>
  <c r="W49" i="307" s="1"/>
  <c r="W22" i="305"/>
  <c r="W49" i="305" s="1"/>
  <c r="W22" i="252"/>
  <c r="W49" i="252" s="1"/>
  <c r="W21" i="307"/>
  <c r="W48" i="307" s="1"/>
  <c r="W21" i="305"/>
  <c r="W48" i="305" s="1"/>
  <c r="W20" i="307"/>
  <c r="W47" i="307" s="1"/>
  <c r="W20" i="305"/>
  <c r="W47" i="305" s="1"/>
  <c r="W18" i="305"/>
  <c r="W45" i="305" s="1"/>
  <c r="W18" i="307"/>
  <c r="W45" i="307" s="1"/>
  <c r="W16" i="305"/>
  <c r="W43" i="305" s="1"/>
  <c r="W16" i="307"/>
  <c r="W43" i="307" s="1"/>
  <c r="AA14" i="305"/>
  <c r="AA41" i="305" s="1"/>
  <c r="AA15" i="305"/>
  <c r="AA42" i="305" s="1"/>
  <c r="AA14" i="303"/>
  <c r="AA41" i="303" s="1"/>
  <c r="AA15" i="303"/>
  <c r="AA42" i="303" s="1"/>
  <c r="AA13" i="303"/>
  <c r="AA40" i="303" s="1"/>
  <c r="AA14" i="255"/>
  <c r="AA41" i="255" s="1"/>
  <c r="AA13" i="255"/>
  <c r="AA40" i="255" s="1"/>
  <c r="AA15" i="255"/>
  <c r="AA42" i="255" s="1"/>
  <c r="AA14" i="299"/>
  <c r="AA41" i="299" s="1"/>
  <c r="AA13" i="299"/>
  <c r="AA40" i="299" s="1"/>
  <c r="AA15" i="299"/>
  <c r="AA42" i="299" s="1"/>
  <c r="AA15" i="247"/>
  <c r="AA42" i="247" s="1"/>
  <c r="AA13" i="247"/>
  <c r="AA40" i="247" s="1"/>
  <c r="AA14" i="247"/>
  <c r="AA41" i="247" s="1"/>
  <c r="AA15" i="307"/>
  <c r="AA42" i="307" s="1"/>
  <c r="AA13" i="307"/>
  <c r="AA40" i="307" s="1"/>
  <c r="AA14" i="307"/>
  <c r="AA41" i="307" s="1"/>
  <c r="AA15" i="252"/>
  <c r="AA42" i="252" s="1"/>
  <c r="AA13" i="252"/>
  <c r="AA40" i="252" s="1"/>
  <c r="AA14" i="252"/>
  <c r="AA41" i="252" s="1"/>
  <c r="AA15" i="258"/>
  <c r="AA42" i="258" s="1"/>
  <c r="AA13" i="258"/>
  <c r="AA40" i="258" s="1"/>
  <c r="AA14" i="258"/>
  <c r="AA41" i="258" s="1"/>
  <c r="AA15" i="304"/>
  <c r="AA42" i="304" s="1"/>
  <c r="AA13" i="304"/>
  <c r="AA40" i="304" s="1"/>
  <c r="AA14" i="304"/>
  <c r="AA41" i="304" s="1"/>
  <c r="AA15" i="249"/>
  <c r="AA42" i="249" s="1"/>
  <c r="AA13" i="249"/>
  <c r="AA40" i="249" s="1"/>
  <c r="AA14" i="249"/>
  <c r="AA41" i="249" s="1"/>
  <c r="AA15" i="251"/>
  <c r="AA42" i="251" s="1"/>
  <c r="AA13" i="251"/>
  <c r="AA40" i="251" s="1"/>
  <c r="AA14" i="251"/>
  <c r="AA41" i="251" s="1"/>
  <c r="AA15" i="253"/>
  <c r="AA42" i="253" s="1"/>
  <c r="AA13" i="253"/>
  <c r="AA40" i="253" s="1"/>
  <c r="AA14" i="253"/>
  <c r="AA41" i="253" s="1"/>
  <c r="AA15" i="297"/>
  <c r="AA42" i="297" s="1"/>
  <c r="AA13" i="297"/>
  <c r="AA40" i="297" s="1"/>
  <c r="AA14" i="297"/>
  <c r="AA41" i="297" s="1"/>
  <c r="AA14" i="306"/>
  <c r="AA41" i="306" s="1"/>
  <c r="AA15" i="306"/>
  <c r="AA42" i="306" s="1"/>
  <c r="AA13" i="306"/>
  <c r="AA40" i="306" s="1"/>
  <c r="AA14" i="256"/>
  <c r="AA41" i="256" s="1"/>
  <c r="AA15" i="256"/>
  <c r="AA42" i="256" s="1"/>
  <c r="AA13" i="256"/>
  <c r="AA40" i="256" s="1"/>
  <c r="AA14" i="254"/>
  <c r="AA41" i="254" s="1"/>
  <c r="AA15" i="254"/>
  <c r="AA42" i="254" s="1"/>
  <c r="AA13" i="254"/>
  <c r="AA40" i="254" s="1"/>
  <c r="AA14" i="298"/>
  <c r="AA41" i="298" s="1"/>
  <c r="AA15" i="298"/>
  <c r="AA42" i="298" s="1"/>
  <c r="AA13" i="298"/>
  <c r="AA40" i="298" s="1"/>
  <c r="T22" i="253"/>
  <c r="T49" i="253" s="1"/>
  <c r="W14" i="305"/>
  <c r="W41" i="305" s="1"/>
  <c r="W22" i="251"/>
  <c r="W49" i="251" s="1"/>
  <c r="W22" i="297"/>
  <c r="W49" i="297" s="1"/>
  <c r="T22" i="304"/>
  <c r="T49" i="304" s="1"/>
  <c r="T23" i="302"/>
  <c r="T50" i="302" s="1"/>
  <c r="T23" i="251"/>
  <c r="T50" i="251" s="1"/>
  <c r="W23" i="297"/>
  <c r="W50" i="297" s="1"/>
  <c r="W22" i="258"/>
  <c r="W49" i="258" s="1"/>
  <c r="T21" i="255"/>
  <c r="T48" i="255" s="1"/>
  <c r="T21" i="303"/>
  <c r="T48" i="303" s="1"/>
  <c r="T21" i="249"/>
  <c r="T48" i="249" s="1"/>
  <c r="T21" i="298"/>
  <c r="T48" i="298" s="1"/>
  <c r="T21" i="256"/>
  <c r="T48" i="256" s="1"/>
  <c r="T22" i="298"/>
  <c r="T49" i="298" s="1"/>
  <c r="T22" i="256"/>
  <c r="T49" i="256" s="1"/>
  <c r="T23" i="247"/>
  <c r="T50" i="247" s="1"/>
  <c r="T23" i="303"/>
  <c r="T50" i="303" s="1"/>
  <c r="W21" i="297"/>
  <c r="W48" i="297" s="1"/>
  <c r="W23" i="255"/>
  <c r="W50" i="255" s="1"/>
  <c r="T21" i="247"/>
  <c r="T48" i="247" s="1"/>
  <c r="T21" i="253"/>
  <c r="T48" i="253" s="1"/>
  <c r="T22" i="254"/>
  <c r="T49" i="254" s="1"/>
  <c r="T23" i="249"/>
  <c r="T50" i="249" s="1"/>
  <c r="T21" i="258"/>
  <c r="T48" i="258" s="1"/>
  <c r="T21" i="252"/>
  <c r="T48" i="252" s="1"/>
  <c r="T21" i="306"/>
  <c r="T48" i="306" s="1"/>
  <c r="T21" i="254"/>
  <c r="T48" i="254" s="1"/>
  <c r="T23" i="252"/>
  <c r="T50" i="252" s="1"/>
  <c r="W21" i="251"/>
  <c r="W48" i="251" s="1"/>
  <c r="T22" i="247"/>
  <c r="T49" i="247" s="1"/>
  <c r="T22" i="255"/>
  <c r="T49" i="255" s="1"/>
  <c r="T22" i="303"/>
  <c r="T49" i="303" s="1"/>
  <c r="T22" i="249"/>
  <c r="T49" i="249" s="1"/>
  <c r="T23" i="258"/>
  <c r="T50" i="258" s="1"/>
  <c r="T23" i="306"/>
  <c r="T50" i="306" s="1"/>
  <c r="W22" i="306"/>
  <c r="W49" i="306" s="1"/>
  <c r="W23" i="253"/>
  <c r="W50" i="253" s="1"/>
  <c r="W23" i="298"/>
  <c r="W50" i="298" s="1"/>
  <c r="W23" i="254"/>
  <c r="W50" i="254" s="1"/>
  <c r="W23" i="256"/>
  <c r="W50" i="256" s="1"/>
  <c r="T21" i="304"/>
  <c r="T48" i="304" s="1"/>
  <c r="T22" i="302"/>
  <c r="T49" i="302" s="1"/>
  <c r="T21" i="302"/>
  <c r="T48" i="302" s="1"/>
  <c r="T21" i="299"/>
  <c r="T48" i="299" s="1"/>
  <c r="Q42" i="255"/>
  <c r="Q42" i="254"/>
  <c r="Q42" i="253"/>
  <c r="Q42" i="303"/>
  <c r="Q42" i="256"/>
  <c r="Q42" i="251"/>
  <c r="Q42" i="306"/>
  <c r="Q42" i="249"/>
  <c r="Q42" i="247" l="1"/>
  <c r="M24" i="247"/>
  <c r="Q42" i="252"/>
  <c r="M24" i="252"/>
  <c r="M24" i="304"/>
  <c r="Q42" i="304"/>
  <c r="M24" i="302"/>
  <c r="Q42" i="302"/>
  <c r="M24" i="258"/>
  <c r="Q42" i="258"/>
  <c r="M24" i="297"/>
  <c r="Q42" i="297"/>
  <c r="M24" i="298"/>
  <c r="Q42" i="298"/>
  <c r="M24" i="299"/>
  <c r="Q42" i="299"/>
  <c r="M24" i="253"/>
  <c r="M24" i="251"/>
  <c r="M24" i="256"/>
  <c r="M24" i="254"/>
  <c r="M24" i="249"/>
  <c r="M24" i="303"/>
  <c r="M24" i="255"/>
  <c r="M24" i="306"/>
  <c r="W22" i="253"/>
  <c r="W49" i="253" s="1"/>
  <c r="W23" i="251"/>
  <c r="W50" i="251" s="1"/>
  <c r="W22" i="303"/>
  <c r="W49" i="303" s="1"/>
  <c r="W23" i="302"/>
  <c r="W50" i="302" s="1"/>
  <c r="W22" i="255"/>
  <c r="W49" i="255" s="1"/>
  <c r="W21" i="304"/>
  <c r="W48" i="304" s="1"/>
  <c r="W21" i="258"/>
  <c r="W48" i="258" s="1"/>
  <c r="W21" i="249"/>
  <c r="W48" i="249" s="1"/>
  <c r="W23" i="258"/>
  <c r="W50" i="258" s="1"/>
  <c r="W21" i="303"/>
  <c r="W48" i="303" s="1"/>
  <c r="W22" i="304"/>
  <c r="W49" i="304" s="1"/>
  <c r="W22" i="249"/>
  <c r="W49" i="249" s="1"/>
  <c r="W22" i="247"/>
  <c r="W49" i="247" s="1"/>
  <c r="W22" i="256"/>
  <c r="W49" i="256" s="1"/>
  <c r="W21" i="247"/>
  <c r="W48" i="247" s="1"/>
  <c r="W21" i="252"/>
  <c r="W48" i="252" s="1"/>
  <c r="W23" i="303"/>
  <c r="W50" i="303" s="1"/>
  <c r="T18" i="303"/>
  <c r="T45" i="303" s="1"/>
  <c r="T18" i="253"/>
  <c r="T45" i="253" s="1"/>
  <c r="T18" i="255"/>
  <c r="T45" i="255" s="1"/>
  <c r="T18" i="297"/>
  <c r="T45" i="297" s="1"/>
  <c r="T15" i="298"/>
  <c r="T42" i="298" s="1"/>
  <c r="W23" i="306"/>
  <c r="W50" i="306" s="1"/>
  <c r="T16" i="253"/>
  <c r="T43" i="253" s="1"/>
  <c r="T20" i="254"/>
  <c r="T47" i="254" s="1"/>
  <c r="T14" i="254"/>
  <c r="T41" i="254" s="1"/>
  <c r="T16" i="255"/>
  <c r="T43" i="255" s="1"/>
  <c r="T20" i="258"/>
  <c r="T47" i="258" s="1"/>
  <c r="T14" i="258"/>
  <c r="T41" i="258" s="1"/>
  <c r="T16" i="297"/>
  <c r="T43" i="297" s="1"/>
  <c r="T20" i="298"/>
  <c r="T47" i="298" s="1"/>
  <c r="T14" i="298"/>
  <c r="T41" i="298" s="1"/>
  <c r="W21" i="302"/>
  <c r="W48" i="302" s="1"/>
  <c r="W21" i="306"/>
  <c r="W48" i="306" s="1"/>
  <c r="W23" i="249"/>
  <c r="W50" i="249" s="1"/>
  <c r="W23" i="247"/>
  <c r="W50" i="247" s="1"/>
  <c r="W22" i="254"/>
  <c r="W49" i="254" s="1"/>
  <c r="W21" i="256"/>
  <c r="W48" i="256" s="1"/>
  <c r="W23" i="252"/>
  <c r="W50" i="252" s="1"/>
  <c r="T18" i="249"/>
  <c r="T45" i="249" s="1"/>
  <c r="T18" i="251"/>
  <c r="T45" i="251" s="1"/>
  <c r="T20" i="247"/>
  <c r="T47" i="247" s="1"/>
  <c r="T16" i="249"/>
  <c r="T43" i="249" s="1"/>
  <c r="T14" i="306"/>
  <c r="T41" i="306" s="1"/>
  <c r="T20" i="256"/>
  <c r="T47" i="256" s="1"/>
  <c r="T16" i="303"/>
  <c r="T43" i="303" s="1"/>
  <c r="T14" i="252"/>
  <c r="T41" i="252" s="1"/>
  <c r="T18" i="306"/>
  <c r="T45" i="306" s="1"/>
  <c r="T18" i="256"/>
  <c r="T45" i="256" s="1"/>
  <c r="T15" i="303"/>
  <c r="T42" i="303" s="1"/>
  <c r="T18" i="254"/>
  <c r="T45" i="254" s="1"/>
  <c r="T15" i="255"/>
  <c r="T42" i="255" s="1"/>
  <c r="T18" i="298"/>
  <c r="T45" i="298" s="1"/>
  <c r="W21" i="254"/>
  <c r="W48" i="254" s="1"/>
  <c r="T15" i="247"/>
  <c r="T42" i="247" s="1"/>
  <c r="T15" i="306"/>
  <c r="T42" i="306" s="1"/>
  <c r="T15" i="256"/>
  <c r="T42" i="256" s="1"/>
  <c r="T15" i="252"/>
  <c r="T42" i="252" s="1"/>
  <c r="T15" i="254"/>
  <c r="T42" i="254" s="1"/>
  <c r="T15" i="258"/>
  <c r="T42" i="258" s="1"/>
  <c r="T14" i="247"/>
  <c r="T41" i="247" s="1"/>
  <c r="T20" i="306"/>
  <c r="T47" i="306" s="1"/>
  <c r="T16" i="251"/>
  <c r="T43" i="251" s="1"/>
  <c r="T14" i="256"/>
  <c r="T41" i="256" s="1"/>
  <c r="T20" i="252"/>
  <c r="T47" i="252" s="1"/>
  <c r="T18" i="247"/>
  <c r="T45" i="247" s="1"/>
  <c r="T15" i="249"/>
  <c r="T42" i="249" s="1"/>
  <c r="T15" i="251"/>
  <c r="T42" i="251" s="1"/>
  <c r="T18" i="252"/>
  <c r="T45" i="252" s="1"/>
  <c r="T15" i="253"/>
  <c r="T42" i="253" s="1"/>
  <c r="T18" i="258"/>
  <c r="T45" i="258" s="1"/>
  <c r="T15" i="297"/>
  <c r="T42" i="297" s="1"/>
  <c r="T16" i="247"/>
  <c r="T43" i="247" s="1"/>
  <c r="T20" i="249"/>
  <c r="T47" i="249" s="1"/>
  <c r="T14" i="249"/>
  <c r="T41" i="249" s="1"/>
  <c r="T16" i="306"/>
  <c r="T43" i="306" s="1"/>
  <c r="T20" i="251"/>
  <c r="T47" i="251" s="1"/>
  <c r="T14" i="251"/>
  <c r="T41" i="251" s="1"/>
  <c r="T16" i="256"/>
  <c r="T43" i="256" s="1"/>
  <c r="T20" i="303"/>
  <c r="T47" i="303" s="1"/>
  <c r="T14" i="303"/>
  <c r="T41" i="303" s="1"/>
  <c r="T16" i="252"/>
  <c r="T43" i="252" s="1"/>
  <c r="T20" i="253"/>
  <c r="T47" i="253" s="1"/>
  <c r="T14" i="253"/>
  <c r="T41" i="253" s="1"/>
  <c r="T16" i="254"/>
  <c r="T43" i="254" s="1"/>
  <c r="T20" i="255"/>
  <c r="T47" i="255" s="1"/>
  <c r="T14" i="255"/>
  <c r="T41" i="255" s="1"/>
  <c r="T16" i="258"/>
  <c r="T43" i="258" s="1"/>
  <c r="T20" i="297"/>
  <c r="T47" i="297" s="1"/>
  <c r="T14" i="297"/>
  <c r="T41" i="297" s="1"/>
  <c r="T16" i="298"/>
  <c r="T43" i="298" s="1"/>
  <c r="W21" i="253"/>
  <c r="W48" i="253" s="1"/>
  <c r="W22" i="298"/>
  <c r="W49" i="298" s="1"/>
  <c r="W21" i="298"/>
  <c r="W48" i="298" s="1"/>
  <c r="W21" i="255"/>
  <c r="W48" i="255" s="1"/>
  <c r="T16" i="304"/>
  <c r="T43" i="304" s="1"/>
  <c r="T15" i="304"/>
  <c r="T42" i="304" s="1"/>
  <c r="T20" i="304"/>
  <c r="T47" i="304" s="1"/>
  <c r="T14" i="304"/>
  <c r="T41" i="304" s="1"/>
  <c r="T18" i="304"/>
  <c r="T45" i="304" s="1"/>
  <c r="W22" i="302"/>
  <c r="W49" i="302" s="1"/>
  <c r="T16" i="302"/>
  <c r="T43" i="302" s="1"/>
  <c r="T15" i="302"/>
  <c r="T42" i="302" s="1"/>
  <c r="T20" i="302"/>
  <c r="T47" i="302" s="1"/>
  <c r="T14" i="302"/>
  <c r="T41" i="302" s="1"/>
  <c r="T18" i="302"/>
  <c r="T45" i="302" s="1"/>
  <c r="T16" i="299"/>
  <c r="T43" i="299" s="1"/>
  <c r="T15" i="299"/>
  <c r="T42" i="299" s="1"/>
  <c r="W21" i="299"/>
  <c r="W48" i="299" s="1"/>
  <c r="T18" i="299"/>
  <c r="T45" i="299" s="1"/>
  <c r="T14" i="299"/>
  <c r="T41" i="299" s="1"/>
  <c r="T20" i="299"/>
  <c r="T47" i="299" s="1"/>
  <c r="T40" i="307"/>
  <c r="Q40" i="305"/>
  <c r="M51" i="305" s="1"/>
  <c r="Q40" i="307"/>
  <c r="M51" i="307" s="1"/>
  <c r="M40" i="247"/>
  <c r="M40" i="249"/>
  <c r="M40" i="306"/>
  <c r="M40" i="305"/>
  <c r="M40" i="307"/>
  <c r="M40" i="251"/>
  <c r="M40" i="256"/>
  <c r="M40" i="303"/>
  <c r="M40" i="252"/>
  <c r="M40" i="253"/>
  <c r="M40" i="254"/>
  <c r="M40" i="255"/>
  <c r="M40" i="258"/>
  <c r="M40" i="297"/>
  <c r="M40" i="298"/>
  <c r="M40" i="299"/>
  <c r="M40" i="304"/>
  <c r="M40" i="302"/>
  <c r="E40" i="247"/>
  <c r="E40" i="249"/>
  <c r="E40" i="306"/>
  <c r="E40" i="305"/>
  <c r="E40" i="307"/>
  <c r="E40" i="251"/>
  <c r="E40" i="256"/>
  <c r="E40" i="303"/>
  <c r="E40" i="252"/>
  <c r="E40" i="253"/>
  <c r="E40" i="254"/>
  <c r="E40" i="255"/>
  <c r="E40" i="258"/>
  <c r="E40" i="297"/>
  <c r="E40" i="298"/>
  <c r="E40" i="299"/>
  <c r="E40" i="304"/>
  <c r="E40" i="302"/>
  <c r="B40" i="302"/>
  <c r="W15" i="253" l="1"/>
  <c r="W42" i="253" s="1"/>
  <c r="W16" i="249"/>
  <c r="W43" i="249" s="1"/>
  <c r="W14" i="254"/>
  <c r="W41" i="254" s="1"/>
  <c r="W15" i="256"/>
  <c r="W42" i="256" s="1"/>
  <c r="W16" i="297"/>
  <c r="W43" i="297" s="1"/>
  <c r="W20" i="298"/>
  <c r="W47" i="298" s="1"/>
  <c r="W20" i="256"/>
  <c r="W47" i="256" s="1"/>
  <c r="W18" i="247"/>
  <c r="W45" i="247" s="1"/>
  <c r="W18" i="255"/>
  <c r="W45" i="255" s="1"/>
  <c r="W16" i="306"/>
  <c r="W43" i="306" s="1"/>
  <c r="W14" i="256"/>
  <c r="W41" i="256" s="1"/>
  <c r="W15" i="306"/>
  <c r="W42" i="306" s="1"/>
  <c r="W18" i="303"/>
  <c r="W45" i="303" s="1"/>
  <c r="W20" i="302"/>
  <c r="W47" i="302" s="1"/>
  <c r="W14" i="304"/>
  <c r="W41" i="304" s="1"/>
  <c r="W14" i="255"/>
  <c r="W41" i="255" s="1"/>
  <c r="W18" i="298"/>
  <c r="W45" i="298" s="1"/>
  <c r="W20" i="252"/>
  <c r="W47" i="252" s="1"/>
  <c r="W14" i="302"/>
  <c r="W41" i="302" s="1"/>
  <c r="W14" i="253"/>
  <c r="W41" i="253" s="1"/>
  <c r="W14" i="303"/>
  <c r="W41" i="303" s="1"/>
  <c r="W20" i="249"/>
  <c r="W47" i="249" s="1"/>
  <c r="W18" i="258"/>
  <c r="W45" i="258" s="1"/>
  <c r="W20" i="306"/>
  <c r="W47" i="306" s="1"/>
  <c r="W14" i="251"/>
  <c r="W41" i="251" s="1"/>
  <c r="W14" i="258"/>
  <c r="W41" i="258" s="1"/>
  <c r="W18" i="253"/>
  <c r="W45" i="253" s="1"/>
  <c r="W18" i="302"/>
  <c r="W45" i="302" s="1"/>
  <c r="W20" i="297"/>
  <c r="W47" i="297" s="1"/>
  <c r="W20" i="255"/>
  <c r="W47" i="255" s="1"/>
  <c r="W16" i="254"/>
  <c r="W43" i="254" s="1"/>
  <c r="W16" i="252"/>
  <c r="W43" i="252" s="1"/>
  <c r="W20" i="251"/>
  <c r="W47" i="251" s="1"/>
  <c r="W16" i="247"/>
  <c r="W43" i="247" s="1"/>
  <c r="W15" i="251"/>
  <c r="W42" i="251" s="1"/>
  <c r="W14" i="247"/>
  <c r="W41" i="247" s="1"/>
  <c r="W15" i="258"/>
  <c r="W42" i="258" s="1"/>
  <c r="W18" i="254"/>
  <c r="W45" i="254" s="1"/>
  <c r="W18" i="306"/>
  <c r="W45" i="306" s="1"/>
  <c r="W20" i="247"/>
  <c r="W47" i="247" s="1"/>
  <c r="W18" i="251"/>
  <c r="W45" i="251" s="1"/>
  <c r="W20" i="258"/>
  <c r="W47" i="258" s="1"/>
  <c r="W20" i="254"/>
  <c r="W47" i="254" s="1"/>
  <c r="W15" i="298"/>
  <c r="W42" i="298" s="1"/>
  <c r="W16" i="302"/>
  <c r="W43" i="302" s="1"/>
  <c r="W15" i="304"/>
  <c r="W42" i="304" s="1"/>
  <c r="W14" i="297"/>
  <c r="W41" i="297" s="1"/>
  <c r="W18" i="252"/>
  <c r="W45" i="252" s="1"/>
  <c r="W15" i="249"/>
  <c r="W42" i="249" s="1"/>
  <c r="W15" i="254"/>
  <c r="W42" i="254" s="1"/>
  <c r="W15" i="247"/>
  <c r="W42" i="247" s="1"/>
  <c r="W15" i="255"/>
  <c r="W42" i="255" s="1"/>
  <c r="W18" i="256"/>
  <c r="W45" i="256" s="1"/>
  <c r="W16" i="303"/>
  <c r="W43" i="303" s="1"/>
  <c r="W14" i="306"/>
  <c r="W41" i="306" s="1"/>
  <c r="W15" i="302"/>
  <c r="W42" i="302" s="1"/>
  <c r="W20" i="304"/>
  <c r="W47" i="304" s="1"/>
  <c r="W16" i="298"/>
  <c r="W43" i="298" s="1"/>
  <c r="W16" i="258"/>
  <c r="W43" i="258" s="1"/>
  <c r="W20" i="253"/>
  <c r="W47" i="253" s="1"/>
  <c r="W20" i="303"/>
  <c r="W47" i="303" s="1"/>
  <c r="W16" i="256"/>
  <c r="W43" i="256" s="1"/>
  <c r="W14" i="249"/>
  <c r="W41" i="249" s="1"/>
  <c r="W15" i="297"/>
  <c r="W42" i="297" s="1"/>
  <c r="W16" i="251"/>
  <c r="W43" i="251" s="1"/>
  <c r="W15" i="252"/>
  <c r="W42" i="252" s="1"/>
  <c r="W15" i="303"/>
  <c r="W42" i="303" s="1"/>
  <c r="W14" i="252"/>
  <c r="W41" i="252" s="1"/>
  <c r="W16" i="253"/>
  <c r="W43" i="253" s="1"/>
  <c r="W18" i="297"/>
  <c r="W45" i="297" s="1"/>
  <c r="W18" i="304"/>
  <c r="W45" i="304" s="1"/>
  <c r="W16" i="304"/>
  <c r="W43" i="304" s="1"/>
  <c r="W18" i="249"/>
  <c r="W45" i="249" s="1"/>
  <c r="W14" i="298"/>
  <c r="W41" i="298" s="1"/>
  <c r="W16" i="255"/>
  <c r="W43" i="255" s="1"/>
  <c r="W15" i="299"/>
  <c r="W42" i="299" s="1"/>
  <c r="W16" i="299"/>
  <c r="W43" i="299" s="1"/>
  <c r="W14" i="299"/>
  <c r="W41" i="299" s="1"/>
  <c r="W18" i="299"/>
  <c r="W45" i="299" s="1"/>
  <c r="W20" i="299"/>
  <c r="W47" i="299" s="1"/>
  <c r="Q40" i="304"/>
  <c r="M51" i="304" s="1"/>
  <c r="T13" i="305"/>
  <c r="T40" i="305" s="1"/>
  <c r="W13" i="307"/>
  <c r="W40" i="307" s="1"/>
  <c r="Q40" i="258" l="1"/>
  <c r="M51" i="258" s="1"/>
  <c r="Q40" i="252"/>
  <c r="M51" i="252" s="1"/>
  <c r="Q40" i="306"/>
  <c r="M51" i="306" s="1"/>
  <c r="Q40" i="298"/>
  <c r="M51" i="298" s="1"/>
  <c r="Q40" i="247"/>
  <c r="M51" i="247" s="1"/>
  <c r="Q40" i="299"/>
  <c r="M51" i="299" s="1"/>
  <c r="Q40" i="255"/>
  <c r="M51" i="255" s="1"/>
  <c r="Q40" i="303"/>
  <c r="M51" i="303" s="1"/>
  <c r="Q40" i="249"/>
  <c r="M51" i="249" s="1"/>
  <c r="Q40" i="254"/>
  <c r="M51" i="254" s="1"/>
  <c r="Q40" i="256"/>
  <c r="M51" i="256" s="1"/>
  <c r="Q40" i="302"/>
  <c r="M51" i="302" s="1"/>
  <c r="Q40" i="297"/>
  <c r="M51" i="297" s="1"/>
  <c r="Q40" i="253"/>
  <c r="M51" i="253" s="1"/>
  <c r="Q40" i="251"/>
  <c r="M51" i="251" s="1"/>
  <c r="T13" i="252"/>
  <c r="T40" i="252" s="1"/>
  <c r="T13" i="255"/>
  <c r="T40" i="255" s="1"/>
  <c r="T13" i="303"/>
  <c r="T40" i="303" s="1"/>
  <c r="T13" i="254"/>
  <c r="T40" i="254" s="1"/>
  <c r="B40" i="256"/>
  <c r="B40" i="247"/>
  <c r="B40" i="255"/>
  <c r="B40" i="251"/>
  <c r="B40" i="304"/>
  <c r="B40" i="254"/>
  <c r="B40" i="299"/>
  <c r="B40" i="253"/>
  <c r="B40" i="305"/>
  <c r="B40" i="298"/>
  <c r="B40" i="252"/>
  <c r="B40" i="306"/>
  <c r="B40" i="297"/>
  <c r="B40" i="303"/>
  <c r="B40" i="249"/>
  <c r="T13" i="299"/>
  <c r="T40" i="299" s="1"/>
  <c r="T13" i="298"/>
  <c r="T40" i="298" s="1"/>
  <c r="T13" i="256"/>
  <c r="T40" i="256" s="1"/>
  <c r="T13" i="258"/>
  <c r="T40" i="258" s="1"/>
  <c r="B40" i="258"/>
  <c r="B40" i="307"/>
  <c r="T13" i="304"/>
  <c r="T40" i="304" s="1"/>
  <c r="T13" i="302"/>
  <c r="T40" i="302" s="1"/>
  <c r="T13" i="297"/>
  <c r="T40" i="297" s="1"/>
  <c r="T13" i="253"/>
  <c r="T40" i="253" s="1"/>
  <c r="T13" i="251"/>
  <c r="T40" i="251" s="1"/>
  <c r="W13" i="305"/>
  <c r="W40" i="305" s="1"/>
  <c r="T13" i="306"/>
  <c r="T40" i="306" s="1"/>
  <c r="T13" i="249"/>
  <c r="T40" i="249" s="1"/>
  <c r="T13" i="247"/>
  <c r="T40" i="247" s="1"/>
  <c r="W13" i="253" l="1"/>
  <c r="W40" i="253" s="1"/>
  <c r="W13" i="256"/>
  <c r="W40" i="256" s="1"/>
  <c r="W13" i="252"/>
  <c r="W40" i="252" s="1"/>
  <c r="W13" i="254"/>
  <c r="W40" i="254" s="1"/>
  <c r="W13" i="304"/>
  <c r="W40" i="304" s="1"/>
  <c r="W13" i="255"/>
  <c r="W40" i="255" s="1"/>
  <c r="W13" i="303"/>
  <c r="W40" i="303" s="1"/>
  <c r="W13" i="297"/>
  <c r="W40" i="297" s="1"/>
  <c r="W13" i="298"/>
  <c r="W40" i="298" s="1"/>
  <c r="W13" i="299"/>
  <c r="W40" i="299" s="1"/>
  <c r="W13" i="251"/>
  <c r="W40" i="251" s="1"/>
  <c r="W13" i="302"/>
  <c r="W40" i="302" s="1"/>
  <c r="W13" i="258"/>
  <c r="W40" i="258" s="1"/>
  <c r="W13" i="249"/>
  <c r="W40" i="249" s="1"/>
  <c r="W13" i="306"/>
  <c r="W40" i="306" s="1"/>
  <c r="W13" i="247"/>
  <c r="W40" i="247" s="1"/>
  <c r="W25" i="258" l="1"/>
  <c r="W52" i="307"/>
  <c r="B52" i="307"/>
  <c r="B51" i="307"/>
  <c r="AB37" i="307"/>
  <c r="V37" i="307"/>
  <c r="V35" i="307"/>
  <c r="G35" i="307"/>
  <c r="AD33" i="307"/>
  <c r="V33" i="307"/>
  <c r="L33" i="307"/>
  <c r="G33" i="307"/>
  <c r="C33" i="307"/>
  <c r="V31" i="307"/>
  <c r="C31" i="307"/>
  <c r="W52" i="306" l="1"/>
  <c r="B52" i="306"/>
  <c r="B51" i="306"/>
  <c r="AB37" i="306"/>
  <c r="V37" i="306"/>
  <c r="V35" i="306"/>
  <c r="G35" i="306"/>
  <c r="AD33" i="306"/>
  <c r="V33" i="306"/>
  <c r="L33" i="306"/>
  <c r="G33" i="306"/>
  <c r="C33" i="306"/>
  <c r="V31" i="306"/>
  <c r="C31" i="306"/>
  <c r="W52" i="305" l="1"/>
  <c r="B52" i="305"/>
  <c r="B51" i="305"/>
  <c r="AB37" i="305"/>
  <c r="V37" i="305"/>
  <c r="V35" i="305"/>
  <c r="G35" i="305"/>
  <c r="AD33" i="305"/>
  <c r="V33" i="305"/>
  <c r="L33" i="305"/>
  <c r="G33" i="305"/>
  <c r="C33" i="305"/>
  <c r="V31" i="305"/>
  <c r="C31" i="305"/>
  <c r="V35" i="249"/>
  <c r="V35" i="251"/>
  <c r="V35" i="252"/>
  <c r="V35" i="253"/>
  <c r="V35" i="254"/>
  <c r="V35" i="255"/>
  <c r="V35" i="256"/>
  <c r="V35" i="258"/>
  <c r="V35" i="297"/>
  <c r="V35" i="298"/>
  <c r="V35" i="299"/>
  <c r="V35" i="302"/>
  <c r="V35" i="303"/>
  <c r="V35" i="304"/>
  <c r="V35" i="247"/>
  <c r="W52" i="304" l="1"/>
  <c r="B52" i="304"/>
  <c r="B51" i="304"/>
  <c r="AB37" i="304"/>
  <c r="V37" i="304"/>
  <c r="G35" i="304"/>
  <c r="AD33" i="304"/>
  <c r="V33" i="304"/>
  <c r="L33" i="304"/>
  <c r="G33" i="304"/>
  <c r="C33" i="304"/>
  <c r="V31" i="304"/>
  <c r="C31" i="304"/>
  <c r="W52" i="303"/>
  <c r="B52" i="303"/>
  <c r="B51" i="303"/>
  <c r="AB37" i="303"/>
  <c r="V37" i="303"/>
  <c r="G35" i="303"/>
  <c r="AD33" i="303"/>
  <c r="V33" i="303"/>
  <c r="L33" i="303"/>
  <c r="G33" i="303"/>
  <c r="C33" i="303"/>
  <c r="V31" i="303"/>
  <c r="C31" i="303"/>
  <c r="W52" i="302"/>
  <c r="B52" i="302"/>
  <c r="B51" i="302"/>
  <c r="AB37" i="302"/>
  <c r="V37" i="302"/>
  <c r="G35" i="302"/>
  <c r="AD33" i="302"/>
  <c r="V33" i="302"/>
  <c r="L33" i="302"/>
  <c r="G33" i="302"/>
  <c r="C33" i="302"/>
  <c r="V31" i="302"/>
  <c r="C31" i="302"/>
  <c r="W52" i="299"/>
  <c r="B52" i="299"/>
  <c r="B51" i="299"/>
  <c r="AB37" i="299"/>
  <c r="V37" i="299"/>
  <c r="G35" i="299"/>
  <c r="AD33" i="299"/>
  <c r="V33" i="299"/>
  <c r="L33" i="299"/>
  <c r="G33" i="299"/>
  <c r="C33" i="299"/>
  <c r="V31" i="299"/>
  <c r="C31" i="299"/>
  <c r="W52" i="298"/>
  <c r="B52" i="298"/>
  <c r="B51" i="298"/>
  <c r="AB37" i="298"/>
  <c r="V37" i="298"/>
  <c r="G35" i="298"/>
  <c r="AD33" i="298"/>
  <c r="V33" i="298"/>
  <c r="L33" i="298"/>
  <c r="G33" i="298"/>
  <c r="C33" i="298"/>
  <c r="V31" i="298"/>
  <c r="C31" i="298"/>
  <c r="B52" i="297"/>
  <c r="B51" i="297"/>
  <c r="AB37" i="297"/>
  <c r="V37" i="297"/>
  <c r="G35" i="297"/>
  <c r="AD33" i="297"/>
  <c r="V33" i="297"/>
  <c r="L33" i="297"/>
  <c r="G33" i="297"/>
  <c r="C33" i="297"/>
  <c r="V31" i="297"/>
  <c r="C31" i="297"/>
  <c r="W52" i="297"/>
  <c r="B52" i="253" l="1"/>
  <c r="B52" i="252"/>
  <c r="AD33" i="249" l="1"/>
  <c r="AD33" i="251"/>
  <c r="AD33" i="252"/>
  <c r="AD33" i="253"/>
  <c r="AD33" i="254"/>
  <c r="AD33" i="255"/>
  <c r="AD33" i="256"/>
  <c r="AD33" i="258"/>
  <c r="AD33" i="247"/>
  <c r="AB37" i="249"/>
  <c r="AB37" i="251"/>
  <c r="AB37" i="252"/>
  <c r="AB37" i="253"/>
  <c r="AB37" i="254"/>
  <c r="AB37" i="255"/>
  <c r="AB37" i="256"/>
  <c r="AB37" i="258"/>
  <c r="AB37" i="247"/>
  <c r="V37" i="249"/>
  <c r="V37" i="251"/>
  <c r="V37" i="252"/>
  <c r="V37" i="253"/>
  <c r="V37" i="254"/>
  <c r="V37" i="255"/>
  <c r="V37" i="256"/>
  <c r="V37" i="258"/>
  <c r="V37" i="247"/>
  <c r="V33" i="249"/>
  <c r="V33" i="251"/>
  <c r="V33" i="252"/>
  <c r="V33" i="253"/>
  <c r="V33" i="254"/>
  <c r="V33" i="255"/>
  <c r="V33" i="256"/>
  <c r="V33" i="258"/>
  <c r="V33" i="247"/>
  <c r="V31" i="249"/>
  <c r="V31" i="251"/>
  <c r="V31" i="252"/>
  <c r="V31" i="253"/>
  <c r="V31" i="254"/>
  <c r="V31" i="255"/>
  <c r="V31" i="256"/>
  <c r="V31" i="258"/>
  <c r="V31" i="247"/>
  <c r="W52" i="258" l="1"/>
  <c r="B52" i="258"/>
  <c r="B51" i="258"/>
  <c r="G35" i="258"/>
  <c r="L33" i="258"/>
  <c r="G33" i="258"/>
  <c r="C33" i="258"/>
  <c r="C31" i="258"/>
  <c r="W52" i="256"/>
  <c r="B52" i="256"/>
  <c r="B51" i="256"/>
  <c r="G35" i="256"/>
  <c r="L33" i="256"/>
  <c r="G33" i="256"/>
  <c r="C33" i="256"/>
  <c r="C31" i="256"/>
  <c r="W52" i="255"/>
  <c r="B52" i="255"/>
  <c r="B51" i="255"/>
  <c r="G35" i="255"/>
  <c r="L33" i="255"/>
  <c r="G33" i="255"/>
  <c r="C33" i="255"/>
  <c r="C31" i="255"/>
  <c r="W52" i="254"/>
  <c r="B52" i="254"/>
  <c r="B51" i="254"/>
  <c r="L33" i="254"/>
  <c r="G33" i="254"/>
  <c r="C33" i="254"/>
  <c r="C31" i="254"/>
  <c r="W52" i="253"/>
  <c r="B51" i="253"/>
  <c r="G35" i="253"/>
  <c r="L33" i="253"/>
  <c r="G33" i="253"/>
  <c r="C33" i="253"/>
  <c r="C31" i="253"/>
  <c r="W52" i="252"/>
  <c r="B51" i="252"/>
  <c r="G35" i="252"/>
  <c r="L33" i="252"/>
  <c r="G33" i="252"/>
  <c r="C33" i="252"/>
  <c r="C31" i="252"/>
  <c r="W52" i="251"/>
  <c r="B52" i="251"/>
  <c r="B51" i="251"/>
  <c r="G35" i="251"/>
  <c r="L33" i="251"/>
  <c r="G33" i="251"/>
  <c r="C33" i="251"/>
  <c r="C31" i="251"/>
  <c r="B52" i="249"/>
  <c r="B51" i="249"/>
  <c r="G35" i="249"/>
  <c r="L33" i="249"/>
  <c r="G33" i="249"/>
  <c r="C33" i="249"/>
  <c r="C31" i="249"/>
  <c r="W52" i="249"/>
  <c r="B52" i="247"/>
  <c r="B51" i="247"/>
  <c r="G35" i="247"/>
  <c r="L33" i="247"/>
  <c r="G33" i="247"/>
  <c r="C33" i="247"/>
  <c r="C31" i="247"/>
  <c r="W52" i="247"/>
  <c r="W42" i="152" l="1"/>
  <c r="M36" i="152"/>
  <c r="E36" i="152"/>
  <c r="D36" i="152"/>
  <c r="C36" i="152"/>
  <c r="B36" i="152"/>
  <c r="M35" i="152"/>
  <c r="E35" i="152"/>
  <c r="AD32" i="152"/>
  <c r="V32" i="152"/>
  <c r="V30" i="152"/>
  <c r="G30" i="152"/>
  <c r="AD28" i="152"/>
  <c r="V28" i="152"/>
  <c r="L28" i="152"/>
  <c r="G28" i="152"/>
  <c r="C28" i="152"/>
  <c r="V26" i="152"/>
  <c r="C26" i="152"/>
  <c r="Q14" i="152"/>
  <c r="Q36" i="152" s="1"/>
  <c r="T13" i="152"/>
  <c r="T35" i="152" s="1"/>
  <c r="Q13" i="152"/>
  <c r="Q35" i="152" s="1"/>
  <c r="B13" i="152"/>
  <c r="B35" i="152" s="1"/>
  <c r="W42" i="235"/>
  <c r="B42" i="235"/>
  <c r="B41" i="235"/>
  <c r="M37" i="235"/>
  <c r="E37" i="235"/>
  <c r="M36" i="235"/>
  <c r="E36" i="235"/>
  <c r="D36" i="235"/>
  <c r="C36" i="235"/>
  <c r="B36" i="235"/>
  <c r="M35" i="235"/>
  <c r="E35" i="235"/>
  <c r="AD32" i="235"/>
  <c r="V32" i="235"/>
  <c r="V30" i="235"/>
  <c r="G30" i="235"/>
  <c r="AD28" i="235"/>
  <c r="V28" i="235"/>
  <c r="L28" i="235"/>
  <c r="G28" i="235"/>
  <c r="C28" i="235"/>
  <c r="V26" i="235"/>
  <c r="C26" i="235"/>
  <c r="W18" i="235"/>
  <c r="T18" i="235"/>
  <c r="Q15" i="235"/>
  <c r="Q37" i="235" s="1"/>
  <c r="Q14" i="235"/>
  <c r="Q13" i="235"/>
  <c r="B13" i="235"/>
  <c r="B35" i="235" s="1"/>
  <c r="W42" i="234"/>
  <c r="B41" i="234"/>
  <c r="M37" i="234"/>
  <c r="E37" i="234"/>
  <c r="M36" i="234"/>
  <c r="E36" i="234"/>
  <c r="D36" i="234"/>
  <c r="C36" i="234"/>
  <c r="B36" i="234"/>
  <c r="M35" i="234"/>
  <c r="E35" i="234"/>
  <c r="AD32" i="234"/>
  <c r="V32" i="234"/>
  <c r="V30" i="234"/>
  <c r="G30" i="234"/>
  <c r="AD28" i="234"/>
  <c r="V28" i="234"/>
  <c r="L28" i="234"/>
  <c r="G28" i="234"/>
  <c r="C28" i="234"/>
  <c r="V26" i="234"/>
  <c r="C26" i="234"/>
  <c r="W18" i="234"/>
  <c r="T18" i="234"/>
  <c r="Q15" i="234"/>
  <c r="Q14" i="234"/>
  <c r="Q13" i="234"/>
  <c r="B13" i="234"/>
  <c r="B35" i="234" s="1"/>
  <c r="W42" i="233"/>
  <c r="B42" i="233"/>
  <c r="B41" i="233"/>
  <c r="M37" i="233"/>
  <c r="E37" i="233"/>
  <c r="M36" i="233"/>
  <c r="E36" i="233"/>
  <c r="D36" i="233"/>
  <c r="C36" i="233"/>
  <c r="B36" i="233"/>
  <c r="M35" i="233"/>
  <c r="E35" i="233"/>
  <c r="AD32" i="233"/>
  <c r="V32" i="233"/>
  <c r="V30" i="233"/>
  <c r="G30" i="233"/>
  <c r="AD28" i="233"/>
  <c r="V28" i="233"/>
  <c r="L28" i="233"/>
  <c r="G28" i="233"/>
  <c r="C28" i="233"/>
  <c r="V26" i="233"/>
  <c r="C26" i="233"/>
  <c r="T18" i="233"/>
  <c r="W18" i="233" s="1"/>
  <c r="Q15" i="233"/>
  <c r="Q37" i="233" s="1"/>
  <c r="Q14" i="233"/>
  <c r="Q13" i="233"/>
  <c r="B13" i="233"/>
  <c r="B35" i="233" s="1"/>
  <c r="W42" i="232"/>
  <c r="B42" i="232"/>
  <c r="B41" i="232"/>
  <c r="M37" i="232"/>
  <c r="E37" i="232"/>
  <c r="M36" i="232"/>
  <c r="E36" i="232"/>
  <c r="D36" i="232"/>
  <c r="C36" i="232"/>
  <c r="B36" i="232"/>
  <c r="M35" i="232"/>
  <c r="E35" i="232"/>
  <c r="AD32" i="232"/>
  <c r="V32" i="232"/>
  <c r="V30" i="232"/>
  <c r="G30" i="232"/>
  <c r="AD28" i="232"/>
  <c r="V28" i="232"/>
  <c r="L28" i="232"/>
  <c r="G28" i="232"/>
  <c r="C28" i="232"/>
  <c r="V26" i="232"/>
  <c r="C26" i="232"/>
  <c r="W18" i="232"/>
  <c r="T18" i="232"/>
  <c r="Q15" i="232"/>
  <c r="Q37" i="232" s="1"/>
  <c r="Q14" i="232"/>
  <c r="T14" i="232" s="1"/>
  <c r="Q13" i="232"/>
  <c r="Q35" i="232" s="1"/>
  <c r="B13" i="232"/>
  <c r="B35" i="232" s="1"/>
  <c r="W42" i="229"/>
  <c r="B42" i="229"/>
  <c r="B41" i="229"/>
  <c r="M37" i="229"/>
  <c r="E37" i="229"/>
  <c r="M36" i="229"/>
  <c r="E36" i="229"/>
  <c r="D36" i="229"/>
  <c r="C36" i="229"/>
  <c r="B36" i="229"/>
  <c r="M35" i="229"/>
  <c r="E35" i="229"/>
  <c r="AD32" i="229"/>
  <c r="V32" i="229"/>
  <c r="V30" i="229"/>
  <c r="G30" i="229"/>
  <c r="AD28" i="229"/>
  <c r="V28" i="229"/>
  <c r="L28" i="229"/>
  <c r="G28" i="229"/>
  <c r="C28" i="229"/>
  <c r="V26" i="229"/>
  <c r="C26" i="229"/>
  <c r="T18" i="229"/>
  <c r="W18" i="229" s="1"/>
  <c r="Q15" i="229"/>
  <c r="T15" i="229" s="1"/>
  <c r="T37" i="229" s="1"/>
  <c r="Q14" i="229"/>
  <c r="Q13" i="229"/>
  <c r="T13" i="229" s="1"/>
  <c r="T35" i="229" s="1"/>
  <c r="B13" i="229"/>
  <c r="AA15" i="229" s="1"/>
  <c r="AA37" i="229" s="1"/>
  <c r="W42" i="228"/>
  <c r="B42" i="228"/>
  <c r="B41" i="228"/>
  <c r="M37" i="228"/>
  <c r="E37" i="228"/>
  <c r="M36" i="228"/>
  <c r="E36" i="228"/>
  <c r="D36" i="228"/>
  <c r="C36" i="228"/>
  <c r="B36" i="228"/>
  <c r="M35" i="228"/>
  <c r="E35" i="228"/>
  <c r="AD32" i="228"/>
  <c r="V32" i="228"/>
  <c r="V30" i="228"/>
  <c r="G30" i="228"/>
  <c r="AD28" i="228"/>
  <c r="V28" i="228"/>
  <c r="L28" i="228"/>
  <c r="G28" i="228"/>
  <c r="C28" i="228"/>
  <c r="V26" i="228"/>
  <c r="C26" i="228"/>
  <c r="W18" i="228"/>
  <c r="T18" i="228"/>
  <c r="Q15" i="228"/>
  <c r="T15" i="228" s="1"/>
  <c r="T37" i="228" s="1"/>
  <c r="Q14" i="228"/>
  <c r="Q36" i="228" s="1"/>
  <c r="Q13" i="228"/>
  <c r="Q35" i="228" s="1"/>
  <c r="B13" i="228"/>
  <c r="AA15" i="228" s="1"/>
  <c r="AA37" i="228" s="1"/>
  <c r="W42" i="150"/>
  <c r="Q36" i="150"/>
  <c r="M36" i="150"/>
  <c r="E36" i="150"/>
  <c r="D36" i="150"/>
  <c r="C36" i="150"/>
  <c r="B36" i="150"/>
  <c r="M35" i="150"/>
  <c r="E35" i="150"/>
  <c r="AD32" i="150"/>
  <c r="V32" i="150"/>
  <c r="V30" i="150"/>
  <c r="G30" i="150"/>
  <c r="AD28" i="150"/>
  <c r="V28" i="150"/>
  <c r="L28" i="150"/>
  <c r="G28" i="150"/>
  <c r="C28" i="150"/>
  <c r="V26" i="150"/>
  <c r="C26" i="150"/>
  <c r="M19" i="150"/>
  <c r="M41" i="150" s="1"/>
  <c r="T14" i="150"/>
  <c r="T36" i="150" s="1"/>
  <c r="Q14" i="150"/>
  <c r="W14" i="150" s="1"/>
  <c r="W36" i="150" s="1"/>
  <c r="Q13" i="150"/>
  <c r="T13" i="150" s="1"/>
  <c r="B13" i="150"/>
  <c r="AA13" i="150" s="1"/>
  <c r="AA14" i="150" s="1"/>
  <c r="AA36" i="150" s="1"/>
  <c r="W42" i="149"/>
  <c r="B42" i="149"/>
  <c r="M36" i="149"/>
  <c r="E36" i="149"/>
  <c r="D36" i="149"/>
  <c r="C36" i="149"/>
  <c r="B36" i="149"/>
  <c r="M35" i="149"/>
  <c r="E35" i="149"/>
  <c r="AD32" i="149"/>
  <c r="V32" i="149"/>
  <c r="V30" i="149"/>
  <c r="G30" i="149"/>
  <c r="AD28" i="149"/>
  <c r="V28" i="149"/>
  <c r="L28" i="149"/>
  <c r="G28" i="149"/>
  <c r="C28" i="149"/>
  <c r="V26" i="149"/>
  <c r="C26" i="149"/>
  <c r="Q14" i="149"/>
  <c r="M19" i="149" s="1"/>
  <c r="M41" i="149" s="1"/>
  <c r="T13" i="149"/>
  <c r="W13" i="149" s="1"/>
  <c r="W35" i="149" s="1"/>
  <c r="Q13" i="149"/>
  <c r="Q35" i="149" s="1"/>
  <c r="B13" i="149"/>
  <c r="AA13" i="149" s="1"/>
  <c r="AA14" i="149" s="1"/>
  <c r="AA36" i="149" s="1"/>
  <c r="W42" i="148"/>
  <c r="B42" i="148"/>
  <c r="Q36" i="148"/>
  <c r="M36" i="148"/>
  <c r="E36" i="148"/>
  <c r="D36" i="148"/>
  <c r="C36" i="148"/>
  <c r="B36" i="148"/>
  <c r="M35" i="148"/>
  <c r="E35" i="148"/>
  <c r="AD32" i="148"/>
  <c r="V32" i="148"/>
  <c r="V30" i="148"/>
  <c r="G30" i="148"/>
  <c r="AD28" i="148"/>
  <c r="V28" i="148"/>
  <c r="L28" i="148"/>
  <c r="G28" i="148"/>
  <c r="C28" i="148"/>
  <c r="V26" i="148"/>
  <c r="C26" i="148"/>
  <c r="T14" i="148"/>
  <c r="T36" i="148" s="1"/>
  <c r="Q14" i="148"/>
  <c r="W14" i="148" s="1"/>
  <c r="W36" i="148" s="1"/>
  <c r="Q13" i="148"/>
  <c r="T13" i="148" s="1"/>
  <c r="T35" i="148" s="1"/>
  <c r="B13" i="148"/>
  <c r="AA13" i="148" s="1"/>
  <c r="AA14" i="148" s="1"/>
  <c r="AA36" i="148" s="1"/>
  <c r="B42" i="147"/>
  <c r="M36" i="147"/>
  <c r="E36" i="147"/>
  <c r="D36" i="147"/>
  <c r="C36" i="147"/>
  <c r="B36" i="147"/>
  <c r="M35" i="147"/>
  <c r="E35" i="147"/>
  <c r="AD32" i="147"/>
  <c r="V32" i="147"/>
  <c r="V30" i="147"/>
  <c r="G30" i="147"/>
  <c r="AD28" i="147"/>
  <c r="V28" i="147"/>
  <c r="L28" i="147"/>
  <c r="G28" i="147"/>
  <c r="C28" i="147"/>
  <c r="V26" i="147"/>
  <c r="C26" i="147"/>
  <c r="W20" i="147"/>
  <c r="W42" i="147" s="1"/>
  <c r="T14" i="147"/>
  <c r="W14" i="147" s="1"/>
  <c r="W36" i="147" s="1"/>
  <c r="Q14" i="147"/>
  <c r="Q36" i="147" s="1"/>
  <c r="Q13" i="147"/>
  <c r="Q35" i="147" s="1"/>
  <c r="B13" i="147"/>
  <c r="AA13" i="147" s="1"/>
  <c r="W42" i="146"/>
  <c r="B42" i="146"/>
  <c r="M36" i="146"/>
  <c r="E36" i="146"/>
  <c r="D36" i="146"/>
  <c r="C36" i="146"/>
  <c r="B36" i="146"/>
  <c r="M35" i="146"/>
  <c r="E35" i="146"/>
  <c r="AD32" i="146"/>
  <c r="V32" i="146"/>
  <c r="V30" i="146"/>
  <c r="G30" i="146"/>
  <c r="AD28" i="146"/>
  <c r="V28" i="146"/>
  <c r="L28" i="146"/>
  <c r="G28" i="146"/>
  <c r="C28" i="146"/>
  <c r="V26" i="146"/>
  <c r="C26" i="146"/>
  <c r="Q14" i="146"/>
  <c r="Q36" i="146" s="1"/>
  <c r="Q13" i="146"/>
  <c r="Q35" i="146" s="1"/>
  <c r="B13" i="146"/>
  <c r="B35" i="146" s="1"/>
  <c r="W42" i="143"/>
  <c r="B42" i="143"/>
  <c r="M36" i="143"/>
  <c r="E36" i="143"/>
  <c r="D36" i="143"/>
  <c r="C36" i="143"/>
  <c r="B36" i="143"/>
  <c r="M35" i="143"/>
  <c r="E35" i="143"/>
  <c r="AD32" i="143"/>
  <c r="V32" i="143"/>
  <c r="V30" i="143"/>
  <c r="G30" i="143"/>
  <c r="AD28" i="143"/>
  <c r="V28" i="143"/>
  <c r="L28" i="143"/>
  <c r="G28" i="143"/>
  <c r="C28" i="143"/>
  <c r="V26" i="143"/>
  <c r="C26" i="143"/>
  <c r="M19" i="143"/>
  <c r="M41" i="143" s="1"/>
  <c r="Q14" i="143"/>
  <c r="Q36" i="143" s="1"/>
  <c r="Q13" i="143"/>
  <c r="T13" i="143" s="1"/>
  <c r="B13" i="143"/>
  <c r="B35" i="143" s="1"/>
  <c r="W42" i="142"/>
  <c r="B42" i="142"/>
  <c r="M36" i="142"/>
  <c r="E36" i="142"/>
  <c r="D36" i="142"/>
  <c r="C36" i="142"/>
  <c r="B36" i="142"/>
  <c r="M35" i="142"/>
  <c r="E35" i="142"/>
  <c r="AD32" i="142"/>
  <c r="V32" i="142"/>
  <c r="V30" i="142"/>
  <c r="G30" i="142"/>
  <c r="AD28" i="142"/>
  <c r="V28" i="142"/>
  <c r="L28" i="142"/>
  <c r="G28" i="142"/>
  <c r="C28" i="142"/>
  <c r="V26" i="142"/>
  <c r="C26" i="142"/>
  <c r="W20" i="142"/>
  <c r="M19" i="142"/>
  <c r="M41" i="142" s="1"/>
  <c r="Q14" i="142"/>
  <c r="Q36" i="142" s="1"/>
  <c r="Q13" i="142"/>
  <c r="Q35" i="142" s="1"/>
  <c r="B13" i="142"/>
  <c r="AA13" i="142" s="1"/>
  <c r="W13" i="143" l="1"/>
  <c r="W35" i="143" s="1"/>
  <c r="T35" i="143"/>
  <c r="W13" i="150"/>
  <c r="W35" i="150" s="1"/>
  <c r="T35" i="150"/>
  <c r="T14" i="143"/>
  <c r="Q35" i="143"/>
  <c r="T13" i="146"/>
  <c r="T35" i="146" s="1"/>
  <c r="M19" i="147"/>
  <c r="M41" i="147" s="1"/>
  <c r="T36" i="147"/>
  <c r="W13" i="148"/>
  <c r="W35" i="148" s="1"/>
  <c r="M19" i="148"/>
  <c r="M41" i="148" s="1"/>
  <c r="Q35" i="150"/>
  <c r="W14" i="152"/>
  <c r="W36" i="152" s="1"/>
  <c r="T14" i="142"/>
  <c r="T36" i="142" s="1"/>
  <c r="T13" i="142"/>
  <c r="W13" i="146"/>
  <c r="W35" i="146" s="1"/>
  <c r="M19" i="146"/>
  <c r="M41" i="146" s="1"/>
  <c r="T14" i="149"/>
  <c r="Q36" i="149"/>
  <c r="W13" i="152"/>
  <c r="W35" i="152" s="1"/>
  <c r="M19" i="152"/>
  <c r="M41" i="152" s="1"/>
  <c r="Q35" i="148"/>
  <c r="T35" i="149"/>
  <c r="T14" i="146"/>
  <c r="T36" i="146" s="1"/>
  <c r="T13" i="147"/>
  <c r="T35" i="147" s="1"/>
  <c r="T14" i="152"/>
  <c r="T36" i="152" s="1"/>
  <c r="AA15" i="234"/>
  <c r="AA37" i="234" s="1"/>
  <c r="AA13" i="234"/>
  <c r="AA35" i="234" s="1"/>
  <c r="B35" i="148"/>
  <c r="B35" i="149"/>
  <c r="B35" i="150"/>
  <c r="AA15" i="232"/>
  <c r="AA37" i="232" s="1"/>
  <c r="AA13" i="233"/>
  <c r="AA35" i="233" s="1"/>
  <c r="AA15" i="235"/>
  <c r="AA37" i="235" s="1"/>
  <c r="AA35" i="149"/>
  <c r="AA13" i="232"/>
  <c r="AA35" i="232" s="1"/>
  <c r="AA13" i="235"/>
  <c r="AA35" i="235" s="1"/>
  <c r="B35" i="147"/>
  <c r="AA15" i="233"/>
  <c r="AA37" i="233" s="1"/>
  <c r="AA35" i="142"/>
  <c r="AA14" i="142"/>
  <c r="AA36" i="142" s="1"/>
  <c r="AA13" i="146"/>
  <c r="AA35" i="150"/>
  <c r="AA35" i="147"/>
  <c r="AA14" i="147"/>
  <c r="AA36" i="147" s="1"/>
  <c r="AA13" i="143"/>
  <c r="AA35" i="148"/>
  <c r="B35" i="142"/>
  <c r="AA14" i="228"/>
  <c r="AA36" i="228" s="1"/>
  <c r="B35" i="228"/>
  <c r="AA14" i="229"/>
  <c r="AA36" i="229" s="1"/>
  <c r="B35" i="229"/>
  <c r="AA14" i="235"/>
  <c r="AA36" i="235" s="1"/>
  <c r="AA13" i="152"/>
  <c r="AA14" i="232"/>
  <c r="AA36" i="232" s="1"/>
  <c r="AA14" i="233"/>
  <c r="AA36" i="233" s="1"/>
  <c r="AA14" i="234"/>
  <c r="AA36" i="234" s="1"/>
  <c r="AA13" i="228"/>
  <c r="AA35" i="228" s="1"/>
  <c r="AA13" i="229"/>
  <c r="AA35" i="229" s="1"/>
  <c r="Q36" i="232"/>
  <c r="M19" i="233"/>
  <c r="M41" i="233" s="1"/>
  <c r="T15" i="235"/>
  <c r="T37" i="235" s="1"/>
  <c r="T15" i="233"/>
  <c r="W15" i="233" s="1"/>
  <c r="W37" i="233" s="1"/>
  <c r="M19" i="232"/>
  <c r="M41" i="232" s="1"/>
  <c r="T36" i="232"/>
  <c r="W14" i="232"/>
  <c r="W36" i="232" s="1"/>
  <c r="Q35" i="229"/>
  <c r="T13" i="232"/>
  <c r="T15" i="232"/>
  <c r="M19" i="228"/>
  <c r="M41" i="228" s="1"/>
  <c r="Q37" i="228"/>
  <c r="Q36" i="229"/>
  <c r="T14" i="229"/>
  <c r="T36" i="229" s="1"/>
  <c r="W15" i="228"/>
  <c r="W37" i="228" s="1"/>
  <c r="T13" i="228"/>
  <c r="T14" i="228"/>
  <c r="W15" i="229"/>
  <c r="W37" i="229" s="1"/>
  <c r="Q37" i="229"/>
  <c r="Q36" i="235"/>
  <c r="Q36" i="234"/>
  <c r="T15" i="234"/>
  <c r="T37" i="234" s="1"/>
  <c r="M19" i="235"/>
  <c r="M41" i="235" s="1"/>
  <c r="T14" i="235"/>
  <c r="T36" i="235" s="1"/>
  <c r="M19" i="229"/>
  <c r="M41" i="229" s="1"/>
  <c r="W13" i="229"/>
  <c r="W35" i="229" s="1"/>
  <c r="T13" i="233"/>
  <c r="T35" i="233" s="1"/>
  <c r="T14" i="233"/>
  <c r="T36" i="233" s="1"/>
  <c r="Q35" i="233"/>
  <c r="Q36" i="233"/>
  <c r="M19" i="234"/>
  <c r="M41" i="234" s="1"/>
  <c r="T14" i="234"/>
  <c r="T36" i="234" s="1"/>
  <c r="Q37" i="234"/>
  <c r="T13" i="235"/>
  <c r="T35" i="235" s="1"/>
  <c r="Q35" i="235"/>
  <c r="T13" i="234"/>
  <c r="T35" i="234" s="1"/>
  <c r="Q35" i="234"/>
  <c r="W14" i="146" l="1"/>
  <c r="W36" i="146" s="1"/>
  <c r="W14" i="142"/>
  <c r="W36" i="142" s="1"/>
  <c r="T36" i="149"/>
  <c r="W14" i="149"/>
  <c r="W36" i="149" s="1"/>
  <c r="W13" i="142"/>
  <c r="W35" i="142" s="1"/>
  <c r="T35" i="142"/>
  <c r="W13" i="147"/>
  <c r="W35" i="147" s="1"/>
  <c r="T36" i="143"/>
  <c r="W14" i="143"/>
  <c r="W36" i="143" s="1"/>
  <c r="W15" i="235"/>
  <c r="W37" i="235" s="1"/>
  <c r="AA14" i="152"/>
  <c r="AA36" i="152" s="1"/>
  <c r="AA35" i="152"/>
  <c r="AA35" i="143"/>
  <c r="AA14" i="143"/>
  <c r="AA36" i="143" s="1"/>
  <c r="AA35" i="146"/>
  <c r="AA14" i="146"/>
  <c r="AA36" i="146" s="1"/>
  <c r="T37" i="233"/>
  <c r="W13" i="235"/>
  <c r="W35" i="235" s="1"/>
  <c r="W14" i="229"/>
  <c r="W36" i="229" s="1"/>
  <c r="T37" i="232"/>
  <c r="W15" i="232"/>
  <c r="W37" i="232" s="1"/>
  <c r="T35" i="232"/>
  <c r="W13" i="232"/>
  <c r="W35" i="232" s="1"/>
  <c r="W15" i="234"/>
  <c r="W37" i="234" s="1"/>
  <c r="T35" i="228"/>
  <c r="W13" i="228"/>
  <c r="W35" i="228" s="1"/>
  <c r="W14" i="233"/>
  <c r="W36" i="233" s="1"/>
  <c r="W13" i="234"/>
  <c r="W35" i="234" s="1"/>
  <c r="W13" i="233"/>
  <c r="W35" i="233" s="1"/>
  <c r="W14" i="234"/>
  <c r="W36" i="234" s="1"/>
  <c r="W14" i="235"/>
  <c r="W36" i="235" s="1"/>
  <c r="T36" i="228"/>
  <c r="W14" i="228"/>
  <c r="W36" i="228" s="1"/>
</calcChain>
</file>

<file path=xl/sharedStrings.xml><?xml version="1.0" encoding="utf-8"?>
<sst xmlns="http://schemas.openxmlformats.org/spreadsheetml/2006/main" count="2327" uniqueCount="185">
  <si>
    <t>공
급
받
는
자</t>
    <phoneticPr fontId="5" type="noConversion"/>
  </si>
  <si>
    <t>상  호
(법인명)</t>
    <phoneticPr fontId="5" type="noConversion"/>
  </si>
  <si>
    <t>공
급
자</t>
    <phoneticPr fontId="5" type="noConversion"/>
  </si>
  <si>
    <t>등록번호</t>
    <phoneticPr fontId="5" type="noConversion"/>
  </si>
  <si>
    <t>사업장
주  소</t>
    <phoneticPr fontId="5" type="noConversion"/>
  </si>
  <si>
    <t>성 명</t>
    <phoneticPr fontId="5" type="noConversion"/>
  </si>
  <si>
    <t>합계금액
(VAT포함)</t>
    <phoneticPr fontId="5" type="noConversion"/>
  </si>
  <si>
    <t>월</t>
    <phoneticPr fontId="5" type="noConversion"/>
  </si>
  <si>
    <t>일</t>
    <phoneticPr fontId="5" type="noConversion"/>
  </si>
  <si>
    <t>품               목</t>
    <phoneticPr fontId="5" type="noConversion"/>
  </si>
  <si>
    <t>년</t>
    <phoneticPr fontId="5" type="noConversion"/>
  </si>
  <si>
    <r>
      <t>거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래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명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세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표</t>
    </r>
    <r>
      <rPr>
        <b/>
        <sz val="9"/>
        <color indexed="12"/>
        <rFont val="굴림체"/>
        <family val="3"/>
        <charset val="129"/>
      </rPr>
      <t xml:space="preserve"> </t>
    </r>
    <r>
      <rPr>
        <sz val="10"/>
        <color indexed="12"/>
        <rFont val="굴림체"/>
        <family val="3"/>
        <charset val="129"/>
      </rPr>
      <t>(공급받는자 보관용)</t>
    </r>
    <phoneticPr fontId="5" type="noConversion"/>
  </si>
  <si>
    <r>
      <t>거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래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명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세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표</t>
    </r>
    <r>
      <rPr>
        <b/>
        <sz val="9"/>
        <color indexed="10"/>
        <rFont val="굴림체"/>
        <family val="3"/>
        <charset val="129"/>
      </rPr>
      <t xml:space="preserve"> </t>
    </r>
    <r>
      <rPr>
        <sz val="10"/>
        <color indexed="10"/>
        <rFont val="굴림체"/>
        <family val="3"/>
        <charset val="129"/>
      </rPr>
      <t>(공급자 보관용)</t>
    </r>
    <phoneticPr fontId="5" type="noConversion"/>
  </si>
  <si>
    <t>업 태</t>
    <phoneticPr fontId="5" type="noConversion"/>
  </si>
  <si>
    <t>종 목</t>
    <phoneticPr fontId="5" type="noConversion"/>
  </si>
  <si>
    <t>상 호
(법인명)</t>
    <phoneticPr fontId="5" type="noConversion"/>
  </si>
  <si>
    <t>입수</t>
    <phoneticPr fontId="5" type="noConversion"/>
  </si>
  <si>
    <t>3자물류 (더원물류)
담당자 박병선이사  010-4448-1456</t>
    <phoneticPr fontId="5" type="noConversion"/>
  </si>
  <si>
    <t>제조업</t>
    <phoneticPr fontId="5" type="noConversion"/>
  </si>
  <si>
    <t>비고</t>
    <phoneticPr fontId="5" type="noConversion"/>
  </si>
  <si>
    <t>총수량</t>
    <phoneticPr fontId="5" type="noConversion"/>
  </si>
  <si>
    <t>경기 화성시 초록로 103</t>
    <phoneticPr fontId="5" type="noConversion"/>
  </si>
  <si>
    <t>세종특별자치시 연동면
응암리 925 E동</t>
    <phoneticPr fontId="5" type="noConversion"/>
  </si>
  <si>
    <t>경기도 남양주시 진접읍 내각리 99-5</t>
    <phoneticPr fontId="5" type="noConversion"/>
  </si>
  <si>
    <t>인천광역시 서구 오류동 1582-4</t>
    <phoneticPr fontId="5" type="noConversion"/>
  </si>
  <si>
    <t>경기도 용인시 처인구 양지면
제일리 453-7</t>
    <phoneticPr fontId="5" type="noConversion"/>
  </si>
  <si>
    <t>경기도 평택시 진위면 마산8로10,
진위물류센터 창고동 1층</t>
    <phoneticPr fontId="5" type="noConversion"/>
  </si>
  <si>
    <t>경북 칠곡군 왜관읍 공단로 13길
6-15</t>
    <phoneticPr fontId="5" type="noConversion"/>
  </si>
  <si>
    <t>경남 창원시 진해구 신항6로 30
지디시 B동</t>
    <phoneticPr fontId="5" type="noConversion"/>
  </si>
  <si>
    <t>경기도 양주시 광적면 석우리 435-3
김의중 담당 070-8857-9052</t>
    <phoneticPr fontId="5" type="noConversion"/>
  </si>
  <si>
    <t>경기 화성시 초록로 103
오민수 대리 031-8077-2407</t>
    <phoneticPr fontId="5" type="noConversion"/>
  </si>
  <si>
    <t>세종특별자치시 연동면
응암리 925 E동
허승현 대리 044-862-4400</t>
    <phoneticPr fontId="5" type="noConversion"/>
  </si>
  <si>
    <t>인천광역시 서구 오류동 1582-4
윤성필 파트장 031-997-9480</t>
    <phoneticPr fontId="5" type="noConversion"/>
  </si>
  <si>
    <t>경기도 용인시 처인구 양지면
제일리 453-7
박영범 주임 031-8027-2080</t>
    <phoneticPr fontId="5" type="noConversion"/>
  </si>
  <si>
    <t>경기도 평택시 진위면 마산8로10,
진위물류센터 창고동 1층
강민구 대리 031-663-9260</t>
    <phoneticPr fontId="5" type="noConversion"/>
  </si>
  <si>
    <t>경남 창원시 진해구 신항6로 30
지디시 B동
김유진 주임 055-715-1183</t>
    <phoneticPr fontId="5" type="noConversion"/>
  </si>
  <si>
    <t>경북 칠곡군 왜관읍 공단로 13길
6-15
류현진 주임 054-821-0500</t>
    <phoneticPr fontId="5" type="noConversion"/>
  </si>
  <si>
    <t>경기도 남양주시 진접읍 내각리 99-5
이주희 대리 031-523-8270</t>
    <phoneticPr fontId="5" type="noConversion"/>
  </si>
  <si>
    <t>박스</t>
    <phoneticPr fontId="5" type="noConversion"/>
  </si>
  <si>
    <t>남양주2(저온)</t>
  </si>
  <si>
    <t>부산2(저온)</t>
  </si>
  <si>
    <t>양지2(저온)</t>
  </si>
  <si>
    <t>낱개수량</t>
  </si>
  <si>
    <t xml:space="preserve"> </t>
    <phoneticPr fontId="5" type="noConversion"/>
  </si>
  <si>
    <t>인천 서구 북항로 120번길 55,2F</t>
    <phoneticPr fontId="5" type="noConversion"/>
  </si>
  <si>
    <t>경상남도 양산시 산막공단북3길 25(산막동 313-4)</t>
    <phoneticPr fontId="5" type="noConversion"/>
  </si>
  <si>
    <t>전라남도 장성군 황룡면 황룡리 44-2 2층</t>
    <phoneticPr fontId="5" type="noConversion"/>
  </si>
  <si>
    <t>제2인천저온(저온)</t>
  </si>
  <si>
    <t>(이마트24)</t>
    <phoneticPr fontId="5" type="noConversion"/>
  </si>
  <si>
    <t>성명</t>
    <phoneticPr fontId="5" type="noConversion"/>
  </si>
  <si>
    <t>종목</t>
    <phoneticPr fontId="5" type="noConversion"/>
  </si>
  <si>
    <t>장성2(저온)</t>
    <phoneticPr fontId="5" type="noConversion"/>
  </si>
  <si>
    <t>세종2(저온)</t>
    <phoneticPr fontId="5" type="noConversion"/>
  </si>
  <si>
    <t>양산2(저온)</t>
    <phoneticPr fontId="5" type="noConversion"/>
  </si>
  <si>
    <t>평택2(저온)</t>
    <phoneticPr fontId="5" type="noConversion"/>
  </si>
  <si>
    <t>화성2(저온)</t>
    <phoneticPr fontId="5" type="noConversion"/>
  </si>
  <si>
    <t>인천2(저온)</t>
    <phoneticPr fontId="5" type="noConversion"/>
  </si>
  <si>
    <t>칠곡2(저온)</t>
    <phoneticPr fontId="5" type="noConversion"/>
  </si>
  <si>
    <t>512-81-01914</t>
    <phoneticPr fontId="5" type="noConversion"/>
  </si>
  <si>
    <t>소디프비앤에프</t>
    <phoneticPr fontId="5" type="noConversion"/>
  </si>
  <si>
    <t>이정용</t>
    <phoneticPr fontId="5" type="noConversion"/>
  </si>
  <si>
    <t>경상북도 영주시 가흥공단로 
59-144(상줄동)</t>
    <phoneticPr fontId="5" type="noConversion"/>
  </si>
  <si>
    <t>햄소세지돈까스
기타식품제조및가공판매</t>
    <phoneticPr fontId="5" type="noConversion"/>
  </si>
  <si>
    <t>네모밥스_남도식떡갈비</t>
    <phoneticPr fontId="5" type="noConversion"/>
  </si>
  <si>
    <t>네모밥스_참치마요&amp;날치알</t>
    <phoneticPr fontId="5" type="noConversion"/>
  </si>
  <si>
    <t>장성센터(저온)</t>
    <phoneticPr fontId="5" type="noConversion"/>
  </si>
  <si>
    <t>세종센터(저온)</t>
    <phoneticPr fontId="5" type="noConversion"/>
  </si>
  <si>
    <t>남양주센터(저온)</t>
    <phoneticPr fontId="5" type="noConversion"/>
  </si>
  <si>
    <t>제2인천저온
(저온)</t>
    <phoneticPr fontId="5" type="noConversion"/>
  </si>
  <si>
    <t>부산센터(저온)</t>
    <phoneticPr fontId="5" type="noConversion"/>
  </si>
  <si>
    <t>양산센터(저온)</t>
    <phoneticPr fontId="5" type="noConversion"/>
  </si>
  <si>
    <t>양지센터(저온)</t>
    <phoneticPr fontId="5" type="noConversion"/>
  </si>
  <si>
    <t>평택센터(저온)</t>
    <phoneticPr fontId="5" type="noConversion"/>
  </si>
  <si>
    <t>인천센터(저온)</t>
    <phoneticPr fontId="5" type="noConversion"/>
  </si>
  <si>
    <t>칠곡센터(저온)</t>
    <phoneticPr fontId="5" type="noConversion"/>
  </si>
  <si>
    <t>화성센터(저온)</t>
    <phoneticPr fontId="5" type="noConversion"/>
  </si>
  <si>
    <t>그린)사랑의열매_사랑의샌드위치2편</t>
    <phoneticPr fontId="5" type="noConversion"/>
  </si>
  <si>
    <t>그린)스테이크버거2편</t>
    <phoneticPr fontId="5" type="noConversion"/>
  </si>
  <si>
    <t>그린)콰트로믹스샌드위치2편</t>
    <phoneticPr fontId="5" type="noConversion"/>
  </si>
  <si>
    <t>692-88-00772</t>
    <phoneticPr fontId="5" type="noConversion"/>
  </si>
  <si>
    <t>그린델리카</t>
    <phoneticPr fontId="5" type="noConversion"/>
  </si>
  <si>
    <t>김병호</t>
    <phoneticPr fontId="5" type="noConversion"/>
  </si>
  <si>
    <t>경기도 남양주시 진접읍 봉현로 128</t>
    <phoneticPr fontId="5" type="noConversion"/>
  </si>
  <si>
    <t>제과(식품제조가공업)</t>
    <phoneticPr fontId="5" type="noConversion"/>
  </si>
  <si>
    <t>농후발효유, 
그릭요거트</t>
    <phoneticPr fontId="5" type="noConversion"/>
  </si>
  <si>
    <t>세븐일레븐</t>
    <phoneticPr fontId="5" type="noConversion"/>
  </si>
  <si>
    <t>광주냉장</t>
    <phoneticPr fontId="5" type="noConversion"/>
  </si>
  <si>
    <t>대구냉장</t>
    <phoneticPr fontId="5" type="noConversion"/>
  </si>
  <si>
    <t>부산냉장</t>
    <phoneticPr fontId="5" type="noConversion"/>
  </si>
  <si>
    <t>세종냉장센터</t>
    <phoneticPr fontId="5" type="noConversion"/>
  </si>
  <si>
    <t>수도권냉장</t>
    <phoneticPr fontId="5" type="noConversion"/>
  </si>
  <si>
    <t>수원저온센터</t>
    <phoneticPr fontId="5" type="noConversion"/>
  </si>
  <si>
    <t>안성저온센터</t>
    <phoneticPr fontId="5" type="noConversion"/>
  </si>
  <si>
    <t>양산냉장</t>
    <phoneticPr fontId="5" type="noConversion"/>
  </si>
  <si>
    <t>양주저온</t>
    <phoneticPr fontId="5" type="noConversion"/>
  </si>
  <si>
    <t>오포저온</t>
    <phoneticPr fontId="5" type="noConversion"/>
  </si>
  <si>
    <t>원주저온</t>
    <phoneticPr fontId="5" type="noConversion"/>
  </si>
  <si>
    <t>인천저온</t>
    <phoneticPr fontId="5" type="noConversion"/>
  </si>
  <si>
    <t>제주냉장센터</t>
    <phoneticPr fontId="5" type="noConversion"/>
  </si>
  <si>
    <t>칠곡저온</t>
    <phoneticPr fontId="5" type="noConversion"/>
  </si>
  <si>
    <t>해인기흥저온센터</t>
    <phoneticPr fontId="5" type="noConversion"/>
  </si>
  <si>
    <t>광주광역시 광산구 진곡산단5번로 69</t>
    <phoneticPr fontId="5" type="noConversion"/>
  </si>
  <si>
    <t>광주광역시 광산구 진곡산단5번로 69
062-959-7111</t>
    <phoneticPr fontId="5" type="noConversion"/>
  </si>
  <si>
    <t>경기도 광주시 오포읍 오포로 614</t>
    <phoneticPr fontId="5" type="noConversion"/>
  </si>
  <si>
    <t>광주광역시 북구 양일로 111(양산동)</t>
    <phoneticPr fontId="5" type="noConversion"/>
  </si>
  <si>
    <t>광주광역시 북구 양일로 111(양산동)
062-574-6333</t>
    <phoneticPr fontId="5" type="noConversion"/>
  </si>
  <si>
    <t>경북 경산시 압량읍 가야로20
(212-3, 216-3)</t>
    <phoneticPr fontId="5" type="noConversion"/>
  </si>
  <si>
    <t>경북 경산시 압량읍 가야로 20
(212-3, 216-3)  / 053-818-0285</t>
    <phoneticPr fontId="5" type="noConversion"/>
  </si>
  <si>
    <t xml:space="preserve">세종특별자치시 부강면 산수리
 105-3번지 </t>
    <phoneticPr fontId="5" type="noConversion"/>
  </si>
  <si>
    <t xml:space="preserve">세종특별자치시 부강면 산수리 105-3번지
044-867-6830 </t>
    <phoneticPr fontId="5" type="noConversion"/>
  </si>
  <si>
    <t>경기도 용인시 기흥구 하갈동 156-18</t>
    <phoneticPr fontId="5" type="noConversion"/>
  </si>
  <si>
    <t>경기도 용인시 기흥구 하갈동 156-18
031-8005-6200</t>
    <phoneticPr fontId="5" type="noConversion"/>
  </si>
  <si>
    <t>경기도 안성시 원곡면 청원로 1752-122</t>
    <phoneticPr fontId="5" type="noConversion"/>
  </si>
  <si>
    <t>경기도 안성시 원곡면 청원로
1752-122</t>
    <phoneticPr fontId="5" type="noConversion"/>
  </si>
  <si>
    <t>경남 양산시 충렬로 149(유산동)</t>
    <phoneticPr fontId="5" type="noConversion"/>
  </si>
  <si>
    <t>경남 양산시 충렬로 149(유산동)
055-389-2647</t>
    <phoneticPr fontId="5" type="noConversion"/>
  </si>
  <si>
    <t>강원도 원주시 소초면 북원로 3062-7</t>
    <phoneticPr fontId="5" type="noConversion"/>
  </si>
  <si>
    <t>강원도 원주시 소초면 북원로 3062-7
033-733-0228~9</t>
    <phoneticPr fontId="5" type="noConversion"/>
  </si>
  <si>
    <t>인천시  서구 북항로 245번길 13-22</t>
    <phoneticPr fontId="5" type="noConversion"/>
  </si>
  <si>
    <t>인천시  서구 북항로 245번길 13-22
032-546-0152</t>
    <phoneticPr fontId="5" type="noConversion"/>
  </si>
  <si>
    <t>제주시 조천읍 와흘로 241</t>
    <phoneticPr fontId="5" type="noConversion"/>
  </si>
  <si>
    <t>제주시 조천읍 와흘로 241
064-784-9924</t>
    <phoneticPr fontId="5" type="noConversion"/>
  </si>
  <si>
    <t>경기도 용인시 기흥구 원고매로
12-1(고매동453-5)</t>
    <phoneticPr fontId="5" type="noConversion"/>
  </si>
  <si>
    <t>경기도 용인시 기흥구 원고매로 
12-1(고매동453-5) / 031-275-1859</t>
    <phoneticPr fontId="5" type="noConversion"/>
  </si>
  <si>
    <t>경남 양산시 물금읍 제방로 225 
7단지</t>
    <phoneticPr fontId="5" type="noConversion"/>
  </si>
  <si>
    <t>경남 양산시 물금읍 제방로 225 7단지
070-4104-4413</t>
    <phoneticPr fontId="5" type="noConversion"/>
  </si>
  <si>
    <t>경기도 광주시 오포읍 오포로 614
031-768-6577</t>
    <phoneticPr fontId="5" type="noConversion"/>
  </si>
  <si>
    <t>경기도 광주시 오포로 614</t>
    <phoneticPr fontId="5" type="noConversion"/>
  </si>
  <si>
    <t>경기 광주시 오포로 614 도크</t>
    <phoneticPr fontId="5" type="noConversion"/>
  </si>
  <si>
    <t>광주B저온센터</t>
  </si>
  <si>
    <t>광주B저온센터</t>
    <phoneticPr fontId="5" type="noConversion"/>
  </si>
  <si>
    <r>
      <t>거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래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명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세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b/>
        <sz val="20"/>
        <color indexed="12"/>
        <rFont val="맑은 고딕"/>
        <family val="3"/>
        <charset val="129"/>
        <scheme val="major"/>
      </rPr>
      <t>표</t>
    </r>
    <r>
      <rPr>
        <b/>
        <sz val="9"/>
        <color indexed="12"/>
        <rFont val="맑은 고딕"/>
        <family val="3"/>
        <charset val="129"/>
        <scheme val="major"/>
      </rPr>
      <t xml:space="preserve"> </t>
    </r>
    <r>
      <rPr>
        <sz val="10"/>
        <color indexed="12"/>
        <rFont val="맑은 고딕"/>
        <family val="3"/>
        <charset val="129"/>
        <scheme val="major"/>
      </rPr>
      <t>(공급받는자 보관용)</t>
    </r>
    <phoneticPr fontId="5" type="noConversion"/>
  </si>
  <si>
    <r>
      <t>거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래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명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세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b/>
        <sz val="20"/>
        <color indexed="10"/>
        <rFont val="맑은 고딕"/>
        <family val="3"/>
        <charset val="129"/>
        <scheme val="major"/>
      </rPr>
      <t>표</t>
    </r>
    <r>
      <rPr>
        <b/>
        <sz val="9"/>
        <color indexed="10"/>
        <rFont val="맑은 고딕"/>
        <family val="3"/>
        <charset val="129"/>
        <scheme val="major"/>
      </rPr>
      <t xml:space="preserve"> </t>
    </r>
    <r>
      <rPr>
        <sz val="10"/>
        <color indexed="10"/>
        <rFont val="맑은 고딕"/>
        <family val="3"/>
        <charset val="129"/>
        <scheme val="major"/>
      </rPr>
      <t>(공급자 보관용)</t>
    </r>
    <phoneticPr fontId="5" type="noConversion"/>
  </si>
  <si>
    <t>김제냉장</t>
    <phoneticPr fontId="5" type="noConversion"/>
  </si>
  <si>
    <t>전북 김제시 금산면 금평로 313</t>
    <phoneticPr fontId="5" type="noConversion"/>
  </si>
  <si>
    <t>총합계</t>
  </si>
  <si>
    <t>대구냉장A동</t>
    <phoneticPr fontId="5" type="noConversion"/>
  </si>
  <si>
    <t>대구냉장B동</t>
    <phoneticPr fontId="5" type="noConversion"/>
  </si>
  <si>
    <t>경상북도 칠곡군 지천면 금호로 
삼청5길 50-22 2층</t>
    <phoneticPr fontId="5" type="noConversion"/>
  </si>
  <si>
    <r>
      <rPr>
        <b/>
        <sz val="9"/>
        <color rgb="FF0000FF"/>
        <rFont val="맑은 고딕"/>
        <family val="3"/>
        <charset val="129"/>
        <scheme val="major"/>
      </rPr>
      <t>경상북도 칠곡군 지천면 금호로 
삼청5길 50-22 2층</t>
    </r>
    <r>
      <rPr>
        <sz val="9"/>
        <color indexed="12"/>
        <rFont val="맑은 고딕"/>
        <family val="3"/>
        <charset val="129"/>
        <scheme val="major"/>
      </rPr>
      <t xml:space="preserve">
054-800-7031</t>
    </r>
    <phoneticPr fontId="5" type="noConversion"/>
  </si>
  <si>
    <t>경기도 양주시 은현면 선암리 128-3</t>
    <phoneticPr fontId="5" type="noConversion"/>
  </si>
  <si>
    <t>제주냉장센터</t>
  </si>
  <si>
    <t>광주냉장</t>
  </si>
  <si>
    <t>대구냉장</t>
  </si>
  <si>
    <t>부산냉장</t>
  </si>
  <si>
    <t>세종냉장센터</t>
  </si>
  <si>
    <t>수원저온센터</t>
  </si>
  <si>
    <t>안성저온센터</t>
  </si>
  <si>
    <t>양산냉장</t>
  </si>
  <si>
    <t>양주저온</t>
  </si>
  <si>
    <t>오포저온</t>
  </si>
  <si>
    <t>원주저온</t>
  </si>
  <si>
    <t>인천저온</t>
  </si>
  <si>
    <t>칠곡저온</t>
  </si>
  <si>
    <t>해인기흥저온센터</t>
  </si>
  <si>
    <t>308-87-03289</t>
    <phoneticPr fontId="5" type="noConversion"/>
  </si>
  <si>
    <t>주식회사 은성파머스</t>
    <phoneticPr fontId="5" type="noConversion"/>
  </si>
  <si>
    <t>안은엽</t>
    <phoneticPr fontId="5" type="noConversion"/>
  </si>
  <si>
    <t>경기도 여주시 세종대왕면 매류1길 45</t>
    <phoneticPr fontId="5" type="noConversion"/>
  </si>
  <si>
    <t>도소매</t>
    <phoneticPr fontId="5" type="noConversion"/>
  </si>
  <si>
    <t>식품도소매</t>
    <phoneticPr fontId="5" type="noConversion"/>
  </si>
  <si>
    <t>은성)치킨텐더샐러드 150g</t>
  </si>
  <si>
    <t>은성)닭가슴살샐러드 155g</t>
  </si>
  <si>
    <t>은성)닭가슴살샐러드 155g</t>
    <phoneticPr fontId="5" type="noConversion"/>
  </si>
  <si>
    <t>밸런스푼)에그듬뿍샐러드 230g</t>
  </si>
  <si>
    <t>밸런스푼)에그듬뿍샐러드 230g</t>
    <phoneticPr fontId="5" type="noConversion"/>
  </si>
  <si>
    <t>밸런스푼)꽃맛살듬뿍샐러드 235g</t>
  </si>
  <si>
    <t>밸런스푼)꽃맛살듬뿍샐러드 235g</t>
    <phoneticPr fontId="5" type="noConversion"/>
  </si>
  <si>
    <t>밸런스푼)훈제오리듬뿍샐러드 225g</t>
  </si>
  <si>
    <t>APP예약)밸런스푼훈제오리듬뿍샐러드</t>
    <phoneticPr fontId="5" type="noConversion"/>
  </si>
  <si>
    <t>밸런스푼)훈제오리듬뿍샐러드 225g</t>
    <phoneticPr fontId="5" type="noConversion"/>
  </si>
  <si>
    <t>은성)치킨텐더샐러드 150g</t>
    <phoneticPr fontId="5" type="noConversion"/>
  </si>
  <si>
    <t>APP예약)닭가슴살샐러드</t>
    <phoneticPr fontId="5" type="noConversion"/>
  </si>
  <si>
    <t>APP예약)밸런스푼꽃맛살듬뿍샐러드</t>
    <phoneticPr fontId="5" type="noConversion"/>
  </si>
  <si>
    <t>APP예약)밸런스푼에그듬뿍샐러드</t>
    <phoneticPr fontId="5" type="noConversion"/>
  </si>
  <si>
    <t>APP예약)치킨텐더샐러드</t>
    <phoneticPr fontId="5" type="noConversion"/>
  </si>
  <si>
    <t>밸런스푼)새우듬뿍샐러드 185g</t>
  </si>
  <si>
    <t>밸런스푼)새우듬뿍샐러드 185g</t>
    <phoneticPr fontId="5" type="noConversion"/>
  </si>
  <si>
    <t>열 레이블</t>
  </si>
  <si>
    <t>APP예약)밸런스푼훈제오리듬뿍샐러드</t>
  </si>
  <si>
    <t>행 레이블</t>
  </si>
  <si>
    <t>APP예약)밸런스푼에그듬뿍샐러드</t>
  </si>
  <si>
    <t>10/19</t>
  </si>
  <si>
    <t>APP예약)밸런스푼꽃맛살듬뿍샐러드</t>
  </si>
  <si>
    <t>APP예약)치킨텐더샐러드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</si>
</sst>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_ "/>
  </numFmts>
  <fonts count="4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color indexed="12"/>
      <name val="굴림체"/>
      <family val="3"/>
      <charset val="129"/>
    </font>
    <font>
      <b/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8"/>
      <name val="돋움"/>
      <family val="3"/>
      <charset val="129"/>
    </font>
    <font>
      <sz val="9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20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1"/>
      <color indexed="10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9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8"/>
      <color indexed="8"/>
      <name val="굴림체"/>
      <family val="3"/>
      <charset val="129"/>
    </font>
    <font>
      <sz val="6"/>
      <color indexed="8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9"/>
      <color rgb="FFFF0000"/>
      <name val="굴림체"/>
      <family val="3"/>
      <charset val="129"/>
    </font>
    <font>
      <sz val="11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b/>
      <sz val="20"/>
      <color indexed="12"/>
      <name val="맑은 고딕"/>
      <family val="3"/>
      <charset val="129"/>
      <scheme val="major"/>
    </font>
    <font>
      <b/>
      <sz val="9"/>
      <color indexed="12"/>
      <name val="맑은 고딕"/>
      <family val="3"/>
      <charset val="129"/>
      <scheme val="major"/>
    </font>
    <font>
      <sz val="10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indexed="12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20"/>
      <color indexed="10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sz val="10"/>
      <color indexed="10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hair">
        <color indexed="8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/>
      <right style="thin">
        <color indexed="64"/>
      </right>
      <top/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indexed="10"/>
      </bottom>
      <diagonal/>
    </border>
    <border>
      <left/>
      <right/>
      <top style="thin">
        <color rgb="FFFF0000"/>
      </top>
      <bottom style="thin">
        <color indexed="10"/>
      </bottom>
      <diagonal/>
    </border>
    <border>
      <left/>
      <right style="medium">
        <color indexed="10"/>
      </right>
      <top style="thin">
        <color rgb="FFFF0000"/>
      </top>
      <bottom style="thin">
        <color indexed="10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indexed="12"/>
      </top>
      <bottom style="thin">
        <color indexed="12"/>
      </bottom>
      <diagonal/>
    </border>
    <border>
      <left style="thin">
        <color rgb="FF0000FF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rgb="FF0070C0"/>
      </left>
      <right style="thin">
        <color indexed="12"/>
      </right>
      <top style="thin">
        <color rgb="FF0070C0"/>
      </top>
      <bottom style="thin">
        <color rgb="FF0070C0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medium">
        <color indexed="12"/>
      </left>
      <right/>
      <top style="thin">
        <color indexed="12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12"/>
      </top>
      <bottom style="thin">
        <color rgb="FF0070C0"/>
      </bottom>
      <diagonal/>
    </border>
    <border>
      <left/>
      <right/>
      <top style="thin">
        <color indexed="10"/>
      </top>
      <bottom style="thin">
        <color rgb="FFFF0000"/>
      </bottom>
      <diagonal/>
    </border>
    <border>
      <left style="thin">
        <color indexed="10"/>
      </left>
      <right style="thin">
        <color rgb="FFFF0000"/>
      </right>
      <top style="thin">
        <color rgb="FFFF000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rgb="FFFF0000"/>
      </top>
      <bottom style="thin">
        <color indexed="10"/>
      </bottom>
      <diagonal/>
    </border>
    <border>
      <left style="medium">
        <color indexed="10"/>
      </left>
      <right/>
      <top style="thin">
        <color indexed="10"/>
      </top>
      <bottom style="thin">
        <color rgb="FFFF0000"/>
      </bottom>
      <diagonal/>
    </border>
    <border>
      <left/>
      <right style="thin">
        <color indexed="10"/>
      </right>
      <top style="thin">
        <color indexed="10"/>
      </top>
      <bottom style="thin">
        <color rgb="FFFF0000"/>
      </bottom>
      <diagonal/>
    </border>
    <border>
      <left style="thin">
        <color rgb="FFFF0000"/>
      </left>
      <right style="thin">
        <color indexed="10"/>
      </right>
      <top style="thin">
        <color rgb="FFFF0000"/>
      </top>
      <bottom style="thin">
        <color indexed="10"/>
      </bottom>
      <diagonal/>
    </border>
    <border>
      <left/>
      <right style="medium">
        <color rgb="FFFF000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rgb="FFFF0000"/>
      </bottom>
      <diagonal/>
    </border>
    <border>
      <left/>
      <right style="thin">
        <color rgb="FFFF0000"/>
      </right>
      <top style="thin">
        <color indexed="10"/>
      </top>
      <bottom style="thin">
        <color rgb="FFFF0000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/>
      <right style="thin">
        <color rgb="FFFF0000"/>
      </right>
      <top style="thin">
        <color indexed="10"/>
      </top>
      <bottom/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1" fillId="0" borderId="0"/>
    <xf numFmtId="41" fontId="2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69">
    <xf numFmtId="0" fontId="0" fillId="0" borderId="0" xfId="0">
      <alignment vertical="center"/>
    </xf>
    <xf numFmtId="0" fontId="6" fillId="2" borderId="1" xfId="2" applyFont="1" applyFill="1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/>
      <protection locked="0"/>
    </xf>
    <xf numFmtId="0" fontId="9" fillId="2" borderId="0" xfId="2" applyFont="1" applyFill="1" applyAlignment="1" applyProtection="1">
      <alignment horizontal="center" vertical="center"/>
      <protection locked="0"/>
    </xf>
    <xf numFmtId="0" fontId="1" fillId="2" borderId="0" xfId="2" applyFill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10" fillId="2" borderId="3" xfId="2" applyFont="1" applyFill="1" applyBorder="1" applyAlignment="1" applyProtection="1">
      <alignment horizontal="center" vertical="center" shrinkToFit="1"/>
      <protection locked="0"/>
    </xf>
    <xf numFmtId="0" fontId="10" fillId="2" borderId="4" xfId="2" applyFont="1" applyFill="1" applyBorder="1" applyAlignment="1" applyProtection="1">
      <alignment horizontal="center" vertical="center" shrinkToFit="1"/>
      <protection locked="0"/>
    </xf>
    <xf numFmtId="0" fontId="7" fillId="2" borderId="5" xfId="2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 shrinkToFit="1"/>
      <protection locked="0"/>
    </xf>
    <xf numFmtId="0" fontId="10" fillId="2" borderId="7" xfId="2" applyFont="1" applyFill="1" applyBorder="1" applyAlignment="1" applyProtection="1">
      <alignment horizontal="center" vertical="center" shrinkToFit="1"/>
      <protection locked="0"/>
    </xf>
    <xf numFmtId="0" fontId="15" fillId="2" borderId="7" xfId="2" applyFont="1" applyFill="1" applyBorder="1" applyAlignment="1" applyProtection="1">
      <alignment horizontal="center" vertical="center"/>
      <protection locked="0"/>
    </xf>
    <xf numFmtId="0" fontId="15" fillId="2" borderId="6" xfId="2" applyFont="1" applyFill="1" applyBorder="1" applyAlignment="1" applyProtection="1">
      <alignment horizontal="center" vertical="center"/>
      <protection locked="0"/>
    </xf>
    <xf numFmtId="0" fontId="15" fillId="2" borderId="8" xfId="2" applyFont="1" applyFill="1" applyBorder="1" applyAlignment="1" applyProtection="1">
      <alignment horizontal="center" vertical="center"/>
      <protection locked="0"/>
    </xf>
    <xf numFmtId="0" fontId="6" fillId="2" borderId="9" xfId="2" applyFont="1" applyFill="1" applyBorder="1" applyAlignment="1" applyProtection="1">
      <alignment horizontal="center" vertical="center"/>
      <protection locked="0"/>
    </xf>
    <xf numFmtId="0" fontId="10" fillId="2" borderId="10" xfId="2" applyFont="1" applyFill="1" applyBorder="1" applyAlignment="1" applyProtection="1">
      <alignment horizontal="center" vertical="center" shrinkToFit="1"/>
      <protection locked="0"/>
    </xf>
    <xf numFmtId="0" fontId="10" fillId="2" borderId="8" xfId="2" applyFont="1" applyFill="1" applyBorder="1" applyAlignment="1">
      <alignment horizontal="center" vertical="center" shrinkToFit="1"/>
    </xf>
    <xf numFmtId="0" fontId="10" fillId="2" borderId="11" xfId="2" applyFont="1" applyFill="1" applyBorder="1" applyAlignment="1" applyProtection="1">
      <alignment vertical="center" shrinkToFit="1"/>
      <protection locked="0"/>
    </xf>
    <xf numFmtId="0" fontId="10" fillId="2" borderId="12" xfId="2" applyFont="1" applyFill="1" applyBorder="1" applyAlignment="1" applyProtection="1">
      <alignment vertical="center" shrinkToFit="1"/>
      <protection locked="0"/>
    </xf>
    <xf numFmtId="0" fontId="10" fillId="2" borderId="13" xfId="2" applyFont="1" applyFill="1" applyBorder="1" applyAlignment="1" applyProtection="1">
      <alignment vertical="center" shrinkToFit="1"/>
      <protection locked="0"/>
    </xf>
    <xf numFmtId="0" fontId="10" fillId="2" borderId="14" xfId="2" applyFont="1" applyFill="1" applyBorder="1" applyAlignment="1">
      <alignment vertical="center" shrinkToFit="1"/>
    </xf>
    <xf numFmtId="0" fontId="10" fillId="2" borderId="14" xfId="2" applyFont="1" applyFill="1" applyBorder="1" applyAlignment="1" applyProtection="1">
      <alignment vertical="center" shrinkToFit="1"/>
      <protection locked="0"/>
    </xf>
    <xf numFmtId="0" fontId="6" fillId="2" borderId="15" xfId="2" applyFont="1" applyFill="1" applyBorder="1" applyAlignment="1" applyProtection="1">
      <alignment vertical="center"/>
      <protection locked="0"/>
    </xf>
    <xf numFmtId="0" fontId="6" fillId="2" borderId="16" xfId="2" applyFont="1" applyFill="1" applyBorder="1" applyAlignment="1" applyProtection="1">
      <alignment vertical="center"/>
      <protection locked="0"/>
    </xf>
    <xf numFmtId="0" fontId="6" fillId="2" borderId="9" xfId="2" applyFont="1" applyFill="1" applyBorder="1" applyAlignment="1" applyProtection="1">
      <alignment vertical="center"/>
      <protection locked="0"/>
    </xf>
    <xf numFmtId="0" fontId="20" fillId="0" borderId="0" xfId="0" applyFont="1">
      <alignment vertical="center"/>
    </xf>
    <xf numFmtId="0" fontId="22" fillId="0" borderId="0" xfId="0" applyFont="1" applyProtection="1">
      <alignment vertical="center"/>
      <protection locked="0"/>
    </xf>
    <xf numFmtId="0" fontId="23" fillId="0" borderId="0" xfId="0" applyFont="1" applyProtection="1">
      <alignment vertical="center"/>
      <protection locked="0"/>
    </xf>
    <xf numFmtId="0" fontId="28" fillId="2" borderId="1" xfId="2" applyFont="1" applyFill="1" applyBorder="1" applyAlignment="1" applyProtection="1">
      <alignment horizontal="center" vertical="center"/>
      <protection locked="0"/>
    </xf>
    <xf numFmtId="0" fontId="28" fillId="2" borderId="2" xfId="2" applyFont="1" applyFill="1" applyBorder="1" applyAlignment="1" applyProtection="1">
      <alignment horizontal="center" vertical="center"/>
      <protection locked="0"/>
    </xf>
    <xf numFmtId="0" fontId="28" fillId="2" borderId="9" xfId="2" applyFont="1" applyFill="1" applyBorder="1" applyAlignment="1" applyProtection="1">
      <alignment horizontal="center" vertical="center"/>
      <protection locked="0"/>
    </xf>
    <xf numFmtId="0" fontId="32" fillId="2" borderId="4" xfId="2" applyFont="1" applyFill="1" applyBorder="1" applyAlignment="1" applyProtection="1">
      <alignment horizontal="center" vertical="center" shrinkToFit="1"/>
      <protection locked="0"/>
    </xf>
    <xf numFmtId="0" fontId="32" fillId="2" borderId="10" xfId="2" applyFont="1" applyFill="1" applyBorder="1" applyAlignment="1" applyProtection="1">
      <alignment horizontal="center" vertical="center" shrinkToFit="1"/>
      <protection locked="0"/>
    </xf>
    <xf numFmtId="0" fontId="32" fillId="2" borderId="11" xfId="2" applyFont="1" applyFill="1" applyBorder="1" applyAlignment="1" applyProtection="1">
      <alignment vertical="center" shrinkToFit="1"/>
      <protection locked="0"/>
    </xf>
    <xf numFmtId="0" fontId="32" fillId="2" borderId="12" xfId="2" applyFont="1" applyFill="1" applyBorder="1" applyAlignment="1" applyProtection="1">
      <alignment vertical="center" shrinkToFit="1"/>
      <protection locked="0"/>
    </xf>
    <xf numFmtId="0" fontId="32" fillId="2" borderId="3" xfId="2" applyFont="1" applyFill="1" applyBorder="1" applyAlignment="1" applyProtection="1">
      <alignment horizontal="center" vertical="center" shrinkToFit="1"/>
      <protection locked="0"/>
    </xf>
    <xf numFmtId="0" fontId="30" fillId="2" borderId="0" xfId="2" applyFont="1" applyFill="1" applyAlignment="1" applyProtection="1">
      <alignment horizontal="center" vertical="center"/>
      <protection locked="0"/>
    </xf>
    <xf numFmtId="0" fontId="27" fillId="2" borderId="0" xfId="2" applyFont="1" applyFill="1" applyAlignment="1" applyProtection="1">
      <alignment horizontal="center" vertical="center"/>
      <protection locked="0"/>
    </xf>
    <xf numFmtId="0" fontId="31" fillId="2" borderId="5" xfId="2" applyFont="1" applyFill="1" applyBorder="1" applyAlignment="1" applyProtection="1">
      <alignment horizontal="center" vertical="center"/>
      <protection locked="0"/>
    </xf>
    <xf numFmtId="0" fontId="38" fillId="2" borderId="7" xfId="2" applyFont="1" applyFill="1" applyBorder="1" applyAlignment="1" applyProtection="1">
      <alignment horizontal="center" vertical="center"/>
      <protection locked="0"/>
    </xf>
    <xf numFmtId="0" fontId="38" fillId="2" borderId="6" xfId="2" applyFont="1" applyFill="1" applyBorder="1" applyAlignment="1" applyProtection="1">
      <alignment horizontal="center" vertical="center"/>
      <protection locked="0"/>
    </xf>
    <xf numFmtId="0" fontId="38" fillId="2" borderId="8" xfId="2" applyFont="1" applyFill="1" applyBorder="1" applyAlignment="1" applyProtection="1">
      <alignment horizontal="center" vertical="center"/>
      <protection locked="0"/>
    </xf>
    <xf numFmtId="0" fontId="32" fillId="2" borderId="13" xfId="2" applyFont="1" applyFill="1" applyBorder="1" applyAlignment="1" applyProtection="1">
      <alignment vertical="center" shrinkToFit="1"/>
      <protection locked="0"/>
    </xf>
    <xf numFmtId="0" fontId="32" fillId="2" borderId="14" xfId="2" applyFont="1" applyFill="1" applyBorder="1" applyAlignment="1">
      <alignment vertical="center" shrinkToFit="1"/>
    </xf>
    <xf numFmtId="0" fontId="32" fillId="2" borderId="14" xfId="2" applyFont="1" applyFill="1" applyBorder="1" applyAlignment="1" applyProtection="1">
      <alignment vertical="center" shrinkToFit="1"/>
      <protection locked="0"/>
    </xf>
    <xf numFmtId="0" fontId="32" fillId="2" borderId="6" xfId="2" applyFont="1" applyFill="1" applyBorder="1" applyAlignment="1" applyProtection="1">
      <alignment horizontal="center" vertical="center" shrinkToFit="1"/>
      <protection locked="0"/>
    </xf>
    <xf numFmtId="0" fontId="32" fillId="2" borderId="8" xfId="2" applyFont="1" applyFill="1" applyBorder="1" applyAlignment="1">
      <alignment horizontal="center" vertical="center" shrinkToFit="1"/>
    </xf>
    <xf numFmtId="0" fontId="32" fillId="2" borderId="7" xfId="2" applyFont="1" applyFill="1" applyBorder="1" applyAlignment="1" applyProtection="1">
      <alignment horizontal="center" vertical="center" shrinkToFit="1"/>
      <protection locked="0"/>
    </xf>
    <xf numFmtId="0" fontId="20" fillId="0" borderId="0" xfId="1">
      <alignment vertical="center"/>
    </xf>
    <xf numFmtId="41" fontId="20" fillId="0" borderId="0" xfId="4" applyFont="1">
      <alignment vertical="center"/>
    </xf>
    <xf numFmtId="0" fontId="0" fillId="3" borderId="0" xfId="0" applyFill="1">
      <alignment vertical="center"/>
    </xf>
    <xf numFmtId="41" fontId="0" fillId="3" borderId="0" xfId="3" applyFont="1" applyFill="1" applyAlignment="1">
      <alignment horizontal="left" vertical="center"/>
    </xf>
    <xf numFmtId="0" fontId="20" fillId="3" borderId="0" xfId="1" applyFill="1">
      <alignment vertical="center"/>
    </xf>
    <xf numFmtId="41" fontId="0" fillId="0" borderId="0" xfId="3" applyFont="1">
      <alignment vertical="center"/>
    </xf>
    <xf numFmtId="41" fontId="20" fillId="0" borderId="0" xfId="1" applyNumberFormat="1">
      <alignment vertical="center"/>
    </xf>
    <xf numFmtId="14" fontId="20" fillId="0" borderId="0" xfId="3" applyNumberFormat="1">
      <alignment vertical="center"/>
    </xf>
    <xf numFmtId="14" fontId="20" fillId="0" borderId="0" xfId="1" applyNumberFormat="1">
      <alignment vertical="center"/>
    </xf>
    <xf numFmtId="14" fontId="32" fillId="2" borderId="89" xfId="2" applyNumberFormat="1" applyFont="1" applyFill="1" applyBorder="1" applyAlignment="1" applyProtection="1">
      <alignment vertical="center" shrinkToFit="1"/>
      <protection locked="0"/>
    </xf>
    <xf numFmtId="0" fontId="32" fillId="2" borderId="90" xfId="2" applyFont="1" applyFill="1" applyBorder="1" applyAlignment="1" applyProtection="1">
      <alignment vertical="center" shrinkToFit="1"/>
      <protection locked="0"/>
    </xf>
    <xf numFmtId="0" fontId="32" fillId="2" borderId="91" xfId="2" applyFont="1" applyFill="1" applyBorder="1" applyAlignment="1" applyProtection="1">
      <alignment vertical="center" shrinkToFit="1"/>
      <protection locked="0"/>
    </xf>
    <xf numFmtId="0" fontId="32" fillId="2" borderId="88" xfId="2" applyFont="1" applyFill="1" applyBorder="1" applyAlignment="1" applyProtection="1">
      <alignment vertical="center" shrinkToFit="1"/>
      <protection locked="0"/>
    </xf>
    <xf numFmtId="14" fontId="32" fillId="2" borderId="92" xfId="2" applyNumberFormat="1" applyFont="1" applyFill="1" applyBorder="1" applyAlignment="1" applyProtection="1">
      <alignment vertical="center" shrinkToFit="1"/>
      <protection locked="0"/>
    </xf>
    <xf numFmtId="14" fontId="32" fillId="2" borderId="93" xfId="2" applyNumberFormat="1" applyFont="1" applyFill="1" applyBorder="1" applyAlignment="1" applyProtection="1">
      <alignment vertical="center" shrinkToFit="1"/>
      <protection locked="0"/>
    </xf>
    <xf numFmtId="0" fontId="32" fillId="2" borderId="95" xfId="2" applyFont="1" applyFill="1" applyBorder="1" applyAlignment="1">
      <alignment vertical="center" shrinkToFit="1"/>
    </xf>
    <xf numFmtId="0" fontId="32" fillId="2" borderId="96" xfId="2" applyFont="1" applyFill="1" applyBorder="1" applyAlignment="1" applyProtection="1">
      <alignment vertical="center" shrinkToFit="1"/>
      <protection locked="0"/>
    </xf>
    <xf numFmtId="0" fontId="32" fillId="2" borderId="74" xfId="2" applyFont="1" applyFill="1" applyBorder="1" applyAlignment="1" applyProtection="1">
      <alignment vertical="center" shrinkToFit="1"/>
      <protection locked="0"/>
    </xf>
    <xf numFmtId="0" fontId="32" fillId="2" borderId="99" xfId="2" applyFont="1" applyFill="1" applyBorder="1" applyAlignment="1" applyProtection="1">
      <alignment vertical="center" shrinkToFit="1"/>
      <protection locked="0"/>
    </xf>
    <xf numFmtId="14" fontId="32" fillId="2" borderId="75" xfId="2" applyNumberFormat="1" applyFont="1" applyFill="1" applyBorder="1" applyAlignment="1" applyProtection="1">
      <alignment vertical="center" shrinkToFit="1"/>
      <protection locked="0"/>
    </xf>
    <xf numFmtId="0" fontId="0" fillId="0" borderId="100" xfId="0" applyBorder="1" applyProtection="1">
      <alignment vertical="center"/>
      <protection locked="0"/>
    </xf>
    <xf numFmtId="0" fontId="32" fillId="2" borderId="3" xfId="2" applyFont="1" applyFill="1" applyBorder="1" applyAlignment="1" applyProtection="1">
      <alignment vertical="center" shrinkToFit="1"/>
      <protection locked="0"/>
    </xf>
    <xf numFmtId="0" fontId="32" fillId="2" borderId="4" xfId="2" applyFont="1" applyFill="1" applyBorder="1" applyAlignment="1" applyProtection="1">
      <alignment vertical="center" shrinkToFit="1"/>
      <protection locked="0"/>
    </xf>
    <xf numFmtId="0" fontId="29" fillId="2" borderId="7" xfId="2" applyFont="1" applyFill="1" applyBorder="1" applyAlignment="1" applyProtection="1">
      <alignment horizontal="center" vertical="center"/>
      <protection locked="0"/>
    </xf>
    <xf numFmtId="0" fontId="29" fillId="2" borderId="23" xfId="2" applyFont="1" applyFill="1" applyBorder="1" applyAlignment="1" applyProtection="1">
      <alignment horizontal="center" vertical="center"/>
      <protection locked="0"/>
    </xf>
    <xf numFmtId="0" fontId="38" fillId="2" borderId="7" xfId="2" applyFont="1" applyFill="1" applyBorder="1" applyAlignment="1" applyProtection="1">
      <alignment horizontal="center" vertical="center" wrapText="1"/>
      <protection locked="0"/>
    </xf>
    <xf numFmtId="0" fontId="30" fillId="2" borderId="26" xfId="2" applyFont="1" applyFill="1" applyBorder="1" applyAlignment="1" applyProtection="1">
      <alignment horizontal="center" vertical="center" wrapText="1"/>
      <protection locked="0"/>
    </xf>
    <xf numFmtId="0" fontId="30" fillId="2" borderId="27" xfId="2" applyFont="1" applyFill="1" applyBorder="1" applyAlignment="1" applyProtection="1">
      <alignment horizontal="center" vertical="center" wrapText="1"/>
      <protection locked="0"/>
    </xf>
    <xf numFmtId="0" fontId="30" fillId="2" borderId="56" xfId="2" applyFont="1" applyFill="1" applyBorder="1" applyAlignment="1" applyProtection="1">
      <alignment horizontal="center" vertical="center" wrapText="1"/>
      <protection locked="0"/>
    </xf>
    <xf numFmtId="0" fontId="30" fillId="2" borderId="57" xfId="2" applyFont="1" applyFill="1" applyBorder="1" applyAlignment="1" applyProtection="1">
      <alignment horizontal="center" vertical="center" wrapText="1"/>
      <protection locked="0"/>
    </xf>
    <xf numFmtId="0" fontId="30" fillId="2" borderId="58" xfId="2" applyFont="1" applyFill="1" applyBorder="1" applyAlignment="1" applyProtection="1">
      <alignment horizontal="center" vertical="center" wrapText="1"/>
      <protection locked="0"/>
    </xf>
    <xf numFmtId="0" fontId="30" fillId="2" borderId="59" xfId="2" applyFont="1" applyFill="1" applyBorder="1" applyAlignment="1" applyProtection="1">
      <alignment horizontal="center" vertical="center" wrapText="1"/>
      <protection locked="0"/>
    </xf>
    <xf numFmtId="176" fontId="39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39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39" fillId="2" borderId="14" xfId="2" applyNumberFormat="1" applyFont="1" applyFill="1" applyBorder="1" applyAlignment="1" applyProtection="1">
      <alignment horizontal="right" vertical="center" wrapText="1"/>
      <protection locked="0"/>
    </xf>
    <xf numFmtId="0" fontId="32" fillId="2" borderId="74" xfId="2" applyFont="1" applyFill="1" applyBorder="1" applyAlignment="1" applyProtection="1">
      <alignment horizontal="center" vertical="center"/>
      <protection locked="0"/>
    </xf>
    <xf numFmtId="14" fontId="32" fillId="2" borderId="75" xfId="2" applyNumberFormat="1" applyFont="1" applyFill="1" applyBorder="1" applyAlignment="1" applyProtection="1">
      <alignment horizontal="center" vertical="center" shrinkToFit="1"/>
      <protection locked="0"/>
    </xf>
    <xf numFmtId="14" fontId="32" fillId="2" borderId="74" xfId="2" applyNumberFormat="1" applyFont="1" applyFill="1" applyBorder="1" applyAlignment="1" applyProtection="1">
      <alignment horizontal="center" vertical="center" shrinkToFit="1"/>
      <protection locked="0"/>
    </xf>
    <xf numFmtId="14" fontId="32" fillId="2" borderId="76" xfId="2" applyNumberFormat="1" applyFont="1" applyFill="1" applyBorder="1" applyAlignment="1" applyProtection="1">
      <alignment horizontal="center" vertical="center" shrinkToFit="1"/>
      <protection locked="0"/>
    </xf>
    <xf numFmtId="0" fontId="40" fillId="2" borderId="75" xfId="2" applyFont="1" applyFill="1" applyBorder="1" applyAlignment="1" applyProtection="1">
      <alignment horizontal="center" vertical="center"/>
      <protection locked="0"/>
    </xf>
    <xf numFmtId="0" fontId="40" fillId="2" borderId="74" xfId="2" applyFont="1" applyFill="1" applyBorder="1" applyAlignment="1" applyProtection="1">
      <alignment horizontal="center" vertical="center"/>
      <protection locked="0"/>
    </xf>
    <xf numFmtId="0" fontId="40" fillId="2" borderId="76" xfId="2" applyFont="1" applyFill="1" applyBorder="1" applyAlignment="1" applyProtection="1">
      <alignment horizontal="center" vertical="center"/>
      <protection locked="0"/>
    </xf>
    <xf numFmtId="0" fontId="38" fillId="2" borderId="7" xfId="2" applyFont="1" applyFill="1" applyBorder="1" applyAlignment="1" applyProtection="1">
      <alignment horizontal="center" vertical="center"/>
      <protection locked="0"/>
    </xf>
    <xf numFmtId="0" fontId="38" fillId="0" borderId="7" xfId="0" applyFont="1" applyBorder="1" applyAlignment="1" applyProtection="1">
      <alignment horizontal="center" vertical="center"/>
      <protection locked="0"/>
    </xf>
    <xf numFmtId="0" fontId="38" fillId="0" borderId="25" xfId="0" applyFont="1" applyBorder="1" applyAlignment="1" applyProtection="1">
      <alignment horizontal="center" vertical="center"/>
      <protection locked="0"/>
    </xf>
    <xf numFmtId="0" fontId="40" fillId="0" borderId="74" xfId="0" applyFont="1" applyBorder="1" applyAlignment="1" applyProtection="1">
      <alignment horizontal="center" vertical="center"/>
      <protection locked="0"/>
    </xf>
    <xf numFmtId="0" fontId="32" fillId="2" borderId="26" xfId="2" applyFont="1" applyFill="1" applyBorder="1" applyAlignment="1" applyProtection="1">
      <alignment horizontal="center" vertical="center" shrinkToFit="1"/>
      <protection locked="0"/>
    </xf>
    <xf numFmtId="0" fontId="32" fillId="2" borderId="27" xfId="2" applyFont="1" applyFill="1" applyBorder="1" applyAlignment="1" applyProtection="1">
      <alignment horizontal="center" vertical="center" shrinkToFit="1"/>
      <protection locked="0"/>
    </xf>
    <xf numFmtId="0" fontId="32" fillId="2" borderId="74" xfId="2" applyFont="1" applyFill="1" applyBorder="1" applyAlignment="1" applyProtection="1">
      <alignment horizontal="center" vertical="center" shrinkToFit="1"/>
      <protection locked="0"/>
    </xf>
    <xf numFmtId="41" fontId="32" fillId="0" borderId="74" xfId="0" applyNumberFormat="1" applyFont="1" applyBorder="1" applyAlignment="1" applyProtection="1">
      <alignment horizontal="center" vertical="center" shrinkToFit="1"/>
      <protection locked="0"/>
    </xf>
    <xf numFmtId="41" fontId="32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32" fillId="2" borderId="80" xfId="2" applyFont="1" applyFill="1" applyBorder="1" applyAlignment="1" applyProtection="1">
      <alignment horizontal="center" vertical="center"/>
      <protection locked="0"/>
    </xf>
    <xf numFmtId="0" fontId="32" fillId="2" borderId="81" xfId="2" applyFont="1" applyFill="1" applyBorder="1" applyAlignment="1" applyProtection="1">
      <alignment horizontal="center" vertical="center"/>
      <protection locked="0"/>
    </xf>
    <xf numFmtId="0" fontId="32" fillId="2" borderId="82" xfId="2" applyFont="1" applyFill="1" applyBorder="1" applyAlignment="1" applyProtection="1">
      <alignment horizontal="center" vertical="center"/>
      <protection locked="0"/>
    </xf>
    <xf numFmtId="14" fontId="32" fillId="2" borderId="17" xfId="2" applyNumberFormat="1" applyFont="1" applyFill="1" applyBorder="1" applyAlignment="1" applyProtection="1">
      <alignment horizontal="center" vertical="center" shrinkToFit="1"/>
      <protection locked="0"/>
    </xf>
    <xf numFmtId="41" fontId="32" fillId="2" borderId="17" xfId="2" applyNumberFormat="1" applyFont="1" applyFill="1" applyBorder="1" applyAlignment="1" applyProtection="1">
      <alignment horizontal="center" vertical="center" shrinkToFit="1"/>
      <protection locked="0"/>
    </xf>
    <xf numFmtId="41" fontId="32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32" fillId="2" borderId="44" xfId="2" applyFont="1" applyFill="1" applyBorder="1" applyAlignment="1" applyProtection="1">
      <alignment horizontal="center" vertical="center" shrinkToFit="1"/>
      <protection locked="0"/>
    </xf>
    <xf numFmtId="0" fontId="32" fillId="2" borderId="45" xfId="2" applyFont="1" applyFill="1" applyBorder="1" applyAlignment="1" applyProtection="1">
      <alignment horizontal="center" vertical="center" shrinkToFit="1"/>
      <protection locked="0"/>
    </xf>
    <xf numFmtId="0" fontId="32" fillId="2" borderId="46" xfId="2" applyFont="1" applyFill="1" applyBorder="1" applyAlignment="1" applyProtection="1">
      <alignment horizontal="center" vertical="center" shrinkToFit="1"/>
      <protection locked="0"/>
    </xf>
    <xf numFmtId="0" fontId="32" fillId="2" borderId="60" xfId="2" applyFont="1" applyFill="1" applyBorder="1" applyAlignment="1" applyProtection="1">
      <alignment horizontal="center" vertical="center" shrinkToFit="1"/>
      <protection locked="0"/>
    </xf>
    <xf numFmtId="0" fontId="32" fillId="2" borderId="17" xfId="2" applyFont="1" applyFill="1" applyBorder="1" applyAlignment="1" applyProtection="1">
      <alignment horizontal="center" vertical="center" shrinkToFit="1"/>
      <protection locked="0"/>
    </xf>
    <xf numFmtId="0" fontId="32" fillId="2" borderId="10" xfId="2" applyFont="1" applyFill="1" applyBorder="1" applyAlignment="1" applyProtection="1">
      <alignment horizontal="center" vertical="center" shrinkToFit="1"/>
      <protection locked="0"/>
    </xf>
    <xf numFmtId="41" fontId="32" fillId="0" borderId="60" xfId="0" applyNumberFormat="1" applyFont="1" applyBorder="1" applyAlignment="1" applyProtection="1">
      <alignment horizontal="center" vertical="center" shrinkToFit="1"/>
      <protection locked="0"/>
    </xf>
    <xf numFmtId="41" fontId="32" fillId="0" borderId="17" xfId="0" applyNumberFormat="1" applyFont="1" applyBorder="1" applyAlignment="1" applyProtection="1">
      <alignment horizontal="center" vertical="center" shrinkToFit="1"/>
      <protection locked="0"/>
    </xf>
    <xf numFmtId="41" fontId="32" fillId="0" borderId="10" xfId="0" applyNumberFormat="1" applyFont="1" applyBorder="1" applyAlignment="1" applyProtection="1">
      <alignment horizontal="center" vertical="center" shrinkToFit="1"/>
      <protection locked="0"/>
    </xf>
    <xf numFmtId="41" fontId="32" fillId="2" borderId="60" xfId="2" applyNumberFormat="1" applyFont="1" applyFill="1" applyBorder="1" applyAlignment="1" applyProtection="1">
      <alignment horizontal="center" vertical="center" shrinkToFit="1"/>
      <protection locked="0"/>
    </xf>
    <xf numFmtId="0" fontId="30" fillId="2" borderId="44" xfId="2" applyFont="1" applyFill="1" applyBorder="1" applyAlignment="1" applyProtection="1">
      <alignment horizontal="center" vertical="center" wrapText="1" shrinkToFit="1"/>
      <protection locked="0"/>
    </xf>
    <xf numFmtId="0" fontId="30" fillId="2" borderId="45" xfId="2" applyFont="1" applyFill="1" applyBorder="1" applyAlignment="1" applyProtection="1">
      <alignment horizontal="center" vertical="center" wrapText="1" shrinkToFit="1"/>
      <protection locked="0"/>
    </xf>
    <xf numFmtId="0" fontId="30" fillId="2" borderId="66" xfId="2" applyFont="1" applyFill="1" applyBorder="1" applyAlignment="1" applyProtection="1">
      <alignment horizontal="center" vertical="center" wrapText="1" shrinkToFit="1"/>
      <protection locked="0"/>
    </xf>
    <xf numFmtId="0" fontId="30" fillId="2" borderId="67" xfId="2" applyFont="1" applyFill="1" applyBorder="1" applyAlignment="1" applyProtection="1">
      <alignment horizontal="center" vertical="center" wrapText="1" shrinkToFit="1"/>
      <protection locked="0"/>
    </xf>
    <xf numFmtId="0" fontId="32" fillId="2" borderId="4" xfId="2" applyFont="1" applyFill="1" applyBorder="1" applyAlignment="1" applyProtection="1">
      <alignment horizontal="center" vertical="center" shrinkToFit="1"/>
      <protection locked="0"/>
    </xf>
    <xf numFmtId="0" fontId="32" fillId="0" borderId="4" xfId="0" applyFont="1" applyBorder="1" applyAlignment="1" applyProtection="1">
      <alignment horizontal="center" vertical="center" shrinkToFit="1"/>
      <protection locked="0"/>
    </xf>
    <xf numFmtId="14" fontId="32" fillId="2" borderId="87" xfId="2" applyNumberFormat="1" applyFont="1" applyFill="1" applyBorder="1" applyAlignment="1" applyProtection="1">
      <alignment horizontal="center" vertical="center" shrinkToFit="1"/>
      <protection locked="0"/>
    </xf>
    <xf numFmtId="14" fontId="32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28" fillId="2" borderId="1" xfId="2" applyFont="1" applyFill="1" applyBorder="1" applyAlignment="1" applyProtection="1">
      <alignment horizontal="center" vertical="center"/>
      <protection locked="0"/>
    </xf>
    <xf numFmtId="0" fontId="28" fillId="0" borderId="1" xfId="0" applyFont="1" applyBorder="1" applyAlignment="1" applyProtection="1">
      <alignment horizontal="center" vertical="center"/>
      <protection locked="0"/>
    </xf>
    <xf numFmtId="0" fontId="28" fillId="0" borderId="15" xfId="0" applyFont="1" applyBorder="1" applyAlignment="1" applyProtection="1">
      <alignment horizontal="center" vertical="center"/>
      <protection locked="0"/>
    </xf>
    <xf numFmtId="0" fontId="28" fillId="0" borderId="16" xfId="0" applyFont="1" applyBorder="1" applyAlignment="1" applyProtection="1">
      <alignment horizontal="center" vertical="center"/>
      <protection locked="0"/>
    </xf>
    <xf numFmtId="0" fontId="28" fillId="0" borderId="9" xfId="0" applyFont="1" applyBorder="1" applyAlignment="1" applyProtection="1">
      <alignment horizontal="center" vertical="center"/>
      <protection locked="0"/>
    </xf>
    <xf numFmtId="0" fontId="28" fillId="2" borderId="38" xfId="2" applyFont="1" applyFill="1" applyBorder="1" applyAlignment="1" applyProtection="1">
      <alignment horizontal="center" vertical="center"/>
      <protection locked="0"/>
    </xf>
    <xf numFmtId="0" fontId="28" fillId="2" borderId="48" xfId="2" applyFont="1" applyFill="1" applyBorder="1" applyAlignment="1" applyProtection="1">
      <alignment horizontal="center" vertical="center"/>
      <protection locked="0"/>
    </xf>
    <xf numFmtId="0" fontId="28" fillId="2" borderId="15" xfId="2" applyFont="1" applyFill="1" applyBorder="1" applyAlignment="1" applyProtection="1">
      <alignment horizontal="center" vertical="center"/>
      <protection locked="0"/>
    </xf>
    <xf numFmtId="0" fontId="28" fillId="2" borderId="16" xfId="2" applyFont="1" applyFill="1" applyBorder="1" applyAlignment="1" applyProtection="1">
      <alignment horizontal="center" vertical="center"/>
      <protection locked="0"/>
    </xf>
    <xf numFmtId="0" fontId="28" fillId="2" borderId="61" xfId="2" applyFont="1" applyFill="1" applyBorder="1" applyAlignment="1" applyProtection="1">
      <alignment horizontal="center" vertical="center"/>
      <protection locked="0"/>
    </xf>
    <xf numFmtId="14" fontId="32" fillId="2" borderId="72" xfId="2" applyNumberFormat="1" applyFont="1" applyFill="1" applyBorder="1" applyAlignment="1" applyProtection="1">
      <alignment horizontal="center" vertical="center" shrinkToFit="1"/>
      <protection locked="0"/>
    </xf>
    <xf numFmtId="14" fontId="32" fillId="2" borderId="46" xfId="2" applyNumberFormat="1" applyFont="1" applyFill="1" applyBorder="1" applyAlignment="1" applyProtection="1">
      <alignment horizontal="center" vertical="center" shrinkToFit="1"/>
      <protection locked="0"/>
    </xf>
    <xf numFmtId="0" fontId="24" fillId="2" borderId="47" xfId="2" applyFont="1" applyFill="1" applyBorder="1" applyAlignment="1" applyProtection="1">
      <alignment horizontal="center" vertical="center"/>
      <protection locked="0"/>
    </xf>
    <xf numFmtId="0" fontId="24" fillId="2" borderId="38" xfId="2" applyFont="1" applyFill="1" applyBorder="1" applyAlignment="1" applyProtection="1">
      <alignment horizontal="center" vertical="center"/>
      <protection locked="0"/>
    </xf>
    <xf numFmtId="0" fontId="27" fillId="0" borderId="38" xfId="0" applyFont="1" applyBorder="1" applyAlignment="1" applyProtection="1">
      <alignment horizontal="center" vertical="center"/>
      <protection locked="0"/>
    </xf>
    <xf numFmtId="0" fontId="27" fillId="0" borderId="39" xfId="0" applyFont="1" applyBorder="1" applyAlignment="1" applyProtection="1">
      <alignment horizontal="center" vertical="center"/>
      <protection locked="0"/>
    </xf>
    <xf numFmtId="0" fontId="27" fillId="0" borderId="49" xfId="0" applyFont="1" applyBorder="1" applyAlignment="1" applyProtection="1">
      <alignment horizontal="center" vertical="center"/>
      <protection locked="0"/>
    </xf>
    <xf numFmtId="0" fontId="27" fillId="0" borderId="41" xfId="0" applyFont="1" applyBorder="1" applyAlignment="1" applyProtection="1">
      <alignment horizontal="center" vertical="center"/>
      <protection locked="0"/>
    </xf>
    <xf numFmtId="0" fontId="27" fillId="0" borderId="42" xfId="0" applyFont="1" applyBorder="1" applyAlignment="1" applyProtection="1">
      <alignment horizontal="center" vertical="center"/>
      <protection locked="0"/>
    </xf>
    <xf numFmtId="0" fontId="28" fillId="2" borderId="2" xfId="2" applyFont="1" applyFill="1" applyBorder="1" applyAlignment="1" applyProtection="1">
      <alignment horizontal="center" vertical="center" wrapText="1"/>
      <protection locked="0"/>
    </xf>
    <xf numFmtId="0" fontId="28" fillId="2" borderId="3" xfId="2" applyFont="1" applyFill="1" applyBorder="1" applyAlignment="1" applyProtection="1">
      <alignment horizontal="center" vertical="center" wrapText="1"/>
      <protection locked="0"/>
    </xf>
    <xf numFmtId="0" fontId="28" fillId="2" borderId="71" xfId="2" applyFont="1" applyFill="1" applyBorder="1" applyAlignment="1" applyProtection="1">
      <alignment horizontal="center" vertical="center" wrapText="1"/>
      <protection locked="0"/>
    </xf>
    <xf numFmtId="0" fontId="28" fillId="2" borderId="1" xfId="2" applyFont="1" applyFill="1" applyBorder="1" applyAlignment="1" applyProtection="1">
      <alignment horizontal="center" vertical="center" wrapText="1"/>
      <protection locked="0"/>
    </xf>
    <xf numFmtId="0" fontId="28" fillId="2" borderId="4" xfId="2" applyFont="1" applyFill="1" applyBorder="1" applyAlignment="1" applyProtection="1">
      <alignment horizontal="center" vertical="center" wrapText="1"/>
      <protection locked="0"/>
    </xf>
    <xf numFmtId="0" fontId="29" fillId="2" borderId="37" xfId="2" applyFont="1" applyFill="1" applyBorder="1" applyAlignment="1" applyProtection="1">
      <alignment horizontal="center" vertical="center" shrinkToFit="1"/>
      <protection locked="0"/>
    </xf>
    <xf numFmtId="0" fontId="29" fillId="2" borderId="38" xfId="2" applyFont="1" applyFill="1" applyBorder="1" applyAlignment="1" applyProtection="1">
      <alignment horizontal="center" vertical="center" shrinkToFit="1"/>
      <protection locked="0"/>
    </xf>
    <xf numFmtId="0" fontId="29" fillId="2" borderId="39" xfId="2" applyFont="1" applyFill="1" applyBorder="1" applyAlignment="1" applyProtection="1">
      <alignment horizontal="center" vertical="center" shrinkToFit="1"/>
      <protection locked="0"/>
    </xf>
    <xf numFmtId="0" fontId="29" fillId="2" borderId="66" xfId="2" applyFont="1" applyFill="1" applyBorder="1" applyAlignment="1" applyProtection="1">
      <alignment horizontal="center" vertical="center" shrinkToFit="1"/>
      <protection locked="0"/>
    </xf>
    <xf numFmtId="0" fontId="29" fillId="2" borderId="67" xfId="2" applyFont="1" applyFill="1" applyBorder="1" applyAlignment="1" applyProtection="1">
      <alignment horizontal="center" vertical="center" shrinkToFit="1"/>
      <protection locked="0"/>
    </xf>
    <xf numFmtId="0" fontId="29" fillId="2" borderId="70" xfId="2" applyFont="1" applyFill="1" applyBorder="1" applyAlignment="1" applyProtection="1">
      <alignment horizontal="center" vertical="center" shrinkToFit="1"/>
      <protection locked="0"/>
    </xf>
    <xf numFmtId="0" fontId="28" fillId="2" borderId="4" xfId="2" applyFont="1" applyFill="1" applyBorder="1" applyAlignment="1" applyProtection="1">
      <alignment horizontal="center" vertical="center"/>
      <protection locked="0"/>
    </xf>
    <xf numFmtId="0" fontId="29" fillId="2" borderId="37" xfId="2" applyFont="1" applyFill="1" applyBorder="1" applyAlignment="1" applyProtection="1">
      <alignment horizontal="center" vertical="center"/>
      <protection locked="0"/>
    </xf>
    <xf numFmtId="0" fontId="29" fillId="2" borderId="38" xfId="2" applyFont="1" applyFill="1" applyBorder="1" applyAlignment="1" applyProtection="1">
      <alignment horizontal="center" vertical="center"/>
      <protection locked="0"/>
    </xf>
    <xf numFmtId="0" fontId="29" fillId="2" borderId="39" xfId="2" applyFont="1" applyFill="1" applyBorder="1" applyAlignment="1" applyProtection="1">
      <alignment horizontal="center" vertical="center"/>
      <protection locked="0"/>
    </xf>
    <xf numFmtId="0" fontId="29" fillId="2" borderId="66" xfId="2" applyFont="1" applyFill="1" applyBorder="1" applyAlignment="1" applyProtection="1">
      <alignment horizontal="center" vertical="center"/>
      <protection locked="0"/>
    </xf>
    <xf numFmtId="0" fontId="29" fillId="2" borderId="67" xfId="2" applyFont="1" applyFill="1" applyBorder="1" applyAlignment="1" applyProtection="1">
      <alignment horizontal="center" vertical="center"/>
      <protection locked="0"/>
    </xf>
    <xf numFmtId="0" fontId="29" fillId="2" borderId="70" xfId="2" applyFont="1" applyFill="1" applyBorder="1" applyAlignment="1" applyProtection="1">
      <alignment horizontal="center" vertical="center"/>
      <protection locked="0"/>
    </xf>
    <xf numFmtId="0" fontId="30" fillId="2" borderId="44" xfId="2" applyFont="1" applyFill="1" applyBorder="1" applyAlignment="1" applyProtection="1">
      <alignment horizontal="center" vertical="center" wrapText="1"/>
      <protection locked="0"/>
    </xf>
    <xf numFmtId="0" fontId="30" fillId="2" borderId="45" xfId="2" applyFont="1" applyFill="1" applyBorder="1" applyAlignment="1" applyProtection="1">
      <alignment horizontal="center" vertical="center" wrapText="1"/>
      <protection locked="0"/>
    </xf>
    <xf numFmtId="0" fontId="30" fillId="2" borderId="46" xfId="2" applyFont="1" applyFill="1" applyBorder="1" applyAlignment="1" applyProtection="1">
      <alignment horizontal="center" vertical="center" wrapText="1"/>
      <protection locked="0"/>
    </xf>
    <xf numFmtId="0" fontId="30" fillId="2" borderId="66" xfId="2" applyFont="1" applyFill="1" applyBorder="1" applyAlignment="1" applyProtection="1">
      <alignment horizontal="center" vertical="center" wrapText="1"/>
      <protection locked="0"/>
    </xf>
    <xf numFmtId="0" fontId="30" fillId="2" borderId="67" xfId="2" applyFont="1" applyFill="1" applyBorder="1" applyAlignment="1" applyProtection="1">
      <alignment horizontal="center" vertical="center" wrapText="1"/>
      <protection locked="0"/>
    </xf>
    <xf numFmtId="0" fontId="30" fillId="2" borderId="68" xfId="2" applyFont="1" applyFill="1" applyBorder="1" applyAlignment="1" applyProtection="1">
      <alignment horizontal="center" vertical="center" wrapText="1"/>
      <protection locked="0"/>
    </xf>
    <xf numFmtId="0" fontId="30" fillId="2" borderId="69" xfId="2" applyFont="1" applyFill="1" applyBorder="1" applyAlignment="1" applyProtection="1">
      <alignment horizontal="center" vertical="center" wrapText="1"/>
      <protection locked="0"/>
    </xf>
    <xf numFmtId="0" fontId="30" fillId="2" borderId="70" xfId="2" applyFont="1" applyFill="1" applyBorder="1" applyAlignment="1" applyProtection="1">
      <alignment horizontal="center" vertical="center" wrapText="1"/>
      <protection locked="0"/>
    </xf>
    <xf numFmtId="0" fontId="28" fillId="2" borderId="62" xfId="2" applyFont="1" applyFill="1" applyBorder="1" applyAlignment="1" applyProtection="1">
      <alignment horizontal="center" vertical="center" wrapText="1"/>
      <protection locked="0"/>
    </xf>
    <xf numFmtId="176" fontId="29" fillId="2" borderId="4" xfId="2" applyNumberFormat="1" applyFont="1" applyFill="1" applyBorder="1" applyAlignment="1" applyProtection="1">
      <alignment horizontal="right" vertical="center"/>
      <protection locked="0"/>
    </xf>
    <xf numFmtId="177" fontId="29" fillId="2" borderId="4" xfId="2" applyNumberFormat="1" applyFont="1" applyFill="1" applyBorder="1" applyAlignment="1" applyProtection="1">
      <alignment horizontal="right" vertical="center"/>
      <protection locked="0"/>
    </xf>
    <xf numFmtId="177" fontId="29" fillId="2" borderId="60" xfId="2" applyNumberFormat="1" applyFont="1" applyFill="1" applyBorder="1" applyAlignment="1" applyProtection="1">
      <alignment horizontal="right" vertical="center"/>
      <protection locked="0"/>
    </xf>
    <xf numFmtId="177" fontId="29" fillId="2" borderId="62" xfId="2" applyNumberFormat="1" applyFont="1" applyFill="1" applyBorder="1" applyAlignment="1" applyProtection="1">
      <alignment horizontal="right" vertical="center"/>
      <protection locked="0"/>
    </xf>
    <xf numFmtId="177" fontId="29" fillId="2" borderId="63" xfId="2" applyNumberFormat="1" applyFont="1" applyFill="1" applyBorder="1" applyAlignment="1" applyProtection="1">
      <alignment horizontal="right" vertical="center"/>
      <protection locked="0"/>
    </xf>
    <xf numFmtId="0" fontId="28" fillId="2" borderId="62" xfId="2" applyFont="1" applyFill="1" applyBorder="1" applyAlignment="1" applyProtection="1">
      <alignment horizontal="center" vertical="center"/>
      <protection locked="0"/>
    </xf>
    <xf numFmtId="0" fontId="31" fillId="2" borderId="4" xfId="2" applyFont="1" applyFill="1" applyBorder="1" applyAlignment="1" applyProtection="1">
      <alignment horizontal="center" vertical="center" wrapText="1" shrinkToFit="1"/>
      <protection locked="0"/>
    </xf>
    <xf numFmtId="0" fontId="31" fillId="2" borderId="4" xfId="2" applyFont="1" applyFill="1" applyBorder="1" applyAlignment="1" applyProtection="1">
      <alignment horizontal="center" vertical="center" shrinkToFit="1"/>
      <protection locked="0"/>
    </xf>
    <xf numFmtId="0" fontId="31" fillId="2" borderId="62" xfId="2" applyFont="1" applyFill="1" applyBorder="1" applyAlignment="1" applyProtection="1">
      <alignment horizontal="center" vertical="center" shrinkToFit="1"/>
      <protection locked="0"/>
    </xf>
    <xf numFmtId="0" fontId="30" fillId="2" borderId="4" xfId="2" applyFont="1" applyFill="1" applyBorder="1" applyAlignment="1" applyProtection="1">
      <alignment horizontal="center" vertical="center" wrapText="1" shrinkToFit="1"/>
      <protection locked="0"/>
    </xf>
    <xf numFmtId="0" fontId="30" fillId="2" borderId="4" xfId="2" applyFont="1" applyFill="1" applyBorder="1" applyAlignment="1" applyProtection="1">
      <alignment horizontal="center" vertical="center" shrinkToFit="1"/>
      <protection locked="0"/>
    </xf>
    <xf numFmtId="0" fontId="30" fillId="2" borderId="64" xfId="2" applyFont="1" applyFill="1" applyBorder="1" applyAlignment="1" applyProtection="1">
      <alignment horizontal="center" vertical="center" shrinkToFit="1"/>
      <protection locked="0"/>
    </xf>
    <xf numFmtId="0" fontId="30" fillId="2" borderId="62" xfId="2" applyFont="1" applyFill="1" applyBorder="1" applyAlignment="1" applyProtection="1">
      <alignment horizontal="center" vertical="center" shrinkToFit="1"/>
      <protection locked="0"/>
    </xf>
    <xf numFmtId="0" fontId="30" fillId="2" borderId="65" xfId="2" applyFont="1" applyFill="1" applyBorder="1" applyAlignment="1" applyProtection="1">
      <alignment horizontal="center" vertical="center" shrinkToFit="1"/>
      <protection locked="0"/>
    </xf>
    <xf numFmtId="0" fontId="30" fillId="2" borderId="4" xfId="2" applyFont="1" applyFill="1" applyBorder="1" applyAlignment="1" applyProtection="1">
      <alignment horizontal="center" vertical="center" wrapText="1"/>
      <protection locked="0"/>
    </xf>
    <xf numFmtId="0" fontId="30" fillId="2" borderId="64" xfId="2" applyFont="1" applyFill="1" applyBorder="1" applyAlignment="1" applyProtection="1">
      <alignment horizontal="center" vertical="center" wrapText="1"/>
      <protection locked="0"/>
    </xf>
    <xf numFmtId="0" fontId="31" fillId="2" borderId="64" xfId="2" applyFont="1" applyFill="1" applyBorder="1" applyAlignment="1" applyProtection="1">
      <alignment horizontal="center" vertical="center" shrinkToFit="1"/>
      <protection locked="0"/>
    </xf>
    <xf numFmtId="0" fontId="28" fillId="2" borderId="9" xfId="2" applyFont="1" applyFill="1" applyBorder="1" applyAlignment="1" applyProtection="1">
      <alignment horizontal="center" vertical="center"/>
      <protection locked="0"/>
    </xf>
    <xf numFmtId="0" fontId="33" fillId="2" borderId="54" xfId="2" applyFont="1" applyFill="1" applyBorder="1" applyAlignment="1" applyProtection="1">
      <alignment horizontal="center" vertical="center" shrinkToFit="1"/>
      <protection locked="0"/>
    </xf>
    <xf numFmtId="0" fontId="33" fillId="2" borderId="52" xfId="2" applyFont="1" applyFill="1" applyBorder="1" applyAlignment="1" applyProtection="1">
      <alignment horizontal="center" vertical="center" shrinkToFit="1"/>
      <protection locked="0"/>
    </xf>
    <xf numFmtId="0" fontId="33" fillId="2" borderId="55" xfId="2" applyFont="1" applyFill="1" applyBorder="1" applyAlignment="1" applyProtection="1">
      <alignment horizontal="center" vertical="center" shrinkToFit="1"/>
      <protection locked="0"/>
    </xf>
    <xf numFmtId="0" fontId="32" fillId="2" borderId="4" xfId="2" applyFont="1" applyFill="1" applyBorder="1" applyAlignment="1" applyProtection="1">
      <alignment horizontal="left" vertical="center" shrinkToFit="1"/>
      <protection locked="0"/>
    </xf>
    <xf numFmtId="0" fontId="32" fillId="0" borderId="4" xfId="0" applyFont="1" applyBorder="1" applyAlignment="1" applyProtection="1">
      <alignment horizontal="left" vertical="center" shrinkToFit="1"/>
      <protection locked="0"/>
    </xf>
    <xf numFmtId="41" fontId="33" fillId="0" borderId="40" xfId="0" applyNumberFormat="1" applyFont="1" applyBorder="1" applyAlignment="1" applyProtection="1">
      <alignment horizontal="center" vertical="center" shrinkToFit="1"/>
      <protection locked="0"/>
    </xf>
    <xf numFmtId="41" fontId="33" fillId="0" borderId="41" xfId="0" applyNumberFormat="1" applyFont="1" applyBorder="1" applyAlignment="1" applyProtection="1">
      <alignment horizontal="center" vertical="center" shrinkToFit="1"/>
      <protection locked="0"/>
    </xf>
    <xf numFmtId="41" fontId="33" fillId="0" borderId="51" xfId="0" applyNumberFormat="1" applyFont="1" applyBorder="1" applyAlignment="1" applyProtection="1">
      <alignment horizontal="center" vertical="center" shrinkToFit="1"/>
      <protection locked="0"/>
    </xf>
    <xf numFmtId="41" fontId="33" fillId="0" borderId="52" xfId="0" applyNumberFormat="1" applyFont="1" applyBorder="1" applyAlignment="1" applyProtection="1">
      <alignment horizontal="center" vertical="center" shrinkToFit="1"/>
      <protection locked="0"/>
    </xf>
    <xf numFmtId="41" fontId="33" fillId="0" borderId="53" xfId="0" applyNumberFormat="1" applyFont="1" applyBorder="1" applyAlignment="1" applyProtection="1">
      <alignment horizontal="center" vertical="center" shrinkToFit="1"/>
      <protection locked="0"/>
    </xf>
    <xf numFmtId="0" fontId="28" fillId="2" borderId="47" xfId="2" applyFont="1" applyFill="1" applyBorder="1" applyAlignment="1" applyProtection="1">
      <alignment horizontal="center" vertical="center" wrapText="1"/>
      <protection locked="0"/>
    </xf>
    <xf numFmtId="0" fontId="27" fillId="0" borderId="38" xfId="0" applyFont="1" applyBorder="1">
      <alignment vertical="center"/>
    </xf>
    <xf numFmtId="0" fontId="27" fillId="0" borderId="48" xfId="0" applyFont="1" applyBorder="1">
      <alignment vertical="center"/>
    </xf>
    <xf numFmtId="0" fontId="27" fillId="0" borderId="49" xfId="0" applyFont="1" applyBorder="1">
      <alignment vertical="center"/>
    </xf>
    <xf numFmtId="0" fontId="27" fillId="0" borderId="41" xfId="0" applyFont="1" applyBorder="1">
      <alignment vertical="center"/>
    </xf>
    <xf numFmtId="0" fontId="27" fillId="0" borderId="50" xfId="0" applyFont="1" applyBorder="1">
      <alignment vertical="center"/>
    </xf>
    <xf numFmtId="0" fontId="28" fillId="2" borderId="37" xfId="2" applyFont="1" applyFill="1" applyBorder="1" applyAlignment="1" applyProtection="1">
      <alignment horizontal="center" vertical="center" wrapText="1" shrinkToFit="1"/>
      <protection locked="0"/>
    </xf>
    <xf numFmtId="0" fontId="28" fillId="2" borderId="38" xfId="2" applyFont="1" applyFill="1" applyBorder="1" applyAlignment="1" applyProtection="1">
      <alignment horizontal="center" vertical="center" wrapText="1" shrinkToFit="1"/>
      <protection locked="0"/>
    </xf>
    <xf numFmtId="0" fontId="28" fillId="2" borderId="39" xfId="2" applyFont="1" applyFill="1" applyBorder="1" applyAlignment="1" applyProtection="1">
      <alignment horizontal="center" vertical="center" wrapText="1" shrinkToFit="1"/>
      <protection locked="0"/>
    </xf>
    <xf numFmtId="0" fontId="28" fillId="2" borderId="40" xfId="2" applyFont="1" applyFill="1" applyBorder="1" applyAlignment="1" applyProtection="1">
      <alignment horizontal="center" vertical="center" wrapText="1" shrinkToFit="1"/>
      <protection locked="0"/>
    </xf>
    <xf numFmtId="0" fontId="28" fillId="2" borderId="41" xfId="2" applyFont="1" applyFill="1" applyBorder="1" applyAlignment="1" applyProtection="1">
      <alignment horizontal="center" vertical="center" wrapText="1" shrinkToFit="1"/>
      <protection locked="0"/>
    </xf>
    <xf numFmtId="0" fontId="28" fillId="2" borderId="42" xfId="2" applyFont="1" applyFill="1" applyBorder="1" applyAlignment="1" applyProtection="1">
      <alignment horizontal="center" vertical="center" wrapText="1" shrinkToFit="1"/>
      <protection locked="0"/>
    </xf>
    <xf numFmtId="0" fontId="38" fillId="2" borderId="14" xfId="2" applyFont="1" applyFill="1" applyBorder="1" applyAlignment="1" applyProtection="1">
      <alignment horizontal="center" vertical="center"/>
      <protection locked="0"/>
    </xf>
    <xf numFmtId="0" fontId="31" fillId="2" borderId="7" xfId="2" applyFont="1" applyFill="1" applyBorder="1" applyAlignment="1" applyProtection="1">
      <alignment horizontal="center" vertical="center" wrapText="1" shrinkToFit="1"/>
      <protection locked="0"/>
    </xf>
    <xf numFmtId="0" fontId="31" fillId="2" borderId="7" xfId="2" applyFont="1" applyFill="1" applyBorder="1" applyAlignment="1" applyProtection="1">
      <alignment horizontal="center" vertical="center" shrinkToFit="1"/>
      <protection locked="0"/>
    </xf>
    <xf numFmtId="0" fontId="31" fillId="2" borderId="14" xfId="2" applyFont="1" applyFill="1" applyBorder="1" applyAlignment="1" applyProtection="1">
      <alignment horizontal="center" vertical="center" shrinkToFit="1"/>
      <protection locked="0"/>
    </xf>
    <xf numFmtId="0" fontId="31" fillId="2" borderId="23" xfId="2" applyFont="1" applyFill="1" applyBorder="1" applyAlignment="1" applyProtection="1">
      <alignment horizontal="center" vertical="center" shrinkToFit="1"/>
      <protection locked="0"/>
    </xf>
    <xf numFmtId="0" fontId="31" fillId="2" borderId="24" xfId="2" applyFont="1" applyFill="1" applyBorder="1" applyAlignment="1" applyProtection="1">
      <alignment horizontal="center" vertical="center" shrinkToFit="1"/>
      <protection locked="0"/>
    </xf>
    <xf numFmtId="0" fontId="30" fillId="2" borderId="7" xfId="2" applyFont="1" applyFill="1" applyBorder="1" applyAlignment="1" applyProtection="1">
      <alignment horizontal="center" vertical="center" wrapText="1" shrinkToFit="1"/>
      <protection locked="0"/>
    </xf>
    <xf numFmtId="0" fontId="30" fillId="2" borderId="7" xfId="2" applyFont="1" applyFill="1" applyBorder="1" applyAlignment="1" applyProtection="1">
      <alignment horizontal="center" vertical="center" wrapText="1"/>
      <protection locked="0"/>
    </xf>
    <xf numFmtId="0" fontId="30" fillId="2" borderId="23" xfId="2" applyFont="1" applyFill="1" applyBorder="1" applyAlignment="1" applyProtection="1">
      <alignment horizontal="center" vertical="center" wrapText="1"/>
      <protection locked="0"/>
    </xf>
    <xf numFmtId="0" fontId="34" fillId="2" borderId="19" xfId="2" applyFont="1" applyFill="1" applyBorder="1" applyAlignment="1" applyProtection="1">
      <alignment horizontal="center" vertical="center"/>
      <protection locked="0"/>
    </xf>
    <xf numFmtId="0" fontId="34" fillId="2" borderId="20" xfId="2" applyFont="1" applyFill="1" applyBorder="1" applyAlignment="1" applyProtection="1">
      <alignment horizontal="center" vertical="center"/>
      <protection locked="0"/>
    </xf>
    <xf numFmtId="0" fontId="37" fillId="0" borderId="21" xfId="0" applyFont="1" applyBorder="1" applyAlignment="1" applyProtection="1">
      <alignment horizontal="center" vertical="center"/>
      <protection locked="0"/>
    </xf>
    <xf numFmtId="0" fontId="37" fillId="0" borderId="22" xfId="0" applyFont="1" applyBorder="1" applyAlignment="1" applyProtection="1">
      <alignment horizontal="center" vertical="center"/>
      <protection locked="0"/>
    </xf>
    <xf numFmtId="0" fontId="37" fillId="0" borderId="6" xfId="0" applyFont="1" applyBorder="1" applyAlignment="1" applyProtection="1">
      <alignment horizontal="center" vertical="center"/>
      <protection locked="0"/>
    </xf>
    <xf numFmtId="0" fontId="37" fillId="0" borderId="8" xfId="0" applyFont="1" applyBorder="1" applyAlignment="1" applyProtection="1">
      <alignment horizontal="center" vertical="center"/>
      <protection locked="0"/>
    </xf>
    <xf numFmtId="0" fontId="37" fillId="0" borderId="7" xfId="0" applyFont="1" applyBorder="1" applyAlignment="1" applyProtection="1">
      <alignment horizontal="center" vertical="center"/>
      <protection locked="0"/>
    </xf>
    <xf numFmtId="0" fontId="37" fillId="0" borderId="23" xfId="0" applyFont="1" applyBorder="1" applyAlignment="1" applyProtection="1">
      <alignment horizontal="center" vertical="center"/>
      <protection locked="0"/>
    </xf>
    <xf numFmtId="0" fontId="38" fillId="2" borderId="6" xfId="2" applyFont="1" applyFill="1" applyBorder="1" applyAlignment="1" applyProtection="1">
      <alignment horizontal="center" vertical="center" wrapText="1"/>
      <protection locked="0"/>
    </xf>
    <xf numFmtId="0" fontId="29" fillId="2" borderId="7" xfId="2" applyFont="1" applyFill="1" applyBorder="1" applyAlignment="1" applyProtection="1">
      <alignment horizontal="center" vertical="center" shrinkToFit="1"/>
      <protection locked="0"/>
    </xf>
    <xf numFmtId="0" fontId="38" fillId="2" borderId="14" xfId="2" applyFont="1" applyFill="1" applyBorder="1" applyAlignment="1" applyProtection="1">
      <alignment horizontal="center" vertical="center" wrapText="1"/>
      <protection locked="0"/>
    </xf>
    <xf numFmtId="0" fontId="38" fillId="2" borderId="28" xfId="2" applyFont="1" applyFill="1" applyBorder="1" applyAlignment="1" applyProtection="1">
      <alignment horizontal="center" vertical="center" wrapText="1"/>
      <protection locked="0"/>
    </xf>
    <xf numFmtId="0" fontId="38" fillId="2" borderId="27" xfId="2" applyFont="1" applyFill="1" applyBorder="1" applyAlignment="1" applyProtection="1">
      <alignment horizontal="center" vertical="center"/>
      <protection locked="0"/>
    </xf>
    <xf numFmtId="0" fontId="38" fillId="2" borderId="0" xfId="2" applyFont="1" applyFill="1" applyAlignment="1" applyProtection="1">
      <alignment horizontal="center" vertical="center"/>
      <protection locked="0"/>
    </xf>
    <xf numFmtId="0" fontId="38" fillId="2" borderId="29" xfId="2" applyFont="1" applyFill="1" applyBorder="1" applyAlignment="1" applyProtection="1">
      <alignment horizontal="center" vertical="center"/>
      <protection locked="0"/>
    </xf>
    <xf numFmtId="0" fontId="38" fillId="2" borderId="30" xfId="2" applyFont="1" applyFill="1" applyBorder="1" applyAlignment="1" applyProtection="1">
      <alignment horizontal="center" vertical="center"/>
      <protection locked="0"/>
    </xf>
    <xf numFmtId="0" fontId="38" fillId="2" borderId="31" xfId="2" applyFont="1" applyFill="1" applyBorder="1" applyAlignment="1" applyProtection="1">
      <alignment horizontal="center" vertical="center"/>
      <protection locked="0"/>
    </xf>
    <xf numFmtId="0" fontId="38" fillId="2" borderId="32" xfId="2" applyFont="1" applyFill="1" applyBorder="1" applyAlignment="1" applyProtection="1">
      <alignment horizontal="center" vertical="center"/>
      <protection locked="0"/>
    </xf>
    <xf numFmtId="0" fontId="38" fillId="2" borderId="33" xfId="2" applyFont="1" applyFill="1" applyBorder="1" applyAlignment="1" applyProtection="1">
      <alignment horizontal="center" vertical="center" wrapText="1"/>
      <protection locked="0"/>
    </xf>
    <xf numFmtId="0" fontId="38" fillId="2" borderId="0" xfId="2" applyFont="1" applyFill="1" applyAlignment="1" applyProtection="1">
      <alignment horizontal="center" vertical="center" wrapText="1"/>
      <protection locked="0"/>
    </xf>
    <xf numFmtId="0" fontId="38" fillId="2" borderId="27" xfId="2" applyFont="1" applyFill="1" applyBorder="1" applyAlignment="1" applyProtection="1">
      <alignment horizontal="center" vertical="center" wrapText="1"/>
      <protection locked="0"/>
    </xf>
    <xf numFmtId="0" fontId="38" fillId="2" borderId="34" xfId="2" applyFont="1" applyFill="1" applyBorder="1" applyAlignment="1" applyProtection="1">
      <alignment horizontal="center" vertical="center" wrapText="1"/>
      <protection locked="0"/>
    </xf>
    <xf numFmtId="0" fontId="38" fillId="2" borderId="35" xfId="2" applyFont="1" applyFill="1" applyBorder="1" applyAlignment="1" applyProtection="1">
      <alignment horizontal="center" vertical="center" wrapText="1"/>
      <protection locked="0"/>
    </xf>
    <xf numFmtId="0" fontId="38" fillId="2" borderId="31" xfId="2" applyFont="1" applyFill="1" applyBorder="1" applyAlignment="1" applyProtection="1">
      <alignment horizontal="center" vertical="center" wrapText="1"/>
      <protection locked="0"/>
    </xf>
    <xf numFmtId="0" fontId="38" fillId="2" borderId="36" xfId="2" applyFont="1" applyFill="1" applyBorder="1" applyAlignment="1" applyProtection="1">
      <alignment horizontal="center" vertical="center" wrapText="1"/>
      <protection locked="0"/>
    </xf>
    <xf numFmtId="0" fontId="33" fillId="2" borderId="73" xfId="2" applyFont="1" applyFill="1" applyBorder="1" applyAlignment="1" applyProtection="1">
      <alignment horizontal="center" vertical="center" shrinkToFit="1"/>
      <protection locked="0"/>
    </xf>
    <xf numFmtId="0" fontId="33" fillId="2" borderId="43" xfId="2" applyFont="1" applyFill="1" applyBorder="1" applyAlignment="1" applyProtection="1">
      <alignment horizontal="center" vertical="center" shrinkToFit="1"/>
      <protection locked="0"/>
    </xf>
    <xf numFmtId="0" fontId="33" fillId="2" borderId="8" xfId="2" applyFont="1" applyFill="1" applyBorder="1" applyAlignment="1" applyProtection="1">
      <alignment horizontal="center" vertical="center" shrinkToFit="1"/>
      <protection locked="0"/>
    </xf>
    <xf numFmtId="0" fontId="32" fillId="2" borderId="25" xfId="2" applyFont="1" applyFill="1" applyBorder="1" applyAlignment="1" applyProtection="1">
      <alignment horizontal="center" vertical="center" shrinkToFit="1"/>
      <protection locked="0"/>
    </xf>
    <xf numFmtId="0" fontId="32" fillId="2" borderId="43" xfId="2" applyFont="1" applyFill="1" applyBorder="1" applyAlignment="1" applyProtection="1">
      <alignment horizontal="center" vertical="center" shrinkToFit="1"/>
      <protection locked="0"/>
    </xf>
    <xf numFmtId="0" fontId="32" fillId="2" borderId="103" xfId="2" applyFont="1" applyFill="1" applyBorder="1" applyAlignment="1" applyProtection="1">
      <alignment horizontal="center" vertical="center" shrinkToFit="1"/>
      <protection locked="0"/>
    </xf>
    <xf numFmtId="41" fontId="33" fillId="0" borderId="74" xfId="0" applyNumberFormat="1" applyFont="1" applyBorder="1" applyAlignment="1" applyProtection="1">
      <alignment horizontal="center" vertical="center" shrinkToFit="1"/>
      <protection locked="0"/>
    </xf>
    <xf numFmtId="41" fontId="33" fillId="0" borderId="77" xfId="0" applyNumberFormat="1" applyFont="1" applyBorder="1" applyAlignment="1" applyProtection="1">
      <alignment horizontal="center" vertical="center" shrinkToFit="1"/>
      <protection locked="0"/>
    </xf>
    <xf numFmtId="41" fontId="33" fillId="0" borderId="78" xfId="0" applyNumberFormat="1" applyFont="1" applyBorder="1" applyAlignment="1" applyProtection="1">
      <alignment horizontal="center" vertical="center" shrinkToFit="1"/>
      <protection locked="0"/>
    </xf>
    <xf numFmtId="41" fontId="33" fillId="0" borderId="79" xfId="0" applyNumberFormat="1" applyFont="1" applyBorder="1" applyAlignment="1" applyProtection="1">
      <alignment horizontal="center" vertical="center" shrinkToFit="1"/>
      <protection locked="0"/>
    </xf>
    <xf numFmtId="14" fontId="32" fillId="2" borderId="97" xfId="2" applyNumberFormat="1" applyFont="1" applyFill="1" applyBorder="1" applyAlignment="1" applyProtection="1">
      <alignment horizontal="center" vertical="center" shrinkToFit="1"/>
      <protection locked="0"/>
    </xf>
    <xf numFmtId="0" fontId="32" fillId="2" borderId="94" xfId="2" applyFont="1" applyFill="1" applyBorder="1" applyAlignment="1" applyProtection="1">
      <alignment horizontal="center" vertical="center" shrinkToFit="1"/>
      <protection locked="0"/>
    </xf>
    <xf numFmtId="0" fontId="32" fillId="2" borderId="98" xfId="2" applyFont="1" applyFill="1" applyBorder="1" applyAlignment="1" applyProtection="1">
      <alignment horizontal="center" vertical="center" shrinkToFit="1"/>
      <protection locked="0"/>
    </xf>
    <xf numFmtId="14" fontId="32" fillId="2" borderId="17" xfId="2" applyNumberFormat="1" applyFont="1" applyFill="1" applyBorder="1" applyAlignment="1" applyProtection="1">
      <alignment horizontal="center" vertical="center" wrapText="1" shrinkToFit="1"/>
      <protection locked="0"/>
    </xf>
    <xf numFmtId="0" fontId="32" fillId="2" borderId="104" xfId="2" applyFont="1" applyFill="1" applyBorder="1" applyAlignment="1" applyProtection="1">
      <alignment horizontal="center" vertical="center" shrinkToFit="1"/>
      <protection locked="0"/>
    </xf>
    <xf numFmtId="14" fontId="32" fillId="2" borderId="75" xfId="2" applyNumberFormat="1" applyFont="1" applyFill="1" applyBorder="1" applyAlignment="1" applyProtection="1">
      <alignment horizontal="center" vertical="center" wrapText="1" shrinkToFit="1"/>
      <protection locked="0"/>
    </xf>
    <xf numFmtId="41" fontId="32" fillId="4" borderId="60" xfId="0" applyNumberFormat="1" applyFont="1" applyFill="1" applyBorder="1" applyAlignment="1" applyProtection="1">
      <alignment horizontal="center" vertical="center" shrinkToFit="1"/>
      <protection locked="0"/>
    </xf>
    <xf numFmtId="41" fontId="32" fillId="4" borderId="17" xfId="0" applyNumberFormat="1" applyFont="1" applyFill="1" applyBorder="1" applyAlignment="1" applyProtection="1">
      <alignment horizontal="center" vertical="center" shrinkToFit="1"/>
      <protection locked="0"/>
    </xf>
    <xf numFmtId="41" fontId="32" fillId="4" borderId="10" xfId="0" applyNumberFormat="1" applyFont="1" applyFill="1" applyBorder="1" applyAlignment="1" applyProtection="1">
      <alignment horizontal="center" vertical="center" shrinkToFit="1"/>
      <protection locked="0"/>
    </xf>
    <xf numFmtId="0" fontId="32" fillId="2" borderId="101" xfId="2" applyFont="1" applyFill="1" applyBorder="1" applyAlignment="1" applyProtection="1">
      <alignment horizontal="center" vertical="center" shrinkToFit="1"/>
      <protection locked="0"/>
    </xf>
    <xf numFmtId="0" fontId="32" fillId="2" borderId="102" xfId="2" applyFont="1" applyFill="1" applyBorder="1" applyAlignment="1" applyProtection="1">
      <alignment horizontal="center" vertical="center" shrinkToFit="1"/>
      <protection locked="0"/>
    </xf>
    <xf numFmtId="0" fontId="10" fillId="2" borderId="26" xfId="2" applyFont="1" applyFill="1" applyBorder="1" applyAlignment="1" applyProtection="1">
      <alignment horizontal="center" vertical="center" shrinkToFit="1"/>
      <protection locked="0"/>
    </xf>
    <xf numFmtId="0" fontId="10" fillId="2" borderId="27" xfId="2" applyFont="1" applyFill="1" applyBorder="1" applyAlignment="1" applyProtection="1">
      <alignment horizontal="center" vertical="center" shrinkToFit="1"/>
      <protection locked="0"/>
    </xf>
    <xf numFmtId="41" fontId="16" fillId="0" borderId="74" xfId="0" applyNumberFormat="1" applyFont="1" applyBorder="1" applyAlignment="1" applyProtection="1">
      <alignment horizontal="center" vertical="center" shrinkToFit="1"/>
      <protection locked="0"/>
    </xf>
    <xf numFmtId="41" fontId="16" fillId="0" borderId="77" xfId="0" applyNumberFormat="1" applyFont="1" applyBorder="1" applyAlignment="1" applyProtection="1">
      <alignment horizontal="center" vertical="center" shrinkToFit="1"/>
      <protection locked="0"/>
    </xf>
    <xf numFmtId="41" fontId="16" fillId="0" borderId="78" xfId="0" applyNumberFormat="1" applyFont="1" applyBorder="1" applyAlignment="1" applyProtection="1">
      <alignment horizontal="center" vertical="center" shrinkToFit="1"/>
      <protection locked="0"/>
    </xf>
    <xf numFmtId="41" fontId="16" fillId="0" borderId="79" xfId="0" applyNumberFormat="1" applyFont="1" applyBorder="1" applyAlignment="1" applyProtection="1">
      <alignment horizontal="center" vertical="center" shrinkToFit="1"/>
      <protection locked="0"/>
    </xf>
    <xf numFmtId="0" fontId="15" fillId="2" borderId="28" xfId="2" applyFont="1" applyFill="1" applyBorder="1" applyAlignment="1" applyProtection="1">
      <alignment horizontal="center" vertical="center" wrapText="1"/>
      <protection locked="0"/>
    </xf>
    <xf numFmtId="0" fontId="15" fillId="2" borderId="27" xfId="2" applyFont="1" applyFill="1" applyBorder="1" applyAlignment="1" applyProtection="1">
      <alignment horizontal="center" vertical="center"/>
      <protection locked="0"/>
    </xf>
    <xf numFmtId="0" fontId="15" fillId="2" borderId="0" xfId="2" applyFont="1" applyFill="1" applyAlignment="1" applyProtection="1">
      <alignment horizontal="center" vertical="center"/>
      <protection locked="0"/>
    </xf>
    <xf numFmtId="0" fontId="15" fillId="2" borderId="29" xfId="2" applyFont="1" applyFill="1" applyBorder="1" applyAlignment="1" applyProtection="1">
      <alignment horizontal="center" vertical="center"/>
      <protection locked="0"/>
    </xf>
    <xf numFmtId="0" fontId="15" fillId="2" borderId="30" xfId="2" applyFont="1" applyFill="1" applyBorder="1" applyAlignment="1" applyProtection="1">
      <alignment horizontal="center" vertical="center"/>
      <protection locked="0"/>
    </xf>
    <xf numFmtId="0" fontId="15" fillId="2" borderId="31" xfId="2" applyFont="1" applyFill="1" applyBorder="1" applyAlignment="1" applyProtection="1">
      <alignment horizontal="center" vertical="center"/>
      <protection locked="0"/>
    </xf>
    <xf numFmtId="0" fontId="15" fillId="2" borderId="32" xfId="2" applyFont="1" applyFill="1" applyBorder="1" applyAlignment="1" applyProtection="1">
      <alignment horizontal="center" vertical="center"/>
      <protection locked="0"/>
    </xf>
    <xf numFmtId="0" fontId="15" fillId="2" borderId="33" xfId="2" applyFont="1" applyFill="1" applyBorder="1" applyAlignment="1" applyProtection="1">
      <alignment horizontal="center" vertical="center" wrapText="1"/>
      <protection locked="0"/>
    </xf>
    <xf numFmtId="0" fontId="15" fillId="2" borderId="0" xfId="2" applyFont="1" applyFill="1" applyAlignment="1" applyProtection="1">
      <alignment horizontal="center" vertical="center" wrapText="1"/>
      <protection locked="0"/>
    </xf>
    <xf numFmtId="0" fontId="15" fillId="2" borderId="27" xfId="2" applyFont="1" applyFill="1" applyBorder="1" applyAlignment="1" applyProtection="1">
      <alignment horizontal="center" vertical="center" wrapText="1"/>
      <protection locked="0"/>
    </xf>
    <xf numFmtId="0" fontId="15" fillId="2" borderId="34" xfId="2" applyFont="1" applyFill="1" applyBorder="1" applyAlignment="1" applyProtection="1">
      <alignment horizontal="center" vertical="center" wrapText="1"/>
      <protection locked="0"/>
    </xf>
    <xf numFmtId="0" fontId="15" fillId="2" borderId="35" xfId="2" applyFont="1" applyFill="1" applyBorder="1" applyAlignment="1" applyProtection="1">
      <alignment horizontal="center" vertical="center" wrapText="1"/>
      <protection locked="0"/>
    </xf>
    <xf numFmtId="0" fontId="15" fillId="2" borderId="31" xfId="2" applyFont="1" applyFill="1" applyBorder="1" applyAlignment="1" applyProtection="1">
      <alignment horizontal="center" vertical="center" wrapText="1"/>
      <protection locked="0"/>
    </xf>
    <xf numFmtId="0" fontId="15" fillId="2" borderId="36" xfId="2" applyFont="1" applyFill="1" applyBorder="1" applyAlignment="1" applyProtection="1">
      <alignment horizontal="center" vertical="center" wrapText="1"/>
      <protection locked="0"/>
    </xf>
    <xf numFmtId="0" fontId="10" fillId="2" borderId="74" xfId="2" applyFont="1" applyFill="1" applyBorder="1" applyAlignment="1" applyProtection="1">
      <alignment horizontal="center" vertical="center" shrinkToFit="1"/>
      <protection locked="0"/>
    </xf>
    <xf numFmtId="41" fontId="10" fillId="0" borderId="74" xfId="0" applyNumberFormat="1" applyFont="1" applyBorder="1" applyAlignment="1" applyProtection="1">
      <alignment horizontal="center" vertical="center" shrinkToFit="1"/>
      <protection locked="0"/>
    </xf>
    <xf numFmtId="41" fontId="10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74" xfId="2" applyFont="1" applyFill="1" applyBorder="1" applyAlignment="1" applyProtection="1">
      <alignment horizontal="center" vertical="center"/>
      <protection locked="0"/>
    </xf>
    <xf numFmtId="41" fontId="10" fillId="2" borderId="75" xfId="2" applyNumberFormat="1" applyFont="1" applyFill="1" applyBorder="1" applyAlignment="1" applyProtection="1">
      <alignment horizontal="center" vertical="center" shrinkToFit="1"/>
      <protection locked="0"/>
    </xf>
    <xf numFmtId="41" fontId="10" fillId="2" borderId="76" xfId="2" applyNumberFormat="1" applyFont="1" applyFill="1" applyBorder="1" applyAlignment="1" applyProtection="1">
      <alignment horizontal="center" vertical="center" shrinkToFit="1"/>
      <protection locked="0"/>
    </xf>
    <xf numFmtId="14" fontId="10" fillId="2" borderId="75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76" xfId="2" applyFont="1" applyFill="1" applyBorder="1" applyAlignment="1" applyProtection="1">
      <alignment horizontal="center" vertical="center" shrinkToFit="1"/>
      <protection locked="0"/>
    </xf>
    <xf numFmtId="14" fontId="10" fillId="2" borderId="73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43" xfId="2" applyFont="1" applyFill="1" applyBorder="1" applyAlignment="1" applyProtection="1">
      <alignment horizontal="center" vertical="center" shrinkToFit="1"/>
      <protection locked="0"/>
    </xf>
    <xf numFmtId="0" fontId="10" fillId="2" borderId="75" xfId="2" applyFont="1" applyFill="1" applyBorder="1" applyAlignment="1" applyProtection="1">
      <alignment horizontal="center" vertical="center" shrinkToFit="1"/>
      <protection locked="0"/>
    </xf>
    <xf numFmtId="0" fontId="15" fillId="2" borderId="7" xfId="2" applyFont="1" applyFill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25" xfId="0" applyFont="1" applyBorder="1" applyAlignment="1" applyProtection="1">
      <alignment horizontal="center" vertical="center"/>
      <protection locked="0"/>
    </xf>
    <xf numFmtId="0" fontId="21" fillId="2" borderId="74" xfId="2" applyFont="1" applyFill="1" applyBorder="1" applyAlignment="1" applyProtection="1">
      <alignment horizontal="center" vertical="center"/>
      <protection locked="0"/>
    </xf>
    <xf numFmtId="0" fontId="21" fillId="0" borderId="74" xfId="0" applyFont="1" applyBorder="1" applyAlignment="1" applyProtection="1">
      <alignment horizontal="center" vertical="center"/>
      <protection locked="0"/>
    </xf>
    <xf numFmtId="0" fontId="21" fillId="2" borderId="75" xfId="2" applyFont="1" applyFill="1" applyBorder="1" applyAlignment="1" applyProtection="1">
      <alignment horizontal="center" vertical="center"/>
      <protection locked="0"/>
    </xf>
    <xf numFmtId="0" fontId="21" fillId="2" borderId="76" xfId="2" applyFont="1" applyFill="1" applyBorder="1" applyAlignment="1" applyProtection="1">
      <alignment horizontal="center" vertical="center"/>
      <protection locked="0"/>
    </xf>
    <xf numFmtId="0" fontId="15" fillId="2" borderId="7" xfId="2" applyFont="1" applyFill="1" applyBorder="1" applyAlignment="1" applyProtection="1">
      <alignment horizontal="center" vertical="center" wrapText="1"/>
      <protection locked="0"/>
    </xf>
    <xf numFmtId="176" fontId="17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7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7" fillId="2" borderId="14" xfId="2" applyNumberFormat="1" applyFont="1" applyFill="1" applyBorder="1" applyAlignment="1" applyProtection="1">
      <alignment horizontal="right" vertical="center" wrapText="1"/>
      <protection locked="0"/>
    </xf>
    <xf numFmtId="0" fontId="15" fillId="2" borderId="14" xfId="2" applyFont="1" applyFill="1" applyBorder="1" applyAlignment="1" applyProtection="1">
      <alignment horizontal="center" vertical="center"/>
      <protection locked="0"/>
    </xf>
    <xf numFmtId="0" fontId="7" fillId="2" borderId="7" xfId="2" applyFont="1" applyFill="1" applyBorder="1" applyAlignment="1" applyProtection="1">
      <alignment horizontal="center" vertical="center" wrapText="1" shrinkToFit="1"/>
      <protection locked="0"/>
    </xf>
    <xf numFmtId="0" fontId="7" fillId="2" borderId="7" xfId="2" applyFont="1" applyFill="1" applyBorder="1" applyAlignment="1" applyProtection="1">
      <alignment horizontal="center" vertical="center" shrinkToFit="1"/>
      <protection locked="0"/>
    </xf>
    <xf numFmtId="0" fontId="7" fillId="2" borderId="14" xfId="2" applyFont="1" applyFill="1" applyBorder="1" applyAlignment="1" applyProtection="1">
      <alignment horizontal="center" vertical="center" shrinkToFit="1"/>
      <protection locked="0"/>
    </xf>
    <xf numFmtId="0" fontId="7" fillId="2" borderId="23" xfId="2" applyFont="1" applyFill="1" applyBorder="1" applyAlignment="1" applyProtection="1">
      <alignment horizontal="center" vertical="center" shrinkToFit="1"/>
      <protection locked="0"/>
    </xf>
    <xf numFmtId="0" fontId="7" fillId="2" borderId="24" xfId="2" applyFont="1" applyFill="1" applyBorder="1" applyAlignment="1" applyProtection="1">
      <alignment horizontal="center" vertical="center" shrinkToFit="1"/>
      <protection locked="0"/>
    </xf>
    <xf numFmtId="0" fontId="9" fillId="2" borderId="7" xfId="2" applyFont="1" applyFill="1" applyBorder="1" applyAlignment="1" applyProtection="1">
      <alignment horizontal="center" vertical="center" wrapText="1" shrinkToFit="1"/>
      <protection locked="0"/>
    </xf>
    <xf numFmtId="0" fontId="9" fillId="2" borderId="7" xfId="2" applyFont="1" applyFill="1" applyBorder="1" applyAlignment="1" applyProtection="1">
      <alignment horizontal="left" vertical="center" wrapText="1"/>
      <protection locked="0"/>
    </xf>
    <xf numFmtId="0" fontId="9" fillId="2" borderId="23" xfId="2" applyFont="1" applyFill="1" applyBorder="1" applyAlignment="1" applyProtection="1">
      <alignment horizontal="left" vertical="center" wrapText="1"/>
      <protection locked="0"/>
    </xf>
    <xf numFmtId="0" fontId="11" fillId="2" borderId="19" xfId="2" applyFont="1" applyFill="1" applyBorder="1" applyAlignment="1" applyProtection="1">
      <alignment horizontal="center" vertical="center"/>
      <protection locked="0"/>
    </xf>
    <xf numFmtId="0" fontId="11" fillId="2" borderId="20" xfId="2" applyFont="1" applyFill="1" applyBorder="1" applyAlignment="1" applyProtection="1">
      <alignment horizontal="center" vertical="center"/>
      <protection locked="0"/>
    </xf>
    <xf numFmtId="0" fontId="14" fillId="0" borderId="21" xfId="0" applyFont="1" applyBorder="1" applyAlignment="1" applyProtection="1">
      <alignment horizontal="center" vertical="center"/>
      <protection locked="0"/>
    </xf>
    <xf numFmtId="0" fontId="14" fillId="0" borderId="22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15" fillId="2" borderId="6" xfId="2" applyFont="1" applyFill="1" applyBorder="1" applyAlignment="1" applyProtection="1">
      <alignment horizontal="center" vertical="center" wrapText="1"/>
      <protection locked="0"/>
    </xf>
    <xf numFmtId="0" fontId="8" fillId="2" borderId="7" xfId="2" applyFont="1" applyFill="1" applyBorder="1" applyAlignment="1" applyProtection="1">
      <alignment horizontal="center" vertical="center" shrinkToFit="1"/>
      <protection locked="0"/>
    </xf>
    <xf numFmtId="0" fontId="15" fillId="2" borderId="14" xfId="2" applyFont="1" applyFill="1" applyBorder="1" applyAlignment="1" applyProtection="1">
      <alignment horizontal="center" vertical="center" wrapText="1"/>
      <protection locked="0"/>
    </xf>
    <xf numFmtId="0" fontId="8" fillId="2" borderId="7" xfId="2" applyFont="1" applyFill="1" applyBorder="1" applyAlignment="1" applyProtection="1">
      <alignment horizontal="center" vertical="center"/>
      <protection locked="0"/>
    </xf>
    <xf numFmtId="0" fontId="8" fillId="2" borderId="23" xfId="2" applyFont="1" applyFill="1" applyBorder="1" applyAlignment="1" applyProtection="1">
      <alignment horizontal="center" vertical="center"/>
      <protection locked="0"/>
    </xf>
    <xf numFmtId="0" fontId="9" fillId="2" borderId="26" xfId="2" applyFont="1" applyFill="1" applyBorder="1" applyAlignment="1" applyProtection="1">
      <alignment horizontal="center" vertical="center" wrapText="1"/>
      <protection locked="0"/>
    </xf>
    <xf numFmtId="0" fontId="9" fillId="2" borderId="27" xfId="2" applyFont="1" applyFill="1" applyBorder="1" applyAlignment="1" applyProtection="1">
      <alignment horizontal="center" vertical="center" wrapText="1"/>
      <protection locked="0"/>
    </xf>
    <xf numFmtId="0" fontId="9" fillId="2" borderId="56" xfId="2" applyFont="1" applyFill="1" applyBorder="1" applyAlignment="1" applyProtection="1">
      <alignment horizontal="center" vertical="center" wrapText="1"/>
      <protection locked="0"/>
    </xf>
    <xf numFmtId="0" fontId="9" fillId="2" borderId="57" xfId="2" applyFont="1" applyFill="1" applyBorder="1" applyAlignment="1" applyProtection="1">
      <alignment horizontal="center" vertical="center" wrapText="1"/>
      <protection locked="0"/>
    </xf>
    <xf numFmtId="0" fontId="9" fillId="2" borderId="58" xfId="2" applyFont="1" applyFill="1" applyBorder="1" applyAlignment="1" applyProtection="1">
      <alignment horizontal="center" vertical="center" wrapText="1"/>
      <protection locked="0"/>
    </xf>
    <xf numFmtId="0" fontId="9" fillId="2" borderId="59" xfId="2" applyFont="1" applyFill="1" applyBorder="1" applyAlignment="1" applyProtection="1">
      <alignment horizontal="center" vertical="center" wrapText="1"/>
      <protection locked="0"/>
    </xf>
    <xf numFmtId="0" fontId="10" fillId="2" borderId="54" xfId="2" applyFont="1" applyFill="1" applyBorder="1" applyAlignment="1" applyProtection="1">
      <alignment horizontal="center" vertical="center" shrinkToFit="1"/>
      <protection locked="0"/>
    </xf>
    <xf numFmtId="0" fontId="10" fillId="2" borderId="52" xfId="2" applyFont="1" applyFill="1" applyBorder="1" applyAlignment="1" applyProtection="1">
      <alignment horizontal="center" vertical="center" shrinkToFit="1"/>
      <protection locked="0"/>
    </xf>
    <xf numFmtId="0" fontId="10" fillId="2" borderId="55" xfId="2" applyFont="1" applyFill="1" applyBorder="1" applyAlignment="1" applyProtection="1">
      <alignment horizontal="center" vertical="center" shrinkToFit="1"/>
      <protection locked="0"/>
    </xf>
    <xf numFmtId="0" fontId="10" fillId="2" borderId="4" xfId="2" applyFont="1" applyFill="1" applyBorder="1" applyAlignment="1" applyProtection="1">
      <alignment horizontal="left" vertical="center" shrinkToFit="1"/>
      <protection locked="0"/>
    </xf>
    <xf numFmtId="0" fontId="10" fillId="0" borderId="4" xfId="0" applyFont="1" applyBorder="1" applyAlignment="1" applyProtection="1">
      <alignment horizontal="left" vertical="center" shrinkToFit="1"/>
      <protection locked="0"/>
    </xf>
    <xf numFmtId="41" fontId="16" fillId="0" borderId="40" xfId="0" applyNumberFormat="1" applyFont="1" applyBorder="1" applyAlignment="1" applyProtection="1">
      <alignment horizontal="center" vertical="center" shrinkToFit="1"/>
      <protection locked="0"/>
    </xf>
    <xf numFmtId="41" fontId="16" fillId="0" borderId="41" xfId="0" applyNumberFormat="1" applyFont="1" applyBorder="1" applyAlignment="1" applyProtection="1">
      <alignment horizontal="center" vertical="center" shrinkToFit="1"/>
      <protection locked="0"/>
    </xf>
    <xf numFmtId="41" fontId="16" fillId="0" borderId="51" xfId="0" applyNumberFormat="1" applyFont="1" applyBorder="1" applyAlignment="1" applyProtection="1">
      <alignment horizontal="center" vertical="center" shrinkToFit="1"/>
      <protection locked="0"/>
    </xf>
    <xf numFmtId="41" fontId="16" fillId="0" borderId="52" xfId="0" applyNumberFormat="1" applyFont="1" applyBorder="1" applyAlignment="1" applyProtection="1">
      <alignment horizontal="center" vertical="center" shrinkToFit="1"/>
      <protection locked="0"/>
    </xf>
    <xf numFmtId="41" fontId="16" fillId="0" borderId="53" xfId="0" applyNumberFormat="1" applyFont="1" applyBorder="1" applyAlignment="1" applyProtection="1">
      <alignment horizontal="center" vertical="center" shrinkToFit="1"/>
      <protection locked="0"/>
    </xf>
    <xf numFmtId="0" fontId="6" fillId="2" borderId="47" xfId="2" applyFont="1" applyFill="1" applyBorder="1" applyAlignment="1" applyProtection="1">
      <alignment horizontal="center" vertical="center" wrapText="1"/>
      <protection locked="0"/>
    </xf>
    <xf numFmtId="0" fontId="0" fillId="0" borderId="38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41" xfId="0" applyBorder="1">
      <alignment vertical="center"/>
    </xf>
    <xf numFmtId="0" fontId="0" fillId="0" borderId="50" xfId="0" applyBorder="1">
      <alignment vertical="center"/>
    </xf>
    <xf numFmtId="0" fontId="6" fillId="2" borderId="37" xfId="2" applyFont="1" applyFill="1" applyBorder="1" applyAlignment="1" applyProtection="1">
      <alignment horizontal="center" vertical="center" wrapText="1"/>
      <protection locked="0"/>
    </xf>
    <xf numFmtId="0" fontId="6" fillId="2" borderId="38" xfId="2" applyFont="1" applyFill="1" applyBorder="1" applyAlignment="1" applyProtection="1">
      <alignment horizontal="center" vertical="center"/>
      <protection locked="0"/>
    </xf>
    <xf numFmtId="0" fontId="6" fillId="2" borderId="39" xfId="2" applyFont="1" applyFill="1" applyBorder="1" applyAlignment="1" applyProtection="1">
      <alignment horizontal="center" vertical="center"/>
      <protection locked="0"/>
    </xf>
    <xf numFmtId="0" fontId="6" fillId="2" borderId="40" xfId="2" applyFont="1" applyFill="1" applyBorder="1" applyAlignment="1" applyProtection="1">
      <alignment horizontal="center" vertical="center"/>
      <protection locked="0"/>
    </xf>
    <xf numFmtId="0" fontId="6" fillId="2" borderId="41" xfId="2" applyFont="1" applyFill="1" applyBorder="1" applyAlignment="1" applyProtection="1">
      <alignment horizontal="center" vertical="center"/>
      <protection locked="0"/>
    </xf>
    <xf numFmtId="0" fontId="6" fillId="2" borderId="42" xfId="2" applyFont="1" applyFill="1" applyBorder="1" applyAlignment="1" applyProtection="1">
      <alignment horizontal="center" vertical="center"/>
      <protection locked="0"/>
    </xf>
    <xf numFmtId="0" fontId="10" fillId="2" borderId="4" xfId="2" applyFont="1" applyFill="1" applyBorder="1" applyAlignment="1" applyProtection="1">
      <alignment horizontal="center" vertical="center" shrinkToFit="1"/>
      <protection locked="0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10" fillId="2" borderId="60" xfId="2" applyFont="1" applyFill="1" applyBorder="1" applyAlignment="1" applyProtection="1">
      <alignment horizontal="center" vertical="center" shrinkToFit="1"/>
      <protection locked="0"/>
    </xf>
    <xf numFmtId="0" fontId="10" fillId="2" borderId="17" xfId="2" applyFont="1" applyFill="1" applyBorder="1" applyAlignment="1" applyProtection="1">
      <alignment horizontal="center" vertical="center" shrinkToFit="1"/>
      <protection locked="0"/>
    </xf>
    <xf numFmtId="0" fontId="10" fillId="2" borderId="10" xfId="2" applyFont="1" applyFill="1" applyBorder="1" applyAlignment="1" applyProtection="1">
      <alignment horizontal="center" vertical="center" shrinkToFit="1"/>
      <protection locked="0"/>
    </xf>
    <xf numFmtId="41" fontId="10" fillId="0" borderId="60" xfId="0" applyNumberFormat="1" applyFont="1" applyBorder="1" applyAlignment="1" applyProtection="1">
      <alignment horizontal="center" vertical="center" shrinkToFit="1"/>
      <protection locked="0"/>
    </xf>
    <xf numFmtId="41" fontId="10" fillId="0" borderId="17" xfId="0" applyNumberFormat="1" applyFont="1" applyBorder="1" applyAlignment="1" applyProtection="1">
      <alignment horizontal="center" vertical="center" shrinkToFit="1"/>
      <protection locked="0"/>
    </xf>
    <xf numFmtId="41" fontId="10" fillId="0" borderId="10" xfId="0" applyNumberFormat="1" applyFont="1" applyBorder="1" applyAlignment="1" applyProtection="1">
      <alignment horizontal="center" vertical="center" shrinkToFit="1"/>
      <protection locked="0"/>
    </xf>
    <xf numFmtId="41" fontId="10" fillId="2" borderId="60" xfId="2" applyNumberFormat="1" applyFont="1" applyFill="1" applyBorder="1" applyAlignment="1" applyProtection="1">
      <alignment horizontal="center" vertical="center" shrinkToFit="1"/>
      <protection locked="0"/>
    </xf>
    <xf numFmtId="41" fontId="10" fillId="2" borderId="17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80" xfId="2" applyFont="1" applyFill="1" applyBorder="1" applyAlignment="1" applyProtection="1">
      <alignment horizontal="center" vertical="center"/>
      <protection locked="0"/>
    </xf>
    <xf numFmtId="0" fontId="10" fillId="2" borderId="81" xfId="2" applyFont="1" applyFill="1" applyBorder="1" applyAlignment="1" applyProtection="1">
      <alignment horizontal="center" vertical="center"/>
      <protection locked="0"/>
    </xf>
    <xf numFmtId="0" fontId="10" fillId="2" borderId="82" xfId="2" applyFont="1" applyFill="1" applyBorder="1" applyAlignment="1" applyProtection="1">
      <alignment horizontal="center" vertical="center"/>
      <protection locked="0"/>
    </xf>
    <xf numFmtId="41" fontId="10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44" xfId="2" applyFont="1" applyFill="1" applyBorder="1" applyAlignment="1" applyProtection="1">
      <alignment horizontal="center" vertical="center" shrinkToFit="1"/>
      <protection locked="0"/>
    </xf>
    <xf numFmtId="0" fontId="10" fillId="2" borderId="45" xfId="2" applyFont="1" applyFill="1" applyBorder="1" applyAlignment="1" applyProtection="1">
      <alignment horizontal="center" vertical="center" shrinkToFit="1"/>
      <protection locked="0"/>
    </xf>
    <xf numFmtId="0" fontId="10" fillId="2" borderId="46" xfId="2" applyFont="1" applyFill="1" applyBorder="1" applyAlignment="1" applyProtection="1">
      <alignment horizontal="center" vertical="center" shrinkToFit="1"/>
      <protection locked="0"/>
    </xf>
    <xf numFmtId="14" fontId="10" fillId="2" borderId="17" xfId="2" applyNumberFormat="1" applyFont="1" applyFill="1" applyBorder="1" applyAlignment="1" applyProtection="1">
      <alignment horizontal="center" vertical="center" shrinkToFit="1"/>
      <protection locked="0"/>
    </xf>
    <xf numFmtId="0" fontId="6" fillId="2" borderId="1" xfId="2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2" borderId="48" xfId="2" applyFont="1" applyFill="1" applyBorder="1" applyAlignment="1" applyProtection="1">
      <alignment horizontal="center" vertical="center"/>
      <protection locked="0"/>
    </xf>
    <xf numFmtId="0" fontId="6" fillId="2" borderId="15" xfId="2" applyFont="1" applyFill="1" applyBorder="1" applyAlignment="1" applyProtection="1">
      <alignment horizontal="center" vertical="center"/>
      <protection locked="0"/>
    </xf>
    <xf numFmtId="0" fontId="6" fillId="2" borderId="16" xfId="2" applyFont="1" applyFill="1" applyBorder="1" applyAlignment="1" applyProtection="1">
      <alignment horizontal="center" vertical="center"/>
      <protection locked="0"/>
    </xf>
    <xf numFmtId="0" fontId="6" fillId="2" borderId="61" xfId="2" applyFont="1" applyFill="1" applyBorder="1" applyAlignment="1" applyProtection="1">
      <alignment horizontal="center" vertical="center"/>
      <protection locked="0"/>
    </xf>
    <xf numFmtId="14" fontId="10" fillId="2" borderId="72" xfId="2" applyNumberFormat="1" applyFont="1" applyFill="1" applyBorder="1" applyAlignment="1" applyProtection="1">
      <alignment horizontal="center" vertical="center" shrinkToFit="1"/>
      <protection locked="0"/>
    </xf>
    <xf numFmtId="14" fontId="10" fillId="2" borderId="10" xfId="2" applyNumberFormat="1" applyFont="1" applyFill="1" applyBorder="1" applyAlignment="1" applyProtection="1">
      <alignment horizontal="center" vertical="center" shrinkToFit="1"/>
      <protection locked="0"/>
    </xf>
    <xf numFmtId="0" fontId="2" fillId="2" borderId="47" xfId="2" applyFont="1" applyFill="1" applyBorder="1" applyAlignment="1" applyProtection="1">
      <alignment horizontal="center" vertical="center"/>
      <protection locked="0"/>
    </xf>
    <xf numFmtId="0" fontId="2" fillId="2" borderId="38" xfId="2" applyFont="1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6" fillId="2" borderId="2" xfId="2" applyFont="1" applyFill="1" applyBorder="1" applyAlignment="1" applyProtection="1">
      <alignment horizontal="center" vertical="center" wrapText="1"/>
      <protection locked="0"/>
    </xf>
    <xf numFmtId="0" fontId="6" fillId="2" borderId="3" xfId="2" applyFont="1" applyFill="1" applyBorder="1" applyAlignment="1" applyProtection="1">
      <alignment horizontal="center" vertical="center" wrapText="1"/>
      <protection locked="0"/>
    </xf>
    <xf numFmtId="0" fontId="6" fillId="2" borderId="71" xfId="2" applyFont="1" applyFill="1" applyBorder="1" applyAlignment="1" applyProtection="1">
      <alignment horizontal="center" vertical="center" wrapText="1"/>
      <protection locked="0"/>
    </xf>
    <xf numFmtId="0" fontId="6" fillId="2" borderId="1" xfId="2" applyFont="1" applyFill="1" applyBorder="1" applyAlignment="1" applyProtection="1">
      <alignment horizontal="center" vertical="center" wrapText="1"/>
      <protection locked="0"/>
    </xf>
    <xf numFmtId="0" fontId="6" fillId="2" borderId="4" xfId="2" applyFont="1" applyFill="1" applyBorder="1" applyAlignment="1" applyProtection="1">
      <alignment horizontal="center" vertical="center" wrapText="1"/>
      <protection locked="0"/>
    </xf>
    <xf numFmtId="0" fontId="8" fillId="2" borderId="37" xfId="2" applyFont="1" applyFill="1" applyBorder="1" applyAlignment="1" applyProtection="1">
      <alignment horizontal="center" vertical="center" shrinkToFit="1"/>
      <protection locked="0"/>
    </xf>
    <xf numFmtId="0" fontId="8" fillId="2" borderId="38" xfId="2" applyFont="1" applyFill="1" applyBorder="1" applyAlignment="1" applyProtection="1">
      <alignment horizontal="center" vertical="center" shrinkToFit="1"/>
      <protection locked="0"/>
    </xf>
    <xf numFmtId="0" fontId="8" fillId="2" borderId="39" xfId="2" applyFont="1" applyFill="1" applyBorder="1" applyAlignment="1" applyProtection="1">
      <alignment horizontal="center" vertical="center" shrinkToFit="1"/>
      <protection locked="0"/>
    </xf>
    <xf numFmtId="0" fontId="8" fillId="2" borderId="66" xfId="2" applyFont="1" applyFill="1" applyBorder="1" applyAlignment="1" applyProtection="1">
      <alignment horizontal="center" vertical="center" shrinkToFit="1"/>
      <protection locked="0"/>
    </xf>
    <xf numFmtId="0" fontId="8" fillId="2" borderId="67" xfId="2" applyFont="1" applyFill="1" applyBorder="1" applyAlignment="1" applyProtection="1">
      <alignment horizontal="center" vertical="center" shrinkToFit="1"/>
      <protection locked="0"/>
    </xf>
    <xf numFmtId="0" fontId="8" fillId="2" borderId="70" xfId="2" applyFont="1" applyFill="1" applyBorder="1" applyAlignment="1" applyProtection="1">
      <alignment horizontal="center" vertical="center" shrinkToFit="1"/>
      <protection locked="0"/>
    </xf>
    <xf numFmtId="0" fontId="6" fillId="2" borderId="4" xfId="2" applyFont="1" applyFill="1" applyBorder="1" applyAlignment="1" applyProtection="1">
      <alignment horizontal="center" vertical="center"/>
      <protection locked="0"/>
    </xf>
    <xf numFmtId="0" fontId="8" fillId="2" borderId="37" xfId="2" applyFont="1" applyFill="1" applyBorder="1" applyAlignment="1" applyProtection="1">
      <alignment horizontal="center" vertical="center"/>
      <protection locked="0"/>
    </xf>
    <xf numFmtId="0" fontId="8" fillId="2" borderId="38" xfId="2" applyFont="1" applyFill="1" applyBorder="1" applyAlignment="1" applyProtection="1">
      <alignment horizontal="center" vertical="center"/>
      <protection locked="0"/>
    </xf>
    <xf numFmtId="0" fontId="8" fillId="2" borderId="39" xfId="2" applyFont="1" applyFill="1" applyBorder="1" applyAlignment="1" applyProtection="1">
      <alignment horizontal="center" vertical="center"/>
      <protection locked="0"/>
    </xf>
    <xf numFmtId="0" fontId="8" fillId="2" borderId="66" xfId="2" applyFont="1" applyFill="1" applyBorder="1" applyAlignment="1" applyProtection="1">
      <alignment horizontal="center" vertical="center"/>
      <protection locked="0"/>
    </xf>
    <xf numFmtId="0" fontId="8" fillId="2" borderId="67" xfId="2" applyFont="1" applyFill="1" applyBorder="1" applyAlignment="1" applyProtection="1">
      <alignment horizontal="center" vertical="center"/>
      <protection locked="0"/>
    </xf>
    <xf numFmtId="0" fontId="8" fillId="2" borderId="70" xfId="2" applyFont="1" applyFill="1" applyBorder="1" applyAlignment="1" applyProtection="1">
      <alignment horizontal="center" vertical="center"/>
      <protection locked="0"/>
    </xf>
    <xf numFmtId="0" fontId="9" fillId="2" borderId="44" xfId="2" applyFont="1" applyFill="1" applyBorder="1" applyAlignment="1" applyProtection="1">
      <alignment horizontal="center" vertical="center" wrapText="1"/>
      <protection locked="0"/>
    </xf>
    <xf numFmtId="0" fontId="9" fillId="2" borderId="45" xfId="2" applyFont="1" applyFill="1" applyBorder="1" applyAlignment="1" applyProtection="1">
      <alignment horizontal="center" vertical="center" wrapText="1"/>
      <protection locked="0"/>
    </xf>
    <xf numFmtId="0" fontId="9" fillId="2" borderId="46" xfId="2" applyFont="1" applyFill="1" applyBorder="1" applyAlignment="1" applyProtection="1">
      <alignment horizontal="center" vertical="center" wrapText="1"/>
      <protection locked="0"/>
    </xf>
    <xf numFmtId="0" fontId="9" fillId="2" borderId="66" xfId="2" applyFont="1" applyFill="1" applyBorder="1" applyAlignment="1" applyProtection="1">
      <alignment horizontal="center" vertical="center" wrapText="1"/>
      <protection locked="0"/>
    </xf>
    <xf numFmtId="0" fontId="9" fillId="2" borderId="67" xfId="2" applyFont="1" applyFill="1" applyBorder="1" applyAlignment="1" applyProtection="1">
      <alignment horizontal="center" vertical="center" wrapText="1"/>
      <protection locked="0"/>
    </xf>
    <xf numFmtId="0" fontId="9" fillId="2" borderId="68" xfId="2" applyFont="1" applyFill="1" applyBorder="1" applyAlignment="1" applyProtection="1">
      <alignment horizontal="center" vertical="center" wrapText="1"/>
      <protection locked="0"/>
    </xf>
    <xf numFmtId="0" fontId="9" fillId="2" borderId="69" xfId="2" applyFont="1" applyFill="1" applyBorder="1" applyAlignment="1" applyProtection="1">
      <alignment horizontal="center" vertical="center" wrapText="1"/>
      <protection locked="0"/>
    </xf>
    <xf numFmtId="0" fontId="9" fillId="2" borderId="70" xfId="2" applyFont="1" applyFill="1" applyBorder="1" applyAlignment="1" applyProtection="1">
      <alignment horizontal="center" vertical="center" wrapText="1"/>
      <protection locked="0"/>
    </xf>
    <xf numFmtId="0" fontId="6" fillId="2" borderId="62" xfId="2" applyFont="1" applyFill="1" applyBorder="1" applyAlignment="1" applyProtection="1">
      <alignment horizontal="center" vertical="center" wrapText="1"/>
      <protection locked="0"/>
    </xf>
    <xf numFmtId="176" fontId="8" fillId="2" borderId="4" xfId="2" applyNumberFormat="1" applyFont="1" applyFill="1" applyBorder="1" applyAlignment="1" applyProtection="1">
      <alignment horizontal="right" vertical="center"/>
      <protection locked="0"/>
    </xf>
    <xf numFmtId="177" fontId="8" fillId="2" borderId="4" xfId="2" applyNumberFormat="1" applyFont="1" applyFill="1" applyBorder="1" applyAlignment="1" applyProtection="1">
      <alignment horizontal="right" vertical="center"/>
      <protection locked="0"/>
    </xf>
    <xf numFmtId="177" fontId="8" fillId="2" borderId="60" xfId="2" applyNumberFormat="1" applyFont="1" applyFill="1" applyBorder="1" applyAlignment="1" applyProtection="1">
      <alignment horizontal="right" vertical="center"/>
      <protection locked="0"/>
    </xf>
    <xf numFmtId="177" fontId="8" fillId="2" borderId="62" xfId="2" applyNumberFormat="1" applyFont="1" applyFill="1" applyBorder="1" applyAlignment="1" applyProtection="1">
      <alignment horizontal="right" vertical="center"/>
      <protection locked="0"/>
    </xf>
    <xf numFmtId="177" fontId="8" fillId="2" borderId="63" xfId="2" applyNumberFormat="1" applyFont="1" applyFill="1" applyBorder="1" applyAlignment="1" applyProtection="1">
      <alignment horizontal="right" vertical="center"/>
      <protection locked="0"/>
    </xf>
    <xf numFmtId="0" fontId="6" fillId="2" borderId="62" xfId="2" applyFont="1" applyFill="1" applyBorder="1" applyAlignment="1" applyProtection="1">
      <alignment horizontal="center" vertical="center"/>
      <protection locked="0"/>
    </xf>
    <xf numFmtId="0" fontId="9" fillId="2" borderId="4" xfId="2" applyFont="1" applyFill="1" applyBorder="1" applyAlignment="1" applyProtection="1">
      <alignment horizontal="center" vertical="center" wrapText="1" shrinkToFit="1"/>
      <protection locked="0"/>
    </xf>
    <xf numFmtId="0" fontId="9" fillId="2" borderId="4" xfId="2" applyFont="1" applyFill="1" applyBorder="1" applyAlignment="1" applyProtection="1">
      <alignment horizontal="center" vertical="center" shrinkToFit="1"/>
      <protection locked="0"/>
    </xf>
    <xf numFmtId="0" fontId="9" fillId="2" borderId="62" xfId="2" applyFont="1" applyFill="1" applyBorder="1" applyAlignment="1" applyProtection="1">
      <alignment horizontal="center" vertical="center" shrinkToFit="1"/>
      <protection locked="0"/>
    </xf>
    <xf numFmtId="0" fontId="19" fillId="2" borderId="4" xfId="2" applyFont="1" applyFill="1" applyBorder="1" applyAlignment="1" applyProtection="1">
      <alignment horizontal="center" vertical="center" wrapText="1" shrinkToFit="1"/>
      <protection locked="0"/>
    </xf>
    <xf numFmtId="0" fontId="19" fillId="2" borderId="4" xfId="2" applyFont="1" applyFill="1" applyBorder="1" applyAlignment="1" applyProtection="1">
      <alignment horizontal="center" vertical="center" shrinkToFit="1"/>
      <protection locked="0"/>
    </xf>
    <xf numFmtId="0" fontId="19" fillId="2" borderId="64" xfId="2" applyFont="1" applyFill="1" applyBorder="1" applyAlignment="1" applyProtection="1">
      <alignment horizontal="center" vertical="center" shrinkToFit="1"/>
      <protection locked="0"/>
    </xf>
    <xf numFmtId="0" fontId="19" fillId="2" borderId="62" xfId="2" applyFont="1" applyFill="1" applyBorder="1" applyAlignment="1" applyProtection="1">
      <alignment horizontal="center" vertical="center" shrinkToFit="1"/>
      <protection locked="0"/>
    </xf>
    <xf numFmtId="0" fontId="19" fillId="2" borderId="65" xfId="2" applyFont="1" applyFill="1" applyBorder="1" applyAlignment="1" applyProtection="1">
      <alignment horizontal="center" vertical="center" shrinkToFit="1"/>
      <protection locked="0"/>
    </xf>
    <xf numFmtId="0" fontId="7" fillId="2" borderId="4" xfId="2" applyFont="1" applyFill="1" applyBorder="1" applyAlignment="1" applyProtection="1">
      <alignment horizontal="center" vertical="center" shrinkToFit="1"/>
      <protection locked="0"/>
    </xf>
    <xf numFmtId="0" fontId="7" fillId="2" borderId="64" xfId="2" applyFont="1" applyFill="1" applyBorder="1" applyAlignment="1" applyProtection="1">
      <alignment horizontal="center" vertical="center" shrinkToFit="1"/>
      <protection locked="0"/>
    </xf>
    <xf numFmtId="0" fontId="9" fillId="2" borderId="44" xfId="2" applyFont="1" applyFill="1" applyBorder="1" applyAlignment="1" applyProtection="1">
      <alignment horizontal="center" vertical="center" wrapText="1" shrinkToFit="1"/>
      <protection locked="0"/>
    </xf>
    <xf numFmtId="0" fontId="9" fillId="2" borderId="45" xfId="2" applyFont="1" applyFill="1" applyBorder="1" applyAlignment="1" applyProtection="1">
      <alignment horizontal="center" vertical="center" wrapText="1" shrinkToFit="1"/>
      <protection locked="0"/>
    </xf>
    <xf numFmtId="0" fontId="9" fillId="2" borderId="66" xfId="2" applyFont="1" applyFill="1" applyBorder="1" applyAlignment="1" applyProtection="1">
      <alignment horizontal="center" vertical="center" wrapText="1" shrinkToFit="1"/>
      <protection locked="0"/>
    </xf>
    <xf numFmtId="0" fontId="9" fillId="2" borderId="67" xfId="2" applyFont="1" applyFill="1" applyBorder="1" applyAlignment="1" applyProtection="1">
      <alignment horizontal="center" vertical="center" wrapText="1" shrinkToFit="1"/>
      <protection locked="0"/>
    </xf>
    <xf numFmtId="0" fontId="9" fillId="2" borderId="4" xfId="2" applyFont="1" applyFill="1" applyBorder="1" applyAlignment="1" applyProtection="1">
      <alignment horizontal="center" vertical="center" wrapText="1"/>
      <protection locked="0"/>
    </xf>
    <xf numFmtId="0" fontId="9" fillId="2" borderId="64" xfId="2" applyFont="1" applyFill="1" applyBorder="1" applyAlignment="1" applyProtection="1">
      <alignment horizontal="center" vertical="center" wrapText="1"/>
      <protection locked="0"/>
    </xf>
    <xf numFmtId="0" fontId="16" fillId="2" borderId="73" xfId="2" applyFont="1" applyFill="1" applyBorder="1" applyAlignment="1" applyProtection="1">
      <alignment horizontal="center" vertical="center" shrinkToFit="1"/>
      <protection locked="0"/>
    </xf>
    <xf numFmtId="0" fontId="16" fillId="2" borderId="43" xfId="2" applyFont="1" applyFill="1" applyBorder="1" applyAlignment="1" applyProtection="1">
      <alignment horizontal="center" vertical="center" shrinkToFit="1"/>
      <protection locked="0"/>
    </xf>
    <xf numFmtId="0" fontId="16" fillId="2" borderId="8" xfId="2" applyFont="1" applyFill="1" applyBorder="1" applyAlignment="1" applyProtection="1">
      <alignment horizontal="center" vertical="center" shrinkToFit="1"/>
      <protection locked="0"/>
    </xf>
    <xf numFmtId="0" fontId="10" fillId="2" borderId="26" xfId="2" applyFont="1" applyFill="1" applyBorder="1" applyAlignment="1" applyProtection="1">
      <alignment horizontal="center" vertical="center" wrapText="1" shrinkToFit="1"/>
      <protection locked="0"/>
    </xf>
    <xf numFmtId="0" fontId="10" fillId="2" borderId="27" xfId="2" applyFont="1" applyFill="1" applyBorder="1" applyAlignment="1" applyProtection="1">
      <alignment horizontal="center" vertical="center" wrapText="1" shrinkToFit="1"/>
      <protection locked="0"/>
    </xf>
    <xf numFmtId="0" fontId="16" fillId="2" borderId="54" xfId="2" applyFont="1" applyFill="1" applyBorder="1" applyAlignment="1" applyProtection="1">
      <alignment horizontal="center" vertical="center" shrinkToFit="1"/>
      <protection locked="0"/>
    </xf>
    <xf numFmtId="0" fontId="16" fillId="2" borderId="52" xfId="2" applyFont="1" applyFill="1" applyBorder="1" applyAlignment="1" applyProtection="1">
      <alignment horizontal="center" vertical="center" shrinkToFit="1"/>
      <protection locked="0"/>
    </xf>
    <xf numFmtId="0" fontId="16" fillId="2" borderId="55" xfId="2" applyFont="1" applyFill="1" applyBorder="1" applyAlignment="1" applyProtection="1">
      <alignment horizontal="center" vertical="center" shrinkToFit="1"/>
      <protection locked="0"/>
    </xf>
    <xf numFmtId="0" fontId="6" fillId="2" borderId="37" xfId="2" applyFont="1" applyFill="1" applyBorder="1" applyAlignment="1" applyProtection="1">
      <alignment horizontal="center" vertical="center" wrapText="1" shrinkToFit="1"/>
      <protection locked="0"/>
    </xf>
    <xf numFmtId="0" fontId="6" fillId="2" borderId="38" xfId="2" applyFont="1" applyFill="1" applyBorder="1" applyAlignment="1" applyProtection="1">
      <alignment horizontal="center" vertical="center" wrapText="1" shrinkToFit="1"/>
      <protection locked="0"/>
    </xf>
    <xf numFmtId="0" fontId="6" fillId="2" borderId="39" xfId="2" applyFont="1" applyFill="1" applyBorder="1" applyAlignment="1" applyProtection="1">
      <alignment horizontal="center" vertical="center" wrapText="1" shrinkToFit="1"/>
      <protection locked="0"/>
    </xf>
    <xf numFmtId="0" fontId="6" fillId="2" borderId="40" xfId="2" applyFont="1" applyFill="1" applyBorder="1" applyAlignment="1" applyProtection="1">
      <alignment horizontal="center" vertical="center" wrapText="1" shrinkToFit="1"/>
      <protection locked="0"/>
    </xf>
    <xf numFmtId="0" fontId="6" fillId="2" borderId="41" xfId="2" applyFont="1" applyFill="1" applyBorder="1" applyAlignment="1" applyProtection="1">
      <alignment horizontal="center" vertical="center" wrapText="1" shrinkToFit="1"/>
      <protection locked="0"/>
    </xf>
    <xf numFmtId="0" fontId="6" fillId="2" borderId="42" xfId="2" applyFont="1" applyFill="1" applyBorder="1" applyAlignment="1" applyProtection="1">
      <alignment horizontal="center" vertical="center" wrapText="1" shrinkToFit="1"/>
      <protection locked="0"/>
    </xf>
    <xf numFmtId="0" fontId="10" fillId="2" borderId="44" xfId="2" applyFont="1" applyFill="1" applyBorder="1" applyAlignment="1" applyProtection="1">
      <alignment horizontal="center" vertical="center" wrapText="1"/>
      <protection locked="0"/>
    </xf>
    <xf numFmtId="0" fontId="10" fillId="2" borderId="45" xfId="2" applyFont="1" applyFill="1" applyBorder="1" applyAlignment="1" applyProtection="1">
      <alignment horizontal="center" vertical="center" wrapText="1"/>
      <protection locked="0"/>
    </xf>
    <xf numFmtId="0" fontId="10" fillId="2" borderId="46" xfId="2" applyFont="1" applyFill="1" applyBorder="1" applyAlignment="1" applyProtection="1">
      <alignment horizontal="center" vertical="center" wrapText="1"/>
      <protection locked="0"/>
    </xf>
    <xf numFmtId="41" fontId="10" fillId="2" borderId="86" xfId="2" applyNumberFormat="1" applyFont="1" applyFill="1" applyBorder="1" applyAlignment="1" applyProtection="1">
      <alignment horizontal="center" vertical="center" shrinkToFit="1"/>
      <protection locked="0"/>
    </xf>
    <xf numFmtId="0" fontId="10" fillId="2" borderId="83" xfId="2" applyFont="1" applyFill="1" applyBorder="1" applyAlignment="1" applyProtection="1">
      <alignment horizontal="center" vertical="center"/>
      <protection locked="0"/>
    </xf>
    <xf numFmtId="0" fontId="10" fillId="2" borderId="84" xfId="2" applyFont="1" applyFill="1" applyBorder="1" applyAlignment="1" applyProtection="1">
      <alignment horizontal="center" vertical="center"/>
      <protection locked="0"/>
    </xf>
    <xf numFmtId="0" fontId="10" fillId="2" borderId="85" xfId="2" applyFont="1" applyFill="1" applyBorder="1" applyAlignment="1" applyProtection="1">
      <alignment horizontal="center" vertical="center"/>
      <protection locked="0"/>
    </xf>
    <xf numFmtId="0" fontId="10" fillId="2" borderId="44" xfId="2" applyFont="1" applyFill="1" applyBorder="1" applyAlignment="1" applyProtection="1">
      <alignment horizontal="center" vertical="center" wrapText="1" shrinkToFit="1"/>
      <protection locked="0"/>
    </xf>
    <xf numFmtId="0" fontId="10" fillId="2" borderId="45" xfId="2" applyFont="1" applyFill="1" applyBorder="1" applyAlignment="1" applyProtection="1">
      <alignment horizontal="center" vertical="center" wrapText="1" shrinkToFit="1"/>
      <protection locked="0"/>
    </xf>
    <xf numFmtId="0" fontId="10" fillId="2" borderId="46" xfId="2" applyFont="1" applyFill="1" applyBorder="1" applyAlignment="1" applyProtection="1">
      <alignment horizontal="center" vertical="center" wrapText="1" shrinkToFit="1"/>
      <protection locked="0"/>
    </xf>
    <xf numFmtId="0" fontId="7" fillId="2" borderId="62" xfId="2" applyFont="1" applyFill="1" applyBorder="1" applyAlignment="1" applyProtection="1">
      <alignment horizontal="center" vertical="center" shrinkToFit="1"/>
      <protection locked="0"/>
    </xf>
    <xf numFmtId="0" fontId="7" fillId="2" borderId="65" xfId="2" applyFont="1" applyFill="1" applyBorder="1" applyAlignment="1" applyProtection="1">
      <alignment horizontal="center" vertical="center" shrinkToFit="1"/>
      <protection locked="0"/>
    </xf>
    <xf numFmtId="0" fontId="18" fillId="2" borderId="4" xfId="2" applyFont="1" applyFill="1" applyBorder="1" applyAlignment="1" applyProtection="1">
      <alignment horizontal="center" vertical="center" wrapText="1"/>
      <protection locked="0"/>
    </xf>
    <xf numFmtId="0" fontId="18" fillId="2" borderId="64" xfId="2" applyFont="1" applyFill="1" applyBorder="1" applyAlignment="1" applyProtection="1">
      <alignment horizontal="center" vertical="center" wrapText="1"/>
      <protection locked="0"/>
    </xf>
  </cellXfs>
  <cellStyles count="5">
    <cellStyle name="쉼표 [0]" xfId="4" builtinId="6"/>
    <cellStyle name="쉼표 [0] 2" xfId="3" xr:uid="{2BCB5227-5225-4DED-ACB2-ED3BEE215DEE}"/>
    <cellStyle name="표준" xfId="0" builtinId="0"/>
    <cellStyle name="표준 2" xfId="1" xr:uid="{00000000-0005-0000-0000-000001000000}"/>
    <cellStyle name="표준_거래명세서(부가세포함넓은양식)" xfId="2" xr:uid="{00000000-0005-0000-0000-000002000000}"/>
  </cellStyles>
  <dxfs count="6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CC99FF"/>
      <color rgb="FF9BE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DA92-E658-4BBC-8C47-6E9287610946}">
  <sheetPr>
    <tabColor rgb="FFC00000"/>
  </sheetPr>
  <dimension ref="A1:M18"/>
  <sheetViews>
    <sheetView tabSelected="1" zoomScale="40" zoomScaleNormal="40" workbookViewId="0">
      <selection activeCell="D55" sqref="D55"/>
    </sheetView>
  </sheetViews>
  <sheetFormatPr defaultRowHeight="13.5" x14ac:dyDescent="0.15"/>
  <cols>
    <col min="1" max="1" width="21.33203125" bestFit="1" customWidth="1"/>
    <col min="2" max="3" width="26.33203125" bestFit="1" customWidth="1"/>
    <col min="4" max="10" width="27.109375" customWidth="1"/>
    <col min="11" max="11" width="21.5546875" bestFit="1" customWidth="1"/>
  </cols>
  <sheetData>
    <row r="1" spans="1:13" ht="16.5" x14ac:dyDescent="0.15">
      <c r="A1" s="55" t="s">
        <v>182</v>
      </c>
      <c r="B1" s="55"/>
      <c r="C1" s="55" t="s">
        <v>178</v>
      </c>
      <c r="D1" s="55"/>
      <c r="K1" s="48"/>
      <c r="L1" s="48"/>
    </row>
    <row r="2" spans="1:13" ht="16.5" x14ac:dyDescent="0.15">
      <c r="A2" s="56" t="s">
        <v>180</v>
      </c>
      <c r="B2" s="56"/>
      <c r="C2" s="56" t="s">
        <v>183</v>
      </c>
      <c r="D2" s="56" t="s">
        <v>181</v>
      </c>
      <c r="E2" t="s">
        <v>179</v>
      </c>
      <c r="F2" t="s">
        <v>184</v>
      </c>
      <c r="G2" t="s">
        <v>166</v>
      </c>
      <c r="H2" t="s">
        <v>176</v>
      </c>
      <c r="I2" t="s">
        <v>164</v>
      </c>
      <c r="J2" t="s">
        <v>168</v>
      </c>
      <c r="K2" s="48" t="s">
        <v>162</v>
      </c>
      <c r="L2" s="48" t="s">
        <v>161</v>
      </c>
      <c r="M2" t="s">
        <v>135</v>
      </c>
    </row>
    <row r="3" spans="1:13" ht="16.5" x14ac:dyDescent="0.15">
      <c r="A3" s="48" t="s">
        <v>129</v>
      </c>
      <c r="B3" s="48"/>
      <c r="C3" s="48">
        <v>1</v>
      </c>
      <c r="D3" s="48"/>
      <c r="E3">
        <v>1</v>
      </c>
      <c r="F3">
        <v>1</v>
      </c>
      <c r="G3">
        <v>9</v>
      </c>
      <c r="H3">
        <v>11</v>
      </c>
      <c r="I3">
        <v>9</v>
      </c>
      <c r="J3">
        <v>14</v>
      </c>
      <c r="K3" s="48">
        <v>1</v>
      </c>
      <c r="L3" s="48"/>
      <c r="M3">
        <v>47</v>
      </c>
    </row>
    <row r="4" spans="1:13" ht="16.5" x14ac:dyDescent="0.15">
      <c r="A4" s="48" t="s">
        <v>142</v>
      </c>
      <c r="B4" s="48"/>
      <c r="C4" s="48"/>
      <c r="D4" s="48"/>
      <c r="G4">
        <v>10</v>
      </c>
      <c r="H4">
        <v>5</v>
      </c>
      <c r="I4">
        <v>8</v>
      </c>
      <c r="J4">
        <v>12</v>
      </c>
      <c r="K4" s="48">
        <v>2</v>
      </c>
      <c r="L4" s="48">
        <v>4</v>
      </c>
      <c r="M4">
        <v>41</v>
      </c>
    </row>
    <row r="5" spans="1:13" ht="16.5" x14ac:dyDescent="0.15">
      <c r="A5" s="48" t="s">
        <v>143</v>
      </c>
      <c r="B5" s="48"/>
      <c r="C5" s="48"/>
      <c r="D5" s="48"/>
      <c r="G5">
        <v>16</v>
      </c>
      <c r="H5">
        <v>14</v>
      </c>
      <c r="I5">
        <v>20</v>
      </c>
      <c r="J5">
        <v>16</v>
      </c>
      <c r="K5" s="48">
        <v>4</v>
      </c>
      <c r="L5" s="48">
        <v>3</v>
      </c>
      <c r="M5">
        <v>73</v>
      </c>
    </row>
    <row r="6" spans="1:13" ht="16.5" x14ac:dyDescent="0.15">
      <c r="A6" s="48" t="s">
        <v>144</v>
      </c>
      <c r="B6" s="48"/>
      <c r="C6" s="48"/>
      <c r="D6" s="48"/>
      <c r="G6">
        <v>8</v>
      </c>
      <c r="H6">
        <v>8</v>
      </c>
      <c r="I6">
        <v>17</v>
      </c>
      <c r="J6">
        <v>12</v>
      </c>
      <c r="K6" s="48">
        <v>4</v>
      </c>
      <c r="L6" s="48"/>
      <c r="M6">
        <v>49</v>
      </c>
    </row>
    <row r="7" spans="1:13" ht="16.5" x14ac:dyDescent="0.15">
      <c r="A7" s="48" t="s">
        <v>145</v>
      </c>
      <c r="B7" s="48"/>
      <c r="C7" s="48"/>
      <c r="D7" s="48"/>
      <c r="F7">
        <v>2</v>
      </c>
      <c r="G7">
        <v>17</v>
      </c>
      <c r="H7">
        <v>28</v>
      </c>
      <c r="I7">
        <v>23</v>
      </c>
      <c r="J7">
        <v>24</v>
      </c>
      <c r="K7" s="48">
        <v>11</v>
      </c>
      <c r="L7" s="48">
        <v>7</v>
      </c>
      <c r="M7">
        <v>112</v>
      </c>
    </row>
    <row r="8" spans="1:13" ht="16.5" x14ac:dyDescent="0.15">
      <c r="A8" s="48" t="s">
        <v>146</v>
      </c>
      <c r="B8" s="48"/>
      <c r="C8" s="48"/>
      <c r="D8" s="48"/>
      <c r="E8">
        <v>1</v>
      </c>
      <c r="G8">
        <v>26</v>
      </c>
      <c r="H8">
        <v>45</v>
      </c>
      <c r="I8">
        <v>55</v>
      </c>
      <c r="J8">
        <v>40</v>
      </c>
      <c r="K8" s="48">
        <v>24</v>
      </c>
      <c r="L8" s="48">
        <v>25</v>
      </c>
      <c r="M8">
        <v>216</v>
      </c>
    </row>
    <row r="9" spans="1:13" ht="16.5" x14ac:dyDescent="0.15">
      <c r="A9" s="48" t="s">
        <v>147</v>
      </c>
      <c r="B9" s="48"/>
      <c r="C9" s="48"/>
      <c r="D9" s="48"/>
      <c r="G9">
        <v>16</v>
      </c>
      <c r="H9">
        <v>19</v>
      </c>
      <c r="I9">
        <v>25</v>
      </c>
      <c r="J9">
        <v>23</v>
      </c>
      <c r="K9" s="48">
        <v>10</v>
      </c>
      <c r="L9" s="48">
        <v>11</v>
      </c>
      <c r="M9">
        <v>104</v>
      </c>
    </row>
    <row r="10" spans="1:13" ht="16.5" x14ac:dyDescent="0.15">
      <c r="A10" s="48" t="s">
        <v>148</v>
      </c>
      <c r="B10" s="48"/>
      <c r="C10" s="48"/>
      <c r="D10" s="48"/>
      <c r="G10">
        <v>6</v>
      </c>
      <c r="H10">
        <v>13</v>
      </c>
      <c r="I10">
        <v>15</v>
      </c>
      <c r="J10">
        <v>11</v>
      </c>
      <c r="K10" s="48">
        <v>2</v>
      </c>
      <c r="L10" s="48">
        <v>1</v>
      </c>
      <c r="M10">
        <v>48</v>
      </c>
    </row>
    <row r="11" spans="1:13" ht="16.5" x14ac:dyDescent="0.15">
      <c r="A11" s="48" t="s">
        <v>149</v>
      </c>
      <c r="B11" s="48"/>
      <c r="C11" s="48"/>
      <c r="D11" s="48">
        <v>1</v>
      </c>
      <c r="E11">
        <v>3</v>
      </c>
      <c r="G11">
        <v>35</v>
      </c>
      <c r="H11">
        <v>61</v>
      </c>
      <c r="I11">
        <v>81</v>
      </c>
      <c r="J11">
        <v>55</v>
      </c>
      <c r="K11" s="48">
        <v>25</v>
      </c>
      <c r="L11" s="48">
        <v>20</v>
      </c>
      <c r="M11">
        <v>281</v>
      </c>
    </row>
    <row r="12" spans="1:13" ht="16.5" x14ac:dyDescent="0.15">
      <c r="A12" s="48" t="s">
        <v>150</v>
      </c>
      <c r="B12" s="48"/>
      <c r="C12" s="48"/>
      <c r="D12" s="48"/>
      <c r="G12">
        <v>39</v>
      </c>
      <c r="H12">
        <v>53</v>
      </c>
      <c r="I12">
        <v>51</v>
      </c>
      <c r="J12">
        <v>54</v>
      </c>
      <c r="K12" s="48">
        <v>31</v>
      </c>
      <c r="L12" s="48">
        <v>24</v>
      </c>
      <c r="M12">
        <v>252</v>
      </c>
    </row>
    <row r="13" spans="1:13" ht="16.5" x14ac:dyDescent="0.15">
      <c r="A13" s="48" t="s">
        <v>151</v>
      </c>
      <c r="B13" s="48"/>
      <c r="C13" s="48"/>
      <c r="D13" s="48"/>
      <c r="G13">
        <v>20</v>
      </c>
      <c r="H13">
        <v>31</v>
      </c>
      <c r="I13">
        <v>22</v>
      </c>
      <c r="J13">
        <v>28</v>
      </c>
      <c r="K13" s="48">
        <v>7</v>
      </c>
      <c r="L13" s="48">
        <v>9</v>
      </c>
      <c r="M13">
        <v>117</v>
      </c>
    </row>
    <row r="14" spans="1:13" ht="16.5" x14ac:dyDescent="0.15">
      <c r="A14" s="48" t="s">
        <v>152</v>
      </c>
      <c r="B14" s="48"/>
      <c r="C14" s="48"/>
      <c r="D14" s="48"/>
      <c r="G14">
        <v>36</v>
      </c>
      <c r="H14">
        <v>35</v>
      </c>
      <c r="I14">
        <v>57</v>
      </c>
      <c r="J14">
        <v>41</v>
      </c>
      <c r="K14" s="49">
        <v>23</v>
      </c>
      <c r="L14" s="48">
        <v>20</v>
      </c>
      <c r="M14">
        <v>212</v>
      </c>
    </row>
    <row r="15" spans="1:13" ht="16.5" x14ac:dyDescent="0.15">
      <c r="A15" s="48" t="s">
        <v>141</v>
      </c>
      <c r="B15" s="48"/>
      <c r="C15" s="48"/>
      <c r="D15" s="48"/>
      <c r="E15" s="50"/>
      <c r="F15" s="50"/>
      <c r="G15" s="50">
        <v>4</v>
      </c>
      <c r="H15" s="50">
        <v>12</v>
      </c>
      <c r="I15" s="50">
        <v>10</v>
      </c>
      <c r="J15" s="50">
        <v>11</v>
      </c>
      <c r="K15" s="51">
        <v>5</v>
      </c>
      <c r="L15" s="52">
        <v>1</v>
      </c>
      <c r="M15">
        <v>43</v>
      </c>
    </row>
    <row r="16" spans="1:13" ht="16.5" x14ac:dyDescent="0.15">
      <c r="A16" s="48" t="s">
        <v>153</v>
      </c>
      <c r="B16" s="48"/>
      <c r="C16" s="48"/>
      <c r="D16" s="48"/>
      <c r="G16">
        <v>14</v>
      </c>
      <c r="H16">
        <v>20</v>
      </c>
      <c r="I16">
        <v>14</v>
      </c>
      <c r="J16">
        <v>20</v>
      </c>
      <c r="K16" s="53">
        <v>2</v>
      </c>
      <c r="L16" s="53">
        <v>4</v>
      </c>
      <c r="M16">
        <v>74</v>
      </c>
    </row>
    <row r="17" spans="1:13" ht="16.5" x14ac:dyDescent="0.15">
      <c r="A17" s="48" t="s">
        <v>154</v>
      </c>
      <c r="B17" s="48"/>
      <c r="C17" s="48"/>
      <c r="D17" s="48"/>
      <c r="G17">
        <v>35</v>
      </c>
      <c r="H17">
        <v>51</v>
      </c>
      <c r="I17">
        <v>65</v>
      </c>
      <c r="J17">
        <v>53</v>
      </c>
      <c r="K17" s="54">
        <v>19</v>
      </c>
      <c r="L17" s="54">
        <v>16</v>
      </c>
      <c r="M17">
        <v>239</v>
      </c>
    </row>
    <row r="18" spans="1:13" ht="16.5" x14ac:dyDescent="0.15">
      <c r="A18" s="48" t="s">
        <v>135</v>
      </c>
      <c r="B18" s="48"/>
      <c r="C18" s="48">
        <v>1</v>
      </c>
      <c r="D18" s="48">
        <v>1</v>
      </c>
      <c r="E18" s="48">
        <v>5</v>
      </c>
      <c r="F18" s="48">
        <v>3</v>
      </c>
      <c r="G18" s="48">
        <v>291</v>
      </c>
      <c r="H18" s="48">
        <v>406</v>
      </c>
      <c r="I18" s="48">
        <v>472</v>
      </c>
      <c r="J18" s="48">
        <v>414</v>
      </c>
      <c r="K18" s="48">
        <v>170</v>
      </c>
      <c r="L18" s="48">
        <v>145</v>
      </c>
      <c r="M18">
        <v>1908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082F-19DA-4934-8FBA-7163540E2EC6}">
  <sheetPr>
    <tabColor rgb="FFCC99FF"/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5" width="2.33203125" style="5"/>
    <col min="36" max="36" width="32" style="5" bestFit="1" customWidth="1"/>
    <col min="37" max="37" width="7.88671875" style="5" bestFit="1" customWidth="1"/>
    <col min="38" max="38" width="5.77734375" style="5" bestFit="1" customWidth="1"/>
    <col min="39" max="39" width="2.44140625" style="5" customWidth="1"/>
    <col min="40" max="40" width="5.6640625" style="5" bestFit="1" customWidth="1"/>
    <col min="41" max="42" width="2.33203125" style="5"/>
    <col min="43" max="43" width="5.6640625" style="5" bestFit="1" customWidth="1"/>
    <col min="44" max="44" width="2.33203125" style="5"/>
    <col min="45" max="45" width="28.21875" style="5" bestFit="1" customWidth="1"/>
    <col min="46" max="46" width="3.5546875" style="5" bestFit="1" customWidth="1"/>
    <col min="47" max="49" width="2.33203125" style="5"/>
    <col min="50" max="50" width="5.6640625" style="5" bestFit="1" customWidth="1"/>
    <col min="51" max="52" width="2.33203125" style="5"/>
    <col min="53" max="53" width="5.6640625" style="5" bestFit="1" customWidth="1"/>
    <col min="54" max="16384" width="2.33203125" style="5"/>
  </cols>
  <sheetData>
    <row r="1" spans="2:50" ht="14.25" thickBot="1" x14ac:dyDescent="0.2">
      <c r="B1" s="27" t="s">
        <v>98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98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120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2"/>
      <c r="AC14" s="102"/>
      <c r="AD14" s="102"/>
      <c r="AE14" s="102"/>
      <c r="AF14" s="102"/>
      <c r="AG14" s="102"/>
      <c r="AH14" s="122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2"/>
      <c r="AC15" s="102"/>
      <c r="AD15" s="102"/>
      <c r="AE15" s="102"/>
      <c r="AF15" s="102"/>
      <c r="AG15" s="102"/>
      <c r="AH15" s="122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/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2"/>
      <c r="AC16" s="102"/>
      <c r="AD16" s="102"/>
      <c r="AE16" s="102"/>
      <c r="AF16" s="102"/>
      <c r="AG16" s="102"/>
      <c r="AH16" s="122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/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2"/>
      <c r="AC17" s="102"/>
      <c r="AD17" s="102"/>
      <c r="AE17" s="102"/>
      <c r="AF17" s="102"/>
      <c r="AG17" s="102"/>
      <c r="AH17" s="122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/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4</v>
      </c>
      <c r="R18" s="112"/>
      <c r="S18" s="113"/>
      <c r="T18" s="114">
        <f t="shared" si="2"/>
        <v>0</v>
      </c>
      <c r="U18" s="103"/>
      <c r="V18" s="103"/>
      <c r="W18" s="99">
        <f t="shared" si="3"/>
        <v>4</v>
      </c>
      <c r="X18" s="100"/>
      <c r="Y18" s="100"/>
      <c r="Z18" s="101"/>
      <c r="AA18" s="121">
        <f>B13+4</f>
        <v>46318</v>
      </c>
      <c r="AB18" s="102"/>
      <c r="AC18" s="102"/>
      <c r="AD18" s="102"/>
      <c r="AE18" s="102"/>
      <c r="AF18" s="102"/>
      <c r="AG18" s="102"/>
      <c r="AH18" s="122"/>
      <c r="AJ18" s="56"/>
      <c r="AK18" s="48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/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12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12</v>
      </c>
      <c r="X19" s="100"/>
      <c r="Y19" s="100"/>
      <c r="Z19" s="101"/>
      <c r="AA19" s="121">
        <f>B13+4</f>
        <v>46318</v>
      </c>
      <c r="AB19" s="102"/>
      <c r="AC19" s="102"/>
      <c r="AD19" s="102"/>
      <c r="AE19" s="102"/>
      <c r="AF19" s="102"/>
      <c r="AG19" s="102"/>
      <c r="AH19" s="122"/>
      <c r="AJ19" s="56"/>
      <c r="AK19" s="48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10</v>
      </c>
      <c r="R20" s="112"/>
      <c r="S20" s="113"/>
      <c r="T20" s="114">
        <f t="shared" si="2"/>
        <v>0</v>
      </c>
      <c r="U20" s="103"/>
      <c r="V20" s="103"/>
      <c r="W20" s="99">
        <f t="shared" si="3"/>
        <v>10</v>
      </c>
      <c r="X20" s="100"/>
      <c r="Y20" s="100"/>
      <c r="Z20" s="101"/>
      <c r="AA20" s="121">
        <f>B13+4</f>
        <v>46318</v>
      </c>
      <c r="AB20" s="102"/>
      <c r="AC20" s="102"/>
      <c r="AD20" s="102"/>
      <c r="AE20" s="102"/>
      <c r="AF20" s="102"/>
      <c r="AG20" s="102"/>
      <c r="AH20" s="122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11</v>
      </c>
      <c r="R21" s="112"/>
      <c r="S21" s="113"/>
      <c r="T21" s="114">
        <f t="shared" si="2"/>
        <v>0</v>
      </c>
      <c r="U21" s="103"/>
      <c r="V21" s="103"/>
      <c r="W21" s="99">
        <f t="shared" si="3"/>
        <v>11</v>
      </c>
      <c r="X21" s="100"/>
      <c r="Y21" s="100"/>
      <c r="Z21" s="101"/>
      <c r="AA21" s="121">
        <f>B13+4</f>
        <v>46318</v>
      </c>
      <c r="AB21" s="102"/>
      <c r="AC21" s="102"/>
      <c r="AD21" s="102"/>
      <c r="AE21" s="102"/>
      <c r="AF21" s="102"/>
      <c r="AG21" s="102"/>
      <c r="AH21" s="122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5</v>
      </c>
      <c r="R22" s="112"/>
      <c r="S22" s="113"/>
      <c r="T22" s="114">
        <f t="shared" si="2"/>
        <v>0</v>
      </c>
      <c r="U22" s="103"/>
      <c r="V22" s="103"/>
      <c r="W22" s="99">
        <f t="shared" si="3"/>
        <v>5</v>
      </c>
      <c r="X22" s="100"/>
      <c r="Y22" s="100"/>
      <c r="Z22" s="101"/>
      <c r="AA22" s="102">
        <f>B13+4</f>
        <v>46318</v>
      </c>
      <c r="AB22" s="103"/>
      <c r="AC22" s="103"/>
      <c r="AD22" s="103"/>
      <c r="AE22" s="103"/>
      <c r="AF22" s="103"/>
      <c r="AG22" s="103"/>
      <c r="AH22" s="104"/>
      <c r="AJ22" s="56"/>
      <c r="AK22" s="48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1</v>
      </c>
      <c r="R23" s="112"/>
      <c r="S23" s="113"/>
      <c r="T23" s="114">
        <f t="shared" si="2"/>
        <v>0</v>
      </c>
      <c r="U23" s="103"/>
      <c r="V23" s="103"/>
      <c r="W23" s="99">
        <f t="shared" si="3"/>
        <v>1</v>
      </c>
      <c r="X23" s="100"/>
      <c r="Y23" s="100"/>
      <c r="Z23" s="101"/>
      <c r="AA23" s="102">
        <f>B13+4</f>
        <v>46318</v>
      </c>
      <c r="AB23" s="103"/>
      <c r="AC23" s="103"/>
      <c r="AD23" s="103"/>
      <c r="AE23" s="103"/>
      <c r="AF23" s="103"/>
      <c r="AG23" s="103"/>
      <c r="AH23" s="104"/>
      <c r="AJ23" s="56"/>
      <c r="AK23" s="48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43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121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제주냉장센터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제주시 조천읍 와흘로 241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4</v>
      </c>
      <c r="R45" s="97"/>
      <c r="S45" s="97"/>
      <c r="T45" s="98">
        <f t="shared" si="11"/>
        <v>0</v>
      </c>
      <c r="U45" s="98"/>
      <c r="V45" s="98"/>
      <c r="W45" s="83">
        <f t="shared" si="12"/>
        <v>4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12</v>
      </c>
      <c r="R46" s="97"/>
      <c r="S46" s="97"/>
      <c r="T46" s="98">
        <f t="shared" si="11"/>
        <v>0</v>
      </c>
      <c r="U46" s="98"/>
      <c r="V46" s="98"/>
      <c r="W46" s="83">
        <f t="shared" si="12"/>
        <v>12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10</v>
      </c>
      <c r="R47" s="97"/>
      <c r="S47" s="97"/>
      <c r="T47" s="98">
        <f t="shared" si="11"/>
        <v>0</v>
      </c>
      <c r="U47" s="98"/>
      <c r="V47" s="98"/>
      <c r="W47" s="83">
        <f t="shared" si="12"/>
        <v>10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11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11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5</v>
      </c>
      <c r="R49" s="97"/>
      <c r="S49" s="97"/>
      <c r="T49" s="98">
        <f t="shared" si="17"/>
        <v>0</v>
      </c>
      <c r="U49" s="98"/>
      <c r="V49" s="98"/>
      <c r="W49" s="83">
        <f t="shared" si="18"/>
        <v>5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1</v>
      </c>
      <c r="R50" s="97"/>
      <c r="S50" s="97"/>
      <c r="T50" s="98">
        <f t="shared" si="17"/>
        <v>0</v>
      </c>
      <c r="U50" s="98"/>
      <c r="V50" s="98"/>
      <c r="W50" s="83">
        <f t="shared" si="18"/>
        <v>1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246"/>
      <c r="F51" s="247"/>
      <c r="G51" s="247"/>
      <c r="H51" s="247"/>
      <c r="I51" s="247"/>
      <c r="J51" s="247"/>
      <c r="K51" s="247"/>
      <c r="L51" s="248"/>
      <c r="M51" s="249">
        <f>SUM(Q40:S50)</f>
        <v>43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제주시 조천읍 와흘로 241
064-784-9924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AA43:AH43"/>
    <mergeCell ref="W47:Z47"/>
    <mergeCell ref="AA47:AH47"/>
    <mergeCell ref="AA40:AH40"/>
    <mergeCell ref="B40:D40"/>
    <mergeCell ref="E45:L45"/>
    <mergeCell ref="M45:P45"/>
    <mergeCell ref="Q45:S45"/>
    <mergeCell ref="T45:V45"/>
    <mergeCell ref="W45:Z45"/>
    <mergeCell ref="AA45:AH45"/>
    <mergeCell ref="AA41:AH41"/>
    <mergeCell ref="E44:L44"/>
    <mergeCell ref="M44:P44"/>
    <mergeCell ref="Q44:S44"/>
    <mergeCell ref="T44:V44"/>
    <mergeCell ref="W44:Z44"/>
    <mergeCell ref="AA44:AH44"/>
    <mergeCell ref="E42:L42"/>
    <mergeCell ref="M42:P42"/>
    <mergeCell ref="Q42:S42"/>
    <mergeCell ref="T42:V42"/>
    <mergeCell ref="W42:Z42"/>
    <mergeCell ref="AA42:AH42"/>
    <mergeCell ref="AA49:AH49"/>
    <mergeCell ref="E47:L47"/>
    <mergeCell ref="B51:D51"/>
    <mergeCell ref="E51:L51"/>
    <mergeCell ref="M51:Z51"/>
    <mergeCell ref="AA51:AH51"/>
    <mergeCell ref="E46:L46"/>
    <mergeCell ref="M46:P46"/>
    <mergeCell ref="Q46:S46"/>
    <mergeCell ref="T46:V46"/>
    <mergeCell ref="M47:P47"/>
    <mergeCell ref="Q47:S47"/>
    <mergeCell ref="T47:V47"/>
    <mergeCell ref="E43:L43"/>
    <mergeCell ref="M43:P43"/>
    <mergeCell ref="Q43:S43"/>
    <mergeCell ref="T43:V43"/>
    <mergeCell ref="W43:Z43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E49:L49"/>
    <mergeCell ref="M49:P49"/>
    <mergeCell ref="Q49:S49"/>
    <mergeCell ref="T49:V49"/>
    <mergeCell ref="W49:Z49"/>
    <mergeCell ref="B24:D24"/>
    <mergeCell ref="E24:L24"/>
    <mergeCell ref="M24:Z24"/>
    <mergeCell ref="AA24:AH24"/>
    <mergeCell ref="B25:V26"/>
    <mergeCell ref="W25:AH26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C35:F36"/>
    <mergeCell ref="G35:P36"/>
    <mergeCell ref="R35:U36"/>
    <mergeCell ref="V35:AH36"/>
    <mergeCell ref="B29:AH30"/>
    <mergeCell ref="B31:B38"/>
    <mergeCell ref="C31:F32"/>
    <mergeCell ref="G31:P32"/>
    <mergeCell ref="Q31:Q38"/>
    <mergeCell ref="R31:U32"/>
    <mergeCell ref="E23:L23"/>
    <mergeCell ref="M23:P23"/>
    <mergeCell ref="Q23:S23"/>
    <mergeCell ref="T23:V23"/>
    <mergeCell ref="W23:Z23"/>
    <mergeCell ref="AA23:AH23"/>
    <mergeCell ref="AA14:AH14"/>
    <mergeCell ref="E18:L18"/>
    <mergeCell ref="M18:P18"/>
    <mergeCell ref="Q18:S18"/>
    <mergeCell ref="T18:V18"/>
    <mergeCell ref="W18:Z18"/>
    <mergeCell ref="AA18:AH18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Q15:S15"/>
    <mergeCell ref="T15:V15"/>
    <mergeCell ref="M12:P12"/>
    <mergeCell ref="W15:Z15"/>
    <mergeCell ref="AA15:AH15"/>
    <mergeCell ref="E13:L13"/>
    <mergeCell ref="M13:P13"/>
    <mergeCell ref="Q13:S13"/>
    <mergeCell ref="T13:V13"/>
    <mergeCell ref="W13:Z13"/>
    <mergeCell ref="AA13:AH13"/>
    <mergeCell ref="E14:L14"/>
    <mergeCell ref="M14:P14"/>
    <mergeCell ref="Q14:S14"/>
    <mergeCell ref="T14:V14"/>
    <mergeCell ref="B13:D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V6:AA7"/>
    <mergeCell ref="AB6:AC7"/>
    <mergeCell ref="AD6:AH7"/>
    <mergeCell ref="C8:F9"/>
    <mergeCell ref="R8:U9"/>
    <mergeCell ref="G8:P9"/>
    <mergeCell ref="E20:L20"/>
    <mergeCell ref="M20:P20"/>
    <mergeCell ref="Q20:S20"/>
    <mergeCell ref="T20:V20"/>
    <mergeCell ref="W20:Z20"/>
    <mergeCell ref="AA20:AH20"/>
    <mergeCell ref="AA21:AH21"/>
    <mergeCell ref="W21:Z21"/>
    <mergeCell ref="E19:L19"/>
    <mergeCell ref="M19:P19"/>
    <mergeCell ref="Q19:S19"/>
    <mergeCell ref="T19:V19"/>
    <mergeCell ref="W19:Z19"/>
    <mergeCell ref="AA19:AH19"/>
    <mergeCell ref="W14:Z14"/>
    <mergeCell ref="AA17:AH17"/>
    <mergeCell ref="E12:L12"/>
    <mergeCell ref="Q12:S12"/>
    <mergeCell ref="T12:V12"/>
    <mergeCell ref="W12:Z12"/>
    <mergeCell ref="AA12:AH12"/>
    <mergeCell ref="E15:L15"/>
    <mergeCell ref="M15:P15"/>
    <mergeCell ref="W22:Z22"/>
    <mergeCell ref="AA22:AH22"/>
    <mergeCell ref="E21:L21"/>
    <mergeCell ref="M21:P21"/>
    <mergeCell ref="Q21:S21"/>
    <mergeCell ref="T21:V21"/>
    <mergeCell ref="E22:L22"/>
    <mergeCell ref="M22:P22"/>
    <mergeCell ref="Q22:S22"/>
    <mergeCell ref="T22:V22"/>
    <mergeCell ref="V31:AH32"/>
    <mergeCell ref="C33:F34"/>
    <mergeCell ref="G33:K34"/>
    <mergeCell ref="L33:P34"/>
    <mergeCell ref="C37:F38"/>
    <mergeCell ref="G37:P38"/>
    <mergeCell ref="W46:Z46"/>
    <mergeCell ref="AA46:AH46"/>
    <mergeCell ref="AA39:AH39"/>
    <mergeCell ref="E39:L39"/>
    <mergeCell ref="M39:P39"/>
    <mergeCell ref="Q39:S39"/>
    <mergeCell ref="T39:V39"/>
    <mergeCell ref="W39:Z39"/>
    <mergeCell ref="E40:L40"/>
    <mergeCell ref="M40:P40"/>
    <mergeCell ref="Q40:S40"/>
    <mergeCell ref="T40:V40"/>
    <mergeCell ref="W40:Z40"/>
    <mergeCell ref="E41:L41"/>
    <mergeCell ref="M41:P41"/>
    <mergeCell ref="Q41:S41"/>
    <mergeCell ref="T41:V41"/>
    <mergeCell ref="W41:Z41"/>
  </mergeCells>
  <phoneticPr fontId="5" type="noConversion"/>
  <conditionalFormatting sqref="AA13:AA14">
    <cfRule type="expression" dxfId="59" priority="101">
      <formula>Q13:S22=0</formula>
    </cfRule>
  </conditionalFormatting>
  <conditionalFormatting sqref="AA15:AA17 AA43:AH50">
    <cfRule type="expression" dxfId="58" priority="2">
      <formula>Q15:S23=0</formula>
    </cfRule>
  </conditionalFormatting>
  <conditionalFormatting sqref="AA18:AA19 AA40:AH42">
    <cfRule type="expression" dxfId="57" priority="141">
      <formula>Q18:S25=0</formula>
    </cfRule>
  </conditionalFormatting>
  <conditionalFormatting sqref="AA20:AA21">
    <cfRule type="expression" dxfId="56" priority="14">
      <formula>Q20:S25=0</formula>
    </cfRule>
  </conditionalFormatting>
  <conditionalFormatting sqref="AA22:AH23">
    <cfRule type="expression" dxfId="55" priority="13">
      <formula>Q22:S27=0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B12:D12 C39:D39 C16:D23 B13:B25 E12:E24 M8:M24 Q13:Q23 AA12:AA21 T13:T23 F13:L20 M35:M51 B39:B52 C42:D50 T40:T50 E39:E51 Q40:Q50 AA39:AA50" xr:uid="{0B32EA40-7897-4827-AA20-C25521E451B7}"/>
  </dataValidations>
  <printOptions horizontalCentered="1" verticalCentered="1"/>
  <pageMargins left="0" right="0" top="0.11811023622047245" bottom="0" header="0" footer="0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6C4F-4230-48EE-A217-AB210A9E498B}">
  <sheetPr>
    <tabColor theme="9" tint="0.39997558519241921"/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8" style="5" bestFit="1" customWidth="1"/>
    <col min="38" max="38" width="29.5546875" style="5" bestFit="1" customWidth="1"/>
    <col min="39" max="39" width="5.33203125" style="5" bestFit="1" customWidth="1"/>
    <col min="40" max="42" width="2.33203125" style="5"/>
    <col min="43" max="43" width="25.21875" style="5" bestFit="1" customWidth="1"/>
    <col min="44" max="44" width="7.33203125" style="5" bestFit="1" customWidth="1"/>
    <col min="45" max="16384" width="2.33203125" style="5"/>
  </cols>
  <sheetData>
    <row r="1" spans="2:50" ht="14.25" thickBot="1" x14ac:dyDescent="0.2">
      <c r="B1" s="27" t="s">
        <v>129</v>
      </c>
      <c r="C1" s="26"/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130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101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1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1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1</v>
      </c>
      <c r="R16" s="112"/>
      <c r="S16" s="113"/>
      <c r="T16" s="114">
        <f t="shared" si="2"/>
        <v>0</v>
      </c>
      <c r="U16" s="103"/>
      <c r="V16" s="103"/>
      <c r="W16" s="99">
        <f t="shared" si="3"/>
        <v>1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1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1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9</v>
      </c>
      <c r="R18" s="112"/>
      <c r="S18" s="113"/>
      <c r="T18" s="114">
        <f t="shared" si="2"/>
        <v>0</v>
      </c>
      <c r="U18" s="103"/>
      <c r="V18" s="103"/>
      <c r="W18" s="99">
        <f t="shared" si="3"/>
        <v>9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48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11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11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48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9</v>
      </c>
      <c r="R20" s="112"/>
      <c r="S20" s="113"/>
      <c r="T20" s="114">
        <f t="shared" si="2"/>
        <v>0</v>
      </c>
      <c r="U20" s="103"/>
      <c r="V20" s="103"/>
      <c r="W20" s="99">
        <f t="shared" si="3"/>
        <v>9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14</v>
      </c>
      <c r="R21" s="112"/>
      <c r="S21" s="113"/>
      <c r="T21" s="114">
        <f t="shared" si="2"/>
        <v>0</v>
      </c>
      <c r="U21" s="103"/>
      <c r="V21" s="103"/>
      <c r="W21" s="99">
        <f t="shared" si="3"/>
        <v>14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1</v>
      </c>
      <c r="R22" s="112"/>
      <c r="S22" s="113"/>
      <c r="T22" s="114">
        <f t="shared" si="2"/>
        <v>0</v>
      </c>
      <c r="U22" s="103"/>
      <c r="V22" s="103"/>
      <c r="W22" s="99">
        <f t="shared" si="3"/>
        <v>1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  <c r="AJ22" s="56"/>
      <c r="AK22" s="48"/>
      <c r="AL22" s="48"/>
      <c r="AM22" s="48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0</v>
      </c>
      <c r="R23" s="112"/>
      <c r="S23" s="113"/>
      <c r="T23" s="114">
        <f t="shared" si="2"/>
        <v>0</v>
      </c>
      <c r="U23" s="103"/>
      <c r="V23" s="103"/>
      <c r="W23" s="99">
        <f t="shared" si="3"/>
        <v>0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  <c r="AJ23" s="56"/>
      <c r="AK23" s="48"/>
      <c r="AL23" s="48"/>
      <c r="AM23" s="48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47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102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광주B저온센터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광주광역시 광산구 진곡산단5번로 69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1</v>
      </c>
      <c r="R41" s="97"/>
      <c r="S41" s="97"/>
      <c r="T41" s="98">
        <f t="shared" si="11"/>
        <v>0</v>
      </c>
      <c r="U41" s="98"/>
      <c r="V41" s="98"/>
      <c r="W41" s="83">
        <f t="shared" si="12"/>
        <v>1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1</v>
      </c>
      <c r="R43" s="97"/>
      <c r="S43" s="97"/>
      <c r="T43" s="98">
        <f t="shared" si="11"/>
        <v>0</v>
      </c>
      <c r="U43" s="98"/>
      <c r="V43" s="98"/>
      <c r="W43" s="83">
        <f t="shared" si="12"/>
        <v>1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1</v>
      </c>
      <c r="R44" s="97"/>
      <c r="S44" s="97"/>
      <c r="T44" s="98">
        <f t="shared" si="11"/>
        <v>0</v>
      </c>
      <c r="U44" s="98"/>
      <c r="V44" s="98"/>
      <c r="W44" s="83">
        <f t="shared" si="12"/>
        <v>1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9</v>
      </c>
      <c r="R45" s="97"/>
      <c r="S45" s="97"/>
      <c r="T45" s="98">
        <f t="shared" si="11"/>
        <v>0</v>
      </c>
      <c r="U45" s="98"/>
      <c r="V45" s="98"/>
      <c r="W45" s="83">
        <f t="shared" si="12"/>
        <v>9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11</v>
      </c>
      <c r="R46" s="97"/>
      <c r="S46" s="97"/>
      <c r="T46" s="98">
        <f t="shared" si="11"/>
        <v>0</v>
      </c>
      <c r="U46" s="98"/>
      <c r="V46" s="98"/>
      <c r="W46" s="83">
        <f t="shared" si="12"/>
        <v>11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9</v>
      </c>
      <c r="R47" s="97"/>
      <c r="S47" s="97"/>
      <c r="T47" s="98">
        <f t="shared" si="11"/>
        <v>0</v>
      </c>
      <c r="U47" s="98"/>
      <c r="V47" s="98"/>
      <c r="W47" s="83">
        <f t="shared" si="12"/>
        <v>9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14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14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1</v>
      </c>
      <c r="R49" s="97"/>
      <c r="S49" s="97"/>
      <c r="T49" s="98">
        <f t="shared" si="17"/>
        <v>0</v>
      </c>
      <c r="U49" s="98"/>
      <c r="V49" s="98"/>
      <c r="W49" s="83">
        <f t="shared" si="18"/>
        <v>1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0</v>
      </c>
      <c r="R50" s="97"/>
      <c r="S50" s="97"/>
      <c r="T50" s="98">
        <f t="shared" si="17"/>
        <v>0</v>
      </c>
      <c r="U50" s="98"/>
      <c r="V50" s="98"/>
      <c r="W50" s="83">
        <f t="shared" si="18"/>
        <v>0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47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광주광역시 광산구 진곡산단5번로 69
062-959-7111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H17">
    <cfRule type="expression" dxfId="54" priority="2">
      <formula>Q13:S22=0</formula>
    </cfRule>
  </conditionalFormatting>
  <conditionalFormatting sqref="AA18:AH19 AA21:AH23 AA43:AH50">
    <cfRule type="expression" dxfId="53" priority="69">
      <formula>Q18:S26=0</formula>
    </cfRule>
  </conditionalFormatting>
  <conditionalFormatting sqref="AA20:AH20 AA40:AH42">
    <cfRule type="expression" dxfId="52" priority="180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F49BA2BE-6C17-41D5-BF65-0A125C541D8C}"/>
  </dataValidations>
  <printOptions horizontalCentered="1"/>
  <pageMargins left="0" right="0" top="0.11811023622047245" bottom="0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9A0D-6849-4088-A7E1-F8EBD84F38C6}">
  <sheetPr>
    <tabColor theme="9" tint="0.39997558519241921"/>
    <pageSetUpPr fitToPage="1"/>
  </sheetPr>
  <dimension ref="A1:AX53"/>
  <sheetViews>
    <sheetView topLeftCell="A5"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3" width="2.33203125" style="5"/>
    <col min="34" max="34" width="2.33203125" style="5" customWidth="1"/>
    <col min="35" max="35" width="2.5546875" style="5" bestFit="1" customWidth="1"/>
    <col min="36" max="36" width="32" style="5" bestFit="1" customWidth="1"/>
    <col min="37" max="37" width="8" style="5" bestFit="1" customWidth="1"/>
    <col min="38" max="38" width="5.77734375" style="5" bestFit="1" customWidth="1"/>
    <col min="39" max="39" width="29.5546875" style="5" bestFit="1" customWidth="1"/>
    <col min="40" max="40" width="3.33203125" style="5" bestFit="1" customWidth="1"/>
    <col min="41" max="41" width="29.5546875" style="5" bestFit="1" customWidth="1"/>
    <col min="42" max="42" width="3.33203125" style="5" bestFit="1" customWidth="1"/>
    <col min="43" max="16384" width="2.33203125" style="5"/>
  </cols>
  <sheetData>
    <row r="1" spans="2:50" ht="14.25" thickBot="1" x14ac:dyDescent="0.2">
      <c r="B1" s="27" t="s">
        <v>86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86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104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10</v>
      </c>
      <c r="R18" s="112"/>
      <c r="S18" s="113"/>
      <c r="T18" s="114">
        <f t="shared" si="2"/>
        <v>0</v>
      </c>
      <c r="U18" s="103"/>
      <c r="V18" s="103"/>
      <c r="W18" s="99">
        <f t="shared" si="3"/>
        <v>10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5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5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8</v>
      </c>
      <c r="R20" s="112"/>
      <c r="S20" s="113"/>
      <c r="T20" s="114">
        <f t="shared" si="2"/>
        <v>0</v>
      </c>
      <c r="U20" s="103"/>
      <c r="V20" s="103"/>
      <c r="W20" s="99">
        <f t="shared" si="3"/>
        <v>8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12</v>
      </c>
      <c r="R21" s="112"/>
      <c r="S21" s="113"/>
      <c r="T21" s="114">
        <f t="shared" si="2"/>
        <v>0</v>
      </c>
      <c r="U21" s="103"/>
      <c r="V21" s="103"/>
      <c r="W21" s="99">
        <f t="shared" si="3"/>
        <v>12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</v>
      </c>
      <c r="R22" s="112"/>
      <c r="S22" s="113"/>
      <c r="T22" s="114">
        <f t="shared" si="2"/>
        <v>0</v>
      </c>
      <c r="U22" s="103"/>
      <c r="V22" s="103"/>
      <c r="W22" s="99">
        <f t="shared" si="3"/>
        <v>2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4</v>
      </c>
      <c r="R23" s="112"/>
      <c r="S23" s="113"/>
      <c r="T23" s="114">
        <f t="shared" si="2"/>
        <v>0</v>
      </c>
      <c r="U23" s="103"/>
      <c r="V23" s="103"/>
      <c r="W23" s="99">
        <f t="shared" si="3"/>
        <v>4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41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105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광주냉장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광주광역시 북구 양일로 111(양산동)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258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25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258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258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258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258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10</v>
      </c>
      <c r="R45" s="97"/>
      <c r="S45" s="97"/>
      <c r="T45" s="98">
        <f t="shared" si="11"/>
        <v>0</v>
      </c>
      <c r="U45" s="98"/>
      <c r="V45" s="98"/>
      <c r="W45" s="83">
        <f t="shared" si="12"/>
        <v>10</v>
      </c>
      <c r="X45" s="83"/>
      <c r="Y45" s="83"/>
      <c r="Z45" s="83"/>
      <c r="AA45" s="258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5</v>
      </c>
      <c r="R46" s="97"/>
      <c r="S46" s="97"/>
      <c r="T46" s="98">
        <f t="shared" si="11"/>
        <v>0</v>
      </c>
      <c r="U46" s="98"/>
      <c r="V46" s="98"/>
      <c r="W46" s="83">
        <f t="shared" si="12"/>
        <v>5</v>
      </c>
      <c r="X46" s="83"/>
      <c r="Y46" s="83"/>
      <c r="Z46" s="83"/>
      <c r="AA46" s="258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8</v>
      </c>
      <c r="R47" s="97"/>
      <c r="S47" s="97"/>
      <c r="T47" s="98">
        <f t="shared" si="11"/>
        <v>0</v>
      </c>
      <c r="U47" s="98"/>
      <c r="V47" s="98"/>
      <c r="W47" s="83">
        <f t="shared" si="12"/>
        <v>8</v>
      </c>
      <c r="X47" s="83"/>
      <c r="Y47" s="83"/>
      <c r="Z47" s="83"/>
      <c r="AA47" s="258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12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12</v>
      </c>
      <c r="X48" s="83"/>
      <c r="Y48" s="83"/>
      <c r="Z48" s="83"/>
      <c r="AA48" s="258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</v>
      </c>
      <c r="R49" s="97"/>
      <c r="S49" s="97"/>
      <c r="T49" s="98">
        <f t="shared" si="17"/>
        <v>0</v>
      </c>
      <c r="U49" s="98"/>
      <c r="V49" s="98"/>
      <c r="W49" s="83">
        <f t="shared" si="18"/>
        <v>2</v>
      </c>
      <c r="X49" s="83"/>
      <c r="Y49" s="83"/>
      <c r="Z49" s="83"/>
      <c r="AA49" s="258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4</v>
      </c>
      <c r="R50" s="97"/>
      <c r="S50" s="97"/>
      <c r="T50" s="98">
        <f t="shared" si="17"/>
        <v>0</v>
      </c>
      <c r="U50" s="98"/>
      <c r="V50" s="98"/>
      <c r="W50" s="83">
        <f t="shared" si="18"/>
        <v>4</v>
      </c>
      <c r="X50" s="83"/>
      <c r="Y50" s="83"/>
      <c r="Z50" s="83"/>
      <c r="AA50" s="258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41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광주광역시 북구 양일로 111(양산동)
062-574-6333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H17">
    <cfRule type="expression" dxfId="51" priority="2">
      <formula>Q13:S22=0</formula>
    </cfRule>
  </conditionalFormatting>
  <conditionalFormatting sqref="AA18:AH19 AA21:AH23 AA43:AH50">
    <cfRule type="expression" dxfId="50" priority="68">
      <formula>Q18:S26=0</formula>
    </cfRule>
  </conditionalFormatting>
  <conditionalFormatting sqref="AA20:AH20 AA40:AH42">
    <cfRule type="expression" dxfId="49" priority="177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6CAF50B7-87AB-4389-9831-D16D8F831E5B}"/>
  </dataValidations>
  <printOptions horizontalCentered="1"/>
  <pageMargins left="0" right="0" top="0.11811023622047245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4C0-7294-42BE-A936-28791847F3F7}">
  <sheetPr>
    <tabColor theme="9" tint="0.39997558519241921"/>
    <pageSetUpPr fitToPage="1"/>
  </sheetPr>
  <dimension ref="A1:AX53"/>
  <sheetViews>
    <sheetView topLeftCell="A3"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3" width="2.33203125" style="5"/>
    <col min="34" max="34" width="2.33203125" style="5" customWidth="1"/>
    <col min="35" max="35" width="2.5546875" style="5" bestFit="1" customWidth="1"/>
    <col min="36" max="36" width="32" style="5" bestFit="1" customWidth="1"/>
    <col min="37" max="37" width="8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133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133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134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0</v>
      </c>
      <c r="R18" s="112"/>
      <c r="S18" s="113"/>
      <c r="T18" s="114">
        <f t="shared" si="2"/>
        <v>0</v>
      </c>
      <c r="U18" s="103"/>
      <c r="V18" s="103"/>
      <c r="W18" s="99">
        <f t="shared" si="3"/>
        <v>0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0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0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0</v>
      </c>
      <c r="R20" s="112"/>
      <c r="S20" s="113"/>
      <c r="T20" s="114">
        <f t="shared" si="2"/>
        <v>0</v>
      </c>
      <c r="U20" s="103"/>
      <c r="V20" s="103"/>
      <c r="W20" s="99">
        <f t="shared" si="3"/>
        <v>0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0</v>
      </c>
      <c r="R21" s="112"/>
      <c r="S21" s="113"/>
      <c r="T21" s="114">
        <f t="shared" si="2"/>
        <v>0</v>
      </c>
      <c r="U21" s="103"/>
      <c r="V21" s="103"/>
      <c r="W21" s="99">
        <f t="shared" si="3"/>
        <v>0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0</v>
      </c>
      <c r="R22" s="112"/>
      <c r="S22" s="113"/>
      <c r="T22" s="114">
        <f t="shared" si="2"/>
        <v>0</v>
      </c>
      <c r="U22" s="103"/>
      <c r="V22" s="103"/>
      <c r="W22" s="99">
        <f t="shared" si="3"/>
        <v>0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0</v>
      </c>
      <c r="R23" s="112"/>
      <c r="S23" s="113"/>
      <c r="T23" s="114">
        <f t="shared" si="2"/>
        <v>0</v>
      </c>
      <c r="U23" s="103"/>
      <c r="V23" s="103"/>
      <c r="W23" s="99">
        <f t="shared" si="3"/>
        <v>0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0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105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김제냉장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전북 김제시 금산면 금평로 313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258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25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258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258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258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258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0</v>
      </c>
      <c r="R45" s="97"/>
      <c r="S45" s="97"/>
      <c r="T45" s="98">
        <f t="shared" si="11"/>
        <v>0</v>
      </c>
      <c r="U45" s="98"/>
      <c r="V45" s="98"/>
      <c r="W45" s="83">
        <f t="shared" si="12"/>
        <v>0</v>
      </c>
      <c r="X45" s="83"/>
      <c r="Y45" s="83"/>
      <c r="Z45" s="83"/>
      <c r="AA45" s="258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0</v>
      </c>
      <c r="R46" s="97"/>
      <c r="S46" s="97"/>
      <c r="T46" s="98">
        <f t="shared" si="11"/>
        <v>0</v>
      </c>
      <c r="U46" s="98"/>
      <c r="V46" s="98"/>
      <c r="W46" s="83">
        <f t="shared" si="12"/>
        <v>0</v>
      </c>
      <c r="X46" s="83"/>
      <c r="Y46" s="83"/>
      <c r="Z46" s="83"/>
      <c r="AA46" s="258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0</v>
      </c>
      <c r="R47" s="97"/>
      <c r="S47" s="97"/>
      <c r="T47" s="98">
        <f t="shared" si="11"/>
        <v>0</v>
      </c>
      <c r="U47" s="98"/>
      <c r="V47" s="98"/>
      <c r="W47" s="83">
        <f t="shared" si="12"/>
        <v>0</v>
      </c>
      <c r="X47" s="83"/>
      <c r="Y47" s="83"/>
      <c r="Z47" s="83"/>
      <c r="AA47" s="258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0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0</v>
      </c>
      <c r="X48" s="83"/>
      <c r="Y48" s="83"/>
      <c r="Z48" s="83"/>
      <c r="AA48" s="258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0</v>
      </c>
      <c r="R49" s="97"/>
      <c r="S49" s="97"/>
      <c r="T49" s="98">
        <f t="shared" si="17"/>
        <v>0</v>
      </c>
      <c r="U49" s="98"/>
      <c r="V49" s="98"/>
      <c r="W49" s="83">
        <f t="shared" si="18"/>
        <v>0</v>
      </c>
      <c r="X49" s="83"/>
      <c r="Y49" s="83"/>
      <c r="Z49" s="83"/>
      <c r="AA49" s="258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0</v>
      </c>
      <c r="R50" s="97"/>
      <c r="S50" s="97"/>
      <c r="T50" s="98">
        <f t="shared" si="17"/>
        <v>0</v>
      </c>
      <c r="U50" s="98"/>
      <c r="V50" s="98"/>
      <c r="W50" s="83">
        <f t="shared" si="18"/>
        <v>0</v>
      </c>
      <c r="X50" s="83"/>
      <c r="Y50" s="83"/>
      <c r="Z50" s="83"/>
      <c r="AA50" s="258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0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광주광역시 북구 양일로 111(양산동)
062-574-6333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C31:F32"/>
    <mergeCell ref="G31:P32"/>
    <mergeCell ref="Q31:Q38"/>
    <mergeCell ref="R31:U32"/>
    <mergeCell ref="M22:P22"/>
    <mergeCell ref="Q22:S22"/>
    <mergeCell ref="T22:V22"/>
    <mergeCell ref="W22:Z22"/>
    <mergeCell ref="AA22:AH22"/>
    <mergeCell ref="V35:AH36"/>
    <mergeCell ref="B29:AH30"/>
    <mergeCell ref="B31:B38"/>
    <mergeCell ref="B24:D24"/>
    <mergeCell ref="E24:L24"/>
    <mergeCell ref="M24:Z24"/>
    <mergeCell ref="AA24:AH24"/>
    <mergeCell ref="B25:V26"/>
    <mergeCell ref="W25:AH26"/>
    <mergeCell ref="E23:L23"/>
    <mergeCell ref="M23:P23"/>
    <mergeCell ref="V31:AH32"/>
    <mergeCell ref="C33:F34"/>
    <mergeCell ref="E21:L21"/>
    <mergeCell ref="M21:P21"/>
    <mergeCell ref="Q23:S23"/>
    <mergeCell ref="T23:V23"/>
    <mergeCell ref="W23:Z23"/>
    <mergeCell ref="AA23:AH23"/>
    <mergeCell ref="E46:L46"/>
    <mergeCell ref="M46:P46"/>
    <mergeCell ref="Q46:S46"/>
    <mergeCell ref="T46:V46"/>
    <mergeCell ref="W46:Z46"/>
    <mergeCell ref="AA46:AH46"/>
    <mergeCell ref="G37:P38"/>
    <mergeCell ref="R37:U38"/>
    <mergeCell ref="V37:AA38"/>
    <mergeCell ref="AB37:AC38"/>
    <mergeCell ref="AD37:AH38"/>
    <mergeCell ref="E41:L41"/>
    <mergeCell ref="M41:P41"/>
    <mergeCell ref="Q41:S41"/>
    <mergeCell ref="T41:V41"/>
    <mergeCell ref="W41:Z41"/>
    <mergeCell ref="E43:L43"/>
    <mergeCell ref="M43:P43"/>
    <mergeCell ref="Q43:S43"/>
    <mergeCell ref="T43:V43"/>
    <mergeCell ref="T44:V44"/>
    <mergeCell ref="W44:Z44"/>
    <mergeCell ref="AA44:AH44"/>
    <mergeCell ref="AA13:AH13"/>
    <mergeCell ref="B13:D13"/>
    <mergeCell ref="E40:L40"/>
    <mergeCell ref="M40:P40"/>
    <mergeCell ref="Q40:S40"/>
    <mergeCell ref="T40:V40"/>
    <mergeCell ref="W40:Z40"/>
    <mergeCell ref="AA40:AH40"/>
    <mergeCell ref="B40:D40"/>
    <mergeCell ref="E39:L39"/>
    <mergeCell ref="M39:P39"/>
    <mergeCell ref="Q39:S39"/>
    <mergeCell ref="T39:V39"/>
    <mergeCell ref="W39:Z39"/>
    <mergeCell ref="AA39:AH39"/>
    <mergeCell ref="C37:F38"/>
    <mergeCell ref="AA17:AH17"/>
    <mergeCell ref="E19:L19"/>
    <mergeCell ref="M19:P19"/>
    <mergeCell ref="Q19:S19"/>
    <mergeCell ref="T19:V19"/>
    <mergeCell ref="W19:Z19"/>
    <mergeCell ref="AA19:AH19"/>
    <mergeCell ref="R33:U34"/>
    <mergeCell ref="E47:L47"/>
    <mergeCell ref="M47:P47"/>
    <mergeCell ref="Q47:S47"/>
    <mergeCell ref="T47:V47"/>
    <mergeCell ref="W47:Z47"/>
    <mergeCell ref="AA47:AH47"/>
    <mergeCell ref="G33:K34"/>
    <mergeCell ref="L33:P34"/>
    <mergeCell ref="E45:L45"/>
    <mergeCell ref="M45:P45"/>
    <mergeCell ref="Q45:S45"/>
    <mergeCell ref="T45:V45"/>
    <mergeCell ref="W45:Z45"/>
    <mergeCell ref="AA45:AH45"/>
    <mergeCell ref="AA41:AH41"/>
    <mergeCell ref="E44:L44"/>
    <mergeCell ref="M44:P44"/>
    <mergeCell ref="Q44:S44"/>
    <mergeCell ref="W43:Z43"/>
    <mergeCell ref="E49:L49"/>
    <mergeCell ref="M49:P49"/>
    <mergeCell ref="B52:V53"/>
    <mergeCell ref="W52:AH53"/>
    <mergeCell ref="E48:L48"/>
    <mergeCell ref="M48:P48"/>
    <mergeCell ref="Q48:S48"/>
    <mergeCell ref="T48:V48"/>
    <mergeCell ref="W48:Z48"/>
    <mergeCell ref="AA48:AH48"/>
    <mergeCell ref="B51:D51"/>
    <mergeCell ref="E51:L51"/>
    <mergeCell ref="M51:Z51"/>
    <mergeCell ref="AA51:AH51"/>
    <mergeCell ref="E50:L50"/>
    <mergeCell ref="M50:P50"/>
    <mergeCell ref="Q50:S50"/>
    <mergeCell ref="T50:V50"/>
    <mergeCell ref="W50:Z50"/>
    <mergeCell ref="AA50:AH50"/>
    <mergeCell ref="Q49:S49"/>
    <mergeCell ref="T49:V49"/>
    <mergeCell ref="W49:Z49"/>
    <mergeCell ref="AA49:AH49"/>
    <mergeCell ref="AA43:AH43"/>
    <mergeCell ref="V33:AA34"/>
    <mergeCell ref="AB33:AC34"/>
    <mergeCell ref="E13:L13"/>
    <mergeCell ref="M13:P13"/>
    <mergeCell ref="Q13:S13"/>
    <mergeCell ref="T13:V13"/>
    <mergeCell ref="W13:Z13"/>
    <mergeCell ref="E20:L20"/>
    <mergeCell ref="M20:P20"/>
    <mergeCell ref="Q20:S20"/>
    <mergeCell ref="T20:V20"/>
    <mergeCell ref="W20:Z20"/>
    <mergeCell ref="E18:L18"/>
    <mergeCell ref="M18:P18"/>
    <mergeCell ref="Q18:S18"/>
    <mergeCell ref="T18:V18"/>
    <mergeCell ref="W18:Z18"/>
    <mergeCell ref="E16:L16"/>
    <mergeCell ref="M16:P16"/>
    <mergeCell ref="Q16:S16"/>
    <mergeCell ref="T16:V16"/>
    <mergeCell ref="E17:L17"/>
    <mergeCell ref="M17:P17"/>
    <mergeCell ref="E12:L12"/>
    <mergeCell ref="M12:P12"/>
    <mergeCell ref="Q12:S12"/>
    <mergeCell ref="T12:V12"/>
    <mergeCell ref="W12:Z12"/>
    <mergeCell ref="Q17:S17"/>
    <mergeCell ref="T17:V17"/>
    <mergeCell ref="W17:Z17"/>
    <mergeCell ref="AA12:AH12"/>
    <mergeCell ref="E14:L14"/>
    <mergeCell ref="M14:P14"/>
    <mergeCell ref="Q14:S14"/>
    <mergeCell ref="T14:V14"/>
    <mergeCell ref="W14:Z14"/>
    <mergeCell ref="AA14:AH14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E42:L42"/>
    <mergeCell ref="M42:P42"/>
    <mergeCell ref="Q42:S42"/>
    <mergeCell ref="T42:V42"/>
    <mergeCell ref="W42:Z42"/>
    <mergeCell ref="AA42:AH42"/>
    <mergeCell ref="E15:L15"/>
    <mergeCell ref="M15:P15"/>
    <mergeCell ref="Q15:S15"/>
    <mergeCell ref="T15:V15"/>
    <mergeCell ref="W15:Z15"/>
    <mergeCell ref="AA15:AH15"/>
    <mergeCell ref="AA20:AH20"/>
    <mergeCell ref="AA18:AH18"/>
    <mergeCell ref="W16:Z16"/>
    <mergeCell ref="E22:L22"/>
    <mergeCell ref="AD33:AH34"/>
    <mergeCell ref="Q21:S21"/>
    <mergeCell ref="T21:V21"/>
    <mergeCell ref="W21:Z21"/>
    <mergeCell ref="AA21:AH21"/>
    <mergeCell ref="C35:F36"/>
    <mergeCell ref="G35:P36"/>
    <mergeCell ref="R35:U36"/>
  </mergeCells>
  <phoneticPr fontId="5" type="noConversion"/>
  <conditionalFormatting sqref="AA13:AH17">
    <cfRule type="expression" dxfId="48" priority="2">
      <formula>Q13:S22=0</formula>
    </cfRule>
  </conditionalFormatting>
  <conditionalFormatting sqref="AA18:AH19 AA21:AH23 AA43:AH50">
    <cfRule type="expression" dxfId="47" priority="67">
      <formula>Q18:S26=0</formula>
    </cfRule>
  </conditionalFormatting>
  <conditionalFormatting sqref="AA20:AH20 AA40:AH42">
    <cfRule type="expression" dxfId="46" priority="174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8877C736-BFE3-43E3-A484-2F5DDAA3B4F6}"/>
  </dataValidations>
  <printOptions horizontalCentered="1"/>
  <pageMargins left="0" right="0" top="0.11811023622047245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3261-807C-43CF-9BC0-0C47E1C3B421}">
  <sheetPr>
    <tabColor theme="7" tint="0.59999389629810485"/>
    <pageSetUpPr fitToPage="1"/>
  </sheetPr>
  <dimension ref="A1:AX53"/>
  <sheetViews>
    <sheetView topLeftCell="A3"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8" style="5" bestFit="1" customWidth="1"/>
    <col min="38" max="38" width="5.77734375" style="5" bestFit="1" customWidth="1"/>
    <col min="39" max="39" width="2.33203125" style="5"/>
    <col min="40" max="40" width="3.33203125" style="5" bestFit="1" customWidth="1"/>
    <col min="41" max="41" width="29.5546875" style="5" bestFit="1" customWidth="1"/>
    <col min="42" max="42" width="3.33203125" style="5" bestFit="1" customWidth="1"/>
    <col min="43" max="16384" width="2.33203125" style="5"/>
  </cols>
  <sheetData>
    <row r="1" spans="2:50" ht="14.25" thickBot="1" x14ac:dyDescent="0.2">
      <c r="B1" s="27" t="s">
        <v>87</v>
      </c>
      <c r="C1" s="26"/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136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106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259">
        <f>IFERROR(VLOOKUP(B1,은성파머스피벗발주량!A:DC,2,FALSE),0)</f>
        <v>0</v>
      </c>
      <c r="R13" s="260"/>
      <c r="S13" s="261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259">
        <f>IFERROR(VLOOKUP(B1,은성파머스피벗발주량!A:DC,3,FALSE),0)</f>
        <v>0</v>
      </c>
      <c r="R14" s="260"/>
      <c r="S14" s="261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259">
        <f>IFERROR(VLOOKUP(B1,은성파머스피벗발주량!A:DC,4,FALSE),0)</f>
        <v>0</v>
      </c>
      <c r="R15" s="260"/>
      <c r="S15" s="261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259">
        <f>IFERROR(VLOOKUP(B1,은성파머스피벗발주량!A:DC,5,FALSE),0)</f>
        <v>0</v>
      </c>
      <c r="R16" s="260"/>
      <c r="S16" s="261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259">
        <f>IFERROR(VLOOKUP(B1,은성파머스피벗발주량!A:DC,6,FALSE),0)</f>
        <v>0</v>
      </c>
      <c r="R17" s="260"/>
      <c r="S17" s="261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259">
        <f>IFERROR(VLOOKUP(B1,은성파머스피벗발주량!A:DC,7,FALSE),0)</f>
        <v>14</v>
      </c>
      <c r="R18" s="260"/>
      <c r="S18" s="261"/>
      <c r="T18" s="114">
        <f t="shared" si="2"/>
        <v>0</v>
      </c>
      <c r="U18" s="103"/>
      <c r="V18" s="103"/>
      <c r="W18" s="99">
        <f t="shared" si="3"/>
        <v>14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259">
        <f>IFERROR(VLOOKUP(B1,은성파머스피벗발주량!A:DC,8,FALSE),0)</f>
        <v>12</v>
      </c>
      <c r="R19" s="260"/>
      <c r="S19" s="261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12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259">
        <f>IFERROR(VLOOKUP(B1,은성파머스피벗발주량!A:DC,9,FALSE),0)</f>
        <v>19</v>
      </c>
      <c r="R20" s="260"/>
      <c r="S20" s="261"/>
      <c r="T20" s="114">
        <f t="shared" si="2"/>
        <v>0</v>
      </c>
      <c r="U20" s="103"/>
      <c r="V20" s="103"/>
      <c r="W20" s="99">
        <f t="shared" si="3"/>
        <v>19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259">
        <f>IFERROR(VLOOKUP(B1,은성파머스피벗발주량!A:DC,10,FALSE),0)</f>
        <v>14</v>
      </c>
      <c r="R21" s="260"/>
      <c r="S21" s="261"/>
      <c r="T21" s="114">
        <f t="shared" si="2"/>
        <v>0</v>
      </c>
      <c r="U21" s="103"/>
      <c r="V21" s="103"/>
      <c r="W21" s="99">
        <f t="shared" si="3"/>
        <v>14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259">
        <f>IFERROR(VLOOKUP(B1,은성파머스피벗발주량!A:DC,11,FALSE),0)</f>
        <v>3</v>
      </c>
      <c r="R22" s="260"/>
      <c r="S22" s="261"/>
      <c r="T22" s="114">
        <f t="shared" si="2"/>
        <v>0</v>
      </c>
      <c r="U22" s="103"/>
      <c r="V22" s="103"/>
      <c r="W22" s="99">
        <f t="shared" si="3"/>
        <v>3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259">
        <f>IFERROR(VLOOKUP(B1,은성파머스피벗발주량!A:DC,12,FALSE),0)</f>
        <v>2</v>
      </c>
      <c r="R23" s="260"/>
      <c r="S23" s="261"/>
      <c r="T23" s="114">
        <f t="shared" si="2"/>
        <v>0</v>
      </c>
      <c r="U23" s="103"/>
      <c r="V23" s="103"/>
      <c r="W23" s="99">
        <f t="shared" si="3"/>
        <v>2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64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107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대구냉장A동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경북 경산시 압량읍 가야로20
(212-3, 216-3)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14</v>
      </c>
      <c r="R45" s="97"/>
      <c r="S45" s="97"/>
      <c r="T45" s="98">
        <f t="shared" si="11"/>
        <v>0</v>
      </c>
      <c r="U45" s="98"/>
      <c r="V45" s="98"/>
      <c r="W45" s="83">
        <f t="shared" si="12"/>
        <v>14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12</v>
      </c>
      <c r="R46" s="97"/>
      <c r="S46" s="97"/>
      <c r="T46" s="98">
        <f t="shared" si="11"/>
        <v>0</v>
      </c>
      <c r="U46" s="98"/>
      <c r="V46" s="98"/>
      <c r="W46" s="83">
        <f t="shared" si="12"/>
        <v>12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19</v>
      </c>
      <c r="R47" s="97"/>
      <c r="S47" s="97"/>
      <c r="T47" s="98">
        <f t="shared" si="11"/>
        <v>0</v>
      </c>
      <c r="U47" s="98"/>
      <c r="V47" s="98"/>
      <c r="W47" s="83">
        <f t="shared" si="12"/>
        <v>19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14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14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3</v>
      </c>
      <c r="R49" s="97"/>
      <c r="S49" s="97"/>
      <c r="T49" s="98">
        <f t="shared" si="17"/>
        <v>0</v>
      </c>
      <c r="U49" s="98"/>
      <c r="V49" s="98"/>
      <c r="W49" s="83">
        <f t="shared" si="18"/>
        <v>3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2</v>
      </c>
      <c r="R50" s="97"/>
      <c r="S50" s="97"/>
      <c r="T50" s="98">
        <f t="shared" si="17"/>
        <v>0</v>
      </c>
      <c r="U50" s="98"/>
      <c r="V50" s="98"/>
      <c r="W50" s="83">
        <f t="shared" si="18"/>
        <v>2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64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경북 경산시 압량읍 가야로 20
(212-3, 216-3)  / 053-818-0285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13:D13"/>
    <mergeCell ref="E40:L40"/>
    <mergeCell ref="M40:P40"/>
    <mergeCell ref="Q40:S40"/>
    <mergeCell ref="T40:V40"/>
    <mergeCell ref="W40:Z40"/>
    <mergeCell ref="AA40:AH40"/>
    <mergeCell ref="B40:D40"/>
    <mergeCell ref="E15:L15"/>
    <mergeCell ref="M15:P15"/>
    <mergeCell ref="Q15:S15"/>
    <mergeCell ref="T15:V15"/>
    <mergeCell ref="W15:Z1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E14:L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R8:U9"/>
    <mergeCell ref="AA17:AH17"/>
    <mergeCell ref="V8:AH9"/>
    <mergeCell ref="E12:L12"/>
    <mergeCell ref="M12:P12"/>
    <mergeCell ref="Q12:S12"/>
    <mergeCell ref="T12:V12"/>
    <mergeCell ref="W12:Z12"/>
    <mergeCell ref="E13:L13"/>
    <mergeCell ref="M13:P13"/>
    <mergeCell ref="Q13:S13"/>
    <mergeCell ref="T13:V13"/>
    <mergeCell ref="W13:Z13"/>
    <mergeCell ref="AA12:AH12"/>
    <mergeCell ref="AA13:AH13"/>
    <mergeCell ref="G8:P9"/>
    <mergeCell ref="M14:P14"/>
    <mergeCell ref="Q14:S14"/>
    <mergeCell ref="E16:L16"/>
    <mergeCell ref="M16:P16"/>
    <mergeCell ref="Q16:S16"/>
    <mergeCell ref="T16:V16"/>
    <mergeCell ref="W19:Z19"/>
    <mergeCell ref="E17:L17"/>
    <mergeCell ref="Q20:S20"/>
    <mergeCell ref="T20:V20"/>
    <mergeCell ref="W20:Z20"/>
    <mergeCell ref="M17:P17"/>
    <mergeCell ref="Q17:S17"/>
    <mergeCell ref="T17:V17"/>
    <mergeCell ref="W17:Z17"/>
    <mergeCell ref="T18:V18"/>
    <mergeCell ref="W18:Z18"/>
    <mergeCell ref="M20:P20"/>
    <mergeCell ref="AA18:AH18"/>
    <mergeCell ref="B52:V53"/>
    <mergeCell ref="W52:AH53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B51:D51"/>
    <mergeCell ref="E51:L51"/>
    <mergeCell ref="M51:Z51"/>
    <mergeCell ref="E19:L19"/>
    <mergeCell ref="M19:P19"/>
    <mergeCell ref="Q19:S19"/>
    <mergeCell ref="T19:V19"/>
    <mergeCell ref="AA51:AH51"/>
    <mergeCell ref="E50:L50"/>
    <mergeCell ref="W50:Z50"/>
    <mergeCell ref="AA50:AH50"/>
    <mergeCell ref="M50:P50"/>
    <mergeCell ref="Q50:S50"/>
    <mergeCell ref="T50:V50"/>
    <mergeCell ref="T14:V14"/>
    <mergeCell ref="W14:Z14"/>
    <mergeCell ref="C35:F36"/>
    <mergeCell ref="G35:P36"/>
    <mergeCell ref="R35:U36"/>
    <mergeCell ref="V35:AH36"/>
    <mergeCell ref="E39:L39"/>
    <mergeCell ref="M39:P39"/>
    <mergeCell ref="Q39:S39"/>
    <mergeCell ref="T39:V39"/>
    <mergeCell ref="W39:Z39"/>
    <mergeCell ref="W21:Z21"/>
    <mergeCell ref="AA21:AH21"/>
    <mergeCell ref="B24:D24"/>
    <mergeCell ref="AA14:AH14"/>
    <mergeCell ref="W16:Z16"/>
    <mergeCell ref="AA16:AH16"/>
    <mergeCell ref="AA15:AH15"/>
    <mergeCell ref="E20:L20"/>
    <mergeCell ref="M24:Z24"/>
    <mergeCell ref="AA24:AH24"/>
    <mergeCell ref="W43:Z43"/>
    <mergeCell ref="AA43:AH43"/>
    <mergeCell ref="T41:V41"/>
    <mergeCell ref="W41:Z41"/>
    <mergeCell ref="W42:Z42"/>
    <mergeCell ref="AA42:AH42"/>
    <mergeCell ref="AA41:AH41"/>
    <mergeCell ref="AA39:AH39"/>
    <mergeCell ref="V31:AH32"/>
    <mergeCell ref="AA20:AH20"/>
    <mergeCell ref="E18:L18"/>
    <mergeCell ref="M18:P18"/>
    <mergeCell ref="Q18:S18"/>
    <mergeCell ref="T43:V43"/>
    <mergeCell ref="G37:P38"/>
    <mergeCell ref="R37:U38"/>
    <mergeCell ref="V37:AA38"/>
    <mergeCell ref="AB37:AC38"/>
    <mergeCell ref="AD37:AH38"/>
    <mergeCell ref="E24:L24"/>
    <mergeCell ref="T23:V23"/>
    <mergeCell ref="W23:Z23"/>
    <mergeCell ref="AA23:AH23"/>
    <mergeCell ref="AA19:AH19"/>
    <mergeCell ref="T42:V42"/>
    <mergeCell ref="C33:F34"/>
    <mergeCell ref="G33:K34"/>
    <mergeCell ref="L33:P34"/>
    <mergeCell ref="C37:F38"/>
    <mergeCell ref="R33:U34"/>
    <mergeCell ref="B25:V26"/>
    <mergeCell ref="M41:P41"/>
    <mergeCell ref="Q41:S41"/>
    <mergeCell ref="E49:L49"/>
    <mergeCell ref="M49:P49"/>
    <mergeCell ref="Q49:S49"/>
    <mergeCell ref="T49:V49"/>
    <mergeCell ref="W49:Z49"/>
    <mergeCell ref="AA49:AH49"/>
    <mergeCell ref="W25:AH26"/>
    <mergeCell ref="E23:L23"/>
    <mergeCell ref="M23:P23"/>
    <mergeCell ref="Q23:S23"/>
    <mergeCell ref="E45:L45"/>
    <mergeCell ref="M45:P45"/>
    <mergeCell ref="Q45:S45"/>
    <mergeCell ref="T45:V45"/>
    <mergeCell ref="AA45:AH45"/>
    <mergeCell ref="E42:L42"/>
    <mergeCell ref="M42:P42"/>
    <mergeCell ref="B29:AH30"/>
    <mergeCell ref="B31:B38"/>
    <mergeCell ref="C31:F32"/>
    <mergeCell ref="G31:P32"/>
    <mergeCell ref="Q31:Q38"/>
    <mergeCell ref="R31:U32"/>
    <mergeCell ref="Q42:S42"/>
    <mergeCell ref="AA46:AH46"/>
    <mergeCell ref="AA44:AH44"/>
    <mergeCell ref="V33:AA34"/>
    <mergeCell ref="AB33:AC34"/>
    <mergeCell ref="AD33:AH34"/>
    <mergeCell ref="E46:L46"/>
    <mergeCell ref="M46:P46"/>
    <mergeCell ref="Q46:S46"/>
    <mergeCell ref="T46:V46"/>
    <mergeCell ref="W46:Z46"/>
    <mergeCell ref="Q44:S44"/>
    <mergeCell ref="T44:V44"/>
    <mergeCell ref="E44:L44"/>
    <mergeCell ref="M44:P44"/>
    <mergeCell ref="E43:L43"/>
    <mergeCell ref="M43:P43"/>
    <mergeCell ref="Q43:S43"/>
    <mergeCell ref="W45:Z45"/>
    <mergeCell ref="E41:L41"/>
    <mergeCell ref="W44:Z44"/>
  </mergeCells>
  <phoneticPr fontId="5" type="noConversion"/>
  <conditionalFormatting sqref="AA13:AH23">
    <cfRule type="expression" dxfId="45" priority="2">
      <formula>Q13=0</formula>
    </cfRule>
  </conditionalFormatting>
  <conditionalFormatting sqref="AA40:AH42">
    <cfRule type="expression" dxfId="44" priority="184">
      <formula>Q40:S47=0</formula>
    </cfRule>
  </conditionalFormatting>
  <conditionalFormatting sqref="AA43:AH50">
    <cfRule type="expression" dxfId="43" priority="106">
      <formula>Q43:S51=0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5B9DD1BA-F33F-42EE-8CE3-2D306A0BAC8F}"/>
  </dataValidations>
  <printOptions horizontalCentered="1"/>
  <pageMargins left="0" right="0" top="0.11811023622047245" bottom="0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959-B962-4F0B-B96F-D994F60D0E7F}">
  <sheetPr>
    <tabColor theme="7" tint="0.59999389629810485"/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10.44140625" style="5" bestFit="1" customWidth="1"/>
    <col min="38" max="38" width="5.77734375" style="5" bestFit="1" customWidth="1"/>
    <col min="39" max="40" width="3.5546875" style="5" bestFit="1" customWidth="1"/>
    <col min="41" max="41" width="2.33203125" style="5"/>
    <col min="42" max="42" width="29.5546875" style="5" bestFit="1" customWidth="1"/>
    <col min="43" max="43" width="3.33203125" style="5" bestFit="1" customWidth="1"/>
    <col min="44" max="45" width="3.5546875" style="5" bestFit="1" customWidth="1"/>
    <col min="46" max="46" width="4.5546875" style="5" bestFit="1" customWidth="1"/>
    <col min="47" max="48" width="2.33203125" style="5"/>
    <col min="49" max="49" width="4.5546875" style="5" bestFit="1" customWidth="1"/>
    <col min="50" max="50" width="2.33203125" style="5"/>
    <col min="51" max="51" width="3.5546875" style="5" bestFit="1" customWidth="1"/>
    <col min="52" max="58" width="2.33203125" style="5"/>
    <col min="59" max="59" width="3.5546875" style="5" bestFit="1" customWidth="1"/>
    <col min="60" max="16384" width="2.33203125" style="5"/>
  </cols>
  <sheetData>
    <row r="1" spans="2:50" ht="14.25" thickBot="1" x14ac:dyDescent="0.2">
      <c r="B1" s="27" t="s">
        <v>87</v>
      </c>
      <c r="C1" s="26"/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137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106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259"/>
      <c r="R13" s="260"/>
      <c r="S13" s="261"/>
      <c r="T13" s="114">
        <f>IFERROR(ROUNDDOWN(Q13/M13,0),"")</f>
        <v>0</v>
      </c>
      <c r="U13" s="103"/>
      <c r="V13" s="103"/>
      <c r="W13" s="99">
        <f t="shared" ref="W13" si="0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259"/>
      <c r="R14" s="260"/>
      <c r="S14" s="261"/>
      <c r="T14" s="114">
        <f t="shared" ref="T14:T23" si="1">IFERROR(ROUNDDOWN(Q14/M14,0),"")</f>
        <v>0</v>
      </c>
      <c r="U14" s="103"/>
      <c r="V14" s="103"/>
      <c r="W14" s="99">
        <f t="shared" ref="W14:W23" si="2">IFERROR(Q14-(T14*M14),"")</f>
        <v>0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259"/>
      <c r="R15" s="260"/>
      <c r="S15" s="261"/>
      <c r="T15" s="114">
        <f t="shared" si="1"/>
        <v>0</v>
      </c>
      <c r="U15" s="103"/>
      <c r="V15" s="103"/>
      <c r="W15" s="99">
        <f t="shared" si="2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259"/>
      <c r="R16" s="260"/>
      <c r="S16" s="261"/>
      <c r="T16" s="114">
        <f t="shared" si="1"/>
        <v>0</v>
      </c>
      <c r="U16" s="103"/>
      <c r="V16" s="103"/>
      <c r="W16" s="99">
        <f t="shared" si="2"/>
        <v>0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259"/>
      <c r="R17" s="260"/>
      <c r="S17" s="261"/>
      <c r="T17" s="114">
        <f t="shared" ref="T17" si="3">IFERROR(ROUNDDOWN(Q17/M17,0),"")</f>
        <v>0</v>
      </c>
      <c r="U17" s="103"/>
      <c r="V17" s="103"/>
      <c r="W17" s="99">
        <f t="shared" ref="W17" si="4">IFERROR(Q17-(T17*M17),"")</f>
        <v>0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259">
        <v>2</v>
      </c>
      <c r="R18" s="260"/>
      <c r="S18" s="261"/>
      <c r="T18" s="114">
        <f t="shared" si="1"/>
        <v>0</v>
      </c>
      <c r="U18" s="103"/>
      <c r="V18" s="103"/>
      <c r="W18" s="99">
        <f t="shared" si="2"/>
        <v>2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259">
        <v>2</v>
      </c>
      <c r="R19" s="260"/>
      <c r="S19" s="261"/>
      <c r="T19" s="114">
        <f t="shared" ref="T19" si="5">IFERROR(ROUNDDOWN(Q19/M19,0),"")</f>
        <v>0</v>
      </c>
      <c r="U19" s="103"/>
      <c r="V19" s="103"/>
      <c r="W19" s="99">
        <f t="shared" ref="W19" si="6">IFERROR(Q19-(T19*M19),"")</f>
        <v>2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259">
        <v>1</v>
      </c>
      <c r="R20" s="260"/>
      <c r="S20" s="261"/>
      <c r="T20" s="114">
        <f t="shared" si="1"/>
        <v>0</v>
      </c>
      <c r="U20" s="103"/>
      <c r="V20" s="103"/>
      <c r="W20" s="99">
        <f t="shared" si="2"/>
        <v>1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259">
        <v>2</v>
      </c>
      <c r="R21" s="260"/>
      <c r="S21" s="261"/>
      <c r="T21" s="114">
        <f t="shared" si="1"/>
        <v>0</v>
      </c>
      <c r="U21" s="103"/>
      <c r="V21" s="103"/>
      <c r="W21" s="99">
        <f t="shared" si="2"/>
        <v>2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259">
        <v>1</v>
      </c>
      <c r="R22" s="260"/>
      <c r="S22" s="261"/>
      <c r="T22" s="114">
        <f t="shared" si="1"/>
        <v>0</v>
      </c>
      <c r="U22" s="103"/>
      <c r="V22" s="103"/>
      <c r="W22" s="99">
        <f t="shared" si="2"/>
        <v>1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259">
        <v>1</v>
      </c>
      <c r="R23" s="260"/>
      <c r="S23" s="261"/>
      <c r="T23" s="114">
        <f t="shared" si="1"/>
        <v>0</v>
      </c>
      <c r="U23" s="103"/>
      <c r="V23" s="103"/>
      <c r="W23" s="99">
        <f t="shared" si="2"/>
        <v>1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9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107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대구냉장B동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경북 경산시 압량읍 가야로20
(212-3, 216-3)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7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8">M13</f>
        <v>36</v>
      </c>
      <c r="N40" s="96"/>
      <c r="O40" s="96"/>
      <c r="P40" s="96"/>
      <c r="Q40" s="97">
        <f t="shared" ref="Q40:Q47" si="9">Q13</f>
        <v>0</v>
      </c>
      <c r="R40" s="97"/>
      <c r="S40" s="97"/>
      <c r="T40" s="98">
        <f t="shared" ref="T40:T47" si="10">T13</f>
        <v>0</v>
      </c>
      <c r="U40" s="98"/>
      <c r="V40" s="98"/>
      <c r="W40" s="83">
        <f t="shared" ref="W40:W47" si="11">W13</f>
        <v>0</v>
      </c>
      <c r="X40" s="83"/>
      <c r="Y40" s="83"/>
      <c r="Z40" s="83"/>
      <c r="AA40" s="84">
        <f t="shared" ref="AA40:AA47" si="12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7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8"/>
        <v>30</v>
      </c>
      <c r="N41" s="96"/>
      <c r="O41" s="96"/>
      <c r="P41" s="96"/>
      <c r="Q41" s="97">
        <f t="shared" si="9"/>
        <v>0</v>
      </c>
      <c r="R41" s="97"/>
      <c r="S41" s="97"/>
      <c r="T41" s="98">
        <f t="shared" si="10"/>
        <v>0</v>
      </c>
      <c r="U41" s="98"/>
      <c r="V41" s="98"/>
      <c r="W41" s="83">
        <f t="shared" si="11"/>
        <v>0</v>
      </c>
      <c r="X41" s="83"/>
      <c r="Y41" s="83"/>
      <c r="Z41" s="83"/>
      <c r="AA41" s="84">
        <f t="shared" si="12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7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8"/>
        <v>30</v>
      </c>
      <c r="N42" s="96"/>
      <c r="O42" s="96"/>
      <c r="P42" s="96"/>
      <c r="Q42" s="97">
        <f t="shared" si="9"/>
        <v>0</v>
      </c>
      <c r="R42" s="97"/>
      <c r="S42" s="97"/>
      <c r="T42" s="98">
        <f t="shared" si="10"/>
        <v>0</v>
      </c>
      <c r="U42" s="98"/>
      <c r="V42" s="98"/>
      <c r="W42" s="83">
        <f t="shared" si="11"/>
        <v>0</v>
      </c>
      <c r="X42" s="83"/>
      <c r="Y42" s="83"/>
      <c r="Z42" s="83"/>
      <c r="AA42" s="84">
        <f t="shared" si="12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7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8"/>
        <v>30</v>
      </c>
      <c r="N43" s="96"/>
      <c r="O43" s="96"/>
      <c r="P43" s="96"/>
      <c r="Q43" s="97">
        <f t="shared" si="9"/>
        <v>0</v>
      </c>
      <c r="R43" s="97"/>
      <c r="S43" s="97"/>
      <c r="T43" s="98">
        <f t="shared" si="10"/>
        <v>0</v>
      </c>
      <c r="U43" s="98"/>
      <c r="V43" s="98"/>
      <c r="W43" s="83">
        <f t="shared" si="11"/>
        <v>0</v>
      </c>
      <c r="X43" s="83"/>
      <c r="Y43" s="83"/>
      <c r="Z43" s="83"/>
      <c r="AA43" s="84">
        <f t="shared" si="12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7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8"/>
        <v>36</v>
      </c>
      <c r="N44" s="96"/>
      <c r="O44" s="96"/>
      <c r="P44" s="96"/>
      <c r="Q44" s="97">
        <f t="shared" si="9"/>
        <v>0</v>
      </c>
      <c r="R44" s="97"/>
      <c r="S44" s="97"/>
      <c r="T44" s="98">
        <f t="shared" si="10"/>
        <v>0</v>
      </c>
      <c r="U44" s="98"/>
      <c r="V44" s="98"/>
      <c r="W44" s="83">
        <f t="shared" si="11"/>
        <v>0</v>
      </c>
      <c r="X44" s="83"/>
      <c r="Y44" s="83"/>
      <c r="Z44" s="83"/>
      <c r="AA44" s="84">
        <f t="shared" si="12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7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8"/>
        <v>30</v>
      </c>
      <c r="N45" s="96"/>
      <c r="O45" s="96"/>
      <c r="P45" s="96"/>
      <c r="Q45" s="97">
        <f t="shared" si="9"/>
        <v>2</v>
      </c>
      <c r="R45" s="97"/>
      <c r="S45" s="97"/>
      <c r="T45" s="98">
        <f t="shared" si="10"/>
        <v>0</v>
      </c>
      <c r="U45" s="98"/>
      <c r="V45" s="98"/>
      <c r="W45" s="83">
        <f t="shared" si="11"/>
        <v>2</v>
      </c>
      <c r="X45" s="83"/>
      <c r="Y45" s="83"/>
      <c r="Z45" s="83"/>
      <c r="AA45" s="84">
        <f t="shared" si="12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7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8"/>
        <v>30</v>
      </c>
      <c r="N46" s="96"/>
      <c r="O46" s="96"/>
      <c r="P46" s="96"/>
      <c r="Q46" s="97">
        <f t="shared" si="9"/>
        <v>2</v>
      </c>
      <c r="R46" s="97"/>
      <c r="S46" s="97"/>
      <c r="T46" s="98">
        <f t="shared" si="10"/>
        <v>0</v>
      </c>
      <c r="U46" s="98"/>
      <c r="V46" s="98"/>
      <c r="W46" s="83">
        <f t="shared" si="11"/>
        <v>2</v>
      </c>
      <c r="X46" s="83"/>
      <c r="Y46" s="83"/>
      <c r="Z46" s="83"/>
      <c r="AA46" s="84">
        <f t="shared" si="12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7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8"/>
        <v>30</v>
      </c>
      <c r="N47" s="96"/>
      <c r="O47" s="96"/>
      <c r="P47" s="96"/>
      <c r="Q47" s="97">
        <f t="shared" si="9"/>
        <v>1</v>
      </c>
      <c r="R47" s="97"/>
      <c r="S47" s="97"/>
      <c r="T47" s="98">
        <f t="shared" si="10"/>
        <v>0</v>
      </c>
      <c r="U47" s="98"/>
      <c r="V47" s="98"/>
      <c r="W47" s="83">
        <f t="shared" si="11"/>
        <v>1</v>
      </c>
      <c r="X47" s="83"/>
      <c r="Y47" s="83"/>
      <c r="Z47" s="83"/>
      <c r="AA47" s="84">
        <f t="shared" si="12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3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4">M21</f>
        <v>30</v>
      </c>
      <c r="N48" s="96"/>
      <c r="O48" s="96"/>
      <c r="P48" s="96"/>
      <c r="Q48" s="97">
        <f t="shared" ref="Q48:Q50" si="15">Q21</f>
        <v>2</v>
      </c>
      <c r="R48" s="97"/>
      <c r="S48" s="97"/>
      <c r="T48" s="98">
        <f t="shared" ref="T48:T50" si="16">T21</f>
        <v>0</v>
      </c>
      <c r="U48" s="98"/>
      <c r="V48" s="98"/>
      <c r="W48" s="83">
        <f t="shared" ref="W48:W50" si="17">W21</f>
        <v>2</v>
      </c>
      <c r="X48" s="83"/>
      <c r="Y48" s="83"/>
      <c r="Z48" s="83"/>
      <c r="AA48" s="84">
        <f t="shared" ref="AA48:AA50" si="18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3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4"/>
        <v>36</v>
      </c>
      <c r="N49" s="96"/>
      <c r="O49" s="96"/>
      <c r="P49" s="96"/>
      <c r="Q49" s="97">
        <f t="shared" si="15"/>
        <v>1</v>
      </c>
      <c r="R49" s="97"/>
      <c r="S49" s="97"/>
      <c r="T49" s="98">
        <f t="shared" si="16"/>
        <v>0</v>
      </c>
      <c r="U49" s="98"/>
      <c r="V49" s="98"/>
      <c r="W49" s="83">
        <f t="shared" si="17"/>
        <v>1</v>
      </c>
      <c r="X49" s="83"/>
      <c r="Y49" s="83"/>
      <c r="Z49" s="83"/>
      <c r="AA49" s="84">
        <f t="shared" si="18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3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4"/>
        <v>36</v>
      </c>
      <c r="N50" s="96"/>
      <c r="O50" s="96"/>
      <c r="P50" s="96"/>
      <c r="Q50" s="97">
        <f t="shared" si="15"/>
        <v>1</v>
      </c>
      <c r="R50" s="97"/>
      <c r="S50" s="97"/>
      <c r="T50" s="98">
        <f t="shared" si="16"/>
        <v>0</v>
      </c>
      <c r="U50" s="98"/>
      <c r="V50" s="98"/>
      <c r="W50" s="83">
        <f t="shared" si="17"/>
        <v>1</v>
      </c>
      <c r="X50" s="83"/>
      <c r="Y50" s="83"/>
      <c r="Z50" s="83"/>
      <c r="AA50" s="84">
        <f t="shared" si="18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9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경북 경산시 압량읍 가야로 20
(212-3, 216-3)  / 053-818-0285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13:D13"/>
    <mergeCell ref="E40:L40"/>
    <mergeCell ref="M40:P40"/>
    <mergeCell ref="Q40:S40"/>
    <mergeCell ref="T40:V40"/>
    <mergeCell ref="W40:Z40"/>
    <mergeCell ref="AA40:AH40"/>
    <mergeCell ref="B40:D40"/>
    <mergeCell ref="E15:L15"/>
    <mergeCell ref="M15:P15"/>
    <mergeCell ref="Q15:S15"/>
    <mergeCell ref="T15:V15"/>
    <mergeCell ref="W15:Z1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E14:L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R8:U9"/>
    <mergeCell ref="AA17:AH17"/>
    <mergeCell ref="V8:AH9"/>
    <mergeCell ref="E12:L12"/>
    <mergeCell ref="M12:P12"/>
    <mergeCell ref="Q12:S12"/>
    <mergeCell ref="T12:V12"/>
    <mergeCell ref="W12:Z12"/>
    <mergeCell ref="E13:L13"/>
    <mergeCell ref="M13:P13"/>
    <mergeCell ref="Q13:S13"/>
    <mergeCell ref="T13:V13"/>
    <mergeCell ref="W13:Z13"/>
    <mergeCell ref="AA12:AH12"/>
    <mergeCell ref="AA13:AH13"/>
    <mergeCell ref="G8:P9"/>
    <mergeCell ref="M14:P14"/>
    <mergeCell ref="Q14:S14"/>
    <mergeCell ref="E16:L16"/>
    <mergeCell ref="M16:P16"/>
    <mergeCell ref="Q16:S16"/>
    <mergeCell ref="T16:V16"/>
    <mergeCell ref="W19:Z19"/>
    <mergeCell ref="E17:L17"/>
    <mergeCell ref="Q20:S20"/>
    <mergeCell ref="T20:V20"/>
    <mergeCell ref="W20:Z20"/>
    <mergeCell ref="M17:P17"/>
    <mergeCell ref="Q17:S17"/>
    <mergeCell ref="T17:V17"/>
    <mergeCell ref="W17:Z17"/>
    <mergeCell ref="T18:V18"/>
    <mergeCell ref="W18:Z18"/>
    <mergeCell ref="M20:P20"/>
    <mergeCell ref="AA18:AH18"/>
    <mergeCell ref="B52:V53"/>
    <mergeCell ref="W52:AH53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B51:D51"/>
    <mergeCell ref="E51:L51"/>
    <mergeCell ref="M51:Z51"/>
    <mergeCell ref="E19:L19"/>
    <mergeCell ref="M19:P19"/>
    <mergeCell ref="Q19:S19"/>
    <mergeCell ref="T19:V19"/>
    <mergeCell ref="AA51:AH51"/>
    <mergeCell ref="E50:L50"/>
    <mergeCell ref="W50:Z50"/>
    <mergeCell ref="AA50:AH50"/>
    <mergeCell ref="M50:P50"/>
    <mergeCell ref="Q50:S50"/>
    <mergeCell ref="T50:V50"/>
    <mergeCell ref="T14:V14"/>
    <mergeCell ref="W14:Z14"/>
    <mergeCell ref="C35:F36"/>
    <mergeCell ref="G35:P36"/>
    <mergeCell ref="R35:U36"/>
    <mergeCell ref="V35:AH36"/>
    <mergeCell ref="E39:L39"/>
    <mergeCell ref="M39:P39"/>
    <mergeCell ref="Q39:S39"/>
    <mergeCell ref="T39:V39"/>
    <mergeCell ref="W39:Z39"/>
    <mergeCell ref="W21:Z21"/>
    <mergeCell ref="AA21:AH21"/>
    <mergeCell ref="B24:D24"/>
    <mergeCell ref="AA14:AH14"/>
    <mergeCell ref="W16:Z16"/>
    <mergeCell ref="AA16:AH16"/>
    <mergeCell ref="AA15:AH15"/>
    <mergeCell ref="E20:L20"/>
    <mergeCell ref="M24:Z24"/>
    <mergeCell ref="AA24:AH24"/>
    <mergeCell ref="W43:Z43"/>
    <mergeCell ref="AA43:AH43"/>
    <mergeCell ref="T41:V41"/>
    <mergeCell ref="W41:Z41"/>
    <mergeCell ref="W42:Z42"/>
    <mergeCell ref="AA42:AH42"/>
    <mergeCell ref="AA41:AH41"/>
    <mergeCell ref="AA39:AH39"/>
    <mergeCell ref="V31:AH32"/>
    <mergeCell ref="AA20:AH20"/>
    <mergeCell ref="E18:L18"/>
    <mergeCell ref="M18:P18"/>
    <mergeCell ref="Q18:S18"/>
    <mergeCell ref="T43:V43"/>
    <mergeCell ref="G37:P38"/>
    <mergeCell ref="R37:U38"/>
    <mergeCell ref="V37:AA38"/>
    <mergeCell ref="AB37:AC38"/>
    <mergeCell ref="AD37:AH38"/>
    <mergeCell ref="E24:L24"/>
    <mergeCell ref="T23:V23"/>
    <mergeCell ref="W23:Z23"/>
    <mergeCell ref="AA23:AH23"/>
    <mergeCell ref="AA19:AH19"/>
    <mergeCell ref="T42:V42"/>
    <mergeCell ref="C33:F34"/>
    <mergeCell ref="G33:K34"/>
    <mergeCell ref="L33:P34"/>
    <mergeCell ref="C37:F38"/>
    <mergeCell ref="R33:U34"/>
    <mergeCell ref="B25:V26"/>
    <mergeCell ref="M41:P41"/>
    <mergeCell ref="Q41:S41"/>
    <mergeCell ref="E49:L49"/>
    <mergeCell ref="M49:P49"/>
    <mergeCell ref="Q49:S49"/>
    <mergeCell ref="T49:V49"/>
    <mergeCell ref="W49:Z49"/>
    <mergeCell ref="AA49:AH49"/>
    <mergeCell ref="W25:AH26"/>
    <mergeCell ref="E23:L23"/>
    <mergeCell ref="M23:P23"/>
    <mergeCell ref="Q23:S23"/>
    <mergeCell ref="E45:L45"/>
    <mergeCell ref="M45:P45"/>
    <mergeCell ref="Q45:S45"/>
    <mergeCell ref="T45:V45"/>
    <mergeCell ref="AA45:AH45"/>
    <mergeCell ref="E42:L42"/>
    <mergeCell ref="M42:P42"/>
    <mergeCell ref="B29:AH30"/>
    <mergeCell ref="B31:B38"/>
    <mergeCell ref="C31:F32"/>
    <mergeCell ref="G31:P32"/>
    <mergeCell ref="Q31:Q38"/>
    <mergeCell ref="R31:U32"/>
    <mergeCell ref="Q42:S42"/>
    <mergeCell ref="AA46:AH46"/>
    <mergeCell ref="AA44:AH44"/>
    <mergeCell ref="V33:AA34"/>
    <mergeCell ref="AB33:AC34"/>
    <mergeCell ref="AD33:AH34"/>
    <mergeCell ref="E46:L46"/>
    <mergeCell ref="M46:P46"/>
    <mergeCell ref="Q46:S46"/>
    <mergeCell ref="T46:V46"/>
    <mergeCell ref="W46:Z46"/>
    <mergeCell ref="Q44:S44"/>
    <mergeCell ref="T44:V44"/>
    <mergeCell ref="E44:L44"/>
    <mergeCell ref="M44:P44"/>
    <mergeCell ref="E43:L43"/>
    <mergeCell ref="M43:P43"/>
    <mergeCell ref="Q43:S43"/>
    <mergeCell ref="W45:Z45"/>
    <mergeCell ref="E41:L41"/>
    <mergeCell ref="W44:Z44"/>
  </mergeCells>
  <phoneticPr fontId="5" type="noConversion"/>
  <conditionalFormatting sqref="AA13:AH23">
    <cfRule type="expression" dxfId="42" priority="2">
      <formula>Q13=0</formula>
    </cfRule>
  </conditionalFormatting>
  <conditionalFormatting sqref="AA40:AH42">
    <cfRule type="expression" dxfId="41" priority="183">
      <formula>Q40:S47=0</formula>
    </cfRule>
  </conditionalFormatting>
  <conditionalFormatting sqref="AA43:AH50">
    <cfRule type="expression" dxfId="40" priority="104">
      <formula>Q43:S51=0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T13:T23 E12:E24 M8:M24 Q13:Q23 AA12:AA23 F13:L20 E39:E51 B39:B52 C42:D50 T40:T50 M35:M51 Q40:Q50 AA39:AA50" xr:uid="{98C2EA2F-E874-4E93-84BA-1D9FB777A401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B5A7-DBDA-4CAD-A577-FCE867BA89E0}">
  <sheetPr>
    <tabColor theme="7" tint="0.59999389629810485"/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8.21875" style="5" bestFit="1" customWidth="1"/>
    <col min="38" max="38" width="5.77734375" style="5" bestFit="1" customWidth="1"/>
    <col min="39" max="39" width="2.33203125" style="5"/>
    <col min="40" max="40" width="5.33203125" style="5" bestFit="1" customWidth="1"/>
    <col min="41" max="16384" width="2.33203125" style="5"/>
  </cols>
  <sheetData>
    <row r="1" spans="2:50" ht="14.25" thickBot="1" x14ac:dyDescent="0.2">
      <c r="B1" s="27" t="s">
        <v>88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88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124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02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02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02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02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02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8</v>
      </c>
      <c r="R18" s="112"/>
      <c r="S18" s="113"/>
      <c r="T18" s="114">
        <f t="shared" si="2"/>
        <v>0</v>
      </c>
      <c r="U18" s="103"/>
      <c r="V18" s="103"/>
      <c r="W18" s="99">
        <f t="shared" si="3"/>
        <v>8</v>
      </c>
      <c r="X18" s="100"/>
      <c r="Y18" s="100"/>
      <c r="Z18" s="101"/>
      <c r="AA18" s="102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48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8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8</v>
      </c>
      <c r="X19" s="100"/>
      <c r="Y19" s="100"/>
      <c r="Z19" s="101"/>
      <c r="AA19" s="102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48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17</v>
      </c>
      <c r="R20" s="112"/>
      <c r="S20" s="113"/>
      <c r="T20" s="114">
        <f t="shared" si="2"/>
        <v>0</v>
      </c>
      <c r="U20" s="103"/>
      <c r="V20" s="103"/>
      <c r="W20" s="99">
        <f t="shared" si="3"/>
        <v>17</v>
      </c>
      <c r="X20" s="100"/>
      <c r="Y20" s="100"/>
      <c r="Z20" s="101"/>
      <c r="AA20" s="102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12</v>
      </c>
      <c r="R21" s="112"/>
      <c r="S21" s="113"/>
      <c r="T21" s="114">
        <f t="shared" si="2"/>
        <v>0</v>
      </c>
      <c r="U21" s="103"/>
      <c r="V21" s="103"/>
      <c r="W21" s="99">
        <f t="shared" si="3"/>
        <v>12</v>
      </c>
      <c r="X21" s="100"/>
      <c r="Y21" s="100"/>
      <c r="Z21" s="101"/>
      <c r="AA21" s="102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4</v>
      </c>
      <c r="R22" s="112"/>
      <c r="S22" s="113"/>
      <c r="T22" s="114">
        <f t="shared" si="2"/>
        <v>0</v>
      </c>
      <c r="U22" s="103"/>
      <c r="V22" s="103"/>
      <c r="W22" s="99">
        <f t="shared" si="3"/>
        <v>4</v>
      </c>
      <c r="X22" s="100"/>
      <c r="Y22" s="100"/>
      <c r="Z22" s="101"/>
      <c r="AA22" s="102">
        <f>B13+4</f>
        <v>46318</v>
      </c>
      <c r="AB22" s="103"/>
      <c r="AC22" s="103"/>
      <c r="AD22" s="103"/>
      <c r="AE22" s="103"/>
      <c r="AF22" s="103"/>
      <c r="AG22" s="103"/>
      <c r="AH22" s="104"/>
      <c r="AJ22" s="56"/>
      <c r="AK22" s="48"/>
      <c r="AL22" s="48"/>
      <c r="AN22" s="48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0</v>
      </c>
      <c r="R23" s="112"/>
      <c r="S23" s="113"/>
      <c r="T23" s="114">
        <f t="shared" si="2"/>
        <v>0</v>
      </c>
      <c r="U23" s="103"/>
      <c r="V23" s="103"/>
      <c r="W23" s="99">
        <f t="shared" si="3"/>
        <v>0</v>
      </c>
      <c r="X23" s="100"/>
      <c r="Y23" s="100"/>
      <c r="Z23" s="101"/>
      <c r="AA23" s="102">
        <f>B13+4</f>
        <v>46318</v>
      </c>
      <c r="AB23" s="103"/>
      <c r="AC23" s="103"/>
      <c r="AD23" s="103"/>
      <c r="AE23" s="103"/>
      <c r="AF23" s="103"/>
      <c r="AG23" s="103"/>
      <c r="AH23" s="104"/>
      <c r="AJ23" s="56"/>
      <c r="AK23" s="48"/>
      <c r="AL23" s="48"/>
      <c r="AN23" s="48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49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125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부산냉장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경남 양산시 물금읍 제방로 225 
7단지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8</v>
      </c>
      <c r="R45" s="97"/>
      <c r="S45" s="97"/>
      <c r="T45" s="98">
        <f t="shared" si="11"/>
        <v>0</v>
      </c>
      <c r="U45" s="98"/>
      <c r="V45" s="98"/>
      <c r="W45" s="83">
        <f t="shared" si="12"/>
        <v>8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8</v>
      </c>
      <c r="R46" s="97"/>
      <c r="S46" s="97"/>
      <c r="T46" s="98">
        <f t="shared" si="11"/>
        <v>0</v>
      </c>
      <c r="U46" s="98"/>
      <c r="V46" s="98"/>
      <c r="W46" s="83">
        <f t="shared" si="12"/>
        <v>8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17</v>
      </c>
      <c r="R47" s="97"/>
      <c r="S47" s="97"/>
      <c r="T47" s="98">
        <f t="shared" si="11"/>
        <v>0</v>
      </c>
      <c r="U47" s="98"/>
      <c r="V47" s="98"/>
      <c r="W47" s="83">
        <f t="shared" si="12"/>
        <v>17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12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12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4</v>
      </c>
      <c r="R49" s="97"/>
      <c r="S49" s="97"/>
      <c r="T49" s="98">
        <f t="shared" si="17"/>
        <v>0</v>
      </c>
      <c r="U49" s="98"/>
      <c r="V49" s="98"/>
      <c r="W49" s="83">
        <f t="shared" si="18"/>
        <v>4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0</v>
      </c>
      <c r="R50" s="97"/>
      <c r="S50" s="97"/>
      <c r="T50" s="98">
        <f t="shared" si="17"/>
        <v>0</v>
      </c>
      <c r="U50" s="98"/>
      <c r="V50" s="98"/>
      <c r="W50" s="83">
        <f t="shared" si="18"/>
        <v>0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49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경남 양산시 물금읍 제방로 225 7단지
070-4104-4413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H17">
    <cfRule type="expression" dxfId="39" priority="2">
      <formula>Q13:S22=0</formula>
    </cfRule>
  </conditionalFormatting>
  <conditionalFormatting sqref="AA18:AH19 AA21:AH23 AA43:AH50">
    <cfRule type="expression" dxfId="38" priority="66">
      <formula>Q18:S26=0</formula>
    </cfRule>
  </conditionalFormatting>
  <conditionalFormatting sqref="AA20:AH20 AA40:AH42">
    <cfRule type="expression" dxfId="37" priority="171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442548B5-61F6-496F-97B2-98ABB5FB694B}"/>
  </dataValidations>
  <printOptions horizontalCentered="1"/>
  <pageMargins left="0" right="0" top="0.11811023622047245" bottom="0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DF6A-C5C0-46B5-8462-6993D33B6E0A}">
  <sheetPr>
    <tabColor theme="7" tint="0.59999389629810485"/>
    <pageSetUpPr fitToPage="1"/>
  </sheetPr>
  <dimension ref="A1:AX53"/>
  <sheetViews>
    <sheetView topLeftCell="A11"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8.21875" style="5" bestFit="1" customWidth="1"/>
    <col min="38" max="38" width="5.77734375" style="5" bestFit="1" customWidth="1"/>
    <col min="39" max="43" width="2.33203125" style="5"/>
    <col min="44" max="44" width="26.6640625" style="5" bestFit="1" customWidth="1"/>
    <col min="45" max="45" width="3.5546875" style="5" bestFit="1" customWidth="1"/>
    <col min="46" max="16384" width="2.33203125" style="5"/>
  </cols>
  <sheetData>
    <row r="1" spans="2:50" ht="14.25" thickBot="1" x14ac:dyDescent="0.2">
      <c r="B1" s="27" t="s">
        <v>93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93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114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02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02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02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02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02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6</v>
      </c>
      <c r="R18" s="112"/>
      <c r="S18" s="113"/>
      <c r="T18" s="114">
        <f t="shared" si="2"/>
        <v>0</v>
      </c>
      <c r="U18" s="103"/>
      <c r="V18" s="103"/>
      <c r="W18" s="99">
        <f t="shared" si="3"/>
        <v>6</v>
      </c>
      <c r="X18" s="100"/>
      <c r="Y18" s="100"/>
      <c r="Z18" s="101"/>
      <c r="AA18" s="102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13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13</v>
      </c>
      <c r="X19" s="100"/>
      <c r="Y19" s="100"/>
      <c r="Z19" s="101"/>
      <c r="AA19" s="102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15</v>
      </c>
      <c r="R20" s="112"/>
      <c r="S20" s="113"/>
      <c r="T20" s="114">
        <f t="shared" si="2"/>
        <v>0</v>
      </c>
      <c r="U20" s="103"/>
      <c r="V20" s="103"/>
      <c r="W20" s="99">
        <f t="shared" si="3"/>
        <v>15</v>
      </c>
      <c r="X20" s="100"/>
      <c r="Y20" s="100"/>
      <c r="Z20" s="101"/>
      <c r="AA20" s="102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11</v>
      </c>
      <c r="R21" s="112"/>
      <c r="S21" s="113"/>
      <c r="T21" s="114">
        <f t="shared" si="2"/>
        <v>0</v>
      </c>
      <c r="U21" s="103"/>
      <c r="V21" s="103"/>
      <c r="W21" s="99">
        <f t="shared" si="3"/>
        <v>11</v>
      </c>
      <c r="X21" s="100"/>
      <c r="Y21" s="100"/>
      <c r="Z21" s="101"/>
      <c r="AA21" s="102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</v>
      </c>
      <c r="R22" s="112"/>
      <c r="S22" s="113"/>
      <c r="T22" s="114">
        <f t="shared" si="2"/>
        <v>0</v>
      </c>
      <c r="U22" s="103"/>
      <c r="V22" s="103"/>
      <c r="W22" s="99">
        <f t="shared" si="3"/>
        <v>2</v>
      </c>
      <c r="X22" s="100"/>
      <c r="Y22" s="100"/>
      <c r="Z22" s="101"/>
      <c r="AA22" s="102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1</v>
      </c>
      <c r="R23" s="112"/>
      <c r="S23" s="113"/>
      <c r="T23" s="114">
        <f t="shared" si="2"/>
        <v>0</v>
      </c>
      <c r="U23" s="103"/>
      <c r="V23" s="103"/>
      <c r="W23" s="99">
        <f t="shared" si="3"/>
        <v>1</v>
      </c>
      <c r="X23" s="100"/>
      <c r="Y23" s="100"/>
      <c r="Z23" s="101"/>
      <c r="AA23" s="102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48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115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양산냉장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경남 양산시 충렬로 149(유산동)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6</v>
      </c>
      <c r="R45" s="97"/>
      <c r="S45" s="97"/>
      <c r="T45" s="98">
        <f t="shared" si="11"/>
        <v>0</v>
      </c>
      <c r="U45" s="98"/>
      <c r="V45" s="98"/>
      <c r="W45" s="83">
        <f t="shared" si="12"/>
        <v>6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13</v>
      </c>
      <c r="R46" s="97"/>
      <c r="S46" s="97"/>
      <c r="T46" s="98">
        <f t="shared" si="11"/>
        <v>0</v>
      </c>
      <c r="U46" s="98"/>
      <c r="V46" s="98"/>
      <c r="W46" s="83">
        <f t="shared" si="12"/>
        <v>13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15</v>
      </c>
      <c r="R47" s="97"/>
      <c r="S47" s="97"/>
      <c r="T47" s="98">
        <f t="shared" si="11"/>
        <v>0</v>
      </c>
      <c r="U47" s="98"/>
      <c r="V47" s="98"/>
      <c r="W47" s="83">
        <f t="shared" si="12"/>
        <v>15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11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11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</v>
      </c>
      <c r="R49" s="97"/>
      <c r="S49" s="97"/>
      <c r="T49" s="98">
        <f t="shared" si="17"/>
        <v>0</v>
      </c>
      <c r="U49" s="98"/>
      <c r="V49" s="98"/>
      <c r="W49" s="83">
        <f t="shared" si="18"/>
        <v>2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1</v>
      </c>
      <c r="R50" s="97"/>
      <c r="S50" s="97"/>
      <c r="T50" s="98">
        <f t="shared" si="17"/>
        <v>0</v>
      </c>
      <c r="U50" s="98"/>
      <c r="V50" s="98"/>
      <c r="W50" s="83">
        <f t="shared" si="18"/>
        <v>1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48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경남 양산시 충렬로 149(유산동)
055-389-2647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H17">
    <cfRule type="expression" dxfId="36" priority="2">
      <formula>Q13:S22=0</formula>
    </cfRule>
  </conditionalFormatting>
  <conditionalFormatting sqref="AA18:AH19 AA21:AH23 AA43:AH50">
    <cfRule type="expression" dxfId="35" priority="65">
      <formula>Q18:S26=0</formula>
    </cfRule>
  </conditionalFormatting>
  <conditionalFormatting sqref="AA20:AH20 AA40:AH42">
    <cfRule type="expression" dxfId="34" priority="168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E6F59161-5AF5-45BA-92C2-461749E8F3E4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ADA5-4363-4999-8DBF-4CD9653CDDF3}">
  <sheetPr>
    <tabColor theme="7" tint="0.59999389629810485"/>
    <pageSetUpPr fitToPage="1"/>
  </sheetPr>
  <dimension ref="A1:AX53"/>
  <sheetViews>
    <sheetView topLeftCell="A22"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3" width="2.33203125" style="5"/>
    <col min="34" max="34" width="6" style="5" customWidth="1"/>
    <col min="35" max="35" width="2.5546875" style="5" customWidth="1"/>
    <col min="36" max="36" width="32" style="5" bestFit="1" customWidth="1"/>
    <col min="37" max="37" width="8.2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99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99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138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256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256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256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256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256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14</v>
      </c>
      <c r="R18" s="112"/>
      <c r="S18" s="113"/>
      <c r="T18" s="114">
        <f t="shared" si="2"/>
        <v>0</v>
      </c>
      <c r="U18" s="103"/>
      <c r="V18" s="103"/>
      <c r="W18" s="99">
        <f t="shared" si="3"/>
        <v>14</v>
      </c>
      <c r="X18" s="100"/>
      <c r="Y18" s="100"/>
      <c r="Z18" s="101"/>
      <c r="AA18" s="256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20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20</v>
      </c>
      <c r="X19" s="100"/>
      <c r="Y19" s="100"/>
      <c r="Z19" s="101"/>
      <c r="AA19" s="256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14</v>
      </c>
      <c r="R20" s="112"/>
      <c r="S20" s="113"/>
      <c r="T20" s="114">
        <f t="shared" si="2"/>
        <v>0</v>
      </c>
      <c r="U20" s="103"/>
      <c r="V20" s="103"/>
      <c r="W20" s="99">
        <f t="shared" si="3"/>
        <v>14</v>
      </c>
      <c r="X20" s="100"/>
      <c r="Y20" s="100"/>
      <c r="Z20" s="101"/>
      <c r="AA20" s="256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20</v>
      </c>
      <c r="R21" s="112"/>
      <c r="S21" s="113"/>
      <c r="T21" s="114">
        <f t="shared" si="2"/>
        <v>0</v>
      </c>
      <c r="U21" s="103"/>
      <c r="V21" s="103"/>
      <c r="W21" s="99">
        <f t="shared" si="3"/>
        <v>20</v>
      </c>
      <c r="X21" s="100"/>
      <c r="Y21" s="100"/>
      <c r="Z21" s="101"/>
      <c r="AA21" s="256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</v>
      </c>
      <c r="R22" s="112"/>
      <c r="S22" s="113"/>
      <c r="T22" s="114">
        <f t="shared" si="2"/>
        <v>0</v>
      </c>
      <c r="U22" s="103"/>
      <c r="V22" s="103"/>
      <c r="W22" s="99">
        <f t="shared" si="3"/>
        <v>2</v>
      </c>
      <c r="X22" s="100"/>
      <c r="Y22" s="100"/>
      <c r="Z22" s="101"/>
      <c r="AA22" s="256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4</v>
      </c>
      <c r="R23" s="112"/>
      <c r="S23" s="113"/>
      <c r="T23" s="114">
        <f t="shared" si="2"/>
        <v>0</v>
      </c>
      <c r="U23" s="103"/>
      <c r="V23" s="103"/>
      <c r="W23" s="99">
        <f t="shared" si="3"/>
        <v>4</v>
      </c>
      <c r="X23" s="100"/>
      <c r="Y23" s="100"/>
      <c r="Z23" s="101"/>
      <c r="AA23" s="256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74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139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8.75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칠곡저온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경상북도 칠곡군 지천면 금호로 
삼청5길 50-22 2층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4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14</v>
      </c>
      <c r="R45" s="97"/>
      <c r="S45" s="97"/>
      <c r="T45" s="98">
        <f t="shared" si="11"/>
        <v>0</v>
      </c>
      <c r="U45" s="98"/>
      <c r="V45" s="98"/>
      <c r="W45" s="83">
        <f t="shared" si="12"/>
        <v>14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20</v>
      </c>
      <c r="R46" s="97"/>
      <c r="S46" s="97"/>
      <c r="T46" s="98">
        <f t="shared" si="11"/>
        <v>0</v>
      </c>
      <c r="U46" s="98"/>
      <c r="V46" s="98"/>
      <c r="W46" s="83">
        <f t="shared" si="12"/>
        <v>20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14</v>
      </c>
      <c r="R47" s="97"/>
      <c r="S47" s="97"/>
      <c r="T47" s="98">
        <f t="shared" si="11"/>
        <v>0</v>
      </c>
      <c r="U47" s="98"/>
      <c r="V47" s="98"/>
      <c r="W47" s="83">
        <f t="shared" si="12"/>
        <v>14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20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20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</v>
      </c>
      <c r="R49" s="97"/>
      <c r="S49" s="97"/>
      <c r="T49" s="98">
        <f t="shared" si="17"/>
        <v>0</v>
      </c>
      <c r="U49" s="98"/>
      <c r="V49" s="98"/>
      <c r="W49" s="83">
        <f t="shared" si="18"/>
        <v>2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4</v>
      </c>
      <c r="R50" s="97"/>
      <c r="S50" s="97"/>
      <c r="T50" s="98">
        <f t="shared" si="17"/>
        <v>0</v>
      </c>
      <c r="U50" s="98"/>
      <c r="V50" s="98"/>
      <c r="W50" s="83">
        <f t="shared" si="18"/>
        <v>4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246"/>
      <c r="F51" s="247"/>
      <c r="G51" s="247"/>
      <c r="H51" s="247"/>
      <c r="I51" s="247"/>
      <c r="J51" s="247"/>
      <c r="K51" s="247"/>
      <c r="L51" s="248"/>
      <c r="M51" s="249">
        <f>SUM(Q40:S50)</f>
        <v>74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경상북도 칠곡군 지천면 금호로 
삼청5길 50-22 2층
054-800-7031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Q50:S50"/>
    <mergeCell ref="T50:V50"/>
    <mergeCell ref="W50:Z50"/>
    <mergeCell ref="AA50:AH50"/>
    <mergeCell ref="AA40:AH40"/>
    <mergeCell ref="W42:Z42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E42:L42"/>
    <mergeCell ref="M42:P42"/>
    <mergeCell ref="Q42:S42"/>
    <mergeCell ref="E45:L45"/>
    <mergeCell ref="M45:P45"/>
    <mergeCell ref="Q45:S45"/>
    <mergeCell ref="T45:V45"/>
    <mergeCell ref="W45:Z45"/>
    <mergeCell ref="E39:L39"/>
    <mergeCell ref="M39:P39"/>
    <mergeCell ref="Q39:S39"/>
    <mergeCell ref="T39:V39"/>
    <mergeCell ref="W39:Z39"/>
    <mergeCell ref="T40:V40"/>
    <mergeCell ref="W40:Z40"/>
    <mergeCell ref="G31:P32"/>
    <mergeCell ref="Q31:Q38"/>
    <mergeCell ref="R31:U32"/>
    <mergeCell ref="V31:AH32"/>
    <mergeCell ref="C33:F34"/>
    <mergeCell ref="G33:K34"/>
    <mergeCell ref="L33:P34"/>
    <mergeCell ref="B40:D40"/>
    <mergeCell ref="C37:F38"/>
    <mergeCell ref="G37:P38"/>
    <mergeCell ref="R37:U38"/>
    <mergeCell ref="V37:AA38"/>
    <mergeCell ref="AB37:AC38"/>
    <mergeCell ref="AD37:AH38"/>
    <mergeCell ref="R33:U34"/>
    <mergeCell ref="V33:AA34"/>
    <mergeCell ref="V35:AH36"/>
    <mergeCell ref="AA45:AH45"/>
    <mergeCell ref="AA41:AH41"/>
    <mergeCell ref="E44:L44"/>
    <mergeCell ref="M44:P44"/>
    <mergeCell ref="Q44:S44"/>
    <mergeCell ref="T44:V44"/>
    <mergeCell ref="W44:Z44"/>
    <mergeCell ref="AA44:AH44"/>
    <mergeCell ref="E40:L40"/>
    <mergeCell ref="M40:P40"/>
    <mergeCell ref="Q40:S40"/>
    <mergeCell ref="T42:V42"/>
    <mergeCell ref="T43:V43"/>
    <mergeCell ref="W43:Z43"/>
    <mergeCell ref="AA43:AH43"/>
    <mergeCell ref="B52:V53"/>
    <mergeCell ref="W52:AH53"/>
    <mergeCell ref="E48:L48"/>
    <mergeCell ref="M48:P48"/>
    <mergeCell ref="Q48:S48"/>
    <mergeCell ref="T48:V48"/>
    <mergeCell ref="W48:Z48"/>
    <mergeCell ref="AA48:AH48"/>
    <mergeCell ref="E41:L41"/>
    <mergeCell ref="M41:P41"/>
    <mergeCell ref="Q41:S41"/>
    <mergeCell ref="T41:V41"/>
    <mergeCell ref="W41:Z41"/>
    <mergeCell ref="W46:Z46"/>
    <mergeCell ref="AA46:AH46"/>
    <mergeCell ref="E43:L43"/>
    <mergeCell ref="M43:P43"/>
    <mergeCell ref="Q43:S43"/>
    <mergeCell ref="B51:D51"/>
    <mergeCell ref="E51:L51"/>
    <mergeCell ref="M51:Z51"/>
    <mergeCell ref="AA51:AH51"/>
    <mergeCell ref="E50:L50"/>
    <mergeCell ref="M50:P50"/>
    <mergeCell ref="AB33:AC34"/>
    <mergeCell ref="AD33:AH34"/>
    <mergeCell ref="C35:F36"/>
    <mergeCell ref="G35:P36"/>
    <mergeCell ref="T22:V22"/>
    <mergeCell ref="W22:Z22"/>
    <mergeCell ref="B25:V26"/>
    <mergeCell ref="W25:AH26"/>
    <mergeCell ref="E23:L23"/>
    <mergeCell ref="M23:P23"/>
    <mergeCell ref="Q23:S23"/>
    <mergeCell ref="T23:V23"/>
    <mergeCell ref="W23:Z23"/>
    <mergeCell ref="AA23:AH23"/>
    <mergeCell ref="E16:L16"/>
    <mergeCell ref="M16:P16"/>
    <mergeCell ref="Q16:S16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V8:AH9"/>
    <mergeCell ref="R8:U9"/>
    <mergeCell ref="AD6:AH7"/>
    <mergeCell ref="C8:F9"/>
    <mergeCell ref="G8:P9"/>
    <mergeCell ref="E12:L12"/>
    <mergeCell ref="Q12:S12"/>
    <mergeCell ref="T12:V12"/>
    <mergeCell ref="W12:Z12"/>
    <mergeCell ref="AA12:AH12"/>
    <mergeCell ref="E15:L15"/>
    <mergeCell ref="M15:P15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Q15:S15"/>
    <mergeCell ref="T15:V15"/>
    <mergeCell ref="M12:P12"/>
    <mergeCell ref="W15:Z15"/>
    <mergeCell ref="AA15:AH15"/>
    <mergeCell ref="B13:D13"/>
    <mergeCell ref="AA42:AH42"/>
    <mergeCell ref="T16:V16"/>
    <mergeCell ref="W16:Z16"/>
    <mergeCell ref="AA16:AH16"/>
    <mergeCell ref="E13:L13"/>
    <mergeCell ref="M13:P13"/>
    <mergeCell ref="Q13:S13"/>
    <mergeCell ref="T13:V13"/>
    <mergeCell ref="W13:Z13"/>
    <mergeCell ref="AA13:AH13"/>
    <mergeCell ref="E14:L14"/>
    <mergeCell ref="W14:Z14"/>
    <mergeCell ref="AA14:AH14"/>
    <mergeCell ref="M14:P14"/>
    <mergeCell ref="Q14:S14"/>
    <mergeCell ref="T14:V14"/>
    <mergeCell ref="R35:U36"/>
    <mergeCell ref="E18:L18"/>
    <mergeCell ref="M18:P18"/>
    <mergeCell ref="Q18:S18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AA20:AH20"/>
    <mergeCell ref="E22:L22"/>
    <mergeCell ref="AA39:AH39"/>
    <mergeCell ref="B29:AH30"/>
    <mergeCell ref="B31:B38"/>
    <mergeCell ref="C31:F32"/>
    <mergeCell ref="B24:D24"/>
    <mergeCell ref="E24:L24"/>
    <mergeCell ref="M24:Z24"/>
    <mergeCell ref="AA24:AH24"/>
    <mergeCell ref="M22:P22"/>
    <mergeCell ref="Q22:S22"/>
  </mergeCells>
  <phoneticPr fontId="5" type="noConversion"/>
  <conditionalFormatting sqref="AA13:AH17">
    <cfRule type="expression" dxfId="33" priority="2">
      <formula>Q13:S22=0</formula>
    </cfRule>
  </conditionalFormatting>
  <conditionalFormatting sqref="AA18:AH19 AA21:AH23 AA43:AH50">
    <cfRule type="expression" dxfId="32" priority="64">
      <formula>Q18:S26=0</formula>
    </cfRule>
  </conditionalFormatting>
  <conditionalFormatting sqref="AA20:AH20 AA40:AH42">
    <cfRule type="expression" dxfId="31" priority="165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B22F7E62-67CC-478E-9A48-2B85C13225CF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DF23-75B3-4803-9120-5EE978A7F105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89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89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108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2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2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17</v>
      </c>
      <c r="R18" s="112"/>
      <c r="S18" s="113"/>
      <c r="T18" s="114">
        <f t="shared" si="2"/>
        <v>0</v>
      </c>
      <c r="U18" s="103"/>
      <c r="V18" s="103"/>
      <c r="W18" s="99">
        <f t="shared" si="3"/>
        <v>17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28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28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23</v>
      </c>
      <c r="R20" s="112"/>
      <c r="S20" s="113"/>
      <c r="T20" s="114">
        <f t="shared" si="2"/>
        <v>0</v>
      </c>
      <c r="U20" s="103"/>
      <c r="V20" s="103"/>
      <c r="W20" s="99">
        <f t="shared" si="3"/>
        <v>23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24</v>
      </c>
      <c r="R21" s="112"/>
      <c r="S21" s="113"/>
      <c r="T21" s="114">
        <f t="shared" si="2"/>
        <v>0</v>
      </c>
      <c r="U21" s="103"/>
      <c r="V21" s="103"/>
      <c r="W21" s="99">
        <f t="shared" si="3"/>
        <v>24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11</v>
      </c>
      <c r="R22" s="112"/>
      <c r="S22" s="113"/>
      <c r="T22" s="114">
        <f t="shared" si="2"/>
        <v>0</v>
      </c>
      <c r="U22" s="103"/>
      <c r="V22" s="103"/>
      <c r="W22" s="99">
        <f t="shared" si="3"/>
        <v>11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7</v>
      </c>
      <c r="R23" s="112"/>
      <c r="S23" s="113"/>
      <c r="T23" s="114">
        <f t="shared" si="2"/>
        <v>0</v>
      </c>
      <c r="U23" s="103"/>
      <c r="V23" s="103"/>
      <c r="W23" s="99">
        <f t="shared" si="3"/>
        <v>7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112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109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세종냉장센터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 xml:space="preserve">세종특별자치시 부강면 산수리
 105-3번지 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2</v>
      </c>
      <c r="R44" s="97"/>
      <c r="S44" s="97"/>
      <c r="T44" s="98">
        <f t="shared" si="11"/>
        <v>0</v>
      </c>
      <c r="U44" s="98"/>
      <c r="V44" s="98"/>
      <c r="W44" s="83">
        <f t="shared" si="12"/>
        <v>2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17</v>
      </c>
      <c r="R45" s="97"/>
      <c r="S45" s="97"/>
      <c r="T45" s="98">
        <f t="shared" si="11"/>
        <v>0</v>
      </c>
      <c r="U45" s="98"/>
      <c r="V45" s="98"/>
      <c r="W45" s="83">
        <f t="shared" si="12"/>
        <v>17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28</v>
      </c>
      <c r="R46" s="97"/>
      <c r="S46" s="97"/>
      <c r="T46" s="98">
        <f t="shared" si="11"/>
        <v>0</v>
      </c>
      <c r="U46" s="98"/>
      <c r="V46" s="98"/>
      <c r="W46" s="83">
        <f t="shared" si="12"/>
        <v>28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23</v>
      </c>
      <c r="R47" s="97"/>
      <c r="S47" s="97"/>
      <c r="T47" s="98">
        <f t="shared" si="11"/>
        <v>0</v>
      </c>
      <c r="U47" s="98"/>
      <c r="V47" s="98"/>
      <c r="W47" s="83">
        <f t="shared" si="12"/>
        <v>23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24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24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11</v>
      </c>
      <c r="R49" s="97"/>
      <c r="S49" s="97"/>
      <c r="T49" s="98">
        <f t="shared" si="17"/>
        <v>0</v>
      </c>
      <c r="U49" s="98"/>
      <c r="V49" s="98"/>
      <c r="W49" s="83">
        <f t="shared" si="18"/>
        <v>11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7</v>
      </c>
      <c r="R50" s="97"/>
      <c r="S50" s="97"/>
      <c r="T50" s="98">
        <f t="shared" si="17"/>
        <v>0</v>
      </c>
      <c r="U50" s="98"/>
      <c r="V50" s="98"/>
      <c r="W50" s="83">
        <f t="shared" si="18"/>
        <v>7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112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 xml:space="preserve">세종특별자치시 부강면 산수리 105-3번지
044-867-6830 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A17">
    <cfRule type="expression" dxfId="30" priority="2">
      <formula>Q13:S22=0</formula>
    </cfRule>
  </conditionalFormatting>
  <conditionalFormatting sqref="AA18:AA19 AA21:AA23 AA43:AH50">
    <cfRule type="expression" dxfId="29" priority="63">
      <formula>Q18:S26=0</formula>
    </cfRule>
  </conditionalFormatting>
  <conditionalFormatting sqref="AA20 AA40:AH42">
    <cfRule type="expression" dxfId="28" priority="162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81BC1878-E073-4F65-AC72-768CBBA39E97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29F8-B78F-4DA9-9CEF-312E7FF46793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90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90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127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0</v>
      </c>
      <c r="R18" s="112"/>
      <c r="S18" s="113"/>
      <c r="T18" s="114">
        <f t="shared" si="2"/>
        <v>0</v>
      </c>
      <c r="U18" s="103"/>
      <c r="V18" s="103"/>
      <c r="W18" s="99">
        <f t="shared" si="3"/>
        <v>0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0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0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0</v>
      </c>
      <c r="R20" s="112"/>
      <c r="S20" s="113"/>
      <c r="T20" s="114">
        <f t="shared" si="2"/>
        <v>0</v>
      </c>
      <c r="U20" s="103"/>
      <c r="V20" s="103"/>
      <c r="W20" s="99">
        <f t="shared" si="3"/>
        <v>0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8" t="s">
        <v>170</v>
      </c>
      <c r="F21" s="109"/>
      <c r="G21" s="109"/>
      <c r="H21" s="109"/>
      <c r="I21" s="109"/>
      <c r="J21" s="109"/>
      <c r="K21" s="109"/>
      <c r="L21" s="110"/>
      <c r="M21" s="108">
        <v>30</v>
      </c>
      <c r="N21" s="109"/>
      <c r="O21" s="109"/>
      <c r="P21" s="110"/>
      <c r="Q21" s="111">
        <f>IFERROR(VLOOKUP(B1,은성파머스피벗발주량!A:DC,10,FALSE),0)</f>
        <v>0</v>
      </c>
      <c r="R21" s="112"/>
      <c r="S21" s="113"/>
      <c r="T21" s="114">
        <f t="shared" si="2"/>
        <v>0</v>
      </c>
      <c r="U21" s="103"/>
      <c r="V21" s="103"/>
      <c r="W21" s="99">
        <f t="shared" si="3"/>
        <v>0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8" t="s">
        <v>163</v>
      </c>
      <c r="F22" s="109"/>
      <c r="G22" s="109"/>
      <c r="H22" s="109"/>
      <c r="I22" s="109"/>
      <c r="J22" s="109"/>
      <c r="K22" s="109"/>
      <c r="L22" s="110"/>
      <c r="M22" s="108">
        <v>36</v>
      </c>
      <c r="N22" s="109"/>
      <c r="O22" s="109"/>
      <c r="P22" s="110"/>
      <c r="Q22" s="111">
        <f>IFERROR(VLOOKUP(B1,은성파머스피벗발주량!A:DC,11,FALSE),0)</f>
        <v>0</v>
      </c>
      <c r="R22" s="112"/>
      <c r="S22" s="113"/>
      <c r="T22" s="114">
        <f t="shared" si="2"/>
        <v>0</v>
      </c>
      <c r="U22" s="103"/>
      <c r="V22" s="103"/>
      <c r="W22" s="99">
        <f t="shared" si="3"/>
        <v>0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0</v>
      </c>
      <c r="R23" s="112"/>
      <c r="S23" s="113"/>
      <c r="T23" s="114">
        <f t="shared" si="2"/>
        <v>0</v>
      </c>
      <c r="U23" s="103"/>
      <c r="V23" s="103"/>
      <c r="W23" s="99">
        <f t="shared" si="3"/>
        <v>0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0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128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수도권냉장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경기도 광주시 오포로 614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0</v>
      </c>
      <c r="R45" s="97"/>
      <c r="S45" s="97"/>
      <c r="T45" s="98">
        <f t="shared" si="11"/>
        <v>0</v>
      </c>
      <c r="U45" s="98"/>
      <c r="V45" s="98"/>
      <c r="W45" s="83">
        <f t="shared" si="12"/>
        <v>0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0</v>
      </c>
      <c r="R46" s="97"/>
      <c r="S46" s="97"/>
      <c r="T46" s="98">
        <f t="shared" si="11"/>
        <v>0</v>
      </c>
      <c r="U46" s="98"/>
      <c r="V46" s="98"/>
      <c r="W46" s="83">
        <f t="shared" si="12"/>
        <v>0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0</v>
      </c>
      <c r="R47" s="97"/>
      <c r="S47" s="97"/>
      <c r="T47" s="98">
        <f t="shared" si="11"/>
        <v>0</v>
      </c>
      <c r="U47" s="98"/>
      <c r="V47" s="98"/>
      <c r="W47" s="83">
        <f t="shared" si="12"/>
        <v>0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0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0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0</v>
      </c>
      <c r="R49" s="97"/>
      <c r="S49" s="97"/>
      <c r="T49" s="98">
        <f t="shared" si="17"/>
        <v>0</v>
      </c>
      <c r="U49" s="98"/>
      <c r="V49" s="98"/>
      <c r="W49" s="83">
        <f t="shared" si="18"/>
        <v>0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0</v>
      </c>
      <c r="R50" s="97"/>
      <c r="S50" s="97"/>
      <c r="T50" s="98">
        <f t="shared" si="17"/>
        <v>0</v>
      </c>
      <c r="U50" s="98"/>
      <c r="V50" s="98"/>
      <c r="W50" s="83">
        <f t="shared" si="18"/>
        <v>0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0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 광주시 오포로 614 도크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A17">
    <cfRule type="expression" dxfId="27" priority="2">
      <formula>Q13:S22=0</formula>
    </cfRule>
  </conditionalFormatting>
  <conditionalFormatting sqref="AA18:AA19 AA21:AA23 AA43:AH50">
    <cfRule type="expression" dxfId="26" priority="62">
      <formula>Q18:S26=0</formula>
    </cfRule>
  </conditionalFormatting>
  <conditionalFormatting sqref="AA20 AA40:AH42">
    <cfRule type="expression" dxfId="25" priority="159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E22:M24 C12:D12 C39:D39 C16:D23 F13:L21 B12:B25 E12:E21 M8:M21 T13:T23 Q13:Q23 AA12:AA23 E39:E51 B39:B52 C42:D50 T40:T50 M35:M51 Q40:Q50 AA39:AA50" xr:uid="{F210C142-4511-44CD-A530-729E70E6E700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BF12-7EE6-4FCA-99F6-26D52964EF41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27.109375" style="5" bestFit="1" customWidth="1"/>
    <col min="39" max="39" width="3.5546875" style="5" bestFit="1" customWidth="1"/>
    <col min="40" max="16384" width="2.33203125" style="5"/>
  </cols>
  <sheetData>
    <row r="1" spans="2:50" ht="14.25" thickBot="1" x14ac:dyDescent="0.2">
      <c r="B1" s="27" t="s">
        <v>91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91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110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1</v>
      </c>
      <c r="R16" s="112"/>
      <c r="S16" s="113"/>
      <c r="T16" s="114">
        <f t="shared" si="2"/>
        <v>0</v>
      </c>
      <c r="U16" s="103"/>
      <c r="V16" s="103"/>
      <c r="W16" s="99">
        <f t="shared" si="3"/>
        <v>1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26</v>
      </c>
      <c r="R18" s="112"/>
      <c r="S18" s="113"/>
      <c r="T18" s="114">
        <f t="shared" si="2"/>
        <v>0</v>
      </c>
      <c r="U18" s="103"/>
      <c r="V18" s="103"/>
      <c r="W18" s="99">
        <f t="shared" si="3"/>
        <v>26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45</v>
      </c>
      <c r="R19" s="112"/>
      <c r="S19" s="113"/>
      <c r="T19" s="114">
        <f t="shared" ref="T19" si="6">IFERROR(ROUNDDOWN(Q19/M19,0),"")</f>
        <v>1</v>
      </c>
      <c r="U19" s="103"/>
      <c r="V19" s="103"/>
      <c r="W19" s="99">
        <f t="shared" ref="W19" si="7">IFERROR(Q19-(T19*M19),"")</f>
        <v>15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55</v>
      </c>
      <c r="R20" s="112"/>
      <c r="S20" s="113"/>
      <c r="T20" s="114">
        <f t="shared" si="2"/>
        <v>1</v>
      </c>
      <c r="U20" s="103"/>
      <c r="V20" s="103"/>
      <c r="W20" s="99">
        <f t="shared" si="3"/>
        <v>25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40</v>
      </c>
      <c r="R21" s="112"/>
      <c r="S21" s="113"/>
      <c r="T21" s="114">
        <f t="shared" si="2"/>
        <v>1</v>
      </c>
      <c r="U21" s="103"/>
      <c r="V21" s="103"/>
      <c r="W21" s="99">
        <f t="shared" si="3"/>
        <v>10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24</v>
      </c>
      <c r="R22" s="112"/>
      <c r="S22" s="113"/>
      <c r="T22" s="114">
        <f t="shared" si="2"/>
        <v>0</v>
      </c>
      <c r="U22" s="103"/>
      <c r="V22" s="103"/>
      <c r="W22" s="99">
        <f t="shared" si="3"/>
        <v>24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25</v>
      </c>
      <c r="R23" s="112"/>
      <c r="S23" s="113"/>
      <c r="T23" s="114">
        <f t="shared" si="2"/>
        <v>0</v>
      </c>
      <c r="U23" s="103"/>
      <c r="V23" s="103"/>
      <c r="W23" s="99">
        <f t="shared" si="3"/>
        <v>25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216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111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수원저온센터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1</v>
      </c>
      <c r="R43" s="97"/>
      <c r="S43" s="97"/>
      <c r="T43" s="98">
        <f t="shared" si="11"/>
        <v>0</v>
      </c>
      <c r="U43" s="98"/>
      <c r="V43" s="98"/>
      <c r="W43" s="83">
        <f t="shared" si="12"/>
        <v>1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26</v>
      </c>
      <c r="R45" s="97"/>
      <c r="S45" s="97"/>
      <c r="T45" s="98">
        <f t="shared" si="11"/>
        <v>0</v>
      </c>
      <c r="U45" s="98"/>
      <c r="V45" s="98"/>
      <c r="W45" s="83">
        <f t="shared" si="12"/>
        <v>26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45</v>
      </c>
      <c r="R46" s="97"/>
      <c r="S46" s="97"/>
      <c r="T46" s="98">
        <f t="shared" si="11"/>
        <v>1</v>
      </c>
      <c r="U46" s="98"/>
      <c r="V46" s="98"/>
      <c r="W46" s="83">
        <f t="shared" si="12"/>
        <v>15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55</v>
      </c>
      <c r="R47" s="97"/>
      <c r="S47" s="97"/>
      <c r="T47" s="98">
        <f t="shared" si="11"/>
        <v>1</v>
      </c>
      <c r="U47" s="98"/>
      <c r="V47" s="98"/>
      <c r="W47" s="83">
        <f t="shared" si="12"/>
        <v>25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40</v>
      </c>
      <c r="R48" s="97"/>
      <c r="S48" s="97"/>
      <c r="T48" s="98">
        <f t="shared" ref="T48:T50" si="17">T21</f>
        <v>1</v>
      </c>
      <c r="U48" s="98"/>
      <c r="V48" s="98"/>
      <c r="W48" s="83">
        <f t="shared" ref="W48:W50" si="18">W21</f>
        <v>10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24</v>
      </c>
      <c r="R49" s="97"/>
      <c r="S49" s="97"/>
      <c r="T49" s="98">
        <f t="shared" si="17"/>
        <v>0</v>
      </c>
      <c r="U49" s="98"/>
      <c r="V49" s="98"/>
      <c r="W49" s="83">
        <f t="shared" si="18"/>
        <v>24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25</v>
      </c>
      <c r="R50" s="97"/>
      <c r="S50" s="97"/>
      <c r="T50" s="98">
        <f t="shared" si="17"/>
        <v>0</v>
      </c>
      <c r="U50" s="98"/>
      <c r="V50" s="98"/>
      <c r="W50" s="83">
        <f t="shared" si="18"/>
        <v>25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216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경기도 용인시 기흥구 하갈동 156-18
031-8005-6200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A17">
    <cfRule type="expression" dxfId="24" priority="2">
      <formula>Q13:S22=0</formula>
    </cfRule>
  </conditionalFormatting>
  <conditionalFormatting sqref="AA18:AA19 AA21:AA23 AA43:AH50">
    <cfRule type="expression" dxfId="23" priority="61">
      <formula>Q18:S26=0</formula>
    </cfRule>
  </conditionalFormatting>
  <conditionalFormatting sqref="AA20 AA40:AH42">
    <cfRule type="expression" dxfId="22" priority="156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4116F5EE-9344-4D0B-BEBD-8EB1F7ED3C60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045C-5679-42C7-99C8-5FAFE9FC9C0D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39" width="2.33203125" style="5"/>
    <col min="40" max="40" width="5.33203125" style="5" bestFit="1" customWidth="1"/>
    <col min="41" max="16384" width="2.33203125" style="5"/>
  </cols>
  <sheetData>
    <row r="1" spans="2:50" ht="14.25" thickBot="1" x14ac:dyDescent="0.2">
      <c r="B1" s="27" t="s">
        <v>92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92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113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16</v>
      </c>
      <c r="R18" s="112"/>
      <c r="S18" s="113"/>
      <c r="T18" s="114">
        <f t="shared" si="2"/>
        <v>0</v>
      </c>
      <c r="U18" s="103"/>
      <c r="V18" s="103"/>
      <c r="W18" s="99">
        <f t="shared" si="3"/>
        <v>16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48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19</v>
      </c>
      <c r="R19" s="112"/>
      <c r="S19" s="113"/>
      <c r="T19" s="114">
        <f t="shared" ref="T19" si="6">IFERROR(ROUNDDOWN(Q19/M19,0),"")</f>
        <v>0</v>
      </c>
      <c r="U19" s="103"/>
      <c r="V19" s="103"/>
      <c r="W19" s="99">
        <f t="shared" ref="W19" si="7">IFERROR(Q19-(T19*M19),"")</f>
        <v>19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48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25</v>
      </c>
      <c r="R20" s="112"/>
      <c r="S20" s="113"/>
      <c r="T20" s="114">
        <f t="shared" si="2"/>
        <v>0</v>
      </c>
      <c r="U20" s="103"/>
      <c r="V20" s="103"/>
      <c r="W20" s="99">
        <f t="shared" si="3"/>
        <v>25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23</v>
      </c>
      <c r="R21" s="112"/>
      <c r="S21" s="113"/>
      <c r="T21" s="114">
        <f t="shared" si="2"/>
        <v>0</v>
      </c>
      <c r="U21" s="103"/>
      <c r="V21" s="103"/>
      <c r="W21" s="99">
        <f t="shared" si="3"/>
        <v>23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10</v>
      </c>
      <c r="R22" s="112"/>
      <c r="S22" s="113"/>
      <c r="T22" s="114">
        <f t="shared" si="2"/>
        <v>0</v>
      </c>
      <c r="U22" s="103"/>
      <c r="V22" s="103"/>
      <c r="W22" s="99">
        <f t="shared" si="3"/>
        <v>10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  <c r="AJ22" s="56"/>
      <c r="AK22" s="48"/>
      <c r="AL22" s="48"/>
      <c r="AN22" s="48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11</v>
      </c>
      <c r="R23" s="112"/>
      <c r="S23" s="113"/>
      <c r="T23" s="114">
        <f t="shared" si="2"/>
        <v>0</v>
      </c>
      <c r="U23" s="103"/>
      <c r="V23" s="103"/>
      <c r="W23" s="99">
        <f t="shared" si="3"/>
        <v>11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  <c r="AJ23" s="56"/>
      <c r="AK23" s="48"/>
      <c r="AL23" s="48"/>
      <c r="AN23" s="48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104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112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안성저온센터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경기도 안성시 원곡면 청원로
1752-122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16</v>
      </c>
      <c r="R45" s="97"/>
      <c r="S45" s="97"/>
      <c r="T45" s="98">
        <f t="shared" si="11"/>
        <v>0</v>
      </c>
      <c r="U45" s="98"/>
      <c r="V45" s="98"/>
      <c r="W45" s="83">
        <f t="shared" si="12"/>
        <v>16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19</v>
      </c>
      <c r="R46" s="97"/>
      <c r="S46" s="97"/>
      <c r="T46" s="98">
        <f t="shared" si="11"/>
        <v>0</v>
      </c>
      <c r="U46" s="98"/>
      <c r="V46" s="98"/>
      <c r="W46" s="83">
        <f t="shared" si="12"/>
        <v>19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25</v>
      </c>
      <c r="R47" s="97"/>
      <c r="S47" s="97"/>
      <c r="T47" s="98">
        <f t="shared" si="11"/>
        <v>0</v>
      </c>
      <c r="U47" s="98"/>
      <c r="V47" s="98"/>
      <c r="W47" s="83">
        <f t="shared" si="12"/>
        <v>25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23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23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10</v>
      </c>
      <c r="R49" s="97"/>
      <c r="S49" s="97"/>
      <c r="T49" s="98">
        <f t="shared" si="17"/>
        <v>0</v>
      </c>
      <c r="U49" s="98"/>
      <c r="V49" s="98"/>
      <c r="W49" s="83">
        <f t="shared" si="18"/>
        <v>10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11</v>
      </c>
      <c r="R50" s="97"/>
      <c r="S50" s="97"/>
      <c r="T50" s="98">
        <f t="shared" si="17"/>
        <v>0</v>
      </c>
      <c r="U50" s="98"/>
      <c r="V50" s="98"/>
      <c r="W50" s="83">
        <f t="shared" si="18"/>
        <v>11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104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경기도 안성시 원곡면 청원로 1752-122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A17">
    <cfRule type="expression" dxfId="21" priority="2">
      <formula>Q13:S22=0</formula>
    </cfRule>
  </conditionalFormatting>
  <conditionalFormatting sqref="AA18:AA19 AA21:AA23 AA43:AH50">
    <cfRule type="expression" dxfId="20" priority="60">
      <formula>Q18:S26=0</formula>
    </cfRule>
  </conditionalFormatting>
  <conditionalFormatting sqref="AA20 AA40:AH42">
    <cfRule type="expression" dxfId="19" priority="153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B1320306-6CB2-41F3-87BE-418C0297B11E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F0CE-BEC5-418B-9611-37B38DD7F10C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39" width="27.109375" style="5" bestFit="1" customWidth="1"/>
    <col min="40" max="40" width="3.5546875" style="5" bestFit="1" customWidth="1"/>
    <col min="41" max="16384" width="2.33203125" style="5"/>
  </cols>
  <sheetData>
    <row r="1" spans="2:50" ht="14.25" thickBot="1" x14ac:dyDescent="0.2">
      <c r="B1" s="27" t="s">
        <v>94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94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140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1</v>
      </c>
      <c r="R15" s="112"/>
      <c r="S15" s="113"/>
      <c r="T15" s="114">
        <f t="shared" si="2"/>
        <v>0</v>
      </c>
      <c r="U15" s="103"/>
      <c r="V15" s="103"/>
      <c r="W15" s="99">
        <f t="shared" si="3"/>
        <v>1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3</v>
      </c>
      <c r="R16" s="112"/>
      <c r="S16" s="113"/>
      <c r="T16" s="114">
        <f t="shared" si="2"/>
        <v>0</v>
      </c>
      <c r="U16" s="103"/>
      <c r="V16" s="103"/>
      <c r="W16" s="99">
        <f t="shared" si="3"/>
        <v>3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35</v>
      </c>
      <c r="R18" s="112"/>
      <c r="S18" s="113"/>
      <c r="T18" s="114">
        <f t="shared" si="2"/>
        <v>1</v>
      </c>
      <c r="U18" s="103"/>
      <c r="V18" s="103"/>
      <c r="W18" s="99">
        <f t="shared" si="3"/>
        <v>5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61</v>
      </c>
      <c r="R19" s="112"/>
      <c r="S19" s="113"/>
      <c r="T19" s="114">
        <f t="shared" ref="T19" si="6">IFERROR(ROUNDDOWN(Q19/M19,0),"")</f>
        <v>2</v>
      </c>
      <c r="U19" s="103"/>
      <c r="V19" s="103"/>
      <c r="W19" s="99">
        <f t="shared" ref="W19" si="7">IFERROR(Q19-(T19*M19),"")</f>
        <v>1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81</v>
      </c>
      <c r="R20" s="112"/>
      <c r="S20" s="113"/>
      <c r="T20" s="114">
        <f t="shared" si="2"/>
        <v>2</v>
      </c>
      <c r="U20" s="103"/>
      <c r="V20" s="103"/>
      <c r="W20" s="99">
        <f t="shared" si="3"/>
        <v>21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55</v>
      </c>
      <c r="R21" s="112"/>
      <c r="S21" s="113"/>
      <c r="T21" s="114">
        <f t="shared" si="2"/>
        <v>1</v>
      </c>
      <c r="U21" s="103"/>
      <c r="V21" s="103"/>
      <c r="W21" s="99">
        <f t="shared" si="3"/>
        <v>25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25</v>
      </c>
      <c r="R22" s="112"/>
      <c r="S22" s="113"/>
      <c r="T22" s="114">
        <f t="shared" si="2"/>
        <v>0</v>
      </c>
      <c r="U22" s="103"/>
      <c r="V22" s="103"/>
      <c r="W22" s="99">
        <f t="shared" si="3"/>
        <v>25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20</v>
      </c>
      <c r="R23" s="112"/>
      <c r="S23" s="113"/>
      <c r="T23" s="114">
        <f t="shared" si="2"/>
        <v>0</v>
      </c>
      <c r="U23" s="103"/>
      <c r="V23" s="103"/>
      <c r="W23" s="99">
        <f t="shared" si="3"/>
        <v>20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281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tr">
        <f>G8</f>
        <v>경기도 양주시 은현면 선암리 128-3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양주저온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경기도 양주시 은현면 선암리 128-3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1</v>
      </c>
      <c r="R42" s="97"/>
      <c r="S42" s="97"/>
      <c r="T42" s="98">
        <f t="shared" si="11"/>
        <v>0</v>
      </c>
      <c r="U42" s="98"/>
      <c r="V42" s="98"/>
      <c r="W42" s="83">
        <f t="shared" si="12"/>
        <v>1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3</v>
      </c>
      <c r="R43" s="97"/>
      <c r="S43" s="97"/>
      <c r="T43" s="98">
        <f t="shared" si="11"/>
        <v>0</v>
      </c>
      <c r="U43" s="98"/>
      <c r="V43" s="98"/>
      <c r="W43" s="83">
        <f t="shared" si="12"/>
        <v>3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35</v>
      </c>
      <c r="R45" s="97"/>
      <c r="S45" s="97"/>
      <c r="T45" s="98">
        <f t="shared" si="11"/>
        <v>1</v>
      </c>
      <c r="U45" s="98"/>
      <c r="V45" s="98"/>
      <c r="W45" s="83">
        <f t="shared" si="12"/>
        <v>5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61</v>
      </c>
      <c r="R46" s="97"/>
      <c r="S46" s="97"/>
      <c r="T46" s="98">
        <f t="shared" si="11"/>
        <v>2</v>
      </c>
      <c r="U46" s="98"/>
      <c r="V46" s="98"/>
      <c r="W46" s="83">
        <f t="shared" si="12"/>
        <v>1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81</v>
      </c>
      <c r="R47" s="97"/>
      <c r="S47" s="97"/>
      <c r="T47" s="98">
        <f t="shared" si="11"/>
        <v>2</v>
      </c>
      <c r="U47" s="98"/>
      <c r="V47" s="98"/>
      <c r="W47" s="83">
        <f t="shared" si="12"/>
        <v>21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55</v>
      </c>
      <c r="R48" s="97"/>
      <c r="S48" s="97"/>
      <c r="T48" s="98">
        <f t="shared" ref="T48:T50" si="17">T21</f>
        <v>1</v>
      </c>
      <c r="U48" s="98"/>
      <c r="V48" s="98"/>
      <c r="W48" s="83">
        <f t="shared" ref="W48:W50" si="18">W21</f>
        <v>25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25</v>
      </c>
      <c r="R49" s="97"/>
      <c r="S49" s="97"/>
      <c r="T49" s="98">
        <f t="shared" si="17"/>
        <v>0</v>
      </c>
      <c r="U49" s="98"/>
      <c r="V49" s="98"/>
      <c r="W49" s="83">
        <f t="shared" si="18"/>
        <v>25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20</v>
      </c>
      <c r="R50" s="97"/>
      <c r="S50" s="97"/>
      <c r="T50" s="98">
        <f t="shared" si="17"/>
        <v>0</v>
      </c>
      <c r="U50" s="98"/>
      <c r="V50" s="98"/>
      <c r="W50" s="83">
        <f t="shared" si="18"/>
        <v>20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281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경기도 양주시 은현면 선암리 128-3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B25:V26"/>
    <mergeCell ref="W25:AH26"/>
    <mergeCell ref="E23:L23"/>
    <mergeCell ref="M23:P23"/>
    <mergeCell ref="Q23:S23"/>
    <mergeCell ref="T23:V23"/>
    <mergeCell ref="W23:Z23"/>
    <mergeCell ref="AA23:AH23"/>
    <mergeCell ref="AA22:AH22"/>
    <mergeCell ref="E22:L22"/>
    <mergeCell ref="M22:P22"/>
    <mergeCell ref="Q22:S22"/>
    <mergeCell ref="T22:V22"/>
    <mergeCell ref="W22:Z22"/>
    <mergeCell ref="B13:D13"/>
    <mergeCell ref="E40:L40"/>
    <mergeCell ref="M40:P40"/>
    <mergeCell ref="Q40:S40"/>
    <mergeCell ref="T40:V40"/>
    <mergeCell ref="W40:Z40"/>
    <mergeCell ref="AA40:AH40"/>
    <mergeCell ref="B40:D40"/>
    <mergeCell ref="AA20:AH20"/>
    <mergeCell ref="E20:L20"/>
    <mergeCell ref="M20:P20"/>
    <mergeCell ref="Q20:S20"/>
    <mergeCell ref="T20:V20"/>
    <mergeCell ref="W20:Z20"/>
    <mergeCell ref="T18:V18"/>
    <mergeCell ref="E16:L16"/>
    <mergeCell ref="M16:P16"/>
    <mergeCell ref="Q16:S16"/>
    <mergeCell ref="T16:V16"/>
    <mergeCell ref="W16:Z16"/>
    <mergeCell ref="B24:D24"/>
    <mergeCell ref="E24:L24"/>
    <mergeCell ref="M24:Z24"/>
    <mergeCell ref="AA24:AH24"/>
    <mergeCell ref="AA15:AH15"/>
    <mergeCell ref="AA18:AH18"/>
    <mergeCell ref="M12:P12"/>
    <mergeCell ref="AA16:AH16"/>
    <mergeCell ref="E13:L13"/>
    <mergeCell ref="M13:P13"/>
    <mergeCell ref="Q13:S13"/>
    <mergeCell ref="T13:V13"/>
    <mergeCell ref="W13:Z13"/>
    <mergeCell ref="AA13:AH13"/>
    <mergeCell ref="E15:L15"/>
    <mergeCell ref="M15:P15"/>
    <mergeCell ref="Q15:S15"/>
    <mergeCell ref="T15:V15"/>
    <mergeCell ref="W15:Z15"/>
    <mergeCell ref="W18:Z18"/>
    <mergeCell ref="E18:L18"/>
    <mergeCell ref="M18:P18"/>
    <mergeCell ref="Q18:S18"/>
    <mergeCell ref="Q14:S14"/>
    <mergeCell ref="T14:V14"/>
    <mergeCell ref="W14:Z14"/>
    <mergeCell ref="AA14:AH14"/>
    <mergeCell ref="E17:L17"/>
    <mergeCell ref="AB6:AC7"/>
    <mergeCell ref="AD6:AH7"/>
    <mergeCell ref="C8:F9"/>
    <mergeCell ref="G8:P9"/>
    <mergeCell ref="R8:U9"/>
    <mergeCell ref="V8:AH9"/>
    <mergeCell ref="R6:U7"/>
    <mergeCell ref="V6:AA7"/>
    <mergeCell ref="E12:L12"/>
    <mergeCell ref="Q12:S12"/>
    <mergeCell ref="T12:V12"/>
    <mergeCell ref="W12:Z12"/>
    <mergeCell ref="AA12:AH12"/>
    <mergeCell ref="E21:L21"/>
    <mergeCell ref="M21:P21"/>
    <mergeCell ref="Q21:S21"/>
    <mergeCell ref="T21:V21"/>
    <mergeCell ref="W21:Z21"/>
    <mergeCell ref="AA21:AH21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E14:L14"/>
    <mergeCell ref="M14:P14"/>
    <mergeCell ref="R35:U36"/>
    <mergeCell ref="V35:AH36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E44:L44"/>
    <mergeCell ref="M44:P44"/>
    <mergeCell ref="Q44:S44"/>
    <mergeCell ref="T44:V44"/>
    <mergeCell ref="W44:Z44"/>
    <mergeCell ref="AA44:AH44"/>
    <mergeCell ref="AA42:AH42"/>
    <mergeCell ref="E41:L41"/>
    <mergeCell ref="M41:P41"/>
    <mergeCell ref="Q41:S41"/>
    <mergeCell ref="T41:V41"/>
    <mergeCell ref="W41:Z41"/>
    <mergeCell ref="B51:D51"/>
    <mergeCell ref="E51:L51"/>
    <mergeCell ref="M51:Z51"/>
    <mergeCell ref="AA51:AH51"/>
    <mergeCell ref="B52:V53"/>
    <mergeCell ref="W52:AH53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M17:P17"/>
    <mergeCell ref="Q17:S17"/>
    <mergeCell ref="T17:V17"/>
    <mergeCell ref="W17:Z17"/>
    <mergeCell ref="AA17:AH17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9:L39"/>
    <mergeCell ref="M39:P39"/>
    <mergeCell ref="Q39:S39"/>
    <mergeCell ref="T39:V39"/>
    <mergeCell ref="AA41:AH41"/>
    <mergeCell ref="C35:F36"/>
    <mergeCell ref="G35:P36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W39:Z39"/>
    <mergeCell ref="AA39:AH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E47:L47"/>
  </mergeCells>
  <phoneticPr fontId="5" type="noConversion"/>
  <conditionalFormatting sqref="AA13:AA17">
    <cfRule type="expression" dxfId="18" priority="2">
      <formula>Q13:S22=0</formula>
    </cfRule>
  </conditionalFormatting>
  <conditionalFormatting sqref="AA18:AA19 AA21:AA23 AA43:AH50">
    <cfRule type="expression" dxfId="17" priority="59">
      <formula>Q18:S26=0</formula>
    </cfRule>
  </conditionalFormatting>
  <conditionalFormatting sqref="AA20 AA40:AH42">
    <cfRule type="expression" dxfId="16" priority="150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922F174A-C458-4609-9172-FEBB47412372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60052-1344-4AA9-A7B7-A29CA6F181D3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41" width="2.33203125" style="5"/>
    <col min="42" max="42" width="26.6640625" style="5" bestFit="1" customWidth="1"/>
    <col min="43" max="43" width="3.5546875" style="5" bestFit="1" customWidth="1"/>
    <col min="44" max="16384" width="2.33203125" style="5"/>
  </cols>
  <sheetData>
    <row r="1" spans="2:50" ht="14.25" thickBot="1" x14ac:dyDescent="0.2">
      <c r="B1" s="27" t="s">
        <v>95</v>
      </c>
      <c r="C1" s="26"/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95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103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39</v>
      </c>
      <c r="R18" s="112"/>
      <c r="S18" s="113"/>
      <c r="T18" s="114">
        <f t="shared" si="2"/>
        <v>1</v>
      </c>
      <c r="U18" s="103"/>
      <c r="V18" s="103"/>
      <c r="W18" s="99">
        <f t="shared" si="3"/>
        <v>9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53</v>
      </c>
      <c r="R19" s="112"/>
      <c r="S19" s="113"/>
      <c r="T19" s="114">
        <f t="shared" ref="T19" si="6">IFERROR(ROUNDDOWN(Q19/M19,0),"")</f>
        <v>1</v>
      </c>
      <c r="U19" s="103"/>
      <c r="V19" s="103"/>
      <c r="W19" s="99">
        <f t="shared" ref="W19" si="7">IFERROR(Q19-(T19*M19),"")</f>
        <v>23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51</v>
      </c>
      <c r="R20" s="112"/>
      <c r="S20" s="113"/>
      <c r="T20" s="114">
        <f t="shared" si="2"/>
        <v>1</v>
      </c>
      <c r="U20" s="103"/>
      <c r="V20" s="103"/>
      <c r="W20" s="99">
        <f t="shared" si="3"/>
        <v>21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54</v>
      </c>
      <c r="R21" s="112"/>
      <c r="S21" s="113"/>
      <c r="T21" s="114">
        <f t="shared" si="2"/>
        <v>1</v>
      </c>
      <c r="U21" s="103"/>
      <c r="V21" s="103"/>
      <c r="W21" s="99">
        <f t="shared" si="3"/>
        <v>24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31</v>
      </c>
      <c r="R22" s="112"/>
      <c r="S22" s="113"/>
      <c r="T22" s="114">
        <f t="shared" si="2"/>
        <v>0</v>
      </c>
      <c r="U22" s="103"/>
      <c r="V22" s="103"/>
      <c r="W22" s="99">
        <f t="shared" si="3"/>
        <v>31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24</v>
      </c>
      <c r="R23" s="112"/>
      <c r="S23" s="113"/>
      <c r="T23" s="114">
        <f t="shared" si="2"/>
        <v>0</v>
      </c>
      <c r="U23" s="103"/>
      <c r="V23" s="103"/>
      <c r="W23" s="99">
        <f t="shared" si="3"/>
        <v>24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252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126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오포저온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경기도 광주시 오포읍 오포로 614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39</v>
      </c>
      <c r="R45" s="97"/>
      <c r="S45" s="97"/>
      <c r="T45" s="98">
        <f t="shared" si="11"/>
        <v>1</v>
      </c>
      <c r="U45" s="98"/>
      <c r="V45" s="98"/>
      <c r="W45" s="83">
        <f t="shared" si="12"/>
        <v>9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53</v>
      </c>
      <c r="R46" s="97"/>
      <c r="S46" s="97"/>
      <c r="T46" s="98">
        <f t="shared" si="11"/>
        <v>1</v>
      </c>
      <c r="U46" s="98"/>
      <c r="V46" s="98"/>
      <c r="W46" s="83">
        <f t="shared" si="12"/>
        <v>23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51</v>
      </c>
      <c r="R47" s="97"/>
      <c r="S47" s="97"/>
      <c r="T47" s="98">
        <f t="shared" si="11"/>
        <v>1</v>
      </c>
      <c r="U47" s="98"/>
      <c r="V47" s="98"/>
      <c r="W47" s="83">
        <f t="shared" si="12"/>
        <v>21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54</v>
      </c>
      <c r="R48" s="97"/>
      <c r="S48" s="97"/>
      <c r="T48" s="98">
        <f t="shared" ref="T48:T50" si="17">T21</f>
        <v>1</v>
      </c>
      <c r="U48" s="98"/>
      <c r="V48" s="98"/>
      <c r="W48" s="83">
        <f t="shared" ref="W48:W50" si="18">W21</f>
        <v>24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31</v>
      </c>
      <c r="R49" s="97"/>
      <c r="S49" s="97"/>
      <c r="T49" s="98">
        <f t="shared" si="17"/>
        <v>0</v>
      </c>
      <c r="U49" s="98"/>
      <c r="V49" s="98"/>
      <c r="W49" s="83">
        <f t="shared" si="18"/>
        <v>31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24</v>
      </c>
      <c r="R50" s="97"/>
      <c r="S50" s="97"/>
      <c r="T50" s="98">
        <f t="shared" si="17"/>
        <v>0</v>
      </c>
      <c r="U50" s="98"/>
      <c r="V50" s="98"/>
      <c r="W50" s="83">
        <f t="shared" si="18"/>
        <v>24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252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경기도 광주시 오포읍 오포로 614
031-768-6577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Q50:S50"/>
    <mergeCell ref="T50:V50"/>
    <mergeCell ref="W50:Z50"/>
    <mergeCell ref="AA50:AH50"/>
    <mergeCell ref="AA40:AH40"/>
    <mergeCell ref="W42:Z42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E42:L42"/>
    <mergeCell ref="M42:P42"/>
    <mergeCell ref="Q42:S42"/>
    <mergeCell ref="E45:L45"/>
    <mergeCell ref="M45:P45"/>
    <mergeCell ref="Q45:S45"/>
    <mergeCell ref="T45:V45"/>
    <mergeCell ref="W45:Z45"/>
    <mergeCell ref="E39:L39"/>
    <mergeCell ref="M39:P39"/>
    <mergeCell ref="Q39:S39"/>
    <mergeCell ref="T39:V39"/>
    <mergeCell ref="W39:Z39"/>
    <mergeCell ref="T40:V40"/>
    <mergeCell ref="W40:Z40"/>
    <mergeCell ref="G31:P32"/>
    <mergeCell ref="Q31:Q38"/>
    <mergeCell ref="R31:U32"/>
    <mergeCell ref="V31:AH32"/>
    <mergeCell ref="C33:F34"/>
    <mergeCell ref="G33:K34"/>
    <mergeCell ref="L33:P34"/>
    <mergeCell ref="B40:D40"/>
    <mergeCell ref="C37:F38"/>
    <mergeCell ref="G37:P38"/>
    <mergeCell ref="R37:U38"/>
    <mergeCell ref="V37:AA38"/>
    <mergeCell ref="AB37:AC38"/>
    <mergeCell ref="AD37:AH38"/>
    <mergeCell ref="R33:U34"/>
    <mergeCell ref="V33:AA34"/>
    <mergeCell ref="V35:AH36"/>
    <mergeCell ref="AA45:AH45"/>
    <mergeCell ref="AA41:AH41"/>
    <mergeCell ref="E44:L44"/>
    <mergeCell ref="M44:P44"/>
    <mergeCell ref="Q44:S44"/>
    <mergeCell ref="T44:V44"/>
    <mergeCell ref="W44:Z44"/>
    <mergeCell ref="AA44:AH44"/>
    <mergeCell ref="E40:L40"/>
    <mergeCell ref="M40:P40"/>
    <mergeCell ref="Q40:S40"/>
    <mergeCell ref="T42:V42"/>
    <mergeCell ref="T43:V43"/>
    <mergeCell ref="W43:Z43"/>
    <mergeCell ref="AA43:AH43"/>
    <mergeCell ref="B52:V53"/>
    <mergeCell ref="W52:AH53"/>
    <mergeCell ref="E48:L48"/>
    <mergeCell ref="M48:P48"/>
    <mergeCell ref="Q48:S48"/>
    <mergeCell ref="T48:V48"/>
    <mergeCell ref="W48:Z48"/>
    <mergeCell ref="AA48:AH48"/>
    <mergeCell ref="E41:L41"/>
    <mergeCell ref="M41:P41"/>
    <mergeCell ref="Q41:S41"/>
    <mergeCell ref="T41:V41"/>
    <mergeCell ref="W41:Z41"/>
    <mergeCell ref="W46:Z46"/>
    <mergeCell ref="AA46:AH46"/>
    <mergeCell ref="E43:L43"/>
    <mergeCell ref="M43:P43"/>
    <mergeCell ref="Q43:S43"/>
    <mergeCell ref="B51:D51"/>
    <mergeCell ref="E51:L51"/>
    <mergeCell ref="M51:Z51"/>
    <mergeCell ref="AA51:AH51"/>
    <mergeCell ref="E50:L50"/>
    <mergeCell ref="M50:P50"/>
    <mergeCell ref="AB33:AC34"/>
    <mergeCell ref="AD33:AH34"/>
    <mergeCell ref="C35:F36"/>
    <mergeCell ref="G35:P36"/>
    <mergeCell ref="T22:V22"/>
    <mergeCell ref="W22:Z22"/>
    <mergeCell ref="B25:V26"/>
    <mergeCell ref="W25:AH26"/>
    <mergeCell ref="E23:L23"/>
    <mergeCell ref="M23:P23"/>
    <mergeCell ref="Q23:S23"/>
    <mergeCell ref="T23:V23"/>
    <mergeCell ref="W23:Z23"/>
    <mergeCell ref="AA23:AH23"/>
    <mergeCell ref="E16:L16"/>
    <mergeCell ref="M16:P16"/>
    <mergeCell ref="Q16:S16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V8:AH9"/>
    <mergeCell ref="R8:U9"/>
    <mergeCell ref="AD6:AH7"/>
    <mergeCell ref="C8:F9"/>
    <mergeCell ref="G8:P9"/>
    <mergeCell ref="E12:L12"/>
    <mergeCell ref="Q12:S12"/>
    <mergeCell ref="T12:V12"/>
    <mergeCell ref="W12:Z12"/>
    <mergeCell ref="AA12:AH12"/>
    <mergeCell ref="E15:L15"/>
    <mergeCell ref="M15:P15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Q15:S15"/>
    <mergeCell ref="T15:V15"/>
    <mergeCell ref="M12:P12"/>
    <mergeCell ref="W15:Z15"/>
    <mergeCell ref="AA15:AH15"/>
    <mergeCell ref="B13:D13"/>
    <mergeCell ref="AA42:AH42"/>
    <mergeCell ref="T16:V16"/>
    <mergeCell ref="W16:Z16"/>
    <mergeCell ref="AA16:AH16"/>
    <mergeCell ref="E13:L13"/>
    <mergeCell ref="M13:P13"/>
    <mergeCell ref="Q13:S13"/>
    <mergeCell ref="T13:V13"/>
    <mergeCell ref="W13:Z13"/>
    <mergeCell ref="AA13:AH13"/>
    <mergeCell ref="E14:L14"/>
    <mergeCell ref="W14:Z14"/>
    <mergeCell ref="AA14:AH14"/>
    <mergeCell ref="M14:P14"/>
    <mergeCell ref="Q14:S14"/>
    <mergeCell ref="T14:V14"/>
    <mergeCell ref="R35:U36"/>
    <mergeCell ref="E18:L18"/>
    <mergeCell ref="M18:P18"/>
    <mergeCell ref="Q18:S18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AA20:AH20"/>
    <mergeCell ref="E22:L22"/>
    <mergeCell ref="AA39:AH39"/>
    <mergeCell ref="B29:AH30"/>
    <mergeCell ref="B31:B38"/>
    <mergeCell ref="C31:F32"/>
    <mergeCell ref="B24:D24"/>
    <mergeCell ref="E24:L24"/>
    <mergeCell ref="M24:Z24"/>
    <mergeCell ref="AA24:AH24"/>
    <mergeCell ref="M22:P22"/>
    <mergeCell ref="Q22:S22"/>
  </mergeCells>
  <phoneticPr fontId="5" type="noConversion"/>
  <conditionalFormatting sqref="AA13:AA17">
    <cfRule type="expression" dxfId="15" priority="2">
      <formula>Q13:S22=0</formula>
    </cfRule>
  </conditionalFormatting>
  <conditionalFormatting sqref="AA18:AA19 AA21:AA23 AA43:AH50">
    <cfRule type="expression" dxfId="14" priority="58">
      <formula>Q18:S26=0</formula>
    </cfRule>
  </conditionalFormatting>
  <conditionalFormatting sqref="AA20 AA40:AH42">
    <cfRule type="expression" dxfId="13" priority="147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FDF13A69-1FE1-4426-A525-69368D00C46B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3F43-6242-4ABE-AFEF-6CC68895BF74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96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96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116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20</v>
      </c>
      <c r="R18" s="112"/>
      <c r="S18" s="113"/>
      <c r="T18" s="114">
        <f t="shared" si="2"/>
        <v>0</v>
      </c>
      <c r="U18" s="103"/>
      <c r="V18" s="103"/>
      <c r="W18" s="99">
        <f t="shared" si="3"/>
        <v>20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31</v>
      </c>
      <c r="R19" s="112"/>
      <c r="S19" s="113"/>
      <c r="T19" s="114">
        <f t="shared" ref="T19" si="6">IFERROR(ROUNDDOWN(Q19/M19,0),"")</f>
        <v>1</v>
      </c>
      <c r="U19" s="103"/>
      <c r="V19" s="103"/>
      <c r="W19" s="99">
        <f t="shared" ref="W19" si="7">IFERROR(Q19-(T19*M19),"")</f>
        <v>1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22</v>
      </c>
      <c r="R20" s="112"/>
      <c r="S20" s="113"/>
      <c r="T20" s="114">
        <f t="shared" si="2"/>
        <v>0</v>
      </c>
      <c r="U20" s="103"/>
      <c r="V20" s="103"/>
      <c r="W20" s="99">
        <f t="shared" si="3"/>
        <v>22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28</v>
      </c>
      <c r="R21" s="112"/>
      <c r="S21" s="113"/>
      <c r="T21" s="114">
        <f t="shared" si="2"/>
        <v>0</v>
      </c>
      <c r="U21" s="103"/>
      <c r="V21" s="103"/>
      <c r="W21" s="99">
        <f t="shared" si="3"/>
        <v>28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7</v>
      </c>
      <c r="R22" s="112"/>
      <c r="S22" s="113"/>
      <c r="T22" s="114">
        <f t="shared" si="2"/>
        <v>0</v>
      </c>
      <c r="U22" s="103"/>
      <c r="V22" s="103"/>
      <c r="W22" s="99">
        <f t="shared" si="3"/>
        <v>7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9</v>
      </c>
      <c r="R23" s="112"/>
      <c r="S23" s="113"/>
      <c r="T23" s="114">
        <f t="shared" si="2"/>
        <v>0</v>
      </c>
      <c r="U23" s="103"/>
      <c r="V23" s="103"/>
      <c r="W23" s="99">
        <f t="shared" si="3"/>
        <v>9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117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117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원주저온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강원도 원주시 소초면 북원로 3062-7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2"/>
      <c r="C43" s="43"/>
      <c r="D43" s="44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2"/>
      <c r="C44" s="43"/>
      <c r="D44" s="44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5"/>
      <c r="C45" s="46"/>
      <c r="D45" s="47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20</v>
      </c>
      <c r="R45" s="97"/>
      <c r="S45" s="97"/>
      <c r="T45" s="98">
        <f t="shared" si="11"/>
        <v>0</v>
      </c>
      <c r="U45" s="98"/>
      <c r="V45" s="98"/>
      <c r="W45" s="83">
        <f t="shared" si="12"/>
        <v>20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2"/>
      <c r="C46" s="43"/>
      <c r="D46" s="44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31</v>
      </c>
      <c r="R46" s="97"/>
      <c r="S46" s="97"/>
      <c r="T46" s="98">
        <f t="shared" si="11"/>
        <v>1</v>
      </c>
      <c r="U46" s="98"/>
      <c r="V46" s="98"/>
      <c r="W46" s="83">
        <f t="shared" si="12"/>
        <v>1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22</v>
      </c>
      <c r="R47" s="97"/>
      <c r="S47" s="97"/>
      <c r="T47" s="98">
        <f t="shared" si="11"/>
        <v>0</v>
      </c>
      <c r="U47" s="98"/>
      <c r="V47" s="98"/>
      <c r="W47" s="83">
        <f t="shared" si="12"/>
        <v>22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28</v>
      </c>
      <c r="R48" s="97"/>
      <c r="S48" s="97"/>
      <c r="T48" s="98">
        <f t="shared" ref="T48:T50" si="17">T21</f>
        <v>0</v>
      </c>
      <c r="U48" s="98"/>
      <c r="V48" s="98"/>
      <c r="W48" s="83">
        <f t="shared" ref="W48:W50" si="18">W21</f>
        <v>28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7</v>
      </c>
      <c r="R49" s="97"/>
      <c r="S49" s="97"/>
      <c r="T49" s="98">
        <f t="shared" si="17"/>
        <v>0</v>
      </c>
      <c r="U49" s="98"/>
      <c r="V49" s="98"/>
      <c r="W49" s="83">
        <f t="shared" si="18"/>
        <v>7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9</v>
      </c>
      <c r="R50" s="97"/>
      <c r="S50" s="97"/>
      <c r="T50" s="98">
        <f t="shared" si="17"/>
        <v>0</v>
      </c>
      <c r="U50" s="98"/>
      <c r="V50" s="98"/>
      <c r="W50" s="83">
        <f t="shared" si="18"/>
        <v>9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94"/>
      <c r="F51" s="95"/>
      <c r="G51" s="95"/>
      <c r="H51" s="95"/>
      <c r="I51" s="95"/>
      <c r="J51" s="95"/>
      <c r="K51" s="95"/>
      <c r="L51" s="257"/>
      <c r="M51" s="249">
        <f>SUM(Q40:S50)</f>
        <v>117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0"/>
      <c r="F52" s="230"/>
      <c r="G52" s="230"/>
      <c r="H52" s="230"/>
      <c r="I52" s="230"/>
      <c r="J52" s="230"/>
      <c r="K52" s="230"/>
      <c r="L52" s="230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강원도 원주시 소초면 북원로 3062-7
033-733-0228~9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Q50:S50"/>
    <mergeCell ref="T50:V50"/>
    <mergeCell ref="W50:Z50"/>
    <mergeCell ref="AA50:AH50"/>
    <mergeCell ref="AA40:AH40"/>
    <mergeCell ref="W42:Z42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E42:L42"/>
    <mergeCell ref="M42:P42"/>
    <mergeCell ref="Q42:S42"/>
    <mergeCell ref="E45:L45"/>
    <mergeCell ref="M45:P45"/>
    <mergeCell ref="Q45:S45"/>
    <mergeCell ref="T45:V45"/>
    <mergeCell ref="W45:Z45"/>
    <mergeCell ref="E39:L39"/>
    <mergeCell ref="M39:P39"/>
    <mergeCell ref="Q39:S39"/>
    <mergeCell ref="T39:V39"/>
    <mergeCell ref="W39:Z39"/>
    <mergeCell ref="T40:V40"/>
    <mergeCell ref="W40:Z40"/>
    <mergeCell ref="G31:P32"/>
    <mergeCell ref="Q31:Q38"/>
    <mergeCell ref="R31:U32"/>
    <mergeCell ref="V31:AH32"/>
    <mergeCell ref="C33:F34"/>
    <mergeCell ref="G33:K34"/>
    <mergeCell ref="L33:P34"/>
    <mergeCell ref="B40:D40"/>
    <mergeCell ref="C37:F38"/>
    <mergeCell ref="G37:P38"/>
    <mergeCell ref="R37:U38"/>
    <mergeCell ref="V37:AA38"/>
    <mergeCell ref="AB37:AC38"/>
    <mergeCell ref="AD37:AH38"/>
    <mergeCell ref="R33:U34"/>
    <mergeCell ref="V33:AA34"/>
    <mergeCell ref="V35:AH36"/>
    <mergeCell ref="AA45:AH45"/>
    <mergeCell ref="AA41:AH41"/>
    <mergeCell ref="E44:L44"/>
    <mergeCell ref="M44:P44"/>
    <mergeCell ref="Q44:S44"/>
    <mergeCell ref="T44:V44"/>
    <mergeCell ref="W44:Z44"/>
    <mergeCell ref="AA44:AH44"/>
    <mergeCell ref="E40:L40"/>
    <mergeCell ref="M40:P40"/>
    <mergeCell ref="Q40:S40"/>
    <mergeCell ref="T42:V42"/>
    <mergeCell ref="T43:V43"/>
    <mergeCell ref="W43:Z43"/>
    <mergeCell ref="AA43:AH43"/>
    <mergeCell ref="B52:V53"/>
    <mergeCell ref="W52:AH53"/>
    <mergeCell ref="E48:L48"/>
    <mergeCell ref="M48:P48"/>
    <mergeCell ref="Q48:S48"/>
    <mergeCell ref="T48:V48"/>
    <mergeCell ref="W48:Z48"/>
    <mergeCell ref="AA48:AH48"/>
    <mergeCell ref="E41:L41"/>
    <mergeCell ref="M41:P41"/>
    <mergeCell ref="Q41:S41"/>
    <mergeCell ref="T41:V41"/>
    <mergeCell ref="W41:Z41"/>
    <mergeCell ref="W46:Z46"/>
    <mergeCell ref="AA46:AH46"/>
    <mergeCell ref="E43:L43"/>
    <mergeCell ref="M43:P43"/>
    <mergeCell ref="Q43:S43"/>
    <mergeCell ref="B51:D51"/>
    <mergeCell ref="E51:L51"/>
    <mergeCell ref="M51:Z51"/>
    <mergeCell ref="AA51:AH51"/>
    <mergeCell ref="E50:L50"/>
    <mergeCell ref="M50:P50"/>
    <mergeCell ref="AB33:AC34"/>
    <mergeCell ref="AD33:AH34"/>
    <mergeCell ref="C35:F36"/>
    <mergeCell ref="G35:P36"/>
    <mergeCell ref="T22:V22"/>
    <mergeCell ref="W22:Z22"/>
    <mergeCell ref="B25:V26"/>
    <mergeCell ref="W25:AH26"/>
    <mergeCell ref="E23:L23"/>
    <mergeCell ref="M23:P23"/>
    <mergeCell ref="Q23:S23"/>
    <mergeCell ref="T23:V23"/>
    <mergeCell ref="W23:Z23"/>
    <mergeCell ref="AA23:AH23"/>
    <mergeCell ref="E16:L16"/>
    <mergeCell ref="M16:P16"/>
    <mergeCell ref="Q16:S16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V8:AH9"/>
    <mergeCell ref="R8:U9"/>
    <mergeCell ref="AD6:AH7"/>
    <mergeCell ref="C8:F9"/>
    <mergeCell ref="G8:P9"/>
    <mergeCell ref="E12:L12"/>
    <mergeCell ref="Q12:S12"/>
    <mergeCell ref="T12:V12"/>
    <mergeCell ref="W12:Z12"/>
    <mergeCell ref="AA12:AH12"/>
    <mergeCell ref="E15:L15"/>
    <mergeCell ref="M15:P15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Q15:S15"/>
    <mergeCell ref="T15:V15"/>
    <mergeCell ref="M12:P12"/>
    <mergeCell ref="W15:Z15"/>
    <mergeCell ref="AA15:AH15"/>
    <mergeCell ref="B13:D13"/>
    <mergeCell ref="AA42:AH42"/>
    <mergeCell ref="T16:V16"/>
    <mergeCell ref="W16:Z16"/>
    <mergeCell ref="AA16:AH16"/>
    <mergeCell ref="E13:L13"/>
    <mergeCell ref="M13:P13"/>
    <mergeCell ref="Q13:S13"/>
    <mergeCell ref="T13:V13"/>
    <mergeCell ref="W13:Z13"/>
    <mergeCell ref="AA13:AH13"/>
    <mergeCell ref="E14:L14"/>
    <mergeCell ref="W14:Z14"/>
    <mergeCell ref="AA14:AH14"/>
    <mergeCell ref="M14:P14"/>
    <mergeCell ref="Q14:S14"/>
    <mergeCell ref="T14:V14"/>
    <mergeCell ref="R35:U36"/>
    <mergeCell ref="E18:L18"/>
    <mergeCell ref="M18:P18"/>
    <mergeCell ref="Q18:S18"/>
    <mergeCell ref="T18:V18"/>
    <mergeCell ref="W18:Z18"/>
    <mergeCell ref="AA18:AH18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AA20:AH20"/>
    <mergeCell ref="E22:L22"/>
    <mergeCell ref="AA39:AH39"/>
    <mergeCell ref="B29:AH30"/>
    <mergeCell ref="B31:B38"/>
    <mergeCell ref="C31:F32"/>
    <mergeCell ref="B24:D24"/>
    <mergeCell ref="E24:L24"/>
    <mergeCell ref="M24:Z24"/>
    <mergeCell ref="AA24:AH24"/>
    <mergeCell ref="M22:P22"/>
    <mergeCell ref="Q22:S22"/>
  </mergeCells>
  <phoneticPr fontId="5" type="noConversion"/>
  <conditionalFormatting sqref="AA13:AA17">
    <cfRule type="expression" dxfId="12" priority="2">
      <formula>Q13:S22=0</formula>
    </cfRule>
  </conditionalFormatting>
  <conditionalFormatting sqref="AA18:AA19 AA21:AA23 AA43:AH50">
    <cfRule type="expression" dxfId="11" priority="57">
      <formula>Q18:S26=0</formula>
    </cfRule>
  </conditionalFormatting>
  <conditionalFormatting sqref="AA20 AA40:AH42">
    <cfRule type="expression" dxfId="10" priority="144">
      <formula>Q20:S27=0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E39:E51 B39:B52 C42:D50 T40:T50 M35:M51 Q40:Q50 AA39:AA50" xr:uid="{4B0B0675-682E-4348-93A3-1656EDC62A62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B4B94-0362-40DD-BE47-E40B69016869}">
  <sheetPr>
    <pageSetUpPr fitToPage="1"/>
  </sheetPr>
  <dimension ref="A1:AX53"/>
  <sheetViews>
    <sheetView topLeftCell="A5" zoomScaleNormal="100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97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97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118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1" si="2">IFERROR(ROUNDDOWN(Q14/M14,0),"")</f>
        <v>0</v>
      </c>
      <c r="U14" s="103"/>
      <c r="V14" s="103"/>
      <c r="W14" s="99">
        <f t="shared" ref="W14:W21" si="3">IFERROR(Q14-(T14*M14),"")</f>
        <v>0</v>
      </c>
      <c r="X14" s="100"/>
      <c r="Y14" s="100"/>
      <c r="Z14" s="101"/>
      <c r="AA14" s="121">
        <f>B13+4</f>
        <v>46318</v>
      </c>
      <c r="AB14" s="102"/>
      <c r="AC14" s="102"/>
      <c r="AD14" s="102"/>
      <c r="AE14" s="102"/>
      <c r="AF14" s="102"/>
      <c r="AG14" s="102"/>
      <c r="AH14" s="122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2"/>
      <c r="AC15" s="102"/>
      <c r="AD15" s="102"/>
      <c r="AE15" s="102"/>
      <c r="AF15" s="102"/>
      <c r="AG15" s="102"/>
      <c r="AH15" s="122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2"/>
      <c r="AC16" s="102"/>
      <c r="AD16" s="102"/>
      <c r="AE16" s="102"/>
      <c r="AF16" s="102"/>
      <c r="AG16" s="102"/>
      <c r="AH16" s="122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2"/>
      <c r="AC17" s="102"/>
      <c r="AD17" s="102"/>
      <c r="AE17" s="102"/>
      <c r="AF17" s="102"/>
      <c r="AG17" s="102"/>
      <c r="AH17" s="122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36</v>
      </c>
      <c r="R18" s="112"/>
      <c r="S18" s="113"/>
      <c r="T18" s="114">
        <f t="shared" si="2"/>
        <v>1</v>
      </c>
      <c r="U18" s="103"/>
      <c r="V18" s="103"/>
      <c r="W18" s="99">
        <f t="shared" si="3"/>
        <v>6</v>
      </c>
      <c r="X18" s="100"/>
      <c r="Y18" s="100"/>
      <c r="Z18" s="101"/>
      <c r="AA18" s="121">
        <f>B13+4</f>
        <v>46318</v>
      </c>
      <c r="AB18" s="102"/>
      <c r="AC18" s="102"/>
      <c r="AD18" s="102"/>
      <c r="AE18" s="102"/>
      <c r="AF18" s="102"/>
      <c r="AG18" s="102"/>
      <c r="AH18" s="122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35</v>
      </c>
      <c r="R19" s="112"/>
      <c r="S19" s="113"/>
      <c r="T19" s="114">
        <f t="shared" ref="T19" si="6">IFERROR(ROUNDDOWN(Q19/M19,0),"")</f>
        <v>1</v>
      </c>
      <c r="U19" s="103"/>
      <c r="V19" s="103"/>
      <c r="W19" s="99">
        <f t="shared" ref="W19" si="7">IFERROR(Q19-(T19*M19),"")</f>
        <v>5</v>
      </c>
      <c r="X19" s="100"/>
      <c r="Y19" s="100"/>
      <c r="Z19" s="101"/>
      <c r="AA19" s="121">
        <f>B13+4</f>
        <v>46318</v>
      </c>
      <c r="AB19" s="102"/>
      <c r="AC19" s="102"/>
      <c r="AD19" s="102"/>
      <c r="AE19" s="102"/>
      <c r="AF19" s="102"/>
      <c r="AG19" s="102"/>
      <c r="AH19" s="122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57</v>
      </c>
      <c r="R20" s="112"/>
      <c r="S20" s="113"/>
      <c r="T20" s="114">
        <f t="shared" si="2"/>
        <v>1</v>
      </c>
      <c r="U20" s="103"/>
      <c r="V20" s="103"/>
      <c r="W20" s="99">
        <f t="shared" si="3"/>
        <v>27</v>
      </c>
      <c r="X20" s="100"/>
      <c r="Y20" s="100"/>
      <c r="Z20" s="101"/>
      <c r="AA20" s="121">
        <f>B13+4</f>
        <v>46318</v>
      </c>
      <c r="AB20" s="102"/>
      <c r="AC20" s="102"/>
      <c r="AD20" s="102"/>
      <c r="AE20" s="102"/>
      <c r="AF20" s="102"/>
      <c r="AG20" s="102"/>
      <c r="AH20" s="122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41</v>
      </c>
      <c r="R21" s="112"/>
      <c r="S21" s="113"/>
      <c r="T21" s="114">
        <f t="shared" si="2"/>
        <v>1</v>
      </c>
      <c r="U21" s="103"/>
      <c r="V21" s="103"/>
      <c r="W21" s="99">
        <f t="shared" si="3"/>
        <v>11</v>
      </c>
      <c r="X21" s="100"/>
      <c r="Y21" s="100"/>
      <c r="Z21" s="101"/>
      <c r="AA21" s="121">
        <f>B13+4</f>
        <v>46318</v>
      </c>
      <c r="AB21" s="102"/>
      <c r="AC21" s="102"/>
      <c r="AD21" s="102"/>
      <c r="AE21" s="102"/>
      <c r="AF21" s="102"/>
      <c r="AG21" s="102"/>
      <c r="AH21" s="122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23</v>
      </c>
      <c r="R22" s="112"/>
      <c r="S22" s="113"/>
      <c r="T22" s="114"/>
      <c r="U22" s="103"/>
      <c r="V22" s="103"/>
      <c r="W22" s="99"/>
      <c r="X22" s="100"/>
      <c r="Y22" s="100"/>
      <c r="Z22" s="101"/>
      <c r="AA22" s="102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20</v>
      </c>
      <c r="R23" s="112"/>
      <c r="S23" s="113"/>
      <c r="T23" s="114"/>
      <c r="U23" s="103"/>
      <c r="V23" s="103"/>
      <c r="W23" s="99"/>
      <c r="X23" s="100"/>
      <c r="Y23" s="100"/>
      <c r="Z23" s="101"/>
      <c r="AA23" s="102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212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119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인천저온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인천시  서구 북항로 245번길 13-22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5"/>
      <c r="C43" s="46"/>
      <c r="D43" s="47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5"/>
      <c r="C44" s="46"/>
      <c r="D44" s="47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2"/>
      <c r="C45" s="43"/>
      <c r="D45" s="44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36</v>
      </c>
      <c r="R45" s="97"/>
      <c r="S45" s="97"/>
      <c r="T45" s="98">
        <f t="shared" si="11"/>
        <v>1</v>
      </c>
      <c r="U45" s="98"/>
      <c r="V45" s="98"/>
      <c r="W45" s="83">
        <f t="shared" si="12"/>
        <v>6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5"/>
      <c r="C46" s="46"/>
      <c r="D46" s="47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35</v>
      </c>
      <c r="R46" s="97"/>
      <c r="S46" s="97"/>
      <c r="T46" s="98">
        <f t="shared" si="11"/>
        <v>1</v>
      </c>
      <c r="U46" s="98"/>
      <c r="V46" s="98"/>
      <c r="W46" s="83">
        <f t="shared" si="12"/>
        <v>5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57</v>
      </c>
      <c r="R47" s="97"/>
      <c r="S47" s="97"/>
      <c r="T47" s="98">
        <f t="shared" si="11"/>
        <v>1</v>
      </c>
      <c r="U47" s="98"/>
      <c r="V47" s="98"/>
      <c r="W47" s="83">
        <f t="shared" si="12"/>
        <v>27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41</v>
      </c>
      <c r="R48" s="97"/>
      <c r="S48" s="97"/>
      <c r="T48" s="98">
        <f t="shared" ref="T48:T50" si="17">T21</f>
        <v>1</v>
      </c>
      <c r="U48" s="98"/>
      <c r="V48" s="98"/>
      <c r="W48" s="83">
        <f t="shared" ref="W48:W50" si="18">W21</f>
        <v>11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23</v>
      </c>
      <c r="R49" s="97"/>
      <c r="S49" s="97"/>
      <c r="T49" s="98">
        <f t="shared" si="17"/>
        <v>0</v>
      </c>
      <c r="U49" s="98"/>
      <c r="V49" s="98"/>
      <c r="W49" s="83">
        <f t="shared" si="18"/>
        <v>0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20</v>
      </c>
      <c r="R50" s="97"/>
      <c r="S50" s="97"/>
      <c r="T50" s="98">
        <f t="shared" si="17"/>
        <v>0</v>
      </c>
      <c r="U50" s="98"/>
      <c r="V50" s="98"/>
      <c r="W50" s="83">
        <f t="shared" si="18"/>
        <v>0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262"/>
      <c r="F51" s="254"/>
      <c r="G51" s="254"/>
      <c r="H51" s="254"/>
      <c r="I51" s="254"/>
      <c r="J51" s="254"/>
      <c r="K51" s="254"/>
      <c r="L51" s="263"/>
      <c r="M51" s="249">
        <f>SUM(Q40:S50)</f>
        <v>212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인천시  서구 북항로 245번길 13-22
032-546-0152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B40:D40"/>
    <mergeCell ref="E44:L44"/>
    <mergeCell ref="M44:P44"/>
    <mergeCell ref="Q44:S44"/>
    <mergeCell ref="T44:V44"/>
    <mergeCell ref="W44:Z44"/>
    <mergeCell ref="AA44:AH44"/>
    <mergeCell ref="AA41:AH41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AA40:AH40"/>
    <mergeCell ref="W41:Z41"/>
    <mergeCell ref="B51:D51"/>
    <mergeCell ref="E51:L51"/>
    <mergeCell ref="M51:Z51"/>
    <mergeCell ref="AA51:AH51"/>
    <mergeCell ref="B52:V53"/>
    <mergeCell ref="W52:AH53"/>
    <mergeCell ref="E47:L47"/>
    <mergeCell ref="M47:P47"/>
    <mergeCell ref="Q47:S47"/>
    <mergeCell ref="T47:V47"/>
    <mergeCell ref="W47:Z47"/>
    <mergeCell ref="AA47:AH47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W39:Z39"/>
    <mergeCell ref="E40:L40"/>
    <mergeCell ref="M40:P40"/>
    <mergeCell ref="Q40:S40"/>
    <mergeCell ref="T40:V40"/>
    <mergeCell ref="W40:Z40"/>
    <mergeCell ref="AA39:AH39"/>
    <mergeCell ref="E43:L43"/>
    <mergeCell ref="M43:P43"/>
    <mergeCell ref="Q43:S43"/>
    <mergeCell ref="T43:V43"/>
    <mergeCell ref="W43:Z43"/>
    <mergeCell ref="AA43:AH43"/>
    <mergeCell ref="E39:L39"/>
    <mergeCell ref="M39:P39"/>
    <mergeCell ref="Q39:S39"/>
    <mergeCell ref="T39:V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C35:F36"/>
    <mergeCell ref="G35:P36"/>
    <mergeCell ref="R35:U36"/>
    <mergeCell ref="W18:Z18"/>
    <mergeCell ref="V35:AH36"/>
    <mergeCell ref="B24:D24"/>
    <mergeCell ref="E24:L24"/>
    <mergeCell ref="M24:Z24"/>
    <mergeCell ref="AA24:AH24"/>
    <mergeCell ref="B25:V26"/>
    <mergeCell ref="W25:AH26"/>
    <mergeCell ref="E23:L23"/>
    <mergeCell ref="M23:P23"/>
    <mergeCell ref="Q23:S23"/>
    <mergeCell ref="T23:V23"/>
    <mergeCell ref="W23:Z23"/>
    <mergeCell ref="AA23:AH23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Q14:S14"/>
    <mergeCell ref="AA22:AH22"/>
    <mergeCell ref="E21:L21"/>
    <mergeCell ref="M21:P21"/>
    <mergeCell ref="Q21:S21"/>
    <mergeCell ref="T21:V21"/>
    <mergeCell ref="W21:Z21"/>
    <mergeCell ref="AA21:AH21"/>
    <mergeCell ref="AA14:AH14"/>
    <mergeCell ref="E20:L20"/>
    <mergeCell ref="M20:P20"/>
    <mergeCell ref="Q20:S20"/>
    <mergeCell ref="T20:V20"/>
    <mergeCell ref="W20:Z20"/>
    <mergeCell ref="AA20:AH20"/>
    <mergeCell ref="E18:L18"/>
    <mergeCell ref="M18:P18"/>
    <mergeCell ref="AA17:AH17"/>
    <mergeCell ref="Q18:S18"/>
    <mergeCell ref="AA18:AH18"/>
    <mergeCell ref="E16:L16"/>
    <mergeCell ref="M16:P16"/>
    <mergeCell ref="E22:L22"/>
    <mergeCell ref="M22:P22"/>
    <mergeCell ref="B13:D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E12:L12"/>
    <mergeCell ref="Q12:S12"/>
    <mergeCell ref="G8:P9"/>
    <mergeCell ref="R8:U9"/>
    <mergeCell ref="T14:V14"/>
    <mergeCell ref="W14:Z14"/>
    <mergeCell ref="AA16:AH16"/>
    <mergeCell ref="T12:V12"/>
    <mergeCell ref="W12:Z12"/>
    <mergeCell ref="AA12:AH12"/>
    <mergeCell ref="V8:AH9"/>
    <mergeCell ref="E15:L15"/>
    <mergeCell ref="M15:P15"/>
    <mergeCell ref="Q15:S15"/>
    <mergeCell ref="T15:V15"/>
    <mergeCell ref="M12:P12"/>
    <mergeCell ref="W15:Z15"/>
    <mergeCell ref="AA15:AH15"/>
    <mergeCell ref="E13:L13"/>
    <mergeCell ref="M13:P13"/>
    <mergeCell ref="Q13:S13"/>
    <mergeCell ref="T13:V13"/>
    <mergeCell ref="W13:Z13"/>
    <mergeCell ref="AA13:AH13"/>
    <mergeCell ref="E14:L14"/>
    <mergeCell ref="M14:P14"/>
    <mergeCell ref="E49:L49"/>
    <mergeCell ref="M49:P49"/>
    <mergeCell ref="Q49:S49"/>
    <mergeCell ref="T49:V49"/>
    <mergeCell ref="W49:Z49"/>
    <mergeCell ref="AA49:AH49"/>
    <mergeCell ref="Q16:S16"/>
    <mergeCell ref="T16:V16"/>
    <mergeCell ref="W16:Z16"/>
    <mergeCell ref="E19:L19"/>
    <mergeCell ref="M19:P19"/>
    <mergeCell ref="Q19:S19"/>
    <mergeCell ref="T19:V19"/>
    <mergeCell ref="W19:Z19"/>
    <mergeCell ref="AA19:AH19"/>
    <mergeCell ref="Q22:S22"/>
    <mergeCell ref="T22:V22"/>
    <mergeCell ref="W22:Z22"/>
    <mergeCell ref="E17:L17"/>
    <mergeCell ref="M17:P17"/>
    <mergeCell ref="Q17:S17"/>
    <mergeCell ref="T17:V17"/>
    <mergeCell ref="W17:Z17"/>
    <mergeCell ref="T18:V18"/>
  </mergeCells>
  <phoneticPr fontId="5" type="noConversion"/>
  <conditionalFormatting sqref="AA13:AA14">
    <cfRule type="expression" dxfId="9" priority="73">
      <formula>Q13:S22=0</formula>
    </cfRule>
  </conditionalFormatting>
  <conditionalFormatting sqref="AA15:AA17">
    <cfRule type="expression" dxfId="8" priority="2">
      <formula>Q15:S23=0</formula>
    </cfRule>
  </conditionalFormatting>
  <conditionalFormatting sqref="AA18:AA19 AA43:AH50">
    <cfRule type="expression" dxfId="7" priority="39">
      <formula>Q18:S25=0</formula>
    </cfRule>
  </conditionalFormatting>
  <conditionalFormatting sqref="AA20:AA21">
    <cfRule type="expression" dxfId="6" priority="15">
      <formula>Q20:S25=0</formula>
    </cfRule>
  </conditionalFormatting>
  <conditionalFormatting sqref="AA22:AH23">
    <cfRule type="expression" dxfId="5" priority="11">
      <formula>Q22:S27=0</formula>
    </cfRule>
  </conditionalFormatting>
  <conditionalFormatting sqref="AA40:AH42">
    <cfRule type="expression" dxfId="4" priority="182">
      <formula>Q40:S46=0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E12:E24 M8:M24 T13:T23 AA12:AA21 Q13:Q23 B12:B25 F13:L20 C42:D50 B39:B52 E39:E51 T40:T50 M35:M51 Q40:Q50 AA39:AA50" xr:uid="{56818D76-6C0A-4662-9AF1-21FB82E7E07F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825A-ACAF-4381-A2CF-5DD6A0D82826}">
  <sheetPr>
    <pageSetUpPr fitToPage="1"/>
  </sheetPr>
  <dimension ref="A1:AX53"/>
  <sheetViews>
    <sheetView zoomScale="85" zoomScaleNormal="85" workbookViewId="0">
      <selection activeCell="AJ20" sqref="AJ2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26" width="2.33203125" style="5"/>
    <col min="27" max="27" width="3.21875" style="5" customWidth="1"/>
    <col min="28" max="34" width="2.33203125" style="5"/>
    <col min="35" max="35" width="2.5546875" style="5" bestFit="1" customWidth="1"/>
    <col min="36" max="36" width="32" style="5" bestFit="1" customWidth="1"/>
    <col min="37" max="37" width="7.88671875" style="5" bestFit="1" customWidth="1"/>
    <col min="38" max="38" width="5.77734375" style="5" bestFit="1" customWidth="1"/>
    <col min="39" max="16384" width="2.33203125" style="5"/>
  </cols>
  <sheetData>
    <row r="1" spans="2:50" ht="14.25" thickBot="1" x14ac:dyDescent="0.2">
      <c r="B1" s="27" t="s">
        <v>100</v>
      </c>
    </row>
    <row r="2" spans="2:50" ht="20.100000000000001" customHeight="1" x14ac:dyDescent="0.15">
      <c r="B2" s="135" t="s">
        <v>131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8"/>
    </row>
    <row r="3" spans="2:50" ht="20.100000000000001" customHeight="1" thickBot="1" x14ac:dyDescent="0.2">
      <c r="B3" s="139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1"/>
    </row>
    <row r="4" spans="2:50" ht="13.5" customHeight="1" x14ac:dyDescent="0.15">
      <c r="B4" s="142" t="s">
        <v>0</v>
      </c>
      <c r="C4" s="145" t="s">
        <v>3</v>
      </c>
      <c r="D4" s="145"/>
      <c r="E4" s="145"/>
      <c r="F4" s="145"/>
      <c r="G4" s="147"/>
      <c r="H4" s="148"/>
      <c r="I4" s="148"/>
      <c r="J4" s="148"/>
      <c r="K4" s="148"/>
      <c r="L4" s="148"/>
      <c r="M4" s="148"/>
      <c r="N4" s="148"/>
      <c r="O4" s="148"/>
      <c r="P4" s="149"/>
      <c r="Q4" s="142" t="s">
        <v>2</v>
      </c>
      <c r="R4" s="123" t="s">
        <v>3</v>
      </c>
      <c r="S4" s="123"/>
      <c r="T4" s="123"/>
      <c r="U4" s="123"/>
      <c r="V4" s="154" t="s">
        <v>155</v>
      </c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6"/>
    </row>
    <row r="5" spans="2:50" x14ac:dyDescent="0.15">
      <c r="B5" s="143"/>
      <c r="C5" s="146"/>
      <c r="D5" s="146"/>
      <c r="E5" s="146"/>
      <c r="F5" s="146"/>
      <c r="G5" s="150"/>
      <c r="H5" s="151"/>
      <c r="I5" s="151"/>
      <c r="J5" s="151"/>
      <c r="K5" s="151"/>
      <c r="L5" s="151"/>
      <c r="M5" s="151"/>
      <c r="N5" s="151"/>
      <c r="O5" s="151"/>
      <c r="P5" s="152"/>
      <c r="Q5" s="143"/>
      <c r="R5" s="153"/>
      <c r="S5" s="153"/>
      <c r="T5" s="153"/>
      <c r="U5" s="153"/>
      <c r="V5" s="157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9"/>
    </row>
    <row r="6" spans="2:50" ht="13.5" customHeight="1" x14ac:dyDescent="0.15">
      <c r="B6" s="143"/>
      <c r="C6" s="146" t="s">
        <v>15</v>
      </c>
      <c r="D6" s="146"/>
      <c r="E6" s="146"/>
      <c r="F6" s="146"/>
      <c r="G6" s="160" t="s">
        <v>85</v>
      </c>
      <c r="H6" s="161"/>
      <c r="I6" s="161"/>
      <c r="J6" s="161"/>
      <c r="K6" s="162"/>
      <c r="L6" s="160" t="s">
        <v>100</v>
      </c>
      <c r="M6" s="161"/>
      <c r="N6" s="161"/>
      <c r="O6" s="161"/>
      <c r="P6" s="166"/>
      <c r="Q6" s="143"/>
      <c r="R6" s="146" t="s">
        <v>1</v>
      </c>
      <c r="S6" s="146"/>
      <c r="T6" s="146"/>
      <c r="U6" s="146"/>
      <c r="V6" s="175" t="s">
        <v>156</v>
      </c>
      <c r="W6" s="175"/>
      <c r="X6" s="175"/>
      <c r="Y6" s="175"/>
      <c r="Z6" s="175"/>
      <c r="AA6" s="175"/>
      <c r="AB6" s="153" t="s">
        <v>5</v>
      </c>
      <c r="AC6" s="153"/>
      <c r="AD6" s="176" t="s">
        <v>157</v>
      </c>
      <c r="AE6" s="176"/>
      <c r="AF6" s="176"/>
      <c r="AG6" s="176"/>
      <c r="AH6" s="185"/>
    </row>
    <row r="7" spans="2:50" x14ac:dyDescent="0.15">
      <c r="B7" s="143"/>
      <c r="C7" s="146"/>
      <c r="D7" s="146"/>
      <c r="E7" s="146"/>
      <c r="F7" s="146"/>
      <c r="G7" s="163"/>
      <c r="H7" s="164"/>
      <c r="I7" s="164"/>
      <c r="J7" s="164"/>
      <c r="K7" s="165"/>
      <c r="L7" s="163"/>
      <c r="M7" s="164"/>
      <c r="N7" s="164"/>
      <c r="O7" s="164"/>
      <c r="P7" s="167"/>
      <c r="Q7" s="143"/>
      <c r="R7" s="146"/>
      <c r="S7" s="146"/>
      <c r="T7" s="146"/>
      <c r="U7" s="146"/>
      <c r="V7" s="175"/>
      <c r="W7" s="175"/>
      <c r="X7" s="175"/>
      <c r="Y7" s="175"/>
      <c r="Z7" s="175"/>
      <c r="AA7" s="175"/>
      <c r="AB7" s="153"/>
      <c r="AC7" s="153"/>
      <c r="AD7" s="176"/>
      <c r="AE7" s="176"/>
      <c r="AF7" s="176"/>
      <c r="AG7" s="176"/>
      <c r="AH7" s="185"/>
    </row>
    <row r="8" spans="2:50" x14ac:dyDescent="0.15">
      <c r="B8" s="143"/>
      <c r="C8" s="146" t="s">
        <v>4</v>
      </c>
      <c r="D8" s="153"/>
      <c r="E8" s="153"/>
      <c r="F8" s="153"/>
      <c r="G8" s="115" t="s">
        <v>122</v>
      </c>
      <c r="H8" s="116"/>
      <c r="I8" s="116"/>
      <c r="J8" s="116"/>
      <c r="K8" s="116"/>
      <c r="L8" s="116"/>
      <c r="M8" s="116"/>
      <c r="N8" s="116"/>
      <c r="O8" s="116"/>
      <c r="P8" s="116"/>
      <c r="Q8" s="143"/>
      <c r="R8" s="146" t="s">
        <v>4</v>
      </c>
      <c r="S8" s="146"/>
      <c r="T8" s="146"/>
      <c r="U8" s="146"/>
      <c r="V8" s="183" t="s">
        <v>158</v>
      </c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4"/>
    </row>
    <row r="9" spans="2:50" x14ac:dyDescent="0.15">
      <c r="B9" s="143"/>
      <c r="C9" s="153"/>
      <c r="D9" s="153"/>
      <c r="E9" s="153"/>
      <c r="F9" s="153"/>
      <c r="G9" s="117"/>
      <c r="H9" s="118"/>
      <c r="I9" s="118"/>
      <c r="J9" s="118"/>
      <c r="K9" s="118"/>
      <c r="L9" s="118"/>
      <c r="M9" s="118"/>
      <c r="N9" s="118"/>
      <c r="O9" s="118"/>
      <c r="P9" s="118"/>
      <c r="Q9" s="143"/>
      <c r="R9" s="146"/>
      <c r="S9" s="146"/>
      <c r="T9" s="146"/>
      <c r="U9" s="146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4"/>
    </row>
    <row r="10" spans="2:50" ht="13.5" customHeight="1" x14ac:dyDescent="0.15">
      <c r="B10" s="143"/>
      <c r="C10" s="146" t="s">
        <v>6</v>
      </c>
      <c r="D10" s="146"/>
      <c r="E10" s="146"/>
      <c r="F10" s="146"/>
      <c r="G10" s="169"/>
      <c r="H10" s="170"/>
      <c r="I10" s="170"/>
      <c r="J10" s="170"/>
      <c r="K10" s="170"/>
      <c r="L10" s="170"/>
      <c r="M10" s="170"/>
      <c r="N10" s="170"/>
      <c r="O10" s="170"/>
      <c r="P10" s="171"/>
      <c r="Q10" s="143"/>
      <c r="R10" s="153" t="s">
        <v>13</v>
      </c>
      <c r="S10" s="153"/>
      <c r="T10" s="153"/>
      <c r="U10" s="153"/>
      <c r="V10" s="175" t="s">
        <v>159</v>
      </c>
      <c r="W10" s="176"/>
      <c r="X10" s="176"/>
      <c r="Y10" s="176"/>
      <c r="Z10" s="176"/>
      <c r="AA10" s="176"/>
      <c r="AB10" s="153" t="s">
        <v>14</v>
      </c>
      <c r="AC10" s="153"/>
      <c r="AD10" s="178" t="s">
        <v>160</v>
      </c>
      <c r="AE10" s="179"/>
      <c r="AF10" s="179"/>
      <c r="AG10" s="179"/>
      <c r="AH10" s="180"/>
    </row>
    <row r="11" spans="2:50" ht="14.25" thickBot="1" x14ac:dyDescent="0.2">
      <c r="B11" s="144"/>
      <c r="C11" s="168"/>
      <c r="D11" s="168"/>
      <c r="E11" s="168"/>
      <c r="F11" s="168"/>
      <c r="G11" s="172"/>
      <c r="H11" s="172"/>
      <c r="I11" s="172"/>
      <c r="J11" s="172"/>
      <c r="K11" s="172"/>
      <c r="L11" s="172"/>
      <c r="M11" s="172"/>
      <c r="N11" s="172"/>
      <c r="O11" s="172"/>
      <c r="P11" s="173"/>
      <c r="Q11" s="144"/>
      <c r="R11" s="174"/>
      <c r="S11" s="174"/>
      <c r="T11" s="174"/>
      <c r="U11" s="174"/>
      <c r="V11" s="177"/>
      <c r="W11" s="177"/>
      <c r="X11" s="177"/>
      <c r="Y11" s="177"/>
      <c r="Z11" s="177"/>
      <c r="AA11" s="177"/>
      <c r="AB11" s="174"/>
      <c r="AC11" s="174"/>
      <c r="AD11" s="181"/>
      <c r="AE11" s="181"/>
      <c r="AF11" s="181"/>
      <c r="AG11" s="181"/>
      <c r="AH11" s="182"/>
    </row>
    <row r="12" spans="2:50" ht="20.100000000000001" customHeight="1" x14ac:dyDescent="0.15">
      <c r="B12" s="29" t="s">
        <v>10</v>
      </c>
      <c r="C12" s="30" t="s">
        <v>7</v>
      </c>
      <c r="D12" s="28" t="s">
        <v>8</v>
      </c>
      <c r="E12" s="123" t="s">
        <v>9</v>
      </c>
      <c r="F12" s="124"/>
      <c r="G12" s="124"/>
      <c r="H12" s="124"/>
      <c r="I12" s="124"/>
      <c r="J12" s="124"/>
      <c r="K12" s="124"/>
      <c r="L12" s="124"/>
      <c r="M12" s="130" t="s">
        <v>16</v>
      </c>
      <c r="N12" s="131"/>
      <c r="O12" s="131"/>
      <c r="P12" s="186"/>
      <c r="Q12" s="125" t="s">
        <v>20</v>
      </c>
      <c r="R12" s="126"/>
      <c r="S12" s="127"/>
      <c r="T12" s="125" t="s">
        <v>38</v>
      </c>
      <c r="U12" s="126"/>
      <c r="V12" s="127"/>
      <c r="W12" s="128" t="s">
        <v>42</v>
      </c>
      <c r="X12" s="128"/>
      <c r="Y12" s="128"/>
      <c r="Z12" s="129"/>
      <c r="AA12" s="130" t="s">
        <v>19</v>
      </c>
      <c r="AB12" s="131"/>
      <c r="AC12" s="131"/>
      <c r="AD12" s="131"/>
      <c r="AE12" s="131"/>
      <c r="AF12" s="131"/>
      <c r="AG12" s="131"/>
      <c r="AH12" s="132"/>
    </row>
    <row r="13" spans="2:50" ht="20.100000000000001" customHeight="1" x14ac:dyDescent="0.15">
      <c r="B13" s="133">
        <f>'제주냉장센터(더원)'!B13</f>
        <v>46314</v>
      </c>
      <c r="C13" s="102"/>
      <c r="D13" s="134"/>
      <c r="E13" s="119" t="s">
        <v>172</v>
      </c>
      <c r="F13" s="120"/>
      <c r="G13" s="120"/>
      <c r="H13" s="120"/>
      <c r="I13" s="120"/>
      <c r="J13" s="120"/>
      <c r="K13" s="120"/>
      <c r="L13" s="120"/>
      <c r="M13" s="108">
        <v>36</v>
      </c>
      <c r="N13" s="109"/>
      <c r="O13" s="109"/>
      <c r="P13" s="110"/>
      <c r="Q13" s="111">
        <f>IFERROR(VLOOKUP(B1,은성파머스피벗발주량!A:DC,2,FALSE),0)</f>
        <v>0</v>
      </c>
      <c r="R13" s="112"/>
      <c r="S13" s="113"/>
      <c r="T13" s="114">
        <f t="shared" ref="T13" si="0">IFERROR(ROUNDDOWN(Q13/M13,0),"")</f>
        <v>0</v>
      </c>
      <c r="U13" s="103"/>
      <c r="V13" s="103"/>
      <c r="W13" s="99">
        <f t="shared" ref="W13" si="1">IFERROR(Q13-(T13*M13),"")</f>
        <v>0</v>
      </c>
      <c r="X13" s="100"/>
      <c r="Y13" s="100"/>
      <c r="Z13" s="101"/>
      <c r="AA13" s="121">
        <f>B13+4</f>
        <v>46318</v>
      </c>
      <c r="AB13" s="103"/>
      <c r="AC13" s="103"/>
      <c r="AD13" s="103"/>
      <c r="AE13" s="103"/>
      <c r="AF13" s="103"/>
      <c r="AG13" s="103"/>
      <c r="AH13" s="104"/>
      <c r="AJ13" s="56"/>
      <c r="AK13" s="48"/>
      <c r="AL13" s="48"/>
      <c r="AM13" s="48"/>
      <c r="AN13" s="48"/>
      <c r="AO13" s="48"/>
      <c r="AP13" s="48"/>
      <c r="AQ13" s="48"/>
      <c r="AR13" s="48"/>
      <c r="AS13" s="56"/>
      <c r="AT13" s="56"/>
      <c r="AU13" s="56"/>
      <c r="AV13" s="56"/>
      <c r="AW13" s="56"/>
      <c r="AX13" s="56"/>
    </row>
    <row r="14" spans="2:50" ht="20.100000000000001" customHeight="1" x14ac:dyDescent="0.15">
      <c r="B14" s="61"/>
      <c r="C14" s="62"/>
      <c r="D14" s="57"/>
      <c r="E14" s="119" t="s">
        <v>173</v>
      </c>
      <c r="F14" s="120"/>
      <c r="G14" s="120"/>
      <c r="H14" s="120"/>
      <c r="I14" s="120"/>
      <c r="J14" s="120"/>
      <c r="K14" s="120"/>
      <c r="L14" s="120"/>
      <c r="M14" s="108">
        <v>30</v>
      </c>
      <c r="N14" s="109"/>
      <c r="O14" s="109"/>
      <c r="P14" s="110"/>
      <c r="Q14" s="111">
        <f>IFERROR(VLOOKUP(B1,은성파머스피벗발주량!A:DC,3,FALSE),0)</f>
        <v>0</v>
      </c>
      <c r="R14" s="112"/>
      <c r="S14" s="113"/>
      <c r="T14" s="114">
        <f t="shared" ref="T14:T23" si="2">IFERROR(ROUNDDOWN(Q14/M14,0),"")</f>
        <v>0</v>
      </c>
      <c r="U14" s="103"/>
      <c r="V14" s="103"/>
      <c r="W14" s="99">
        <f t="shared" ref="W14:W23" si="3">IFERROR(Q14-(T14*M14),"")</f>
        <v>0</v>
      </c>
      <c r="X14" s="100"/>
      <c r="Y14" s="100"/>
      <c r="Z14" s="101"/>
      <c r="AA14" s="121">
        <f>B13+4</f>
        <v>46318</v>
      </c>
      <c r="AB14" s="103"/>
      <c r="AC14" s="103"/>
      <c r="AD14" s="103"/>
      <c r="AE14" s="103"/>
      <c r="AF14" s="103"/>
      <c r="AG14" s="103"/>
      <c r="AH14" s="104"/>
      <c r="AJ14" s="56"/>
      <c r="AK14" s="48"/>
      <c r="AL14" s="48"/>
      <c r="AM14" s="48"/>
      <c r="AN14" s="48"/>
      <c r="AO14" s="48"/>
      <c r="AP14" s="48"/>
      <c r="AQ14" s="48"/>
      <c r="AR14" s="48"/>
      <c r="AS14" s="56"/>
      <c r="AT14" s="56"/>
      <c r="AU14" s="56"/>
      <c r="AV14" s="56"/>
      <c r="AW14" s="56"/>
      <c r="AX14" s="56"/>
    </row>
    <row r="15" spans="2:50" ht="20.100000000000001" customHeight="1" x14ac:dyDescent="0.15">
      <c r="B15" s="61"/>
      <c r="C15" s="62"/>
      <c r="D15" s="57"/>
      <c r="E15" s="119" t="s">
        <v>174</v>
      </c>
      <c r="F15" s="120"/>
      <c r="G15" s="120"/>
      <c r="H15" s="120"/>
      <c r="I15" s="120"/>
      <c r="J15" s="120"/>
      <c r="K15" s="120"/>
      <c r="L15" s="120"/>
      <c r="M15" s="108">
        <v>30</v>
      </c>
      <c r="N15" s="109"/>
      <c r="O15" s="109"/>
      <c r="P15" s="110"/>
      <c r="Q15" s="111">
        <f>IFERROR(VLOOKUP(B1,은성파머스피벗발주량!A:DC,4,FALSE),0)</f>
        <v>0</v>
      </c>
      <c r="R15" s="112"/>
      <c r="S15" s="113"/>
      <c r="T15" s="114">
        <f t="shared" si="2"/>
        <v>0</v>
      </c>
      <c r="U15" s="103"/>
      <c r="V15" s="103"/>
      <c r="W15" s="99">
        <f t="shared" si="3"/>
        <v>0</v>
      </c>
      <c r="X15" s="100"/>
      <c r="Y15" s="100"/>
      <c r="Z15" s="101"/>
      <c r="AA15" s="121">
        <f>B13+4</f>
        <v>46318</v>
      </c>
      <c r="AB15" s="103"/>
      <c r="AC15" s="103"/>
      <c r="AD15" s="103"/>
      <c r="AE15" s="103"/>
      <c r="AF15" s="103"/>
      <c r="AG15" s="103"/>
      <c r="AH15" s="104"/>
      <c r="AJ15" s="56"/>
      <c r="AK15" s="48"/>
      <c r="AL15" s="48"/>
      <c r="AM15" s="48"/>
      <c r="AN15" s="48"/>
      <c r="AO15" s="48"/>
      <c r="AP15" s="48"/>
      <c r="AQ15" s="48"/>
      <c r="AR15" s="48"/>
      <c r="AS15" s="56"/>
      <c r="AT15" s="56"/>
      <c r="AU15" s="56"/>
      <c r="AV15" s="56"/>
      <c r="AW15" s="56"/>
      <c r="AX15" s="56"/>
    </row>
    <row r="16" spans="2:50" ht="20.100000000000001" customHeight="1" x14ac:dyDescent="0.15">
      <c r="B16" s="58" t="s">
        <v>43</v>
      </c>
      <c r="C16" s="59" t="s">
        <v>43</v>
      </c>
      <c r="D16" s="60" t="s">
        <v>43</v>
      </c>
      <c r="E16" s="119" t="s">
        <v>169</v>
      </c>
      <c r="F16" s="120"/>
      <c r="G16" s="120"/>
      <c r="H16" s="120"/>
      <c r="I16" s="120"/>
      <c r="J16" s="120"/>
      <c r="K16" s="120"/>
      <c r="L16" s="120"/>
      <c r="M16" s="108">
        <v>30</v>
      </c>
      <c r="N16" s="109"/>
      <c r="O16" s="109"/>
      <c r="P16" s="110"/>
      <c r="Q16" s="111">
        <f>IFERROR(VLOOKUP(B1,은성파머스피벗발주량!A:DC,5,FALSE),0)</f>
        <v>0</v>
      </c>
      <c r="R16" s="112"/>
      <c r="S16" s="113"/>
      <c r="T16" s="114">
        <f t="shared" si="2"/>
        <v>0</v>
      </c>
      <c r="U16" s="103"/>
      <c r="V16" s="103"/>
      <c r="W16" s="99">
        <f t="shared" si="3"/>
        <v>0</v>
      </c>
      <c r="X16" s="100"/>
      <c r="Y16" s="100"/>
      <c r="Z16" s="101"/>
      <c r="AA16" s="121">
        <f>B13+4</f>
        <v>46318</v>
      </c>
      <c r="AB16" s="103"/>
      <c r="AC16" s="103"/>
      <c r="AD16" s="103"/>
      <c r="AE16" s="103"/>
      <c r="AF16" s="103"/>
      <c r="AG16" s="103"/>
      <c r="AH16" s="104"/>
      <c r="AJ16" s="56"/>
      <c r="AK16" s="48"/>
      <c r="AL16" s="48"/>
      <c r="AM16" s="48"/>
      <c r="AN16" s="48"/>
      <c r="AO16" s="48"/>
      <c r="AP16" s="48"/>
      <c r="AQ16" s="48"/>
      <c r="AR16" s="48"/>
      <c r="AS16" s="56"/>
      <c r="AT16" s="56"/>
      <c r="AU16" s="56"/>
      <c r="AV16" s="56"/>
      <c r="AW16" s="56"/>
      <c r="AX16" s="56"/>
    </row>
    <row r="17" spans="2:50" ht="20.100000000000001" customHeight="1" x14ac:dyDescent="0.15">
      <c r="B17" s="69" t="s">
        <v>43</v>
      </c>
      <c r="C17" s="70" t="s">
        <v>43</v>
      </c>
      <c r="D17" s="60" t="s">
        <v>43</v>
      </c>
      <c r="E17" s="119" t="s">
        <v>175</v>
      </c>
      <c r="F17" s="120"/>
      <c r="G17" s="120"/>
      <c r="H17" s="120"/>
      <c r="I17" s="120"/>
      <c r="J17" s="120"/>
      <c r="K17" s="120"/>
      <c r="L17" s="120"/>
      <c r="M17" s="108">
        <v>36</v>
      </c>
      <c r="N17" s="109"/>
      <c r="O17" s="109"/>
      <c r="P17" s="110"/>
      <c r="Q17" s="111">
        <f>IFERROR(VLOOKUP(B1,은성파머스피벗발주량!A:DC,6,FALSE),0)</f>
        <v>0</v>
      </c>
      <c r="R17" s="112"/>
      <c r="S17" s="113"/>
      <c r="T17" s="114">
        <f t="shared" ref="T17" si="4">IFERROR(ROUNDDOWN(Q17/M17,0),"")</f>
        <v>0</v>
      </c>
      <c r="U17" s="103"/>
      <c r="V17" s="103"/>
      <c r="W17" s="99">
        <f t="shared" ref="W17" si="5">IFERROR(Q17-(T17*M17),"")</f>
        <v>0</v>
      </c>
      <c r="X17" s="100"/>
      <c r="Y17" s="100"/>
      <c r="Z17" s="101"/>
      <c r="AA17" s="121">
        <f>B13+4</f>
        <v>46318</v>
      </c>
      <c r="AB17" s="103"/>
      <c r="AC17" s="103"/>
      <c r="AD17" s="103"/>
      <c r="AE17" s="103"/>
      <c r="AF17" s="103"/>
      <c r="AG17" s="103"/>
      <c r="AH17" s="104"/>
      <c r="AJ17" s="56"/>
      <c r="AK17" s="48"/>
      <c r="AL17" s="48"/>
      <c r="AM17" s="48"/>
      <c r="AN17" s="48"/>
      <c r="AO17" s="48"/>
      <c r="AP17" s="48"/>
      <c r="AQ17" s="48"/>
      <c r="AR17" s="48"/>
      <c r="AS17" s="56"/>
      <c r="AT17" s="56"/>
      <c r="AU17" s="56"/>
      <c r="AV17" s="56"/>
      <c r="AW17" s="56"/>
      <c r="AX17" s="56"/>
    </row>
    <row r="18" spans="2:50" ht="20.100000000000001" customHeight="1" x14ac:dyDescent="0.15">
      <c r="B18" s="33" t="s">
        <v>43</v>
      </c>
      <c r="C18" s="34" t="s">
        <v>43</v>
      </c>
      <c r="D18" s="34" t="s">
        <v>43</v>
      </c>
      <c r="E18" s="119" t="s">
        <v>167</v>
      </c>
      <c r="F18" s="120"/>
      <c r="G18" s="120"/>
      <c r="H18" s="120"/>
      <c r="I18" s="120"/>
      <c r="J18" s="120"/>
      <c r="K18" s="120"/>
      <c r="L18" s="120"/>
      <c r="M18" s="108">
        <v>30</v>
      </c>
      <c r="N18" s="109"/>
      <c r="O18" s="109"/>
      <c r="P18" s="110"/>
      <c r="Q18" s="111">
        <f>IFERROR(VLOOKUP(B1,은성파머스피벗발주량!A:DC,7,FALSE),0)</f>
        <v>35</v>
      </c>
      <c r="R18" s="112"/>
      <c r="S18" s="113"/>
      <c r="T18" s="114">
        <f t="shared" si="2"/>
        <v>1</v>
      </c>
      <c r="U18" s="103"/>
      <c r="V18" s="103"/>
      <c r="W18" s="99">
        <f t="shared" si="3"/>
        <v>5</v>
      </c>
      <c r="X18" s="100"/>
      <c r="Y18" s="100"/>
      <c r="Z18" s="101"/>
      <c r="AA18" s="121">
        <f>B13+4</f>
        <v>46318</v>
      </c>
      <c r="AB18" s="103"/>
      <c r="AC18" s="103"/>
      <c r="AD18" s="103"/>
      <c r="AE18" s="103"/>
      <c r="AF18" s="103"/>
      <c r="AG18" s="103"/>
      <c r="AH18" s="104"/>
      <c r="AJ18" s="56"/>
      <c r="AK18" s="56"/>
      <c r="AL18" s="48"/>
      <c r="AM18" s="48"/>
      <c r="AN18" s="48"/>
      <c r="AO18" s="48"/>
      <c r="AP18" s="48"/>
      <c r="AQ18" s="48"/>
      <c r="AR18" s="48"/>
      <c r="AS18" s="56"/>
      <c r="AT18" s="56"/>
      <c r="AU18" s="56"/>
      <c r="AV18" s="56"/>
      <c r="AW18" s="56"/>
      <c r="AX18" s="56"/>
    </row>
    <row r="19" spans="2:50" ht="20.100000000000001" customHeight="1" x14ac:dyDescent="0.15">
      <c r="B19" s="33" t="s">
        <v>43</v>
      </c>
      <c r="C19" s="34" t="s">
        <v>43</v>
      </c>
      <c r="D19" s="34" t="s">
        <v>43</v>
      </c>
      <c r="E19" s="119" t="s">
        <v>177</v>
      </c>
      <c r="F19" s="120"/>
      <c r="G19" s="120"/>
      <c r="H19" s="120"/>
      <c r="I19" s="120"/>
      <c r="J19" s="120"/>
      <c r="K19" s="120"/>
      <c r="L19" s="120"/>
      <c r="M19" s="108">
        <v>30</v>
      </c>
      <c r="N19" s="109"/>
      <c r="O19" s="109"/>
      <c r="P19" s="110"/>
      <c r="Q19" s="111">
        <f>IFERROR(VLOOKUP(B1,은성파머스피벗발주량!A:DC,8,FALSE),0)</f>
        <v>51</v>
      </c>
      <c r="R19" s="112"/>
      <c r="S19" s="113"/>
      <c r="T19" s="114">
        <f t="shared" ref="T19" si="6">IFERROR(ROUNDDOWN(Q19/M19,0),"")</f>
        <v>1</v>
      </c>
      <c r="U19" s="103"/>
      <c r="V19" s="103"/>
      <c r="W19" s="99">
        <f t="shared" ref="W19" si="7">IFERROR(Q19-(T19*M19),"")</f>
        <v>21</v>
      </c>
      <c r="X19" s="100"/>
      <c r="Y19" s="100"/>
      <c r="Z19" s="101"/>
      <c r="AA19" s="121">
        <f>B13+4</f>
        <v>46318</v>
      </c>
      <c r="AB19" s="103"/>
      <c r="AC19" s="103"/>
      <c r="AD19" s="103"/>
      <c r="AE19" s="103"/>
      <c r="AF19" s="103"/>
      <c r="AG19" s="103"/>
      <c r="AH19" s="104"/>
      <c r="AJ19" s="56"/>
      <c r="AK19" s="56"/>
      <c r="AL19" s="48"/>
      <c r="AM19" s="48"/>
      <c r="AN19" s="48"/>
      <c r="AO19" s="48"/>
      <c r="AP19" s="48"/>
      <c r="AQ19" s="48"/>
      <c r="AR19" s="48"/>
      <c r="AS19" s="56"/>
      <c r="AT19" s="56"/>
      <c r="AU19" s="56"/>
      <c r="AV19" s="56"/>
      <c r="AW19" s="56"/>
      <c r="AX19" s="56"/>
    </row>
    <row r="20" spans="2:50" ht="20.100000000000001" customHeight="1" x14ac:dyDescent="0.15">
      <c r="B20" s="33" t="s">
        <v>43</v>
      </c>
      <c r="C20" s="34" t="s">
        <v>43</v>
      </c>
      <c r="D20" s="34" t="s">
        <v>43</v>
      </c>
      <c r="E20" s="119" t="s">
        <v>165</v>
      </c>
      <c r="F20" s="120"/>
      <c r="G20" s="120"/>
      <c r="H20" s="120"/>
      <c r="I20" s="120"/>
      <c r="J20" s="120"/>
      <c r="K20" s="120"/>
      <c r="L20" s="120"/>
      <c r="M20" s="108">
        <v>30</v>
      </c>
      <c r="N20" s="109"/>
      <c r="O20" s="109"/>
      <c r="P20" s="110"/>
      <c r="Q20" s="111">
        <f>IFERROR(VLOOKUP(B1,은성파머스피벗발주량!A:DC,9,FALSE),0)</f>
        <v>65</v>
      </c>
      <c r="R20" s="112"/>
      <c r="S20" s="113"/>
      <c r="T20" s="114">
        <f t="shared" si="2"/>
        <v>2</v>
      </c>
      <c r="U20" s="103"/>
      <c r="V20" s="103"/>
      <c r="W20" s="99">
        <f t="shared" si="3"/>
        <v>5</v>
      </c>
      <c r="X20" s="100"/>
      <c r="Y20" s="100"/>
      <c r="Z20" s="101"/>
      <c r="AA20" s="121">
        <f>B13+4</f>
        <v>46318</v>
      </c>
      <c r="AB20" s="103"/>
      <c r="AC20" s="103"/>
      <c r="AD20" s="103"/>
      <c r="AE20" s="103"/>
      <c r="AF20" s="103"/>
      <c r="AG20" s="103"/>
      <c r="AH20" s="104"/>
      <c r="AJ20" s="56"/>
      <c r="AK20" s="48"/>
      <c r="AL20" s="48"/>
      <c r="AM20" s="48"/>
      <c r="AN20" s="48"/>
      <c r="AO20" s="48"/>
      <c r="AP20" s="48"/>
      <c r="AQ20" s="48"/>
      <c r="AR20" s="48"/>
      <c r="AS20" s="56"/>
      <c r="AT20" s="56"/>
      <c r="AU20" s="56"/>
      <c r="AV20" s="56"/>
      <c r="AW20" s="56"/>
      <c r="AX20" s="56"/>
    </row>
    <row r="21" spans="2:50" ht="20.100000000000001" customHeight="1" x14ac:dyDescent="0.15">
      <c r="B21" s="33"/>
      <c r="C21" s="34"/>
      <c r="D21" s="34"/>
      <c r="E21" s="105" t="s">
        <v>170</v>
      </c>
      <c r="F21" s="106"/>
      <c r="G21" s="106"/>
      <c r="H21" s="106"/>
      <c r="I21" s="106"/>
      <c r="J21" s="106"/>
      <c r="K21" s="106"/>
      <c r="L21" s="107"/>
      <c r="M21" s="108">
        <v>30</v>
      </c>
      <c r="N21" s="109"/>
      <c r="O21" s="109"/>
      <c r="P21" s="110"/>
      <c r="Q21" s="111">
        <f>IFERROR(VLOOKUP(B1,은성파머스피벗발주량!A:DC,10,FALSE),0)</f>
        <v>53</v>
      </c>
      <c r="R21" s="112"/>
      <c r="S21" s="113"/>
      <c r="T21" s="114">
        <f t="shared" si="2"/>
        <v>1</v>
      </c>
      <c r="U21" s="103"/>
      <c r="V21" s="103"/>
      <c r="W21" s="99">
        <f t="shared" si="3"/>
        <v>23</v>
      </c>
      <c r="X21" s="100"/>
      <c r="Y21" s="100"/>
      <c r="Z21" s="101"/>
      <c r="AA21" s="121">
        <f>B13+4</f>
        <v>46318</v>
      </c>
      <c r="AB21" s="103"/>
      <c r="AC21" s="103"/>
      <c r="AD21" s="103"/>
      <c r="AE21" s="103"/>
      <c r="AF21" s="103"/>
      <c r="AG21" s="103"/>
      <c r="AH21" s="104"/>
      <c r="AJ21" s="56"/>
      <c r="AK21" s="48"/>
      <c r="AL21" s="48"/>
      <c r="AM21" s="48"/>
      <c r="AN21" s="48"/>
      <c r="AO21" s="48"/>
      <c r="AP21" s="48"/>
      <c r="AQ21" s="48"/>
      <c r="AR21" s="48"/>
      <c r="AS21" s="56"/>
      <c r="AT21" s="56"/>
      <c r="AU21" s="56"/>
      <c r="AV21" s="56"/>
      <c r="AW21" s="56"/>
      <c r="AX21" s="56"/>
    </row>
    <row r="22" spans="2:50" ht="20.100000000000001" customHeight="1" x14ac:dyDescent="0.15">
      <c r="B22" s="35"/>
      <c r="C22" s="32"/>
      <c r="D22" s="31"/>
      <c r="E22" s="105" t="s">
        <v>163</v>
      </c>
      <c r="F22" s="106"/>
      <c r="G22" s="106"/>
      <c r="H22" s="106"/>
      <c r="I22" s="106"/>
      <c r="J22" s="106"/>
      <c r="K22" s="106"/>
      <c r="L22" s="107"/>
      <c r="M22" s="108">
        <v>36</v>
      </c>
      <c r="N22" s="109"/>
      <c r="O22" s="109"/>
      <c r="P22" s="110"/>
      <c r="Q22" s="111">
        <f>IFERROR(VLOOKUP(B1,은성파머스피벗발주량!A:DC,11,FALSE),0)</f>
        <v>19</v>
      </c>
      <c r="R22" s="112"/>
      <c r="S22" s="113"/>
      <c r="T22" s="114">
        <f t="shared" si="2"/>
        <v>0</v>
      </c>
      <c r="U22" s="103"/>
      <c r="V22" s="103"/>
      <c r="W22" s="99">
        <f t="shared" si="3"/>
        <v>19</v>
      </c>
      <c r="X22" s="100"/>
      <c r="Y22" s="100"/>
      <c r="Z22" s="101"/>
      <c r="AA22" s="121">
        <f>B13+4</f>
        <v>46318</v>
      </c>
      <c r="AB22" s="103"/>
      <c r="AC22" s="103"/>
      <c r="AD22" s="103"/>
      <c r="AE22" s="103"/>
      <c r="AF22" s="103"/>
      <c r="AG22" s="103"/>
      <c r="AH22" s="104"/>
    </row>
    <row r="23" spans="2:50" ht="20.100000000000001" customHeight="1" x14ac:dyDescent="0.15">
      <c r="B23" s="35"/>
      <c r="C23" s="32"/>
      <c r="D23" s="31"/>
      <c r="E23" s="119" t="s">
        <v>171</v>
      </c>
      <c r="F23" s="120"/>
      <c r="G23" s="120"/>
      <c r="H23" s="120"/>
      <c r="I23" s="120"/>
      <c r="J23" s="120"/>
      <c r="K23" s="120"/>
      <c r="L23" s="120"/>
      <c r="M23" s="108">
        <v>36</v>
      </c>
      <c r="N23" s="109"/>
      <c r="O23" s="109"/>
      <c r="P23" s="110"/>
      <c r="Q23" s="111">
        <f>IFERROR(VLOOKUP(B1,은성파머스피벗발주량!A:DC,12,FALSE),0)</f>
        <v>16</v>
      </c>
      <c r="R23" s="112"/>
      <c r="S23" s="113"/>
      <c r="T23" s="114">
        <f t="shared" si="2"/>
        <v>0</v>
      </c>
      <c r="U23" s="103"/>
      <c r="V23" s="103"/>
      <c r="W23" s="99">
        <f t="shared" si="3"/>
        <v>16</v>
      </c>
      <c r="X23" s="100"/>
      <c r="Y23" s="100"/>
      <c r="Z23" s="101"/>
      <c r="AA23" s="121">
        <f>B13+4</f>
        <v>46318</v>
      </c>
      <c r="AB23" s="103"/>
      <c r="AC23" s="103"/>
      <c r="AD23" s="103"/>
      <c r="AE23" s="103"/>
      <c r="AF23" s="103"/>
      <c r="AG23" s="103"/>
      <c r="AH23" s="104"/>
    </row>
    <row r="24" spans="2:50" ht="20.100000000000001" customHeight="1" thickBot="1" x14ac:dyDescent="0.2">
      <c r="B24" s="187" t="s">
        <v>20</v>
      </c>
      <c r="C24" s="188"/>
      <c r="D24" s="189"/>
      <c r="E24" s="190"/>
      <c r="F24" s="191"/>
      <c r="G24" s="191"/>
      <c r="H24" s="191"/>
      <c r="I24" s="191"/>
      <c r="J24" s="191"/>
      <c r="K24" s="191"/>
      <c r="L24" s="191"/>
      <c r="M24" s="192">
        <f>SUM(Q13:S23)</f>
        <v>239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4"/>
      <c r="AA24" s="195"/>
      <c r="AB24" s="195"/>
      <c r="AC24" s="195"/>
      <c r="AD24" s="195"/>
      <c r="AE24" s="195"/>
      <c r="AF24" s="195"/>
      <c r="AG24" s="195"/>
      <c r="AH24" s="196"/>
    </row>
    <row r="25" spans="2:50" ht="17.100000000000001" customHeight="1" x14ac:dyDescent="0.15">
      <c r="B25" s="197" t="s">
        <v>17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9"/>
      <c r="W25" s="203" t="s">
        <v>123</v>
      </c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50" ht="17.100000000000001" customHeight="1" thickBot="1" x14ac:dyDescent="0.2">
      <c r="B26" s="200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2"/>
      <c r="W26" s="206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8"/>
    </row>
    <row r="27" spans="2:50" ht="9.9499999999999993" customHeight="1" x14ac:dyDescent="0.15"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B27" s="37"/>
      <c r="AC27" s="37"/>
      <c r="AD27" s="37"/>
      <c r="AE27" s="37"/>
      <c r="AF27" s="37"/>
      <c r="AG27" s="37"/>
      <c r="AH27" s="37"/>
    </row>
    <row r="28" spans="2:50" ht="9.9499999999999993" customHeight="1" thickBot="1" x14ac:dyDescent="0.2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</row>
    <row r="29" spans="2:50" ht="20.100000000000001" customHeight="1" x14ac:dyDescent="0.15">
      <c r="B29" s="218" t="s">
        <v>132</v>
      </c>
      <c r="C29" s="219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1"/>
    </row>
    <row r="30" spans="2:50" ht="20.100000000000001" customHeight="1" x14ac:dyDescent="0.15">
      <c r="B30" s="222"/>
      <c r="C30" s="223"/>
      <c r="D30" s="224"/>
      <c r="E30" s="224"/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  <c r="AD30" s="224"/>
      <c r="AE30" s="224"/>
      <c r="AF30" s="224"/>
      <c r="AG30" s="224"/>
      <c r="AH30" s="225"/>
    </row>
    <row r="31" spans="2:50" ht="13.5" customHeight="1" x14ac:dyDescent="0.15">
      <c r="B31" s="226" t="s">
        <v>0</v>
      </c>
      <c r="C31" s="73" t="str">
        <f>C4</f>
        <v>등록번호</v>
      </c>
      <c r="D31" s="73"/>
      <c r="E31" s="73"/>
      <c r="F31" s="73"/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73" t="s">
        <v>2</v>
      </c>
      <c r="R31" s="90" t="s">
        <v>3</v>
      </c>
      <c r="S31" s="90"/>
      <c r="T31" s="90"/>
      <c r="U31" s="90"/>
      <c r="V31" s="71" t="str">
        <f>V4</f>
        <v>308-87-03289</v>
      </c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2:50" x14ac:dyDescent="0.15">
      <c r="B32" s="226"/>
      <c r="C32" s="73"/>
      <c r="D32" s="73"/>
      <c r="E32" s="73"/>
      <c r="F32" s="73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73"/>
      <c r="R32" s="90"/>
      <c r="S32" s="90"/>
      <c r="T32" s="90"/>
      <c r="U32" s="90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15">
      <c r="B33" s="226"/>
      <c r="C33" s="73" t="str">
        <f>C6</f>
        <v>상 호
(법인명)</v>
      </c>
      <c r="D33" s="73"/>
      <c r="E33" s="73"/>
      <c r="F33" s="73"/>
      <c r="G33" s="74" t="str">
        <f>G6</f>
        <v>세븐일레븐</v>
      </c>
      <c r="H33" s="75"/>
      <c r="I33" s="75"/>
      <c r="J33" s="75"/>
      <c r="K33" s="76"/>
      <c r="L33" s="74" t="str">
        <f>L6</f>
        <v>해인기흥저온센터</v>
      </c>
      <c r="M33" s="75"/>
      <c r="N33" s="75"/>
      <c r="O33" s="75"/>
      <c r="P33" s="76"/>
      <c r="Q33" s="73"/>
      <c r="R33" s="73" t="s">
        <v>1</v>
      </c>
      <c r="S33" s="73"/>
      <c r="T33" s="73"/>
      <c r="U33" s="73"/>
      <c r="V33" s="211" t="str">
        <f>V6</f>
        <v>주식회사 은성파머스</v>
      </c>
      <c r="W33" s="211"/>
      <c r="X33" s="211"/>
      <c r="Y33" s="211"/>
      <c r="Z33" s="211"/>
      <c r="AA33" s="211"/>
      <c r="AB33" s="90" t="s">
        <v>5</v>
      </c>
      <c r="AC33" s="90"/>
      <c r="AD33" s="211" t="str">
        <f>AD6</f>
        <v>안은엽</v>
      </c>
      <c r="AE33" s="211"/>
      <c r="AF33" s="211"/>
      <c r="AG33" s="211"/>
      <c r="AH33" s="213"/>
    </row>
    <row r="34" spans="1:34" x14ac:dyDescent="0.15">
      <c r="B34" s="226"/>
      <c r="C34" s="73"/>
      <c r="D34" s="73"/>
      <c r="E34" s="73"/>
      <c r="F34" s="73"/>
      <c r="G34" s="77"/>
      <c r="H34" s="78"/>
      <c r="I34" s="78"/>
      <c r="J34" s="78"/>
      <c r="K34" s="79"/>
      <c r="L34" s="77"/>
      <c r="M34" s="78"/>
      <c r="N34" s="78"/>
      <c r="O34" s="78"/>
      <c r="P34" s="79"/>
      <c r="Q34" s="73"/>
      <c r="R34" s="73"/>
      <c r="S34" s="73"/>
      <c r="T34" s="73"/>
      <c r="U34" s="73"/>
      <c r="V34" s="211"/>
      <c r="W34" s="211"/>
      <c r="X34" s="211"/>
      <c r="Y34" s="211"/>
      <c r="Z34" s="211"/>
      <c r="AA34" s="211"/>
      <c r="AB34" s="90"/>
      <c r="AC34" s="90"/>
      <c r="AD34" s="211"/>
      <c r="AE34" s="211"/>
      <c r="AF34" s="211"/>
      <c r="AG34" s="211"/>
      <c r="AH34" s="213"/>
    </row>
    <row r="35" spans="1:34" x14ac:dyDescent="0.15">
      <c r="B35" s="226"/>
      <c r="C35" s="73" t="s">
        <v>4</v>
      </c>
      <c r="D35" s="90"/>
      <c r="E35" s="90"/>
      <c r="F35" s="90"/>
      <c r="G35" s="215" t="str">
        <f>G8</f>
        <v>경기도 용인시 기흥구 원고매로
12-1(고매동453-5)</v>
      </c>
      <c r="H35" s="215"/>
      <c r="I35" s="215"/>
      <c r="J35" s="215"/>
      <c r="K35" s="215"/>
      <c r="L35" s="215"/>
      <c r="M35" s="215"/>
      <c r="N35" s="215"/>
      <c r="O35" s="215"/>
      <c r="P35" s="215"/>
      <c r="Q35" s="73"/>
      <c r="R35" s="73" t="s">
        <v>4</v>
      </c>
      <c r="S35" s="73"/>
      <c r="T35" s="73"/>
      <c r="U35" s="73"/>
      <c r="V35" s="216" t="str">
        <f>V8</f>
        <v>경기도 여주시 세종대왕면 매류1길 45</v>
      </c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  <c r="AH35" s="217"/>
    </row>
    <row r="36" spans="1:34" x14ac:dyDescent="0.15">
      <c r="B36" s="226"/>
      <c r="C36" s="90"/>
      <c r="D36" s="90"/>
      <c r="E36" s="90"/>
      <c r="F36" s="90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73"/>
      <c r="R36" s="73"/>
      <c r="S36" s="73"/>
      <c r="T36" s="73"/>
      <c r="U36" s="73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7"/>
    </row>
    <row r="37" spans="1:34" ht="13.5" customHeight="1" x14ac:dyDescent="0.15">
      <c r="B37" s="226"/>
      <c r="C37" s="73" t="s">
        <v>6</v>
      </c>
      <c r="D37" s="73"/>
      <c r="E37" s="73"/>
      <c r="F37" s="73"/>
      <c r="G37" s="80"/>
      <c r="H37" s="81"/>
      <c r="I37" s="81"/>
      <c r="J37" s="81"/>
      <c r="K37" s="81"/>
      <c r="L37" s="81"/>
      <c r="M37" s="81"/>
      <c r="N37" s="81"/>
      <c r="O37" s="81"/>
      <c r="P37" s="81"/>
      <c r="Q37" s="73"/>
      <c r="R37" s="90" t="s">
        <v>13</v>
      </c>
      <c r="S37" s="90"/>
      <c r="T37" s="90"/>
      <c r="U37" s="90"/>
      <c r="V37" s="210" t="str">
        <f>V10</f>
        <v>도소매</v>
      </c>
      <c r="W37" s="211"/>
      <c r="X37" s="211"/>
      <c r="Y37" s="211"/>
      <c r="Z37" s="211"/>
      <c r="AA37" s="211"/>
      <c r="AB37" s="90" t="str">
        <f>AB10</f>
        <v>종 목</v>
      </c>
      <c r="AC37" s="90"/>
      <c r="AD37" s="210" t="s">
        <v>84</v>
      </c>
      <c r="AE37" s="211"/>
      <c r="AF37" s="211"/>
      <c r="AG37" s="211"/>
      <c r="AH37" s="213"/>
    </row>
    <row r="38" spans="1:34" x14ac:dyDescent="0.15">
      <c r="B38" s="226"/>
      <c r="C38" s="73"/>
      <c r="D38" s="73"/>
      <c r="E38" s="73"/>
      <c r="F38" s="73"/>
      <c r="G38" s="81"/>
      <c r="H38" s="81"/>
      <c r="I38" s="81"/>
      <c r="J38" s="81"/>
      <c r="K38" s="81"/>
      <c r="L38" s="81"/>
      <c r="M38" s="82"/>
      <c r="N38" s="82"/>
      <c r="O38" s="82"/>
      <c r="P38" s="82"/>
      <c r="Q38" s="228"/>
      <c r="R38" s="209"/>
      <c r="S38" s="209"/>
      <c r="T38" s="209"/>
      <c r="U38" s="209"/>
      <c r="V38" s="212"/>
      <c r="W38" s="212"/>
      <c r="X38" s="212"/>
      <c r="Y38" s="212"/>
      <c r="Z38" s="212"/>
      <c r="AA38" s="212"/>
      <c r="AB38" s="209"/>
      <c r="AC38" s="209"/>
      <c r="AD38" s="212"/>
      <c r="AE38" s="212"/>
      <c r="AF38" s="212"/>
      <c r="AG38" s="212"/>
      <c r="AH38" s="214"/>
    </row>
    <row r="39" spans="1:34" ht="20.100000000000001" customHeight="1" x14ac:dyDescent="0.15">
      <c r="B39" s="40" t="s">
        <v>10</v>
      </c>
      <c r="C39" s="41" t="s">
        <v>7</v>
      </c>
      <c r="D39" s="39" t="s">
        <v>8</v>
      </c>
      <c r="E39" s="90" t="s">
        <v>9</v>
      </c>
      <c r="F39" s="91"/>
      <c r="G39" s="91"/>
      <c r="H39" s="91"/>
      <c r="I39" s="91"/>
      <c r="J39" s="91"/>
      <c r="K39" s="91"/>
      <c r="L39" s="92"/>
      <c r="M39" s="88" t="s">
        <v>16</v>
      </c>
      <c r="N39" s="88"/>
      <c r="O39" s="88"/>
      <c r="P39" s="88"/>
      <c r="Q39" s="93" t="s">
        <v>20</v>
      </c>
      <c r="R39" s="93"/>
      <c r="S39" s="93"/>
      <c r="T39" s="93" t="s">
        <v>38</v>
      </c>
      <c r="U39" s="93"/>
      <c r="V39" s="93"/>
      <c r="W39" s="88" t="s">
        <v>42</v>
      </c>
      <c r="X39" s="88"/>
      <c r="Y39" s="88"/>
      <c r="Z39" s="88"/>
      <c r="AA39" s="87" t="s">
        <v>19</v>
      </c>
      <c r="AB39" s="88"/>
      <c r="AC39" s="88"/>
      <c r="AD39" s="88"/>
      <c r="AE39" s="88"/>
      <c r="AF39" s="88"/>
      <c r="AG39" s="88"/>
      <c r="AH39" s="89"/>
    </row>
    <row r="40" spans="1:34" ht="20.100000000000001" customHeight="1" x14ac:dyDescent="0.15">
      <c r="B40" s="253">
        <f>B13</f>
        <v>46314</v>
      </c>
      <c r="C40" s="254"/>
      <c r="D40" s="255"/>
      <c r="E40" s="94" t="str">
        <f t="shared" ref="E40:E47" si="8">E13</f>
        <v>APP예약)닭가슴살샐러드</v>
      </c>
      <c r="F40" s="95"/>
      <c r="G40" s="95"/>
      <c r="H40" s="95"/>
      <c r="I40" s="95"/>
      <c r="J40" s="95"/>
      <c r="K40" s="95"/>
      <c r="L40" s="95"/>
      <c r="M40" s="96">
        <f t="shared" ref="M40:M47" si="9">M13</f>
        <v>36</v>
      </c>
      <c r="N40" s="96"/>
      <c r="O40" s="96"/>
      <c r="P40" s="96"/>
      <c r="Q40" s="97">
        <f t="shared" ref="Q40:Q47" si="10">Q13</f>
        <v>0</v>
      </c>
      <c r="R40" s="97"/>
      <c r="S40" s="97"/>
      <c r="T40" s="98">
        <f t="shared" ref="T40:T47" si="11">T13</f>
        <v>0</v>
      </c>
      <c r="U40" s="98"/>
      <c r="V40" s="98"/>
      <c r="W40" s="83">
        <f t="shared" ref="W40:W47" si="12">W13</f>
        <v>0</v>
      </c>
      <c r="X40" s="83"/>
      <c r="Y40" s="83"/>
      <c r="Z40" s="83"/>
      <c r="AA40" s="84">
        <f t="shared" ref="AA40:AA47" si="13">AA13</f>
        <v>46318</v>
      </c>
      <c r="AB40" s="85"/>
      <c r="AC40" s="85"/>
      <c r="AD40" s="85"/>
      <c r="AE40" s="85"/>
      <c r="AF40" s="85"/>
      <c r="AG40" s="85"/>
      <c r="AH40" s="86"/>
    </row>
    <row r="41" spans="1:34" ht="20.100000000000001" customHeight="1" x14ac:dyDescent="0.15">
      <c r="A41" s="68"/>
      <c r="B41" s="67"/>
      <c r="C41" s="65"/>
      <c r="D41" s="65"/>
      <c r="E41" s="94" t="str">
        <f t="shared" si="8"/>
        <v>APP예약)밸런스푼꽃맛살듬뿍샐러드</v>
      </c>
      <c r="F41" s="95"/>
      <c r="G41" s="95"/>
      <c r="H41" s="95"/>
      <c r="I41" s="95"/>
      <c r="J41" s="95"/>
      <c r="K41" s="95"/>
      <c r="L41" s="95"/>
      <c r="M41" s="96">
        <f t="shared" si="9"/>
        <v>30</v>
      </c>
      <c r="N41" s="96"/>
      <c r="O41" s="96"/>
      <c r="P41" s="96"/>
      <c r="Q41" s="97">
        <f t="shared" si="10"/>
        <v>0</v>
      </c>
      <c r="R41" s="97"/>
      <c r="S41" s="97"/>
      <c r="T41" s="98">
        <f t="shared" si="11"/>
        <v>0</v>
      </c>
      <c r="U41" s="98"/>
      <c r="V41" s="98"/>
      <c r="W41" s="83">
        <f t="shared" si="12"/>
        <v>0</v>
      </c>
      <c r="X41" s="83"/>
      <c r="Y41" s="83"/>
      <c r="Z41" s="83"/>
      <c r="AA41" s="84">
        <f t="shared" si="13"/>
        <v>46318</v>
      </c>
      <c r="AB41" s="85"/>
      <c r="AC41" s="85"/>
      <c r="AD41" s="85"/>
      <c r="AE41" s="85"/>
      <c r="AF41" s="85"/>
      <c r="AG41" s="85"/>
      <c r="AH41" s="86"/>
    </row>
    <row r="42" spans="1:34" ht="20.100000000000001" customHeight="1" x14ac:dyDescent="0.15">
      <c r="B42" s="64"/>
      <c r="C42" s="63"/>
      <c r="D42" s="66"/>
      <c r="E42" s="94" t="str">
        <f t="shared" si="8"/>
        <v>APP예약)밸런스푼에그듬뿍샐러드</v>
      </c>
      <c r="F42" s="95"/>
      <c r="G42" s="95"/>
      <c r="H42" s="95"/>
      <c r="I42" s="95"/>
      <c r="J42" s="95"/>
      <c r="K42" s="95"/>
      <c r="L42" s="95"/>
      <c r="M42" s="96">
        <f t="shared" si="9"/>
        <v>30</v>
      </c>
      <c r="N42" s="96"/>
      <c r="O42" s="96"/>
      <c r="P42" s="96"/>
      <c r="Q42" s="97">
        <f t="shared" si="10"/>
        <v>0</v>
      </c>
      <c r="R42" s="97"/>
      <c r="S42" s="97"/>
      <c r="T42" s="98">
        <f t="shared" si="11"/>
        <v>0</v>
      </c>
      <c r="U42" s="98"/>
      <c r="V42" s="98"/>
      <c r="W42" s="83">
        <f t="shared" si="12"/>
        <v>0</v>
      </c>
      <c r="X42" s="83"/>
      <c r="Y42" s="83"/>
      <c r="Z42" s="83"/>
      <c r="AA42" s="84">
        <f t="shared" si="13"/>
        <v>46318</v>
      </c>
      <c r="AB42" s="85"/>
      <c r="AC42" s="85"/>
      <c r="AD42" s="85"/>
      <c r="AE42" s="85"/>
      <c r="AF42" s="85"/>
      <c r="AG42" s="85"/>
      <c r="AH42" s="86"/>
    </row>
    <row r="43" spans="1:34" ht="20.100000000000001" customHeight="1" x14ac:dyDescent="0.15">
      <c r="B43" s="45"/>
      <c r="C43" s="46"/>
      <c r="D43" s="47"/>
      <c r="E43" s="94" t="str">
        <f t="shared" si="8"/>
        <v>APP예약)밸런스푼훈제오리듬뿍샐러드</v>
      </c>
      <c r="F43" s="95"/>
      <c r="G43" s="95"/>
      <c r="H43" s="95"/>
      <c r="I43" s="95"/>
      <c r="J43" s="95"/>
      <c r="K43" s="95"/>
      <c r="L43" s="95"/>
      <c r="M43" s="96">
        <f t="shared" si="9"/>
        <v>30</v>
      </c>
      <c r="N43" s="96"/>
      <c r="O43" s="96"/>
      <c r="P43" s="96"/>
      <c r="Q43" s="97">
        <f t="shared" si="10"/>
        <v>0</v>
      </c>
      <c r="R43" s="97"/>
      <c r="S43" s="97"/>
      <c r="T43" s="98">
        <f t="shared" si="11"/>
        <v>0</v>
      </c>
      <c r="U43" s="98"/>
      <c r="V43" s="98"/>
      <c r="W43" s="83">
        <f t="shared" si="12"/>
        <v>0</v>
      </c>
      <c r="X43" s="83"/>
      <c r="Y43" s="83"/>
      <c r="Z43" s="83"/>
      <c r="AA43" s="84">
        <f t="shared" si="13"/>
        <v>46318</v>
      </c>
      <c r="AB43" s="85"/>
      <c r="AC43" s="85"/>
      <c r="AD43" s="85"/>
      <c r="AE43" s="85"/>
      <c r="AF43" s="85"/>
      <c r="AG43" s="85"/>
      <c r="AH43" s="86"/>
    </row>
    <row r="44" spans="1:34" ht="20.100000000000001" customHeight="1" x14ac:dyDescent="0.15">
      <c r="B44" s="45"/>
      <c r="C44" s="46"/>
      <c r="D44" s="47"/>
      <c r="E44" s="94" t="str">
        <f t="shared" si="8"/>
        <v>APP예약)치킨텐더샐러드</v>
      </c>
      <c r="F44" s="95"/>
      <c r="G44" s="95"/>
      <c r="H44" s="95"/>
      <c r="I44" s="95"/>
      <c r="J44" s="95"/>
      <c r="K44" s="95"/>
      <c r="L44" s="95"/>
      <c r="M44" s="96">
        <f t="shared" si="9"/>
        <v>36</v>
      </c>
      <c r="N44" s="96"/>
      <c r="O44" s="96"/>
      <c r="P44" s="96"/>
      <c r="Q44" s="97">
        <f t="shared" si="10"/>
        <v>0</v>
      </c>
      <c r="R44" s="97"/>
      <c r="S44" s="97"/>
      <c r="T44" s="98">
        <f t="shared" si="11"/>
        <v>0</v>
      </c>
      <c r="U44" s="98"/>
      <c r="V44" s="98"/>
      <c r="W44" s="83">
        <f t="shared" si="12"/>
        <v>0</v>
      </c>
      <c r="X44" s="83"/>
      <c r="Y44" s="83"/>
      <c r="Z44" s="83"/>
      <c r="AA44" s="84">
        <f t="shared" si="13"/>
        <v>46318</v>
      </c>
      <c r="AB44" s="85"/>
      <c r="AC44" s="85"/>
      <c r="AD44" s="85"/>
      <c r="AE44" s="85"/>
      <c r="AF44" s="85"/>
      <c r="AG44" s="85"/>
      <c r="AH44" s="86"/>
    </row>
    <row r="45" spans="1:34" ht="20.100000000000001" customHeight="1" x14ac:dyDescent="0.15">
      <c r="B45" s="42"/>
      <c r="C45" s="43"/>
      <c r="D45" s="44"/>
      <c r="E45" s="94" t="str">
        <f t="shared" si="8"/>
        <v>밸런스푼)꽃맛살듬뿍샐러드 235g</v>
      </c>
      <c r="F45" s="95"/>
      <c r="G45" s="95"/>
      <c r="H45" s="95"/>
      <c r="I45" s="95"/>
      <c r="J45" s="95"/>
      <c r="K45" s="95"/>
      <c r="L45" s="95"/>
      <c r="M45" s="96">
        <f t="shared" si="9"/>
        <v>30</v>
      </c>
      <c r="N45" s="96"/>
      <c r="O45" s="96"/>
      <c r="P45" s="96"/>
      <c r="Q45" s="97">
        <f t="shared" si="10"/>
        <v>35</v>
      </c>
      <c r="R45" s="97"/>
      <c r="S45" s="97"/>
      <c r="T45" s="98">
        <f t="shared" si="11"/>
        <v>1</v>
      </c>
      <c r="U45" s="98"/>
      <c r="V45" s="98"/>
      <c r="W45" s="83">
        <f t="shared" si="12"/>
        <v>5</v>
      </c>
      <c r="X45" s="83"/>
      <c r="Y45" s="83"/>
      <c r="Z45" s="83"/>
      <c r="AA45" s="84">
        <f t="shared" si="13"/>
        <v>46318</v>
      </c>
      <c r="AB45" s="85"/>
      <c r="AC45" s="85"/>
      <c r="AD45" s="85"/>
      <c r="AE45" s="85"/>
      <c r="AF45" s="85"/>
      <c r="AG45" s="85"/>
      <c r="AH45" s="86"/>
    </row>
    <row r="46" spans="1:34" ht="20.100000000000001" customHeight="1" x14ac:dyDescent="0.15">
      <c r="B46" s="45"/>
      <c r="C46" s="46"/>
      <c r="D46" s="47"/>
      <c r="E46" s="94" t="str">
        <f t="shared" si="8"/>
        <v>밸런스푼)새우듬뿍샐러드 185g</v>
      </c>
      <c r="F46" s="95"/>
      <c r="G46" s="95"/>
      <c r="H46" s="95"/>
      <c r="I46" s="95"/>
      <c r="J46" s="95"/>
      <c r="K46" s="95"/>
      <c r="L46" s="95"/>
      <c r="M46" s="96">
        <f t="shared" si="9"/>
        <v>30</v>
      </c>
      <c r="N46" s="96"/>
      <c r="O46" s="96"/>
      <c r="P46" s="96"/>
      <c r="Q46" s="97">
        <f t="shared" si="10"/>
        <v>51</v>
      </c>
      <c r="R46" s="97"/>
      <c r="S46" s="97"/>
      <c r="T46" s="98">
        <f t="shared" si="11"/>
        <v>1</v>
      </c>
      <c r="U46" s="98"/>
      <c r="V46" s="98"/>
      <c r="W46" s="83">
        <f t="shared" si="12"/>
        <v>21</v>
      </c>
      <c r="X46" s="83"/>
      <c r="Y46" s="83"/>
      <c r="Z46" s="83"/>
      <c r="AA46" s="84">
        <f t="shared" si="13"/>
        <v>46318</v>
      </c>
      <c r="AB46" s="85"/>
      <c r="AC46" s="85"/>
      <c r="AD46" s="85"/>
      <c r="AE46" s="85"/>
      <c r="AF46" s="85"/>
      <c r="AG46" s="85"/>
      <c r="AH46" s="86"/>
    </row>
    <row r="47" spans="1:34" ht="20.100000000000001" customHeight="1" x14ac:dyDescent="0.15">
      <c r="B47" s="45"/>
      <c r="C47" s="46"/>
      <c r="D47" s="47"/>
      <c r="E47" s="94" t="str">
        <f t="shared" si="8"/>
        <v>밸런스푼)에그듬뿍샐러드 230g</v>
      </c>
      <c r="F47" s="95"/>
      <c r="G47" s="95"/>
      <c r="H47" s="95"/>
      <c r="I47" s="95"/>
      <c r="J47" s="95"/>
      <c r="K47" s="95"/>
      <c r="L47" s="95"/>
      <c r="M47" s="96">
        <f t="shared" si="9"/>
        <v>30</v>
      </c>
      <c r="N47" s="96"/>
      <c r="O47" s="96"/>
      <c r="P47" s="96"/>
      <c r="Q47" s="97">
        <f t="shared" si="10"/>
        <v>65</v>
      </c>
      <c r="R47" s="97"/>
      <c r="S47" s="97"/>
      <c r="T47" s="98">
        <f t="shared" si="11"/>
        <v>2</v>
      </c>
      <c r="U47" s="98"/>
      <c r="V47" s="98"/>
      <c r="W47" s="83">
        <f t="shared" si="12"/>
        <v>5</v>
      </c>
      <c r="X47" s="83"/>
      <c r="Y47" s="83"/>
      <c r="Z47" s="83"/>
      <c r="AA47" s="84">
        <f t="shared" si="13"/>
        <v>46318</v>
      </c>
      <c r="AB47" s="85"/>
      <c r="AC47" s="85"/>
      <c r="AD47" s="85"/>
      <c r="AE47" s="85"/>
      <c r="AF47" s="85"/>
      <c r="AG47" s="85"/>
      <c r="AH47" s="86"/>
    </row>
    <row r="48" spans="1:34" ht="20.100000000000001" customHeight="1" x14ac:dyDescent="0.15">
      <c r="B48" s="45"/>
      <c r="C48" s="46"/>
      <c r="D48" s="47"/>
      <c r="E48" s="94" t="str">
        <f t="shared" ref="E48:E50" si="14">E21</f>
        <v>밸런스푼)훈제오리듬뿍샐러드 225g</v>
      </c>
      <c r="F48" s="95"/>
      <c r="G48" s="95"/>
      <c r="H48" s="95"/>
      <c r="I48" s="95"/>
      <c r="J48" s="95"/>
      <c r="K48" s="95"/>
      <c r="L48" s="95"/>
      <c r="M48" s="96">
        <f t="shared" ref="M48:M50" si="15">M21</f>
        <v>30</v>
      </c>
      <c r="N48" s="96"/>
      <c r="O48" s="96"/>
      <c r="P48" s="96"/>
      <c r="Q48" s="97">
        <f t="shared" ref="Q48:Q50" si="16">Q21</f>
        <v>53</v>
      </c>
      <c r="R48" s="97"/>
      <c r="S48" s="97"/>
      <c r="T48" s="98">
        <f t="shared" ref="T48:T50" si="17">T21</f>
        <v>1</v>
      </c>
      <c r="U48" s="98"/>
      <c r="V48" s="98"/>
      <c r="W48" s="83">
        <f t="shared" ref="W48:W50" si="18">W21</f>
        <v>23</v>
      </c>
      <c r="X48" s="83"/>
      <c r="Y48" s="83"/>
      <c r="Z48" s="83"/>
      <c r="AA48" s="84">
        <f t="shared" ref="AA48:AA50" si="19">AA21</f>
        <v>46318</v>
      </c>
      <c r="AB48" s="85"/>
      <c r="AC48" s="85"/>
      <c r="AD48" s="85"/>
      <c r="AE48" s="85"/>
      <c r="AF48" s="85"/>
      <c r="AG48" s="85"/>
      <c r="AH48" s="86"/>
    </row>
    <row r="49" spans="2:34" ht="20.100000000000001" customHeight="1" x14ac:dyDescent="0.15">
      <c r="B49" s="45"/>
      <c r="C49" s="46"/>
      <c r="D49" s="47"/>
      <c r="E49" s="94" t="str">
        <f t="shared" si="14"/>
        <v>은성)닭가슴살샐러드 155g</v>
      </c>
      <c r="F49" s="95"/>
      <c r="G49" s="95"/>
      <c r="H49" s="95"/>
      <c r="I49" s="95"/>
      <c r="J49" s="95"/>
      <c r="K49" s="95"/>
      <c r="L49" s="95"/>
      <c r="M49" s="96">
        <f t="shared" si="15"/>
        <v>36</v>
      </c>
      <c r="N49" s="96"/>
      <c r="O49" s="96"/>
      <c r="P49" s="96"/>
      <c r="Q49" s="97">
        <f t="shared" si="16"/>
        <v>19</v>
      </c>
      <c r="R49" s="97"/>
      <c r="S49" s="97"/>
      <c r="T49" s="98">
        <f t="shared" si="17"/>
        <v>0</v>
      </c>
      <c r="U49" s="98"/>
      <c r="V49" s="98"/>
      <c r="W49" s="83">
        <f t="shared" si="18"/>
        <v>19</v>
      </c>
      <c r="X49" s="83"/>
      <c r="Y49" s="83"/>
      <c r="Z49" s="83"/>
      <c r="AA49" s="84">
        <f t="shared" si="19"/>
        <v>46318</v>
      </c>
      <c r="AB49" s="85"/>
      <c r="AC49" s="85"/>
      <c r="AD49" s="85"/>
      <c r="AE49" s="85"/>
      <c r="AF49" s="85"/>
      <c r="AG49" s="85"/>
      <c r="AH49" s="86"/>
    </row>
    <row r="50" spans="2:34" ht="20.100000000000001" customHeight="1" x14ac:dyDescent="0.15">
      <c r="B50" s="45"/>
      <c r="C50" s="46"/>
      <c r="D50" s="47"/>
      <c r="E50" s="94" t="str">
        <f t="shared" si="14"/>
        <v>은성)치킨텐더샐러드 150g</v>
      </c>
      <c r="F50" s="95"/>
      <c r="G50" s="95"/>
      <c r="H50" s="95"/>
      <c r="I50" s="95"/>
      <c r="J50" s="95"/>
      <c r="K50" s="95"/>
      <c r="L50" s="95"/>
      <c r="M50" s="96">
        <f t="shared" si="15"/>
        <v>36</v>
      </c>
      <c r="N50" s="96"/>
      <c r="O50" s="96"/>
      <c r="P50" s="96"/>
      <c r="Q50" s="97">
        <f t="shared" si="16"/>
        <v>16</v>
      </c>
      <c r="R50" s="97"/>
      <c r="S50" s="97"/>
      <c r="T50" s="98">
        <f t="shared" si="17"/>
        <v>0</v>
      </c>
      <c r="U50" s="98"/>
      <c r="V50" s="98"/>
      <c r="W50" s="83">
        <f t="shared" si="18"/>
        <v>16</v>
      </c>
      <c r="X50" s="83"/>
      <c r="Y50" s="83"/>
      <c r="Z50" s="83"/>
      <c r="AA50" s="84">
        <f t="shared" si="19"/>
        <v>46318</v>
      </c>
      <c r="AB50" s="85"/>
      <c r="AC50" s="85"/>
      <c r="AD50" s="85"/>
      <c r="AE50" s="85"/>
      <c r="AF50" s="85"/>
      <c r="AG50" s="85"/>
      <c r="AH50" s="86"/>
    </row>
    <row r="51" spans="2:34" ht="20.100000000000001" customHeight="1" x14ac:dyDescent="0.15">
      <c r="B51" s="243" t="str">
        <f>B24</f>
        <v>총수량</v>
      </c>
      <c r="C51" s="244"/>
      <c r="D51" s="245"/>
      <c r="E51" s="262"/>
      <c r="F51" s="254"/>
      <c r="G51" s="254"/>
      <c r="H51" s="254"/>
      <c r="I51" s="254"/>
      <c r="J51" s="254"/>
      <c r="K51" s="254"/>
      <c r="L51" s="263"/>
      <c r="M51" s="249">
        <f>SUM(Q40:S50)</f>
        <v>239</v>
      </c>
      <c r="N51" s="249"/>
      <c r="O51" s="249"/>
      <c r="P51" s="249"/>
      <c r="Q51" s="249"/>
      <c r="R51" s="249"/>
      <c r="S51" s="249"/>
      <c r="T51" s="249"/>
      <c r="U51" s="249"/>
      <c r="V51" s="249"/>
      <c r="W51" s="249"/>
      <c r="X51" s="249"/>
      <c r="Y51" s="249"/>
      <c r="Z51" s="249"/>
      <c r="AA51" s="250"/>
      <c r="AB51" s="251"/>
      <c r="AC51" s="251"/>
      <c r="AD51" s="251"/>
      <c r="AE51" s="251"/>
      <c r="AF51" s="251"/>
      <c r="AG51" s="251"/>
      <c r="AH51" s="252"/>
    </row>
    <row r="52" spans="2:34" ht="17.100000000000001" customHeight="1" x14ac:dyDescent="0.15">
      <c r="B52" s="229" t="str">
        <f>B25</f>
        <v>3자물류 (더원물류)
담당자 박병선이사  010-4448-1456</v>
      </c>
      <c r="C52" s="230"/>
      <c r="D52" s="230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2"/>
      <c r="W52" s="236" t="str">
        <f>W25</f>
        <v>경기도 용인시 기흥구 원고매로 
12-1(고매동453-5) / 031-275-1859</v>
      </c>
      <c r="X52" s="237"/>
      <c r="Y52" s="237"/>
      <c r="Z52" s="237"/>
      <c r="AA52" s="238"/>
      <c r="AB52" s="238"/>
      <c r="AC52" s="238"/>
      <c r="AD52" s="238"/>
      <c r="AE52" s="238"/>
      <c r="AF52" s="238"/>
      <c r="AG52" s="238"/>
      <c r="AH52" s="239"/>
    </row>
    <row r="53" spans="2:34" ht="17.100000000000001" customHeight="1" thickBot="1" x14ac:dyDescent="0.2">
      <c r="B53" s="233"/>
      <c r="C53" s="234"/>
      <c r="D53" s="234"/>
      <c r="E53" s="234"/>
      <c r="F53" s="234"/>
      <c r="G53" s="234"/>
      <c r="H53" s="234"/>
      <c r="I53" s="234"/>
      <c r="J53" s="234"/>
      <c r="K53" s="234"/>
      <c r="L53" s="234"/>
      <c r="M53" s="234"/>
      <c r="N53" s="234"/>
      <c r="O53" s="234"/>
      <c r="P53" s="234"/>
      <c r="Q53" s="234"/>
      <c r="R53" s="234"/>
      <c r="S53" s="234"/>
      <c r="T53" s="234"/>
      <c r="U53" s="234"/>
      <c r="V53" s="235"/>
      <c r="W53" s="240"/>
      <c r="X53" s="241"/>
      <c r="Y53" s="241"/>
      <c r="Z53" s="241"/>
      <c r="AA53" s="241"/>
      <c r="AB53" s="241"/>
      <c r="AC53" s="241"/>
      <c r="AD53" s="241"/>
      <c r="AE53" s="241"/>
      <c r="AF53" s="241"/>
      <c r="AG53" s="241"/>
      <c r="AH53" s="242"/>
    </row>
  </sheetData>
  <mergeCells count="206"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B40:D40"/>
    <mergeCell ref="E44:L44"/>
    <mergeCell ref="M44:P44"/>
    <mergeCell ref="Q44:S44"/>
    <mergeCell ref="T44:V44"/>
    <mergeCell ref="W44:Z44"/>
    <mergeCell ref="AA44:AH44"/>
    <mergeCell ref="AA41:AH41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AA40:AH40"/>
    <mergeCell ref="W41:Z41"/>
    <mergeCell ref="B51:D51"/>
    <mergeCell ref="E51:L51"/>
    <mergeCell ref="M51:Z51"/>
    <mergeCell ref="AA51:AH51"/>
    <mergeCell ref="B52:V53"/>
    <mergeCell ref="W52:AH53"/>
    <mergeCell ref="E47:L47"/>
    <mergeCell ref="M47:P47"/>
    <mergeCell ref="Q47:S47"/>
    <mergeCell ref="T47:V47"/>
    <mergeCell ref="W47:Z47"/>
    <mergeCell ref="AA47:AH47"/>
    <mergeCell ref="E48:L48"/>
    <mergeCell ref="M48:P48"/>
    <mergeCell ref="Q48:S48"/>
    <mergeCell ref="T48:V48"/>
    <mergeCell ref="W48:Z48"/>
    <mergeCell ref="AA48:AH48"/>
    <mergeCell ref="E50:L50"/>
    <mergeCell ref="M50:P50"/>
    <mergeCell ref="Q50:S50"/>
    <mergeCell ref="T50:V50"/>
    <mergeCell ref="W50:Z50"/>
    <mergeCell ref="AA50:AH50"/>
    <mergeCell ref="W39:Z39"/>
    <mergeCell ref="E40:L40"/>
    <mergeCell ref="M40:P40"/>
    <mergeCell ref="Q40:S40"/>
    <mergeCell ref="T40:V40"/>
    <mergeCell ref="W40:Z40"/>
    <mergeCell ref="AA39:AH39"/>
    <mergeCell ref="E43:L43"/>
    <mergeCell ref="M43:P43"/>
    <mergeCell ref="Q43:S43"/>
    <mergeCell ref="T43:V43"/>
    <mergeCell ref="W43:Z43"/>
    <mergeCell ref="AA43:AH43"/>
    <mergeCell ref="E39:L39"/>
    <mergeCell ref="M39:P39"/>
    <mergeCell ref="Q39:S39"/>
    <mergeCell ref="T39:V39"/>
    <mergeCell ref="C37:F38"/>
    <mergeCell ref="G37:P38"/>
    <mergeCell ref="R37:U38"/>
    <mergeCell ref="V37:AA38"/>
    <mergeCell ref="AB37:AC38"/>
    <mergeCell ref="AD37:AH38"/>
    <mergeCell ref="R33:U34"/>
    <mergeCell ref="V33:AA34"/>
    <mergeCell ref="AB33:AC34"/>
    <mergeCell ref="AD33:AH34"/>
    <mergeCell ref="C35:F36"/>
    <mergeCell ref="G35:P36"/>
    <mergeCell ref="R35:U36"/>
    <mergeCell ref="W18:Z18"/>
    <mergeCell ref="V35:AH36"/>
    <mergeCell ref="B24:D24"/>
    <mergeCell ref="E24:L24"/>
    <mergeCell ref="M24:Z24"/>
    <mergeCell ref="AA24:AH24"/>
    <mergeCell ref="B25:V26"/>
    <mergeCell ref="W25:AH26"/>
    <mergeCell ref="E23:L23"/>
    <mergeCell ref="M23:P23"/>
    <mergeCell ref="Q23:S23"/>
    <mergeCell ref="T23:V23"/>
    <mergeCell ref="W23:Z23"/>
    <mergeCell ref="AA23:AH23"/>
    <mergeCell ref="B29:AH30"/>
    <mergeCell ref="B31:B38"/>
    <mergeCell ref="C31:F32"/>
    <mergeCell ref="G31:P32"/>
    <mergeCell ref="Q31:Q38"/>
    <mergeCell ref="R31:U32"/>
    <mergeCell ref="V31:AH32"/>
    <mergeCell ref="C33:F34"/>
    <mergeCell ref="G33:K34"/>
    <mergeCell ref="L33:P34"/>
    <mergeCell ref="Q14:S14"/>
    <mergeCell ref="AA22:AH22"/>
    <mergeCell ref="E21:L21"/>
    <mergeCell ref="M21:P21"/>
    <mergeCell ref="Q21:S21"/>
    <mergeCell ref="T21:V21"/>
    <mergeCell ref="W21:Z21"/>
    <mergeCell ref="AA21:AH21"/>
    <mergeCell ref="AA14:AH14"/>
    <mergeCell ref="E20:L20"/>
    <mergeCell ref="M20:P20"/>
    <mergeCell ref="Q20:S20"/>
    <mergeCell ref="T20:V20"/>
    <mergeCell ref="W20:Z20"/>
    <mergeCell ref="AA20:AH20"/>
    <mergeCell ref="E18:L18"/>
    <mergeCell ref="M18:P18"/>
    <mergeCell ref="AA17:AH17"/>
    <mergeCell ref="Q18:S18"/>
    <mergeCell ref="AA18:AH18"/>
    <mergeCell ref="E16:L16"/>
    <mergeCell ref="M16:P16"/>
    <mergeCell ref="E22:L22"/>
    <mergeCell ref="M22:P22"/>
    <mergeCell ref="B13:D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E12:L12"/>
    <mergeCell ref="Q12:S12"/>
    <mergeCell ref="G8:P9"/>
    <mergeCell ref="R8:U9"/>
    <mergeCell ref="T14:V14"/>
    <mergeCell ref="W14:Z14"/>
    <mergeCell ref="AA16:AH16"/>
    <mergeCell ref="T12:V12"/>
    <mergeCell ref="W12:Z12"/>
    <mergeCell ref="AA12:AH12"/>
    <mergeCell ref="V8:AH9"/>
    <mergeCell ref="E15:L15"/>
    <mergeCell ref="M15:P15"/>
    <mergeCell ref="Q15:S15"/>
    <mergeCell ref="T15:V15"/>
    <mergeCell ref="M12:P12"/>
    <mergeCell ref="W15:Z15"/>
    <mergeCell ref="AA15:AH15"/>
    <mergeCell ref="E13:L13"/>
    <mergeCell ref="M13:P13"/>
    <mergeCell ref="Q13:S13"/>
    <mergeCell ref="T13:V13"/>
    <mergeCell ref="W13:Z13"/>
    <mergeCell ref="AA13:AH13"/>
    <mergeCell ref="E14:L14"/>
    <mergeCell ref="M14:P14"/>
    <mergeCell ref="E49:L49"/>
    <mergeCell ref="M49:P49"/>
    <mergeCell ref="Q49:S49"/>
    <mergeCell ref="T49:V49"/>
    <mergeCell ref="W49:Z49"/>
    <mergeCell ref="AA49:AH49"/>
    <mergeCell ref="Q16:S16"/>
    <mergeCell ref="T16:V16"/>
    <mergeCell ref="W16:Z16"/>
    <mergeCell ref="E19:L19"/>
    <mergeCell ref="M19:P19"/>
    <mergeCell ref="Q19:S19"/>
    <mergeCell ref="T19:V19"/>
    <mergeCell ref="W19:Z19"/>
    <mergeCell ref="AA19:AH19"/>
    <mergeCell ref="Q22:S22"/>
    <mergeCell ref="T22:V22"/>
    <mergeCell ref="W22:Z22"/>
    <mergeCell ref="E17:L17"/>
    <mergeCell ref="M17:P17"/>
    <mergeCell ref="Q17:S17"/>
    <mergeCell ref="T17:V17"/>
    <mergeCell ref="W17:Z17"/>
    <mergeCell ref="T18:V18"/>
  </mergeCells>
  <phoneticPr fontId="5" type="noConversion"/>
  <conditionalFormatting sqref="AA13:AA17">
    <cfRule type="expression" dxfId="3" priority="2">
      <formula>Q13:S22=0</formula>
    </cfRule>
  </conditionalFormatting>
  <conditionalFormatting sqref="AA18:AA19 AA21:AA23">
    <cfRule type="expression" dxfId="2" priority="55">
      <formula>Q18:S26=0</formula>
    </cfRule>
  </conditionalFormatting>
  <conditionalFormatting sqref="AA20 AA43:AH50">
    <cfRule type="expression" dxfId="1" priority="102">
      <formula>Q20:S27=0</formula>
    </cfRule>
  </conditionalFormatting>
  <conditionalFormatting sqref="AA40:AH42">
    <cfRule type="expression" dxfId="0" priority="181">
      <formula>Q40:S46=0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2 B2:B4 C37 C2:F3 C6 C10 C4 C33 D27:F30 B27:C31 W25 G8:L11 N8:P11 H2:K5 G2:G6 Q2:AH11 M2:P5 L2:L6 G35:L38 N35:P38 H27:K32 G27:G33 Q27:AH38 M27:P32 L27:L33 F23:L24 C12:D12 C39:D39 C16:D23 B12:B25 E12:E24 M8:M24 T13:T23 Q13:Q23 AA12:AA23 F13:L20 C42:D50 B39:B52 E39:E51 T40:T50 M35:M51 Q40:Q50 AA39:AA50" xr:uid="{22B90CF3-73E3-454F-950F-AC8B3F3F6FE3}"/>
  </dataValidations>
  <printOptions horizontalCentered="1"/>
  <pageMargins left="0" right="0" top="0.11811023622047245" bottom="0" header="0" footer="0"/>
  <pageSetup paperSize="9" scale="8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7" width="2.33203125" style="5"/>
    <col min="38" max="38" width="2.33203125" style="5" customWidth="1"/>
    <col min="39" max="16384" width="2.33203125" style="5"/>
  </cols>
  <sheetData>
    <row r="1" spans="2:39" ht="14.25" thickBot="1" x14ac:dyDescent="0.2">
      <c r="B1" s="27" t="s">
        <v>51</v>
      </c>
      <c r="C1" s="26"/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J2" s="25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J3" s="25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J4" s="25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J5" s="25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65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J6" s="25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J7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46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J8" s="25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J9" s="25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J10" s="25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J11" s="25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J12" s="25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tr">
        <f>G8</f>
        <v>전라남도 장성군 황룡면 황룡리 44-2 2층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장성센터(저온)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전라남도 장성군 황룡면 황룡리 44-2 2층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전라남도 장성군 황룡면 황룡리 44-2 2층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C14:D18 M30:M41 Q35:Q40 Q13:Q18 T35:T40 M8:M12 G8:L11 N8:P11 H2:K5 G2:G6 AA12:AA15 M2:P5 L2:L6 M14:M19 B12:B20 E34:E41 E17:L19 G30:L33 N30:P33 H22:K27 G22:G28 Q22:AH33 M22:P27 L22:L28 B34:B42 Q2:AH11 C34:D34 F13:M13 C12:E12 AA34:AA40" xr:uid="{00000000-0002-0000-31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52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66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22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31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세종센터(저온)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세종특별자치시 연동면
응암리 925 E동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세종특별자치시 연동면
응암리 925 E동
허승현 대리 044-862-4400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9 W20 M30:M41 C34:D34 Q35:Q40 Q13:Q18 T35:T40 C14:D18 M8:M12 G8:L11 N8:P11 H2:K5 G2:G6 AA12:AA15 M2:P5 L2:L6 M14:M19 B12:B20 E34:E41 F17:L19 G30:L33 N30:P33 H22:K27 G22:G28 Q22:AH33 M22:P27 L22:L28 B34:B42 Q2:AH11 C12:E12 F13:M13 AA34:AA40" xr:uid="{00000000-0002-0000-32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40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69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28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35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부산센터(저온)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경남 창원시 진해구 신항6로 30
지디시 B동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경남 창원시 진해구 신항6로 30
지디시 B동
김유진 주임 055-715-1183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M30:M41 Q35:Q40 Q13:Q18 C14:D18 T35:T40 M8:M12 G8:L11 N8:P11 H2:K5 G2:G6 AA12:AA15 M2:P5 L2:L6 M14:M19 B12:B20 E34:E41 E17:L19 G30:L33 N30:P33 H22:K27 G22:G28 Q22:AH33 M22:P27 L22:L28 B34:B42 Q2:AH11 C34:D34 F13:M13 C12:E12 AA34:AA40" xr:uid="{00000000-0002-0000-35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53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70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45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tr">
        <f>G8</f>
        <v>경상남도 양산시 산막공단북3길 25(산막동 313-4)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양산센터(저온)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경상남도 양산시 산막공단북3길 25(산막동 313-4)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경상남도 양산시 산막공단북3길 25(산막동 313-4)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M30:M41 Q35:Q40 Q13:Q18 C14:D18 T35:T40 M8:M12 G8:L11 N8:P11 H2:K5 G2:G6 AA12:AA15 M2:P5 L2:L6 M14:M19 B12:B20 E34:E41 E17:L19 G30:L33 N30:P33 H22:K27 G22:G28 Q22:AH33 M22:P27 L22:L28 B34:B42 Q2:AH11 C34:D34 F13:M13 C12:E12 AA34:AA40" xr:uid="{00000000-0002-0000-36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41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71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25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33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양지센터(저온)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경기도 용인시 처인구 양지면
제일리 453-7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용인시 처인구 양지면
제일리 453-7
박영범 주임 031-8027-2080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M30:M41 Q35:Q40 Q13:Q18 C14:D18 T35:T40 M8:M12 G8:L11 N8:P11 H2:K5 G2:G6 AA12:AA15 M2:P5 L2:L6 M14:M19 B12:B20 E34:E41 E17:L19 G30:L33 N30:P33 H22:K27 G22:G28 Q22:AH33 M22:P27 L22:L28 B34:B42 Q2:AH11 C34:D34 F13:M13 C12:E12 AA34:AA40" xr:uid="{00000000-0002-0000-37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54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72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26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34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평택센터(저온)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경기도 평택시 진위면 마산8로10,
진위물류센터 창고동 1층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평택시 진위면 마산8로10,
진위물류센터 창고동 1층
강민구 대리 031-663-9260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M30:M41 Q35:Q40 Q13:Q18 C14:D18 T35:T40 M8:M12 G8:L11 N8:P11 H2:K5 G2:G6 AA12:AA15 M2:P5 L2:L6 M14:M19 B12:B20 E34:E41 E17:L19 G30:L33 N30:P33 H22:K27 G22:G28 Q22:AH33 M22:P27 L22:L28 B34:B42 Q2:AH11 C34:D34 F13:M13 C12:E12 AA34:AA40" xr:uid="{00000000-0002-0000-38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9" tint="0.59999389629810485"/>
  </sheetPr>
  <dimension ref="B1:AM43"/>
  <sheetViews>
    <sheetView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55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75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21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30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화성센터(저온)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 화성시 초록로 103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 화성시 초록로 103
오민수 대리 031-8077-2407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6:D41 W20 T13:T18 Q35:Q40 T35:T40 M30:M41 E13:E19 C14:D18 C34:D34 Q13:Q18 G8:L11 N8:P11 H2:K5 G2:G6 AA12:AA15 M2:P5 L2:L6 M14:M19 B12:B20 E34:E41 F17:L19 G30:L33 N30:P33 H22:K27 G22:G28 Q22:AH33 M22:P27 L22:L28 B34:B42 Q2:AH11 C12:E12 M8:M12 F13:M13 AA34:AA40" xr:uid="{00000000-0002-0000-39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D65C-9096-49AB-8E90-6F5ADF71475A}">
  <sheetPr>
    <tabColor theme="9" tint="-0.499984740745262"/>
    <pageSetUpPr fitToPage="1"/>
  </sheetPr>
  <dimension ref="B1:AM46"/>
  <sheetViews>
    <sheetView topLeftCell="A9"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39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J2" s="25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J3" s="25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J4" s="25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J5" s="25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67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J6" s="25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J7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23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J8" s="25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J9" s="25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J10" s="25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J11" s="25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J12" s="25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37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남양주센터(저온)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경기도 남양주시 진접읍 내각리 99-5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남양주시 진접읍 내각리 99-5
이주희 대리 031-523-8270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4:D18 C30 W42 B2:B4 C32 C2:F3 C6 C10 C4 C28 D22:F25 B22:C26 T35:T40 C34:D34 W20 C36:D40 E34:E41 AA12:AA18 M30:M41 M8:M18 G8:L11 N8:P11 H2:K5 G2:G6 M2:P5 L2:L6 B12:B20 C12:E12 Q2:AH11 Q35:Q40 G30:L33 N30:P33 H22:K27 G22:G28 Q22:AH33 M22:P27 L22:L28 B34:B42 E19:M19 AA34:AA40 T13:T18 Q13:Q18 E13:E18" xr:uid="{76E055E4-8F65-4ED2-95DE-EBB92803D0D2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0348-318C-456F-A798-D3418354367B}">
  <sheetPr>
    <tabColor theme="9" tint="-0.499984740745262"/>
  </sheetPr>
  <dimension ref="B1:AM46"/>
  <sheetViews>
    <sheetView topLeftCell="A4"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47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68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44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29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제2인천저온
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인천 서구 북항로 120번길 55,2F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양주시 광적면 석우리 435-3
김의중 담당 070-8857-9052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4:D18 C30 W42 B2:B4 C32 C2:F3 C6 C10 C4 C28 D22:F25 B22:C26 T35:T40 C34:D34 W20 M30:M41 E34:E41 C36:D40 AA12:AA18 M8:M18 G8:L11 N8:P11 H2:K5 G2:G6 M2:P5 L2:L6 B12:B20 C12:E12 Q2:AH11 Q35:Q40 G30:L33 N30:P33 H22:K27 G22:G28 Q22:AH33 M22:P27 L22:L28 B34:B42 E19:M19 AA34:AA40 T13:T18 Q13:Q18 E13:E18" xr:uid="{0DA33368-0C6A-45BA-A3DB-AB9F07D4350B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34DB-0C68-40C7-9A94-ED4CB5D596FD}">
  <sheetPr>
    <tabColor theme="9" tint="-0.499984740745262"/>
  </sheetPr>
  <dimension ref="B1:AM46"/>
  <sheetViews>
    <sheetView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41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71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25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33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양지센터(저온)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경기도 용인시 처인구 양지면
제일리 453-7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용인시 처인구 양지면
제일리 453-7
박영범 주임 031-8027-2080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4:D18 C30 W42 B2:B4 C32 C2:F3 C6 C10 C4 C28 D22:F25 B22:C26 T35:T40 C34:D34 W20 C36:D40 E34:E41 AA12:AA18 M30:M41 M8:M18 G8:L11 N8:P11 H2:K5 G2:G6 M2:P5 L2:L6 B12:B20 C12:E12 Q2:AH11 Q35:Q40 G30:L33 N30:P33 H22:K27 G22:G28 Q22:AH33 M22:P27 L22:L28 B34:B42 E19:M19 AA34:AA40 T13:T18 Q13:Q18 E13:E18" xr:uid="{AB0C9E8A-9123-4848-9141-03752E20FF67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171B-5C6F-4611-9D12-AEA93AF74C6E}">
  <sheetPr>
    <tabColor theme="9" tint="-0.499984740745262"/>
  </sheetPr>
  <dimension ref="B1:AM46"/>
  <sheetViews>
    <sheetView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54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72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26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34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평택센터(저온)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경기도 평택시 진위면 마산8로10,
진위물류센터 창고동 1층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경기도 평택시 진위면 마산8로10,
진위물류센터 창고동 1층
강민구 대리 031-663-9260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4:D18 C30 W42 B2:B4 C32 C2:F3 C6 C10 C4 C28 D22:F25 B22:C26 T35:T40 C34:D34 W20 C36:D40 E34:E41 AA12:AA18 M30:M41 M8:M18 G8:L11 N8:P11 H2:K5 G2:G6 M2:P5 L2:L6 B12:B20 C12:E12 Q2:AH11 Q35:Q40 G30:L33 N30:P33 H22:K27 G22:G28 Q22:AH33 M22:P27 L22:L28 B34:B42 E19:M19 AA34:AA40 T13:T18 Q13:Q18 E13:E18" xr:uid="{4CDB0F69-9BF0-4F22-AEB6-9662E08E8154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B202-FEF7-4574-9501-642972892565}">
  <sheetPr>
    <tabColor theme="9" tint="-0.499984740745262"/>
  </sheetPr>
  <dimension ref="B1:AM46"/>
  <sheetViews>
    <sheetView topLeftCell="A13"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55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75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21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30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화성센터(저온)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경기 화성시 초록로 103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경기 화성시 초록로 103
오민수 대리 031-8077-2407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T35:T40 W20 M8:M18 C36:D40 M30:M41 Q2:AH11 AA12:AA18 C34:D34 E34:E41 G8:L11 N8:P11 H2:K5 G2:G6 B12:B20 M2:P5 L2:L6 AA34:AA40 Q35:Q40 G30:L33 N30:P33 H22:K27 G22:G28 Q22:AH33 M22:P27 L22:L28 B34:B42 C14:D18 C12:E12 F19:M19 T13:T18 Q13:Q18 E13:E19" xr:uid="{7C483390-C517-4B44-BE1E-BC6DABB4B5DF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8C9B-900A-4AB1-8642-3EAC7505E94B}">
  <sheetPr>
    <tabColor theme="9" tint="-0.499984740745262"/>
  </sheetPr>
  <dimension ref="B1:AM46"/>
  <sheetViews>
    <sheetView zoomScaleNormal="100" workbookViewId="0">
      <selection activeCell="G30" sqref="G30:P3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56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79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73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80</v>
      </c>
      <c r="W6" s="433"/>
      <c r="X6" s="433"/>
      <c r="Y6" s="433"/>
      <c r="Z6" s="433"/>
      <c r="AA6" s="433"/>
      <c r="AB6" s="403" t="s">
        <v>49</v>
      </c>
      <c r="AC6" s="403"/>
      <c r="AD6" s="433" t="s">
        <v>81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24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67" t="s">
        <v>82</v>
      </c>
      <c r="W8" s="467"/>
      <c r="X8" s="467"/>
      <c r="Y8" s="467"/>
      <c r="Z8" s="467"/>
      <c r="AA8" s="467"/>
      <c r="AB8" s="467"/>
      <c r="AC8" s="467"/>
      <c r="AD8" s="467"/>
      <c r="AE8" s="467"/>
      <c r="AF8" s="467"/>
      <c r="AG8" s="467"/>
      <c r="AH8" s="468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67"/>
      <c r="W9" s="467"/>
      <c r="X9" s="467"/>
      <c r="Y9" s="467"/>
      <c r="Z9" s="467"/>
      <c r="AA9" s="467"/>
      <c r="AB9" s="467"/>
      <c r="AC9" s="467"/>
      <c r="AD9" s="467"/>
      <c r="AE9" s="467"/>
      <c r="AF9" s="467"/>
      <c r="AG9" s="467"/>
      <c r="AH9" s="468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33" t="s">
        <v>83</v>
      </c>
      <c r="AE10" s="433"/>
      <c r="AF10" s="433"/>
      <c r="AG10" s="433"/>
      <c r="AH10" s="434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65"/>
      <c r="AE11" s="465"/>
      <c r="AF11" s="465"/>
      <c r="AG11" s="465"/>
      <c r="AH11" s="466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1.95" customHeight="1" x14ac:dyDescent="0.15">
      <c r="B13" s="383" t="e">
        <f>#REF!</f>
        <v>#REF!</v>
      </c>
      <c r="C13" s="373"/>
      <c r="D13" s="384"/>
      <c r="E13" s="370" t="s">
        <v>76</v>
      </c>
      <c r="F13" s="371"/>
      <c r="G13" s="371"/>
      <c r="H13" s="371"/>
      <c r="I13" s="371"/>
      <c r="J13" s="371"/>
      <c r="K13" s="371"/>
      <c r="L13" s="372"/>
      <c r="M13" s="358">
        <v>48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B13+3</f>
        <v>#REF!</v>
      </c>
      <c r="AB13" s="365"/>
      <c r="AC13" s="365"/>
      <c r="AD13" s="365"/>
      <c r="AE13" s="365"/>
      <c r="AF13" s="365"/>
      <c r="AG13" s="365"/>
      <c r="AH13" s="369"/>
    </row>
    <row r="14" spans="2:39" ht="21.95" customHeight="1" x14ac:dyDescent="0.15">
      <c r="B14" s="17" t="s">
        <v>43</v>
      </c>
      <c r="C14" s="18" t="s">
        <v>43</v>
      </c>
      <c r="D14" s="18" t="s">
        <v>43</v>
      </c>
      <c r="E14" s="462" t="s">
        <v>77</v>
      </c>
      <c r="F14" s="463"/>
      <c r="G14" s="463"/>
      <c r="H14" s="463"/>
      <c r="I14" s="463"/>
      <c r="J14" s="463"/>
      <c r="K14" s="463"/>
      <c r="L14" s="464"/>
      <c r="M14" s="358">
        <v>50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B13+5</f>
        <v>#REF!</v>
      </c>
      <c r="AB14" s="365"/>
      <c r="AC14" s="365"/>
      <c r="AD14" s="365"/>
      <c r="AE14" s="365"/>
      <c r="AF14" s="365"/>
      <c r="AG14" s="365"/>
      <c r="AH14" s="369"/>
    </row>
    <row r="15" spans="2:39" ht="21.95" customHeight="1" x14ac:dyDescent="0.15">
      <c r="B15" s="17"/>
      <c r="C15" s="18"/>
      <c r="D15" s="18"/>
      <c r="E15" s="455" t="s">
        <v>78</v>
      </c>
      <c r="F15" s="456"/>
      <c r="G15" s="456"/>
      <c r="H15" s="456"/>
      <c r="I15" s="456"/>
      <c r="J15" s="456"/>
      <c r="K15" s="456"/>
      <c r="L15" s="457"/>
      <c r="M15" s="358">
        <v>48</v>
      </c>
      <c r="N15" s="359"/>
      <c r="O15" s="359"/>
      <c r="P15" s="360"/>
      <c r="Q15" s="361">
        <f>IFERROR(VLOOKUP(B1,#REF!,4,FALSE),0)</f>
        <v>0</v>
      </c>
      <c r="R15" s="362"/>
      <c r="S15" s="363"/>
      <c r="T15" s="364">
        <f>IFERROR(ROUNDDOWN(Q15/M15,0),"")</f>
        <v>0</v>
      </c>
      <c r="U15" s="365"/>
      <c r="V15" s="365"/>
      <c r="W15" s="366">
        <f>IFERROR(Q15-(T15*M15),"")</f>
        <v>0</v>
      </c>
      <c r="X15" s="367"/>
      <c r="Y15" s="367"/>
      <c r="Z15" s="368"/>
      <c r="AA15" s="373" t="e">
        <f>B13+3</f>
        <v>#REF!</v>
      </c>
      <c r="AB15" s="365"/>
      <c r="AC15" s="365"/>
      <c r="AD15" s="365"/>
      <c r="AE15" s="365"/>
      <c r="AF15" s="365"/>
      <c r="AG15" s="365"/>
      <c r="AH15" s="369"/>
    </row>
    <row r="16" spans="2:39" ht="21.95" customHeight="1" x14ac:dyDescent="0.15">
      <c r="B16" s="6"/>
      <c r="C16" s="15"/>
      <c r="D16" s="7"/>
      <c r="E16" s="455"/>
      <c r="F16" s="456"/>
      <c r="G16" s="456"/>
      <c r="H16" s="456"/>
      <c r="I16" s="456"/>
      <c r="J16" s="456"/>
      <c r="K16" s="456"/>
      <c r="L16" s="457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1.95" customHeight="1" x14ac:dyDescent="0.15">
      <c r="B17" s="6"/>
      <c r="C17" s="15"/>
      <c r="D17" s="7"/>
      <c r="E17" s="455"/>
      <c r="F17" s="456"/>
      <c r="G17" s="456"/>
      <c r="H17" s="456"/>
      <c r="I17" s="456"/>
      <c r="J17" s="456"/>
      <c r="K17" s="456"/>
      <c r="L17" s="457"/>
      <c r="M17" s="358"/>
      <c r="N17" s="359"/>
      <c r="O17" s="359"/>
      <c r="P17" s="360"/>
      <c r="Q17" s="361"/>
      <c r="R17" s="362"/>
      <c r="S17" s="363"/>
      <c r="T17" s="364"/>
      <c r="U17" s="365"/>
      <c r="V17" s="458"/>
      <c r="W17" s="459"/>
      <c r="X17" s="460"/>
      <c r="Y17" s="460"/>
      <c r="Z17" s="461"/>
      <c r="AA17" s="373"/>
      <c r="AB17" s="365"/>
      <c r="AC17" s="365"/>
      <c r="AD17" s="365"/>
      <c r="AE17" s="365"/>
      <c r="AF17" s="365"/>
      <c r="AG17" s="365"/>
      <c r="AH17" s="369"/>
    </row>
    <row r="18" spans="2:34" ht="21.95" customHeight="1" x14ac:dyDescent="0.15">
      <c r="B18" s="6"/>
      <c r="C18" s="15"/>
      <c r="D18" s="7"/>
      <c r="E18" s="455"/>
      <c r="F18" s="456"/>
      <c r="G18" s="456"/>
      <c r="H18" s="456"/>
      <c r="I18" s="456"/>
      <c r="J18" s="456"/>
      <c r="K18" s="456"/>
      <c r="L18" s="457"/>
      <c r="M18" s="358"/>
      <c r="N18" s="359"/>
      <c r="O18" s="359"/>
      <c r="P18" s="360"/>
      <c r="Q18" s="361"/>
      <c r="R18" s="362"/>
      <c r="S18" s="363"/>
      <c r="T18" s="364" t="str">
        <f>IFERROR(ROUNDDOWN(Q18/M18,0),"")</f>
        <v/>
      </c>
      <c r="U18" s="365"/>
      <c r="V18" s="458"/>
      <c r="W18" s="459" t="str">
        <f>IFERROR(Q18-(T18*M18),"")</f>
        <v/>
      </c>
      <c r="X18" s="460"/>
      <c r="Y18" s="460"/>
      <c r="Z18" s="461"/>
      <c r="AA18" s="373"/>
      <c r="AB18" s="365"/>
      <c r="AC18" s="365"/>
      <c r="AD18" s="365"/>
      <c r="AE18" s="365"/>
      <c r="AF18" s="365"/>
      <c r="AG18" s="365"/>
      <c r="AH18" s="369"/>
    </row>
    <row r="19" spans="2:34" ht="16.5" customHeight="1" thickBot="1" x14ac:dyDescent="0.2">
      <c r="B19" s="446" t="s">
        <v>20</v>
      </c>
      <c r="C19" s="447"/>
      <c r="D19" s="448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100000000000001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449" t="s">
        <v>32</v>
      </c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1"/>
    </row>
    <row r="21" spans="2:34" ht="17.100000000000001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452"/>
      <c r="X21" s="453"/>
      <c r="Y21" s="453"/>
      <c r="Z21" s="453"/>
      <c r="AA21" s="453"/>
      <c r="AB21" s="453"/>
      <c r="AC21" s="453"/>
      <c r="AD21" s="453"/>
      <c r="AE21" s="453"/>
      <c r="AF21" s="453"/>
      <c r="AG21" s="453"/>
      <c r="AH21" s="454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692-88-00772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인천센터(저온)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그린델리카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김병호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인천광역시 서구 오류동 1582-4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경기도 남양주시 진접읍 봉현로 128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제과(식품제조가공업)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1.95" customHeight="1" x14ac:dyDescent="0.15">
      <c r="B35" s="292" t="e">
        <f>B13</f>
        <v>#REF!</v>
      </c>
      <c r="C35" s="293"/>
      <c r="D35" s="294"/>
      <c r="E35" s="264" t="str">
        <f>E13</f>
        <v>그린)사랑의열매_사랑의샌드위치2편</v>
      </c>
      <c r="F35" s="265"/>
      <c r="G35" s="265"/>
      <c r="H35" s="265"/>
      <c r="I35" s="265"/>
      <c r="J35" s="265"/>
      <c r="K35" s="265"/>
      <c r="L35" s="265"/>
      <c r="M35" s="284">
        <f t="shared" ref="M35:M41" si="0">M13</f>
        <v>48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1.95" customHeight="1" x14ac:dyDescent="0.15">
      <c r="B36" s="19" t="str">
        <f>B14</f>
        <v xml:space="preserve"> </v>
      </c>
      <c r="C36" s="20" t="str">
        <f>C14</f>
        <v xml:space="preserve"> </v>
      </c>
      <c r="D36" s="21" t="str">
        <f>D14</f>
        <v xml:space="preserve"> </v>
      </c>
      <c r="E36" s="444" t="str">
        <f>E14</f>
        <v>그린)스테이크버거2편</v>
      </c>
      <c r="F36" s="445"/>
      <c r="G36" s="445"/>
      <c r="H36" s="445"/>
      <c r="I36" s="445"/>
      <c r="J36" s="445"/>
      <c r="K36" s="445"/>
      <c r="L36" s="445"/>
      <c r="M36" s="284">
        <f t="shared" si="0"/>
        <v>50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1.95" customHeight="1" x14ac:dyDescent="0.15">
      <c r="B37" s="19"/>
      <c r="C37" s="20"/>
      <c r="D37" s="21"/>
      <c r="E37" s="444" t="str">
        <f>E15</f>
        <v>그린)콰트로믹스샌드위치2편</v>
      </c>
      <c r="F37" s="445"/>
      <c r="G37" s="445"/>
      <c r="H37" s="445"/>
      <c r="I37" s="445"/>
      <c r="J37" s="445"/>
      <c r="K37" s="445"/>
      <c r="L37" s="445"/>
      <c r="M37" s="284">
        <f t="shared" si="0"/>
        <v>48</v>
      </c>
      <c r="N37" s="284"/>
      <c r="O37" s="284"/>
      <c r="P37" s="284"/>
      <c r="Q37" s="285">
        <f>Q15</f>
        <v>0</v>
      </c>
      <c r="R37" s="285"/>
      <c r="S37" s="285"/>
      <c r="T37" s="286">
        <f>T15</f>
        <v>0</v>
      </c>
      <c r="U37" s="286"/>
      <c r="V37" s="286"/>
      <c r="W37" s="287">
        <f>W15</f>
        <v>0</v>
      </c>
      <c r="X37" s="287"/>
      <c r="Y37" s="287"/>
      <c r="Z37" s="287"/>
      <c r="AA37" s="290" t="e">
        <f>AA15</f>
        <v>#REF!</v>
      </c>
      <c r="AB37" s="284"/>
      <c r="AC37" s="284"/>
      <c r="AD37" s="284"/>
      <c r="AE37" s="284"/>
      <c r="AF37" s="284"/>
      <c r="AG37" s="284"/>
      <c r="AH37" s="291"/>
    </row>
    <row r="38" spans="2:34" ht="21.95" customHeight="1" x14ac:dyDescent="0.15">
      <c r="B38" s="9"/>
      <c r="C38" s="16"/>
      <c r="D38" s="10"/>
      <c r="E38" s="444"/>
      <c r="F38" s="445"/>
      <c r="G38" s="445"/>
      <c r="H38" s="445"/>
      <c r="I38" s="445"/>
      <c r="J38" s="445"/>
      <c r="K38" s="445"/>
      <c r="L38" s="44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90"/>
      <c r="AB38" s="284"/>
      <c r="AC38" s="284"/>
      <c r="AD38" s="284"/>
      <c r="AE38" s="284"/>
      <c r="AF38" s="284"/>
      <c r="AG38" s="284"/>
      <c r="AH38" s="291"/>
    </row>
    <row r="39" spans="2:34" ht="21.95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90"/>
      <c r="AB39" s="284"/>
      <c r="AC39" s="284"/>
      <c r="AD39" s="284"/>
      <c r="AE39" s="284"/>
      <c r="AF39" s="284"/>
      <c r="AG39" s="284"/>
      <c r="AH39" s="291"/>
    </row>
    <row r="40" spans="2:34" ht="21.95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90"/>
      <c r="AB40" s="284"/>
      <c r="AC40" s="284"/>
      <c r="AD40" s="284"/>
      <c r="AE40" s="284"/>
      <c r="AF40" s="284"/>
      <c r="AG40" s="284"/>
      <c r="AH40" s="291"/>
    </row>
    <row r="41" spans="2:34" ht="16.5" customHeight="1" x14ac:dyDescent="0.15">
      <c r="B41" s="441" t="str">
        <f>B19</f>
        <v>총수량</v>
      </c>
      <c r="C41" s="442"/>
      <c r="D41" s="443"/>
      <c r="E41" s="264"/>
      <c r="F41" s="265"/>
      <c r="G41" s="265"/>
      <c r="H41" s="265"/>
      <c r="I41" s="265"/>
      <c r="J41" s="265"/>
      <c r="K41" s="265"/>
      <c r="L41" s="265"/>
      <c r="M41" s="266">
        <f t="shared" si="0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100000000000001" customHeight="1" x14ac:dyDescent="0.15">
      <c r="B42" s="270" t="str">
        <f>B20</f>
        <v>3자물류 (더원물류)
담당자 박병선이사  010-4448-1456</v>
      </c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인천광역시 서구 오류동 1582-4
윤성필 파트장 031-997-9480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7.100000000000001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  <row r="44" spans="2:34" ht="15" customHeight="1" x14ac:dyDescent="0.15"/>
    <row r="45" spans="2:34" ht="15" customHeight="1" x14ac:dyDescent="0.15"/>
    <row r="46" spans="2:34" ht="15" customHeight="1" x14ac:dyDescent="0.15"/>
  </sheetData>
  <mergeCells count="145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4:D18 C30 W42 B2:B4 C32 C2:F3 C6 C10 C4 C28 D22:F25 B22:C26 T35:T40 C34:D34 W20 C36:D40 E34:E41 AA12:AA18 M30:M41 M8:M18 G8:L11 N8:P11 H2:K5 G2:G6 M2:P5 L2:L6 B12:B20 C12:E12 Q2:AH11 Q35:Q40 G30:L33 N30:P33 H22:K27 G22:G28 Q22:AH33 M22:P27 L22:L28 B34:B42 E19:M19 AA34:AA40 T13:T18 Q13:Q18 E13:E18" xr:uid="{6EFD47E9-2CFD-49A4-8599-E56C4561B9C6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9" tint="0.59999389629810485"/>
  </sheetPr>
  <dimension ref="B1:AM43"/>
  <sheetViews>
    <sheetView topLeftCell="A13" zoomScaleNormal="100" workbookViewId="0">
      <selection activeCell="A2" sqref="A2:XFD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9" ht="14.25" thickBot="1" x14ac:dyDescent="0.2">
      <c r="B1" s="27" t="s">
        <v>57</v>
      </c>
    </row>
    <row r="2" spans="2:39" ht="20.100000000000001" customHeight="1" x14ac:dyDescent="0.15">
      <c r="B2" s="385" t="s">
        <v>11</v>
      </c>
      <c r="C2" s="386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  <c r="V2" s="387"/>
      <c r="W2" s="387"/>
      <c r="X2" s="387"/>
      <c r="Y2" s="387"/>
      <c r="Z2" s="387"/>
      <c r="AA2" s="387"/>
      <c r="AB2" s="387"/>
      <c r="AC2" s="387"/>
      <c r="AD2" s="387"/>
      <c r="AE2" s="387"/>
      <c r="AF2" s="387"/>
      <c r="AG2" s="387"/>
      <c r="AH2" s="388"/>
      <c r="AM2" s="25"/>
    </row>
    <row r="3" spans="2:39" ht="20.100000000000001" customHeight="1" thickBot="1" x14ac:dyDescent="0.2">
      <c r="B3" s="389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390"/>
      <c r="Y3" s="390"/>
      <c r="Z3" s="390"/>
      <c r="AA3" s="390"/>
      <c r="AB3" s="390"/>
      <c r="AC3" s="390"/>
      <c r="AD3" s="390"/>
      <c r="AE3" s="390"/>
      <c r="AF3" s="390"/>
      <c r="AG3" s="390"/>
      <c r="AH3" s="391"/>
      <c r="AM3" s="25"/>
    </row>
    <row r="4" spans="2:39" ht="13.5" customHeight="1" x14ac:dyDescent="0.15">
      <c r="B4" s="392" t="s">
        <v>0</v>
      </c>
      <c r="C4" s="395" t="s">
        <v>3</v>
      </c>
      <c r="D4" s="395"/>
      <c r="E4" s="395"/>
      <c r="F4" s="395"/>
      <c r="G4" s="397"/>
      <c r="H4" s="398"/>
      <c r="I4" s="398"/>
      <c r="J4" s="398"/>
      <c r="K4" s="398"/>
      <c r="L4" s="398"/>
      <c r="M4" s="398"/>
      <c r="N4" s="398"/>
      <c r="O4" s="398"/>
      <c r="P4" s="399"/>
      <c r="Q4" s="392" t="s">
        <v>2</v>
      </c>
      <c r="R4" s="374" t="s">
        <v>3</v>
      </c>
      <c r="S4" s="374"/>
      <c r="T4" s="374"/>
      <c r="U4" s="374"/>
      <c r="V4" s="404" t="s">
        <v>58</v>
      </c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6"/>
      <c r="AM4" s="25"/>
    </row>
    <row r="5" spans="2:39" ht="16.5" x14ac:dyDescent="0.15">
      <c r="B5" s="393"/>
      <c r="C5" s="396"/>
      <c r="D5" s="396"/>
      <c r="E5" s="396"/>
      <c r="F5" s="396"/>
      <c r="G5" s="400"/>
      <c r="H5" s="401"/>
      <c r="I5" s="401"/>
      <c r="J5" s="401"/>
      <c r="K5" s="401"/>
      <c r="L5" s="401"/>
      <c r="M5" s="401"/>
      <c r="N5" s="401"/>
      <c r="O5" s="401"/>
      <c r="P5" s="402"/>
      <c r="Q5" s="393"/>
      <c r="R5" s="403"/>
      <c r="S5" s="403"/>
      <c r="T5" s="403"/>
      <c r="U5" s="403"/>
      <c r="V5" s="407"/>
      <c r="W5" s="408"/>
      <c r="X5" s="408"/>
      <c r="Y5" s="408"/>
      <c r="Z5" s="408"/>
      <c r="AA5" s="408"/>
      <c r="AB5" s="408"/>
      <c r="AC5" s="408"/>
      <c r="AD5" s="408"/>
      <c r="AE5" s="408"/>
      <c r="AF5" s="408"/>
      <c r="AG5" s="408"/>
      <c r="AH5" s="409"/>
      <c r="AM5" s="25"/>
    </row>
    <row r="6" spans="2:39" ht="13.5" customHeight="1" x14ac:dyDescent="0.15">
      <c r="B6" s="393"/>
      <c r="C6" s="396" t="s">
        <v>15</v>
      </c>
      <c r="D6" s="396"/>
      <c r="E6" s="396"/>
      <c r="F6" s="396"/>
      <c r="G6" s="410" t="s">
        <v>48</v>
      </c>
      <c r="H6" s="411"/>
      <c r="I6" s="411"/>
      <c r="J6" s="411"/>
      <c r="K6" s="412"/>
      <c r="L6" s="410" t="s">
        <v>74</v>
      </c>
      <c r="M6" s="411"/>
      <c r="N6" s="411"/>
      <c r="O6" s="411"/>
      <c r="P6" s="416"/>
      <c r="Q6" s="393"/>
      <c r="R6" s="396" t="s">
        <v>1</v>
      </c>
      <c r="S6" s="396"/>
      <c r="T6" s="396"/>
      <c r="U6" s="396"/>
      <c r="V6" s="433" t="s">
        <v>59</v>
      </c>
      <c r="W6" s="433"/>
      <c r="X6" s="433"/>
      <c r="Y6" s="433"/>
      <c r="Z6" s="433"/>
      <c r="AA6" s="433"/>
      <c r="AB6" s="403" t="s">
        <v>49</v>
      </c>
      <c r="AC6" s="403"/>
      <c r="AD6" s="433" t="s">
        <v>60</v>
      </c>
      <c r="AE6" s="433"/>
      <c r="AF6" s="433"/>
      <c r="AG6" s="433"/>
      <c r="AH6" s="434"/>
      <c r="AM6" s="25"/>
    </row>
    <row r="7" spans="2:39" x14ac:dyDescent="0.15">
      <c r="B7" s="393"/>
      <c r="C7" s="396"/>
      <c r="D7" s="396"/>
      <c r="E7" s="396"/>
      <c r="F7" s="396"/>
      <c r="G7" s="413"/>
      <c r="H7" s="414"/>
      <c r="I7" s="414"/>
      <c r="J7" s="414"/>
      <c r="K7" s="415"/>
      <c r="L7" s="413"/>
      <c r="M7" s="414"/>
      <c r="N7" s="414"/>
      <c r="O7" s="414"/>
      <c r="P7" s="417"/>
      <c r="Q7" s="393"/>
      <c r="R7" s="396"/>
      <c r="S7" s="396"/>
      <c r="T7" s="396"/>
      <c r="U7" s="396"/>
      <c r="V7" s="433"/>
      <c r="W7" s="433"/>
      <c r="X7" s="433"/>
      <c r="Y7" s="433"/>
      <c r="Z7" s="433"/>
      <c r="AA7" s="433"/>
      <c r="AB7" s="403"/>
      <c r="AC7" s="403"/>
      <c r="AD7" s="433"/>
      <c r="AE7" s="433"/>
      <c r="AF7" s="433"/>
      <c r="AG7" s="433"/>
      <c r="AH7" s="434"/>
      <c r="AM7"/>
    </row>
    <row r="8" spans="2:39" ht="16.5" customHeight="1" x14ac:dyDescent="0.15">
      <c r="B8" s="393"/>
      <c r="C8" s="396" t="s">
        <v>4</v>
      </c>
      <c r="D8" s="403"/>
      <c r="E8" s="403"/>
      <c r="F8" s="403"/>
      <c r="G8" s="435" t="s">
        <v>27</v>
      </c>
      <c r="H8" s="436"/>
      <c r="I8" s="436"/>
      <c r="J8" s="436"/>
      <c r="K8" s="436"/>
      <c r="L8" s="436"/>
      <c r="M8" s="436"/>
      <c r="N8" s="436"/>
      <c r="O8" s="436"/>
      <c r="P8" s="436"/>
      <c r="Q8" s="393"/>
      <c r="R8" s="396" t="s">
        <v>4</v>
      </c>
      <c r="S8" s="396"/>
      <c r="T8" s="396"/>
      <c r="U8" s="396"/>
      <c r="V8" s="439" t="s">
        <v>61</v>
      </c>
      <c r="W8" s="439"/>
      <c r="X8" s="439"/>
      <c r="Y8" s="439"/>
      <c r="Z8" s="439"/>
      <c r="AA8" s="439"/>
      <c r="AB8" s="439"/>
      <c r="AC8" s="439"/>
      <c r="AD8" s="439"/>
      <c r="AE8" s="439"/>
      <c r="AF8" s="439"/>
      <c r="AG8" s="439"/>
      <c r="AH8" s="440"/>
      <c r="AM8" s="25"/>
    </row>
    <row r="9" spans="2:39" ht="16.5" x14ac:dyDescent="0.15">
      <c r="B9" s="393"/>
      <c r="C9" s="403"/>
      <c r="D9" s="403"/>
      <c r="E9" s="403"/>
      <c r="F9" s="403"/>
      <c r="G9" s="437"/>
      <c r="H9" s="438"/>
      <c r="I9" s="438"/>
      <c r="J9" s="438"/>
      <c r="K9" s="438"/>
      <c r="L9" s="438"/>
      <c r="M9" s="438"/>
      <c r="N9" s="438"/>
      <c r="O9" s="438"/>
      <c r="P9" s="438"/>
      <c r="Q9" s="393"/>
      <c r="R9" s="396"/>
      <c r="S9" s="396"/>
      <c r="T9" s="396"/>
      <c r="U9" s="396"/>
      <c r="V9" s="439"/>
      <c r="W9" s="439"/>
      <c r="X9" s="439"/>
      <c r="Y9" s="439"/>
      <c r="Z9" s="439"/>
      <c r="AA9" s="439"/>
      <c r="AB9" s="439"/>
      <c r="AC9" s="439"/>
      <c r="AD9" s="439"/>
      <c r="AE9" s="439"/>
      <c r="AF9" s="439"/>
      <c r="AG9" s="439"/>
      <c r="AH9" s="440"/>
      <c r="AM9" s="25"/>
    </row>
    <row r="10" spans="2:39" ht="13.5" customHeight="1" x14ac:dyDescent="0.15">
      <c r="B10" s="393"/>
      <c r="C10" s="396" t="s">
        <v>6</v>
      </c>
      <c r="D10" s="396"/>
      <c r="E10" s="396"/>
      <c r="F10" s="396"/>
      <c r="G10" s="419"/>
      <c r="H10" s="420"/>
      <c r="I10" s="420"/>
      <c r="J10" s="420"/>
      <c r="K10" s="420"/>
      <c r="L10" s="420"/>
      <c r="M10" s="420"/>
      <c r="N10" s="420"/>
      <c r="O10" s="420"/>
      <c r="P10" s="421"/>
      <c r="Q10" s="393"/>
      <c r="R10" s="403" t="s">
        <v>13</v>
      </c>
      <c r="S10" s="403"/>
      <c r="T10" s="403"/>
      <c r="U10" s="403"/>
      <c r="V10" s="425" t="s">
        <v>18</v>
      </c>
      <c r="W10" s="426"/>
      <c r="X10" s="426"/>
      <c r="Y10" s="426"/>
      <c r="Z10" s="426"/>
      <c r="AA10" s="426"/>
      <c r="AB10" s="403" t="s">
        <v>50</v>
      </c>
      <c r="AC10" s="403"/>
      <c r="AD10" s="428" t="s">
        <v>62</v>
      </c>
      <c r="AE10" s="429"/>
      <c r="AF10" s="429"/>
      <c r="AG10" s="429"/>
      <c r="AH10" s="430"/>
      <c r="AM10" s="25"/>
    </row>
    <row r="11" spans="2:39" ht="17.25" thickBot="1" x14ac:dyDescent="0.2">
      <c r="B11" s="394"/>
      <c r="C11" s="418"/>
      <c r="D11" s="418"/>
      <c r="E11" s="418"/>
      <c r="F11" s="418"/>
      <c r="G11" s="422"/>
      <c r="H11" s="422"/>
      <c r="I11" s="422"/>
      <c r="J11" s="422"/>
      <c r="K11" s="422"/>
      <c r="L11" s="422"/>
      <c r="M11" s="422"/>
      <c r="N11" s="422"/>
      <c r="O11" s="422"/>
      <c r="P11" s="423"/>
      <c r="Q11" s="394"/>
      <c r="R11" s="424"/>
      <c r="S11" s="424"/>
      <c r="T11" s="424"/>
      <c r="U11" s="424"/>
      <c r="V11" s="427"/>
      <c r="W11" s="427"/>
      <c r="X11" s="427"/>
      <c r="Y11" s="427"/>
      <c r="Z11" s="427"/>
      <c r="AA11" s="427"/>
      <c r="AB11" s="424"/>
      <c r="AC11" s="424"/>
      <c r="AD11" s="431"/>
      <c r="AE11" s="431"/>
      <c r="AF11" s="431"/>
      <c r="AG11" s="431"/>
      <c r="AH11" s="432"/>
      <c r="AM11" s="25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374" t="s">
        <v>9</v>
      </c>
      <c r="F12" s="375"/>
      <c r="G12" s="375"/>
      <c r="H12" s="375"/>
      <c r="I12" s="375"/>
      <c r="J12" s="375"/>
      <c r="K12" s="375"/>
      <c r="L12" s="375"/>
      <c r="M12" s="22" t="s">
        <v>16</v>
      </c>
      <c r="N12" s="23"/>
      <c r="O12" s="23"/>
      <c r="P12" s="24"/>
      <c r="Q12" s="376" t="s">
        <v>20</v>
      </c>
      <c r="R12" s="377"/>
      <c r="S12" s="378"/>
      <c r="T12" s="376" t="s">
        <v>38</v>
      </c>
      <c r="U12" s="377"/>
      <c r="V12" s="378"/>
      <c r="W12" s="351" t="s">
        <v>42</v>
      </c>
      <c r="X12" s="351"/>
      <c r="Y12" s="351"/>
      <c r="Z12" s="379"/>
      <c r="AA12" s="380" t="s">
        <v>19</v>
      </c>
      <c r="AB12" s="381"/>
      <c r="AC12" s="381"/>
      <c r="AD12" s="381"/>
      <c r="AE12" s="381"/>
      <c r="AF12" s="381"/>
      <c r="AG12" s="381"/>
      <c r="AH12" s="382"/>
      <c r="AM12" s="25"/>
    </row>
    <row r="13" spans="2:39" ht="20.100000000000001" customHeight="1" x14ac:dyDescent="0.15">
      <c r="B13" s="383" t="e">
        <f>#REF!</f>
        <v>#REF!</v>
      </c>
      <c r="C13" s="373"/>
      <c r="D13" s="384"/>
      <c r="E13" s="356" t="s">
        <v>63</v>
      </c>
      <c r="F13" s="357"/>
      <c r="G13" s="357"/>
      <c r="H13" s="357"/>
      <c r="I13" s="357"/>
      <c r="J13" s="357"/>
      <c r="K13" s="357"/>
      <c r="L13" s="357"/>
      <c r="M13" s="358">
        <v>32</v>
      </c>
      <c r="N13" s="359"/>
      <c r="O13" s="359"/>
      <c r="P13" s="360"/>
      <c r="Q13" s="361">
        <f>IFERROR(VLOOKUP(B1,#REF!,2,FALSE),0)</f>
        <v>0</v>
      </c>
      <c r="R13" s="362"/>
      <c r="S13" s="363"/>
      <c r="T13" s="364">
        <f>IFERROR(ROUNDDOWN(Q13/M13,0),"")</f>
        <v>0</v>
      </c>
      <c r="U13" s="365"/>
      <c r="V13" s="365"/>
      <c r="W13" s="366">
        <f>IFERROR(Q13-(T13*M13),"")</f>
        <v>0</v>
      </c>
      <c r="X13" s="367"/>
      <c r="Y13" s="367"/>
      <c r="Z13" s="368"/>
      <c r="AA13" s="373" t="e">
        <f>B13+2</f>
        <v>#REF!</v>
      </c>
      <c r="AB13" s="365"/>
      <c r="AC13" s="365"/>
      <c r="AD13" s="365"/>
      <c r="AE13" s="365"/>
      <c r="AF13" s="365"/>
      <c r="AG13" s="365"/>
      <c r="AH13" s="369"/>
    </row>
    <row r="14" spans="2:39" ht="20.100000000000001" customHeight="1" x14ac:dyDescent="0.15">
      <c r="B14" s="17" t="s">
        <v>43</v>
      </c>
      <c r="C14" s="18" t="s">
        <v>43</v>
      </c>
      <c r="D14" s="18" t="s">
        <v>43</v>
      </c>
      <c r="E14" s="370" t="s">
        <v>64</v>
      </c>
      <c r="F14" s="371"/>
      <c r="G14" s="371"/>
      <c r="H14" s="371"/>
      <c r="I14" s="371"/>
      <c r="J14" s="371"/>
      <c r="K14" s="371"/>
      <c r="L14" s="372"/>
      <c r="M14" s="358">
        <v>32</v>
      </c>
      <c r="N14" s="359"/>
      <c r="O14" s="359"/>
      <c r="P14" s="360"/>
      <c r="Q14" s="361">
        <f>IFERROR(VLOOKUP(B1,#REF!,3,FALSE),0)</f>
        <v>0</v>
      </c>
      <c r="R14" s="362"/>
      <c r="S14" s="363"/>
      <c r="T14" s="364">
        <f>IFERROR(ROUNDDOWN(Q14/M14,0),"")</f>
        <v>0</v>
      </c>
      <c r="U14" s="365"/>
      <c r="V14" s="365"/>
      <c r="W14" s="366">
        <f>IFERROR(Q14-(T14*M14),"")</f>
        <v>0</v>
      </c>
      <c r="X14" s="367"/>
      <c r="Y14" s="367"/>
      <c r="Z14" s="368"/>
      <c r="AA14" s="373" t="e">
        <f>AA13</f>
        <v>#REF!</v>
      </c>
      <c r="AB14" s="365"/>
      <c r="AC14" s="365"/>
      <c r="AD14" s="365"/>
      <c r="AE14" s="365"/>
      <c r="AF14" s="365"/>
      <c r="AG14" s="365"/>
      <c r="AH14" s="369"/>
    </row>
    <row r="15" spans="2:39" ht="20.100000000000001" customHeight="1" x14ac:dyDescent="0.15">
      <c r="B15" s="17"/>
      <c r="C15" s="18"/>
      <c r="D15" s="18"/>
      <c r="E15" s="370"/>
      <c r="F15" s="371"/>
      <c r="G15" s="371"/>
      <c r="H15" s="371"/>
      <c r="I15" s="371"/>
      <c r="J15" s="371"/>
      <c r="K15" s="371"/>
      <c r="L15" s="372"/>
      <c r="M15" s="358"/>
      <c r="N15" s="359"/>
      <c r="O15" s="359"/>
      <c r="P15" s="360"/>
      <c r="Q15" s="361"/>
      <c r="R15" s="362"/>
      <c r="S15" s="363"/>
      <c r="T15" s="364"/>
      <c r="U15" s="365"/>
      <c r="V15" s="365"/>
      <c r="W15" s="366"/>
      <c r="X15" s="367"/>
      <c r="Y15" s="367"/>
      <c r="Z15" s="368"/>
      <c r="AA15" s="373"/>
      <c r="AB15" s="365"/>
      <c r="AC15" s="365"/>
      <c r="AD15" s="365"/>
      <c r="AE15" s="365"/>
      <c r="AF15" s="365"/>
      <c r="AG15" s="365"/>
      <c r="AH15" s="369"/>
    </row>
    <row r="16" spans="2:39" ht="20.100000000000001" customHeight="1" x14ac:dyDescent="0.15">
      <c r="B16" s="6"/>
      <c r="C16" s="15"/>
      <c r="D16" s="7"/>
      <c r="E16" s="370"/>
      <c r="F16" s="371"/>
      <c r="G16" s="371"/>
      <c r="H16" s="371"/>
      <c r="I16" s="371"/>
      <c r="J16" s="371"/>
      <c r="K16" s="371"/>
      <c r="L16" s="372"/>
      <c r="M16" s="358"/>
      <c r="N16" s="359"/>
      <c r="O16" s="359"/>
      <c r="P16" s="360"/>
      <c r="Q16" s="361"/>
      <c r="R16" s="362"/>
      <c r="S16" s="363"/>
      <c r="T16" s="364"/>
      <c r="U16" s="365"/>
      <c r="V16" s="365"/>
      <c r="W16" s="366"/>
      <c r="X16" s="367"/>
      <c r="Y16" s="367"/>
      <c r="Z16" s="368"/>
      <c r="AA16" s="373"/>
      <c r="AB16" s="365"/>
      <c r="AC16" s="365"/>
      <c r="AD16" s="365"/>
      <c r="AE16" s="365"/>
      <c r="AF16" s="365"/>
      <c r="AG16" s="365"/>
      <c r="AH16" s="369"/>
    </row>
    <row r="17" spans="2:34" ht="20.100000000000001" customHeight="1" x14ac:dyDescent="0.15">
      <c r="B17" s="6"/>
      <c r="C17" s="15"/>
      <c r="D17" s="7"/>
      <c r="E17" s="356"/>
      <c r="F17" s="357"/>
      <c r="G17" s="357"/>
      <c r="H17" s="357"/>
      <c r="I17" s="357"/>
      <c r="J17" s="357"/>
      <c r="K17" s="357"/>
      <c r="L17" s="357"/>
      <c r="M17" s="358"/>
      <c r="N17" s="359"/>
      <c r="O17" s="359"/>
      <c r="P17" s="360"/>
      <c r="Q17" s="361"/>
      <c r="R17" s="362"/>
      <c r="S17" s="363"/>
      <c r="T17" s="364"/>
      <c r="U17" s="365"/>
      <c r="V17" s="365"/>
      <c r="W17" s="366"/>
      <c r="X17" s="367"/>
      <c r="Y17" s="367"/>
      <c r="Z17" s="368"/>
      <c r="AA17" s="365"/>
      <c r="AB17" s="365"/>
      <c r="AC17" s="365"/>
      <c r="AD17" s="365"/>
      <c r="AE17" s="365"/>
      <c r="AF17" s="365"/>
      <c r="AG17" s="365"/>
      <c r="AH17" s="369"/>
    </row>
    <row r="18" spans="2:34" ht="20.100000000000001" customHeight="1" x14ac:dyDescent="0.15">
      <c r="B18" s="6"/>
      <c r="C18" s="15"/>
      <c r="D18" s="7"/>
      <c r="E18" s="356"/>
      <c r="F18" s="357"/>
      <c r="G18" s="357"/>
      <c r="H18" s="357"/>
      <c r="I18" s="357"/>
      <c r="J18" s="357"/>
      <c r="K18" s="357"/>
      <c r="L18" s="357"/>
      <c r="M18" s="358"/>
      <c r="N18" s="359"/>
      <c r="O18" s="359"/>
      <c r="P18" s="360"/>
      <c r="Q18" s="361"/>
      <c r="R18" s="362"/>
      <c r="S18" s="363"/>
      <c r="T18" s="364"/>
      <c r="U18" s="365"/>
      <c r="V18" s="365"/>
      <c r="W18" s="366"/>
      <c r="X18" s="367"/>
      <c r="Y18" s="367"/>
      <c r="Z18" s="368"/>
      <c r="AA18" s="365"/>
      <c r="AB18" s="365"/>
      <c r="AC18" s="365"/>
      <c r="AD18" s="365"/>
      <c r="AE18" s="365"/>
      <c r="AF18" s="365"/>
      <c r="AG18" s="365"/>
      <c r="AH18" s="369"/>
    </row>
    <row r="19" spans="2:34" ht="20.100000000000001" customHeight="1" thickBot="1" x14ac:dyDescent="0.2">
      <c r="B19" s="334" t="s">
        <v>20</v>
      </c>
      <c r="C19" s="335"/>
      <c r="D19" s="336"/>
      <c r="E19" s="337"/>
      <c r="F19" s="338"/>
      <c r="G19" s="338"/>
      <c r="H19" s="338"/>
      <c r="I19" s="338"/>
      <c r="J19" s="338"/>
      <c r="K19" s="338"/>
      <c r="L19" s="338"/>
      <c r="M19" s="339">
        <f>SUM(Q13:S18)</f>
        <v>0</v>
      </c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1"/>
      <c r="AA19" s="342"/>
      <c r="AB19" s="342"/>
      <c r="AC19" s="342"/>
      <c r="AD19" s="342"/>
      <c r="AE19" s="342"/>
      <c r="AF19" s="342"/>
      <c r="AG19" s="342"/>
      <c r="AH19" s="343"/>
    </row>
    <row r="20" spans="2:34" ht="17.25" customHeight="1" x14ac:dyDescent="0.15">
      <c r="B20" s="344" t="s">
        <v>17</v>
      </c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6"/>
      <c r="W20" s="350" t="s">
        <v>36</v>
      </c>
      <c r="X20" s="351"/>
      <c r="Y20" s="351"/>
      <c r="Z20" s="351"/>
      <c r="AA20" s="351"/>
      <c r="AB20" s="351"/>
      <c r="AC20" s="351"/>
      <c r="AD20" s="351"/>
      <c r="AE20" s="351"/>
      <c r="AF20" s="351"/>
      <c r="AG20" s="351"/>
      <c r="AH20" s="352"/>
    </row>
    <row r="21" spans="2:34" ht="18.75" customHeight="1" thickBot="1" x14ac:dyDescent="0.2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9"/>
      <c r="W21" s="353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5"/>
    </row>
    <row r="22" spans="2:34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14.25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315" t="s">
        <v>12</v>
      </c>
      <c r="C24" s="316"/>
      <c r="D24" s="317"/>
      <c r="E24" s="317"/>
      <c r="F24" s="317"/>
      <c r="G24" s="317"/>
      <c r="H24" s="317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  <c r="AG24" s="317"/>
      <c r="AH24" s="318"/>
    </row>
    <row r="25" spans="2:34" ht="20.100000000000001" customHeight="1" x14ac:dyDescent="0.15">
      <c r="B25" s="319"/>
      <c r="C25" s="320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2"/>
    </row>
    <row r="26" spans="2:34" ht="13.5" customHeight="1" x14ac:dyDescent="0.15">
      <c r="B26" s="323" t="s">
        <v>0</v>
      </c>
      <c r="C26" s="302" t="str">
        <f>C4</f>
        <v>등록번호</v>
      </c>
      <c r="D26" s="302"/>
      <c r="E26" s="302"/>
      <c r="F26" s="302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02" t="s">
        <v>2</v>
      </c>
      <c r="R26" s="295" t="s">
        <v>3</v>
      </c>
      <c r="S26" s="295"/>
      <c r="T26" s="295"/>
      <c r="U26" s="295"/>
      <c r="V26" s="326" t="str">
        <f>V4</f>
        <v>512-81-01914</v>
      </c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7"/>
    </row>
    <row r="27" spans="2:34" x14ac:dyDescent="0.15">
      <c r="B27" s="323"/>
      <c r="C27" s="302"/>
      <c r="D27" s="302"/>
      <c r="E27" s="302"/>
      <c r="F27" s="302"/>
      <c r="G27" s="324"/>
      <c r="H27" s="324"/>
      <c r="I27" s="324"/>
      <c r="J27" s="324"/>
      <c r="K27" s="324"/>
      <c r="L27" s="324"/>
      <c r="M27" s="324"/>
      <c r="N27" s="324"/>
      <c r="O27" s="324"/>
      <c r="P27" s="324"/>
      <c r="Q27" s="302"/>
      <c r="R27" s="295"/>
      <c r="S27" s="295"/>
      <c r="T27" s="295"/>
      <c r="U27" s="295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7"/>
    </row>
    <row r="28" spans="2:34" ht="13.5" customHeight="1" x14ac:dyDescent="0.15">
      <c r="B28" s="323"/>
      <c r="C28" s="302" t="str">
        <f>C6</f>
        <v>상 호
(법인명)</v>
      </c>
      <c r="D28" s="302"/>
      <c r="E28" s="302"/>
      <c r="F28" s="302"/>
      <c r="G28" s="328" t="str">
        <f>G6</f>
        <v>(이마트24)</v>
      </c>
      <c r="H28" s="329"/>
      <c r="I28" s="329"/>
      <c r="J28" s="329"/>
      <c r="K28" s="330"/>
      <c r="L28" s="328" t="str">
        <f>L6</f>
        <v>칠곡센터(저온)</v>
      </c>
      <c r="M28" s="329"/>
      <c r="N28" s="329"/>
      <c r="O28" s="329"/>
      <c r="P28" s="330"/>
      <c r="Q28" s="302"/>
      <c r="R28" s="302" t="s">
        <v>1</v>
      </c>
      <c r="S28" s="302"/>
      <c r="T28" s="302"/>
      <c r="U28" s="302"/>
      <c r="V28" s="308" t="str">
        <f>V6</f>
        <v>소디프비앤에프</v>
      </c>
      <c r="W28" s="308"/>
      <c r="X28" s="308"/>
      <c r="Y28" s="308"/>
      <c r="Z28" s="308"/>
      <c r="AA28" s="308"/>
      <c r="AB28" s="295" t="s">
        <v>5</v>
      </c>
      <c r="AC28" s="295"/>
      <c r="AD28" s="308" t="str">
        <f>AD6</f>
        <v>이정용</v>
      </c>
      <c r="AE28" s="308"/>
      <c r="AF28" s="308"/>
      <c r="AG28" s="308"/>
      <c r="AH28" s="310"/>
    </row>
    <row r="29" spans="2:34" x14ac:dyDescent="0.15">
      <c r="B29" s="323"/>
      <c r="C29" s="302"/>
      <c r="D29" s="302"/>
      <c r="E29" s="302"/>
      <c r="F29" s="302"/>
      <c r="G29" s="331"/>
      <c r="H29" s="332"/>
      <c r="I29" s="332"/>
      <c r="J29" s="332"/>
      <c r="K29" s="333"/>
      <c r="L29" s="331"/>
      <c r="M29" s="332"/>
      <c r="N29" s="332"/>
      <c r="O29" s="332"/>
      <c r="P29" s="333"/>
      <c r="Q29" s="302"/>
      <c r="R29" s="302"/>
      <c r="S29" s="302"/>
      <c r="T29" s="302"/>
      <c r="U29" s="302"/>
      <c r="V29" s="308"/>
      <c r="W29" s="308"/>
      <c r="X29" s="308"/>
      <c r="Y29" s="308"/>
      <c r="Z29" s="308"/>
      <c r="AA29" s="308"/>
      <c r="AB29" s="295"/>
      <c r="AC29" s="295"/>
      <c r="AD29" s="308"/>
      <c r="AE29" s="308"/>
      <c r="AF29" s="308"/>
      <c r="AG29" s="308"/>
      <c r="AH29" s="310"/>
    </row>
    <row r="30" spans="2:34" x14ac:dyDescent="0.15">
      <c r="B30" s="323"/>
      <c r="C30" s="302" t="s">
        <v>4</v>
      </c>
      <c r="D30" s="295"/>
      <c r="E30" s="295"/>
      <c r="F30" s="295"/>
      <c r="G30" s="312" t="str">
        <f>G8</f>
        <v>경북 칠곡군 왜관읍 공단로 13길
6-15</v>
      </c>
      <c r="H30" s="312"/>
      <c r="I30" s="312"/>
      <c r="J30" s="312"/>
      <c r="K30" s="312"/>
      <c r="L30" s="312"/>
      <c r="M30" s="312"/>
      <c r="N30" s="312"/>
      <c r="O30" s="312"/>
      <c r="P30" s="312"/>
      <c r="Q30" s="302"/>
      <c r="R30" s="302" t="s">
        <v>4</v>
      </c>
      <c r="S30" s="302"/>
      <c r="T30" s="302"/>
      <c r="U30" s="302"/>
      <c r="V30" s="313" t="str">
        <f>V8</f>
        <v>경상북도 영주시 가흥공단로 
59-144(상줄동)</v>
      </c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4"/>
    </row>
    <row r="31" spans="2:34" x14ac:dyDescent="0.15">
      <c r="B31" s="323"/>
      <c r="C31" s="295"/>
      <c r="D31" s="295"/>
      <c r="E31" s="295"/>
      <c r="F31" s="295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02"/>
      <c r="R31" s="302"/>
      <c r="S31" s="302"/>
      <c r="T31" s="302"/>
      <c r="U31" s="302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4"/>
    </row>
    <row r="32" spans="2:34" ht="13.5" customHeight="1" x14ac:dyDescent="0.15">
      <c r="B32" s="323"/>
      <c r="C32" s="302" t="s">
        <v>6</v>
      </c>
      <c r="D32" s="302"/>
      <c r="E32" s="302"/>
      <c r="F32" s="302"/>
      <c r="G32" s="303"/>
      <c r="H32" s="304"/>
      <c r="I32" s="304"/>
      <c r="J32" s="304"/>
      <c r="K32" s="304"/>
      <c r="L32" s="304"/>
      <c r="M32" s="304"/>
      <c r="N32" s="304"/>
      <c r="O32" s="304"/>
      <c r="P32" s="304"/>
      <c r="Q32" s="302"/>
      <c r="R32" s="295" t="s">
        <v>13</v>
      </c>
      <c r="S32" s="295"/>
      <c r="T32" s="295"/>
      <c r="U32" s="295"/>
      <c r="V32" s="307" t="str">
        <f>V10</f>
        <v>제조업</v>
      </c>
      <c r="W32" s="308"/>
      <c r="X32" s="308"/>
      <c r="Y32" s="308"/>
      <c r="Z32" s="308"/>
      <c r="AA32" s="308"/>
      <c r="AB32" s="295" t="s">
        <v>14</v>
      </c>
      <c r="AC32" s="295"/>
      <c r="AD32" s="308" t="str">
        <f>AD10</f>
        <v>햄소세지돈까스
기타식품제조및가공판매</v>
      </c>
      <c r="AE32" s="308"/>
      <c r="AF32" s="308"/>
      <c r="AG32" s="308"/>
      <c r="AH32" s="310"/>
    </row>
    <row r="33" spans="2:34" x14ac:dyDescent="0.15">
      <c r="B33" s="323"/>
      <c r="C33" s="302"/>
      <c r="D33" s="302"/>
      <c r="E33" s="302"/>
      <c r="F33" s="302"/>
      <c r="G33" s="304"/>
      <c r="H33" s="304"/>
      <c r="I33" s="304"/>
      <c r="J33" s="304"/>
      <c r="K33" s="304"/>
      <c r="L33" s="304"/>
      <c r="M33" s="305"/>
      <c r="N33" s="305"/>
      <c r="O33" s="305"/>
      <c r="P33" s="305"/>
      <c r="Q33" s="325"/>
      <c r="R33" s="306"/>
      <c r="S33" s="306"/>
      <c r="T33" s="306"/>
      <c r="U33" s="306"/>
      <c r="V33" s="309"/>
      <c r="W33" s="309"/>
      <c r="X33" s="309"/>
      <c r="Y33" s="309"/>
      <c r="Z33" s="309"/>
      <c r="AA33" s="309"/>
      <c r="AB33" s="306"/>
      <c r="AC33" s="306"/>
      <c r="AD33" s="309"/>
      <c r="AE33" s="309"/>
      <c r="AF33" s="309"/>
      <c r="AG33" s="309"/>
      <c r="AH33" s="311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295" t="s">
        <v>9</v>
      </c>
      <c r="F34" s="296"/>
      <c r="G34" s="296"/>
      <c r="H34" s="296"/>
      <c r="I34" s="296"/>
      <c r="J34" s="296"/>
      <c r="K34" s="296"/>
      <c r="L34" s="297"/>
      <c r="M34" s="298" t="s">
        <v>16</v>
      </c>
      <c r="N34" s="298"/>
      <c r="O34" s="298"/>
      <c r="P34" s="298"/>
      <c r="Q34" s="299" t="s">
        <v>20</v>
      </c>
      <c r="R34" s="299"/>
      <c r="S34" s="299"/>
      <c r="T34" s="299" t="s">
        <v>38</v>
      </c>
      <c r="U34" s="299"/>
      <c r="V34" s="299"/>
      <c r="W34" s="298" t="s">
        <v>42</v>
      </c>
      <c r="X34" s="298"/>
      <c r="Y34" s="298"/>
      <c r="Z34" s="298"/>
      <c r="AA34" s="300" t="s">
        <v>19</v>
      </c>
      <c r="AB34" s="298"/>
      <c r="AC34" s="298"/>
      <c r="AD34" s="298"/>
      <c r="AE34" s="298"/>
      <c r="AF34" s="298"/>
      <c r="AG34" s="298"/>
      <c r="AH34" s="301"/>
    </row>
    <row r="35" spans="2:34" ht="20.100000000000001" customHeight="1" x14ac:dyDescent="0.15">
      <c r="B35" s="292" t="e">
        <f>B13</f>
        <v>#REF!</v>
      </c>
      <c r="C35" s="293"/>
      <c r="D35" s="294"/>
      <c r="E35" s="264" t="str">
        <f t="shared" ref="B35:E36" si="0">E13</f>
        <v>네모밥스_남도식떡갈비</v>
      </c>
      <c r="F35" s="265"/>
      <c r="G35" s="265"/>
      <c r="H35" s="265"/>
      <c r="I35" s="265"/>
      <c r="J35" s="265"/>
      <c r="K35" s="265"/>
      <c r="L35" s="265"/>
      <c r="M35" s="284">
        <f t="shared" ref="M35:M41" si="1">M13</f>
        <v>32</v>
      </c>
      <c r="N35" s="284"/>
      <c r="O35" s="284"/>
      <c r="P35" s="284"/>
      <c r="Q35" s="285">
        <f>Q13</f>
        <v>0</v>
      </c>
      <c r="R35" s="285"/>
      <c r="S35" s="285"/>
      <c r="T35" s="286">
        <f>T13</f>
        <v>0</v>
      </c>
      <c r="U35" s="286"/>
      <c r="V35" s="286"/>
      <c r="W35" s="287">
        <f>W13</f>
        <v>0</v>
      </c>
      <c r="X35" s="287"/>
      <c r="Y35" s="287"/>
      <c r="Z35" s="287"/>
      <c r="AA35" s="290" t="e">
        <f>AA13</f>
        <v>#REF!</v>
      </c>
      <c r="AB35" s="284"/>
      <c r="AC35" s="284"/>
      <c r="AD35" s="284"/>
      <c r="AE35" s="284"/>
      <c r="AF35" s="284"/>
      <c r="AG35" s="284"/>
      <c r="AH35" s="291"/>
    </row>
    <row r="36" spans="2:34" ht="20.100000000000001" customHeight="1" x14ac:dyDescent="0.15">
      <c r="B36" s="19" t="str">
        <f t="shared" si="0"/>
        <v xml:space="preserve"> </v>
      </c>
      <c r="C36" s="20" t="str">
        <f t="shared" si="0"/>
        <v xml:space="preserve"> </v>
      </c>
      <c r="D36" s="21" t="str">
        <f t="shared" si="0"/>
        <v xml:space="preserve"> </v>
      </c>
      <c r="E36" s="264" t="str">
        <f t="shared" si="0"/>
        <v>네모밥스_참치마요&amp;날치알</v>
      </c>
      <c r="F36" s="265"/>
      <c r="G36" s="265"/>
      <c r="H36" s="265"/>
      <c r="I36" s="265"/>
      <c r="J36" s="265"/>
      <c r="K36" s="265"/>
      <c r="L36" s="265"/>
      <c r="M36" s="284">
        <f t="shared" si="1"/>
        <v>32</v>
      </c>
      <c r="N36" s="284"/>
      <c r="O36" s="284"/>
      <c r="P36" s="284"/>
      <c r="Q36" s="285">
        <f>Q14</f>
        <v>0</v>
      </c>
      <c r="R36" s="285"/>
      <c r="S36" s="285"/>
      <c r="T36" s="286">
        <f>T14</f>
        <v>0</v>
      </c>
      <c r="U36" s="286"/>
      <c r="V36" s="286"/>
      <c r="W36" s="287">
        <f>W14</f>
        <v>0</v>
      </c>
      <c r="X36" s="287"/>
      <c r="Y36" s="287"/>
      <c r="Z36" s="287"/>
      <c r="AA36" s="290" t="e">
        <f>AA14</f>
        <v>#REF!</v>
      </c>
      <c r="AB36" s="284"/>
      <c r="AC36" s="284"/>
      <c r="AD36" s="284"/>
      <c r="AE36" s="284"/>
      <c r="AF36" s="284"/>
      <c r="AG36" s="284"/>
      <c r="AH36" s="291"/>
    </row>
    <row r="37" spans="2:34" ht="20.100000000000001" customHeight="1" x14ac:dyDescent="0.15">
      <c r="B37" s="19"/>
      <c r="C37" s="20"/>
      <c r="D37" s="21"/>
      <c r="E37" s="264"/>
      <c r="F37" s="265"/>
      <c r="G37" s="265"/>
      <c r="H37" s="265"/>
      <c r="I37" s="265"/>
      <c r="J37" s="265"/>
      <c r="K37" s="265"/>
      <c r="L37" s="265"/>
      <c r="M37" s="284"/>
      <c r="N37" s="284"/>
      <c r="O37" s="284"/>
      <c r="P37" s="284"/>
      <c r="Q37" s="285"/>
      <c r="R37" s="285"/>
      <c r="S37" s="285"/>
      <c r="T37" s="286"/>
      <c r="U37" s="286"/>
      <c r="V37" s="286"/>
      <c r="W37" s="287"/>
      <c r="X37" s="287"/>
      <c r="Y37" s="287"/>
      <c r="Z37" s="287"/>
      <c r="AA37" s="288"/>
      <c r="AB37" s="286"/>
      <c r="AC37" s="286"/>
      <c r="AD37" s="286"/>
      <c r="AE37" s="286"/>
      <c r="AF37" s="286"/>
      <c r="AG37" s="286"/>
      <c r="AH37" s="289"/>
    </row>
    <row r="38" spans="2:34" ht="20.100000000000001" customHeight="1" x14ac:dyDescent="0.15">
      <c r="B38" s="9"/>
      <c r="C38" s="16"/>
      <c r="D38" s="10"/>
      <c r="E38" s="264"/>
      <c r="F38" s="265"/>
      <c r="G38" s="265"/>
      <c r="H38" s="265"/>
      <c r="I38" s="265"/>
      <c r="J38" s="265"/>
      <c r="K38" s="265"/>
      <c r="L38" s="265"/>
      <c r="M38" s="284"/>
      <c r="N38" s="284"/>
      <c r="O38" s="284"/>
      <c r="P38" s="284"/>
      <c r="Q38" s="285"/>
      <c r="R38" s="285"/>
      <c r="S38" s="285"/>
      <c r="T38" s="286"/>
      <c r="U38" s="286"/>
      <c r="V38" s="286"/>
      <c r="W38" s="287"/>
      <c r="X38" s="287"/>
      <c r="Y38" s="287"/>
      <c r="Z38" s="287"/>
      <c r="AA38" s="288"/>
      <c r="AB38" s="286"/>
      <c r="AC38" s="286"/>
      <c r="AD38" s="286"/>
      <c r="AE38" s="286"/>
      <c r="AF38" s="286"/>
      <c r="AG38" s="286"/>
      <c r="AH38" s="289"/>
    </row>
    <row r="39" spans="2:34" ht="20.100000000000001" customHeight="1" x14ac:dyDescent="0.15">
      <c r="B39" s="9"/>
      <c r="C39" s="16"/>
      <c r="D39" s="10"/>
      <c r="E39" s="264"/>
      <c r="F39" s="265"/>
      <c r="G39" s="265"/>
      <c r="H39" s="265"/>
      <c r="I39" s="265"/>
      <c r="J39" s="265"/>
      <c r="K39" s="265"/>
      <c r="L39" s="265"/>
      <c r="M39" s="284"/>
      <c r="N39" s="284"/>
      <c r="O39" s="284"/>
      <c r="P39" s="284"/>
      <c r="Q39" s="285"/>
      <c r="R39" s="285"/>
      <c r="S39" s="285"/>
      <c r="T39" s="286"/>
      <c r="U39" s="286"/>
      <c r="V39" s="286"/>
      <c r="W39" s="287"/>
      <c r="X39" s="287"/>
      <c r="Y39" s="287"/>
      <c r="Z39" s="287"/>
      <c r="AA39" s="288"/>
      <c r="AB39" s="286"/>
      <c r="AC39" s="286"/>
      <c r="AD39" s="286"/>
      <c r="AE39" s="286"/>
      <c r="AF39" s="286"/>
      <c r="AG39" s="286"/>
      <c r="AH39" s="289"/>
    </row>
    <row r="40" spans="2:34" ht="20.100000000000001" customHeight="1" x14ac:dyDescent="0.15">
      <c r="B40" s="9"/>
      <c r="C40" s="16"/>
      <c r="D40" s="10"/>
      <c r="E40" s="264"/>
      <c r="F40" s="265"/>
      <c r="G40" s="265"/>
      <c r="H40" s="265"/>
      <c r="I40" s="265"/>
      <c r="J40" s="265"/>
      <c r="K40" s="265"/>
      <c r="L40" s="265"/>
      <c r="M40" s="284"/>
      <c r="N40" s="284"/>
      <c r="O40" s="284"/>
      <c r="P40" s="284"/>
      <c r="Q40" s="285"/>
      <c r="R40" s="285"/>
      <c r="S40" s="285"/>
      <c r="T40" s="286"/>
      <c r="U40" s="286"/>
      <c r="V40" s="286"/>
      <c r="W40" s="287"/>
      <c r="X40" s="287"/>
      <c r="Y40" s="287"/>
      <c r="Z40" s="287"/>
      <c r="AA40" s="288"/>
      <c r="AB40" s="286"/>
      <c r="AC40" s="286"/>
      <c r="AD40" s="286"/>
      <c r="AE40" s="286"/>
      <c r="AF40" s="286"/>
      <c r="AG40" s="286"/>
      <c r="AH40" s="289"/>
    </row>
    <row r="41" spans="2:34" ht="20.100000000000001" customHeight="1" x14ac:dyDescent="0.15">
      <c r="B41" s="9"/>
      <c r="C41" s="16"/>
      <c r="D41" s="10"/>
      <c r="E41" s="264"/>
      <c r="F41" s="265"/>
      <c r="G41" s="265"/>
      <c r="H41" s="265"/>
      <c r="I41" s="265"/>
      <c r="J41" s="265"/>
      <c r="K41" s="265"/>
      <c r="L41" s="265"/>
      <c r="M41" s="266">
        <f t="shared" si="1"/>
        <v>0</v>
      </c>
      <c r="N41" s="266"/>
      <c r="O41" s="266"/>
      <c r="P41" s="266"/>
      <c r="Q41" s="266"/>
      <c r="R41" s="266"/>
      <c r="S41" s="266"/>
      <c r="T41" s="266"/>
      <c r="U41" s="266"/>
      <c r="V41" s="266"/>
      <c r="W41" s="266"/>
      <c r="X41" s="266"/>
      <c r="Y41" s="266"/>
      <c r="Z41" s="266"/>
      <c r="AA41" s="267"/>
      <c r="AB41" s="268"/>
      <c r="AC41" s="268"/>
      <c r="AD41" s="268"/>
      <c r="AE41" s="268"/>
      <c r="AF41" s="268"/>
      <c r="AG41" s="268"/>
      <c r="AH41" s="269"/>
    </row>
    <row r="42" spans="2:34" ht="17.25" customHeight="1" x14ac:dyDescent="0.15">
      <c r="B42" s="270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2"/>
      <c r="N42" s="272"/>
      <c r="O42" s="272"/>
      <c r="P42" s="272"/>
      <c r="Q42" s="272"/>
      <c r="R42" s="272"/>
      <c r="S42" s="272"/>
      <c r="T42" s="272"/>
      <c r="U42" s="272"/>
      <c r="V42" s="273"/>
      <c r="W42" s="277" t="str">
        <f>W20</f>
        <v>경북 칠곡군 왜관읍 공단로 13길
6-15
류현진 주임 054-821-0500</v>
      </c>
      <c r="X42" s="278"/>
      <c r="Y42" s="278"/>
      <c r="Z42" s="278"/>
      <c r="AA42" s="279"/>
      <c r="AB42" s="279"/>
      <c r="AC42" s="279"/>
      <c r="AD42" s="279"/>
      <c r="AE42" s="279"/>
      <c r="AF42" s="279"/>
      <c r="AG42" s="279"/>
      <c r="AH42" s="280"/>
    </row>
    <row r="43" spans="2:34" ht="18.75" customHeight="1" thickBot="1" x14ac:dyDescent="0.2"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6"/>
      <c r="W43" s="281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3"/>
    </row>
  </sheetData>
  <mergeCells count="144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5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T13:T18 C30 W42 B2:B4 C32 C2:F3 C6 C10 C4 C28 D22:F25 B22:C26 C36:D41 E13:E16 W20 M30:M41 Q35:Q40 Q13:Q18 C14:D18 T35:T40 M8:M12 G8:L11 N8:P11 H2:K5 G2:G6 AA12:AA15 M2:P5 L2:L6 M14:M19 B12:B20 E34:E41 E17:L19 G30:L33 N30:P33 H22:K27 G22:G28 Q22:AH33 M22:P27 L22:L28 B34:B42 Q2:AH11 C34:D34 F13:M13 C12:E12 AA34:AA40" xr:uid="{00000000-0002-0000-3B00-000000000000}"/>
  </dataValidations>
  <printOptions horizontalCentered="1" verticalCentered="1"/>
  <pageMargins left="0.27559055118110237" right="0.19685039370078741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 지정된 범위</vt:lpstr>
      </vt:variant>
      <vt:variant>
        <vt:i4>5</vt:i4>
      </vt:variant>
    </vt:vector>
  </HeadingPairs>
  <TitlesOfParts>
    <vt:vector size="38" baseType="lpstr">
      <vt:lpstr>은성파머스피벗발주량</vt:lpstr>
      <vt:lpstr>제주냉장센터(더원)</vt:lpstr>
      <vt:lpstr>광주B저온센터(호남권)</vt:lpstr>
      <vt:lpstr>광주냉장(호남권)</vt:lpstr>
      <vt:lpstr>김제냉장(호남권)</vt:lpstr>
      <vt:lpstr>대구냉장A동(영남권)_롯데확인</vt:lpstr>
      <vt:lpstr>대구냉장B동(영남권)_롯데확인</vt:lpstr>
      <vt:lpstr>부산냉장(영남권)</vt:lpstr>
      <vt:lpstr>양산냉장(영남권)</vt:lpstr>
      <vt:lpstr>칠곡저온(영남권)</vt:lpstr>
      <vt:lpstr>세종냉장센터</vt:lpstr>
      <vt:lpstr>수도권냉장</vt:lpstr>
      <vt:lpstr>수원저온센터</vt:lpstr>
      <vt:lpstr>안성저온센터</vt:lpstr>
      <vt:lpstr>양주저온</vt:lpstr>
      <vt:lpstr>오포저온</vt:lpstr>
      <vt:lpstr>원주저온</vt:lpstr>
      <vt:lpstr>인천저온</vt:lpstr>
      <vt:lpstr>해인기흥저온센터</vt:lpstr>
      <vt:lpstr>장성 (5)</vt:lpstr>
      <vt:lpstr>세종 (5)</vt:lpstr>
      <vt:lpstr>부산 (5)</vt:lpstr>
      <vt:lpstr>양산 (5)</vt:lpstr>
      <vt:lpstr>양지 (5)</vt:lpstr>
      <vt:lpstr>평택 (5)</vt:lpstr>
      <vt:lpstr>화성 (5)</vt:lpstr>
      <vt:lpstr>남양주 (10)</vt:lpstr>
      <vt:lpstr>제2인천 (10)</vt:lpstr>
      <vt:lpstr>양지 (10)</vt:lpstr>
      <vt:lpstr>평택 (10)</vt:lpstr>
      <vt:lpstr>화성 (10)</vt:lpstr>
      <vt:lpstr>인천 (10)</vt:lpstr>
      <vt:lpstr>칠곡 (5)</vt:lpstr>
      <vt:lpstr>'광주B저온센터(호남권)'!Print_Area</vt:lpstr>
      <vt:lpstr>'대구냉장A동(영남권)_롯데확인'!Print_Area</vt:lpstr>
      <vt:lpstr>'대구냉장B동(영남권)_롯데확인'!Print_Area</vt:lpstr>
      <vt:lpstr>오포저온!Print_Area</vt:lpstr>
      <vt:lpstr>'장성 (5)'!Print_Area</vt:lpstr>
    </vt:vector>
  </TitlesOfParts>
  <Company>김도희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(주)예스폼-김도희</dc:creator>
  <cp:keywords>www.yesform.com</cp:keywords>
  <dc:description>본 문서의 저작권은 예스폼에 있으며 무단복제 배포시 법적인 처벌을 받을 수 있습니다.</dc:description>
  <cp:lastModifiedBy>oem</cp:lastModifiedBy>
  <cp:lastPrinted>2026-10-19T05:20:32Z</cp:lastPrinted>
  <dcterms:created xsi:type="dcterms:W3CDTF">2010-01-19T05:17:14Z</dcterms:created>
  <dcterms:modified xsi:type="dcterms:W3CDTF">2026-10-19T05:20:54Z</dcterms:modified>
</cp:coreProperties>
</file>