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35\공유폴더\상온및냉동\3. BGF-세븐냉동(4시 이후)\3세븐(냉동)피킹컴수\"/>
    </mc:Choice>
  </mc:AlternateContent>
  <xr:revisionPtr revIDLastSave="0" documentId="13_ncr:1_{ED97B313-DC73-41FA-9E75-A3F2D5D9570A}" xr6:coauthVersionLast="47" xr6:coauthVersionMax="47" xr10:uidLastSave="{00000000-0000-0000-0000-000000000000}"/>
  <bookViews>
    <workbookView xWindow="33915" yWindow="0" windowWidth="22725" windowHeight="15420" tabRatio="905" firstSheet="0" activeTab="1" xr2:uid="{00000000-000D-0000-FFFF-FFFF00000000}"/>
  </bookViews>
  <sheets>
    <sheet name="스위트조이 피벗" sheetId="2111" r:id="rId4"/>
    <sheet name="스위트)아이스망고75g" sheetId="2112" r:id="rId5"/>
    <sheet name="스위트)아이스복숭아75g" sheetId="2113" r:id="rId6"/>
    <sheet name="스위트)주토피아아이스바" sheetId="2116" r:id="rId7"/>
    <sheet name="스위트)토이스토리아이스" sheetId="2146" r:id="rId8"/>
    <sheet name="브라더스팩토리" sheetId="2148" r:id="rId9"/>
    <sheet name="G)파인애플아이스100ml" sheetId="2149" r:id="rId10"/>
    <sheet name="AZ공유" sheetId="2147" r:id="rId11"/>
  </sheets>
  <definedNames>
    <definedName name="_xlnm._FilterDatabase" localSheetId="6" hidden="1">'G)파인애플아이스100ml'!$A$3:$F$12</definedName>
    <definedName name="_xlnm._FilterDatabase" localSheetId="1" hidden="1">'스위트)아이스망고75g'!$A$3:$F$12</definedName>
    <definedName name="_xlnm.Print_Area" localSheetId="7">AZ공유!$A$3:$F$10</definedName>
    <definedName name="_xlnm.Print_Area" localSheetId="6">'G)파인애플아이스100ml'!$A$2:$F$36</definedName>
    <definedName name="_xlnm.Print_Area" localSheetId="5">브라더스팩토리!$A$1:$A$5</definedName>
    <definedName name="_xlnm.Print_Area" localSheetId="1">'스위트)아이스망고75g'!$A$2:$F$36</definedName>
    <definedName name="_xlnm.Print_Area" localSheetId="2">'스위트)아이스복숭아75g'!$A$2:$F$36</definedName>
    <definedName name="_xlnm.Print_Area" localSheetId="3">'스위트)주토피아아이스바'!$A$2:$F$36</definedName>
    <definedName name="_xlnm.Print_Area" localSheetId="4">'스위트)토이스토리아이스'!$A$2:$F$36</definedName>
    <definedName name="_xlnm.Print_Area" localSheetId="0">'스위트조이 피벗'!$A$1:$A$4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<sst xmlns="http://schemas.openxmlformats.org/spreadsheetml/2006/main" count="2713" uniqueCount="289">
  <si>
    <t>샐만사)리코타닭가슴살에그</t>
  </si>
  <si>
    <t>카카오)라이언초코케이크</t>
  </si>
  <si>
    <t>박스</t>
  </si>
  <si>
    <t>총합계</t>
  </si>
  <si>
    <t>족발</t>
  </si>
  <si>
    <t>익산</t>
  </si>
  <si>
    <t>고양2</t>
  </si>
  <si>
    <t>김포2</t>
  </si>
  <si>
    <t>도화</t>
  </si>
  <si>
    <t>도화2</t>
  </si>
  <si>
    <t>강릉</t>
  </si>
  <si>
    <t>고양</t>
  </si>
  <si>
    <t>김포3</t>
  </si>
  <si>
    <t>입수</t>
  </si>
  <si>
    <t>낱개</t>
  </si>
  <si>
    <t>껍데기</t>
  </si>
  <si>
    <t>발안</t>
  </si>
  <si>
    <t>원주</t>
  </si>
  <si>
    <t>경산2</t>
  </si>
  <si>
    <t>송파</t>
  </si>
  <si>
    <t>송파2</t>
  </si>
  <si>
    <t>아신A</t>
  </si>
  <si>
    <t>경산</t>
  </si>
  <si>
    <t>센터명</t>
  </si>
  <si>
    <t>발안2</t>
  </si>
  <si>
    <t>곤지암</t>
  </si>
  <si>
    <t>모서리족발
(냉장)</t>
  </si>
  <si>
    <t>소시지콘
치즈그라탕</t>
  </si>
  <si>
    <t>치킨에그콥
샐러드</t>
  </si>
  <si>
    <t>진가쭈꾸미 짬뽕</t>
  </si>
  <si>
    <t>쉬림프레몬콥샐러드</t>
  </si>
  <si>
    <t>직화)모둠햄부대찌개</t>
  </si>
  <si>
    <t>직화)스팸김치찌개</t>
  </si>
  <si>
    <t>케이준치킨에그샐러드</t>
  </si>
  <si>
    <t>VV68 ㈜지에스리테일경산일배센터</t>
  </si>
  <si>
    <t>VV69 ㈜지에스리테일강릉일배센터</t>
  </si>
  <si>
    <t>총 박스 수량  / 총 낱개 수량</t>
  </si>
  <si>
    <t>VV70 ㈜지에스리테일김포3일배</t>
  </si>
  <si>
    <t>VV71 (주)지에스리테일발안2일배</t>
  </si>
  <si>
    <t>VV55 (주)지에스리테일송파2일배</t>
  </si>
  <si>
    <t>VV17 (주)지에스리테일발안일배</t>
  </si>
  <si>
    <t>VV25 (주)지에스리테일진주일배</t>
  </si>
  <si>
    <t>VV11 (주)지에스리테일장성일배</t>
  </si>
  <si>
    <t>VV18 (주)지에스리테일이천일배</t>
  </si>
  <si>
    <t>VV52 (주)지에스리테일남양주일배</t>
  </si>
  <si>
    <t>VV53 (주)지에스리테일송파일배</t>
  </si>
  <si>
    <t>VV57 (주)지에스리테일김해일배</t>
  </si>
  <si>
    <t>VV50 (주)지에스리테일(제성)</t>
  </si>
  <si>
    <t>VV04 (주)지에스리테일공주일배</t>
  </si>
  <si>
    <t>VV60 ㈜지에스리테일오산일배</t>
  </si>
  <si>
    <t>VV16 (주)지에스리테일원주일배</t>
  </si>
  <si>
    <t>VV62 (주)지에스리테일김포2일배</t>
  </si>
  <si>
    <t>VV65 ㈜지에스리테일익산일배</t>
  </si>
  <si>
    <t>VV64 ㈜지에스리테일고양일배2</t>
  </si>
  <si>
    <t>VV66 지에스리테일인천도화일배</t>
  </si>
  <si>
    <t>VV03 (주)지에스리테일(아신A)</t>
  </si>
  <si>
    <t>VV58 (주)지에스리테일김해2일배</t>
  </si>
  <si>
    <t>VV75 (주)지에스리테일공주2일배</t>
  </si>
  <si>
    <t>VV63 ㈜지에스리테일고양일배센터</t>
  </si>
  <si>
    <t>VV34 (주)지에스리테일청주일배</t>
  </si>
  <si>
    <t>VV67 지에스리테일인천도화2일배</t>
  </si>
  <si>
    <t>VV40 (주)지에스리테일(해인경산)</t>
  </si>
  <si>
    <t>VV20 (주)지에스리테일(해인CVS)</t>
  </si>
  <si>
    <t>VV23 (주)지에스리테일(해인FF)</t>
  </si>
  <si>
    <t>돼지갈비</t>
  </si>
  <si>
    <t>반반족보세트</t>
  </si>
  <si>
    <t>검수 리스트</t>
  </si>
  <si>
    <t>행 레이블</t>
  </si>
  <si>
    <t>수제치즈돈까스</t>
  </si>
  <si>
    <t>직화불닭발</t>
  </si>
  <si>
    <t>고양3</t>
  </si>
  <si>
    <t>VV81 (주)지에스리테일고양저온3</t>
  </si>
  <si>
    <t>곤지암2</t>
  </si>
  <si>
    <t>VV83 지에스리테일경산저온</t>
  </si>
  <si>
    <t>VV84 ㈜지에스리테일경산2저온</t>
  </si>
  <si>
    <t>VV85 지에스리테일신오산1저온</t>
  </si>
  <si>
    <t>VV86 지에스리테일신오산2저온</t>
  </si>
  <si>
    <t>VV87 지에스리테일신오산3저온</t>
  </si>
  <si>
    <t>신오산1</t>
  </si>
  <si>
    <t>신오산2</t>
  </si>
  <si>
    <t>신오산3</t>
  </si>
  <si>
    <t>VV90 (주)지에스리테일포천저온</t>
  </si>
  <si>
    <t>VV91 (주)지에스리테일포천2저온</t>
  </si>
  <si>
    <t>낱개</t>
    <phoneticPr fontId="13" type="noConversion"/>
  </si>
  <si>
    <t>VV92 (주)지에스리테일신제주저온</t>
  </si>
  <si>
    <t>VV93 (주)지에스리테일곤지암센터</t>
  </si>
  <si>
    <t>VV94 (주)지에스리테일곤지암2센</t>
  </si>
  <si>
    <t>고기</t>
    <phoneticPr fontId="13" type="noConversion"/>
  </si>
  <si>
    <t>디저트</t>
    <phoneticPr fontId="13" type="noConversion"/>
  </si>
  <si>
    <t>열 레이블</t>
  </si>
  <si>
    <t>VV95 (주)지에스리테일신광주저온</t>
  </si>
  <si>
    <t>VV96 (주)지에스리테일신광주2저</t>
  </si>
  <si>
    <t>박스</t>
    <phoneticPr fontId="13" type="noConversion"/>
  </si>
  <si>
    <t>VV97 (주)지에스리테일경산3저온</t>
  </si>
  <si>
    <t>신광주</t>
  </si>
  <si>
    <t>신광주2</t>
  </si>
  <si>
    <t>포천</t>
  </si>
  <si>
    <t>포천2</t>
  </si>
  <si>
    <t>경산3</t>
  </si>
  <si>
    <t>고촌</t>
    <phoneticPr fontId="13" type="noConversion"/>
  </si>
  <si>
    <t>VV98 (주)지에스리테일고촌저온</t>
  </si>
  <si>
    <t>VV98 (주)지에스리테일고촌저온</t>
    <phoneticPr fontId="13" type="noConversion"/>
  </si>
  <si>
    <t>고촌2</t>
    <phoneticPr fontId="13" type="noConversion"/>
  </si>
  <si>
    <t>VV99 (주)지에스리테일고촌2저온</t>
  </si>
  <si>
    <t>VV99 (주)지에스리테일고촌2저온</t>
    <phoneticPr fontId="13" type="noConversion"/>
  </si>
  <si>
    <t>VV16 (주)지에스리테일원주일배</t>
    <phoneticPr fontId="13" type="noConversion"/>
  </si>
  <si>
    <t>김해</t>
    <phoneticPr fontId="13" type="noConversion"/>
  </si>
  <si>
    <t>김해2</t>
    <phoneticPr fontId="13" type="noConversion"/>
  </si>
  <si>
    <t>원주</t>
    <phoneticPr fontId="13" type="noConversion"/>
  </si>
  <si>
    <t>강릉</t>
    <phoneticPr fontId="13" type="noConversion"/>
  </si>
  <si>
    <t>소분박스</t>
    <phoneticPr fontId="13" type="noConversion"/>
  </si>
  <si>
    <t>소분낱개</t>
    <phoneticPr fontId="13" type="noConversion"/>
  </si>
  <si>
    <t>신광주</t>
    <phoneticPr fontId="13" type="noConversion"/>
  </si>
  <si>
    <t>신광주2</t>
    <phoneticPr fontId="13" type="noConversion"/>
  </si>
  <si>
    <t>익산</t>
    <phoneticPr fontId="13" type="noConversion"/>
  </si>
  <si>
    <t>공주</t>
    <phoneticPr fontId="13" type="noConversion"/>
  </si>
  <si>
    <t>공주2</t>
    <phoneticPr fontId="13" type="noConversion"/>
  </si>
  <si>
    <t>청주</t>
    <phoneticPr fontId="13" type="noConversion"/>
  </si>
  <si>
    <t>진주</t>
    <phoneticPr fontId="13" type="noConversion"/>
  </si>
  <si>
    <t>CVS</t>
    <phoneticPr fontId="13" type="noConversion"/>
  </si>
  <si>
    <t>신제주</t>
    <phoneticPr fontId="13" type="noConversion"/>
  </si>
  <si>
    <t>영남 합계</t>
    <phoneticPr fontId="13" type="noConversion"/>
  </si>
  <si>
    <t>수도권 합계</t>
    <phoneticPr fontId="13" type="noConversion"/>
  </si>
  <si>
    <t>호남 합계</t>
    <phoneticPr fontId="13" type="noConversion"/>
  </si>
  <si>
    <t>VV92 (주)지에스리테일신제주저온</t>
    <phoneticPr fontId="13" type="noConversion"/>
  </si>
  <si>
    <t>신라명과</t>
    <phoneticPr fontId="13" type="noConversion"/>
  </si>
  <si>
    <t>리얼)모닝롤208G</t>
    <phoneticPr fontId="13" type="noConversion"/>
  </si>
  <si>
    <t>리얼)모닝롤208G</t>
  </si>
  <si>
    <t>12/17</t>
  </si>
  <si>
    <t>NEW직화석쇠불고기버거1편</t>
    <phoneticPr fontId="13" type="noConversion"/>
  </si>
  <si>
    <t>NEW직화석쇠불고기버거2편</t>
    <phoneticPr fontId="13" type="noConversion"/>
  </si>
  <si>
    <t>2300원굿딜)매콤불고기1</t>
  </si>
  <si>
    <t>2300원굿딜)매콤불고기2</t>
  </si>
  <si>
    <t>2300원굿딜)불갈비버거1</t>
  </si>
  <si>
    <t>2300원굿딜)불갈비버거2</t>
  </si>
  <si>
    <t>(주)지에스리테일원주일배</t>
    <phoneticPr fontId="13" type="noConversion"/>
  </si>
  <si>
    <t>㈜지에스리테일강릉일배센터</t>
    <phoneticPr fontId="13" type="noConversion"/>
  </si>
  <si>
    <t>(주)지에스리테일김해일배</t>
    <phoneticPr fontId="13" type="noConversion"/>
  </si>
  <si>
    <t>(주)지에스리테일김해2일배</t>
    <phoneticPr fontId="13" type="noConversion"/>
  </si>
  <si>
    <t>(주)지에스리테일공주일배</t>
    <phoneticPr fontId="13" type="noConversion"/>
  </si>
  <si>
    <t>(주)지에스리테일공주2일배</t>
    <phoneticPr fontId="13" type="noConversion"/>
  </si>
  <si>
    <t>(주)지에스리테일청주일배</t>
    <phoneticPr fontId="13" type="noConversion"/>
  </si>
  <si>
    <t>(주)지에스리테일신제주저온</t>
    <phoneticPr fontId="13" type="noConversion"/>
  </si>
  <si>
    <t>(주)지에스리테일진주일배</t>
    <phoneticPr fontId="13" type="noConversion"/>
  </si>
  <si>
    <t>(주)지에스리테일(해인CVS)</t>
    <phoneticPr fontId="13" type="noConversion"/>
  </si>
  <si>
    <t>(주)지에스리테일신광주저온</t>
    <phoneticPr fontId="13" type="noConversion"/>
  </si>
  <si>
    <t>(주)지에스리테일신광주2저</t>
    <phoneticPr fontId="13" type="noConversion"/>
  </si>
  <si>
    <t>지에스리테일경산저온</t>
    <phoneticPr fontId="13" type="noConversion"/>
  </si>
  <si>
    <t>㈜지에스리테일경산2저온</t>
    <phoneticPr fontId="13" type="noConversion"/>
  </si>
  <si>
    <t>(주)지에스리테일경산3저온</t>
    <phoneticPr fontId="13" type="noConversion"/>
  </si>
  <si>
    <t>(주)지에스리테일(아신A)</t>
    <phoneticPr fontId="13" type="noConversion"/>
  </si>
  <si>
    <t>(주)지에스리테일포천저온</t>
    <phoneticPr fontId="13" type="noConversion"/>
  </si>
  <si>
    <t>(주)지에스리테일포천2저온</t>
    <phoneticPr fontId="13" type="noConversion"/>
  </si>
  <si>
    <t>(주)지에스리테일고촌저온</t>
    <phoneticPr fontId="13" type="noConversion"/>
  </si>
  <si>
    <t>(주)지에스리테일고촌2저온</t>
    <phoneticPr fontId="13" type="noConversion"/>
  </si>
  <si>
    <t>㈜지에스리테일고양일배센터</t>
    <phoneticPr fontId="13" type="noConversion"/>
  </si>
  <si>
    <t>㈜지에스리테일고양일배2</t>
    <phoneticPr fontId="13" type="noConversion"/>
  </si>
  <si>
    <t>(주)지에스리테일고양저온3</t>
    <phoneticPr fontId="13" type="noConversion"/>
  </si>
  <si>
    <t>(주)지에스리테일김포2일배</t>
    <phoneticPr fontId="13" type="noConversion"/>
  </si>
  <si>
    <t>㈜지에스리테일김포3일배</t>
    <phoneticPr fontId="13" type="noConversion"/>
  </si>
  <si>
    <t>지에스리테일인천도화일배</t>
    <phoneticPr fontId="13" type="noConversion"/>
  </si>
  <si>
    <t>지에스리테일인천도화2일배</t>
    <phoneticPr fontId="13" type="noConversion"/>
  </si>
  <si>
    <t>(주)지에스리테일발안일배</t>
    <phoneticPr fontId="13" type="noConversion"/>
  </si>
  <si>
    <t>(주)지에스리테일발안2일배</t>
    <phoneticPr fontId="13" type="noConversion"/>
  </si>
  <si>
    <t>(주)지에스리테일송파일배</t>
    <phoneticPr fontId="13" type="noConversion"/>
  </si>
  <si>
    <t>(주)지에스리테일송파2일배</t>
    <phoneticPr fontId="13" type="noConversion"/>
  </si>
  <si>
    <t>(주)지에스리테일곤지암센터</t>
    <phoneticPr fontId="13" type="noConversion"/>
  </si>
  <si>
    <t>(주)지에스리테일곤지암2센</t>
    <phoneticPr fontId="13" type="noConversion"/>
  </si>
  <si>
    <t>지에스리테일신오산1저온</t>
    <phoneticPr fontId="13" type="noConversion"/>
  </si>
  <si>
    <t>지에스리테일신오산2저온</t>
    <phoneticPr fontId="13" type="noConversion"/>
  </si>
  <si>
    <t>㈜지에스리테일익산일배</t>
    <phoneticPr fontId="13" type="noConversion"/>
  </si>
  <si>
    <t>A구역 합계</t>
    <phoneticPr fontId="13" type="noConversion"/>
  </si>
  <si>
    <t>B구역 합계</t>
    <phoneticPr fontId="13" type="noConversion"/>
  </si>
  <si>
    <t>□</t>
  </si>
  <si>
    <t>대신 □</t>
    <phoneticPr fontId="13" type="noConversion"/>
  </si>
  <si>
    <t>황치즈직화석쇠불고기버거1편</t>
  </si>
  <si>
    <t>황치즈직화석쇠불고기버거2편</t>
  </si>
  <si>
    <t>김하나</t>
    <phoneticPr fontId="13" type="noConversion"/>
  </si>
  <si>
    <t>예)그릭샐러드</t>
    <phoneticPr fontId="13" type="noConversion"/>
  </si>
  <si>
    <t>예)닭가슴살샐러드</t>
    <phoneticPr fontId="13" type="noConversion"/>
  </si>
  <si>
    <t>예)들기름막국수샐러드</t>
    <phoneticPr fontId="13" type="noConversion"/>
  </si>
  <si>
    <t>예)모짜렐라샐러드</t>
    <phoneticPr fontId="13" type="noConversion"/>
  </si>
  <si>
    <t>예)새우샐러드</t>
    <phoneticPr fontId="13" type="noConversion"/>
  </si>
  <si>
    <t>예)연어샐러드</t>
    <phoneticPr fontId="13" type="noConversion"/>
  </si>
  <si>
    <t>예)직화불고기샐러드</t>
    <phoneticPr fontId="13" type="noConversion"/>
  </si>
  <si>
    <t>예)칠리치킨샐러드</t>
    <phoneticPr fontId="13" type="noConversion"/>
  </si>
  <si>
    <t>샐러드판다 □</t>
    <phoneticPr fontId="13" type="noConversion"/>
  </si>
  <si>
    <t>(주)지에스리테일(아신A)</t>
  </si>
  <si>
    <t>(주)지에스리테일(해인CVS)</t>
  </si>
  <si>
    <t>(주)지에스리테일경산3저온</t>
  </si>
  <si>
    <t>(주)지에스리테일고양저온3</t>
  </si>
  <si>
    <t>(주)지에스리테일고촌2저온</t>
  </si>
  <si>
    <t>(주)지에스리테일고촌저온</t>
  </si>
  <si>
    <t>(주)지에스리테일곤지암2센</t>
  </si>
  <si>
    <t>(주)지에스리테일곤지암센터</t>
  </si>
  <si>
    <t>(주)지에스리테일공주2일배</t>
  </si>
  <si>
    <t>(주)지에스리테일공주일배</t>
  </si>
  <si>
    <t>(주)지에스리테일김포2일배</t>
  </si>
  <si>
    <t>(주)지에스리테일김해2일배</t>
  </si>
  <si>
    <t>(주)지에스리테일김해일배</t>
  </si>
  <si>
    <t>(주)지에스리테일발안2일배</t>
  </si>
  <si>
    <t>(주)지에스리테일발안일배</t>
  </si>
  <si>
    <t>(주)지에스리테일송파2일배</t>
  </si>
  <si>
    <t>(주)지에스리테일송파일배</t>
  </si>
  <si>
    <t>(주)지에스리테일신광주2저</t>
  </si>
  <si>
    <t>(주)지에스리테일신광주저온</t>
  </si>
  <si>
    <t>(주)지에스리테일원주일배</t>
  </si>
  <si>
    <t>(주)지에스리테일진주일배</t>
  </si>
  <si>
    <t>(주)지에스리테일청주일배</t>
  </si>
  <si>
    <t>(주)지에스리테일포천2저온</t>
  </si>
  <si>
    <t>(주)지에스리테일포천저온</t>
  </si>
  <si>
    <t>지에스리테일신오산3저온</t>
  </si>
  <si>
    <t>㈜지에스리테일강릉일배센터</t>
  </si>
  <si>
    <t>㈜지에스리테일경산2저온</t>
  </si>
  <si>
    <t>㈜지에스리테일고양일배2</t>
  </si>
  <si>
    <t>㈜지에스리테일고양일배센터</t>
  </si>
  <si>
    <t>㈜지에스리테일김포3일배</t>
  </si>
  <si>
    <t>㈜지에스리테일익산일배</t>
  </si>
  <si>
    <t>지에스리테일경산저온</t>
  </si>
  <si>
    <t>지에스리테일신오산1저온</t>
  </si>
  <si>
    <t>지에스리테일신오산2저온</t>
  </si>
  <si>
    <t>지에스리테일인천도화2일배</t>
  </si>
  <si>
    <t>지에스리테일인천도화일배</t>
  </si>
  <si>
    <t>지에스리테일신오산3저온</t>
    <phoneticPr fontId="13" type="noConversion"/>
  </si>
  <si>
    <t>(주)지에스리테일신제주저온</t>
  </si>
  <si>
    <t>치즈왕돈까스버거1편</t>
  </si>
  <si>
    <t>치즈왕돈까스버거2편</t>
  </si>
  <si>
    <t>매콤직화석쇠불고기버거1편</t>
  </si>
  <si>
    <t>매콤직화석쇠불고기버거2편</t>
    <phoneticPr fontId="13" type="noConversion"/>
  </si>
  <si>
    <t>골든에프앤디 □</t>
    <phoneticPr fontId="13" type="noConversion"/>
  </si>
  <si>
    <t>예약)26년한마리민물장어덮밥</t>
    <phoneticPr fontId="13" type="noConversion"/>
  </si>
  <si>
    <t>예약)26년순살갈비탕</t>
    <phoneticPr fontId="13" type="noConversion"/>
  </si>
  <si>
    <t>예약)26년스지도가니탕</t>
    <phoneticPr fontId="13" type="noConversion"/>
  </si>
  <si>
    <t>예약)26년전통추어탕</t>
    <phoneticPr fontId="13" type="noConversion"/>
  </si>
  <si>
    <t>김제</t>
    <phoneticPr fontId="13" type="noConversion"/>
  </si>
  <si>
    <t>대구</t>
    <phoneticPr fontId="13" type="noConversion"/>
  </si>
  <si>
    <t>양산</t>
    <phoneticPr fontId="13" type="noConversion"/>
  </si>
  <si>
    <t>부산</t>
    <phoneticPr fontId="13" type="noConversion"/>
  </si>
  <si>
    <t>안성</t>
    <phoneticPr fontId="13" type="noConversion"/>
  </si>
  <si>
    <t>광주</t>
    <phoneticPr fontId="13" type="noConversion"/>
  </si>
  <si>
    <t>양주</t>
    <phoneticPr fontId="13" type="noConversion"/>
  </si>
  <si>
    <t>제주</t>
    <phoneticPr fontId="13" type="noConversion"/>
  </si>
  <si>
    <t>호남권 합계</t>
    <phoneticPr fontId="13" type="noConversion"/>
  </si>
  <si>
    <t>경북(칠곡)합계</t>
    <phoneticPr fontId="13" type="noConversion"/>
  </si>
  <si>
    <t>경남(김해)합계</t>
    <phoneticPr fontId="13" type="noConversion"/>
  </si>
  <si>
    <t>총 박스/총 낱개수량</t>
    <phoneticPr fontId="13" type="noConversion"/>
  </si>
  <si>
    <t>스위트)아이스망고75g</t>
  </si>
  <si>
    <t>스위트)아이스복숭아75g</t>
  </si>
  <si>
    <t>광주냉동</t>
  </si>
  <si>
    <t>수원냉동</t>
  </si>
  <si>
    <t>양산냉동</t>
  </si>
  <si>
    <t>양주냉동</t>
  </si>
  <si>
    <t>오포냉동</t>
  </si>
  <si>
    <t>원주냉동</t>
  </si>
  <si>
    <t>해인기흥냉동</t>
  </si>
  <si>
    <t>수도권냉동</t>
  </si>
  <si>
    <t>안성냉동</t>
  </si>
  <si>
    <t>세종냉동</t>
  </si>
  <si>
    <t>인천냉동</t>
  </si>
  <si>
    <t>부산냉동</t>
  </si>
  <si>
    <t>대구냉동</t>
  </si>
  <si>
    <t>칠곡냉동</t>
  </si>
  <si>
    <t>광주B냉동</t>
  </si>
  <si>
    <t>김제냉동</t>
  </si>
  <si>
    <t>제주냉동</t>
  </si>
  <si>
    <t>수도권</t>
    <phoneticPr fontId="13" type="noConversion"/>
  </si>
  <si>
    <t>세종</t>
    <phoneticPr fontId="13" type="noConversion"/>
  </si>
  <si>
    <t>인천</t>
    <phoneticPr fontId="13" type="noConversion"/>
  </si>
  <si>
    <t>해인기흥</t>
    <phoneticPr fontId="13" type="noConversion"/>
  </si>
  <si>
    <t>수원</t>
    <phoneticPr fontId="13" type="noConversion"/>
  </si>
  <si>
    <t>오포</t>
    <phoneticPr fontId="13" type="noConversion"/>
  </si>
  <si>
    <t>칠곡</t>
    <phoneticPr fontId="13" type="noConversion"/>
  </si>
  <si>
    <t>광주B</t>
    <phoneticPr fontId="13" type="noConversion"/>
  </si>
  <si>
    <t>제주냉동</t>
    <phoneticPr fontId="13" type="noConversion"/>
  </si>
  <si>
    <t>스위트조이 _세븐 &lt;냉동&gt; □</t>
    <phoneticPr fontId="13" type="noConversion"/>
  </si>
  <si>
    <t>스위트)
토이스토리아이스바75g</t>
    <phoneticPr fontId="13" type="noConversion"/>
  </si>
  <si>
    <t>스위트)
주토피아아이스바75g</t>
    <phoneticPr fontId="13" type="noConversion"/>
  </si>
  <si>
    <t>스위트)
토이스토리아이스바75g</t>
  </si>
  <si>
    <t>스위트)
주토피아아이스바75g</t>
  </si>
  <si>
    <t>브라더스팩토리 _세븐 &lt;냉동&gt; □</t>
    <phoneticPr fontId="13" type="noConversion"/>
  </si>
  <si>
    <t>입수</t>
    <phoneticPr fontId="13" type="noConversion"/>
  </si>
  <si>
    <t>G)파인애플아이스100ml</t>
  </si>
  <si>
    <t>G)파인애플아이스100ml</t>
    <phoneticPr fontId="13" type="noConversion"/>
  </si>
  <si>
    <t>10/16 납품</t>
    <phoneticPr fontId="13" type="noConversion"/>
  </si>
  <si>
    <t>10/16</t>
  </si>
  <si>
    <t>레이블</t>
  </si>
  <si>
    <t>10/17 납품</t>
  </si>
  <si>
    <t>10/19</t>
  </si>
  <si>
    <t>10/20 납품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</si>
</sst>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m&quot;월&quot;\ dd&quot;일&quot;"/>
  </numFmts>
  <fonts count="45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4"/>
      <color theme="1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B7DEE8"/>
        <bgColor rgb="FFDCE6F1"/>
      </patternFill>
    </fill>
    <fill>
      <patternFill patternType="solid">
        <fgColor rgb="FF92D050"/>
        <bgColor rgb="FFDCE6F1"/>
      </patternFill>
    </fill>
    <fill>
      <patternFill patternType="solid">
        <fgColor rgb="FF568ED4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FF00"/>
        <bgColor rgb="FFDCE6F1"/>
      </patternFill>
    </fill>
    <fill>
      <patternFill patternType="solid">
        <fgColor rgb="FF7030A0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1F9C6"/>
        <bgColor indexed="64"/>
      </patternFill>
    </fill>
    <fill>
      <patternFill patternType="solid">
        <fgColor theme="6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">
    <xf numFmtId="0" fontId="0" fillId="0" borderId="0">
      <alignment vertical="center"/>
    </xf>
    <xf numFmtId="41" fontId="12" fillId="0" borderId="0">
      <alignment vertical="center"/>
    </xf>
    <xf numFmtId="0" fontId="1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31" applyNumberFormat="0" applyAlignment="0" applyProtection="0">
      <alignment vertical="center"/>
    </xf>
    <xf numFmtId="0" fontId="29" fillId="17" borderId="32" applyNumberFormat="0" applyAlignment="0" applyProtection="0">
      <alignment vertical="center"/>
    </xf>
    <xf numFmtId="0" fontId="30" fillId="17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8" borderId="3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35" applyNumberFormat="0" applyFont="0" applyAlignment="0" applyProtection="0">
      <alignment vertical="center"/>
    </xf>
    <xf numFmtId="0" fontId="2" fillId="0" borderId="0">
      <alignment vertical="center"/>
    </xf>
    <xf numFmtId="0" fontId="2" fillId="19" borderId="3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41" fontId="12" fillId="0" borderId="0">
      <alignment vertical="center"/>
    </xf>
    <xf numFmtId="0" fontId="1" fillId="0" borderId="0">
      <alignment vertical="center"/>
    </xf>
  </cellStyleXfs>
  <cellXfs count="30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1" fontId="0" fillId="0" borderId="0" xfId="1" applyFont="1">
      <alignment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41" fontId="0" fillId="0" borderId="6" xfId="1" applyFont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8" fillId="0" borderId="1" xfId="1" applyFont="1" applyBorder="1">
      <alignment vertical="center"/>
    </xf>
    <xf numFmtId="176" fontId="0" fillId="0" borderId="0" xfId="0" applyNumberFormat="1">
      <alignment vertical="center"/>
    </xf>
    <xf numFmtId="41" fontId="5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0" fillId="0" borderId="1" xfId="1" applyFont="1" applyBorder="1">
      <alignment vertical="center"/>
    </xf>
    <xf numFmtId="41" fontId="5" fillId="0" borderId="15" xfId="1" applyFont="1" applyBorder="1" applyAlignment="1">
      <alignment horizontal="center" vertical="center"/>
    </xf>
    <xf numFmtId="41" fontId="8" fillId="0" borderId="15" xfId="1" applyFont="1" applyBorder="1">
      <alignment vertical="center"/>
    </xf>
    <xf numFmtId="41" fontId="10" fillId="10" borderId="1" xfId="1" applyFont="1" applyFill="1" applyBorder="1">
      <alignment vertical="center"/>
    </xf>
    <xf numFmtId="41" fontId="8" fillId="10" borderId="1" xfId="1" applyFont="1" applyFill="1" applyBorder="1">
      <alignment vertical="center"/>
    </xf>
    <xf numFmtId="41" fontId="12" fillId="0" borderId="0" xfId="1">
      <alignment vertical="center"/>
    </xf>
    <xf numFmtId="0" fontId="12" fillId="0" borderId="0" xfId="0" applyFont="1">
      <alignment vertical="center"/>
    </xf>
    <xf numFmtId="41" fontId="8" fillId="10" borderId="15" xfId="1" applyFont="1" applyFill="1" applyBorder="1">
      <alignment vertical="center"/>
    </xf>
    <xf numFmtId="41" fontId="12" fillId="0" borderId="0" xfId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12" fillId="0" borderId="0" xfId="2">
      <alignment vertical="center"/>
    </xf>
    <xf numFmtId="0" fontId="4" fillId="0" borderId="1" xfId="2" applyFont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12" fillId="10" borderId="1" xfId="2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11" borderId="0" xfId="2" applyFill="1">
      <alignment vertical="center"/>
    </xf>
    <xf numFmtId="41" fontId="17" fillId="11" borderId="4" xfId="1" applyFont="1" applyFill="1" applyBorder="1">
      <alignment vertical="center"/>
    </xf>
    <xf numFmtId="41" fontId="6" fillId="11" borderId="4" xfId="1" applyFont="1" applyFill="1" applyBorder="1">
      <alignment vertical="center"/>
    </xf>
    <xf numFmtId="0" fontId="11" fillId="11" borderId="3" xfId="2" applyFont="1" applyFill="1" applyBorder="1" applyAlignment="1">
      <alignment horizontal="left" vertical="center"/>
    </xf>
    <xf numFmtId="0" fontId="10" fillId="11" borderId="4" xfId="2" applyFont="1" applyFill="1" applyBorder="1" applyAlignment="1">
      <alignment horizontal="center" vertical="center"/>
    </xf>
    <xf numFmtId="0" fontId="4" fillId="0" borderId="2" xfId="2" applyFont="1" applyBorder="1">
      <alignment vertical="center"/>
    </xf>
    <xf numFmtId="41" fontId="11" fillId="0" borderId="15" xfId="1" applyFont="1" applyBorder="1" applyAlignment="1">
      <alignment horizontal="center" vertical="center"/>
    </xf>
    <xf numFmtId="0" fontId="12" fillId="10" borderId="2" xfId="2" applyFill="1" applyBorder="1">
      <alignment vertical="center"/>
    </xf>
    <xf numFmtId="0" fontId="12" fillId="10" borderId="2" xfId="2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2" fillId="0" borderId="2" xfId="2" applyBorder="1" applyAlignment="1">
      <alignment horizontal="left" vertical="center"/>
    </xf>
    <xf numFmtId="0" fontId="12" fillId="0" borderId="1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2" xfId="2" applyBorder="1">
      <alignment vertical="center"/>
    </xf>
    <xf numFmtId="14" fontId="12" fillId="0" borderId="0" xfId="2" applyNumberFormat="1">
      <alignment vertical="center"/>
    </xf>
    <xf numFmtId="41" fontId="6" fillId="10" borderId="1" xfId="1" applyFont="1" applyFill="1" applyBorder="1">
      <alignment vertical="center"/>
    </xf>
    <xf numFmtId="41" fontId="18" fillId="10" borderId="1" xfId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10" fillId="10" borderId="1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22" xfId="2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14" fontId="12" fillId="0" borderId="0" xfId="1" applyNumberFormat="1">
      <alignment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2" applyFo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7" fillId="0" borderId="21" xfId="2" applyFont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5" fillId="12" borderId="24" xfId="0" applyFont="1" applyFill="1" applyBorder="1">
      <alignment vertical="center"/>
    </xf>
    <xf numFmtId="0" fontId="20" fillId="12" borderId="19" xfId="0" applyFont="1" applyFill="1" applyBorder="1" applyAlignment="1">
      <alignment horizontal="center" vertical="center"/>
    </xf>
    <xf numFmtId="41" fontId="6" fillId="10" borderId="1" xfId="2" applyNumberFormat="1" applyFont="1" applyFill="1" applyBorder="1">
      <alignment vertical="center"/>
    </xf>
    <xf numFmtId="41" fontId="12" fillId="0" borderId="0" xfId="2" applyNumberFormat="1">
      <alignment vertical="center"/>
    </xf>
    <xf numFmtId="0" fontId="12" fillId="0" borderId="0" xfId="2" applyAlignment="1">
      <alignment horizontal="left" vertical="center"/>
    </xf>
    <xf numFmtId="0" fontId="5" fillId="12" borderId="38" xfId="0" applyFont="1" applyFill="1" applyBorder="1">
      <alignment vertical="center"/>
    </xf>
    <xf numFmtId="0" fontId="20" fillId="12" borderId="39" xfId="0" applyFont="1" applyFill="1" applyBorder="1" applyAlignment="1">
      <alignment horizontal="center" vertical="center"/>
    </xf>
    <xf numFmtId="0" fontId="11" fillId="11" borderId="40" xfId="2" applyFont="1" applyFill="1" applyBorder="1" applyAlignment="1">
      <alignment horizontal="left" vertical="center"/>
    </xf>
    <xf numFmtId="0" fontId="10" fillId="11" borderId="41" xfId="2" applyFont="1" applyFill="1" applyBorder="1" applyAlignment="1">
      <alignment horizontal="center" vertical="center"/>
    </xf>
    <xf numFmtId="41" fontId="17" fillId="11" borderId="41" xfId="1" applyFont="1" applyFill="1" applyBorder="1">
      <alignment vertical="center"/>
    </xf>
    <xf numFmtId="41" fontId="6" fillId="11" borderId="41" xfId="1" applyFont="1" applyFill="1" applyBorder="1">
      <alignment vertical="center"/>
    </xf>
    <xf numFmtId="0" fontId="6" fillId="11" borderId="41" xfId="2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11" fillId="10" borderId="2" xfId="2" applyFont="1" applyFill="1" applyBorder="1" applyAlignment="1">
      <alignment horizontal="left" vertical="center"/>
    </xf>
    <xf numFmtId="0" fontId="39" fillId="12" borderId="24" xfId="2" applyFont="1" applyFill="1" applyBorder="1">
      <alignment vertical="center"/>
    </xf>
    <xf numFmtId="0" fontId="39" fillId="12" borderId="3" xfId="2" applyFont="1" applyFill="1" applyBorder="1">
      <alignment vertical="center"/>
    </xf>
    <xf numFmtId="0" fontId="39" fillId="12" borderId="19" xfId="2" applyFont="1" applyFill="1" applyBorder="1">
      <alignment vertical="center"/>
    </xf>
    <xf numFmtId="0" fontId="4" fillId="0" borderId="11" xfId="2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6" fillId="11" borderId="19" xfId="1" applyFont="1" applyFill="1" applyBorder="1">
      <alignment vertical="center"/>
    </xf>
    <xf numFmtId="0" fontId="11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41" fontId="6" fillId="0" borderId="4" xfId="1" applyFont="1" applyBorder="1">
      <alignment vertical="center"/>
    </xf>
    <xf numFmtId="0" fontId="6" fillId="0" borderId="4" xfId="2" applyFont="1" applyBorder="1" applyAlignment="1">
      <alignment horizontal="left" vertical="center"/>
    </xf>
    <xf numFmtId="41" fontId="6" fillId="0" borderId="19" xfId="1" applyFont="1" applyBorder="1">
      <alignment vertical="center"/>
    </xf>
    <xf numFmtId="0" fontId="11" fillId="44" borderId="46" xfId="2" applyFont="1" applyFill="1" applyBorder="1" applyAlignment="1">
      <alignment horizontal="left" vertical="center"/>
    </xf>
    <xf numFmtId="0" fontId="10" fillId="44" borderId="47" xfId="2" applyFont="1" applyFill="1" applyBorder="1" applyAlignment="1">
      <alignment horizontal="center" vertical="center"/>
    </xf>
    <xf numFmtId="41" fontId="6" fillId="44" borderId="47" xfId="1" applyFont="1" applyFill="1" applyBorder="1">
      <alignment vertical="center"/>
    </xf>
    <xf numFmtId="0" fontId="6" fillId="44" borderId="47" xfId="2" applyFont="1" applyFill="1" applyBorder="1" applyAlignment="1">
      <alignment horizontal="left" vertical="center"/>
    </xf>
    <xf numFmtId="0" fontId="12" fillId="0" borderId="45" xfId="2" applyBorder="1" applyAlignment="1">
      <alignment horizontal="center" vertical="center"/>
    </xf>
    <xf numFmtId="41" fontId="10" fillId="0" borderId="45" xfId="1" applyFont="1" applyBorder="1">
      <alignment vertical="center"/>
    </xf>
    <xf numFmtId="41" fontId="8" fillId="0" borderId="45" xfId="1" applyFont="1" applyBorder="1">
      <alignment vertical="center"/>
    </xf>
    <xf numFmtId="0" fontId="6" fillId="0" borderId="45" xfId="2" applyFont="1" applyBorder="1" applyAlignment="1">
      <alignment horizontal="center" vertical="center"/>
    </xf>
    <xf numFmtId="0" fontId="12" fillId="45" borderId="6" xfId="2" applyFill="1" applyBorder="1" applyAlignment="1">
      <alignment horizontal="center" vertical="center"/>
    </xf>
    <xf numFmtId="41" fontId="10" fillId="45" borderId="6" xfId="1" applyFont="1" applyFill="1" applyBorder="1">
      <alignment vertical="center"/>
    </xf>
    <xf numFmtId="41" fontId="8" fillId="45" borderId="6" xfId="1" applyFont="1" applyFill="1" applyBorder="1">
      <alignment vertical="center"/>
    </xf>
    <xf numFmtId="0" fontId="6" fillId="45" borderId="6" xfId="2" applyFont="1" applyFill="1" applyBorder="1" applyAlignment="1">
      <alignment horizontal="center" vertical="center"/>
    </xf>
    <xf numFmtId="41" fontId="10" fillId="45" borderId="1" xfId="1" applyFont="1" applyFill="1" applyBorder="1">
      <alignment vertical="center"/>
    </xf>
    <xf numFmtId="41" fontId="8" fillId="45" borderId="1" xfId="1" applyFont="1" applyFill="1" applyBorder="1">
      <alignment vertical="center"/>
    </xf>
    <xf numFmtId="0" fontId="6" fillId="45" borderId="1" xfId="2" applyFont="1" applyFill="1" applyBorder="1" applyAlignment="1">
      <alignment horizontal="center" vertical="center"/>
    </xf>
    <xf numFmtId="0" fontId="12" fillId="45" borderId="1" xfId="2" applyFill="1" applyBorder="1" applyAlignment="1">
      <alignment horizontal="center" vertical="center"/>
    </xf>
    <xf numFmtId="0" fontId="11" fillId="10" borderId="22" xfId="2" applyFont="1" applyFill="1" applyBorder="1" applyAlignment="1">
      <alignment horizontal="left" vertical="center"/>
    </xf>
    <xf numFmtId="0" fontId="10" fillId="10" borderId="23" xfId="2" applyFont="1" applyFill="1" applyBorder="1" applyAlignment="1">
      <alignment horizontal="center" vertical="center"/>
    </xf>
    <xf numFmtId="41" fontId="6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left" vertical="center"/>
    </xf>
    <xf numFmtId="0" fontId="6" fillId="0" borderId="1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6" fillId="10" borderId="15" xfId="1" applyFont="1" applyFill="1" applyBorder="1">
      <alignment vertical="center"/>
    </xf>
    <xf numFmtId="0" fontId="11" fillId="0" borderId="50" xfId="2" applyFont="1" applyBorder="1" applyAlignment="1">
      <alignment horizontal="left" vertical="center"/>
    </xf>
    <xf numFmtId="0" fontId="10" fillId="0" borderId="51" xfId="2" applyFont="1" applyBorder="1" applyAlignment="1">
      <alignment horizontal="center" vertical="center"/>
    </xf>
    <xf numFmtId="41" fontId="6" fillId="0" borderId="51" xfId="1" applyFont="1" applyBorder="1">
      <alignment vertical="center"/>
    </xf>
    <xf numFmtId="0" fontId="6" fillId="0" borderId="51" xfId="2" applyFont="1" applyBorder="1" applyAlignment="1">
      <alignment horizontal="left" vertical="center"/>
    </xf>
    <xf numFmtId="41" fontId="6" fillId="0" borderId="52" xfId="1" applyFont="1" applyBorder="1">
      <alignment vertical="center"/>
    </xf>
    <xf numFmtId="0" fontId="4" fillId="0" borderId="16" xfId="2" applyFont="1" applyBorder="1">
      <alignment vertical="center"/>
    </xf>
    <xf numFmtId="41" fontId="5" fillId="0" borderId="17" xfId="1" applyFont="1" applyBorder="1" applyAlignment="1">
      <alignment horizontal="center" vertical="center"/>
    </xf>
    <xf numFmtId="0" fontId="12" fillId="0" borderId="53" xfId="2" applyBorder="1" applyAlignment="1">
      <alignment horizontal="left" vertical="center"/>
    </xf>
    <xf numFmtId="41" fontId="8" fillId="0" borderId="54" xfId="1" applyFont="1" applyBorder="1">
      <alignment vertical="center"/>
    </xf>
    <xf numFmtId="0" fontId="12" fillId="45" borderId="5" xfId="2" applyFill="1" applyBorder="1" applyAlignment="1">
      <alignment horizontal="left" vertical="center"/>
    </xf>
    <xf numFmtId="41" fontId="8" fillId="45" borderId="7" xfId="1" applyFont="1" applyFill="1" applyBorder="1">
      <alignment vertical="center"/>
    </xf>
    <xf numFmtId="0" fontId="12" fillId="45" borderId="2" xfId="2" applyFill="1" applyBorder="1">
      <alignment vertical="center"/>
    </xf>
    <xf numFmtId="41" fontId="8" fillId="45" borderId="15" xfId="1" applyFont="1" applyFill="1" applyBorder="1">
      <alignment vertical="center"/>
    </xf>
    <xf numFmtId="0" fontId="12" fillId="45" borderId="2" xfId="2" applyFill="1" applyBorder="1" applyAlignment="1">
      <alignment horizontal="left" vertical="center"/>
    </xf>
    <xf numFmtId="0" fontId="11" fillId="0" borderId="57" xfId="2" applyFont="1" applyBorder="1" applyAlignment="1">
      <alignment horizontal="left" vertical="center"/>
    </xf>
    <xf numFmtId="0" fontId="10" fillId="0" borderId="55" xfId="2" applyFont="1" applyBorder="1" applyAlignment="1">
      <alignment horizontal="center" vertical="center"/>
    </xf>
    <xf numFmtId="41" fontId="6" fillId="0" borderId="55" xfId="1" applyFont="1" applyBorder="1">
      <alignment vertical="center"/>
    </xf>
    <xf numFmtId="0" fontId="6" fillId="0" borderId="55" xfId="2" applyFont="1" applyBorder="1" applyAlignment="1">
      <alignment horizontal="left" vertical="center"/>
    </xf>
    <xf numFmtId="41" fontId="6" fillId="0" borderId="56" xfId="1" applyFont="1" applyBorder="1">
      <alignment vertical="center"/>
    </xf>
    <xf numFmtId="0" fontId="17" fillId="0" borderId="20" xfId="2" applyFont="1" applyBorder="1" applyAlignment="1">
      <alignment horizontal="center" vertical="center"/>
    </xf>
    <xf numFmtId="41" fontId="6" fillId="44" borderId="58" xfId="1" applyFont="1" applyFill="1" applyBorder="1">
      <alignment vertical="center"/>
    </xf>
    <xf numFmtId="41" fontId="6" fillId="11" borderId="59" xfId="1" applyFont="1" applyFill="1" applyBorder="1">
      <alignment vertical="center"/>
    </xf>
    <xf numFmtId="0" fontId="17" fillId="12" borderId="20" xfId="2" applyFont="1" applyFill="1" applyBorder="1" applyAlignment="1">
      <alignment horizontal="center" vertical="center"/>
    </xf>
    <xf numFmtId="41" fontId="6" fillId="10" borderId="24" xfId="1" applyFont="1" applyFill="1" applyBorder="1">
      <alignment vertical="center"/>
    </xf>
    <xf numFmtId="0" fontId="15" fillId="0" borderId="0" xfId="0" applyFont="1">
      <alignment vertical="center"/>
    </xf>
    <xf numFmtId="0" fontId="12" fillId="10" borderId="22" xfId="2" applyFill="1" applyBorder="1" applyAlignment="1">
      <alignment horizontal="left" vertical="center"/>
    </xf>
    <xf numFmtId="0" fontId="12" fillId="10" borderId="23" xfId="2" applyFill="1" applyBorder="1" applyAlignment="1">
      <alignment horizontal="center" vertical="center"/>
    </xf>
    <xf numFmtId="41" fontId="10" fillId="10" borderId="23" xfId="1" applyFont="1" applyFill="1" applyBorder="1">
      <alignment vertical="center"/>
    </xf>
    <xf numFmtId="41" fontId="8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41" fontId="8" fillId="10" borderId="24" xfId="1" applyFont="1" applyFill="1" applyBorder="1">
      <alignment vertical="center"/>
    </xf>
    <xf numFmtId="0" fontId="12" fillId="0" borderId="3" xfId="2" applyBorder="1" applyAlignment="1">
      <alignment horizontal="left" vertical="center"/>
    </xf>
    <xf numFmtId="41" fontId="10" fillId="0" borderId="4" xfId="1" applyFont="1" applyBorder="1">
      <alignment vertical="center"/>
    </xf>
    <xf numFmtId="41" fontId="8" fillId="0" borderId="4" xfId="1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41" fontId="8" fillId="0" borderId="19" xfId="1" applyFont="1" applyBorder="1">
      <alignment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38" fillId="12" borderId="19" xfId="2" applyFont="1" applyFill="1" applyBorder="1">
      <alignment vertical="center"/>
    </xf>
    <xf numFmtId="0" fontId="9" fillId="12" borderId="1" xfId="2" applyFont="1" applyFill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64" xfId="2" applyBorder="1">
      <alignment vertical="center"/>
    </xf>
    <xf numFmtId="41" fontId="8" fillId="0" borderId="65" xfId="1" applyFont="1" applyBorder="1">
      <alignment vertical="center"/>
    </xf>
    <xf numFmtId="0" fontId="18" fillId="0" borderId="3" xfId="2" applyFont="1" applyBorder="1">
      <alignment vertical="center"/>
    </xf>
    <xf numFmtId="0" fontId="39" fillId="12" borderId="38" xfId="2" applyFont="1" applyFill="1" applyBorder="1">
      <alignment vertical="center"/>
    </xf>
    <xf numFmtId="0" fontId="18" fillId="0" borderId="3" xfId="2" applyFont="1" applyBorder="1" applyAlignment="1">
      <alignment horizontal="center" vertical="center"/>
    </xf>
    <xf numFmtId="0" fontId="12" fillId="0" borderId="22" xfId="2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12" fillId="0" borderId="23" xfId="2" applyBorder="1" applyAlignment="1">
      <alignment horizontal="center" vertical="center"/>
    </xf>
    <xf numFmtId="41" fontId="10" fillId="0" borderId="23" xfId="1" applyFont="1" applyBorder="1">
      <alignment vertical="center"/>
    </xf>
    <xf numFmtId="41" fontId="8" fillId="0" borderId="23" xfId="1" applyFont="1" applyBorder="1">
      <alignment vertical="center"/>
    </xf>
    <xf numFmtId="41" fontId="8" fillId="0" borderId="24" xfId="1" applyFont="1" applyBorder="1">
      <alignment vertical="center"/>
    </xf>
    <xf numFmtId="0" fontId="4" fillId="0" borderId="4" xfId="2" applyFont="1" applyBorder="1" applyAlignment="1">
      <alignment horizontal="center" vertical="center"/>
    </xf>
    <xf numFmtId="41" fontId="11" fillId="0" borderId="4" xfId="1" applyFont="1" applyBorder="1">
      <alignment vertical="center"/>
    </xf>
    <xf numFmtId="41" fontId="6" fillId="0" borderId="4" xfId="2" applyNumberFormat="1" applyFont="1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12" fillId="0" borderId="5" xfId="2" applyBorder="1" applyAlignment="1">
      <alignment horizontal="left" vertical="center"/>
    </xf>
    <xf numFmtId="41" fontId="10" fillId="0" borderId="6" xfId="1" applyFont="1" applyBorder="1">
      <alignment vertical="center"/>
    </xf>
    <xf numFmtId="41" fontId="8" fillId="0" borderId="6" xfId="1" applyFont="1" applyBorder="1">
      <alignment vertical="center"/>
    </xf>
    <xf numFmtId="0" fontId="6" fillId="0" borderId="6" xfId="2" applyFont="1" applyBorder="1" applyAlignment="1">
      <alignment horizontal="center" vertical="center"/>
    </xf>
    <xf numFmtId="41" fontId="8" fillId="0" borderId="7" xfId="1" applyFont="1" applyBorder="1">
      <alignment vertical="center"/>
    </xf>
    <xf numFmtId="41" fontId="6" fillId="10" borderId="23" xfId="2" applyNumberFormat="1" applyFont="1" applyFill="1" applyBorder="1">
      <alignment vertical="center"/>
    </xf>
    <xf numFmtId="0" fontId="11" fillId="0" borderId="5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64" xfId="2" applyBorder="1" applyAlignment="1">
      <alignment horizontal="center" vertical="center"/>
    </xf>
    <xf numFmtId="0" fontId="12" fillId="0" borderId="65" xfId="2" applyBorder="1" applyAlignment="1">
      <alignment horizontal="center" vertical="center"/>
    </xf>
    <xf numFmtId="0" fontId="11" fillId="10" borderId="2" xfId="2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2" applyFont="1">
      <alignment vertical="center"/>
    </xf>
    <xf numFmtId="0" fontId="11" fillId="0" borderId="6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38" fillId="12" borderId="39" xfId="2" applyFont="1" applyFill="1" applyBorder="1">
      <alignment vertical="center"/>
    </xf>
    <xf numFmtId="0" fontId="40" fillId="0" borderId="0" xfId="2" applyFont="1">
      <alignment vertical="center"/>
    </xf>
    <xf numFmtId="0" fontId="40" fillId="0" borderId="0" xfId="0" applyFont="1">
      <alignment vertical="center"/>
    </xf>
    <xf numFmtId="0" fontId="12" fillId="46" borderId="1" xfId="2" applyFill="1" applyBorder="1" applyAlignment="1">
      <alignment horizontal="center" vertical="center"/>
    </xf>
    <xf numFmtId="0" fontId="9" fillId="47" borderId="1" xfId="2" applyFont="1" applyFill="1" applyBorder="1" applyAlignment="1">
      <alignment horizontal="center" vertical="center" wrapText="1"/>
    </xf>
    <xf numFmtId="0" fontId="12" fillId="10" borderId="16" xfId="2" applyFill="1" applyBorder="1">
      <alignment vertical="center"/>
    </xf>
    <xf numFmtId="0" fontId="6" fillId="10" borderId="2" xfId="2" applyFont="1" applyFill="1" applyBorder="1" applyAlignment="1">
      <alignment horizontal="left" vertical="center"/>
    </xf>
    <xf numFmtId="41" fontId="6" fillId="10" borderId="1" xfId="2" applyNumberFormat="1" applyFont="1" applyFill="1" applyBorder="1" applyAlignment="1">
      <alignment horizontal="center" vertical="center"/>
    </xf>
    <xf numFmtId="0" fontId="18" fillId="10" borderId="2" xfId="2" applyFont="1" applyFill="1" applyBorder="1" applyAlignment="1">
      <alignment horizontal="left" vertical="center"/>
    </xf>
    <xf numFmtId="41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/>
    </xf>
    <xf numFmtId="41" fontId="18" fillId="10" borderId="15" xfId="1" applyFont="1" applyFill="1" applyBorder="1">
      <alignment vertical="center"/>
    </xf>
    <xf numFmtId="0" fontId="8" fillId="0" borderId="2" xfId="2" applyFont="1" applyBorder="1">
      <alignment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41" fillId="10" borderId="2" xfId="2" applyFont="1" applyFill="1" applyBorder="1" applyAlignment="1">
      <alignment horizontal="left" vertical="center"/>
    </xf>
    <xf numFmtId="0" fontId="41" fillId="10" borderId="1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0" xfId="2" applyFont="1">
      <alignment vertical="center"/>
    </xf>
    <xf numFmtId="0" fontId="7" fillId="10" borderId="2" xfId="2" applyFont="1" applyFill="1" applyBorder="1" applyAlignment="1">
      <alignment horizontal="left" vertical="center"/>
    </xf>
    <xf numFmtId="0" fontId="7" fillId="10" borderId="1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41" fontId="17" fillId="0" borderId="1" xfId="1" applyFont="1" applyBorder="1">
      <alignment vertical="center"/>
    </xf>
    <xf numFmtId="0" fontId="42" fillId="10" borderId="1" xfId="2" applyFont="1" applyFill="1" applyBorder="1" applyAlignment="1">
      <alignment horizontal="center" vertical="center"/>
    </xf>
    <xf numFmtId="0" fontId="17" fillId="10" borderId="1" xfId="2" applyFont="1" applyFill="1" applyBorder="1" applyAlignment="1">
      <alignment horizontal="center" vertical="center"/>
    </xf>
    <xf numFmtId="41" fontId="17" fillId="0" borderId="15" xfId="1" applyFont="1" applyBorder="1">
      <alignment vertical="center"/>
    </xf>
    <xf numFmtId="14" fontId="8" fillId="0" borderId="0" xfId="1" applyNumberFormat="1" applyFont="1">
      <alignment vertical="center"/>
    </xf>
    <xf numFmtId="14" fontId="8" fillId="0" borderId="0" xfId="2" applyNumberFormat="1" applyFont="1">
      <alignment vertical="center"/>
    </xf>
    <xf numFmtId="0" fontId="41" fillId="0" borderId="1" xfId="2" applyFont="1" applyBorder="1" applyAlignment="1">
      <alignment horizontal="center" vertical="center"/>
    </xf>
    <xf numFmtId="14" fontId="7" fillId="48" borderId="22" xfId="2" applyNumberFormat="1" applyFont="1" applyFill="1" applyBorder="1" applyAlignment="1">
      <alignment horizontal="left" vertical="center"/>
    </xf>
    <xf numFmtId="14" fontId="4" fillId="48" borderId="2" xfId="2" applyNumberFormat="1" applyFont="1" applyFill="1" applyBorder="1">
      <alignment vertical="center"/>
    </xf>
    <xf numFmtId="0" fontId="4" fillId="48" borderId="1" xfId="2" applyFont="1" applyFill="1" applyBorder="1" applyAlignment="1">
      <alignment horizontal="center" vertical="center"/>
    </xf>
    <xf numFmtId="0" fontId="9" fillId="48" borderId="1" xfId="2" applyFont="1" applyFill="1" applyBorder="1" applyAlignment="1">
      <alignment horizontal="center" vertical="center"/>
    </xf>
    <xf numFmtId="41" fontId="5" fillId="48" borderId="1" xfId="1" applyFont="1" applyFill="1" applyBorder="1" applyAlignment="1">
      <alignment horizontal="center" vertical="center"/>
    </xf>
    <xf numFmtId="41" fontId="5" fillId="48" borderId="15" xfId="1" applyFont="1" applyFill="1" applyBorder="1" applyAlignment="1">
      <alignment horizontal="center" vertical="center"/>
    </xf>
    <xf numFmtId="0" fontId="9" fillId="48" borderId="1" xfId="2" applyFont="1" applyFill="1" applyBorder="1" applyAlignment="1">
      <alignment horizontal="center" vertical="center" wrapText="1"/>
    </xf>
    <xf numFmtId="14" fontId="7" fillId="48" borderId="2" xfId="2" applyNumberFormat="1" applyFont="1" applyFill="1" applyBorder="1">
      <alignment vertical="center"/>
    </xf>
    <xf numFmtId="0" fontId="17" fillId="0" borderId="2" xfId="2" applyFont="1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14" fontId="7" fillId="45" borderId="22" xfId="2" applyNumberFormat="1" applyFont="1" applyFill="1" applyBorder="1" applyAlignment="1">
      <alignment horizontal="left" vertical="center"/>
    </xf>
    <xf numFmtId="14" fontId="4" fillId="45" borderId="2" xfId="2" applyNumberFormat="1" applyFont="1" applyFill="1" applyBorder="1">
      <alignment vertical="center"/>
    </xf>
    <xf numFmtId="0" fontId="4" fillId="45" borderId="1" xfId="2" applyFont="1" applyFill="1" applyBorder="1" applyAlignment="1">
      <alignment horizontal="center" vertical="center"/>
    </xf>
    <xf numFmtId="0" fontId="9" fillId="45" borderId="1" xfId="2" applyFont="1" applyFill="1" applyBorder="1" applyAlignment="1">
      <alignment horizontal="center" vertical="center" wrapText="1"/>
    </xf>
    <xf numFmtId="41" fontId="5" fillId="45" borderId="1" xfId="1" applyFont="1" applyFill="1" applyBorder="1" applyAlignment="1">
      <alignment horizontal="center" vertical="center"/>
    </xf>
    <xf numFmtId="41" fontId="5" fillId="45" borderId="15" xfId="1" applyFont="1" applyFill="1" applyBorder="1" applyAlignment="1">
      <alignment horizontal="center" vertical="center"/>
    </xf>
    <xf numFmtId="14" fontId="7" fillId="48" borderId="2" xfId="2" quotePrefix="1" applyNumberFormat="1" applyFont="1" applyFill="1" applyBorder="1">
      <alignment vertical="center"/>
    </xf>
    <xf numFmtId="0" fontId="43" fillId="0" borderId="0" xfId="2" applyFont="1">
      <alignment vertical="center"/>
    </xf>
    <xf numFmtId="14" fontId="8" fillId="0" borderId="0" xfId="2" quotePrefix="1" applyNumberFormat="1" applyFont="1">
      <alignment vertical="center"/>
    </xf>
    <xf numFmtId="41" fontId="8" fillId="0" borderId="0" xfId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44" fillId="0" borderId="0" xfId="2" applyFont="1">
      <alignment vertical="center"/>
    </xf>
    <xf numFmtId="0" fontId="12" fillId="0" borderId="0" xfId="2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12" fillId="0" borderId="3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19" xfId="2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57" xfId="2" applyBorder="1" applyAlignment="1">
      <alignment horizontal="center" vertical="center"/>
    </xf>
    <xf numFmtId="0" fontId="12" fillId="0" borderId="55" xfId="2" applyBorder="1" applyAlignment="1">
      <alignment horizontal="center" vertical="center"/>
    </xf>
    <xf numFmtId="0" fontId="12" fillId="0" borderId="56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14" fontId="11" fillId="0" borderId="0" xfId="2" applyNumberFormat="1" applyFont="1" applyAlignment="1">
      <alignment horizontal="center" vertical="center"/>
    </xf>
    <xf numFmtId="0" fontId="7" fillId="48" borderId="23" xfId="2" applyFont="1" applyFill="1" applyBorder="1" applyAlignment="1">
      <alignment horizontal="center" vertical="center"/>
    </xf>
    <xf numFmtId="0" fontId="7" fillId="48" borderId="24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7" fillId="48" borderId="25" xfId="2" applyFont="1" applyFill="1" applyBorder="1" applyAlignment="1">
      <alignment horizontal="center" vertical="center"/>
    </xf>
    <xf numFmtId="0" fontId="7" fillId="48" borderId="14" xfId="2" applyFont="1" applyFill="1" applyBorder="1" applyAlignment="1">
      <alignment horizontal="center" vertical="center"/>
    </xf>
    <xf numFmtId="0" fontId="7" fillId="48" borderId="18" xfId="2" applyFont="1" applyFill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49" xfId="2" applyFont="1" applyBorder="1" applyAlignment="1">
      <alignment horizontal="center" vertical="center"/>
    </xf>
    <xf numFmtId="0" fontId="7" fillId="45" borderId="23" xfId="2" applyFont="1" applyFill="1" applyBorder="1" applyAlignment="1">
      <alignment horizontal="center" vertical="center"/>
    </xf>
    <xf numFmtId="0" fontId="7" fillId="45" borderId="24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2" fillId="0" borderId="16" xfId="2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2" fillId="0" borderId="17" xfId="2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12" fillId="0" borderId="66" xfId="2" applyBorder="1" applyAlignment="1">
      <alignment horizontal="center" vertical="center"/>
    </xf>
    <xf numFmtId="0" fontId="12" fillId="0" borderId="67" xfId="2" applyBorder="1" applyAlignment="1">
      <alignment horizontal="center" vertical="center"/>
    </xf>
    <xf numFmtId="0" fontId="12" fillId="0" borderId="69" xfId="2" applyBorder="1" applyAlignment="1">
      <alignment horizontal="center" vertical="center"/>
    </xf>
    <xf numFmtId="14" fontId="11" fillId="0" borderId="61" xfId="2" applyNumberFormat="1" applyFont="1" applyBorder="1" applyAlignment="1">
      <alignment horizontal="center" vertical="center"/>
    </xf>
    <xf numFmtId="14" fontId="11" fillId="0" borderId="62" xfId="2" applyNumberFormat="1" applyFont="1" applyBorder="1" applyAlignment="1">
      <alignment horizontal="center" vertical="center"/>
    </xf>
    <xf numFmtId="14" fontId="11" fillId="0" borderId="63" xfId="2" applyNumberFormat="1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1" fillId="0" borderId="42" xfId="2" applyNumberFormat="1" applyFont="1" applyBorder="1" applyAlignment="1">
      <alignment horizontal="center" vertical="center"/>
    </xf>
    <xf numFmtId="14" fontId="11" fillId="0" borderId="43" xfId="2" applyNumberFormat="1" applyFont="1" applyBorder="1" applyAlignment="1">
      <alignment horizontal="center" vertical="center"/>
    </xf>
    <xf numFmtId="14" fontId="11" fillId="0" borderId="44" xfId="2" applyNumberFormat="1" applyFont="1" applyBorder="1" applyAlignment="1">
      <alignment horizontal="center" vertical="center"/>
    </xf>
  </cellXfs>
  <cellStyles count="61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9" xr:uid="{00000000-0005-0000-0000-000003000000}"/>
    <cellStyle name="20% - 강조색3" xfId="28" builtinId="38" customBuiltin="1"/>
    <cellStyle name="20% - 강조색3 2" xfId="51" xr:uid="{00000000-0005-0000-0000-000005000000}"/>
    <cellStyle name="20% - 강조색4" xfId="32" builtinId="42" customBuiltin="1"/>
    <cellStyle name="20% - 강조색4 2" xfId="53" xr:uid="{00000000-0005-0000-0000-000007000000}"/>
    <cellStyle name="20% - 강조색5" xfId="36" builtinId="46" customBuiltin="1"/>
    <cellStyle name="20% - 강조색5 2" xfId="55" xr:uid="{00000000-0005-0000-0000-000009000000}"/>
    <cellStyle name="20% - 강조색6" xfId="40" builtinId="50" customBuiltin="1"/>
    <cellStyle name="20% - 강조색6 2" xfId="57" xr:uid="{00000000-0005-0000-0000-00000B000000}"/>
    <cellStyle name="40% - 강조색1" xfId="21" builtinId="31" customBuiltin="1"/>
    <cellStyle name="40% - 강조색1 2" xfId="48" xr:uid="{00000000-0005-0000-0000-00000D000000}"/>
    <cellStyle name="40% - 강조색2" xfId="25" builtinId="35" customBuiltin="1"/>
    <cellStyle name="40% - 강조색2 2" xfId="50" xr:uid="{00000000-0005-0000-0000-00000F000000}"/>
    <cellStyle name="40% - 강조색3" xfId="29" builtinId="39" customBuiltin="1"/>
    <cellStyle name="40% - 강조색3 2" xfId="52" xr:uid="{00000000-0005-0000-0000-000011000000}"/>
    <cellStyle name="40% - 강조색4" xfId="33" builtinId="43" customBuiltin="1"/>
    <cellStyle name="40% - 강조색4 2" xfId="54" xr:uid="{00000000-0005-0000-0000-000013000000}"/>
    <cellStyle name="40% - 강조색5" xfId="37" builtinId="47" customBuiltin="1"/>
    <cellStyle name="40% - 강조색5 2" xfId="56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27000000}"/>
    <cellStyle name="메모 3" xfId="46" xr:uid="{00000000-0005-0000-0000-000028000000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2" xfId="59" xr:uid="{00000000-0005-0000-0000-00002D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39000000}"/>
    <cellStyle name="표준 3" xfId="43" xr:uid="{00000000-0005-0000-0000-00003A000000}"/>
    <cellStyle name="표준 4" xfId="45" xr:uid="{00000000-0005-0000-0000-00003B000000}"/>
    <cellStyle name="표준 5" xfId="60" xr:uid="{00000000-0005-0000-0000-00003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E977DB"/>
      <color rgb="FFF9BFEE"/>
      <color rgb="FFFFD85D"/>
      <color rgb="FFD48FFF"/>
      <color rgb="FFB1F9C6"/>
      <color rgb="FFCCFF33"/>
      <color rgb="FFF599E3"/>
      <color rgb="FF8E5A54"/>
      <color rgb="FFFF5050"/>
      <color rgb="FFB89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/><Relationship Id="rId3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EEA2-D7E7-4444-867F-7B204BD0F1F7}">
  <sheetPr>
    <tabColor rgb="FFFFFF00"/>
  </sheetPr>
  <dimension ref="A1:TO11"/>
  <sheetViews>
    <sheetView zoomScale="55" zoomScaleNormal="55" zoomScaleSheetLayoutView="75" workbookViewId="0">
      <selection activeCell="D39" sqref="D39"/>
    </sheetView>
  </sheetViews>
  <sheetFormatPr defaultColWidth="9" defaultRowHeight="15" customHeight="1"/>
  <cols>
    <col min="1" max="45" width="37.625" style="34" customWidth="1"/>
    <col min="46" max="46" width="22.25" style="34" bestFit="1" customWidth="1"/>
    <col min="47" max="49" width="18.375" style="34" customWidth="1"/>
    <col min="50" max="50" width="27.625" style="34" bestFit="1" customWidth="1"/>
    <col min="51" max="52" width="18.375" style="34" customWidth="1"/>
    <col min="53" max="53" width="27.625" style="34" bestFit="1" customWidth="1"/>
    <col min="54" max="54" width="18.375" style="34" customWidth="1"/>
    <col min="55" max="55" width="25.375" style="34" bestFit="1" customWidth="1"/>
    <col min="56" max="56" width="21" style="34" bestFit="1" customWidth="1"/>
    <col min="57" max="57" width="27.625" style="34" bestFit="1" customWidth="1"/>
    <col min="58" max="58" width="18.375" style="34" customWidth="1"/>
    <col min="59" max="59" width="27.625" style="34" bestFit="1" customWidth="1"/>
    <col min="60" max="413" width="30.375" style="34" customWidth="1"/>
    <col min="414" max="415" width="21.25" style="34" customWidth="1"/>
    <col min="416" max="431" width="20.5" style="34" customWidth="1"/>
    <col min="432" max="432" width="21" style="34" bestFit="1" customWidth="1"/>
    <col min="433" max="433" width="25.125" style="34" bestFit="1" customWidth="1"/>
    <col min="434" max="434" width="23" style="34" bestFit="1" customWidth="1"/>
    <col min="435" max="435" width="33.375" style="34" bestFit="1" customWidth="1"/>
    <col min="436" max="436" width="25.125" style="34" bestFit="1" customWidth="1"/>
    <col min="437" max="437" width="28.875" style="34" bestFit="1" customWidth="1"/>
    <col min="438" max="438" width="23" style="34" bestFit="1" customWidth="1"/>
    <col min="439" max="439" width="18.875" style="34" customWidth="1"/>
    <col min="440" max="440" width="23" style="34" bestFit="1" customWidth="1"/>
    <col min="441" max="441" width="25.125" style="34" bestFit="1" customWidth="1"/>
    <col min="442" max="442" width="18.875" style="34" customWidth="1"/>
    <col min="443" max="443" width="19.125" style="34" customWidth="1"/>
    <col min="444" max="444" width="18.125" style="34" customWidth="1"/>
    <col min="445" max="445" width="18.875" style="34" customWidth="1"/>
    <col min="446" max="446" width="26.625" style="34" customWidth="1"/>
    <col min="447" max="447" width="22.125" style="34" customWidth="1"/>
    <col min="448" max="448" width="24.125" style="34" customWidth="1"/>
    <col min="449" max="449" width="21.375" style="34" customWidth="1"/>
    <col min="450" max="450" width="19.375" style="34" customWidth="1"/>
    <col min="451" max="451" width="20" style="34" customWidth="1"/>
    <col min="452" max="452" width="23.25" style="34" customWidth="1"/>
    <col min="453" max="453" width="18" style="34" customWidth="1"/>
    <col min="454" max="484" width="19" style="34" customWidth="1"/>
    <col min="485" max="489" width="20.25" style="34" customWidth="1"/>
    <col min="490" max="490" width="17.25" style="34" customWidth="1"/>
    <col min="491" max="491" width="17.75" style="34" customWidth="1"/>
    <col min="492" max="492" width="16.5" style="34" customWidth="1"/>
    <col min="493" max="495" width="21" style="34" customWidth="1"/>
    <col min="496" max="496" width="18.5" style="34" customWidth="1"/>
    <col min="497" max="501" width="21" style="34" customWidth="1"/>
    <col min="502" max="502" width="15.125" style="34" customWidth="1"/>
    <col min="503" max="518" width="21" style="34" customWidth="1"/>
    <col min="519" max="519" width="24.25" style="34" customWidth="1"/>
    <col min="520" max="520" width="18.875" style="34" bestFit="1" customWidth="1"/>
    <col min="521" max="521" width="21" style="34" bestFit="1" customWidth="1"/>
    <col min="522" max="522" width="23" style="38" bestFit="1" customWidth="1"/>
    <col min="523" max="523" width="8.625" style="38" bestFit="1" customWidth="1"/>
    <col min="524" max="524" width="21" style="38" bestFit="1" customWidth="1"/>
    <col min="525" max="525" width="23" style="38" bestFit="1" customWidth="1"/>
    <col min="526" max="526" width="8.625" style="38" bestFit="1" customWidth="1"/>
    <col min="527" max="527" width="22.875" style="34" customWidth="1"/>
    <col min="528" max="534" width="20.875" style="38" customWidth="1"/>
    <col min="535" max="535" width="23.25" style="38" customWidth="1"/>
    <col min="536" max="16384" width="9" style="34"/>
  </cols>
  <sheetData>
    <row r="1" spans="1:527" s="252" customFormat="1" ht="24.95" customHeight="1">
      <c r="A1" s="229" t="s">
        <v>287</v>
      </c>
      <c r="B1" s="229" t="s">
        <v>89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  <c r="HC1" s="165"/>
      <c r="HD1" s="165"/>
      <c r="HE1" s="165"/>
      <c r="HF1" s="165"/>
      <c r="HG1" s="165"/>
      <c r="HH1" s="165"/>
      <c r="HI1" s="165"/>
      <c r="HJ1" s="165"/>
      <c r="HK1" s="165"/>
      <c r="HL1" s="165"/>
      <c r="HM1" s="165"/>
      <c r="HN1" s="165"/>
      <c r="HO1" s="165"/>
      <c r="HP1" s="165"/>
      <c r="HQ1" s="165"/>
      <c r="HR1" s="251"/>
      <c r="HS1" s="251"/>
      <c r="HT1" s="251"/>
      <c r="HU1" s="251"/>
      <c r="HV1" s="251"/>
      <c r="HW1" s="251"/>
      <c r="HX1" s="251"/>
      <c r="HY1" s="251"/>
      <c r="HZ1" s="251"/>
      <c r="IA1" s="251"/>
      <c r="IB1" s="251"/>
      <c r="IC1" s="251"/>
      <c r="ID1" s="251"/>
      <c r="IE1" s="251"/>
      <c r="IF1" s="251"/>
      <c r="IG1" s="251"/>
      <c r="IH1" s="251"/>
      <c r="II1" s="251"/>
      <c r="IJ1" s="251"/>
      <c r="IK1" s="251"/>
      <c r="IL1" s="251"/>
      <c r="IM1" s="251"/>
      <c r="IN1" s="251"/>
      <c r="IO1" s="251"/>
      <c r="IP1" s="251"/>
      <c r="IQ1" s="251"/>
      <c r="IR1" s="251"/>
      <c r="IS1" s="251"/>
      <c r="IT1" s="251"/>
      <c r="IU1" s="251"/>
      <c r="IV1" s="251"/>
      <c r="IW1" s="251"/>
      <c r="IX1" s="251"/>
      <c r="IY1" s="251"/>
      <c r="IZ1" s="251"/>
      <c r="JA1" s="251"/>
      <c r="JB1" s="251"/>
      <c r="JC1" s="251"/>
      <c r="JD1" s="251"/>
      <c r="JE1" s="251"/>
      <c r="JF1" s="251"/>
      <c r="JG1" s="251"/>
      <c r="JH1" s="251"/>
      <c r="JI1" s="251"/>
      <c r="JJ1" s="251"/>
      <c r="JK1" s="251"/>
      <c r="JL1" s="251"/>
      <c r="JM1" s="251"/>
      <c r="JN1" s="251"/>
      <c r="JO1" s="251"/>
      <c r="JP1" s="251"/>
      <c r="JQ1" s="251"/>
      <c r="JR1" s="251"/>
      <c r="JS1" s="251"/>
      <c r="JT1" s="251"/>
      <c r="JU1" s="251"/>
      <c r="JV1" s="251"/>
      <c r="JW1" s="251"/>
      <c r="JX1" s="251"/>
      <c r="JY1" s="251"/>
      <c r="JZ1" s="251"/>
      <c r="KA1" s="251"/>
      <c r="KB1" s="251"/>
      <c r="KC1" s="251"/>
      <c r="KD1" s="251"/>
      <c r="KE1" s="251"/>
      <c r="KF1" s="251"/>
      <c r="KG1" s="251"/>
      <c r="KH1" s="251"/>
      <c r="KI1" s="251"/>
      <c r="KJ1" s="251"/>
      <c r="KK1" s="251"/>
      <c r="KL1" s="251"/>
      <c r="KM1" s="251"/>
      <c r="KN1" s="251"/>
      <c r="KO1" s="251"/>
      <c r="KP1" s="251"/>
      <c r="KQ1" s="251"/>
      <c r="KR1" s="251"/>
      <c r="KS1" s="251"/>
      <c r="KT1" s="251"/>
      <c r="KU1" s="251"/>
      <c r="KV1" s="251"/>
      <c r="KW1" s="251"/>
      <c r="KX1" s="251"/>
      <c r="KY1" s="251"/>
      <c r="KZ1" s="251"/>
      <c r="LA1" s="251"/>
      <c r="LB1" s="251"/>
      <c r="LC1" s="251"/>
      <c r="LD1" s="251"/>
      <c r="LE1" s="251"/>
      <c r="LF1" s="251"/>
      <c r="LG1" s="251"/>
      <c r="LH1" s="251"/>
      <c r="LI1" s="251"/>
      <c r="LJ1" s="251"/>
      <c r="LK1" s="251"/>
      <c r="LL1" s="251"/>
      <c r="LM1" s="251"/>
      <c r="LN1" s="251"/>
      <c r="LO1" s="251"/>
      <c r="LP1" s="251"/>
      <c r="LQ1" s="251"/>
      <c r="LR1" s="251"/>
      <c r="LS1" s="251"/>
      <c r="LT1" s="251"/>
      <c r="LU1" s="251"/>
      <c r="LV1" s="251"/>
      <c r="LW1" s="251"/>
      <c r="LX1" s="251"/>
      <c r="LY1" s="251"/>
      <c r="LZ1" s="251"/>
      <c r="MA1" s="251"/>
      <c r="MB1" s="251"/>
      <c r="MC1" s="251"/>
      <c r="MD1" s="251"/>
      <c r="ME1" s="251"/>
      <c r="MF1" s="251"/>
      <c r="MG1" s="251"/>
      <c r="MH1" s="251"/>
      <c r="MI1" s="251"/>
      <c r="MJ1" s="251"/>
      <c r="MK1" s="251"/>
      <c r="ML1" s="251"/>
      <c r="MM1" s="251"/>
      <c r="MN1" s="251"/>
      <c r="MO1" s="251"/>
      <c r="MP1" s="251"/>
      <c r="MQ1" s="251"/>
      <c r="MR1" s="251"/>
      <c r="MS1" s="251"/>
      <c r="MT1" s="251"/>
      <c r="MU1" s="251"/>
      <c r="MV1" s="251"/>
      <c r="MW1" s="251"/>
      <c r="MX1" s="251"/>
      <c r="MY1" s="251"/>
      <c r="MZ1" s="251"/>
      <c r="NA1" s="251"/>
      <c r="NB1" s="251"/>
      <c r="NC1" s="251"/>
      <c r="ND1" s="251"/>
      <c r="NE1" s="251"/>
      <c r="NF1" s="251"/>
      <c r="NG1" s="251"/>
      <c r="NH1" s="251"/>
      <c r="NI1" s="251"/>
      <c r="NJ1" s="251"/>
      <c r="NK1" s="251"/>
      <c r="NL1" s="251"/>
      <c r="NM1" s="251"/>
      <c r="NN1" s="251"/>
      <c r="NO1" s="251"/>
      <c r="NP1" s="251"/>
      <c r="NQ1" s="251"/>
      <c r="NR1" s="251"/>
      <c r="NS1" s="251"/>
      <c r="NT1" s="251"/>
      <c r="NU1" s="251"/>
      <c r="NV1" s="251"/>
      <c r="NW1" s="251"/>
      <c r="NX1" s="251"/>
      <c r="NY1" s="251"/>
      <c r="NZ1" s="251"/>
      <c r="OA1" s="251"/>
      <c r="OB1" s="251"/>
      <c r="OC1" s="251"/>
      <c r="OD1" s="251"/>
      <c r="OE1" s="251"/>
      <c r="OF1" s="251"/>
      <c r="OG1" s="251"/>
      <c r="OH1" s="251"/>
      <c r="OI1" s="251"/>
      <c r="OJ1" s="251"/>
      <c r="OK1" s="251"/>
      <c r="OL1" s="251"/>
      <c r="OM1" s="251"/>
      <c r="ON1" s="251"/>
      <c r="OO1" s="251"/>
      <c r="OP1" s="251"/>
      <c r="OQ1" s="251"/>
      <c r="OR1" s="251"/>
      <c r="OS1" s="251"/>
      <c r="OT1" s="251"/>
      <c r="OU1" s="251"/>
      <c r="OV1" s="251"/>
      <c r="OW1" s="251"/>
      <c r="OX1" s="251"/>
      <c r="OY1" s="251"/>
      <c r="OZ1" s="251"/>
      <c r="PA1" s="251"/>
      <c r="PB1" s="251"/>
      <c r="PC1" s="251"/>
      <c r="PD1" s="251"/>
      <c r="PE1" s="251"/>
      <c r="PF1" s="251"/>
      <c r="PG1" s="251"/>
      <c r="PH1" s="251"/>
      <c r="PI1" s="251"/>
      <c r="PJ1" s="251"/>
      <c r="PK1" s="251"/>
      <c r="PL1" s="251"/>
      <c r="PM1" s="251"/>
      <c r="PN1" s="251"/>
      <c r="PO1" s="251"/>
      <c r="PP1" s="251"/>
      <c r="PQ1" s="251"/>
      <c r="PR1" s="251"/>
      <c r="PS1" s="251"/>
      <c r="PT1" s="251"/>
      <c r="PU1" s="251"/>
      <c r="PV1" s="251"/>
      <c r="PW1" s="251"/>
      <c r="PX1" s="251"/>
      <c r="PY1" s="251"/>
      <c r="PZ1" s="251"/>
      <c r="QA1" s="251"/>
      <c r="QB1" s="251"/>
      <c r="QC1" s="251"/>
      <c r="QD1" s="251"/>
      <c r="QE1" s="251"/>
      <c r="QF1" s="251"/>
      <c r="QG1" s="251"/>
      <c r="QH1" s="251"/>
      <c r="QI1" s="251"/>
      <c r="QJ1" s="251"/>
      <c r="QK1" s="251"/>
      <c r="QL1" s="251"/>
      <c r="QM1" s="251"/>
      <c r="QN1" s="251"/>
      <c r="QO1" s="251"/>
      <c r="QP1" s="251"/>
      <c r="QQ1" s="251"/>
      <c r="QR1" s="251"/>
      <c r="QS1" s="251"/>
      <c r="QT1" s="251"/>
      <c r="QU1" s="251"/>
      <c r="QV1" s="251"/>
      <c r="QW1" s="251"/>
      <c r="QX1" s="251"/>
      <c r="QY1" s="251"/>
      <c r="QZ1" s="251"/>
      <c r="RA1" s="251"/>
      <c r="RB1" s="251"/>
      <c r="RC1" s="251"/>
      <c r="RD1" s="251"/>
      <c r="RE1" s="251"/>
      <c r="RF1" s="251"/>
      <c r="RG1" s="251"/>
      <c r="RH1" s="251"/>
      <c r="RI1" s="251"/>
      <c r="RJ1" s="251"/>
      <c r="RK1" s="251"/>
      <c r="RL1" s="251"/>
      <c r="RM1" s="251"/>
      <c r="RN1" s="251"/>
      <c r="RO1" s="251"/>
      <c r="RP1" s="251"/>
      <c r="RQ1" s="251"/>
      <c r="RR1" s="251"/>
      <c r="RS1" s="251"/>
      <c r="RT1" s="251"/>
      <c r="RU1" s="251"/>
      <c r="RV1" s="251"/>
      <c r="RW1" s="251"/>
      <c r="RX1" s="251"/>
      <c r="RY1" s="251"/>
      <c r="RZ1" s="251"/>
      <c r="SA1" s="251"/>
      <c r="SB1" s="251"/>
      <c r="SC1" s="251"/>
      <c r="SD1" s="251"/>
      <c r="SE1" s="251"/>
      <c r="SF1" s="251"/>
      <c r="SG1" s="251"/>
      <c r="SH1" s="251"/>
      <c r="SI1" s="251"/>
      <c r="SJ1" s="251"/>
      <c r="SK1" s="251"/>
      <c r="SL1" s="251"/>
      <c r="SM1" s="251"/>
      <c r="SN1" s="251"/>
      <c r="SO1" s="251"/>
      <c r="SP1" s="251"/>
      <c r="SQ1" s="251"/>
      <c r="SR1" s="251"/>
      <c r="SS1" s="251"/>
      <c r="ST1" s="251"/>
      <c r="SU1" s="251"/>
      <c r="SV1" s="251"/>
      <c r="SW1" s="251"/>
      <c r="SX1" s="251"/>
      <c r="SY1" s="251"/>
      <c r="SZ1" s="251"/>
      <c r="TA1" s="251"/>
      <c r="TB1" s="251"/>
      <c r="TC1" s="251"/>
      <c r="TD1" s="251"/>
      <c r="TE1" s="251"/>
      <c r="TF1" s="251"/>
      <c r="TG1" s="251"/>
    </row>
    <row r="2" spans="1:527" s="252" customFormat="1" ht="24.95" customHeight="1">
      <c r="A2" s="230" t="s">
        <v>288</v>
      </c>
      <c r="B2" s="230" t="s">
        <v>246</v>
      </c>
      <c r="C2" s="230" t="s">
        <v>247</v>
      </c>
      <c r="D2" s="230"/>
      <c r="E2" s="230"/>
      <c r="F2" s="230" t="s">
        <v>3</v>
      </c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  <c r="CO2" s="221"/>
      <c r="CP2" s="221"/>
      <c r="CQ2" s="221"/>
      <c r="CR2" s="221"/>
      <c r="CS2" s="221"/>
      <c r="CT2" s="221"/>
      <c r="CU2" s="221"/>
      <c r="CV2" s="221"/>
      <c r="CW2" s="221"/>
      <c r="CX2" s="221"/>
      <c r="CY2" s="221"/>
      <c r="CZ2" s="221"/>
      <c r="DA2" s="221"/>
      <c r="DB2" s="221"/>
      <c r="DC2" s="221"/>
      <c r="DD2" s="221"/>
      <c r="DE2" s="221"/>
      <c r="DF2" s="221"/>
      <c r="DG2" s="221"/>
      <c r="DH2" s="221"/>
      <c r="DI2" s="221"/>
      <c r="DJ2" s="221"/>
      <c r="DK2" s="221"/>
      <c r="DL2" s="221"/>
      <c r="DM2" s="221"/>
      <c r="DN2" s="221"/>
      <c r="DO2" s="221"/>
      <c r="DP2" s="221"/>
      <c r="DQ2" s="221"/>
      <c r="DR2" s="221"/>
      <c r="DS2" s="221"/>
      <c r="DT2" s="221"/>
      <c r="DU2" s="221"/>
      <c r="DV2" s="221"/>
      <c r="DW2" s="221"/>
      <c r="DX2" s="221"/>
      <c r="DY2" s="221"/>
      <c r="DZ2" s="221"/>
      <c r="EA2" s="221"/>
      <c r="EB2" s="221"/>
      <c r="EC2" s="221"/>
      <c r="ED2" s="221"/>
      <c r="EE2" s="221"/>
      <c r="EF2" s="221"/>
      <c r="EG2" s="221"/>
      <c r="EH2" s="221"/>
      <c r="EI2" s="221"/>
      <c r="EJ2" s="221"/>
      <c r="EK2" s="221"/>
      <c r="EL2" s="221"/>
      <c r="EM2" s="221"/>
      <c r="EN2" s="221"/>
      <c r="EO2" s="221"/>
      <c r="EP2" s="221"/>
      <c r="EQ2" s="221"/>
      <c r="ER2" s="221"/>
      <c r="ES2" s="221"/>
      <c r="ET2" s="221"/>
      <c r="EU2" s="221"/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G2" s="221"/>
      <c r="FH2" s="221"/>
      <c r="FI2" s="221"/>
      <c r="FJ2" s="221"/>
      <c r="FK2" s="221"/>
      <c r="FL2" s="221"/>
      <c r="FM2" s="221"/>
      <c r="FN2" s="221"/>
      <c r="FO2" s="221"/>
      <c r="FP2" s="221"/>
      <c r="FQ2" s="221"/>
      <c r="FR2" s="221"/>
      <c r="FS2" s="221"/>
      <c r="FT2" s="221"/>
      <c r="FU2" s="221"/>
      <c r="FV2" s="221"/>
      <c r="FW2" s="221"/>
      <c r="FX2" s="221"/>
      <c r="FY2" s="221"/>
      <c r="FZ2" s="221"/>
      <c r="GA2" s="221"/>
      <c r="GB2" s="221"/>
      <c r="GC2" s="221"/>
      <c r="GD2" s="221"/>
      <c r="GE2" s="221"/>
      <c r="GF2" s="221"/>
      <c r="GG2" s="221"/>
      <c r="GH2" s="221"/>
      <c r="GI2" s="221"/>
      <c r="GJ2" s="221"/>
      <c r="GK2" s="221"/>
      <c r="GL2" s="221"/>
      <c r="GM2" s="221"/>
      <c r="GN2" s="221"/>
      <c r="GO2" s="221"/>
      <c r="GP2" s="221"/>
      <c r="GQ2" s="221"/>
      <c r="GR2" s="221"/>
      <c r="GS2" s="221"/>
      <c r="GT2" s="221"/>
      <c r="GU2" s="221"/>
      <c r="GV2" s="221"/>
      <c r="GW2" s="221"/>
      <c r="GX2" s="221"/>
      <c r="GY2" s="221"/>
      <c r="GZ2" s="221"/>
      <c r="HA2" s="221"/>
      <c r="HB2" s="221"/>
      <c r="HC2" s="221"/>
      <c r="HD2" s="221"/>
      <c r="HE2" s="221"/>
      <c r="HF2" s="221"/>
      <c r="HG2" s="221"/>
      <c r="HH2" s="221"/>
      <c r="HI2" s="221"/>
      <c r="HJ2" s="221"/>
      <c r="HK2" s="221"/>
      <c r="HL2" s="221"/>
      <c r="HM2" s="221"/>
      <c r="HN2" s="221"/>
      <c r="HO2" s="221"/>
      <c r="HP2" s="221"/>
      <c r="HQ2" s="221"/>
    </row>
    <row r="3" spans="1:527" s="252" customFormat="1" ht="24.95" customHeight="1">
      <c r="A3" s="221" t="s">
        <v>262</v>
      </c>
      <c r="B3" s="221"/>
      <c r="C3" s="221">
        <v>36</v>
      </c>
      <c r="D3" s="221"/>
      <c r="E3" s="221"/>
      <c r="F3" s="221">
        <v>36</v>
      </c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53"/>
      <c r="AV3" s="253"/>
      <c r="AW3" s="253"/>
      <c r="AX3" s="253"/>
      <c r="AY3" s="253"/>
      <c r="AZ3" s="253"/>
      <c r="BA3" s="253"/>
      <c r="BB3" s="253"/>
      <c r="BC3" s="253"/>
      <c r="BD3" s="253"/>
      <c r="BE3" s="253"/>
      <c r="BF3" s="253"/>
      <c r="BG3" s="253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  <c r="CX3" s="221"/>
      <c r="CY3" s="221"/>
      <c r="CZ3" s="221"/>
      <c r="DA3" s="221"/>
      <c r="DB3" s="221"/>
      <c r="DC3" s="221"/>
      <c r="DD3" s="221"/>
      <c r="DE3" s="221"/>
      <c r="DF3" s="221"/>
      <c r="DG3" s="221"/>
      <c r="DH3" s="221"/>
      <c r="DI3" s="221"/>
      <c r="DJ3" s="221"/>
      <c r="DK3" s="221"/>
      <c r="DL3" s="221"/>
      <c r="DM3" s="221"/>
      <c r="DN3" s="221"/>
      <c r="DO3" s="221"/>
      <c r="DP3" s="221"/>
      <c r="DQ3" s="221"/>
      <c r="DR3" s="221"/>
      <c r="DS3" s="221"/>
      <c r="DT3" s="221"/>
      <c r="DU3" s="221"/>
      <c r="DV3" s="221"/>
      <c r="DW3" s="221"/>
      <c r="DX3" s="221"/>
      <c r="DY3" s="221"/>
      <c r="DZ3" s="221"/>
      <c r="EA3" s="221"/>
      <c r="EB3" s="221"/>
      <c r="EC3" s="221"/>
      <c r="ED3" s="221"/>
      <c r="EE3" s="221"/>
      <c r="EF3" s="221"/>
      <c r="EG3" s="221"/>
      <c r="EH3" s="221"/>
      <c r="EI3" s="221"/>
      <c r="EJ3" s="221"/>
      <c r="EK3" s="221"/>
      <c r="EL3" s="221"/>
      <c r="EM3" s="221"/>
      <c r="EN3" s="221"/>
      <c r="EO3" s="221"/>
      <c r="EP3" s="221"/>
      <c r="EQ3" s="221"/>
      <c r="ER3" s="221"/>
      <c r="ES3" s="221"/>
      <c r="ET3" s="221"/>
      <c r="EU3" s="221"/>
      <c r="EV3" s="221"/>
      <c r="EW3" s="221"/>
      <c r="EX3" s="221"/>
      <c r="EY3" s="221"/>
      <c r="EZ3" s="221"/>
      <c r="FA3" s="221"/>
      <c r="FB3" s="221"/>
      <c r="FC3" s="221"/>
      <c r="FD3" s="221"/>
      <c r="FE3" s="221"/>
      <c r="FF3" s="221"/>
      <c r="FG3" s="221"/>
      <c r="FH3" s="221"/>
      <c r="FI3" s="221"/>
      <c r="FJ3" s="221"/>
      <c r="FK3" s="221"/>
      <c r="FL3" s="221"/>
      <c r="FM3" s="221"/>
      <c r="FN3" s="221"/>
      <c r="FO3" s="221"/>
      <c r="FP3" s="221"/>
      <c r="FQ3" s="221"/>
      <c r="FR3" s="221"/>
      <c r="FS3" s="221"/>
      <c r="FT3" s="221"/>
      <c r="FU3" s="221"/>
      <c r="FV3" s="221"/>
      <c r="FW3" s="221"/>
      <c r="FX3" s="221"/>
      <c r="FY3" s="221"/>
      <c r="FZ3" s="221"/>
      <c r="GA3" s="221"/>
      <c r="GB3" s="221"/>
      <c r="GC3" s="221"/>
      <c r="GD3" s="221"/>
      <c r="GE3" s="221"/>
      <c r="GF3" s="221"/>
      <c r="GG3" s="221"/>
      <c r="GH3" s="221"/>
      <c r="GI3" s="221"/>
      <c r="GJ3" s="221"/>
      <c r="GK3" s="221"/>
      <c r="GL3" s="221"/>
      <c r="GM3" s="221"/>
      <c r="GN3" s="221"/>
      <c r="GO3" s="221"/>
      <c r="GP3" s="221"/>
      <c r="GQ3" s="221"/>
      <c r="GR3" s="221"/>
      <c r="GS3" s="221"/>
      <c r="GT3" s="221"/>
      <c r="GU3" s="221"/>
      <c r="GV3" s="221"/>
      <c r="GW3" s="221"/>
      <c r="GX3" s="221"/>
      <c r="GY3" s="221"/>
      <c r="GZ3" s="221"/>
      <c r="HA3" s="221"/>
      <c r="HB3" s="221"/>
      <c r="HC3" s="221"/>
      <c r="HD3" s="221"/>
      <c r="HE3" s="221"/>
      <c r="HF3" s="221"/>
      <c r="HG3" s="221"/>
      <c r="HH3" s="221"/>
      <c r="HI3" s="221"/>
      <c r="HJ3" s="221"/>
      <c r="HK3" s="221"/>
      <c r="HL3" s="221"/>
      <c r="HM3" s="221"/>
      <c r="HN3" s="221"/>
      <c r="HO3" s="221"/>
      <c r="HP3" s="221"/>
      <c r="HQ3" s="221"/>
    </row>
    <row r="4" spans="1:527" s="252" customFormat="1" ht="24.95" customHeight="1">
      <c r="A4" s="221" t="s">
        <v>248</v>
      </c>
      <c r="B4" s="221">
        <v>12</v>
      </c>
      <c r="C4" s="221">
        <v>24</v>
      </c>
      <c r="D4" s="221"/>
      <c r="E4" s="221"/>
      <c r="F4" s="221">
        <v>36</v>
      </c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  <c r="CT4" s="221"/>
      <c r="CU4" s="221"/>
      <c r="CV4" s="221"/>
      <c r="CW4" s="221"/>
      <c r="CX4" s="221"/>
      <c r="CY4" s="221"/>
      <c r="CZ4" s="221"/>
      <c r="DA4" s="221"/>
      <c r="DB4" s="221"/>
      <c r="DC4" s="221"/>
      <c r="DD4" s="221"/>
      <c r="DE4" s="221"/>
      <c r="DF4" s="221"/>
      <c r="DG4" s="221"/>
      <c r="DH4" s="221"/>
      <c r="DI4" s="221"/>
      <c r="DJ4" s="221"/>
      <c r="DK4" s="221"/>
      <c r="DL4" s="221"/>
      <c r="DM4" s="221"/>
      <c r="DN4" s="221"/>
      <c r="DO4" s="221"/>
      <c r="DP4" s="221"/>
      <c r="DQ4" s="221"/>
      <c r="DR4" s="221"/>
      <c r="DS4" s="221"/>
      <c r="DT4" s="221"/>
      <c r="DU4" s="221"/>
      <c r="DV4" s="221"/>
      <c r="DW4" s="221"/>
      <c r="DX4" s="221"/>
      <c r="DY4" s="221"/>
      <c r="DZ4" s="221"/>
      <c r="EA4" s="221"/>
      <c r="EB4" s="221"/>
      <c r="EC4" s="221"/>
      <c r="ED4" s="221"/>
      <c r="EE4" s="221"/>
      <c r="EF4" s="221"/>
      <c r="EG4" s="221"/>
      <c r="EH4" s="221"/>
      <c r="EI4" s="221"/>
      <c r="EJ4" s="221"/>
      <c r="EK4" s="221"/>
      <c r="EL4" s="221"/>
      <c r="EM4" s="221"/>
      <c r="EN4" s="221"/>
      <c r="EO4" s="221"/>
      <c r="EP4" s="221"/>
      <c r="EQ4" s="221"/>
      <c r="ER4" s="221"/>
      <c r="ES4" s="221"/>
      <c r="ET4" s="221"/>
      <c r="EU4" s="221"/>
      <c r="EV4" s="221"/>
      <c r="EW4" s="221"/>
      <c r="EX4" s="221"/>
      <c r="EY4" s="221"/>
      <c r="EZ4" s="221"/>
      <c r="FA4" s="221"/>
      <c r="FB4" s="221"/>
      <c r="FC4" s="221"/>
      <c r="FD4" s="221"/>
      <c r="FE4" s="221"/>
      <c r="FF4" s="221"/>
      <c r="FG4" s="221"/>
      <c r="FH4" s="221"/>
      <c r="FI4" s="221"/>
      <c r="FJ4" s="221"/>
      <c r="FK4" s="221"/>
      <c r="FL4" s="221"/>
      <c r="FM4" s="221"/>
      <c r="FN4" s="221"/>
      <c r="FO4" s="221"/>
      <c r="FP4" s="221"/>
      <c r="FQ4" s="221"/>
      <c r="FR4" s="221"/>
      <c r="FS4" s="221"/>
      <c r="FT4" s="221"/>
      <c r="FU4" s="221"/>
      <c r="FV4" s="221"/>
      <c r="FW4" s="221"/>
      <c r="FX4" s="221"/>
      <c r="FY4" s="221"/>
      <c r="FZ4" s="221"/>
      <c r="GA4" s="221"/>
      <c r="GB4" s="221"/>
      <c r="GC4" s="221"/>
      <c r="GD4" s="221"/>
      <c r="GE4" s="221"/>
      <c r="GF4" s="221"/>
      <c r="GG4" s="221"/>
      <c r="GH4" s="221"/>
      <c r="GI4" s="221"/>
      <c r="GJ4" s="221"/>
      <c r="GK4" s="221"/>
      <c r="GL4" s="221"/>
      <c r="GM4" s="221"/>
      <c r="GN4" s="221"/>
      <c r="GO4" s="221"/>
      <c r="GP4" s="221"/>
      <c r="GQ4" s="221"/>
      <c r="GR4" s="221"/>
      <c r="GS4" s="221"/>
      <c r="GT4" s="221"/>
      <c r="GU4" s="221"/>
      <c r="GV4" s="221"/>
      <c r="GW4" s="221"/>
      <c r="GX4" s="221"/>
      <c r="GY4" s="221"/>
      <c r="GZ4" s="221"/>
      <c r="HA4" s="221"/>
      <c r="HB4" s="221"/>
      <c r="HC4" s="221"/>
      <c r="HD4" s="221"/>
      <c r="HE4" s="221"/>
      <c r="HF4" s="221"/>
      <c r="HG4" s="221"/>
      <c r="HH4" s="221"/>
      <c r="HI4" s="221"/>
      <c r="HJ4" s="221"/>
      <c r="HK4" s="221"/>
      <c r="HL4" s="221"/>
      <c r="HM4" s="221"/>
      <c r="HN4" s="221"/>
      <c r="HO4" s="221"/>
      <c r="HP4" s="221"/>
      <c r="HQ4" s="221"/>
    </row>
    <row r="5" spans="1:527" ht="24.95" customHeight="1">
      <c r="A5" s="34" t="s">
        <v>256</v>
      </c>
      <c r="B5" s="34">
        <v>120</v>
      </c>
      <c r="C5" s="34">
        <v>120</v>
      </c>
      <c r="F5" s="34">
        <v>240</v>
      </c>
    </row>
    <row r="6" spans="1:527" ht="15" customHeight="1">
      <c r="A6" s="34" t="s">
        <v>250</v>
      </c>
      <c r="B6" s="34">
        <v>120</v>
      </c>
      <c r="F6" s="34">
        <v>120</v>
      </c>
    </row>
    <row r="7" spans="1:527" ht="15" customHeight="1">
      <c r="A7" s="34" t="s">
        <v>251</v>
      </c>
      <c r="B7" s="34">
        <v>240</v>
      </c>
      <c r="F7" s="34">
        <v>240</v>
      </c>
    </row>
    <row r="8" spans="1:527" ht="15" customHeight="1">
      <c r="A8" s="34" t="s">
        <v>253</v>
      </c>
      <c r="C8" s="34">
        <v>60</v>
      </c>
      <c r="F8" s="34">
        <v>60</v>
      </c>
    </row>
    <row r="9" spans="1:527" ht="15" customHeight="1">
      <c r="A9" s="34" t="s">
        <v>258</v>
      </c>
      <c r="B9" s="34">
        <v>180</v>
      </c>
      <c r="C9" s="34">
        <v>180</v>
      </c>
      <c r="F9" s="34">
        <v>360</v>
      </c>
    </row>
    <row r="10" spans="1:527" ht="15" customHeight="1">
      <c r="A10" s="34" t="s">
        <v>264</v>
      </c>
      <c r="B10" s="34">
        <v>120</v>
      </c>
      <c r="C10" s="34">
        <v>36</v>
      </c>
      <c r="F10" s="34">
        <v>156</v>
      </c>
    </row>
    <row r="11" spans="1:527" ht="15" customHeight="1">
      <c r="A11" s="34" t="s">
        <v>3</v>
      </c>
      <c r="B11" s="34">
        <v>792</v>
      </c>
      <c r="C11" s="34">
        <v>456</v>
      </c>
      <c r="F11" s="34">
        <v>1248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15-F729-449F-87FF-18936AC99B88}">
  <sheetPr>
    <tabColor rgb="FFFFFF00"/>
    <pageSetUpPr fitToPage="1"/>
  </sheetPr>
  <dimension ref="A1:I37"/>
  <sheetViews>
    <sheetView zoomScale="55" zoomScaleNormal="55" zoomScaleSheetLayoutView="75" workbookViewId="0">
      <selection activeCell="A2" sqref="A2:F35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>
      <c r="A1" s="268"/>
      <c r="B1" s="268"/>
      <c r="C1" s="268"/>
      <c r="D1" s="268"/>
      <c r="E1" s="268"/>
      <c r="F1" s="268"/>
    </row>
    <row r="2" spans="1:9" ht="25.9" customHeight="1">
      <c r="A2" s="232">
        <f ca="1">TODAY()</f>
        <v>46314</v>
      </c>
      <c r="B2" s="269" t="s">
        <v>274</v>
      </c>
      <c r="C2" s="269"/>
      <c r="D2" s="269"/>
      <c r="E2" s="269"/>
      <c r="F2" s="270"/>
    </row>
    <row r="3" spans="1:9" ht="40.5" customHeight="1">
      <c r="A3" s="233" t="str">
        <f>'스위트조이 피벗'!A2</f>
        <v>10/20 납품</v>
      </c>
      <c r="B3" s="234" t="s">
        <v>13</v>
      </c>
      <c r="C3" s="235" t="s">
        <v>246</v>
      </c>
      <c r="D3" s="236" t="s">
        <v>2</v>
      </c>
      <c r="E3" s="234" t="s">
        <v>23</v>
      </c>
      <c r="F3" s="237" t="s">
        <v>14</v>
      </c>
    </row>
    <row r="4" spans="1:9" ht="25.35" customHeight="1">
      <c r="A4" s="213" t="s">
        <v>255</v>
      </c>
      <c r="B4" s="224">
        <v>12</v>
      </c>
      <c r="C4" s="225">
        <f>IFERROR(VLOOKUP(A4,'스위트조이 피벗'!A:TC,2,FALSE),0)</f>
        <v>0</v>
      </c>
      <c r="D4" s="225">
        <f t="shared" ref="D4:D12" si="0">IFERROR(ROUNDDOWN(C4/B4,0),"")</f>
        <v>0</v>
      </c>
      <c r="E4" s="215" t="s">
        <v>265</v>
      </c>
      <c r="F4" s="228">
        <f t="shared" ref="F4:F12" si="1">IFERROR(C4-(D4*B4),"")</f>
        <v>0</v>
      </c>
      <c r="H4" s="73"/>
      <c r="I4" s="73"/>
    </row>
    <row r="5" spans="1:9" ht="25.35" customHeight="1">
      <c r="A5" s="213" t="s">
        <v>256</v>
      </c>
      <c r="B5" s="224">
        <f>$B$4</f>
        <v>12</v>
      </c>
      <c r="C5" s="225">
        <f>IFERROR(VLOOKUP(A5,'스위트조이 피벗'!A:TC,2,FALSE),0)</f>
        <v>120</v>
      </c>
      <c r="D5" s="225">
        <f t="shared" si="0"/>
        <v>10</v>
      </c>
      <c r="E5" s="215" t="s">
        <v>238</v>
      </c>
      <c r="F5" s="228">
        <f t="shared" si="1"/>
        <v>0</v>
      </c>
      <c r="H5" s="73"/>
      <c r="I5" s="73"/>
    </row>
    <row r="6" spans="1:9" ht="25.35" customHeight="1">
      <c r="A6" s="216" t="s">
        <v>257</v>
      </c>
      <c r="B6" s="224">
        <f t="shared" ref="B6:B12" si="2">$B$4</f>
        <v>12</v>
      </c>
      <c r="C6" s="225">
        <f>IFERROR(VLOOKUP(A6,'스위트조이 피벗'!A:TC,2,FALSE),0)</f>
        <v>0</v>
      </c>
      <c r="D6" s="225">
        <f t="shared" si="0"/>
        <v>0</v>
      </c>
      <c r="E6" s="215" t="s">
        <v>266</v>
      </c>
      <c r="F6" s="228">
        <f t="shared" si="1"/>
        <v>0</v>
      </c>
      <c r="H6" s="73"/>
      <c r="I6" s="73"/>
    </row>
    <row r="7" spans="1:9" ht="25.35" customHeight="1">
      <c r="A7" s="216" t="s">
        <v>258</v>
      </c>
      <c r="B7" s="224">
        <f t="shared" si="2"/>
        <v>12</v>
      </c>
      <c r="C7" s="225">
        <f>IFERROR(VLOOKUP(A7,'스위트조이 피벗'!A:TC,2,FALSE),0)</f>
        <v>180</v>
      </c>
      <c r="D7" s="225">
        <f t="shared" si="0"/>
        <v>15</v>
      </c>
      <c r="E7" s="215" t="s">
        <v>267</v>
      </c>
      <c r="F7" s="228">
        <f t="shared" si="1"/>
        <v>0</v>
      </c>
      <c r="H7" s="73"/>
      <c r="I7" s="73"/>
    </row>
    <row r="8" spans="1:9" ht="25.35" customHeight="1">
      <c r="A8" s="216" t="s">
        <v>254</v>
      </c>
      <c r="B8" s="224">
        <f t="shared" si="2"/>
        <v>12</v>
      </c>
      <c r="C8" s="225">
        <f>IFERROR(VLOOKUP(A8,'스위트조이 피벗'!A:TC,2,FALSE),0)</f>
        <v>0</v>
      </c>
      <c r="D8" s="225">
        <f t="shared" si="0"/>
        <v>0</v>
      </c>
      <c r="E8" s="215" t="s">
        <v>268</v>
      </c>
      <c r="F8" s="228">
        <f t="shared" si="1"/>
        <v>0</v>
      </c>
      <c r="H8" s="73"/>
      <c r="I8" s="73"/>
    </row>
    <row r="9" spans="1:9" ht="25.35" customHeight="1">
      <c r="A9" s="216" t="s">
        <v>249</v>
      </c>
      <c r="B9" s="224">
        <f t="shared" si="2"/>
        <v>12</v>
      </c>
      <c r="C9" s="225">
        <f>IFERROR(VLOOKUP(A9,'스위트조이 피벗'!A:TC,2,FALSE),0)</f>
        <v>0</v>
      </c>
      <c r="D9" s="225">
        <f t="shared" si="0"/>
        <v>0</v>
      </c>
      <c r="E9" s="215" t="s">
        <v>269</v>
      </c>
      <c r="F9" s="228">
        <f t="shared" si="1"/>
        <v>0</v>
      </c>
      <c r="H9" s="73"/>
      <c r="I9" s="73"/>
    </row>
    <row r="10" spans="1:9" ht="25.35" customHeight="1">
      <c r="A10" s="216" t="s">
        <v>252</v>
      </c>
      <c r="B10" s="224">
        <f t="shared" si="2"/>
        <v>12</v>
      </c>
      <c r="C10" s="225">
        <f>IFERROR(VLOOKUP(A10,'스위트조이 피벗'!A:TC,2,FALSE),0)</f>
        <v>0</v>
      </c>
      <c r="D10" s="225">
        <f t="shared" si="0"/>
        <v>0</v>
      </c>
      <c r="E10" s="215" t="s">
        <v>270</v>
      </c>
      <c r="F10" s="228">
        <f t="shared" si="1"/>
        <v>0</v>
      </c>
      <c r="H10" s="73"/>
      <c r="I10" s="73"/>
    </row>
    <row r="11" spans="1:9" ht="25.35" customHeight="1">
      <c r="A11" s="216" t="s">
        <v>251</v>
      </c>
      <c r="B11" s="224">
        <f t="shared" si="2"/>
        <v>12</v>
      </c>
      <c r="C11" s="225">
        <f>IFERROR(VLOOKUP(A11,'스위트조이 피벗'!A:TC,2,FALSE),0)</f>
        <v>240</v>
      </c>
      <c r="D11" s="225">
        <f t="shared" si="0"/>
        <v>20</v>
      </c>
      <c r="E11" s="215" t="s">
        <v>240</v>
      </c>
      <c r="F11" s="228">
        <f t="shared" si="1"/>
        <v>0</v>
      </c>
      <c r="H11" s="73"/>
      <c r="I11" s="73"/>
    </row>
    <row r="12" spans="1:9" ht="25.35" customHeight="1">
      <c r="A12" s="216" t="s">
        <v>253</v>
      </c>
      <c r="B12" s="224">
        <f t="shared" si="2"/>
        <v>12</v>
      </c>
      <c r="C12" s="225">
        <f>IFERROR(VLOOKUP(A12,'스위트조이 피벗'!A:TC,2,FALSE),0)</f>
        <v>0</v>
      </c>
      <c r="D12" s="225">
        <f t="shared" si="0"/>
        <v>0</v>
      </c>
      <c r="E12" s="215" t="s">
        <v>108</v>
      </c>
      <c r="F12" s="228">
        <f t="shared" si="1"/>
        <v>0</v>
      </c>
      <c r="H12" s="73"/>
      <c r="I12" s="73"/>
    </row>
    <row r="13" spans="1:9" ht="4.5" customHeight="1">
      <c r="A13" s="271"/>
      <c r="B13" s="272"/>
      <c r="C13" s="272"/>
      <c r="D13" s="272"/>
      <c r="E13" s="272"/>
      <c r="F13" s="273"/>
      <c r="H13" s="73"/>
      <c r="I13" s="73"/>
    </row>
    <row r="14" spans="1:9" ht="32.450000000000003" customHeight="1">
      <c r="A14" s="217" t="s">
        <v>122</v>
      </c>
      <c r="B14" s="226">
        <f>$B$4</f>
        <v>12</v>
      </c>
      <c r="C14" s="210">
        <f>SUM(C4:C12)</f>
        <v>540</v>
      </c>
      <c r="D14" s="55">
        <f>IFERROR(ROUNDDOWN(C14/B14,0),"")</f>
        <v>45</v>
      </c>
      <c r="E14" s="218"/>
      <c r="F14" s="212">
        <f>IFERROR(C14-(D14*B14),"")</f>
        <v>0</v>
      </c>
      <c r="H14" s="73"/>
      <c r="I14" s="73"/>
    </row>
    <row r="15" spans="1:9" ht="4.5" customHeight="1">
      <c r="A15" s="219"/>
      <c r="B15" s="214"/>
      <c r="C15" s="214"/>
      <c r="D15" s="214"/>
      <c r="E15" s="214"/>
      <c r="F15" s="220"/>
      <c r="H15" s="73"/>
      <c r="I15" s="73"/>
    </row>
    <row r="16" spans="1:9" ht="25.35" customHeight="1">
      <c r="A16" s="216" t="s">
        <v>259</v>
      </c>
      <c r="B16" s="224">
        <f t="shared" ref="B16:B17" si="3">$B$4</f>
        <v>12</v>
      </c>
      <c r="C16" s="225">
        <f>IFERROR(VLOOKUP(A16,'스위트조이 피벗'!A:TC,2,FALSE),0)</f>
        <v>0</v>
      </c>
      <c r="D16" s="225">
        <f>IFERROR(ROUNDDOWN(C16/B16,0),"")</f>
        <v>0</v>
      </c>
      <c r="E16" s="215" t="s">
        <v>237</v>
      </c>
      <c r="F16" s="228">
        <f>IFERROR(C16-(D16*B16),"")</f>
        <v>0</v>
      </c>
      <c r="H16" s="73"/>
      <c r="I16" s="73"/>
    </row>
    <row r="17" spans="1:9" ht="25.35" customHeight="1">
      <c r="A17" s="216" t="s">
        <v>250</v>
      </c>
      <c r="B17" s="224">
        <f t="shared" si="3"/>
        <v>12</v>
      </c>
      <c r="C17" s="225">
        <f>IFERROR(VLOOKUP(A17,'스위트조이 피벗'!A:TC,2,FALSE),0)</f>
        <v>120</v>
      </c>
      <c r="D17" s="225">
        <f>IFERROR(ROUNDDOWN(C17/B17,0),"")</f>
        <v>10</v>
      </c>
      <c r="E17" s="215" t="s">
        <v>236</v>
      </c>
      <c r="F17" s="228">
        <f>IFERROR(C17-(D17*B17),"")</f>
        <v>0</v>
      </c>
      <c r="H17" s="73"/>
      <c r="I17" s="73"/>
    </row>
    <row r="18" spans="1:9" ht="4.5" customHeight="1">
      <c r="A18" s="271"/>
      <c r="B18" s="272"/>
      <c r="C18" s="272"/>
      <c r="D18" s="272"/>
      <c r="E18" s="272"/>
      <c r="F18" s="273"/>
      <c r="H18" s="73"/>
      <c r="I18" s="73"/>
    </row>
    <row r="19" spans="1:9" ht="32.450000000000003" customHeight="1">
      <c r="A19" s="217" t="s">
        <v>244</v>
      </c>
      <c r="B19" s="226">
        <f>$B$4</f>
        <v>12</v>
      </c>
      <c r="C19" s="210">
        <f>SUM(C16:C17)</f>
        <v>120</v>
      </c>
      <c r="D19" s="55">
        <f>IFERROR(ROUNDDOWN(C19/B19,0),"")</f>
        <v>10</v>
      </c>
      <c r="E19" s="218"/>
      <c r="F19" s="212">
        <f>IFERROR(C19-(D19*B19),"")</f>
        <v>0</v>
      </c>
      <c r="H19" s="73"/>
      <c r="I19" s="73"/>
    </row>
    <row r="20" spans="1:9" ht="4.5" customHeight="1">
      <c r="A20" s="271"/>
      <c r="B20" s="272"/>
      <c r="C20" s="272"/>
      <c r="D20" s="272"/>
      <c r="E20" s="272"/>
      <c r="F20" s="273"/>
      <c r="H20" s="73"/>
      <c r="I20" s="73"/>
    </row>
    <row r="21" spans="1:9" ht="25.35" customHeight="1">
      <c r="A21" s="216" t="s">
        <v>260</v>
      </c>
      <c r="B21" s="224">
        <f t="shared" ref="B21:B22" si="4">$B$4</f>
        <v>12</v>
      </c>
      <c r="C21" s="225">
        <f>IFERROR(VLOOKUP(A21,'스위트조이 피벗'!A:TC,2,FALSE),0)</f>
        <v>0</v>
      </c>
      <c r="D21" s="225">
        <f t="shared" ref="D21:D22" si="5">IFERROR(ROUNDDOWN(C21/B21,0),"")</f>
        <v>0</v>
      </c>
      <c r="E21" s="215" t="s">
        <v>235</v>
      </c>
      <c r="F21" s="228">
        <f t="shared" ref="F21:F22" si="6">IFERROR(C21-(D21*B21),"")</f>
        <v>0</v>
      </c>
      <c r="H21" s="73"/>
      <c r="I21" s="73"/>
    </row>
    <row r="22" spans="1:9" ht="25.35" customHeight="1">
      <c r="A22" s="216" t="s">
        <v>261</v>
      </c>
      <c r="B22" s="224">
        <f t="shared" si="4"/>
        <v>12</v>
      </c>
      <c r="C22" s="225">
        <f>IFERROR(VLOOKUP(A22,'스위트조이 피벗'!A:TC,2,FALSE),0)</f>
        <v>0</v>
      </c>
      <c r="D22" s="225">
        <f t="shared" si="5"/>
        <v>0</v>
      </c>
      <c r="E22" s="215" t="s">
        <v>271</v>
      </c>
      <c r="F22" s="228">
        <f t="shared" si="6"/>
        <v>0</v>
      </c>
      <c r="H22" s="73"/>
      <c r="I22" s="73"/>
    </row>
    <row r="23" spans="1:9" ht="4.5" customHeight="1">
      <c r="A23" s="271"/>
      <c r="B23" s="272"/>
      <c r="C23" s="272"/>
      <c r="D23" s="272"/>
      <c r="E23" s="272"/>
      <c r="F23" s="273"/>
      <c r="H23" s="73"/>
      <c r="I23" s="73"/>
    </row>
    <row r="24" spans="1:9" ht="32.450000000000003" customHeight="1">
      <c r="A24" s="217" t="s">
        <v>243</v>
      </c>
      <c r="B24" s="226">
        <f>$B$4</f>
        <v>12</v>
      </c>
      <c r="C24" s="210">
        <f>SUM(C21:C22)</f>
        <v>0</v>
      </c>
      <c r="D24" s="55">
        <f>IFERROR(ROUNDDOWN(C24/B24,0),"")</f>
        <v>0</v>
      </c>
      <c r="E24" s="218"/>
      <c r="F24" s="212">
        <f>IFERROR(C24-(D24*B24),"")</f>
        <v>0</v>
      </c>
      <c r="H24" s="73"/>
      <c r="I24" s="73"/>
    </row>
    <row r="25" spans="1:9" ht="4.5" customHeight="1">
      <c r="A25" s="219"/>
      <c r="B25" s="214"/>
      <c r="C25" s="214"/>
      <c r="D25" s="214"/>
      <c r="E25" s="214"/>
      <c r="F25" s="220"/>
      <c r="H25" s="73"/>
      <c r="I25" s="73"/>
    </row>
    <row r="26" spans="1:9" ht="25.35" customHeight="1">
      <c r="A26" s="216" t="s">
        <v>248</v>
      </c>
      <c r="B26" s="224">
        <f t="shared" ref="B26:B28" si="7">$B$4</f>
        <v>12</v>
      </c>
      <c r="C26" s="225">
        <f>IFERROR(VLOOKUP(A26,'스위트조이 피벗'!A:TC,2,FALSE),0)</f>
        <v>12</v>
      </c>
      <c r="D26" s="225">
        <f>IFERROR(ROUNDDOWN(C26/B26,0),"")</f>
        <v>1</v>
      </c>
      <c r="E26" s="215" t="s">
        <v>239</v>
      </c>
      <c r="F26" s="228">
        <f>IFERROR(C26-(D26*B26),"")</f>
        <v>0</v>
      </c>
      <c r="H26" s="73"/>
      <c r="I26" s="73"/>
    </row>
    <row r="27" spans="1:9" ht="25.35" customHeight="1">
      <c r="A27" s="216" t="s">
        <v>262</v>
      </c>
      <c r="B27" s="224">
        <f t="shared" si="7"/>
        <v>12</v>
      </c>
      <c r="C27" s="225">
        <f>IFERROR(VLOOKUP(A27,'스위트조이 피벗'!A:TC,2,FALSE),0)</f>
        <v>0</v>
      </c>
      <c r="D27" s="225">
        <f t="shared" ref="D27:D28" si="8">IFERROR(ROUNDDOWN(C27/B27,0),"")</f>
        <v>0</v>
      </c>
      <c r="E27" s="215" t="s">
        <v>272</v>
      </c>
      <c r="F27" s="228">
        <f t="shared" ref="F27:F28" si="9">IFERROR(C27-(D27*B27),"")</f>
        <v>0</v>
      </c>
      <c r="H27" s="73"/>
      <c r="I27" s="73"/>
    </row>
    <row r="28" spans="1:9" ht="25.35" customHeight="1">
      <c r="A28" s="216" t="s">
        <v>263</v>
      </c>
      <c r="B28" s="224">
        <f t="shared" si="7"/>
        <v>12</v>
      </c>
      <c r="C28" s="225">
        <f>IFERROR(VLOOKUP(A28,'스위트조이 피벗'!A:TC,2,FALSE),0)</f>
        <v>0</v>
      </c>
      <c r="D28" s="225">
        <f t="shared" si="8"/>
        <v>0</v>
      </c>
      <c r="E28" s="215" t="s">
        <v>234</v>
      </c>
      <c r="F28" s="228">
        <f t="shared" si="9"/>
        <v>0</v>
      </c>
      <c r="H28" s="73"/>
      <c r="I28" s="73"/>
    </row>
    <row r="29" spans="1:9" ht="4.5" customHeight="1">
      <c r="A29" s="265"/>
      <c r="B29" s="266"/>
      <c r="C29" s="266"/>
      <c r="D29" s="266"/>
      <c r="E29" s="266"/>
      <c r="F29" s="267"/>
      <c r="H29" s="73"/>
      <c r="I29" s="73"/>
    </row>
    <row r="30" spans="1:9" ht="32.450000000000003" customHeight="1">
      <c r="A30" s="209" t="s">
        <v>242</v>
      </c>
      <c r="B30" s="226">
        <f>$B$4</f>
        <v>12</v>
      </c>
      <c r="C30" s="210">
        <f>SUM(C26:C28)</f>
        <v>12</v>
      </c>
      <c r="D30" s="55">
        <f>IFERROR(ROUNDDOWN(C30/B30,0),"")</f>
        <v>1</v>
      </c>
      <c r="E30" s="211"/>
      <c r="F30" s="212">
        <f>IFERROR(C30-(D30*B30),"")</f>
        <v>0</v>
      </c>
      <c r="H30" s="73"/>
      <c r="I30" s="73"/>
    </row>
    <row r="31" spans="1:9" ht="4.5" customHeight="1">
      <c r="A31" s="181"/>
      <c r="B31" s="50"/>
      <c r="C31" s="50"/>
      <c r="D31" s="50"/>
      <c r="E31" s="50"/>
      <c r="F31" s="182"/>
      <c r="H31" s="73"/>
      <c r="I31" s="73"/>
    </row>
    <row r="32" spans="1:9" ht="24.75" customHeight="1">
      <c r="A32" s="240" t="s">
        <v>264</v>
      </c>
      <c r="B32" s="224">
        <v>12</v>
      </c>
      <c r="C32" s="225">
        <f>IFERROR(VLOOKUP(A32,'스위트조이 피벗'!A:TC,2,FALSE),0)</f>
        <v>120</v>
      </c>
      <c r="D32" s="225">
        <f t="shared" ref="D32" si="10">IFERROR(ROUNDDOWN(C32/B32,0),"")</f>
        <v>10</v>
      </c>
      <c r="E32" s="51" t="s">
        <v>241</v>
      </c>
      <c r="F32" s="228">
        <f t="shared" ref="F32" si="11">IFERROR(C32-(D32*B32),"")</f>
        <v>0</v>
      </c>
      <c r="H32" s="73"/>
      <c r="I32" s="73"/>
    </row>
    <row r="33" spans="1:9" ht="6" customHeight="1">
      <c r="A33" s="216"/>
      <c r="B33" s="214"/>
      <c r="C33" s="225"/>
      <c r="D33" s="225"/>
      <c r="E33" s="215"/>
      <c r="F33" s="228"/>
      <c r="H33" s="73"/>
      <c r="I33" s="73"/>
    </row>
    <row r="34" spans="1:9" ht="26.25">
      <c r="A34" s="87" t="s">
        <v>3</v>
      </c>
      <c r="B34" s="227">
        <f>$B$4</f>
        <v>12</v>
      </c>
      <c r="C34" s="55">
        <f>SUM(C4:C12,C26:C28,C21:C22,C16:C17,C32)</f>
        <v>792</v>
      </c>
      <c r="D34" s="54">
        <f>IFERROR(ROUNDDOWN(C34/B34,0),"")</f>
        <v>66</v>
      </c>
      <c r="E34" s="56"/>
      <c r="F34" s="121">
        <f>IFERROR(C34-(D34*B34),"")</f>
        <v>0</v>
      </c>
      <c r="H34" s="73"/>
      <c r="I34" s="73"/>
    </row>
    <row r="35" spans="1:9" ht="27" thickBot="1">
      <c r="A35" s="42" t="s">
        <v>245</v>
      </c>
      <c r="B35" s="43" t="s">
        <v>173</v>
      </c>
      <c r="C35" s="40"/>
      <c r="D35" s="41">
        <f>SUM(D4:D12,D26:D28,D21:D22,D16:D17,D32)</f>
        <v>66</v>
      </c>
      <c r="E35" s="48"/>
      <c r="F35" s="93">
        <f>SUM(F4:F12,F26:F28,F21:F22,F16:F17,F32)</f>
        <v>0</v>
      </c>
    </row>
    <row r="36" spans="1:9" ht="22.5" customHeight="1">
      <c r="C36" s="77">
        <f>C14+C19+C24+C30+C32</f>
        <v>792</v>
      </c>
    </row>
    <row r="37" spans="1:9">
      <c r="C37" s="34" t="b">
        <f>C36=C34</f>
        <v>1</v>
      </c>
    </row>
  </sheetData>
  <mergeCells count="7">
    <mergeCell ref="A29:F29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039-120E-4AB5-AFE4-37EC0D376FFA}">
  <sheetPr>
    <tabColor rgb="FFFFFF00"/>
    <pageSetUpPr fitToPage="1"/>
  </sheetPr>
  <dimension ref="A1:F37"/>
  <sheetViews>
    <sheetView tabSelected="1" zoomScale="55" zoomScaleNormal="55" zoomScaleSheetLayoutView="75" workbookViewId="0">
      <selection activeCell="A2" sqref="A2:F35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>
      <c r="A1" s="268"/>
      <c r="B1" s="268"/>
      <c r="C1" s="268"/>
      <c r="D1" s="268"/>
      <c r="E1" s="268"/>
      <c r="F1" s="268"/>
    </row>
    <row r="2" spans="1:6" ht="25.9" customHeight="1">
      <c r="A2" s="232">
        <f ca="1">TODAY()</f>
        <v>46314</v>
      </c>
      <c r="B2" s="277" t="s">
        <v>274</v>
      </c>
      <c r="C2" s="278"/>
      <c r="D2" s="278"/>
      <c r="E2" s="278"/>
      <c r="F2" s="279"/>
    </row>
    <row r="3" spans="1:6" ht="40.5" customHeight="1">
      <c r="A3" s="233" t="str">
        <f>'스위트조이 피벗'!A2</f>
        <v>10/20 납품</v>
      </c>
      <c r="B3" s="234" t="s">
        <v>13</v>
      </c>
      <c r="C3" s="235" t="s">
        <v>247</v>
      </c>
      <c r="D3" s="236" t="s">
        <v>2</v>
      </c>
      <c r="E3" s="234" t="s">
        <v>23</v>
      </c>
      <c r="F3" s="237" t="s">
        <v>14</v>
      </c>
    </row>
    <row r="4" spans="1:6" ht="25.35" customHeight="1">
      <c r="A4" s="213" t="s">
        <v>255</v>
      </c>
      <c r="B4" s="224">
        <v>12</v>
      </c>
      <c r="C4" s="225">
        <f>IFERROR(VLOOKUP(A4,'스위트조이 피벗'!A:TC,3,FALSE),0)</f>
        <v>0</v>
      </c>
      <c r="D4" s="225">
        <f t="shared" ref="D4:D12" si="0">IFERROR(ROUNDDOWN(C4/B4,0),"")</f>
        <v>0</v>
      </c>
      <c r="E4" s="215" t="s">
        <v>265</v>
      </c>
      <c r="F4" s="228">
        <f t="shared" ref="F4:F12" si="1">IFERROR(C4-(D4*B4),"")</f>
        <v>0</v>
      </c>
    </row>
    <row r="5" spans="1:6" ht="25.35" customHeight="1">
      <c r="A5" s="213" t="s">
        <v>256</v>
      </c>
      <c r="B5" s="224">
        <f>$B$4</f>
        <v>12</v>
      </c>
      <c r="C5" s="225">
        <f>IFERROR(VLOOKUP(A5,'스위트조이 피벗'!A:TC,3,FALSE),0)</f>
        <v>120</v>
      </c>
      <c r="D5" s="225">
        <f t="shared" si="0"/>
        <v>10</v>
      </c>
      <c r="E5" s="215" t="s">
        <v>238</v>
      </c>
      <c r="F5" s="228">
        <f t="shared" si="1"/>
        <v>0</v>
      </c>
    </row>
    <row r="6" spans="1:6" ht="25.35" customHeight="1">
      <c r="A6" s="216" t="s">
        <v>257</v>
      </c>
      <c r="B6" s="224">
        <f t="shared" ref="B6:B12" si="2">$B$4</f>
        <v>12</v>
      </c>
      <c r="C6" s="225">
        <f>IFERROR(VLOOKUP(A6,'스위트조이 피벗'!A:TC,3,FALSE),0)</f>
        <v>0</v>
      </c>
      <c r="D6" s="225">
        <f t="shared" si="0"/>
        <v>0</v>
      </c>
      <c r="E6" s="215" t="s">
        <v>266</v>
      </c>
      <c r="F6" s="228">
        <f t="shared" si="1"/>
        <v>0</v>
      </c>
    </row>
    <row r="7" spans="1:6" ht="25.35" customHeight="1">
      <c r="A7" s="216" t="s">
        <v>258</v>
      </c>
      <c r="B7" s="224">
        <f t="shared" si="2"/>
        <v>12</v>
      </c>
      <c r="C7" s="225">
        <f>IFERROR(VLOOKUP(A7,'스위트조이 피벗'!A:TC,3,FALSE),0)</f>
        <v>180</v>
      </c>
      <c r="D7" s="225">
        <f t="shared" si="0"/>
        <v>15</v>
      </c>
      <c r="E7" s="215" t="s">
        <v>267</v>
      </c>
      <c r="F7" s="228">
        <f t="shared" si="1"/>
        <v>0</v>
      </c>
    </row>
    <row r="8" spans="1:6" ht="25.35" customHeight="1">
      <c r="A8" s="216" t="s">
        <v>254</v>
      </c>
      <c r="B8" s="224">
        <f t="shared" si="2"/>
        <v>12</v>
      </c>
      <c r="C8" s="225">
        <f>IFERROR(VLOOKUP(A8,'스위트조이 피벗'!A:TC,3,FALSE),0)</f>
        <v>0</v>
      </c>
      <c r="D8" s="225">
        <f t="shared" si="0"/>
        <v>0</v>
      </c>
      <c r="E8" s="215" t="s">
        <v>268</v>
      </c>
      <c r="F8" s="228">
        <f t="shared" si="1"/>
        <v>0</v>
      </c>
    </row>
    <row r="9" spans="1:6" ht="25.35" customHeight="1">
      <c r="A9" s="216" t="s">
        <v>249</v>
      </c>
      <c r="B9" s="224">
        <f t="shared" si="2"/>
        <v>12</v>
      </c>
      <c r="C9" s="225">
        <f>IFERROR(VLOOKUP(A9,'스위트조이 피벗'!A:TC,3,FALSE),0)</f>
        <v>0</v>
      </c>
      <c r="D9" s="225">
        <f t="shared" si="0"/>
        <v>0</v>
      </c>
      <c r="E9" s="215" t="s">
        <v>269</v>
      </c>
      <c r="F9" s="228">
        <f t="shared" si="1"/>
        <v>0</v>
      </c>
    </row>
    <row r="10" spans="1:6" ht="25.35" customHeight="1">
      <c r="A10" s="216" t="s">
        <v>252</v>
      </c>
      <c r="B10" s="224">
        <f t="shared" si="2"/>
        <v>12</v>
      </c>
      <c r="C10" s="225">
        <f>IFERROR(VLOOKUP(A10,'스위트조이 피벗'!A:TC,3,FALSE),0)</f>
        <v>0</v>
      </c>
      <c r="D10" s="225">
        <f t="shared" si="0"/>
        <v>0</v>
      </c>
      <c r="E10" s="215" t="s">
        <v>270</v>
      </c>
      <c r="F10" s="228">
        <f t="shared" si="1"/>
        <v>0</v>
      </c>
    </row>
    <row r="11" spans="1:6" ht="25.35" customHeight="1">
      <c r="A11" s="216" t="s">
        <v>251</v>
      </c>
      <c r="B11" s="224">
        <f t="shared" si="2"/>
        <v>12</v>
      </c>
      <c r="C11" s="225">
        <f>IFERROR(VLOOKUP(A11,'스위트조이 피벗'!A:TC,3,FALSE),0)</f>
        <v>0</v>
      </c>
      <c r="D11" s="225">
        <f t="shared" si="0"/>
        <v>0</v>
      </c>
      <c r="E11" s="215" t="s">
        <v>240</v>
      </c>
      <c r="F11" s="228">
        <f t="shared" si="1"/>
        <v>0</v>
      </c>
    </row>
    <row r="12" spans="1:6" ht="25.35" customHeight="1">
      <c r="A12" s="216" t="s">
        <v>253</v>
      </c>
      <c r="B12" s="224">
        <f t="shared" si="2"/>
        <v>12</v>
      </c>
      <c r="C12" s="225">
        <f>IFERROR(VLOOKUP(A12,'스위트조이 피벗'!A:TC,3,FALSE),0)</f>
        <v>60</v>
      </c>
      <c r="D12" s="225">
        <f t="shared" si="0"/>
        <v>5</v>
      </c>
      <c r="E12" s="215" t="s">
        <v>108</v>
      </c>
      <c r="F12" s="228">
        <f t="shared" si="1"/>
        <v>0</v>
      </c>
    </row>
    <row r="13" spans="1:6" ht="4.5" customHeight="1">
      <c r="A13" s="280"/>
      <c r="B13" s="281"/>
      <c r="C13" s="281"/>
      <c r="D13" s="281"/>
      <c r="E13" s="281"/>
      <c r="F13" s="282"/>
    </row>
    <row r="14" spans="1:6" ht="32.450000000000003" customHeight="1">
      <c r="A14" s="217" t="s">
        <v>122</v>
      </c>
      <c r="B14" s="226">
        <f>$B$4</f>
        <v>12</v>
      </c>
      <c r="C14" s="210">
        <f>SUM(C4:C12)</f>
        <v>360</v>
      </c>
      <c r="D14" s="55">
        <f>IFERROR(ROUNDDOWN(C14/B14,0),"")</f>
        <v>30</v>
      </c>
      <c r="E14" s="218"/>
      <c r="F14" s="212">
        <f>IFERROR(C14-(D14*B14),"")</f>
        <v>0</v>
      </c>
    </row>
    <row r="15" spans="1:6" ht="4.5" customHeight="1">
      <c r="A15" s="219"/>
      <c r="B15" s="214"/>
      <c r="C15" s="214"/>
      <c r="D15" s="214"/>
      <c r="E15" s="214"/>
      <c r="F15" s="220"/>
    </row>
    <row r="16" spans="1:6" ht="25.35" customHeight="1">
      <c r="A16" s="216" t="s">
        <v>259</v>
      </c>
      <c r="B16" s="224">
        <f t="shared" ref="B16:B17" si="3">$B$4</f>
        <v>12</v>
      </c>
      <c r="C16" s="225">
        <f>IFERROR(VLOOKUP(A16,'스위트조이 피벗'!A:TC,3,FALSE),0)</f>
        <v>0</v>
      </c>
      <c r="D16" s="225">
        <f>IFERROR(ROUNDDOWN(C16/B16,0),"")</f>
        <v>0</v>
      </c>
      <c r="E16" s="215" t="s">
        <v>237</v>
      </c>
      <c r="F16" s="228">
        <f>IFERROR(C16-(D16*B16),"")</f>
        <v>0</v>
      </c>
    </row>
    <row r="17" spans="1:6" ht="25.35" customHeight="1">
      <c r="A17" s="216" t="s">
        <v>250</v>
      </c>
      <c r="B17" s="224">
        <f t="shared" si="3"/>
        <v>12</v>
      </c>
      <c r="C17" s="225">
        <f>IFERROR(VLOOKUP(A17,'스위트조이 피벗'!A:TC,3,FALSE),0)</f>
        <v>0</v>
      </c>
      <c r="D17" s="225">
        <f>IFERROR(ROUNDDOWN(C17/B17,0),"")</f>
        <v>0</v>
      </c>
      <c r="E17" s="215" t="s">
        <v>236</v>
      </c>
      <c r="F17" s="228">
        <f>IFERROR(C17-(D17*B17),"")</f>
        <v>0</v>
      </c>
    </row>
    <row r="18" spans="1:6" ht="4.5" customHeight="1">
      <c r="A18" s="280"/>
      <c r="B18" s="281"/>
      <c r="C18" s="281"/>
      <c r="D18" s="281"/>
      <c r="E18" s="281"/>
      <c r="F18" s="282"/>
    </row>
    <row r="19" spans="1:6" ht="32.450000000000003" customHeight="1">
      <c r="A19" s="217" t="s">
        <v>244</v>
      </c>
      <c r="B19" s="226">
        <f>$B$4</f>
        <v>12</v>
      </c>
      <c r="C19" s="210">
        <f>SUM(C16:C17)</f>
        <v>0</v>
      </c>
      <c r="D19" s="55">
        <f>IFERROR(ROUNDDOWN(C19/B19,0),"")</f>
        <v>0</v>
      </c>
      <c r="E19" s="218"/>
      <c r="F19" s="212">
        <f>IFERROR(C19-(D19*B19),"")</f>
        <v>0</v>
      </c>
    </row>
    <row r="20" spans="1:6" ht="4.5" customHeight="1">
      <c r="A20" s="280"/>
      <c r="B20" s="281"/>
      <c r="C20" s="281"/>
      <c r="D20" s="281"/>
      <c r="E20" s="281"/>
      <c r="F20" s="282"/>
    </row>
    <row r="21" spans="1:6" ht="25.35" customHeight="1">
      <c r="A21" s="216" t="s">
        <v>260</v>
      </c>
      <c r="B21" s="224">
        <f t="shared" ref="B21:B22" si="4">$B$4</f>
        <v>12</v>
      </c>
      <c r="C21" s="225">
        <f>IFERROR(VLOOKUP(A21,'스위트조이 피벗'!A:TC,3,FALSE),0)</f>
        <v>0</v>
      </c>
      <c r="D21" s="225">
        <f t="shared" ref="D21:D22" si="5">IFERROR(ROUNDDOWN(C21/B21,0),"")</f>
        <v>0</v>
      </c>
      <c r="E21" s="215" t="s">
        <v>235</v>
      </c>
      <c r="F21" s="228">
        <f t="shared" ref="F21:F22" si="6">IFERROR(C21-(D21*B21),"")</f>
        <v>0</v>
      </c>
    </row>
    <row r="22" spans="1:6" ht="25.35" customHeight="1">
      <c r="A22" s="216" t="s">
        <v>261</v>
      </c>
      <c r="B22" s="224">
        <f t="shared" si="4"/>
        <v>12</v>
      </c>
      <c r="C22" s="225">
        <f>IFERROR(VLOOKUP(A22,'스위트조이 피벗'!A:TC,3,FALSE),0)</f>
        <v>0</v>
      </c>
      <c r="D22" s="225">
        <f t="shared" si="5"/>
        <v>0</v>
      </c>
      <c r="E22" s="215" t="s">
        <v>271</v>
      </c>
      <c r="F22" s="228">
        <f t="shared" si="6"/>
        <v>0</v>
      </c>
    </row>
    <row r="23" spans="1:6" ht="4.5" customHeight="1">
      <c r="A23" s="280"/>
      <c r="B23" s="281"/>
      <c r="C23" s="281"/>
      <c r="D23" s="281"/>
      <c r="E23" s="281"/>
      <c r="F23" s="282"/>
    </row>
    <row r="24" spans="1:6" ht="32.450000000000003" customHeight="1">
      <c r="A24" s="217" t="s">
        <v>243</v>
      </c>
      <c r="B24" s="226">
        <f>$B$4</f>
        <v>12</v>
      </c>
      <c r="C24" s="210">
        <f>SUM(C21:C22)</f>
        <v>0</v>
      </c>
      <c r="D24" s="55">
        <f>IFERROR(ROUNDDOWN(C24/B24,0),"")</f>
        <v>0</v>
      </c>
      <c r="E24" s="218"/>
      <c r="F24" s="212">
        <f>IFERROR(C24-(D24*B24),"")</f>
        <v>0</v>
      </c>
    </row>
    <row r="25" spans="1:6" ht="4.5" customHeight="1">
      <c r="A25" s="219"/>
      <c r="B25" s="214"/>
      <c r="C25" s="214"/>
      <c r="D25" s="214"/>
      <c r="E25" s="214"/>
      <c r="F25" s="220"/>
    </row>
    <row r="26" spans="1:6" ht="25.35" customHeight="1">
      <c r="A26" s="216" t="s">
        <v>248</v>
      </c>
      <c r="B26" s="224">
        <f t="shared" ref="B26:B28" si="7">$B$4</f>
        <v>12</v>
      </c>
      <c r="C26" s="225">
        <f>IFERROR(VLOOKUP(A26,'스위트조이 피벗'!A:TC,3,FALSE),0)</f>
        <v>24</v>
      </c>
      <c r="D26" s="225">
        <f t="shared" ref="D26:D28" si="8">IFERROR(ROUNDDOWN(C26/B26,0),"")</f>
        <v>2</v>
      </c>
      <c r="E26" s="215" t="s">
        <v>239</v>
      </c>
      <c r="F26" s="228">
        <f t="shared" ref="F26:F28" si="9">IFERROR(C26-(D26*B26),"")</f>
        <v>0</v>
      </c>
    </row>
    <row r="27" spans="1:6" ht="25.35" customHeight="1">
      <c r="A27" s="216" t="s">
        <v>262</v>
      </c>
      <c r="B27" s="224">
        <f t="shared" si="7"/>
        <v>12</v>
      </c>
      <c r="C27" s="225">
        <f>IFERROR(VLOOKUP(A27,'스위트조이 피벗'!A:TC,3,FALSE),0)</f>
        <v>36</v>
      </c>
      <c r="D27" s="225">
        <f t="shared" si="8"/>
        <v>3</v>
      </c>
      <c r="E27" s="215" t="s">
        <v>272</v>
      </c>
      <c r="F27" s="228">
        <f t="shared" si="9"/>
        <v>0</v>
      </c>
    </row>
    <row r="28" spans="1:6" ht="25.35" customHeight="1">
      <c r="A28" s="216" t="s">
        <v>263</v>
      </c>
      <c r="B28" s="224">
        <f t="shared" si="7"/>
        <v>12</v>
      </c>
      <c r="C28" s="225">
        <f>IFERROR(VLOOKUP(A28,'스위트조이 피벗'!A:TC,3,FALSE),0)</f>
        <v>0</v>
      </c>
      <c r="D28" s="225">
        <f t="shared" si="8"/>
        <v>0</v>
      </c>
      <c r="E28" s="215" t="s">
        <v>234</v>
      </c>
      <c r="F28" s="228">
        <f t="shared" si="9"/>
        <v>0</v>
      </c>
    </row>
    <row r="29" spans="1:6" ht="4.5" customHeight="1">
      <c r="A29" s="274"/>
      <c r="B29" s="275"/>
      <c r="C29" s="275"/>
      <c r="D29" s="275"/>
      <c r="E29" s="275"/>
      <c r="F29" s="276"/>
    </row>
    <row r="30" spans="1:6" ht="32.450000000000003" customHeight="1">
      <c r="A30" s="209" t="s">
        <v>242</v>
      </c>
      <c r="B30" s="226">
        <f>$B$4</f>
        <v>12</v>
      </c>
      <c r="C30" s="210">
        <f>SUM(C26:C28)</f>
        <v>60</v>
      </c>
      <c r="D30" s="55">
        <f>IFERROR(ROUNDDOWN(C30/B30,0),"")</f>
        <v>5</v>
      </c>
      <c r="E30" s="211"/>
      <c r="F30" s="212">
        <f>IFERROR(C30-(D30*B30),"")</f>
        <v>0</v>
      </c>
    </row>
    <row r="31" spans="1:6" ht="4.5" customHeight="1">
      <c r="A31" s="181"/>
      <c r="B31" s="50"/>
      <c r="C31" s="50"/>
      <c r="D31" s="50"/>
      <c r="E31" s="50"/>
      <c r="F31" s="182"/>
    </row>
    <row r="32" spans="1:6" ht="26.25" customHeight="1">
      <c r="A32" s="240" t="s">
        <v>273</v>
      </c>
      <c r="B32" s="224">
        <v>12</v>
      </c>
      <c r="C32" s="225">
        <f>IFERROR(VLOOKUP(A32,'스위트조이 피벗'!A:TC,3,FALSE),0)</f>
        <v>36</v>
      </c>
      <c r="D32" s="225">
        <f t="shared" ref="D32" si="10">IFERROR(ROUNDDOWN(C32/B32,0),"")</f>
        <v>3</v>
      </c>
      <c r="E32" s="51" t="s">
        <v>241</v>
      </c>
      <c r="F32" s="228">
        <f t="shared" ref="F32" si="11">IFERROR(C32-(D32*B32),"")</f>
        <v>0</v>
      </c>
    </row>
    <row r="33" spans="1:6" ht="3.75" customHeight="1">
      <c r="A33" s="181"/>
      <c r="B33" s="50"/>
      <c r="C33" s="50"/>
      <c r="D33" s="50"/>
      <c r="E33" s="50"/>
      <c r="F33" s="182"/>
    </row>
    <row r="34" spans="1:6" ht="26.25">
      <c r="A34" s="87" t="s">
        <v>3</v>
      </c>
      <c r="B34" s="227">
        <f>$B$4</f>
        <v>12</v>
      </c>
      <c r="C34" s="55">
        <f>SUM(C4:C12,C26:C28,C21:C22,C16:C17,C32)</f>
        <v>456</v>
      </c>
      <c r="D34" s="54">
        <f>IFERROR(ROUNDDOWN(C34/B34,0),"")</f>
        <v>38</v>
      </c>
      <c r="E34" s="56"/>
      <c r="F34" s="121">
        <f>IFERROR(C34-(D34*B34),"")</f>
        <v>0</v>
      </c>
    </row>
    <row r="35" spans="1:6" ht="27" thickBot="1">
      <c r="A35" s="42" t="s">
        <v>245</v>
      </c>
      <c r="B35" s="43" t="s">
        <v>173</v>
      </c>
      <c r="C35" s="40"/>
      <c r="D35" s="41">
        <f>SUM(D4:D12,D26:D28,D21:D22,D16:D17,D32)</f>
        <v>38</v>
      </c>
      <c r="E35" s="48"/>
      <c r="F35" s="93">
        <f>SUM(F4:F12,F26:F28,F21:F22,F16:F17,F32)</f>
        <v>0</v>
      </c>
    </row>
    <row r="36" spans="1:6" ht="22.5" customHeight="1">
      <c r="C36" s="77">
        <f>C14+C19+C24+C30+C32</f>
        <v>456</v>
      </c>
    </row>
    <row r="37" spans="1:6">
      <c r="C37" s="34" t="b">
        <f>C36=C34</f>
        <v>1</v>
      </c>
    </row>
  </sheetData>
  <mergeCells count="7">
    <mergeCell ref="A29:F29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ADC-27C2-48C7-8C14-6E295C5BDB01}">
  <sheetPr>
    <tabColor rgb="FFFFFF00"/>
    <pageSetUpPr fitToPage="1"/>
  </sheetPr>
  <dimension ref="A1:F37"/>
  <sheetViews>
    <sheetView zoomScale="55" zoomScaleNormal="55" zoomScaleSheetLayoutView="75" workbookViewId="0">
      <selection activeCell="L46" sqref="L46:M46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>
      <c r="A1" s="268"/>
      <c r="B1" s="268"/>
      <c r="C1" s="268"/>
      <c r="D1" s="268"/>
      <c r="E1" s="268"/>
      <c r="F1" s="268"/>
    </row>
    <row r="2" spans="1:6" ht="25.9" customHeight="1">
      <c r="A2" s="232">
        <f ca="1">TODAY()</f>
        <v>46314</v>
      </c>
      <c r="B2" s="269" t="s">
        <v>274</v>
      </c>
      <c r="C2" s="269"/>
      <c r="D2" s="269"/>
      <c r="E2" s="269"/>
      <c r="F2" s="270"/>
    </row>
    <row r="3" spans="1:6" ht="40.15" customHeight="1">
      <c r="A3" s="233" t="str">
        <f>'스위트조이 피벗'!A2</f>
        <v>10/20 납품</v>
      </c>
      <c r="B3" s="234" t="s">
        <v>13</v>
      </c>
      <c r="C3" s="238" t="s">
        <v>276</v>
      </c>
      <c r="D3" s="236" t="s">
        <v>2</v>
      </c>
      <c r="E3" s="234" t="s">
        <v>23</v>
      </c>
      <c r="F3" s="237" t="s">
        <v>14</v>
      </c>
    </row>
    <row r="4" spans="1:6" ht="25.35" customHeight="1">
      <c r="A4" s="213" t="s">
        <v>255</v>
      </c>
      <c r="B4" s="224">
        <v>24</v>
      </c>
      <c r="C4" s="225">
        <f>IFERROR(VLOOKUP(A4,'스위트조이 피벗'!A:TC,4,FALSE),0)</f>
        <v>0</v>
      </c>
      <c r="D4" s="225">
        <f t="shared" ref="D4:D12" si="0">IFERROR(ROUNDDOWN(C4/B4,0),"")</f>
        <v>0</v>
      </c>
      <c r="E4" s="215" t="s">
        <v>265</v>
      </c>
      <c r="F4" s="228">
        <f t="shared" ref="F4:F12" si="1">IFERROR(C4-(D4*B4),"")</f>
        <v>0</v>
      </c>
    </row>
    <row r="5" spans="1:6" ht="25.35" customHeight="1">
      <c r="A5" s="213" t="s">
        <v>256</v>
      </c>
      <c r="B5" s="224">
        <f>$B$4</f>
        <v>24</v>
      </c>
      <c r="C5" s="225">
        <f>IFERROR(VLOOKUP(A5,'스위트조이 피벗'!A:TC,4,FALSE),0)</f>
        <v>0</v>
      </c>
      <c r="D5" s="225">
        <f t="shared" si="0"/>
        <v>0</v>
      </c>
      <c r="E5" s="215" t="s">
        <v>238</v>
      </c>
      <c r="F5" s="228">
        <f t="shared" si="1"/>
        <v>0</v>
      </c>
    </row>
    <row r="6" spans="1:6" ht="25.35" customHeight="1">
      <c r="A6" s="216" t="s">
        <v>257</v>
      </c>
      <c r="B6" s="224">
        <f t="shared" ref="B6:B12" si="2">$B$4</f>
        <v>24</v>
      </c>
      <c r="C6" s="225">
        <f>IFERROR(VLOOKUP(A6,'스위트조이 피벗'!A:TC,4,FALSE),0)</f>
        <v>0</v>
      </c>
      <c r="D6" s="225">
        <f t="shared" si="0"/>
        <v>0</v>
      </c>
      <c r="E6" s="215" t="s">
        <v>266</v>
      </c>
      <c r="F6" s="228">
        <f t="shared" si="1"/>
        <v>0</v>
      </c>
    </row>
    <row r="7" spans="1:6" ht="25.35" customHeight="1">
      <c r="A7" s="216" t="s">
        <v>258</v>
      </c>
      <c r="B7" s="224">
        <f t="shared" si="2"/>
        <v>24</v>
      </c>
      <c r="C7" s="225">
        <f>IFERROR(VLOOKUP(A7,'스위트조이 피벗'!A:TC,4,FALSE),0)</f>
        <v>0</v>
      </c>
      <c r="D7" s="225">
        <f t="shared" si="0"/>
        <v>0</v>
      </c>
      <c r="E7" s="215" t="s">
        <v>267</v>
      </c>
      <c r="F7" s="228">
        <f t="shared" si="1"/>
        <v>0</v>
      </c>
    </row>
    <row r="8" spans="1:6" ht="25.35" customHeight="1">
      <c r="A8" s="216" t="s">
        <v>254</v>
      </c>
      <c r="B8" s="224">
        <f t="shared" si="2"/>
        <v>24</v>
      </c>
      <c r="C8" s="225">
        <f>IFERROR(VLOOKUP(A8,'스위트조이 피벗'!A:TC,4,FALSE),0)</f>
        <v>0</v>
      </c>
      <c r="D8" s="225">
        <f t="shared" si="0"/>
        <v>0</v>
      </c>
      <c r="E8" s="215" t="s">
        <v>268</v>
      </c>
      <c r="F8" s="228">
        <f t="shared" si="1"/>
        <v>0</v>
      </c>
    </row>
    <row r="9" spans="1:6" ht="25.35" customHeight="1">
      <c r="A9" s="216" t="s">
        <v>249</v>
      </c>
      <c r="B9" s="224">
        <f t="shared" si="2"/>
        <v>24</v>
      </c>
      <c r="C9" s="225">
        <f>IFERROR(VLOOKUP(A9,'스위트조이 피벗'!A:TC,4,FALSE),0)</f>
        <v>0</v>
      </c>
      <c r="D9" s="225">
        <f t="shared" si="0"/>
        <v>0</v>
      </c>
      <c r="E9" s="215" t="s">
        <v>269</v>
      </c>
      <c r="F9" s="228">
        <f t="shared" si="1"/>
        <v>0</v>
      </c>
    </row>
    <row r="10" spans="1:6" ht="25.35" customHeight="1">
      <c r="A10" s="216" t="s">
        <v>252</v>
      </c>
      <c r="B10" s="224">
        <f t="shared" si="2"/>
        <v>24</v>
      </c>
      <c r="C10" s="225">
        <f>IFERROR(VLOOKUP(A10,'스위트조이 피벗'!A:TC,4,FALSE),0)</f>
        <v>0</v>
      </c>
      <c r="D10" s="225">
        <f t="shared" si="0"/>
        <v>0</v>
      </c>
      <c r="E10" s="215" t="s">
        <v>270</v>
      </c>
      <c r="F10" s="228">
        <f t="shared" si="1"/>
        <v>0</v>
      </c>
    </row>
    <row r="11" spans="1:6" ht="25.35" customHeight="1">
      <c r="A11" s="216" t="s">
        <v>251</v>
      </c>
      <c r="B11" s="224">
        <f t="shared" si="2"/>
        <v>24</v>
      </c>
      <c r="C11" s="225">
        <f>IFERROR(VLOOKUP(A11,'스위트조이 피벗'!A:TC,4,FALSE),0)</f>
        <v>0</v>
      </c>
      <c r="D11" s="225">
        <f t="shared" si="0"/>
        <v>0</v>
      </c>
      <c r="E11" s="215" t="s">
        <v>240</v>
      </c>
      <c r="F11" s="228">
        <f t="shared" si="1"/>
        <v>0</v>
      </c>
    </row>
    <row r="12" spans="1:6" ht="25.35" customHeight="1">
      <c r="A12" s="216" t="s">
        <v>253</v>
      </c>
      <c r="B12" s="224">
        <f t="shared" si="2"/>
        <v>24</v>
      </c>
      <c r="C12" s="225">
        <f>IFERROR(VLOOKUP(A12,'스위트조이 피벗'!A:TC,4,FALSE),0)</f>
        <v>0</v>
      </c>
      <c r="D12" s="225">
        <f t="shared" si="0"/>
        <v>0</v>
      </c>
      <c r="E12" s="215" t="s">
        <v>108</v>
      </c>
      <c r="F12" s="228">
        <f t="shared" si="1"/>
        <v>0</v>
      </c>
    </row>
    <row r="13" spans="1:6" ht="4.5" customHeight="1">
      <c r="A13" s="271"/>
      <c r="B13" s="272"/>
      <c r="C13" s="272"/>
      <c r="D13" s="272"/>
      <c r="E13" s="272"/>
      <c r="F13" s="273"/>
    </row>
    <row r="14" spans="1:6" ht="32.450000000000003" customHeight="1">
      <c r="A14" s="222" t="s">
        <v>122</v>
      </c>
      <c r="B14" s="226">
        <f>$B$4</f>
        <v>24</v>
      </c>
      <c r="C14" s="208">
        <f>SUM(C4:C12)</f>
        <v>0</v>
      </c>
      <c r="D14" s="54">
        <f>IFERROR(ROUNDDOWN(C14/B14,0),"")</f>
        <v>0</v>
      </c>
      <c r="E14" s="223"/>
      <c r="F14" s="121">
        <f>IFERROR(C14-(D14*B14),"")</f>
        <v>0</v>
      </c>
    </row>
    <row r="15" spans="1:6" ht="4.5" customHeight="1">
      <c r="A15" s="219"/>
      <c r="B15" s="214"/>
      <c r="C15" s="214"/>
      <c r="D15" s="214"/>
      <c r="E15" s="214"/>
      <c r="F15" s="220"/>
    </row>
    <row r="16" spans="1:6" ht="25.35" customHeight="1">
      <c r="A16" s="216" t="s">
        <v>259</v>
      </c>
      <c r="B16" s="224">
        <f t="shared" ref="B16:B17" si="3">$B$4</f>
        <v>24</v>
      </c>
      <c r="C16" s="225">
        <f>IFERROR(VLOOKUP(A16,'스위트조이 피벗'!A:TC,4,FALSE),0)</f>
        <v>0</v>
      </c>
      <c r="D16" s="225">
        <f>IFERROR(ROUNDDOWN(C16/B16,0),"")</f>
        <v>0</v>
      </c>
      <c r="E16" s="215" t="s">
        <v>237</v>
      </c>
      <c r="F16" s="228">
        <f>IFERROR(C16-(D16*B16),"")</f>
        <v>0</v>
      </c>
    </row>
    <row r="17" spans="1:6" ht="25.35" customHeight="1">
      <c r="A17" s="216" t="s">
        <v>250</v>
      </c>
      <c r="B17" s="224">
        <f t="shared" si="3"/>
        <v>24</v>
      </c>
      <c r="C17" s="225">
        <f>IFERROR(VLOOKUP(A17,'스위트조이 피벗'!A:TC,4,FALSE),0)</f>
        <v>0</v>
      </c>
      <c r="D17" s="225">
        <f>IFERROR(ROUNDDOWN(C17/B17,0),"")</f>
        <v>0</v>
      </c>
      <c r="E17" s="215" t="s">
        <v>236</v>
      </c>
      <c r="F17" s="228">
        <f>IFERROR(C17-(D17*B17),"")</f>
        <v>0</v>
      </c>
    </row>
    <row r="18" spans="1:6" ht="4.5" customHeight="1">
      <c r="A18" s="271"/>
      <c r="B18" s="272"/>
      <c r="C18" s="272"/>
      <c r="D18" s="272"/>
      <c r="E18" s="272"/>
      <c r="F18" s="273"/>
    </row>
    <row r="19" spans="1:6" ht="32.450000000000003" customHeight="1">
      <c r="A19" s="222" t="s">
        <v>244</v>
      </c>
      <c r="B19" s="226">
        <f>$B$4</f>
        <v>24</v>
      </c>
      <c r="C19" s="208">
        <f>SUM(C16:C17)</f>
        <v>0</v>
      </c>
      <c r="D19" s="54">
        <f>IFERROR(ROUNDDOWN(C19/B19,0),"")</f>
        <v>0</v>
      </c>
      <c r="E19" s="223"/>
      <c r="F19" s="121">
        <f>IFERROR(C19-(D19*B19),"")</f>
        <v>0</v>
      </c>
    </row>
    <row r="20" spans="1:6" ht="4.5" customHeight="1">
      <c r="A20" s="271"/>
      <c r="B20" s="272"/>
      <c r="C20" s="272"/>
      <c r="D20" s="272"/>
      <c r="E20" s="272"/>
      <c r="F20" s="273"/>
    </row>
    <row r="21" spans="1:6" ht="25.35" customHeight="1">
      <c r="A21" s="216" t="s">
        <v>260</v>
      </c>
      <c r="B21" s="224">
        <f t="shared" ref="B21:B22" si="4">$B$4</f>
        <v>24</v>
      </c>
      <c r="C21" s="225">
        <f>IFERROR(VLOOKUP(A21,'스위트조이 피벗'!A:TC,4,FALSE),0)</f>
        <v>0</v>
      </c>
      <c r="D21" s="225">
        <f t="shared" ref="D21:D22" si="5">IFERROR(ROUNDDOWN(C21/B21,0),"")</f>
        <v>0</v>
      </c>
      <c r="E21" s="215" t="s">
        <v>235</v>
      </c>
      <c r="F21" s="228">
        <f t="shared" ref="F21:F22" si="6">IFERROR(C21-(D21*B21),"")</f>
        <v>0</v>
      </c>
    </row>
    <row r="22" spans="1:6" ht="25.35" customHeight="1">
      <c r="A22" s="216" t="s">
        <v>261</v>
      </c>
      <c r="B22" s="224">
        <f t="shared" si="4"/>
        <v>24</v>
      </c>
      <c r="C22" s="225">
        <f>IFERROR(VLOOKUP(A22,'스위트조이 피벗'!A:TC,4,FALSE),0)</f>
        <v>0</v>
      </c>
      <c r="D22" s="225">
        <f t="shared" si="5"/>
        <v>0</v>
      </c>
      <c r="E22" s="215" t="s">
        <v>271</v>
      </c>
      <c r="F22" s="228">
        <f t="shared" si="6"/>
        <v>0</v>
      </c>
    </row>
    <row r="23" spans="1:6" ht="4.5" customHeight="1">
      <c r="A23" s="271"/>
      <c r="B23" s="272"/>
      <c r="C23" s="272"/>
      <c r="D23" s="272"/>
      <c r="E23" s="272"/>
      <c r="F23" s="273"/>
    </row>
    <row r="24" spans="1:6" ht="32.450000000000003" customHeight="1">
      <c r="A24" s="222" t="s">
        <v>243</v>
      </c>
      <c r="B24" s="226">
        <f>$B$4</f>
        <v>24</v>
      </c>
      <c r="C24" s="208">
        <f>SUM(C21:C22)</f>
        <v>0</v>
      </c>
      <c r="D24" s="54">
        <f>IFERROR(ROUNDDOWN(C24/B24,0),"")</f>
        <v>0</v>
      </c>
      <c r="E24" s="223"/>
      <c r="F24" s="121">
        <f>IFERROR(C24-(D24*B24),"")</f>
        <v>0</v>
      </c>
    </row>
    <row r="25" spans="1:6" ht="4.5" customHeight="1">
      <c r="A25" s="219"/>
      <c r="B25" s="214"/>
      <c r="C25" s="214"/>
      <c r="D25" s="214"/>
      <c r="E25" s="214"/>
      <c r="F25" s="220"/>
    </row>
    <row r="26" spans="1:6" ht="25.35" customHeight="1">
      <c r="A26" s="216" t="s">
        <v>248</v>
      </c>
      <c r="B26" s="224">
        <f t="shared" ref="B26:B28" si="7">$B$4</f>
        <v>24</v>
      </c>
      <c r="C26" s="225">
        <f>IFERROR(VLOOKUP(A26,'스위트조이 피벗'!A:TC,4,FALSE),0)</f>
        <v>0</v>
      </c>
      <c r="D26" s="225">
        <f>IFERROR(ROUNDDOWN(C26/B26,0),"")</f>
        <v>0</v>
      </c>
      <c r="E26" s="215" t="s">
        <v>239</v>
      </c>
      <c r="F26" s="228">
        <f>IFERROR(C26-(D26*B26),"")</f>
        <v>0</v>
      </c>
    </row>
    <row r="27" spans="1:6" ht="25.35" customHeight="1">
      <c r="A27" s="216" t="s">
        <v>262</v>
      </c>
      <c r="B27" s="224">
        <f t="shared" si="7"/>
        <v>24</v>
      </c>
      <c r="C27" s="225">
        <f>IFERROR(VLOOKUP(A27,'스위트조이 피벗'!A:TC,4,FALSE),0)</f>
        <v>0</v>
      </c>
      <c r="D27" s="225">
        <f t="shared" ref="D27:D28" si="8">IFERROR(ROUNDDOWN(C27/B27,0),"")</f>
        <v>0</v>
      </c>
      <c r="E27" s="215" t="s">
        <v>272</v>
      </c>
      <c r="F27" s="228">
        <f t="shared" ref="F27:F28" si="9">IFERROR(C27-(D27*B27),"")</f>
        <v>0</v>
      </c>
    </row>
    <row r="28" spans="1:6" ht="25.35" customHeight="1">
      <c r="A28" s="216" t="s">
        <v>263</v>
      </c>
      <c r="B28" s="224">
        <f t="shared" si="7"/>
        <v>24</v>
      </c>
      <c r="C28" s="225">
        <f>IFERROR(VLOOKUP(A28,'스위트조이 피벗'!A:TC,4,FALSE),0)</f>
        <v>0</v>
      </c>
      <c r="D28" s="225">
        <f t="shared" si="8"/>
        <v>0</v>
      </c>
      <c r="E28" s="215" t="s">
        <v>234</v>
      </c>
      <c r="F28" s="228">
        <f t="shared" si="9"/>
        <v>0</v>
      </c>
    </row>
    <row r="29" spans="1:6" ht="4.5" customHeight="1">
      <c r="A29" s="265"/>
      <c r="B29" s="266"/>
      <c r="C29" s="266"/>
      <c r="D29" s="266"/>
      <c r="E29" s="266"/>
      <c r="F29" s="267"/>
    </row>
    <row r="30" spans="1:6" ht="32.450000000000003" customHeight="1">
      <c r="A30" s="207" t="s">
        <v>242</v>
      </c>
      <c r="B30" s="226">
        <f>$B$4</f>
        <v>24</v>
      </c>
      <c r="C30" s="208">
        <f>SUM(C26:C28)</f>
        <v>0</v>
      </c>
      <c r="D30" s="54">
        <f>IFERROR(ROUNDDOWN(C30/B30,0),"")</f>
        <v>0</v>
      </c>
      <c r="E30" s="36"/>
      <c r="F30" s="121">
        <f>IFERROR(C30-(D30*B30),"")</f>
        <v>0</v>
      </c>
    </row>
    <row r="31" spans="1:6" ht="4.5" customHeight="1">
      <c r="A31" s="181"/>
      <c r="B31" s="50"/>
      <c r="C31" s="50"/>
      <c r="D31" s="50"/>
      <c r="E31" s="50"/>
      <c r="F31" s="182"/>
    </row>
    <row r="32" spans="1:6" ht="26.25" customHeight="1">
      <c r="A32" s="240" t="s">
        <v>273</v>
      </c>
      <c r="B32" s="224">
        <v>24</v>
      </c>
      <c r="C32" s="225">
        <f>IFERROR(VLOOKUP(A32,'스위트조이 피벗'!A:TC,4,FALSE),0)</f>
        <v>0</v>
      </c>
      <c r="D32" s="225">
        <f t="shared" ref="D32" si="10">IFERROR(ROUNDDOWN(C32/B32,0),"")</f>
        <v>0</v>
      </c>
      <c r="E32" s="241" t="s">
        <v>241</v>
      </c>
      <c r="F32" s="228">
        <f t="shared" ref="F32" si="11">IFERROR(C32-(D32*B32),"")</f>
        <v>0</v>
      </c>
    </row>
    <row r="33" spans="1:6" ht="3.75" customHeight="1">
      <c r="A33" s="181"/>
      <c r="B33" s="50"/>
      <c r="C33" s="50"/>
      <c r="D33" s="50"/>
      <c r="E33" s="50"/>
      <c r="F33" s="182"/>
    </row>
    <row r="34" spans="1:6" ht="26.25">
      <c r="A34" s="87" t="s">
        <v>3</v>
      </c>
      <c r="B34" s="227">
        <f>$B$4</f>
        <v>24</v>
      </c>
      <c r="C34" s="55">
        <f>SUM(C4:C12,C26:C28,C21:C22,C16:C17,C32)</f>
        <v>0</v>
      </c>
      <c r="D34" s="54">
        <f>IFERROR(ROUNDDOWN(C34/B34,0),"")</f>
        <v>0</v>
      </c>
      <c r="E34" s="56"/>
      <c r="F34" s="121">
        <f>IFERROR(C34-(D34*B34),"")</f>
        <v>0</v>
      </c>
    </row>
    <row r="35" spans="1:6" ht="27" thickBot="1">
      <c r="A35" s="42" t="s">
        <v>245</v>
      </c>
      <c r="B35" s="43" t="s">
        <v>173</v>
      </c>
      <c r="C35" s="40"/>
      <c r="D35" s="41">
        <f>SUM(D4:D12,D26:D28,D21:D22,D16:D17,D32)</f>
        <v>0</v>
      </c>
      <c r="E35" s="48"/>
      <c r="F35" s="93">
        <f>SUM(F4:F12,F26:F28,F21:F22,F16:F17,F32)</f>
        <v>0</v>
      </c>
    </row>
    <row r="36" spans="1:6" ht="22.5" customHeight="1">
      <c r="C36" s="77">
        <f>C14+C19+C24+C30+C32</f>
        <v>0</v>
      </c>
    </row>
    <row r="37" spans="1:6">
      <c r="C37" s="34" t="b">
        <f>C36=C34</f>
        <v>1</v>
      </c>
    </row>
  </sheetData>
  <mergeCells count="7">
    <mergeCell ref="A29:F29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48D7-857C-434D-855C-92153372E3E6}">
  <sheetPr>
    <tabColor rgb="FFFFFF00"/>
    <pageSetUpPr fitToPage="1"/>
  </sheetPr>
  <dimension ref="A1:F37"/>
  <sheetViews>
    <sheetView zoomScale="55" zoomScaleNormal="55" zoomScaleSheetLayoutView="75" workbookViewId="0">
      <selection activeCell="L46" sqref="L46:M46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>
      <c r="A1" s="268"/>
      <c r="B1" s="268"/>
      <c r="C1" s="268"/>
      <c r="D1" s="268"/>
      <c r="E1" s="268"/>
      <c r="F1" s="268"/>
    </row>
    <row r="2" spans="1:6" ht="25.9" customHeight="1">
      <c r="A2" s="232">
        <f ca="1">TODAY()</f>
        <v>46314</v>
      </c>
      <c r="B2" s="269" t="s">
        <v>274</v>
      </c>
      <c r="C2" s="269"/>
      <c r="D2" s="269"/>
      <c r="E2" s="269"/>
      <c r="F2" s="270"/>
    </row>
    <row r="3" spans="1:6" ht="40.15" customHeight="1">
      <c r="A3" s="233" t="str">
        <f>'스위트조이 피벗'!A2</f>
        <v>10/20 납품</v>
      </c>
      <c r="B3" s="234" t="s">
        <v>13</v>
      </c>
      <c r="C3" s="238" t="s">
        <v>275</v>
      </c>
      <c r="D3" s="236" t="s">
        <v>2</v>
      </c>
      <c r="E3" s="234" t="s">
        <v>23</v>
      </c>
      <c r="F3" s="237" t="s">
        <v>14</v>
      </c>
    </row>
    <row r="4" spans="1:6" ht="25.35" customHeight="1">
      <c r="A4" s="213" t="s">
        <v>255</v>
      </c>
      <c r="B4" s="224">
        <v>24</v>
      </c>
      <c r="C4" s="225">
        <f>IFERROR(VLOOKUP(A4,'스위트조이 피벗'!A:TC,5,FALSE),0)</f>
        <v>0</v>
      </c>
      <c r="D4" s="225">
        <f t="shared" ref="D4:D12" si="0">IFERROR(ROUNDDOWN(C4/B4,0),"")</f>
        <v>0</v>
      </c>
      <c r="E4" s="215" t="s">
        <v>265</v>
      </c>
      <c r="F4" s="228">
        <f t="shared" ref="F4:F12" si="1">IFERROR(C4-(D4*B4),"")</f>
        <v>0</v>
      </c>
    </row>
    <row r="5" spans="1:6" ht="25.35" customHeight="1">
      <c r="A5" s="213" t="s">
        <v>256</v>
      </c>
      <c r="B5" s="224">
        <f>$B$4</f>
        <v>24</v>
      </c>
      <c r="C5" s="225">
        <f>IFERROR(VLOOKUP(A5,'스위트조이 피벗'!A:TC,5,FALSE),0)</f>
        <v>0</v>
      </c>
      <c r="D5" s="225">
        <f t="shared" si="0"/>
        <v>0</v>
      </c>
      <c r="E5" s="215" t="s">
        <v>238</v>
      </c>
      <c r="F5" s="228">
        <f t="shared" si="1"/>
        <v>0</v>
      </c>
    </row>
    <row r="6" spans="1:6" ht="25.35" customHeight="1">
      <c r="A6" s="216" t="s">
        <v>257</v>
      </c>
      <c r="B6" s="224">
        <f t="shared" ref="B6:B12" si="2">$B$4</f>
        <v>24</v>
      </c>
      <c r="C6" s="225">
        <f>IFERROR(VLOOKUP(A6,'스위트조이 피벗'!A:TC,5,FALSE),0)</f>
        <v>0</v>
      </c>
      <c r="D6" s="225">
        <f t="shared" si="0"/>
        <v>0</v>
      </c>
      <c r="E6" s="215" t="s">
        <v>266</v>
      </c>
      <c r="F6" s="228">
        <f t="shared" si="1"/>
        <v>0</v>
      </c>
    </row>
    <row r="7" spans="1:6" ht="25.35" customHeight="1">
      <c r="A7" s="216" t="s">
        <v>258</v>
      </c>
      <c r="B7" s="224">
        <f t="shared" si="2"/>
        <v>24</v>
      </c>
      <c r="C7" s="225">
        <f>IFERROR(VLOOKUP(A7,'스위트조이 피벗'!A:TC,5,FALSE),0)</f>
        <v>0</v>
      </c>
      <c r="D7" s="225">
        <f t="shared" si="0"/>
        <v>0</v>
      </c>
      <c r="E7" s="215" t="s">
        <v>267</v>
      </c>
      <c r="F7" s="228">
        <f t="shared" si="1"/>
        <v>0</v>
      </c>
    </row>
    <row r="8" spans="1:6" ht="25.35" customHeight="1">
      <c r="A8" s="216" t="s">
        <v>254</v>
      </c>
      <c r="B8" s="224">
        <f t="shared" si="2"/>
        <v>24</v>
      </c>
      <c r="C8" s="225">
        <f>IFERROR(VLOOKUP(A8,'스위트조이 피벗'!A:TC,5,FALSE),0)</f>
        <v>0</v>
      </c>
      <c r="D8" s="225">
        <f t="shared" si="0"/>
        <v>0</v>
      </c>
      <c r="E8" s="215" t="s">
        <v>268</v>
      </c>
      <c r="F8" s="228">
        <f t="shared" si="1"/>
        <v>0</v>
      </c>
    </row>
    <row r="9" spans="1:6" ht="25.35" customHeight="1">
      <c r="A9" s="216" t="s">
        <v>249</v>
      </c>
      <c r="B9" s="224">
        <f t="shared" si="2"/>
        <v>24</v>
      </c>
      <c r="C9" s="225">
        <f>IFERROR(VLOOKUP(A9,'스위트조이 피벗'!A:TC,5,FALSE),0)</f>
        <v>0</v>
      </c>
      <c r="D9" s="225">
        <f t="shared" si="0"/>
        <v>0</v>
      </c>
      <c r="E9" s="215" t="s">
        <v>269</v>
      </c>
      <c r="F9" s="228">
        <f t="shared" si="1"/>
        <v>0</v>
      </c>
    </row>
    <row r="10" spans="1:6" ht="25.35" customHeight="1">
      <c r="A10" s="216" t="s">
        <v>252</v>
      </c>
      <c r="B10" s="224">
        <f t="shared" si="2"/>
        <v>24</v>
      </c>
      <c r="C10" s="225">
        <f>IFERROR(VLOOKUP(A10,'스위트조이 피벗'!A:TC,5,FALSE),0)</f>
        <v>0</v>
      </c>
      <c r="D10" s="225">
        <f t="shared" si="0"/>
        <v>0</v>
      </c>
      <c r="E10" s="215" t="s">
        <v>270</v>
      </c>
      <c r="F10" s="228">
        <f t="shared" si="1"/>
        <v>0</v>
      </c>
    </row>
    <row r="11" spans="1:6" ht="25.35" customHeight="1">
      <c r="A11" s="216" t="s">
        <v>251</v>
      </c>
      <c r="B11" s="224">
        <f t="shared" si="2"/>
        <v>24</v>
      </c>
      <c r="C11" s="225">
        <f>IFERROR(VLOOKUP(A11,'스위트조이 피벗'!A:TC,5,FALSE),0)</f>
        <v>0</v>
      </c>
      <c r="D11" s="225">
        <f t="shared" si="0"/>
        <v>0</v>
      </c>
      <c r="E11" s="215" t="s">
        <v>240</v>
      </c>
      <c r="F11" s="228">
        <f t="shared" si="1"/>
        <v>0</v>
      </c>
    </row>
    <row r="12" spans="1:6" ht="25.35" customHeight="1">
      <c r="A12" s="216" t="s">
        <v>253</v>
      </c>
      <c r="B12" s="224">
        <f t="shared" si="2"/>
        <v>24</v>
      </c>
      <c r="C12" s="225">
        <f>IFERROR(VLOOKUP(A12,'스위트조이 피벗'!A:TC,5,FALSE),0)</f>
        <v>0</v>
      </c>
      <c r="D12" s="225">
        <f t="shared" si="0"/>
        <v>0</v>
      </c>
      <c r="E12" s="215" t="s">
        <v>108</v>
      </c>
      <c r="F12" s="228">
        <f t="shared" si="1"/>
        <v>0</v>
      </c>
    </row>
    <row r="13" spans="1:6" ht="4.5" customHeight="1">
      <c r="A13" s="271"/>
      <c r="B13" s="272"/>
      <c r="C13" s="272"/>
      <c r="D13" s="272"/>
      <c r="E13" s="272"/>
      <c r="F13" s="273"/>
    </row>
    <row r="14" spans="1:6" ht="32.450000000000003" customHeight="1">
      <c r="A14" s="222" t="s">
        <v>122</v>
      </c>
      <c r="B14" s="226">
        <f>$B$4</f>
        <v>24</v>
      </c>
      <c r="C14" s="208">
        <f>SUM(C4:C12)</f>
        <v>0</v>
      </c>
      <c r="D14" s="54">
        <f>IFERROR(ROUNDDOWN(C14/B14,0),"")</f>
        <v>0</v>
      </c>
      <c r="E14" s="223"/>
      <c r="F14" s="121">
        <f>IFERROR(C14-(D14*B14),"")</f>
        <v>0</v>
      </c>
    </row>
    <row r="15" spans="1:6" ht="4.5" customHeight="1">
      <c r="A15" s="219"/>
      <c r="B15" s="214"/>
      <c r="C15" s="214"/>
      <c r="D15" s="214"/>
      <c r="E15" s="214"/>
      <c r="F15" s="220"/>
    </row>
    <row r="16" spans="1:6" ht="25.35" customHeight="1">
      <c r="A16" s="216" t="s">
        <v>259</v>
      </c>
      <c r="B16" s="224">
        <f t="shared" ref="B16:B17" si="3">$B$4</f>
        <v>24</v>
      </c>
      <c r="C16" s="225">
        <f>IFERROR(VLOOKUP(A16,'스위트조이 피벗'!A:TC,5,FALSE),0)</f>
        <v>0</v>
      </c>
      <c r="D16" s="225">
        <f>IFERROR(ROUNDDOWN(C16/B16,0),"")</f>
        <v>0</v>
      </c>
      <c r="E16" s="215" t="s">
        <v>237</v>
      </c>
      <c r="F16" s="228">
        <f>IFERROR(C16-(D16*B16),"")</f>
        <v>0</v>
      </c>
    </row>
    <row r="17" spans="1:6" ht="25.35" customHeight="1">
      <c r="A17" s="216" t="s">
        <v>250</v>
      </c>
      <c r="B17" s="224">
        <f t="shared" si="3"/>
        <v>24</v>
      </c>
      <c r="C17" s="225">
        <f>IFERROR(VLOOKUP(A17,'스위트조이 피벗'!A:TC,5,FALSE),0)</f>
        <v>0</v>
      </c>
      <c r="D17" s="225">
        <f>IFERROR(ROUNDDOWN(C17/B17,0),"")</f>
        <v>0</v>
      </c>
      <c r="E17" s="215" t="s">
        <v>236</v>
      </c>
      <c r="F17" s="228">
        <f>IFERROR(C17-(D17*B17),"")</f>
        <v>0</v>
      </c>
    </row>
    <row r="18" spans="1:6" ht="4.5" customHeight="1">
      <c r="A18" s="271"/>
      <c r="B18" s="272"/>
      <c r="C18" s="272"/>
      <c r="D18" s="272"/>
      <c r="E18" s="272"/>
      <c r="F18" s="273"/>
    </row>
    <row r="19" spans="1:6" ht="32.450000000000003" customHeight="1">
      <c r="A19" s="222" t="s">
        <v>244</v>
      </c>
      <c r="B19" s="226">
        <f>$B$4</f>
        <v>24</v>
      </c>
      <c r="C19" s="208">
        <f>SUM(C16:C17)</f>
        <v>0</v>
      </c>
      <c r="D19" s="54">
        <f>IFERROR(ROUNDDOWN(C19/B19,0),"")</f>
        <v>0</v>
      </c>
      <c r="E19" s="223"/>
      <c r="F19" s="121">
        <f>IFERROR(C19-(D19*B19),"")</f>
        <v>0</v>
      </c>
    </row>
    <row r="20" spans="1:6" ht="4.5" customHeight="1">
      <c r="A20" s="271"/>
      <c r="B20" s="272"/>
      <c r="C20" s="272"/>
      <c r="D20" s="272"/>
      <c r="E20" s="272"/>
      <c r="F20" s="273"/>
    </row>
    <row r="21" spans="1:6" ht="25.35" customHeight="1">
      <c r="A21" s="216" t="s">
        <v>260</v>
      </c>
      <c r="B21" s="224">
        <f t="shared" ref="B21:B22" si="4">$B$4</f>
        <v>24</v>
      </c>
      <c r="C21" s="225">
        <f>IFERROR(VLOOKUP(A21,'스위트조이 피벗'!A:TC,5,FALSE),0)</f>
        <v>0</v>
      </c>
      <c r="D21" s="225">
        <f t="shared" ref="D21:D22" si="5">IFERROR(ROUNDDOWN(C21/B21,0),"")</f>
        <v>0</v>
      </c>
      <c r="E21" s="215" t="s">
        <v>235</v>
      </c>
      <c r="F21" s="228">
        <f t="shared" ref="F21:F22" si="6">IFERROR(C21-(D21*B21),"")</f>
        <v>0</v>
      </c>
    </row>
    <row r="22" spans="1:6" ht="25.35" customHeight="1">
      <c r="A22" s="216" t="s">
        <v>261</v>
      </c>
      <c r="B22" s="224">
        <f t="shared" si="4"/>
        <v>24</v>
      </c>
      <c r="C22" s="225">
        <f>IFERROR(VLOOKUP(A22,'스위트조이 피벗'!A:TC,5,FALSE),0)</f>
        <v>0</v>
      </c>
      <c r="D22" s="225">
        <f t="shared" si="5"/>
        <v>0</v>
      </c>
      <c r="E22" s="215" t="s">
        <v>271</v>
      </c>
      <c r="F22" s="228">
        <f t="shared" si="6"/>
        <v>0</v>
      </c>
    </row>
    <row r="23" spans="1:6" ht="4.5" customHeight="1">
      <c r="A23" s="271"/>
      <c r="B23" s="272"/>
      <c r="C23" s="272"/>
      <c r="D23" s="272"/>
      <c r="E23" s="272"/>
      <c r="F23" s="273"/>
    </row>
    <row r="24" spans="1:6" ht="32.450000000000003" customHeight="1">
      <c r="A24" s="222" t="s">
        <v>243</v>
      </c>
      <c r="B24" s="226">
        <f>$B$4</f>
        <v>24</v>
      </c>
      <c r="C24" s="208">
        <f>SUM(C21:C22)</f>
        <v>0</v>
      </c>
      <c r="D24" s="54">
        <f>IFERROR(ROUNDDOWN(C24/B24,0),"")</f>
        <v>0</v>
      </c>
      <c r="E24" s="223"/>
      <c r="F24" s="121">
        <f>IFERROR(C24-(D24*B24),"")</f>
        <v>0</v>
      </c>
    </row>
    <row r="25" spans="1:6" ht="4.5" customHeight="1">
      <c r="A25" s="219"/>
      <c r="B25" s="214"/>
      <c r="C25" s="214"/>
      <c r="D25" s="214"/>
      <c r="E25" s="214"/>
      <c r="F25" s="220"/>
    </row>
    <row r="26" spans="1:6" ht="25.35" customHeight="1">
      <c r="A26" s="216" t="s">
        <v>248</v>
      </c>
      <c r="B26" s="224">
        <f t="shared" ref="B26:B28" si="7">$B$4</f>
        <v>24</v>
      </c>
      <c r="C26" s="225">
        <f>IFERROR(VLOOKUP(A26,'스위트조이 피벗'!A:TC,5,FALSE),0)</f>
        <v>0</v>
      </c>
      <c r="D26" s="225">
        <f>IFERROR(ROUNDDOWN(C26/B26,0),"")</f>
        <v>0</v>
      </c>
      <c r="E26" s="215" t="s">
        <v>239</v>
      </c>
      <c r="F26" s="228">
        <f>IFERROR(C26-(D26*B26),"")</f>
        <v>0</v>
      </c>
    </row>
    <row r="27" spans="1:6" ht="25.35" customHeight="1">
      <c r="A27" s="216" t="s">
        <v>262</v>
      </c>
      <c r="B27" s="224">
        <f t="shared" si="7"/>
        <v>24</v>
      </c>
      <c r="C27" s="225">
        <f>IFERROR(VLOOKUP(A27,'스위트조이 피벗'!A:TC,5,FALSE),0)</f>
        <v>0</v>
      </c>
      <c r="D27" s="225">
        <f t="shared" ref="D27:D28" si="8">IFERROR(ROUNDDOWN(C27/B27,0),"")</f>
        <v>0</v>
      </c>
      <c r="E27" s="215" t="s">
        <v>272</v>
      </c>
      <c r="F27" s="228">
        <f t="shared" ref="F27:F28" si="9">IFERROR(C27-(D27*B27),"")</f>
        <v>0</v>
      </c>
    </row>
    <row r="28" spans="1:6" ht="25.35" customHeight="1">
      <c r="A28" s="216" t="s">
        <v>263</v>
      </c>
      <c r="B28" s="224">
        <f t="shared" si="7"/>
        <v>24</v>
      </c>
      <c r="C28" s="225">
        <f>IFERROR(VLOOKUP(A28,'스위트조이 피벗'!A:TC,5,FALSE),0)</f>
        <v>0</v>
      </c>
      <c r="D28" s="225">
        <f t="shared" si="8"/>
        <v>0</v>
      </c>
      <c r="E28" s="215" t="s">
        <v>234</v>
      </c>
      <c r="F28" s="228">
        <f t="shared" si="9"/>
        <v>0</v>
      </c>
    </row>
    <row r="29" spans="1:6" ht="4.5" customHeight="1">
      <c r="A29" s="265"/>
      <c r="B29" s="266"/>
      <c r="C29" s="266"/>
      <c r="D29" s="266"/>
      <c r="E29" s="266"/>
      <c r="F29" s="267"/>
    </row>
    <row r="30" spans="1:6" ht="32.450000000000003" customHeight="1">
      <c r="A30" s="207" t="s">
        <v>242</v>
      </c>
      <c r="B30" s="226">
        <f>$B$4</f>
        <v>24</v>
      </c>
      <c r="C30" s="208">
        <f>SUM(C26:C28)</f>
        <v>0</v>
      </c>
      <c r="D30" s="54">
        <f>IFERROR(ROUNDDOWN(C30/B30,0),"")</f>
        <v>0</v>
      </c>
      <c r="E30" s="36"/>
      <c r="F30" s="121">
        <f>IFERROR(C30-(D30*B30),"")</f>
        <v>0</v>
      </c>
    </row>
    <row r="31" spans="1:6" ht="4.5" customHeight="1">
      <c r="A31" s="181"/>
      <c r="B31" s="50"/>
      <c r="C31" s="50"/>
      <c r="D31" s="50"/>
      <c r="E31" s="50"/>
      <c r="F31" s="182"/>
    </row>
    <row r="32" spans="1:6" ht="26.25" customHeight="1">
      <c r="A32" s="216" t="s">
        <v>273</v>
      </c>
      <c r="B32" s="214">
        <v>24</v>
      </c>
      <c r="C32" s="20">
        <f>IFERROR(VLOOKUP(A32,'스위트조이 피벗'!A:TC,5,FALSE),0)</f>
        <v>0</v>
      </c>
      <c r="D32" s="20">
        <f t="shared" ref="D32" si="10">IFERROR(ROUNDDOWN(C32/B32,0),"")</f>
        <v>0</v>
      </c>
      <c r="E32" s="231" t="s">
        <v>241</v>
      </c>
      <c r="F32" s="26">
        <f t="shared" ref="F32" si="11">IFERROR(C32-(D32*B32),"")</f>
        <v>0</v>
      </c>
    </row>
    <row r="33" spans="1:6" ht="3.75" customHeight="1">
      <c r="A33" s="181"/>
      <c r="B33" s="50"/>
      <c r="C33" s="50"/>
      <c r="D33" s="50"/>
      <c r="E33" s="50"/>
      <c r="F33" s="182"/>
    </row>
    <row r="34" spans="1:6" ht="26.25">
      <c r="A34" s="87" t="s">
        <v>3</v>
      </c>
      <c r="B34" s="227">
        <f>$B$4</f>
        <v>24</v>
      </c>
      <c r="C34" s="55">
        <f>SUM(C4:C12,C26:C28,C21:C22,C16:C17,C32)</f>
        <v>0</v>
      </c>
      <c r="D34" s="54">
        <f>IFERROR(ROUNDDOWN(C34/B34,0),"")</f>
        <v>0</v>
      </c>
      <c r="E34" s="56"/>
      <c r="F34" s="121">
        <f>IFERROR(C34-(D34*B34),"")</f>
        <v>0</v>
      </c>
    </row>
    <row r="35" spans="1:6" ht="27" thickBot="1">
      <c r="A35" s="42" t="s">
        <v>245</v>
      </c>
      <c r="B35" s="43" t="s">
        <v>173</v>
      </c>
      <c r="C35" s="40"/>
      <c r="D35" s="41">
        <f>SUM(D4:D12,D26:D28,D21:D22,D16:D17,D32)</f>
        <v>0</v>
      </c>
      <c r="E35" s="48"/>
      <c r="F35" s="93">
        <f>SUM(F4:F12,F26:F28,F21:F22,F16:F17,F32)</f>
        <v>0</v>
      </c>
    </row>
    <row r="36" spans="1:6" ht="22.5" customHeight="1">
      <c r="C36" s="77">
        <f>C14+C19+C24+C30</f>
        <v>0</v>
      </c>
    </row>
    <row r="37" spans="1:6">
      <c r="C37" s="34" t="b">
        <f>C36=C34</f>
        <v>1</v>
      </c>
    </row>
  </sheetData>
  <mergeCells count="7">
    <mergeCell ref="A29:F29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64A6-5750-4455-80BE-6C14E3672F43}">
  <sheetPr>
    <tabColor theme="9" tint="0.79998168889431442"/>
  </sheetPr>
  <dimension ref="A1:SQ14"/>
  <sheetViews>
    <sheetView zoomScale="55" zoomScaleNormal="55" zoomScaleSheetLayoutView="75" workbookViewId="0">
      <selection activeCell="B44" sqref="B44"/>
    </sheetView>
  </sheetViews>
  <sheetFormatPr defaultColWidth="9" defaultRowHeight="15" customHeight="1"/>
  <cols>
    <col min="1" max="21" width="37.625" style="34" customWidth="1"/>
    <col min="22" max="22" width="22.25" style="34" bestFit="1" customWidth="1"/>
    <col min="23" max="25" width="18.375" style="34" customWidth="1"/>
    <col min="26" max="26" width="27.625" style="34" bestFit="1" customWidth="1"/>
    <col min="27" max="28" width="18.375" style="34" customWidth="1"/>
    <col min="29" max="29" width="27.625" style="34" bestFit="1" customWidth="1"/>
    <col min="30" max="30" width="18.375" style="34" customWidth="1"/>
    <col min="31" max="31" width="25.375" style="34" bestFit="1" customWidth="1"/>
    <col min="32" max="32" width="21" style="34" bestFit="1" customWidth="1"/>
    <col min="33" max="33" width="27.625" style="34" bestFit="1" customWidth="1"/>
    <col min="34" max="34" width="18.375" style="34" customWidth="1"/>
    <col min="35" max="35" width="27.625" style="34" bestFit="1" customWidth="1"/>
    <col min="36" max="389" width="30.375" style="34" customWidth="1"/>
    <col min="390" max="391" width="21.25" style="34" customWidth="1"/>
    <col min="392" max="407" width="20.5" style="34" customWidth="1"/>
    <col min="408" max="408" width="21" style="34" bestFit="1" customWidth="1"/>
    <col min="409" max="409" width="25.125" style="34" bestFit="1" customWidth="1"/>
    <col min="410" max="410" width="23" style="34" bestFit="1" customWidth="1"/>
    <col min="411" max="411" width="33.375" style="34" bestFit="1" customWidth="1"/>
    <col min="412" max="412" width="25.125" style="34" bestFit="1" customWidth="1"/>
    <col min="413" max="413" width="28.875" style="34" bestFit="1" customWidth="1"/>
    <col min="414" max="414" width="23" style="34" bestFit="1" customWidth="1"/>
    <col min="415" max="415" width="18.875" style="34" customWidth="1"/>
    <col min="416" max="416" width="23" style="34" bestFit="1" customWidth="1"/>
    <col min="417" max="417" width="25.125" style="34" bestFit="1" customWidth="1"/>
    <col min="418" max="418" width="18.875" style="34" customWidth="1"/>
    <col min="419" max="419" width="19.125" style="34" customWidth="1"/>
    <col min="420" max="420" width="18.125" style="34" customWidth="1"/>
    <col min="421" max="421" width="18.875" style="34" customWidth="1"/>
    <col min="422" max="422" width="26.625" style="34" customWidth="1"/>
    <col min="423" max="423" width="22.125" style="34" customWidth="1"/>
    <col min="424" max="424" width="24.125" style="34" customWidth="1"/>
    <col min="425" max="425" width="21.375" style="34" customWidth="1"/>
    <col min="426" max="426" width="19.375" style="34" customWidth="1"/>
    <col min="427" max="427" width="20" style="34" customWidth="1"/>
    <col min="428" max="428" width="23.25" style="34" customWidth="1"/>
    <col min="429" max="429" width="18" style="34" customWidth="1"/>
    <col min="430" max="460" width="19" style="34" customWidth="1"/>
    <col min="461" max="465" width="20.25" style="34" customWidth="1"/>
    <col min="466" max="466" width="17.25" style="34" customWidth="1"/>
    <col min="467" max="467" width="17.75" style="34" customWidth="1"/>
    <col min="468" max="468" width="16.5" style="34" customWidth="1"/>
    <col min="469" max="471" width="21" style="34" customWidth="1"/>
    <col min="472" max="472" width="18.5" style="34" customWidth="1"/>
    <col min="473" max="477" width="21" style="34" customWidth="1"/>
    <col min="478" max="478" width="15.125" style="34" customWidth="1"/>
    <col min="479" max="494" width="21" style="34" customWidth="1"/>
    <col min="495" max="495" width="24.25" style="34" customWidth="1"/>
    <col min="496" max="496" width="18.875" style="34" bestFit="1" customWidth="1"/>
    <col min="497" max="497" width="21" style="34" bestFit="1" customWidth="1"/>
    <col min="498" max="498" width="23" style="38" bestFit="1" customWidth="1"/>
    <col min="499" max="499" width="8.625" style="38" bestFit="1" customWidth="1"/>
    <col min="500" max="500" width="21" style="38" bestFit="1" customWidth="1"/>
    <col min="501" max="501" width="23" style="38" bestFit="1" customWidth="1"/>
    <col min="502" max="502" width="8.625" style="38" bestFit="1" customWidth="1"/>
    <col min="503" max="503" width="22.875" style="34" customWidth="1"/>
    <col min="504" max="510" width="20.875" style="38" customWidth="1"/>
    <col min="511" max="511" width="23.25" style="38" customWidth="1"/>
    <col min="512" max="16384" width="9" style="34"/>
  </cols>
  <sheetData>
    <row r="1" spans="1:503" s="38" customFormat="1" ht="26.25" customHeight="1">
      <c r="A1" s="229" t="s">
        <v>284</v>
      </c>
      <c r="B1" s="229" t="s">
        <v>285</v>
      </c>
      <c r="C1" s="229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2"/>
      <c r="AK1" s="2"/>
      <c r="AL1" s="2"/>
      <c r="AM1" s="2"/>
      <c r="AN1" s="2"/>
      <c r="AO1" s="2"/>
      <c r="AP1" s="2"/>
      <c r="AQ1" s="2"/>
      <c r="AR1" s="29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32"/>
      <c r="MH1" s="23"/>
      <c r="MI1" s="23"/>
      <c r="MJ1" s="23"/>
      <c r="MK1" s="23"/>
      <c r="ML1" s="32"/>
      <c r="MM1" s="32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32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32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32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</row>
    <row r="2" spans="1:503" s="38" customFormat="1" ht="26.25" customHeight="1">
      <c r="A2" s="250" t="s">
        <v>286</v>
      </c>
      <c r="B2" s="230" t="s">
        <v>281</v>
      </c>
      <c r="C2" s="230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</row>
    <row r="3" spans="1:503" s="38" customFormat="1" ht="26.25" customHeight="1">
      <c r="A3" s="221" t="s">
        <v>257</v>
      </c>
      <c r="B3" s="221"/>
      <c r="C3" s="221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</row>
    <row r="4" spans="1:503" s="38" customFormat="1" ht="26.25" customHeight="1">
      <c r="A4" s="221" t="s">
        <v>3</v>
      </c>
      <c r="B4" s="221"/>
      <c r="C4" s="221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</row>
    <row r="5" spans="1:503" s="38" customFormat="1" ht="26.25" customHeight="1">
      <c r="A5" s="221"/>
      <c r="B5" s="221"/>
      <c r="C5" s="221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OR5" s="64"/>
      <c r="OU5" s="63"/>
    </row>
    <row r="6" spans="1:503" ht="26.25" customHeight="1">
      <c r="A6" s="221"/>
      <c r="B6" s="249"/>
      <c r="C6" s="221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K6" s="39"/>
    </row>
    <row r="7" spans="1:503" ht="20.25">
      <c r="A7" s="221"/>
      <c r="B7" s="221"/>
      <c r="C7" s="221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</row>
    <row r="8" spans="1:503" ht="20.25">
      <c r="A8" s="221"/>
      <c r="B8" s="221"/>
      <c r="C8" s="221"/>
    </row>
    <row r="9" spans="1:503" ht="20.25">
      <c r="A9" s="221"/>
      <c r="B9" s="221"/>
      <c r="C9" s="221"/>
    </row>
    <row r="10" spans="1:503" ht="20.25">
      <c r="A10" s="221"/>
      <c r="B10" s="221"/>
      <c r="C10" s="221"/>
    </row>
    <row r="11" spans="1:503" ht="20.25">
      <c r="A11" s="221"/>
      <c r="B11" s="221"/>
      <c r="C11" s="221"/>
    </row>
    <row r="12" spans="1:503" ht="20.25">
      <c r="A12" s="221"/>
      <c r="B12" s="249"/>
      <c r="C12" s="221"/>
    </row>
    <row r="13" spans="1:503" ht="20.25">
      <c r="A13" s="221"/>
      <c r="B13" s="221"/>
      <c r="C13" s="221"/>
    </row>
    <row r="14" spans="1:503" ht="20.25">
      <c r="A14" s="221"/>
      <c r="B14" s="221"/>
      <c r="C14" s="221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7B5E-9641-479F-8FFF-FE614A7C157B}">
  <sheetPr>
    <tabColor theme="9" tint="0.79998168889431442"/>
    <pageSetUpPr fitToPage="1"/>
  </sheetPr>
  <dimension ref="A1:F37"/>
  <sheetViews>
    <sheetView zoomScale="55" zoomScaleNormal="55" zoomScaleSheetLayoutView="75" workbookViewId="0">
      <selection activeCell="A2" sqref="A2:F35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9" style="34"/>
    <col min="8" max="8" width="10.625" style="34" customWidth="1"/>
    <col min="9" max="11" width="9" style="34"/>
    <col min="12" max="12" width="36.5" style="34" bestFit="1" customWidth="1"/>
    <col min="13" max="16384" width="9" style="34"/>
  </cols>
  <sheetData>
    <row r="1" spans="1:6" ht="25.9" customHeight="1" thickBot="1">
      <c r="A1" s="268"/>
      <c r="B1" s="268"/>
      <c r="C1" s="268"/>
      <c r="D1" s="268"/>
      <c r="E1" s="268"/>
      <c r="F1" s="268"/>
    </row>
    <row r="2" spans="1:6" ht="25.9" customHeight="1">
      <c r="A2" s="232">
        <f ca="1">TODAY()</f>
        <v>46314</v>
      </c>
      <c r="B2" s="269" t="s">
        <v>279</v>
      </c>
      <c r="C2" s="269"/>
      <c r="D2" s="269"/>
      <c r="E2" s="269"/>
      <c r="F2" s="270"/>
    </row>
    <row r="3" spans="1:6" ht="40.5" customHeight="1">
      <c r="A3" s="233" t="str">
        <f>브라더스팩토리!A2</f>
        <v>10/17 납품</v>
      </c>
      <c r="B3" s="234" t="s">
        <v>280</v>
      </c>
      <c r="C3" s="235" t="s">
        <v>282</v>
      </c>
      <c r="D3" s="236" t="s">
        <v>2</v>
      </c>
      <c r="E3" s="234" t="s">
        <v>23</v>
      </c>
      <c r="F3" s="237" t="s">
        <v>14</v>
      </c>
    </row>
    <row r="4" spans="1:6" ht="25.35" customHeight="1">
      <c r="A4" s="213" t="s">
        <v>255</v>
      </c>
      <c r="B4" s="224">
        <v>6</v>
      </c>
      <c r="C4" s="225">
        <f>IFERROR(VLOOKUP(A4,브라더스팩토리!A:SE,2,FALSE),0)</f>
        <v>0</v>
      </c>
      <c r="D4" s="225">
        <f t="shared" ref="D4:D12" si="0">IFERROR(ROUNDDOWN(C4/B4,0),"")</f>
        <v>0</v>
      </c>
      <c r="E4" s="215" t="s">
        <v>265</v>
      </c>
      <c r="F4" s="228">
        <f t="shared" ref="F4:F12" si="1">IFERROR(C4-(D4*B4),"")</f>
        <v>0</v>
      </c>
    </row>
    <row r="5" spans="1:6" ht="25.35" customHeight="1">
      <c r="A5" s="213" t="s">
        <v>256</v>
      </c>
      <c r="B5" s="224">
        <f>$B$4</f>
        <v>6</v>
      </c>
      <c r="C5" s="225">
        <f>IFERROR(VLOOKUP(A5,브라더스팩토리!A:SE,2,FALSE),0)</f>
        <v>0</v>
      </c>
      <c r="D5" s="225">
        <f t="shared" si="0"/>
        <v>0</v>
      </c>
      <c r="E5" s="215" t="s">
        <v>238</v>
      </c>
      <c r="F5" s="228">
        <f t="shared" si="1"/>
        <v>0</v>
      </c>
    </row>
    <row r="6" spans="1:6" ht="25.35" customHeight="1">
      <c r="A6" s="216" t="s">
        <v>257</v>
      </c>
      <c r="B6" s="224">
        <f t="shared" ref="B6:B12" si="2">$B$4</f>
        <v>6</v>
      </c>
      <c r="C6" s="225">
        <f>IFERROR(VLOOKUP(A6,브라더스팩토리!A:SE,2,FALSE),0)</f>
        <v>0</v>
      </c>
      <c r="D6" s="225">
        <f t="shared" si="0"/>
        <v>0</v>
      </c>
      <c r="E6" s="215" t="s">
        <v>266</v>
      </c>
      <c r="F6" s="228">
        <f t="shared" si="1"/>
        <v>0</v>
      </c>
    </row>
    <row r="7" spans="1:6" ht="25.35" customHeight="1">
      <c r="A7" s="216" t="s">
        <v>258</v>
      </c>
      <c r="B7" s="224">
        <f t="shared" si="2"/>
        <v>6</v>
      </c>
      <c r="C7" s="225">
        <f>IFERROR(VLOOKUP(A7,브라더스팩토리!A:SE,2,FALSE),0)</f>
        <v>0</v>
      </c>
      <c r="D7" s="225">
        <f t="shared" si="0"/>
        <v>0</v>
      </c>
      <c r="E7" s="215" t="s">
        <v>267</v>
      </c>
      <c r="F7" s="228">
        <f t="shared" si="1"/>
        <v>0</v>
      </c>
    </row>
    <row r="8" spans="1:6" ht="25.35" customHeight="1">
      <c r="A8" s="216" t="s">
        <v>254</v>
      </c>
      <c r="B8" s="224">
        <f t="shared" si="2"/>
        <v>6</v>
      </c>
      <c r="C8" s="225">
        <f>IFERROR(VLOOKUP(A8,브라더스팩토리!A:SE,2,FALSE),0)</f>
        <v>0</v>
      </c>
      <c r="D8" s="225">
        <f t="shared" si="0"/>
        <v>0</v>
      </c>
      <c r="E8" s="215" t="s">
        <v>268</v>
      </c>
      <c r="F8" s="228">
        <f t="shared" si="1"/>
        <v>0</v>
      </c>
    </row>
    <row r="9" spans="1:6" ht="25.35" customHeight="1">
      <c r="A9" s="216" t="s">
        <v>249</v>
      </c>
      <c r="B9" s="224">
        <f t="shared" si="2"/>
        <v>6</v>
      </c>
      <c r="C9" s="225">
        <f>IFERROR(VLOOKUP(A9,브라더스팩토리!A:SE,2,FALSE),0)</f>
        <v>0</v>
      </c>
      <c r="D9" s="225">
        <f t="shared" si="0"/>
        <v>0</v>
      </c>
      <c r="E9" s="215" t="s">
        <v>269</v>
      </c>
      <c r="F9" s="228">
        <f t="shared" si="1"/>
        <v>0</v>
      </c>
    </row>
    <row r="10" spans="1:6" ht="25.35" customHeight="1">
      <c r="A10" s="216" t="s">
        <v>252</v>
      </c>
      <c r="B10" s="224">
        <f t="shared" si="2"/>
        <v>6</v>
      </c>
      <c r="C10" s="225">
        <f>IFERROR(VLOOKUP(A10,브라더스팩토리!A:SE,2,FALSE),0)</f>
        <v>0</v>
      </c>
      <c r="D10" s="225">
        <f t="shared" si="0"/>
        <v>0</v>
      </c>
      <c r="E10" s="215" t="s">
        <v>270</v>
      </c>
      <c r="F10" s="228">
        <f t="shared" si="1"/>
        <v>0</v>
      </c>
    </row>
    <row r="11" spans="1:6" ht="25.35" customHeight="1">
      <c r="A11" s="216" t="s">
        <v>251</v>
      </c>
      <c r="B11" s="224">
        <f t="shared" si="2"/>
        <v>6</v>
      </c>
      <c r="C11" s="225">
        <f>IFERROR(VLOOKUP(A11,브라더스팩토리!A:SE,2,FALSE),0)</f>
        <v>0</v>
      </c>
      <c r="D11" s="225">
        <f t="shared" si="0"/>
        <v>0</v>
      </c>
      <c r="E11" s="215" t="s">
        <v>240</v>
      </c>
      <c r="F11" s="228">
        <f t="shared" si="1"/>
        <v>0</v>
      </c>
    </row>
    <row r="12" spans="1:6" ht="25.35" customHeight="1">
      <c r="A12" s="216" t="s">
        <v>253</v>
      </c>
      <c r="B12" s="224">
        <f t="shared" si="2"/>
        <v>6</v>
      </c>
      <c r="C12" s="225">
        <f>IFERROR(VLOOKUP(A12,브라더스팩토리!A:SE,2,FALSE),0)</f>
        <v>0</v>
      </c>
      <c r="D12" s="225">
        <f t="shared" si="0"/>
        <v>0</v>
      </c>
      <c r="E12" s="215" t="s">
        <v>108</v>
      </c>
      <c r="F12" s="228">
        <f t="shared" si="1"/>
        <v>0</v>
      </c>
    </row>
    <row r="13" spans="1:6" ht="4.5" customHeight="1">
      <c r="A13" s="271"/>
      <c r="B13" s="272"/>
      <c r="C13" s="272"/>
      <c r="D13" s="272"/>
      <c r="E13" s="272"/>
      <c r="F13" s="273"/>
    </row>
    <row r="14" spans="1:6" ht="32.450000000000003" customHeight="1">
      <c r="A14" s="217" t="s">
        <v>122</v>
      </c>
      <c r="B14" s="226">
        <f>$B$4</f>
        <v>6</v>
      </c>
      <c r="C14" s="210">
        <f>SUM(C4:C12)</f>
        <v>0</v>
      </c>
      <c r="D14" s="55">
        <f>IFERROR(ROUNDDOWN(C14/B14,0),"")</f>
        <v>0</v>
      </c>
      <c r="E14" s="218"/>
      <c r="F14" s="212">
        <f>IFERROR(C14-(D14*B14),"")</f>
        <v>0</v>
      </c>
    </row>
    <row r="15" spans="1:6" ht="4.5" customHeight="1">
      <c r="A15" s="219"/>
      <c r="B15" s="214"/>
      <c r="C15" s="214"/>
      <c r="D15" s="214"/>
      <c r="E15" s="214"/>
      <c r="F15" s="220"/>
    </row>
    <row r="16" spans="1:6" ht="25.35" customHeight="1">
      <c r="A16" s="216" t="s">
        <v>259</v>
      </c>
      <c r="B16" s="224">
        <f t="shared" ref="B16:B17" si="3">$B$4</f>
        <v>6</v>
      </c>
      <c r="C16" s="225">
        <f>IFERROR(VLOOKUP(A16,브라더스팩토리!A:SE,2,FALSE),0)</f>
        <v>0</v>
      </c>
      <c r="D16" s="225">
        <f>IFERROR(ROUNDDOWN(C16/B16,0),"")</f>
        <v>0</v>
      </c>
      <c r="E16" s="215" t="s">
        <v>237</v>
      </c>
      <c r="F16" s="228">
        <f>IFERROR(C16-(D16*B16),"")</f>
        <v>0</v>
      </c>
    </row>
    <row r="17" spans="1:6" ht="25.35" customHeight="1">
      <c r="A17" s="216" t="s">
        <v>250</v>
      </c>
      <c r="B17" s="224">
        <f t="shared" si="3"/>
        <v>6</v>
      </c>
      <c r="C17" s="225">
        <f>IFERROR(VLOOKUP(A17,브라더스팩토리!A:SE,2,FALSE),0)</f>
        <v>0</v>
      </c>
      <c r="D17" s="225">
        <f>IFERROR(ROUNDDOWN(C17/B17,0),"")</f>
        <v>0</v>
      </c>
      <c r="E17" s="215" t="s">
        <v>236</v>
      </c>
      <c r="F17" s="228">
        <f>IFERROR(C17-(D17*B17),"")</f>
        <v>0</v>
      </c>
    </row>
    <row r="18" spans="1:6" ht="4.5" customHeight="1">
      <c r="A18" s="271"/>
      <c r="B18" s="272"/>
      <c r="C18" s="272"/>
      <c r="D18" s="272"/>
      <c r="E18" s="272"/>
      <c r="F18" s="273"/>
    </row>
    <row r="19" spans="1:6" ht="32.450000000000003" customHeight="1">
      <c r="A19" s="217" t="s">
        <v>244</v>
      </c>
      <c r="B19" s="226">
        <f>$B$4</f>
        <v>6</v>
      </c>
      <c r="C19" s="210">
        <f>SUM(C16:C17)</f>
        <v>0</v>
      </c>
      <c r="D19" s="55">
        <f>IFERROR(ROUNDDOWN(C19/B19,0),"")</f>
        <v>0</v>
      </c>
      <c r="E19" s="218"/>
      <c r="F19" s="212">
        <f>IFERROR(C19-(D19*B19),"")</f>
        <v>0</v>
      </c>
    </row>
    <row r="20" spans="1:6" ht="4.5" customHeight="1">
      <c r="A20" s="271"/>
      <c r="B20" s="272"/>
      <c r="C20" s="272"/>
      <c r="D20" s="272"/>
      <c r="E20" s="272"/>
      <c r="F20" s="273"/>
    </row>
    <row r="21" spans="1:6" ht="25.35" customHeight="1">
      <c r="A21" s="216" t="s">
        <v>260</v>
      </c>
      <c r="B21" s="224">
        <f t="shared" ref="B21:B22" si="4">$B$4</f>
        <v>6</v>
      </c>
      <c r="C21" s="225">
        <f>IFERROR(VLOOKUP(A21,브라더스팩토리!A:SE,2,FALSE),0)</f>
        <v>0</v>
      </c>
      <c r="D21" s="225">
        <f t="shared" ref="D21:D22" si="5">IFERROR(ROUNDDOWN(C21/B21,0),"")</f>
        <v>0</v>
      </c>
      <c r="E21" s="215" t="s">
        <v>235</v>
      </c>
      <c r="F21" s="228">
        <f t="shared" ref="F21:F22" si="6">IFERROR(C21-(D21*B21),"")</f>
        <v>0</v>
      </c>
    </row>
    <row r="22" spans="1:6" ht="25.35" customHeight="1">
      <c r="A22" s="216" t="s">
        <v>261</v>
      </c>
      <c r="B22" s="224">
        <f t="shared" si="4"/>
        <v>6</v>
      </c>
      <c r="C22" s="225">
        <f>IFERROR(VLOOKUP(A22,브라더스팩토리!A:SE,2,FALSE),0)</f>
        <v>0</v>
      </c>
      <c r="D22" s="225">
        <f t="shared" si="5"/>
        <v>0</v>
      </c>
      <c r="E22" s="215" t="s">
        <v>271</v>
      </c>
      <c r="F22" s="228">
        <f t="shared" si="6"/>
        <v>0</v>
      </c>
    </row>
    <row r="23" spans="1:6" ht="4.5" customHeight="1">
      <c r="A23" s="271"/>
      <c r="B23" s="272"/>
      <c r="C23" s="272"/>
      <c r="D23" s="272"/>
      <c r="E23" s="272"/>
      <c r="F23" s="273"/>
    </row>
    <row r="24" spans="1:6" ht="32.450000000000003" customHeight="1">
      <c r="A24" s="217" t="s">
        <v>243</v>
      </c>
      <c r="B24" s="226">
        <f>$B$4</f>
        <v>6</v>
      </c>
      <c r="C24" s="210">
        <f>SUM(C21:C22)</f>
        <v>0</v>
      </c>
      <c r="D24" s="55">
        <f>IFERROR(ROUNDDOWN(C24/B24,0),"")</f>
        <v>0</v>
      </c>
      <c r="E24" s="218"/>
      <c r="F24" s="212">
        <f>IFERROR(C24-(D24*B24),"")</f>
        <v>0</v>
      </c>
    </row>
    <row r="25" spans="1:6" ht="4.5" customHeight="1">
      <c r="A25" s="219"/>
      <c r="B25" s="214"/>
      <c r="C25" s="214"/>
      <c r="D25" s="214"/>
      <c r="E25" s="214"/>
      <c r="F25" s="220"/>
    </row>
    <row r="26" spans="1:6" ht="25.35" customHeight="1">
      <c r="A26" s="216" t="s">
        <v>248</v>
      </c>
      <c r="B26" s="224">
        <f t="shared" ref="B26:B28" si="7">$B$4</f>
        <v>6</v>
      </c>
      <c r="C26" s="225">
        <f>IFERROR(VLOOKUP(A26,브라더스팩토리!A:SE,2,FALSE),0)</f>
        <v>0</v>
      </c>
      <c r="D26" s="225">
        <f>IFERROR(ROUNDDOWN(C26/B26,0),"")</f>
        <v>0</v>
      </c>
      <c r="E26" s="215" t="s">
        <v>239</v>
      </c>
      <c r="F26" s="228">
        <f>IFERROR(C26-(D26*B26),"")</f>
        <v>0</v>
      </c>
    </row>
    <row r="27" spans="1:6" ht="25.35" customHeight="1">
      <c r="A27" s="216" t="s">
        <v>262</v>
      </c>
      <c r="B27" s="224">
        <f t="shared" si="7"/>
        <v>6</v>
      </c>
      <c r="C27" s="225">
        <f>IFERROR(VLOOKUP(A27,브라더스팩토리!A:SE,2,FALSE),0)</f>
        <v>0</v>
      </c>
      <c r="D27" s="225">
        <f t="shared" ref="D27:D28" si="8">IFERROR(ROUNDDOWN(C27/B27,0),"")</f>
        <v>0</v>
      </c>
      <c r="E27" s="215" t="s">
        <v>272</v>
      </c>
      <c r="F27" s="228">
        <f t="shared" ref="F27:F28" si="9">IFERROR(C27-(D27*B27),"")</f>
        <v>0</v>
      </c>
    </row>
    <row r="28" spans="1:6" ht="25.35" customHeight="1">
      <c r="A28" s="216" t="s">
        <v>263</v>
      </c>
      <c r="B28" s="224">
        <f t="shared" si="7"/>
        <v>6</v>
      </c>
      <c r="C28" s="225">
        <f>IFERROR(VLOOKUP(A28,브라더스팩토리!A:SE,2,FALSE),0)</f>
        <v>0</v>
      </c>
      <c r="D28" s="225">
        <f t="shared" si="8"/>
        <v>0</v>
      </c>
      <c r="E28" s="215" t="s">
        <v>234</v>
      </c>
      <c r="F28" s="228">
        <f t="shared" si="9"/>
        <v>0</v>
      </c>
    </row>
    <row r="29" spans="1:6" ht="4.5" customHeight="1">
      <c r="A29" s="265"/>
      <c r="B29" s="266"/>
      <c r="C29" s="266"/>
      <c r="D29" s="266"/>
      <c r="E29" s="266"/>
      <c r="F29" s="267"/>
    </row>
    <row r="30" spans="1:6" ht="32.450000000000003" customHeight="1">
      <c r="A30" s="209" t="s">
        <v>242</v>
      </c>
      <c r="B30" s="226">
        <f>$B$4</f>
        <v>6</v>
      </c>
      <c r="C30" s="210">
        <f>SUM(C26:C28)</f>
        <v>0</v>
      </c>
      <c r="D30" s="55">
        <f>IFERROR(ROUNDDOWN(C30/B30,0),"")</f>
        <v>0</v>
      </c>
      <c r="E30" s="211"/>
      <c r="F30" s="212">
        <f>IFERROR(C30-(D30*B30),"")</f>
        <v>0</v>
      </c>
    </row>
    <row r="31" spans="1:6" ht="4.5" customHeight="1">
      <c r="A31" s="181"/>
      <c r="B31" s="50"/>
      <c r="C31" s="50"/>
      <c r="D31" s="50"/>
      <c r="E31" s="50"/>
      <c r="F31" s="182"/>
    </row>
    <row r="32" spans="1:6" ht="24.75" customHeight="1">
      <c r="A32" s="240" t="s">
        <v>264</v>
      </c>
      <c r="B32" s="224">
        <v>6</v>
      </c>
      <c r="C32" s="225">
        <f>IFERROR(VLOOKUP(A32,브라더스팩토리!A:SE,2,FALSE),0)</f>
        <v>0</v>
      </c>
      <c r="D32" s="225">
        <f t="shared" ref="D32" si="10">IFERROR(ROUNDDOWN(C32/B32,0),"")</f>
        <v>0</v>
      </c>
      <c r="E32" s="51" t="s">
        <v>241</v>
      </c>
      <c r="F32" s="228">
        <f t="shared" ref="F32" si="11">IFERROR(C32-(D32*B32),"")</f>
        <v>0</v>
      </c>
    </row>
    <row r="33" spans="1:6" ht="6" customHeight="1">
      <c r="A33" s="216"/>
      <c r="B33" s="214"/>
      <c r="C33" s="225"/>
      <c r="D33" s="225"/>
      <c r="E33" s="215"/>
      <c r="F33" s="228"/>
    </row>
    <row r="34" spans="1:6" ht="26.25">
      <c r="A34" s="87" t="s">
        <v>3</v>
      </c>
      <c r="B34" s="227">
        <f>$B$4</f>
        <v>6</v>
      </c>
      <c r="C34" s="55">
        <f>SUM(C4:C12,C26:C28,C21:C22,C16:C17,C32)</f>
        <v>0</v>
      </c>
      <c r="D34" s="54">
        <f>IFERROR(ROUNDDOWN(C34/B34,0),"")</f>
        <v>0</v>
      </c>
      <c r="E34" s="56"/>
      <c r="F34" s="121">
        <f>IFERROR(C34-(D34*B34),"")</f>
        <v>0</v>
      </c>
    </row>
    <row r="35" spans="1:6" ht="27" thickBot="1">
      <c r="A35" s="42" t="s">
        <v>245</v>
      </c>
      <c r="B35" s="43" t="s">
        <v>173</v>
      </c>
      <c r="C35" s="40"/>
      <c r="D35" s="41">
        <f>SUM(D4:D12,D26:D28,D21:D22,D16:D17,D32)</f>
        <v>0</v>
      </c>
      <c r="E35" s="48"/>
      <c r="F35" s="93">
        <f>SUM(F4:F12,F26:F28,F21:F22,F16:F17,F32)</f>
        <v>0</v>
      </c>
    </row>
    <row r="36" spans="1:6" ht="22.5" customHeight="1">
      <c r="C36" s="77">
        <f>C14+C19+C24+C30+C32</f>
        <v>0</v>
      </c>
    </row>
    <row r="37" spans="1:6">
      <c r="C37" s="34" t="b">
        <f>C36=C34</f>
        <v>1</v>
      </c>
    </row>
  </sheetData>
  <mergeCells count="7">
    <mergeCell ref="A29:F29"/>
    <mergeCell ref="A1:F1"/>
    <mergeCell ref="B2:F2"/>
    <mergeCell ref="A13:F13"/>
    <mergeCell ref="A18:F18"/>
    <mergeCell ref="A20:F20"/>
    <mergeCell ref="A23:F23"/>
  </mergeCells>
  <phoneticPr fontId="13" type="noConversion"/>
  <printOptions horizontalCentered="1" verticalCentered="1"/>
  <pageMargins left="0" right="0" top="0" bottom="0" header="0" footer="0"/>
  <pageSetup paperSize="9" scale="9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B5ED-6F10-4325-9D4E-92EDC982D77C}">
  <sheetPr>
    <tabColor rgb="FFFFFF00"/>
    <pageSetUpPr fitToPage="1"/>
  </sheetPr>
  <dimension ref="A1:F46"/>
  <sheetViews>
    <sheetView zoomScale="55" zoomScaleNormal="55" zoomScaleSheetLayoutView="75" workbookViewId="0">
      <selection activeCell="A13" sqref="A13:F19"/>
    </sheetView>
  </sheetViews>
  <sheetFormatPr defaultColWidth="9" defaultRowHeight="16.5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>
      <c r="A1" s="34" t="s">
        <v>283</v>
      </c>
    </row>
    <row r="2" spans="1:6" ht="25.9" customHeight="1" thickBot="1">
      <c r="A2" s="268"/>
      <c r="B2" s="268"/>
      <c r="C2" s="268"/>
      <c r="D2" s="268"/>
      <c r="E2" s="268"/>
      <c r="F2" s="268"/>
    </row>
    <row r="3" spans="1:6" ht="25.9" customHeight="1">
      <c r="A3" s="232">
        <f ca="1">TODAY()</f>
        <v>46314</v>
      </c>
      <c r="B3" s="269" t="s">
        <v>274</v>
      </c>
      <c r="C3" s="269"/>
      <c r="D3" s="269"/>
      <c r="E3" s="269"/>
      <c r="F3" s="270"/>
    </row>
    <row r="4" spans="1:6" ht="40.15" customHeight="1">
      <c r="A4" s="239" t="str">
        <f>$A$1</f>
        <v>10/16 납품</v>
      </c>
      <c r="B4" s="234" t="s">
        <v>13</v>
      </c>
      <c r="C4" s="238" t="s">
        <v>246</v>
      </c>
      <c r="D4" s="236" t="s">
        <v>2</v>
      </c>
      <c r="E4" s="234" t="s">
        <v>23</v>
      </c>
      <c r="F4" s="237" t="s">
        <v>14</v>
      </c>
    </row>
    <row r="5" spans="1:6" ht="4.5" customHeight="1">
      <c r="A5" s="181"/>
      <c r="B5" s="50"/>
      <c r="C5" s="50"/>
      <c r="D5" s="50"/>
      <c r="E5" s="50"/>
      <c r="F5" s="182"/>
    </row>
    <row r="6" spans="1:6" ht="30" customHeight="1">
      <c r="A6" s="216" t="s">
        <v>273</v>
      </c>
      <c r="B6" s="214">
        <v>12</v>
      </c>
      <c r="C6" s="20">
        <f>IFERROR(VLOOKUP(A6,'스위트조이 피벗'!A:TC,2,FALSE),0)</f>
        <v>120</v>
      </c>
      <c r="D6" s="20">
        <f t="shared" ref="D6" si="0">IFERROR(ROUNDDOWN(C6/B6,0),"")</f>
        <v>10</v>
      </c>
      <c r="E6" s="231" t="s">
        <v>241</v>
      </c>
      <c r="F6" s="26">
        <f t="shared" ref="F6" si="1">IFERROR(C6-(D6*B6),"")</f>
        <v>0</v>
      </c>
    </row>
    <row r="7" spans="1:6" ht="3.75" customHeight="1">
      <c r="A7" s="181"/>
      <c r="B7" s="50"/>
      <c r="C7" s="50"/>
      <c r="D7" s="50"/>
      <c r="E7" s="50"/>
      <c r="F7" s="182"/>
    </row>
    <row r="8" spans="1:6" ht="26.25">
      <c r="A8" s="87" t="s">
        <v>3</v>
      </c>
      <c r="B8" s="227">
        <v>12</v>
      </c>
      <c r="C8" s="55">
        <f>C6</f>
        <v>120</v>
      </c>
      <c r="D8" s="54">
        <f>IFERROR(ROUNDDOWN(C8/B8,0),"")</f>
        <v>10</v>
      </c>
      <c r="E8" s="56"/>
      <c r="F8" s="121">
        <f>IFERROR(C8-(D8*B8),"")</f>
        <v>0</v>
      </c>
    </row>
    <row r="9" spans="1:6" ht="27" thickBot="1">
      <c r="A9" s="42" t="s">
        <v>245</v>
      </c>
      <c r="B9" s="43" t="s">
        <v>173</v>
      </c>
      <c r="C9" s="40"/>
      <c r="D9" s="41">
        <f>D6</f>
        <v>10</v>
      </c>
      <c r="E9" s="48"/>
      <c r="F9" s="93">
        <f>F6</f>
        <v>0</v>
      </c>
    </row>
    <row r="10" spans="1:6" ht="22.5" customHeight="1">
      <c r="C10" s="77"/>
    </row>
    <row r="12" spans="1:6" ht="17.25" thickBot="1"/>
    <row r="13" spans="1:6" ht="24" customHeight="1">
      <c r="A13" s="232">
        <f ca="1">TODAY()</f>
        <v>46314</v>
      </c>
      <c r="B13" s="269" t="s">
        <v>274</v>
      </c>
      <c r="C13" s="269"/>
      <c r="D13" s="269"/>
      <c r="E13" s="269"/>
      <c r="F13" s="270"/>
    </row>
    <row r="14" spans="1:6" ht="42.75" customHeight="1">
      <c r="A14" s="239" t="str">
        <f>$A$1</f>
        <v>10/16 납품</v>
      </c>
      <c r="B14" s="234" t="s">
        <v>13</v>
      </c>
      <c r="C14" s="238" t="s">
        <v>247</v>
      </c>
      <c r="D14" s="236" t="s">
        <v>2</v>
      </c>
      <c r="E14" s="234" t="s">
        <v>23</v>
      </c>
      <c r="F14" s="237" t="s">
        <v>14</v>
      </c>
    </row>
    <row r="15" spans="1:6" ht="6.75" customHeight="1">
      <c r="A15" s="181"/>
      <c r="B15" s="50"/>
      <c r="C15" s="50"/>
      <c r="D15" s="50"/>
      <c r="E15" s="50"/>
      <c r="F15" s="182"/>
    </row>
    <row r="16" spans="1:6" ht="30" customHeight="1">
      <c r="A16" s="216" t="s">
        <v>273</v>
      </c>
      <c r="B16" s="214">
        <v>12</v>
      </c>
      <c r="C16" s="20">
        <f>IFERROR(VLOOKUP(A16,'스위트조이 피벗'!A:TC,3,FALSE),0)</f>
        <v>36</v>
      </c>
      <c r="D16" s="20">
        <f t="shared" ref="D16" si="2">IFERROR(ROUNDDOWN(C16/B16,0),"")</f>
        <v>3</v>
      </c>
      <c r="E16" s="231" t="s">
        <v>241</v>
      </c>
      <c r="F16" s="26">
        <f t="shared" ref="F16" si="3">IFERROR(C16-(D16*B16),"")</f>
        <v>0</v>
      </c>
    </row>
    <row r="17" spans="1:6" ht="4.5" customHeight="1">
      <c r="A17" s="181"/>
      <c r="B17" s="50"/>
      <c r="C17" s="50"/>
      <c r="D17" s="50"/>
      <c r="E17" s="50"/>
      <c r="F17" s="182"/>
    </row>
    <row r="18" spans="1:6" ht="26.25">
      <c r="A18" s="87" t="s">
        <v>3</v>
      </c>
      <c r="B18" s="227">
        <v>12</v>
      </c>
      <c r="C18" s="55">
        <f>C16</f>
        <v>36</v>
      </c>
      <c r="D18" s="54">
        <f>IFERROR(ROUNDDOWN(C18/B18,0),"")</f>
        <v>3</v>
      </c>
      <c r="E18" s="56"/>
      <c r="F18" s="121">
        <f>IFERROR(C18-(D18*B18),"")</f>
        <v>0</v>
      </c>
    </row>
    <row r="19" spans="1:6" ht="27" thickBot="1">
      <c r="A19" s="42" t="s">
        <v>245</v>
      </c>
      <c r="B19" s="43" t="s">
        <v>173</v>
      </c>
      <c r="C19" s="40"/>
      <c r="D19" s="41">
        <f>D16</f>
        <v>3</v>
      </c>
      <c r="E19" s="48"/>
      <c r="F19" s="93">
        <f>F16</f>
        <v>0</v>
      </c>
    </row>
    <row r="21" spans="1:6" ht="17.25" thickBot="1"/>
    <row r="22" spans="1:6" ht="20.25">
      <c r="A22" s="232">
        <f ca="1">TODAY()</f>
        <v>46314</v>
      </c>
      <c r="B22" s="277" t="s">
        <v>274</v>
      </c>
      <c r="C22" s="278"/>
      <c r="D22" s="278"/>
      <c r="E22" s="278"/>
      <c r="F22" s="279"/>
    </row>
    <row r="23" spans="1:6" ht="39">
      <c r="A23" s="248" t="str">
        <f>$A$1</f>
        <v>10/16 납품</v>
      </c>
      <c r="B23" s="234" t="s">
        <v>13</v>
      </c>
      <c r="C23" s="238" t="s">
        <v>278</v>
      </c>
      <c r="D23" s="236" t="s">
        <v>2</v>
      </c>
      <c r="E23" s="234" t="s">
        <v>23</v>
      </c>
      <c r="F23" s="237" t="s">
        <v>14</v>
      </c>
    </row>
    <row r="24" spans="1:6" ht="5.25" customHeight="1">
      <c r="A24" s="181"/>
      <c r="B24" s="50"/>
      <c r="C24" s="50"/>
      <c r="D24" s="50"/>
      <c r="E24" s="50"/>
      <c r="F24" s="182"/>
    </row>
    <row r="25" spans="1:6" ht="30" customHeight="1">
      <c r="A25" s="216" t="s">
        <v>273</v>
      </c>
      <c r="B25" s="214">
        <v>24</v>
      </c>
      <c r="C25" s="20">
        <f>IFERROR(VLOOKUP(A25,'스위트조이 피벗'!A:TC,4,FALSE),0)</f>
        <v>0</v>
      </c>
      <c r="D25" s="20">
        <f t="shared" ref="D25" si="4">IFERROR(ROUNDDOWN(C25/B25,0),"")</f>
        <v>0</v>
      </c>
      <c r="E25" s="231" t="s">
        <v>241</v>
      </c>
      <c r="F25" s="26">
        <f t="shared" ref="F25" si="5">IFERROR(C25-(D25*B25),"")</f>
        <v>0</v>
      </c>
    </row>
    <row r="26" spans="1:6" ht="5.25" customHeight="1">
      <c r="A26" s="181"/>
      <c r="B26" s="50"/>
      <c r="C26" s="50"/>
      <c r="D26" s="50"/>
      <c r="E26" s="50"/>
      <c r="F26" s="182"/>
    </row>
    <row r="27" spans="1:6" ht="26.25">
      <c r="A27" s="87" t="s">
        <v>3</v>
      </c>
      <c r="B27" s="227">
        <f>B25</f>
        <v>24</v>
      </c>
      <c r="C27" s="55">
        <f>C25</f>
        <v>0</v>
      </c>
      <c r="D27" s="54">
        <f>IFERROR(ROUNDDOWN(C27/B27,0),"")</f>
        <v>0</v>
      </c>
      <c r="E27" s="56"/>
      <c r="F27" s="121">
        <f>IFERROR(C27-(D27*B27),"")</f>
        <v>0</v>
      </c>
    </row>
    <row r="28" spans="1:6" ht="27" thickBot="1">
      <c r="A28" s="42" t="s">
        <v>245</v>
      </c>
      <c r="B28" s="43" t="s">
        <v>173</v>
      </c>
      <c r="C28" s="40"/>
      <c r="D28" s="41">
        <f>D25</f>
        <v>0</v>
      </c>
      <c r="E28" s="48"/>
      <c r="F28" s="93">
        <f>F25</f>
        <v>0</v>
      </c>
    </row>
    <row r="30" spans="1:6" ht="17.25" thickBot="1"/>
    <row r="31" spans="1:6" ht="20.25">
      <c r="A31" s="232">
        <f ca="1">TODAY()</f>
        <v>46314</v>
      </c>
      <c r="B31" s="269" t="s">
        <v>274</v>
      </c>
      <c r="C31" s="269"/>
      <c r="D31" s="269"/>
      <c r="E31" s="269"/>
      <c r="F31" s="270"/>
    </row>
    <row r="32" spans="1:6" ht="39">
      <c r="A32" s="233" t="str">
        <f>$A$1</f>
        <v>10/16 납품</v>
      </c>
      <c r="B32" s="234" t="s">
        <v>13</v>
      </c>
      <c r="C32" s="238" t="s">
        <v>277</v>
      </c>
      <c r="D32" s="236" t="s">
        <v>2</v>
      </c>
      <c r="E32" s="234" t="s">
        <v>23</v>
      </c>
      <c r="F32" s="237" t="s">
        <v>14</v>
      </c>
    </row>
    <row r="33" spans="1:6" ht="4.5" customHeight="1">
      <c r="A33" s="181"/>
      <c r="B33" s="50"/>
      <c r="C33" s="50"/>
      <c r="D33" s="50"/>
      <c r="E33" s="50"/>
      <c r="F33" s="182"/>
    </row>
    <row r="34" spans="1:6" ht="30" customHeight="1">
      <c r="A34" s="216" t="s">
        <v>273</v>
      </c>
      <c r="B34" s="214">
        <v>24</v>
      </c>
      <c r="C34" s="20">
        <f>IFERROR(VLOOKUP(A34,'스위트조이 피벗'!A:TC,5,FALSE),0)</f>
        <v>0</v>
      </c>
      <c r="D34" s="20">
        <f t="shared" ref="D34" si="6">IFERROR(ROUNDDOWN(C34/B34,0),"")</f>
        <v>0</v>
      </c>
      <c r="E34" s="231" t="s">
        <v>241</v>
      </c>
      <c r="F34" s="26">
        <f t="shared" ref="F34" si="7">IFERROR(C34-(D34*B34),"")</f>
        <v>0</v>
      </c>
    </row>
    <row r="35" spans="1:6" ht="5.25" customHeight="1">
      <c r="A35" s="181"/>
      <c r="B35" s="50"/>
      <c r="C35" s="50"/>
      <c r="D35" s="50"/>
      <c r="E35" s="50"/>
      <c r="F35" s="182"/>
    </row>
    <row r="36" spans="1:6" ht="26.25">
      <c r="A36" s="87" t="s">
        <v>3</v>
      </c>
      <c r="B36" s="227">
        <v>24</v>
      </c>
      <c r="C36" s="55">
        <f>C34</f>
        <v>0</v>
      </c>
      <c r="D36" s="54">
        <f>IFERROR(ROUNDDOWN(C36/B36,0),"")</f>
        <v>0</v>
      </c>
      <c r="E36" s="56"/>
      <c r="F36" s="121">
        <f>IFERROR(C36-(D36*B36),"")</f>
        <v>0</v>
      </c>
    </row>
    <row r="37" spans="1:6" ht="27" thickBot="1">
      <c r="A37" s="42" t="s">
        <v>245</v>
      </c>
      <c r="B37" s="43" t="s">
        <v>173</v>
      </c>
      <c r="C37" s="40"/>
      <c r="D37" s="41">
        <f>D34</f>
        <v>0</v>
      </c>
      <c r="E37" s="48"/>
      <c r="F37" s="93">
        <f>F34</f>
        <v>0</v>
      </c>
    </row>
    <row r="39" spans="1:6" ht="17.25" thickBot="1"/>
    <row r="40" spans="1:6" ht="20.25">
      <c r="A40" s="242">
        <f ca="1">TODAY()</f>
        <v>46314</v>
      </c>
      <c r="B40" s="283" t="s">
        <v>279</v>
      </c>
      <c r="C40" s="283"/>
      <c r="D40" s="283"/>
      <c r="E40" s="283"/>
      <c r="F40" s="284"/>
    </row>
    <row r="41" spans="1:6" ht="36" customHeight="1">
      <c r="A41" s="243" t="str">
        <f>$A$1</f>
        <v>10/16 납품</v>
      </c>
      <c r="B41" s="244" t="s">
        <v>13</v>
      </c>
      <c r="C41" s="245" t="s">
        <v>281</v>
      </c>
      <c r="D41" s="246" t="s">
        <v>2</v>
      </c>
      <c r="E41" s="244" t="s">
        <v>23</v>
      </c>
      <c r="F41" s="247" t="s">
        <v>14</v>
      </c>
    </row>
    <row r="42" spans="1:6" ht="4.5" customHeight="1">
      <c r="A42" s="181"/>
      <c r="B42" s="50"/>
      <c r="C42" s="50"/>
      <c r="D42" s="50"/>
      <c r="E42" s="50"/>
      <c r="F42" s="182"/>
    </row>
    <row r="43" spans="1:6" ht="30" customHeight="1">
      <c r="A43" s="216" t="s">
        <v>273</v>
      </c>
      <c r="B43" s="214">
        <v>6</v>
      </c>
      <c r="C43" s="20">
        <f>IFERROR(VLOOKUP(A43,브라더스팩토리!$A$1:$D$41,2,FALSE),0)</f>
        <v>0</v>
      </c>
      <c r="D43" s="20">
        <f t="shared" ref="D43" si="8">IFERROR(ROUNDDOWN(C43/B43,0),"")</f>
        <v>0</v>
      </c>
      <c r="E43" s="231" t="s">
        <v>241</v>
      </c>
      <c r="F43" s="26">
        <f t="shared" ref="F43" si="9">IFERROR(C43-(D43*B43),"")</f>
        <v>0</v>
      </c>
    </row>
    <row r="44" spans="1:6" ht="5.25" customHeight="1">
      <c r="A44" s="181"/>
      <c r="B44" s="50"/>
      <c r="C44" s="50"/>
      <c r="D44" s="50"/>
      <c r="E44" s="50"/>
      <c r="F44" s="182"/>
    </row>
    <row r="45" spans="1:6" ht="26.25">
      <c r="A45" s="87" t="s">
        <v>3</v>
      </c>
      <c r="B45" s="227">
        <v>6</v>
      </c>
      <c r="C45" s="55">
        <f>C43</f>
        <v>0</v>
      </c>
      <c r="D45" s="54">
        <f>IFERROR(ROUNDDOWN(C45/B45,0),"")</f>
        <v>0</v>
      </c>
      <c r="E45" s="56"/>
      <c r="F45" s="121">
        <f>IFERROR(C45-(D45*B45),"")</f>
        <v>0</v>
      </c>
    </row>
    <row r="46" spans="1:6" ht="27" thickBot="1">
      <c r="A46" s="42" t="s">
        <v>245</v>
      </c>
      <c r="B46" s="43" t="s">
        <v>173</v>
      </c>
      <c r="C46" s="40"/>
      <c r="D46" s="41">
        <f>D43</f>
        <v>0</v>
      </c>
      <c r="E46" s="48"/>
      <c r="F46" s="93">
        <f>F43</f>
        <v>0</v>
      </c>
    </row>
  </sheetData>
  <mergeCells count="6">
    <mergeCell ref="B40:F40"/>
    <mergeCell ref="B13:F13"/>
    <mergeCell ref="B22:F22"/>
    <mergeCell ref="B31:F31"/>
    <mergeCell ref="A2:F2"/>
    <mergeCell ref="B3:F3"/>
  </mergeCells>
  <phoneticPr fontId="13" type="noConversion"/>
  <printOptions horizontalCentered="1" verticalCentered="1"/>
  <pageMargins left="0" right="0" top="0" bottom="0" header="0" footer="0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 지정된 범위</vt:lpstr>
      </vt:variant>
      <vt:variant>
        <vt:i4>34</vt:i4>
      </vt:variant>
    </vt:vector>
  </HeadingPairs>
  <TitlesOfParts>
    <vt:vector size="69" baseType="lpstr">
      <vt:lpstr>검수장</vt:lpstr>
      <vt:lpstr>신라명과피벗</vt:lpstr>
      <vt:lpstr>리얼)모닝롤</vt:lpstr>
      <vt:lpstr>스위트조이 피벗</vt:lpstr>
      <vt:lpstr>스위트)아이스망고75g</vt:lpstr>
      <vt:lpstr>스위트)아이스복숭아75g</vt:lpstr>
      <vt:lpstr>스위트)주토피아아이스바</vt:lpstr>
      <vt:lpstr>스위트)토이스토리아이스</vt:lpstr>
      <vt:lpstr>브라더스팩토리</vt:lpstr>
      <vt:lpstr>G)파인애플아이스100ml</vt:lpstr>
      <vt:lpstr>AZ공유</vt:lpstr>
      <vt:lpstr>2300원굿딜)매콤불고기1</vt:lpstr>
      <vt:lpstr>2300원굿딜)매콤불고기2</vt:lpstr>
      <vt:lpstr>2300원굿딜)불갈비버거1</vt:lpstr>
      <vt:lpstr>2300원굿딜)불갈비버거2</vt:lpstr>
      <vt:lpstr>NEW직화석쇠불고기버거1편</vt:lpstr>
      <vt:lpstr>NEW직화석쇠불고기버거2편</vt:lpstr>
      <vt:lpstr>매콤직화석쇠불고기버거1편</vt:lpstr>
      <vt:lpstr>매콤직화석쇠불고기버거2편</vt:lpstr>
      <vt:lpstr>치즈왕돈까스버거1편</vt:lpstr>
      <vt:lpstr>치즈왕돈까스버거2편</vt:lpstr>
      <vt:lpstr>황치즈직화석쇠불고기버거1편</vt:lpstr>
      <vt:lpstr>황치즈직화석쇠불고기버거2편</vt:lpstr>
      <vt:lpstr>예)그릭샐러드</vt:lpstr>
      <vt:lpstr>예)닭가슴살샐러드</vt:lpstr>
      <vt:lpstr>예)들기름막국수샐러드</vt:lpstr>
      <vt:lpstr>예)모짜렐라샐러드</vt:lpstr>
      <vt:lpstr>예)새우샐러드</vt:lpstr>
      <vt:lpstr>예)연어샐러드</vt:lpstr>
      <vt:lpstr>예)직화불고기샐러드)</vt:lpstr>
      <vt:lpstr>예)칠리치킨샐러드</vt:lpstr>
      <vt:lpstr>예약)26년순살갈비탕</vt:lpstr>
      <vt:lpstr>예약)26년스지도가니탕</vt:lpstr>
      <vt:lpstr>예약)26년전통추어탕</vt:lpstr>
      <vt:lpstr>예약)26년한마리민물장어덮밥</vt:lpstr>
      <vt:lpstr>'2300원굿딜)매콤불고기1'!Print_Area</vt:lpstr>
      <vt:lpstr>'2300원굿딜)매콤불고기2'!Print_Area</vt:lpstr>
      <vt:lpstr>'2300원굿딜)불갈비버거1'!Print_Area</vt:lpstr>
      <vt:lpstr>'2300원굿딜)불갈비버거2'!Print_Area</vt:lpstr>
      <vt:lpstr>AZ공유!Print_Area</vt:lpstr>
      <vt:lpstr>'G)파인애플아이스100ml'!Print_Area</vt:lpstr>
      <vt:lpstr>NEW직화석쇠불고기버거1편!Print_Area</vt:lpstr>
      <vt:lpstr>NEW직화석쇠불고기버거2편!Print_Area</vt:lpstr>
      <vt:lpstr>검수장!Print_Area</vt:lpstr>
      <vt:lpstr>'리얼)모닝롤'!Print_Area</vt:lpstr>
      <vt:lpstr>매콤직화석쇠불고기버거1편!Print_Area</vt:lpstr>
      <vt:lpstr>매콤직화석쇠불고기버거2편!Print_Area</vt:lpstr>
      <vt:lpstr>브라더스팩토리!Print_Area</vt:lpstr>
      <vt:lpstr>'스위트)아이스망고75g'!Print_Area</vt:lpstr>
      <vt:lpstr>'스위트)아이스복숭아75g'!Print_Area</vt:lpstr>
      <vt:lpstr>'스위트)주토피아아이스바'!Print_Area</vt:lpstr>
      <vt:lpstr>'스위트)토이스토리아이스'!Print_Area</vt:lpstr>
      <vt:lpstr>'스위트조이 피벗'!Print_Area</vt:lpstr>
      <vt:lpstr>'예)그릭샐러드'!Print_Area</vt:lpstr>
      <vt:lpstr>'예)닭가슴살샐러드'!Print_Area</vt:lpstr>
      <vt:lpstr>'예)들기름막국수샐러드'!Print_Area</vt:lpstr>
      <vt:lpstr>'예)모짜렐라샐러드'!Print_Area</vt:lpstr>
      <vt:lpstr>'예)새우샐러드'!Print_Area</vt:lpstr>
      <vt:lpstr>'예)연어샐러드'!Print_Area</vt:lpstr>
      <vt:lpstr>'예)직화불고기샐러드)'!Print_Area</vt:lpstr>
      <vt:lpstr>'예)칠리치킨샐러드'!Print_Area</vt:lpstr>
      <vt:lpstr>'예약)26년순살갈비탕'!Print_Area</vt:lpstr>
      <vt:lpstr>'예약)26년스지도가니탕'!Print_Area</vt:lpstr>
      <vt:lpstr>'예약)26년전통추어탕'!Print_Area</vt:lpstr>
      <vt:lpstr>'예약)26년한마리민물장어덮밥'!Print_Area</vt:lpstr>
      <vt:lpstr>치즈왕돈까스버거1편!Print_Area</vt:lpstr>
      <vt:lpstr>치즈왕돈까스버거2편!Print_Area</vt:lpstr>
      <vt:lpstr>황치즈직화석쇠불고기버거1편!Print_Area</vt:lpstr>
      <vt:lpstr>황치즈직화석쇠불고기버거2편!Print_Area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2015</dc:creator>
  <cp:lastModifiedBy>oem</cp:lastModifiedBy>
  <cp:revision>2</cp:revision>
  <cp:lastPrinted>2026-10-17T07:22:28Z</cp:lastPrinted>
  <dcterms:created xsi:type="dcterms:W3CDTF">2019-12-22T14:27:20Z</dcterms:created>
  <dcterms:modified xsi:type="dcterms:W3CDTF">2026-10-19T07:16:52Z</dcterms:modified>
  <cp:version>1100.0100.01</cp:version>
</cp:coreProperties>
</file>